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-Air" sheetId="1" r:id="rId5"/>
    <sheet state="visible" name="records-CA Gass" sheetId="2" r:id="rId6"/>
    <sheet state="visible" name="CA-Risk" sheetId="3" r:id="rId7"/>
    <sheet state="hidden" name="_rpp2_registry" sheetId="4" r:id="rId8"/>
    <sheet state="visible" name="Backup records-Air" sheetId="5" r:id="rId9"/>
    <sheet state="visible" name="Backup records-CA Gass" sheetId="6" r:id="rId10"/>
    <sheet state="visible" name="dCAGass" sheetId="7" r:id="rId11"/>
    <sheet state="visible" name="dAir" sheetId="8" r:id="rId12"/>
    <sheet state="visible" name="Sheet14" sheetId="9" r:id="rId13"/>
    <sheet state="visible" name="dfeller" sheetId="10" r:id="rId14"/>
    <sheet state="visible" name="database-Air" sheetId="11" r:id="rId15"/>
    <sheet state="hidden" name="dropdownCA1" sheetId="12" r:id="rId16"/>
    <sheet state="hidden" name="dropdownCA2" sheetId="13" r:id="rId17"/>
    <sheet state="hidden" name="OCL-Study" sheetId="14" r:id="rId18"/>
    <sheet state="hidden" name="CA-OSD" sheetId="15" r:id="rId19"/>
    <sheet state="hidden" name="Backup-records" sheetId="16" r:id="rId20"/>
    <sheet state="hidden" name="Settle-ASRS" sheetId="17" r:id="rId21"/>
    <sheet state="hidden" name="Settle-F1" sheetId="18" r:id="rId22"/>
    <sheet state="hidden" name="Settle-F3" sheetId="19" r:id="rId23"/>
  </sheets>
  <definedNames>
    <definedName hidden="1" localSheetId="2" name="_xlnm._FilterDatabase">'CA-Risk'!$A$1:$F$41</definedName>
    <definedName hidden="1" localSheetId="7" name="_xlnm._FilterDatabase">dAir!$A$1:$E$475</definedName>
    <definedName hidden="1" localSheetId="14" name="_xlnm._FilterDatabase">'CA-OSD'!$A$1:$I$64</definedName>
  </definedNames>
  <calcPr/>
</workbook>
</file>

<file path=xl/sharedStrings.xml><?xml version="1.0" encoding="utf-8"?>
<sst xmlns="http://schemas.openxmlformats.org/spreadsheetml/2006/main" count="40717" uniqueCount="2511">
  <si>
    <t>worksheetNo</t>
  </si>
  <si>
    <t>rpp2Sheet</t>
  </si>
  <si>
    <t>sourceSheet</t>
  </si>
  <si>
    <t>updatedAt</t>
  </si>
  <si>
    <t>AT-26-0026</t>
  </si>
  <si>
    <t>records_em</t>
  </si>
  <si>
    <t>records-Air</t>
  </si>
  <si>
    <t>2026-08-24T10:41:20.697Z</t>
  </si>
  <si>
    <t>AT-26-0027</t>
  </si>
  <si>
    <t>2026-06-15T02:42:55.069Z</t>
  </si>
  <si>
    <t>AT-26-0028</t>
  </si>
  <si>
    <t>2026-07-13T01:21:43.701Z</t>
  </si>
  <si>
    <t>AC-26-0012</t>
  </si>
  <si>
    <t>records_ca</t>
  </si>
  <si>
    <t>records-CA Gass</t>
  </si>
  <si>
    <t>2026-08-20T01:34:33.528Z</t>
  </si>
  <si>
    <t>AT-26-0029</t>
  </si>
  <si>
    <t>2026-06-22T08:31:12.474Z</t>
  </si>
  <si>
    <t>AT-26-0030</t>
  </si>
  <si>
    <t>2026-06-22T08:31:09.095Z</t>
  </si>
  <si>
    <t>AT-26-0031</t>
  </si>
  <si>
    <t>2026-06-17T01:29:36.579Z</t>
  </si>
  <si>
    <t>AT-26-0032</t>
  </si>
  <si>
    <t>2026-06-17T01:29:44.439Z</t>
  </si>
  <si>
    <t>AT-26-0033</t>
  </si>
  <si>
    <t>2026-06-22T08:28:06.284Z</t>
  </si>
  <si>
    <t>AC-26-0013</t>
  </si>
  <si>
    <t>2026-06-22T08:42:59.046Z</t>
  </si>
  <si>
    <t>AC-26-0014</t>
  </si>
  <si>
    <t>2026-07-02T02:22:38.755Z</t>
  </si>
  <si>
    <t>AC-26-0015</t>
  </si>
  <si>
    <t>2026-07-02T02:22:43.694Z</t>
  </si>
  <si>
    <t>AC-26-0016</t>
  </si>
  <si>
    <t>2026-07-02T02:22:48.391Z</t>
  </si>
  <si>
    <t>AC-26-0017</t>
  </si>
  <si>
    <t>2026-07-02T02:22:52.342Z</t>
  </si>
  <si>
    <t>AC-26-0018</t>
  </si>
  <si>
    <t>2026-07-02T02:22:55.681Z</t>
  </si>
  <si>
    <t>AT-26-0034</t>
  </si>
  <si>
    <t>2026-07-01T02:26:48.282Z</t>
  </si>
  <si>
    <t>AT-26-0035</t>
  </si>
  <si>
    <t>2026-07-01T02:26:53.385Z</t>
  </si>
  <si>
    <t>AT-26-0036</t>
  </si>
  <si>
    <t>2026-07-01T02:26:57.876Z</t>
  </si>
  <si>
    <t>AC-26-0019</t>
  </si>
  <si>
    <t>2026-08-13T07:42:40.307Z</t>
  </si>
  <si>
    <t>AT-26-0037</t>
  </si>
  <si>
    <t>2026-07-06T09:15:54.787Z</t>
  </si>
  <si>
    <t>AT-26-0038</t>
  </si>
  <si>
    <t>2026-07-06T09:15:58.817Z</t>
  </si>
  <si>
    <t>AT-26-0039</t>
  </si>
  <si>
    <t>2026-07-08T09:49:54.747Z</t>
  </si>
  <si>
    <t>AT-26-0040</t>
  </si>
  <si>
    <t>2026-07-06T09:28:16.128Z</t>
  </si>
  <si>
    <t>AT-26-0041</t>
  </si>
  <si>
    <t>2026-07-10T09:27:04.891Z</t>
  </si>
  <si>
    <t>AT-26-0042</t>
  </si>
  <si>
    <t>2026-07-13T04:02:49.702Z</t>
  </si>
  <si>
    <t>AT-26-0043</t>
  </si>
  <si>
    <t>2026-07-19T07:50:20.673Z</t>
  </si>
  <si>
    <t>SamplingDate</t>
  </si>
  <si>
    <t>AT-26-0044</t>
  </si>
  <si>
    <t>2026-07-19T07:50:25.063Z</t>
  </si>
  <si>
    <t>AT-26-0045</t>
  </si>
  <si>
    <t>2026-07-21T04:32:06.403Z</t>
  </si>
  <si>
    <t>AT-26-0046</t>
  </si>
  <si>
    <t>2026-07-24T04:12:09.481Z</t>
  </si>
  <si>
    <t>AT-26-0047</t>
  </si>
  <si>
    <t>2026-07-24T04:12:13.596Z</t>
  </si>
  <si>
    <t>AT-26-0048</t>
  </si>
  <si>
    <t>2026-08-03T11:02:25.879Z</t>
  </si>
  <si>
    <t>AT-26-0049</t>
  </si>
  <si>
    <t>MonthYear</t>
  </si>
  <si>
    <t>2026-07-31T04:36:25.467Z</t>
  </si>
  <si>
    <t>AT-26-0050</t>
  </si>
  <si>
    <t>2026-08-03T11:06:31.337Z</t>
  </si>
  <si>
    <t>AT-26-0051</t>
  </si>
  <si>
    <t>Tag</t>
  </si>
  <si>
    <t>2026-08-03T11:06:36.484Z</t>
  </si>
  <si>
    <t>POU no.</t>
  </si>
  <si>
    <t>AT-26-0052</t>
  </si>
  <si>
    <t>roomNo</t>
  </si>
  <si>
    <t>2026-08-03T11:06:41.008Z</t>
  </si>
  <si>
    <t>AT-26-0053</t>
  </si>
  <si>
    <t>Gass Type</t>
  </si>
  <si>
    <t>2026-08-10T01:35:01.084Z</t>
  </si>
  <si>
    <t>AT-26-0054</t>
  </si>
  <si>
    <t>2026-08-10T01:35:05.422Z</t>
  </si>
  <si>
    <t>AT-26-0055</t>
  </si>
  <si>
    <t>Sampling Date</t>
  </si>
  <si>
    <t>2026-08-13T07:41:23.720Z</t>
  </si>
  <si>
    <t>AT-26-0056</t>
  </si>
  <si>
    <t>Room no.</t>
  </si>
  <si>
    <t>2026-08-13T07:41:29.229Z</t>
  </si>
  <si>
    <t>worksheetCreate</t>
  </si>
  <si>
    <t>AT-26-0057</t>
  </si>
  <si>
    <t>2026-08-19T10:05:55.041Z</t>
  </si>
  <si>
    <t>AC-26-0020</t>
  </si>
  <si>
    <t>2026-08-13T07:42:43.498Z</t>
  </si>
  <si>
    <t>AC-26-0021</t>
  </si>
  <si>
    <t>temp</t>
  </si>
  <si>
    <t>2026-08-13T07:42:45.888Z</t>
  </si>
  <si>
    <t>AC-26-0022</t>
  </si>
  <si>
    <t>2026-08-13T07:42:49.786Z</t>
  </si>
  <si>
    <t>AC-26-0023</t>
  </si>
  <si>
    <t>%rh</t>
  </si>
  <si>
    <t>2026-08-18T01:25:46.350Z</t>
  </si>
  <si>
    <t>Type</t>
  </si>
  <si>
    <t>AC-26-0024</t>
  </si>
  <si>
    <t>2026-08-18T01:25:51.352Z</t>
  </si>
  <si>
    <t>timeIn</t>
  </si>
  <si>
    <t>AC-26-0025</t>
  </si>
  <si>
    <t>Method</t>
  </si>
  <si>
    <t>2026-08-25T10:33:29.981Z</t>
  </si>
  <si>
    <t>AT-26-0058</t>
  </si>
  <si>
    <t>2026-08-20T02:20:01.144Z</t>
  </si>
  <si>
    <t>AT-26-0059</t>
  </si>
  <si>
    <t>2026-09-01T06:17:31.257Z</t>
  </si>
  <si>
    <t>AC-26-0026</t>
  </si>
  <si>
    <t>2026-08-23T07:59:12.069Z</t>
  </si>
  <si>
    <t>AC-26-0027</t>
  </si>
  <si>
    <t>2026-08-25T10:33:34.046Z</t>
  </si>
  <si>
    <t>timeOut</t>
  </si>
  <si>
    <t>AT-26-0060</t>
  </si>
  <si>
    <t>2026-09-01T06:17:38.549Z</t>
  </si>
  <si>
    <t>Group</t>
  </si>
  <si>
    <t>AT-26-0061</t>
  </si>
  <si>
    <t>lotTSA</t>
  </si>
  <si>
    <t>Room name</t>
  </si>
  <si>
    <t>2026-09-01T06:17:44.239Z</t>
  </si>
  <si>
    <t>AT-26-0062</t>
  </si>
  <si>
    <t>2026-09-01T06:17:53.388Z</t>
  </si>
  <si>
    <t>AirSampler</t>
  </si>
  <si>
    <t>AC-26-0028</t>
  </si>
  <si>
    <t>mfgDate</t>
  </si>
  <si>
    <t>Next Due</t>
  </si>
  <si>
    <t>2026-08-25T10:33:38.683Z</t>
  </si>
  <si>
    <t>AT-26-0063</t>
  </si>
  <si>
    <t>รหัสทรัพย์สินเครื่อง</t>
  </si>
  <si>
    <t>PLAN for ANF3 Micro (เข้าได้ช่วง 5-21 Aug)</t>
  </si>
  <si>
    <t>2026-09-01T06:17:56.894Z</t>
  </si>
  <si>
    <t>AC-26-0029</t>
  </si>
  <si>
    <t>expDate</t>
  </si>
  <si>
    <t>Priority</t>
  </si>
  <si>
    <t>2026-08-25T10:33:41.293Z</t>
  </si>
  <si>
    <t xml:space="preserve">Next cal </t>
  </si>
  <si>
    <t>AC-26-0030</t>
  </si>
  <si>
    <t>ColonyCount</t>
  </si>
  <si>
    <t>2026-08-25T10:33:45.860Z</t>
  </si>
  <si>
    <t>AT-26-0064</t>
  </si>
  <si>
    <t>remark</t>
  </si>
  <si>
    <t>-</t>
  </si>
  <si>
    <t>2026-09-01T06:18:01.711Z</t>
  </si>
  <si>
    <t>AT-26-0065</t>
  </si>
  <si>
    <t>2026-09-01T06:18:05.932Z</t>
  </si>
  <si>
    <t>AT-26-0066</t>
  </si>
  <si>
    <t>2026-09-01T06:18:08.382Z</t>
  </si>
  <si>
    <t>AT-26-0067</t>
  </si>
  <si>
    <t>2026-09-01T06:18:13.409Z</t>
  </si>
  <si>
    <t>AIR RECIEVER TANK FL.2</t>
  </si>
  <si>
    <t>AT-26-0068</t>
  </si>
  <si>
    <t>2026-09-01T07:00:45.790Z</t>
  </si>
  <si>
    <t>roomName</t>
  </si>
  <si>
    <t>building</t>
  </si>
  <si>
    <t>floor</t>
  </si>
  <si>
    <t>[1]</t>
  </si>
  <si>
    <t>B10L3-BV-23</t>
  </si>
  <si>
    <t>Spec</t>
  </si>
  <si>
    <t>10-3-136</t>
  </si>
  <si>
    <t>Result</t>
  </si>
  <si>
    <t>Exclude</t>
  </si>
  <si>
    <t>syncStatus</t>
  </si>
  <si>
    <t>B10L3-BV-43</t>
  </si>
  <si>
    <t>10-3-050</t>
  </si>
  <si>
    <t>TABLETS INSPECTION 1 (TABLET INSPECTION MACHINE) &amp; (DRUM TIPPER)</t>
  </si>
  <si>
    <t>ID</t>
  </si>
  <si>
    <t>B10L3-BV-20</t>
  </si>
  <si>
    <t>10-3-145</t>
  </si>
  <si>
    <t>B10L3-BV-44</t>
  </si>
  <si>
    <t>10-3-052</t>
  </si>
  <si>
    <t>Class</t>
  </si>
  <si>
    <t>TABLETS INSPECTION 2 (TABLET INSPECTION MACHINE) &amp; (DRUM TIPPER)</t>
  </si>
  <si>
    <t>B10L3-BV-19</t>
  </si>
  <si>
    <t>10-3-147</t>
  </si>
  <si>
    <t>Unit</t>
  </si>
  <si>
    <t>B10L3-BV-29</t>
  </si>
  <si>
    <t>B16-AIR RECIEVER TANK FL.2</t>
  </si>
  <si>
    <t>10-3-060</t>
  </si>
  <si>
    <t>COATING SOLUTION PREPARATION 2 (SOLUTION PREPARATION TANK)</t>
  </si>
  <si>
    <t>IsPass</t>
  </si>
  <si>
    <t>[2]</t>
  </si>
  <si>
    <t>CA</t>
  </si>
  <si>
    <t>[3]</t>
  </si>
  <si>
    <t>B10L3-BV-30</t>
  </si>
  <si>
    <t>N/A</t>
  </si>
  <si>
    <t>10-3-065</t>
  </si>
  <si>
    <t>COATING SOLUTION PREPARATION 3 (SOLUTION PREPARATION TANK)</t>
  </si>
  <si>
    <t>17:50</t>
  </si>
  <si>
    <t>B10L3-BV-40</t>
  </si>
  <si>
    <t>TA69005</t>
  </si>
  <si>
    <t>10-3-122</t>
  </si>
  <si>
    <t>2/2/2026</t>
  </si>
  <si>
    <t>AIR RECEIVER TANK</t>
  </si>
  <si>
    <t>miniCapt</t>
  </si>
  <si>
    <t>B10L3-BV-17</t>
  </si>
  <si>
    <t>10-3-123</t>
  </si>
  <si>
    <t>B10L3-BV-31</t>
  </si>
  <si>
    <t>12-2-021</t>
  </si>
  <si>
    <t>10-3-066</t>
  </si>
  <si>
    <t>COATING SOLUTION PREPARATION 4 (SOLUTION PREPARATION TANK)</t>
  </si>
  <si>
    <t>Room</t>
  </si>
  <si>
    <t>B10L3-BV-39</t>
  </si>
  <si>
    <t>10-3-125</t>
  </si>
  <si>
    <t>Settle Plate</t>
  </si>
  <si>
    <t>Routine</t>
  </si>
  <si>
    <t>none</t>
  </si>
  <si>
    <t>B10L3-BV-38</t>
  </si>
  <si>
    <t>10-3-126</t>
  </si>
  <si>
    <t>B10L3-BV-14</t>
  </si>
  <si>
    <t>10-3-072</t>
  </si>
  <si>
    <t>DRY GRANULATION 1 (ROLL COMPACTOR)</t>
  </si>
  <si>
    <t>B10L3-BV-36</t>
  </si>
  <si>
    <t>10-3-127</t>
  </si>
  <si>
    <t>TA69010</t>
  </si>
  <si>
    <t>5/15/2026</t>
  </si>
  <si>
    <t>B10L3-BV-22</t>
  </si>
  <si>
    <t>10-3-143</t>
  </si>
  <si>
    <t>B10L3-BV-13</t>
  </si>
  <si>
    <t>10-3-073</t>
  </si>
  <si>
    <t>DRY GRANULATION 2 (LOW RH) (ROLL COMPACTOR)</t>
  </si>
  <si>
    <t>B10L3-BV-12</t>
  </si>
  <si>
    <t>10-3-159</t>
  </si>
  <si>
    <t>B10L3-BV-18</t>
  </si>
  <si>
    <t>10-3-160</t>
  </si>
  <si>
    <t>B10L3-BV-15</t>
  </si>
  <si>
    <t>synced</t>
  </si>
  <si>
    <t>10-3-074</t>
  </si>
  <si>
    <t>DRY GRANULATION 3 (ROLL COMPACTOR)</t>
  </si>
  <si>
    <t>B10L3-BV-05</t>
  </si>
  <si>
    <t>10-3-170</t>
  </si>
  <si>
    <t>B10L3-BV-06</t>
  </si>
  <si>
    <t>10-3-171</t>
  </si>
  <si>
    <t>B10L3-BV-09</t>
  </si>
  <si>
    <t>10-3-079</t>
  </si>
  <si>
    <t>DRYING</t>
  </si>
  <si>
    <t>B10L3-BV-08</t>
  </si>
  <si>
    <t>10-3-175</t>
  </si>
  <si>
    <t>B16L3-FSL-12</t>
  </si>
  <si>
    <t>B10L3-BV-27</t>
  </si>
  <si>
    <t>10-3-061</t>
  </si>
  <si>
    <t>B10L3-BV-10</t>
  </si>
  <si>
    <t>10-3-085</t>
  </si>
  <si>
    <t>22.7</t>
  </si>
  <si>
    <t>45.3</t>
  </si>
  <si>
    <t>16:15</t>
  </si>
  <si>
    <t>10-1-030</t>
  </si>
  <si>
    <t>B10L3-BV-16</t>
  </si>
  <si>
    <t>10-3-107</t>
  </si>
  <si>
    <t>WET GRANULATION 2 (LOW RH)</t>
  </si>
  <si>
    <t>19.1</t>
  </si>
  <si>
    <t>56.9</t>
  </si>
  <si>
    <t>10:27</t>
  </si>
  <si>
    <t>14:00</t>
  </si>
  <si>
    <t>TA69003</t>
  </si>
  <si>
    <t>9/12/2025</t>
  </si>
  <si>
    <t>AT-26-0001</t>
  </si>
  <si>
    <t>B10L3-BV-35</t>
  </si>
  <si>
    <t>10-3-120</t>
  </si>
  <si>
    <t>COMPRESSION 1 (TABLET COMPRESSION MACHINE)</t>
  </si>
  <si>
    <t>B10L3-BV-37</t>
  </si>
  <si>
    <t>10-3-121</t>
  </si>
  <si>
    <t>COMPRESSION 2 (TABLET COMPRESSION MACHINE)</t>
  </si>
  <si>
    <t>COMPRESSION 3 (LOW RH) (TABLET COMPRESSION MACHINE)</t>
  </si>
  <si>
    <t>COMPRESSION 4 (TABLET COMPRESSION MACHINE)</t>
  </si>
  <si>
    <t>COMPRESSION 6 (TABLET COMPRESSION MACHINE)</t>
  </si>
  <si>
    <t>COMPRESSION 7 (TABLET COMPRESSION MACHINE)</t>
  </si>
  <si>
    <t>COMPRESSION 8 (TABLET COMPRESSION MACHINE)</t>
  </si>
  <si>
    <t>12-2-022</t>
  </si>
  <si>
    <t>B16L3-FSL-21</t>
  </si>
  <si>
    <t>TABLET INSPECTION-P (LOW RH) (TABLET INSPECTION MACHINE) (DRUM TIPPER)</t>
  </si>
  <si>
    <t>pending</t>
  </si>
  <si>
    <t>COATING SOLUTION PREPARATION-P (SOLUTION PREPARATION TANK)</t>
  </si>
  <si>
    <t>10-14 Aug 26 / 17 Aug 26 (OT)</t>
  </si>
  <si>
    <t>COMPRESSION 1-P (LOW RH) (TABLET COMPRESSION MACHINE)</t>
  </si>
  <si>
    <t>45.5</t>
  </si>
  <si>
    <t>16:00</t>
  </si>
  <si>
    <t>COMPRESSION 2-P (TABLET COMPRESSION MACHINE)</t>
  </si>
  <si>
    <t>10-14 Aug 26 / 17-21 Aug 26</t>
  </si>
  <si>
    <t>BINDER PREPARATION-P (BINDER PREPARATION MACHINE)</t>
  </si>
  <si>
    <t>10-14 Aug 26 / 21 Aug 26 (OT)</t>
  </si>
  <si>
    <t>10-1-031</t>
  </si>
  <si>
    <t>DRY GRANULATION-P (LOW RH) (ROLL COMPACTOR)</t>
  </si>
  <si>
    <t>20.6</t>
  </si>
  <si>
    <t>DRYING-P</t>
  </si>
  <si>
    <t>52.7</t>
  </si>
  <si>
    <t>TOOLS WASHING-P</t>
  </si>
  <si>
    <t>DISPENSING 2-P (DISPENSING ISOLATOR)</t>
  </si>
  <si>
    <t>B16L3-FSL-31</t>
  </si>
  <si>
    <t>22.6</t>
  </si>
  <si>
    <t>48.2</t>
  </si>
  <si>
    <t>16:45</t>
  </si>
  <si>
    <t>10-1-032</t>
  </si>
  <si>
    <t>12-2-023</t>
  </si>
  <si>
    <t>22.4</t>
  </si>
  <si>
    <t>60.3</t>
  </si>
  <si>
    <t>B16L3-FSL-25</t>
  </si>
  <si>
    <t>48.8</t>
  </si>
  <si>
    <t>16:31</t>
  </si>
  <si>
    <t>10-1-093</t>
  </si>
  <si>
    <t>B10L1-FSL-02</t>
  </si>
  <si>
    <t>21.4</t>
  </si>
  <si>
    <t>52.1</t>
  </si>
  <si>
    <t>B16L3-FSL-20</t>
  </si>
  <si>
    <t>10-1-033</t>
  </si>
  <si>
    <t>20.9</t>
  </si>
  <si>
    <t>52.4</t>
  </si>
  <si>
    <t>14:35</t>
  </si>
  <si>
    <t>21.1</t>
  </si>
  <si>
    <t>56.0</t>
  </si>
  <si>
    <t>10:30</t>
  </si>
  <si>
    <t>14:03</t>
  </si>
  <si>
    <t>12-2-024</t>
  </si>
  <si>
    <t>10-1-094</t>
  </si>
  <si>
    <t>B10L1-FSL-03</t>
  </si>
  <si>
    <t>51.1</t>
  </si>
  <si>
    <t>B16L3-FSL-22</t>
  </si>
  <si>
    <t>20.7</t>
  </si>
  <si>
    <t>53.0</t>
  </si>
  <si>
    <t>14:55</t>
  </si>
  <si>
    <t>10-1-034</t>
  </si>
  <si>
    <t>23.7</t>
  </si>
  <si>
    <t>49.3</t>
  </si>
  <si>
    <t>10:29</t>
  </si>
  <si>
    <t>14:02</t>
  </si>
  <si>
    <t>B10L1-FSL-04</t>
  </si>
  <si>
    <t>B16L3-FSL-15</t>
  </si>
  <si>
    <t>13:58</t>
  </si>
  <si>
    <t>12-2-025</t>
  </si>
  <si>
    <t>10-1-035</t>
  </si>
  <si>
    <t>21.6</t>
  </si>
  <si>
    <t>10-1-095</t>
  </si>
  <si>
    <t>B16L3-FSL-13</t>
  </si>
  <si>
    <t>B10L1-FSL-06</t>
  </si>
  <si>
    <t>52.5</t>
  </si>
  <si>
    <t>22.5</t>
  </si>
  <si>
    <t>45.7</t>
  </si>
  <si>
    <t>15:25</t>
  </si>
  <si>
    <t>12-2-026</t>
  </si>
  <si>
    <t>10-1-096</t>
  </si>
  <si>
    <t>B10L1-FSL-07</t>
  </si>
  <si>
    <t>52.8</t>
  </si>
  <si>
    <t>B16L3-FSL-06</t>
  </si>
  <si>
    <t>10-1-036</t>
  </si>
  <si>
    <t>21.0</t>
  </si>
  <si>
    <t>52.3</t>
  </si>
  <si>
    <t>14:45</t>
  </si>
  <si>
    <t>47.7</t>
  </si>
  <si>
    <t>10-1-097</t>
  </si>
  <si>
    <t>B10L1-FSL-10</t>
  </si>
  <si>
    <t>19.2</t>
  </si>
  <si>
    <t>57.8</t>
  </si>
  <si>
    <t>B16L3-FSL-01</t>
  </si>
  <si>
    <t>53.9</t>
  </si>
  <si>
    <t>15:12</t>
  </si>
  <si>
    <t>10-1-037</t>
  </si>
  <si>
    <t>12-2-027</t>
  </si>
  <si>
    <t>20.5</t>
  </si>
  <si>
    <t>53.8</t>
  </si>
  <si>
    <t>10:14</t>
  </si>
  <si>
    <t>13:50</t>
  </si>
  <si>
    <t>10-1-098</t>
  </si>
  <si>
    <t>B10L1-FSL-12</t>
  </si>
  <si>
    <t>B16L3-FSL-03</t>
  </si>
  <si>
    <t>15:00</t>
  </si>
  <si>
    <t>10-1-099</t>
  </si>
  <si>
    <t>10-1-039</t>
  </si>
  <si>
    <t>B10L1-FSL-14</t>
  </si>
  <si>
    <t>21.8</t>
  </si>
  <si>
    <t>10:31</t>
  </si>
  <si>
    <t>12-2-028</t>
  </si>
  <si>
    <t>B16L3-FSL-29</t>
  </si>
  <si>
    <t>20.3</t>
  </si>
  <si>
    <t>56.2</t>
  </si>
  <si>
    <t>17:00</t>
  </si>
  <si>
    <t>10-1-100</t>
  </si>
  <si>
    <t>B10L1-FSL-16</t>
  </si>
  <si>
    <t>17.3</t>
  </si>
  <si>
    <t>62.2</t>
  </si>
  <si>
    <t>10-1-040</t>
  </si>
  <si>
    <t>57.7</t>
  </si>
  <si>
    <t>B10L3-BV-33</t>
  </si>
  <si>
    <t>12-2-029</t>
  </si>
  <si>
    <t>TA69011</t>
  </si>
  <si>
    <t>9/6/2026</t>
  </si>
  <si>
    <t>10-1-107</t>
  </si>
  <si>
    <t>B10L1-FSL-20</t>
  </si>
  <si>
    <t>19.8</t>
  </si>
  <si>
    <t>38.3</t>
  </si>
  <si>
    <t>10-1-041</t>
  </si>
  <si>
    <t>14:04</t>
  </si>
  <si>
    <t>10-1-092</t>
  </si>
  <si>
    <t>B10L1-FSL-18</t>
  </si>
  <si>
    <t>21.7</t>
  </si>
  <si>
    <t>50.3</t>
  </si>
  <si>
    <t>12-2-030</t>
  </si>
  <si>
    <t>B10L1-BV-64</t>
  </si>
  <si>
    <t>10-1-042</t>
  </si>
  <si>
    <t>51.6</t>
  </si>
  <si>
    <t>10-1-091</t>
  </si>
  <si>
    <t>B10L1-FSL-19</t>
  </si>
  <si>
    <t>50</t>
  </si>
  <si>
    <t>B10L1-BV-65</t>
  </si>
  <si>
    <t>12-2-031</t>
  </si>
  <si>
    <t>10-1-108</t>
  </si>
  <si>
    <t>B10L1-FSL-21</t>
  </si>
  <si>
    <t>17.7</t>
  </si>
  <si>
    <t>65.2</t>
  </si>
  <si>
    <t>10-1-043</t>
  </si>
  <si>
    <t>53.5</t>
  </si>
  <si>
    <t>9:56</t>
  </si>
  <si>
    <t>13:40</t>
  </si>
  <si>
    <t>12-2-032</t>
  </si>
  <si>
    <t>10-1-122</t>
  </si>
  <si>
    <t>B10L1-FSL-25</t>
  </si>
  <si>
    <t>18.7</t>
  </si>
  <si>
    <t>56.4</t>
  </si>
  <si>
    <t>B10L3-BV-25</t>
  </si>
  <si>
    <t>10-1-044</t>
  </si>
  <si>
    <t>20.4</t>
  </si>
  <si>
    <t>50.1</t>
  </si>
  <si>
    <t>10:10</t>
  </si>
  <si>
    <t>13:45</t>
  </si>
  <si>
    <t>12-2-033</t>
  </si>
  <si>
    <t>10-1-121</t>
  </si>
  <si>
    <t>B10L1-FSL-27</t>
  </si>
  <si>
    <t>20.2</t>
  </si>
  <si>
    <t>53.7</t>
  </si>
  <si>
    <t>B10L3-BV-21</t>
  </si>
  <si>
    <t>10-1-045</t>
  </si>
  <si>
    <t>49.2</t>
  </si>
  <si>
    <t>10:09</t>
  </si>
  <si>
    <t>13:46</t>
  </si>
  <si>
    <t>12-2-034</t>
  </si>
  <si>
    <t>10-1-110</t>
  </si>
  <si>
    <t>B10L1-FSL-30</t>
  </si>
  <si>
    <t>18.3</t>
  </si>
  <si>
    <t>54.7</t>
  </si>
  <si>
    <t>B10L3-BV-24</t>
  </si>
  <si>
    <t>10-1-046</t>
  </si>
  <si>
    <t>50.4</t>
  </si>
  <si>
    <t>12-2-035</t>
  </si>
  <si>
    <t>B10L3-FSL-39</t>
  </si>
  <si>
    <t>23.1</t>
  </si>
  <si>
    <t>B10L3-BV-26</t>
  </si>
  <si>
    <t>10-1-047</t>
  </si>
  <si>
    <t>51.5</t>
  </si>
  <si>
    <t>12-2-036</t>
  </si>
  <si>
    <t>B10L3-FSL-40</t>
  </si>
  <si>
    <t>23.2</t>
  </si>
  <si>
    <t>60.6</t>
  </si>
  <si>
    <t>B10L3-BV-32</t>
  </si>
  <si>
    <t>10-1-049</t>
  </si>
  <si>
    <t>10:06</t>
  </si>
  <si>
    <t>10-3-058</t>
  </si>
  <si>
    <t>B10L3-FSL-29</t>
  </si>
  <si>
    <t>26.3</t>
  </si>
  <si>
    <t>12-2-037</t>
  </si>
  <si>
    <t>B10L3-BV-45</t>
  </si>
  <si>
    <t>10-1-050</t>
  </si>
  <si>
    <t>20.8</t>
  </si>
  <si>
    <t>10:07</t>
  </si>
  <si>
    <t>10-3-059</t>
  </si>
  <si>
    <t>B10L3-FSL-24</t>
  </si>
  <si>
    <t>25</t>
  </si>
  <si>
    <t>51.3</t>
  </si>
  <si>
    <t>B10L3-BV-11</t>
  </si>
  <si>
    <t>10-1-051</t>
  </si>
  <si>
    <t>50.5</t>
  </si>
  <si>
    <t>13:44</t>
  </si>
  <si>
    <t>12-2-038</t>
  </si>
  <si>
    <t>B10L3-FSL-25</t>
  </si>
  <si>
    <t>50.9</t>
  </si>
  <si>
    <t>10-1-052</t>
  </si>
  <si>
    <t>B10L1-BV-51</t>
  </si>
  <si>
    <t>22.0</t>
  </si>
  <si>
    <t>46.3</t>
  </si>
  <si>
    <t>12-2-039</t>
  </si>
  <si>
    <t>B10L3-FSL-23</t>
  </si>
  <si>
    <t>48.3</t>
  </si>
  <si>
    <t>10-1-053</t>
  </si>
  <si>
    <t>51.2</t>
  </si>
  <si>
    <t>B10L1-BV-53</t>
  </si>
  <si>
    <t>10-3-062</t>
  </si>
  <si>
    <t>B10L3-FSL-21</t>
  </si>
  <si>
    <t>26.4</t>
  </si>
  <si>
    <t>53.6</t>
  </si>
  <si>
    <t>12-2-040</t>
  </si>
  <si>
    <t>B10L1-BV-45</t>
  </si>
  <si>
    <t>10-3-063</t>
  </si>
  <si>
    <t>B10L3-FSL-20</t>
  </si>
  <si>
    <t>24.2</t>
  </si>
  <si>
    <t>64.7</t>
  </si>
  <si>
    <t>10-1-054</t>
  </si>
  <si>
    <t>51.7</t>
  </si>
  <si>
    <t>13:43</t>
  </si>
  <si>
    <t>10-3-064</t>
  </si>
  <si>
    <t>B10L3-FSL-22</t>
  </si>
  <si>
    <t>12-2-041</t>
  </si>
  <si>
    <t>24.4</t>
  </si>
  <si>
    <t>63.4</t>
  </si>
  <si>
    <t>B10-TK-01</t>
  </si>
  <si>
    <t>TECHNICAL AREA,ตึก10 ชั้น 2</t>
  </si>
  <si>
    <t>10-1-055</t>
  </si>
  <si>
    <t>16.6</t>
  </si>
  <si>
    <t>64.4</t>
  </si>
  <si>
    <t>10:04</t>
  </si>
  <si>
    <t>13:42</t>
  </si>
  <si>
    <t>B10L3-FSL-26</t>
  </si>
  <si>
    <t>47.8</t>
  </si>
  <si>
    <t>B10L3-BV-34</t>
  </si>
  <si>
    <t>12-2-042</t>
  </si>
  <si>
    <t>10-1-056</t>
  </si>
  <si>
    <t>50.8</t>
  </si>
  <si>
    <t>10:05</t>
  </si>
  <si>
    <t>B10L3-FSL-27</t>
  </si>
  <si>
    <t>B10L1-BV-08</t>
  </si>
  <si>
    <t>49.5</t>
  </si>
  <si>
    <t>TA69014</t>
  </si>
  <si>
    <t>7/21/2026</t>
  </si>
  <si>
    <t>10-1-057</t>
  </si>
  <si>
    <t>12-2-043</t>
  </si>
  <si>
    <t>Active Air</t>
  </si>
  <si>
    <t>51.0</t>
  </si>
  <si>
    <t>10-3-067</t>
  </si>
  <si>
    <t>VWR</t>
  </si>
  <si>
    <t>B10L3-FSL-28</t>
  </si>
  <si>
    <t>51.9</t>
  </si>
  <si>
    <t>B10L1-BV-13</t>
  </si>
  <si>
    <t>B10L3-FSL-10</t>
  </si>
  <si>
    <t>19.6</t>
  </si>
  <si>
    <t>59.4</t>
  </si>
  <si>
    <t>B10L1-BV-14</t>
  </si>
  <si>
    <t>10-1-058</t>
  </si>
  <si>
    <t>12-2-044</t>
  </si>
  <si>
    <t>10:03</t>
  </si>
  <si>
    <t>B10L3-FSL-09</t>
  </si>
  <si>
    <t>21.2</t>
  </si>
  <si>
    <t>28.5</t>
  </si>
  <si>
    <t>B10L1-BV-17</t>
  </si>
  <si>
    <t>10-1-059</t>
  </si>
  <si>
    <t>20.0</t>
  </si>
  <si>
    <t>54.9</t>
  </si>
  <si>
    <t>12-2-045</t>
  </si>
  <si>
    <t>B10L3-FSL-11</t>
  </si>
  <si>
    <t>B10L1-BV-21</t>
  </si>
  <si>
    <t>10-1-060</t>
  </si>
  <si>
    <t>12-2-046</t>
  </si>
  <si>
    <t>47.5</t>
  </si>
  <si>
    <t>B10L3-FSL-05</t>
  </si>
  <si>
    <t>B10L1-BV-29</t>
  </si>
  <si>
    <t>10-1-061</t>
  </si>
  <si>
    <t>B10L3-FSL-06</t>
  </si>
  <si>
    <t>12-2-047</t>
  </si>
  <si>
    <t>46.2</t>
  </si>
  <si>
    <t>13:41</t>
  </si>
  <si>
    <t>10-3-086</t>
  </si>
  <si>
    <t>B10L3-FSL-07</t>
  </si>
  <si>
    <t>B10L1-BV-34</t>
  </si>
  <si>
    <t>10-1-062</t>
  </si>
  <si>
    <t>21.9</t>
  </si>
  <si>
    <t>43.3</t>
  </si>
  <si>
    <t>10:00</t>
  </si>
  <si>
    <t>12-2-048</t>
  </si>
  <si>
    <t>10-3-104</t>
  </si>
  <si>
    <t>B10L3-FSL-30</t>
  </si>
  <si>
    <t>59.5</t>
  </si>
  <si>
    <t>B10L1-BV-37</t>
  </si>
  <si>
    <t>10-1-063</t>
  </si>
  <si>
    <t>20.1</t>
  </si>
  <si>
    <t>B10L3-FSL-12</t>
  </si>
  <si>
    <t>0</t>
  </si>
  <si>
    <t>12-2-049</t>
  </si>
  <si>
    <t>10-1-064</t>
  </si>
  <si>
    <t>B10L3-FSL-31</t>
  </si>
  <si>
    <t>70.3</t>
  </si>
  <si>
    <t>55.9</t>
  </si>
  <si>
    <t>B10L3-FSL-33</t>
  </si>
  <si>
    <t>23</t>
  </si>
  <si>
    <t>71.5</t>
  </si>
  <si>
    <t>10-1-065</t>
  </si>
  <si>
    <t>12-2-050</t>
  </si>
  <si>
    <t>19.5</t>
  </si>
  <si>
    <t>27.2</t>
  </si>
  <si>
    <t>10:02</t>
  </si>
  <si>
    <t>B10L1-BV-44</t>
  </si>
  <si>
    <t>B10L3-FSL-36</t>
  </si>
  <si>
    <t>23.4</t>
  </si>
  <si>
    <t>74.9</t>
  </si>
  <si>
    <t>10-1-067</t>
  </si>
  <si>
    <t>19.3</t>
  </si>
  <si>
    <t>34.3</t>
  </si>
  <si>
    <t>12-2-051</t>
  </si>
  <si>
    <t>10:01</t>
  </si>
  <si>
    <t>B10L1-BV-50</t>
  </si>
  <si>
    <t>B10L3-FSL-13</t>
  </si>
  <si>
    <t>76.7</t>
  </si>
  <si>
    <t>B10L1-FSL-22</t>
  </si>
  <si>
    <t>10-1-068</t>
  </si>
  <si>
    <t>47.6</t>
  </si>
  <si>
    <t>10-3-124</t>
  </si>
  <si>
    <t>12-2-052</t>
  </si>
  <si>
    <t>B10L3-FSL-41</t>
  </si>
  <si>
    <t>55.5</t>
  </si>
  <si>
    <t>B10L1-BV-57</t>
  </si>
  <si>
    <t>B10L1-FSL-29</t>
  </si>
  <si>
    <t>19.4</t>
  </si>
  <si>
    <t>72.0</t>
  </si>
  <si>
    <t>10:21</t>
  </si>
  <si>
    <t>13:54</t>
  </si>
  <si>
    <t>B10L3-FSL-35</t>
  </si>
  <si>
    <t>B10L1-BV-55</t>
  </si>
  <si>
    <t>77.4</t>
  </si>
  <si>
    <t>12-2-053</t>
  </si>
  <si>
    <t>B10L3-FSL-34</t>
  </si>
  <si>
    <t>72.6</t>
  </si>
  <si>
    <t>71.7</t>
  </si>
  <si>
    <t>12-2-054</t>
  </si>
  <si>
    <t>B10L3-FSL-32</t>
  </si>
  <si>
    <t>75.2</t>
  </si>
  <si>
    <t>B10L1-FSL-23</t>
  </si>
  <si>
    <t>B10L3-FSL-19</t>
  </si>
  <si>
    <t>61.8</t>
  </si>
  <si>
    <t>17.6</t>
  </si>
  <si>
    <t>79.4</t>
  </si>
  <si>
    <t>13:55</t>
  </si>
  <si>
    <t>12-2-055</t>
  </si>
  <si>
    <t>B10L1-BV-58</t>
  </si>
  <si>
    <t>B10L3-FSL-18</t>
  </si>
  <si>
    <t>22.8</t>
  </si>
  <si>
    <t>46</t>
  </si>
  <si>
    <t>72.9</t>
  </si>
  <si>
    <t>10:22</t>
  </si>
  <si>
    <t>12-2-056</t>
  </si>
  <si>
    <t>10-3-144</t>
  </si>
  <si>
    <t>B10L3-FSL-17</t>
  </si>
  <si>
    <t>23.5</t>
  </si>
  <si>
    <t>43.9</t>
  </si>
  <si>
    <t>B10L1-BV-24</t>
  </si>
  <si>
    <t>12-2-057</t>
  </si>
  <si>
    <t>85.5</t>
  </si>
  <si>
    <t>13:56</t>
  </si>
  <si>
    <t>B10L3-FSL-16</t>
  </si>
  <si>
    <t>22</t>
  </si>
  <si>
    <t>B10L1-BV-48</t>
  </si>
  <si>
    <t>58.2</t>
  </si>
  <si>
    <t>12-2-058</t>
  </si>
  <si>
    <t>17.8</t>
  </si>
  <si>
    <t>79.3</t>
  </si>
  <si>
    <t>10:23</t>
  </si>
  <si>
    <t>B10L1-BV-49</t>
  </si>
  <si>
    <t>10-1-101</t>
  </si>
  <si>
    <t>29.7</t>
  </si>
  <si>
    <t>B10L1-BV-59</t>
  </si>
  <si>
    <t>B10L1-FSL-31</t>
  </si>
  <si>
    <t>10:24</t>
  </si>
  <si>
    <t>12-2-059</t>
  </si>
  <si>
    <t>B10L3-FSL-15</t>
  </si>
  <si>
    <t>63.8</t>
  </si>
  <si>
    <t>14.6</t>
  </si>
  <si>
    <t>76.5</t>
  </si>
  <si>
    <t>B10L3-FSL-08</t>
  </si>
  <si>
    <t>22.3</t>
  </si>
  <si>
    <t>58.5</t>
  </si>
  <si>
    <t>12-2-060</t>
  </si>
  <si>
    <t>B10L3-FSL-14</t>
  </si>
  <si>
    <t>15.3</t>
  </si>
  <si>
    <t>72.7</t>
  </si>
  <si>
    <t>10:25</t>
  </si>
  <si>
    <t>B10L1-BV-67</t>
  </si>
  <si>
    <t>B10L3-FSL-01</t>
  </si>
  <si>
    <t>Booth-B</t>
  </si>
  <si>
    <t>23.6</t>
  </si>
  <si>
    <t>54.3</t>
  </si>
  <si>
    <t>B10L1-BV-68</t>
  </si>
  <si>
    <t>10-1-102</t>
  </si>
  <si>
    <t>16.4</t>
  </si>
  <si>
    <t>B10L3-FSL-02</t>
  </si>
  <si>
    <t>23.8</t>
  </si>
  <si>
    <t>10-1-106</t>
  </si>
  <si>
    <t>12-2-061</t>
  </si>
  <si>
    <t>10:20</t>
  </si>
  <si>
    <t>13:53</t>
  </si>
  <si>
    <t>TA69015</t>
  </si>
  <si>
    <t>8/11/2026</t>
  </si>
  <si>
    <t>B10L3-FSL-04</t>
  </si>
  <si>
    <t>error</t>
  </si>
  <si>
    <t>19.0</t>
  </si>
  <si>
    <t>28.4</t>
  </si>
  <si>
    <t>10-1-117</t>
  </si>
  <si>
    <t>B10L1-FSL-33</t>
  </si>
  <si>
    <t>19.9</t>
  </si>
  <si>
    <t>70.5</t>
  </si>
  <si>
    <t>10:19</t>
  </si>
  <si>
    <t>B10L1-FSL-34</t>
  </si>
  <si>
    <t>12-2-062</t>
  </si>
  <si>
    <t>10-1-109</t>
  </si>
  <si>
    <t>18.4</t>
  </si>
  <si>
    <t>57.0</t>
  </si>
  <si>
    <t>10:9</t>
  </si>
  <si>
    <t>B10L1-FSL-36</t>
  </si>
  <si>
    <t>12-2-063</t>
  </si>
  <si>
    <t>B10L1-FSL-37</t>
  </si>
  <si>
    <t>56.5</t>
  </si>
  <si>
    <t>13:52</t>
  </si>
  <si>
    <t>12-2-064</t>
  </si>
  <si>
    <t>10-2-037</t>
  </si>
  <si>
    <t>B10-AIR RECIEVER TANK FL.2</t>
  </si>
  <si>
    <t>10-1-111</t>
  </si>
  <si>
    <t>84.4</t>
  </si>
  <si>
    <t>12-2-065</t>
  </si>
  <si>
    <t>10-1-126</t>
  </si>
  <si>
    <t>10-1-112</t>
  </si>
  <si>
    <t>57.6</t>
  </si>
  <si>
    <t>10:16</t>
  </si>
  <si>
    <t>13:51</t>
  </si>
  <si>
    <t>12-2-066</t>
  </si>
  <si>
    <t>10-1-113</t>
  </si>
  <si>
    <t>10:17</t>
  </si>
  <si>
    <t>12-2-067</t>
  </si>
  <si>
    <t>16-1-077</t>
  </si>
  <si>
    <t>B16L1-FSL-17</t>
  </si>
  <si>
    <t>AC-26-0001</t>
  </si>
  <si>
    <t>10-1-114</t>
  </si>
  <si>
    <t>18.6</t>
  </si>
  <si>
    <t>57.5</t>
  </si>
  <si>
    <t>12-2-068</t>
  </si>
  <si>
    <t>16-1-082</t>
  </si>
  <si>
    <t>B16L1-FSL-04</t>
  </si>
  <si>
    <t>12-2-069</t>
  </si>
  <si>
    <t>10-1-115</t>
  </si>
  <si>
    <t>16-1-083</t>
  </si>
  <si>
    <t>B16L1-FSL-05</t>
  </si>
  <si>
    <t>56.6</t>
  </si>
  <si>
    <t>10:18</t>
  </si>
  <si>
    <t>12-2-082</t>
  </si>
  <si>
    <t>16-1-096</t>
  </si>
  <si>
    <t>B16L1-FSL-20</t>
  </si>
  <si>
    <t>10-1-116</t>
  </si>
  <si>
    <t>12-2-083</t>
  </si>
  <si>
    <t>16-1-098</t>
  </si>
  <si>
    <t>B16L1-FSL-11</t>
  </si>
  <si>
    <t>18.5</t>
  </si>
  <si>
    <t>56.3</t>
  </si>
  <si>
    <t>16-1-075</t>
  </si>
  <si>
    <t>16-1-105</t>
  </si>
  <si>
    <t>Machine-M</t>
  </si>
  <si>
    <t>B16L1-FSL-07</t>
  </si>
  <si>
    <t>MAS-100 NT</t>
  </si>
  <si>
    <t>41.8</t>
  </si>
  <si>
    <t>TA69009</t>
  </si>
  <si>
    <t>4/22/2026</t>
  </si>
  <si>
    <t>10-1-119</t>
  </si>
  <si>
    <t>16.0</t>
  </si>
  <si>
    <t>16-1-107</t>
  </si>
  <si>
    <t>69.6</t>
  </si>
  <si>
    <t>16-1-076</t>
  </si>
  <si>
    <t>B16L1-FSL-06</t>
  </si>
  <si>
    <t>52.0</t>
  </si>
  <si>
    <t>10-1-120</t>
  </si>
  <si>
    <t>16-1-109</t>
  </si>
  <si>
    <t>Laminar-L</t>
  </si>
  <si>
    <t>B16L1-FSL-08</t>
  </si>
  <si>
    <t>17.4</t>
  </si>
  <si>
    <t>60.1</t>
  </si>
  <si>
    <t>16-1-084</t>
  </si>
  <si>
    <t>51.4</t>
  </si>
  <si>
    <t>16-1-114</t>
  </si>
  <si>
    <t>B16L1-FSL-16</t>
  </si>
  <si>
    <t>14:01</t>
  </si>
  <si>
    <t>12-1-063</t>
  </si>
  <si>
    <t>B12L1-FSL-13</t>
  </si>
  <si>
    <t>43.7</t>
  </si>
  <si>
    <t>11:28</t>
  </si>
  <si>
    <t>AC-26-0003</t>
  </si>
  <si>
    <t>18.1</t>
  </si>
  <si>
    <t>10:28</t>
  </si>
  <si>
    <t>16-1-102</t>
  </si>
  <si>
    <t>22.1</t>
  </si>
  <si>
    <t>46.6</t>
  </si>
  <si>
    <t>12-1-064</t>
  </si>
  <si>
    <t>B12L1-FSL-11</t>
  </si>
  <si>
    <t>22.9</t>
  </si>
  <si>
    <t>45.1</t>
  </si>
  <si>
    <t>11:14</t>
  </si>
  <si>
    <t>10-1-123</t>
  </si>
  <si>
    <t>12-3-049</t>
  </si>
  <si>
    <t>12-1-065</t>
  </si>
  <si>
    <t>B12L1-FSL-12</t>
  </si>
  <si>
    <t>21.3</t>
  </si>
  <si>
    <t>44.6</t>
  </si>
  <si>
    <t>10:39</t>
  </si>
  <si>
    <t>10-1-124</t>
  </si>
  <si>
    <t>12-3-050</t>
  </si>
  <si>
    <t>55.1</t>
  </si>
  <si>
    <t>12-1-069</t>
  </si>
  <si>
    <t>B12L1-FSL-06</t>
  </si>
  <si>
    <t>38</t>
  </si>
  <si>
    <t>10:55</t>
  </si>
  <si>
    <t>10-1-125</t>
  </si>
  <si>
    <t>12-3-053</t>
  </si>
  <si>
    <t>59.2</t>
  </si>
  <si>
    <t>13:59</t>
  </si>
  <si>
    <t>12-1-070</t>
  </si>
  <si>
    <t>B12L1-FSL-07</t>
  </si>
  <si>
    <t>12-3-053-BSC</t>
  </si>
  <si>
    <t>12-1-074</t>
  </si>
  <si>
    <t>B12L1-FSL-05</t>
  </si>
  <si>
    <t>49.1</t>
  </si>
  <si>
    <t>14:15</t>
  </si>
  <si>
    <t>57.3</t>
  </si>
  <si>
    <t>10:26</t>
  </si>
  <si>
    <t>12-3-054</t>
  </si>
  <si>
    <t>B12L2-FSL-03</t>
  </si>
  <si>
    <t>14:48</t>
  </si>
  <si>
    <t>10-1-128</t>
  </si>
  <si>
    <t>12-3-054-BSC</t>
  </si>
  <si>
    <t>B12L2-FSL-04</t>
  </si>
  <si>
    <t>14:30</t>
  </si>
  <si>
    <t>10-1-129</t>
  </si>
  <si>
    <t>10:32</t>
  </si>
  <si>
    <t>มียุง</t>
  </si>
  <si>
    <t>12-3-055</t>
  </si>
  <si>
    <t>42.2</t>
  </si>
  <si>
    <t>AC-26-0002</t>
  </si>
  <si>
    <t>57.4</t>
  </si>
  <si>
    <t>15:13</t>
  </si>
  <si>
    <t>18:43</t>
  </si>
  <si>
    <t>TA69004</t>
  </si>
  <si>
    <t>12/29/2025</t>
  </si>
  <si>
    <t>AT-26-0002</t>
  </si>
  <si>
    <t>16-1-069</t>
  </si>
  <si>
    <t>B12L2-FSL-05</t>
  </si>
  <si>
    <t>46.9</t>
  </si>
  <si>
    <t>AC-26-0004</t>
  </si>
  <si>
    <t>B12L2-FSL-08</t>
  </si>
  <si>
    <t>16-1-070</t>
  </si>
  <si>
    <t>55.2</t>
  </si>
  <si>
    <t>15:15</t>
  </si>
  <si>
    <t>B12L2-FSL-09</t>
  </si>
  <si>
    <t>Bld</t>
  </si>
  <si>
    <t>Floor</t>
  </si>
  <si>
    <t>Room Name</t>
  </si>
  <si>
    <t>Remark</t>
  </si>
  <si>
    <t>B12L2-FSL-07</t>
  </si>
  <si>
    <t>BLISTER PACKING 1</t>
  </si>
  <si>
    <t>D</t>
  </si>
  <si>
    <t>BLISTER PACKING 2</t>
  </si>
  <si>
    <t>16-1-071</t>
  </si>
  <si>
    <t>BLISTER PACKING 3</t>
  </si>
  <si>
    <t>BLISTER PACKING 4</t>
  </si>
  <si>
    <t>BLISTER PACKING 5</t>
  </si>
  <si>
    <t>BLISTER PACKING 6</t>
  </si>
  <si>
    <t>B12L2-FSL-06</t>
  </si>
  <si>
    <t>BLISTER PACKING 4 (LOW RH)</t>
  </si>
  <si>
    <t>BLISTER PACKING 5 (LOW RH)</t>
  </si>
  <si>
    <t>POS FILLING (LOW RH)</t>
  </si>
  <si>
    <t>15:16</t>
  </si>
  <si>
    <t>18:44</t>
  </si>
  <si>
    <t>BOTTLE CLEANING</t>
  </si>
  <si>
    <t>STRIP PACKING 1 (LOW RH)</t>
  </si>
  <si>
    <t>SACHET PACKING (LOW RH)</t>
  </si>
  <si>
    <t>BOTTLE FILLING (LOW RH)</t>
  </si>
  <si>
    <t>TABLETS INSPECTION 2</t>
  </si>
  <si>
    <t>B12L2-FSL-17</t>
  </si>
  <si>
    <t>16.8</t>
  </si>
  <si>
    <t>58.7</t>
  </si>
  <si>
    <t>TABLETS INSPECTION 1 (LOW RH)</t>
  </si>
  <si>
    <t>9:55</t>
  </si>
  <si>
    <t>16-1-072</t>
  </si>
  <si>
    <t>USED EQUIPMENT</t>
  </si>
  <si>
    <t>STRIP PACKING 3</t>
  </si>
  <si>
    <t>STRIP PACKING 2</t>
  </si>
  <si>
    <t>BOTTLE CLEANING-P</t>
  </si>
  <si>
    <t>BOTTLE FILLING-P (LOW RH)</t>
  </si>
  <si>
    <t>STRIP PACKING-P (LOW RH)</t>
  </si>
  <si>
    <t>BLISTER PACKING-P (LOW RH)</t>
  </si>
  <si>
    <t>TABLETS INSPECTION 1</t>
  </si>
  <si>
    <t>COATING 1</t>
  </si>
  <si>
    <t>COATING SOLUTION PREPARATION 1</t>
  </si>
  <si>
    <t>B10L3-BV-28</t>
  </si>
  <si>
    <t>B12L2-FSL-11</t>
  </si>
  <si>
    <t>24.3</t>
  </si>
  <si>
    <t>COATING SOLUTION PREPARATION 2</t>
  </si>
  <si>
    <t>37.9</t>
  </si>
  <si>
    <t>14:58</t>
  </si>
  <si>
    <t>COATING 2</t>
  </si>
  <si>
    <t>COATING 3</t>
  </si>
  <si>
    <t>COATING 4</t>
  </si>
  <si>
    <t>16-1-073</t>
  </si>
  <si>
    <t>COATING 5</t>
  </si>
  <si>
    <t>COATING SOLUTION PREPARATION 3</t>
  </si>
  <si>
    <t>COATING SOLUTION PREPARATION 4</t>
  </si>
  <si>
    <t>SHB04</t>
  </si>
  <si>
    <t>COATING 6</t>
  </si>
  <si>
    <t>DRY GRANULATION 1</t>
  </si>
  <si>
    <t>DRY GRANULATION 2 (LOW RH)</t>
  </si>
  <si>
    <t>DRY GRANULATION 3 (LOW RH)</t>
  </si>
  <si>
    <t>B12L2-FSL-10</t>
  </si>
  <si>
    <t>38.8</t>
  </si>
  <si>
    <t>14:28</t>
  </si>
  <si>
    <t>TOOL WASHING</t>
  </si>
  <si>
    <t>BINDER PREPARATION</t>
  </si>
  <si>
    <t>COMPRESSION 1</t>
  </si>
  <si>
    <t>COMPRESSION 2</t>
  </si>
  <si>
    <t>COMPRESSION 3 (LOW RH)</t>
  </si>
  <si>
    <t>COMPRESSION 4</t>
  </si>
  <si>
    <t>COMPRESSION 5</t>
  </si>
  <si>
    <t>COMPRESSION 6</t>
  </si>
  <si>
    <t>COMPRESSION 7</t>
  </si>
  <si>
    <t>16-1-074</t>
  </si>
  <si>
    <t>COMPRESSION 8</t>
  </si>
  <si>
    <t>TABLET INSPECTION-P (LOW RH)</t>
  </si>
  <si>
    <t>B12L2-FSL-20</t>
  </si>
  <si>
    <t>COATING SOLUTION PREPARATION-P</t>
  </si>
  <si>
    <t>COATING-P</t>
  </si>
  <si>
    <t>COMPRESSION 1-P (LOW RH)</t>
  </si>
  <si>
    <t>COMPRESSION 2-P</t>
  </si>
  <si>
    <t>BINDER PREPARATION-P</t>
  </si>
  <si>
    <t>DRY GRANULATION-P (LOW RH)</t>
  </si>
  <si>
    <t>DISPENSING 2-P</t>
  </si>
  <si>
    <t>10-2-999</t>
  </si>
  <si>
    <t>TECHNICAL AREA Bld.10</t>
  </si>
  <si>
    <t>11-2-013</t>
  </si>
  <si>
    <t>TECHNICAL AREA Bld.11</t>
  </si>
  <si>
    <t>B11-AIR RECIEVER TANK FL.2</t>
  </si>
  <si>
    <t>15:21</t>
  </si>
  <si>
    <t>18:46</t>
  </si>
  <si>
    <t>B12L2-FSL-12</t>
  </si>
  <si>
    <t>36.1</t>
  </si>
  <si>
    <t>14:10</t>
  </si>
  <si>
    <t>WASHING</t>
  </si>
  <si>
    <t>BOTTLE CLEANING 1</t>
  </si>
  <si>
    <t>BOTTLE CLEANING 2</t>
  </si>
  <si>
    <t>BOTTLE CLEANING 3</t>
  </si>
  <si>
    <t>BOTTLE CLEANING 4</t>
  </si>
  <si>
    <t>12-1-078</t>
  </si>
  <si>
    <t>SOLVENTS UNLOADING</t>
  </si>
  <si>
    <t>B12L1-FSL-02</t>
  </si>
  <si>
    <t>LIQUORICE EXTRACT</t>
  </si>
  <si>
    <t>B12L2-FSL-16</t>
  </si>
  <si>
    <t>OPIUM TINCTURE</t>
  </si>
  <si>
    <t>CAMPHORATED OPIUM TINCTURE</t>
  </si>
  <si>
    <t>46.0</t>
  </si>
  <si>
    <t>SYRUP PREPARATION</t>
  </si>
  <si>
    <t>11:00</t>
  </si>
  <si>
    <t>CIP 1</t>
  </si>
  <si>
    <t>AC-26-0005</t>
  </si>
  <si>
    <t>MFG 1</t>
  </si>
  <si>
    <t>61.4</t>
  </si>
  <si>
    <t>15:19</t>
  </si>
  <si>
    <t>MFG 2</t>
  </si>
  <si>
    <t>18:45</t>
  </si>
  <si>
    <t>MFG 3</t>
  </si>
  <si>
    <t>MFG 4</t>
  </si>
  <si>
    <t>STAGING 3</t>
  </si>
  <si>
    <t>B12L2-FSL-15</t>
  </si>
  <si>
    <t>CIP 3</t>
  </si>
  <si>
    <t>B12L2-FSL-14</t>
  </si>
  <si>
    <t>STAGING 2</t>
  </si>
  <si>
    <t>B12L2-FSL-13</t>
  </si>
  <si>
    <t>CIP 2</t>
  </si>
  <si>
    <t>44.5</t>
  </si>
  <si>
    <t>10:45</t>
  </si>
  <si>
    <t>STAGING 1</t>
  </si>
  <si>
    <t>FILTRATION 2</t>
  </si>
  <si>
    <t>A</t>
  </si>
  <si>
    <t>FILTRATION 1</t>
  </si>
  <si>
    <t>WASHING / TUNNEL 2</t>
  </si>
  <si>
    <t>CIP/SIP</t>
  </si>
  <si>
    <t>WASHING / TUNNEL 1</t>
  </si>
  <si>
    <t>57.9</t>
  </si>
  <si>
    <t>COMPOUNDING 1</t>
  </si>
  <si>
    <t>15:18</t>
  </si>
  <si>
    <t>41.0</t>
  </si>
  <si>
    <t>COMPOUNDING 2</t>
  </si>
  <si>
    <t>16-2-011</t>
  </si>
  <si>
    <t>TECHNICAL AREA Bld.16</t>
  </si>
  <si>
    <t>16-3-067</t>
  </si>
  <si>
    <t>B16L3-FSL-05</t>
  </si>
  <si>
    <t>16-3-071</t>
  </si>
  <si>
    <t>16-3-073</t>
  </si>
  <si>
    <t>16-3-075</t>
  </si>
  <si>
    <t>MFG 5</t>
  </si>
  <si>
    <t>B16L3-FSL-28</t>
  </si>
  <si>
    <t>16-3-080</t>
  </si>
  <si>
    <t>STAGING 6</t>
  </si>
  <si>
    <t>16-3-083</t>
  </si>
  <si>
    <t>STAGING 5</t>
  </si>
  <si>
    <t>16-3-085</t>
  </si>
  <si>
    <t>44.4</t>
  </si>
  <si>
    <t>16-3-086</t>
  </si>
  <si>
    <t>STAGING 4</t>
  </si>
  <si>
    <t>16-3-087</t>
  </si>
  <si>
    <t>16-3-088</t>
  </si>
  <si>
    <t>16-3-090</t>
  </si>
  <si>
    <t>58.6</t>
  </si>
  <si>
    <t>15:20</t>
  </si>
  <si>
    <t>16-3-091</t>
  </si>
  <si>
    <t>B16L3-FSL-04</t>
  </si>
  <si>
    <t>16-3-093</t>
  </si>
  <si>
    <t>PPM CLEANING</t>
  </si>
  <si>
    <t>B16L3-FSL-02</t>
  </si>
  <si>
    <t>40.0</t>
  </si>
  <si>
    <t>9:40</t>
  </si>
  <si>
    <t>16-3-096</t>
  </si>
  <si>
    <t>FILLING 1</t>
  </si>
  <si>
    <t>B16L3-FSL-10</t>
  </si>
  <si>
    <t>B16L3-FSL-11</t>
  </si>
  <si>
    <t>16-3-109</t>
  </si>
  <si>
    <t>FILLING 7</t>
  </si>
  <si>
    <t>B16L1-N2-BV-11</t>
  </si>
  <si>
    <t>N2</t>
  </si>
  <si>
    <t>B16L1-N2-BV-12</t>
  </si>
  <si>
    <t>B16L1-N2-BV-13</t>
  </si>
  <si>
    <t>16-1-110</t>
  </si>
  <si>
    <t>DISINFECTANT PREPARATION</t>
  </si>
  <si>
    <t>B16L1-N2-BV-17</t>
  </si>
  <si>
    <t>B16L1-N2-BV-14</t>
  </si>
  <si>
    <t>B16L1-N2-BV-15</t>
  </si>
  <si>
    <t>FILLING 2</t>
  </si>
  <si>
    <t>B16L1-N2-BV-16</t>
  </si>
  <si>
    <t>58.4</t>
  </si>
  <si>
    <t>AC-26-0006</t>
  </si>
  <si>
    <t>15:48</t>
  </si>
  <si>
    <t>AC-26-0007</t>
  </si>
  <si>
    <t>39.2</t>
  </si>
  <si>
    <t>15:17</t>
  </si>
  <si>
    <t>15:23</t>
  </si>
  <si>
    <t>18:47</t>
  </si>
  <si>
    <t>AC-26-0010</t>
  </si>
  <si>
    <t>15:22</t>
  </si>
  <si>
    <t>16-1-078</t>
  </si>
  <si>
    <t>AC-26-0008</t>
  </si>
  <si>
    <t>SHB01</t>
  </si>
  <si>
    <t>15:26</t>
  </si>
  <si>
    <t>18:48</t>
  </si>
  <si>
    <t>AC-26-0009</t>
  </si>
  <si>
    <t>16-1-079</t>
  </si>
  <si>
    <t>AIRLOCK</t>
  </si>
  <si>
    <t>Building 10</t>
  </si>
  <si>
    <t>Floor 1</t>
  </si>
  <si>
    <t>Active Air-A</t>
  </si>
  <si>
    <t>16-1-080</t>
  </si>
  <si>
    <t>cfu/m3</t>
  </si>
  <si>
    <t>45.8</t>
  </si>
  <si>
    <t>BULK STAGING 1</t>
  </si>
  <si>
    <t>Active Air-B</t>
  </si>
  <si>
    <t>B</t>
  </si>
  <si>
    <t>BULK STAGING 2</t>
  </si>
  <si>
    <t>Active Air-C</t>
  </si>
  <si>
    <t>C</t>
  </si>
  <si>
    <t>JANITOR</t>
  </si>
  <si>
    <t>Active Air-D</t>
  </si>
  <si>
    <t>LINEN DRY</t>
  </si>
  <si>
    <t>Settle Plate-A</t>
  </si>
  <si>
    <t>cfu/plate</t>
  </si>
  <si>
    <t>LINEN WASHING</t>
  </si>
  <si>
    <t>Settle Plate-B</t>
  </si>
  <si>
    <t>16-1-081</t>
  </si>
  <si>
    <t>CORRIDOR</t>
  </si>
  <si>
    <t>Settle Plate-C</t>
  </si>
  <si>
    <t>PROCESS CHANGE</t>
  </si>
  <si>
    <t>49.9</t>
  </si>
  <si>
    <t>Settle Plate-D</t>
  </si>
  <si>
    <t>10-1-038</t>
  </si>
  <si>
    <t>VISITOR PROCESS CHANGE</t>
  </si>
  <si>
    <t>IPQC</t>
  </si>
  <si>
    <t>SCRAP OUT</t>
  </si>
  <si>
    <t>OFFICE</t>
  </si>
  <si>
    <t>18:49</t>
  </si>
  <si>
    <t>PROCESS CHANGE-P</t>
  </si>
  <si>
    <t>LINEN WASHING-P</t>
  </si>
  <si>
    <t>LINEN DRY-P</t>
  </si>
  <si>
    <t>CORRIDOR-P</t>
  </si>
  <si>
    <t>PROCESS CHANGE EXIT-P</t>
  </si>
  <si>
    <t>AIR LOCK-P</t>
  </si>
  <si>
    <t>SCRAP OUT-P</t>
  </si>
  <si>
    <t>24.9</t>
  </si>
  <si>
    <t>37.8</t>
  </si>
  <si>
    <t>MAL-P</t>
  </si>
  <si>
    <t>OFFICE-P</t>
  </si>
  <si>
    <t>IPQC-P</t>
  </si>
  <si>
    <t>USED EQUIPMENT-P</t>
  </si>
  <si>
    <t>PPM STAGING-P</t>
  </si>
  <si>
    <t>25.1</t>
  </si>
  <si>
    <t>46.4</t>
  </si>
  <si>
    <t>15:27</t>
  </si>
  <si>
    <t>WASHING-P</t>
  </si>
  <si>
    <t>JANITOR-P</t>
  </si>
  <si>
    <t>29/12/2025</t>
  </si>
  <si>
    <t>CLEANED EQUIPMENT-P</t>
  </si>
  <si>
    <t>AC-26-0011</t>
  </si>
  <si>
    <t>BULK STAGING-P</t>
  </si>
  <si>
    <t>BOTTLE FILLING-P (LOW RH) (BOTTLE FILLING LINE)</t>
  </si>
  <si>
    <t>BLISTER PACKING-P (LOW RH) (BLISTER PACKING MACHINE)</t>
  </si>
  <si>
    <t>STRIP PACKING-P (LOW RH) (DRUM TIPPER) &amp; (STRIP PACKING MACHINE)</t>
  </si>
  <si>
    <t>BOTTLE CLEANING (BOTTLE CLEANING MACHINE)</t>
  </si>
  <si>
    <t>POS FILLING (LOW RH) (BOTTLE FILLING MACHINE)</t>
  </si>
  <si>
    <t>BLISTER PACKING 1 (BLISTER PACKING MACHINE)</t>
  </si>
  <si>
    <t>BLISTER PACKING 2 (DRUM TIPPER)  (BLISTER PACKING MACHINE)</t>
  </si>
  <si>
    <t>BLISTER PACKING 3 (BLISTER PACKING MACHINE)</t>
  </si>
  <si>
    <t>BLISTER PACKING 4 (BLISTER PACKING MACHINE)</t>
  </si>
  <si>
    <t>58.0</t>
  </si>
  <si>
    <t>15:24</t>
  </si>
  <si>
    <t>BLISTER PACKING 5 (BLISTER PACKING MACHINE)</t>
  </si>
  <si>
    <t>BLISTER PACKING 6 (BLISTER PACKING MACHINE)</t>
  </si>
  <si>
    <t>BLISTER PACKING 4 (LOW RH) (BLISTER PACKING MACHINE)</t>
  </si>
  <si>
    <t>BLISTER PACKING 5 (LOW RH) (BLISTER PACKING MACHINE)</t>
  </si>
  <si>
    <t>BOTTLE FILLING (LOW RH) (BOTTLE FILLING MACHINE)</t>
  </si>
  <si>
    <t>PPM STAGING</t>
  </si>
  <si>
    <t>STRIP PACKING 1 (LOW RH) (DRUM TIPPER) &amp; (STRIP PACKING MACHINE)</t>
  </si>
  <si>
    <t>SACHET PACKING (LOW RH) (STRIP PACKING MACHINE)</t>
  </si>
  <si>
    <t>STRIP PACKING 2 (DRUM TIPPER) &amp; (STRIP PACKING MACHINE)</t>
  </si>
  <si>
    <t>STRIP PACKING 3 (DRUM TIPPER) &amp; (STRIP PACKING MACHINE)</t>
  </si>
  <si>
    <t>CHANGE PARTS STORAGE</t>
  </si>
  <si>
    <t>CLEANED EQUIPMENT</t>
  </si>
  <si>
    <t>59.3</t>
  </si>
  <si>
    <t>BULK STAGING 3</t>
  </si>
  <si>
    <t>TABLETS INSPECTION 1 (LOW RH) (TABLET INSPECTIONMACHINE)</t>
  </si>
  <si>
    <t>TABLETS INSPECTION 2 (TABLET INSPECTION MACHINE)</t>
  </si>
  <si>
    <t>AIR LOCK</t>
  </si>
  <si>
    <t>PPM STAGNG</t>
  </si>
  <si>
    <t>MAL</t>
  </si>
  <si>
    <t>10-1-130</t>
  </si>
  <si>
    <t>10-3-040</t>
  </si>
  <si>
    <t>Floor 3</t>
  </si>
  <si>
    <t>10-3-041</t>
  </si>
  <si>
    <t>10-3-042</t>
  </si>
  <si>
    <t>55.4</t>
  </si>
  <si>
    <t>10-3-043</t>
  </si>
  <si>
    <t>10-3-044</t>
  </si>
  <si>
    <t>LINEN STORAGE</t>
  </si>
  <si>
    <t>10-3-045</t>
  </si>
  <si>
    <t>10-3-046</t>
  </si>
  <si>
    <t>10-3-047</t>
  </si>
  <si>
    <t>10-3-048</t>
  </si>
  <si>
    <t>BULK STAGING 4</t>
  </si>
  <si>
    <t>10-3-049</t>
  </si>
  <si>
    <t>TABLETS INSPECTION 1  (TABLET INSPECTION MACHINE) &amp; (DRUM TIPPER)</t>
  </si>
  <si>
    <t>10-3-051</t>
  </si>
  <si>
    <t>TABLETS INSPECTION 2  (TABLET INSPECTION MACHINE) &amp; (DRUM TIPPER)</t>
  </si>
  <si>
    <t>10-3-053</t>
  </si>
  <si>
    <t>10-3-054</t>
  </si>
  <si>
    <t>10-3-055</t>
  </si>
  <si>
    <t>10-3-056</t>
  </si>
  <si>
    <t>10-3-057</t>
  </si>
  <si>
    <t>COATING SOLUTION PREPARATION 1  (SOLUTION PREPARATION TANK)</t>
  </si>
  <si>
    <t>21.5</t>
  </si>
  <si>
    <t>57.1</t>
  </si>
  <si>
    <t>COATING SOLUTION PREPARATION 2  (SOLUTION PREPARATION TANK)</t>
  </si>
  <si>
    <t>COATING SOLUTION PREPARATION 3  (SOLUTION PREPARATION TANK)</t>
  </si>
  <si>
    <t>COATING SOLUTION PREPARATION 4  (SOLUTION PREPARATION TANK)</t>
  </si>
  <si>
    <t>16-1-085</t>
  </si>
  <si>
    <t>10-3-068</t>
  </si>
  <si>
    <t>10-3-069</t>
  </si>
  <si>
    <t>10-3-070</t>
  </si>
  <si>
    <t>10-3-071</t>
  </si>
  <si>
    <t>WEIGHING 3</t>
  </si>
  <si>
    <t>10-3-075</t>
  </si>
  <si>
    <t>TOOL STORAGE</t>
  </si>
  <si>
    <t>10-3-076</t>
  </si>
  <si>
    <t>10-3-077</t>
  </si>
  <si>
    <t>10-3-078</t>
  </si>
  <si>
    <t>10-3-080</t>
  </si>
  <si>
    <t>16-1-086</t>
  </si>
  <si>
    <t>10-3-081</t>
  </si>
  <si>
    <t>10-3-082</t>
  </si>
  <si>
    <t>10-3-083</t>
  </si>
  <si>
    <t>10-3-084</t>
  </si>
  <si>
    <t>CLEANED TOOLS</t>
  </si>
  <si>
    <t>10-3-087</t>
  </si>
  <si>
    <t>10-3-088</t>
  </si>
  <si>
    <t>10-3-089</t>
  </si>
  <si>
    <t>DISPENSING 1</t>
  </si>
  <si>
    <t>10-3-089-B</t>
  </si>
  <si>
    <t>DISPENSING 1 (Booth)</t>
  </si>
  <si>
    <t>10-3-090</t>
  </si>
  <si>
    <t>DISPENSING 2</t>
  </si>
  <si>
    <t>10-3-090-B</t>
  </si>
  <si>
    <t>55.0</t>
  </si>
  <si>
    <t>DISPENSING 2 (Booth)</t>
  </si>
  <si>
    <t>10-3-091</t>
  </si>
  <si>
    <t>RM STAGING</t>
  </si>
  <si>
    <t>10-3-092</t>
  </si>
  <si>
    <t>16-1-087</t>
  </si>
  <si>
    <t>10-3-093</t>
  </si>
  <si>
    <t>IPQC/OFFICE</t>
  </si>
  <si>
    <t>10-3-094</t>
  </si>
  <si>
    <t>DISPENSING 3</t>
  </si>
  <si>
    <t>10-3-094-B</t>
  </si>
  <si>
    <t>DISPENSING 3 (Booth)</t>
  </si>
  <si>
    <t>10-3-095</t>
  </si>
  <si>
    <t>DISPENSING 4</t>
  </si>
  <si>
    <t>10-3-095-B</t>
  </si>
  <si>
    <t>DISPENSING 4 (Booth)</t>
  </si>
  <si>
    <t>10-3-096</t>
  </si>
  <si>
    <t>DISPENSING 5</t>
  </si>
  <si>
    <t>10-3-096-B</t>
  </si>
  <si>
    <t>DISPENSING 5 (Booth)</t>
  </si>
  <si>
    <t>10-3-097</t>
  </si>
  <si>
    <t>DISPENSING 6</t>
  </si>
  <si>
    <t>10-3-097-B</t>
  </si>
  <si>
    <t>DISPENSING 6 (Booth)</t>
  </si>
  <si>
    <t>10-3-098</t>
  </si>
  <si>
    <t>DISPENSED MATERIAL STAGING</t>
  </si>
  <si>
    <t>10-3-099</t>
  </si>
  <si>
    <t>10-3-100</t>
  </si>
  <si>
    <t>10-3-101</t>
  </si>
  <si>
    <t>10-3-102</t>
  </si>
  <si>
    <t>IPQC-1</t>
  </si>
  <si>
    <t>10-3-103</t>
  </si>
  <si>
    <t>WEIGHINH 1</t>
  </si>
  <si>
    <t>BINDER PREPARATION  (BINDER PREPARATION MACHINE)</t>
  </si>
  <si>
    <t>10-3-105</t>
  </si>
  <si>
    <t>10-3-106</t>
  </si>
  <si>
    <t>WET GRANULATION 1</t>
  </si>
  <si>
    <t>16-1-088</t>
  </si>
  <si>
    <t>10-3-108</t>
  </si>
  <si>
    <t>BLENDING 1</t>
  </si>
  <si>
    <t>10-3-109</t>
  </si>
  <si>
    <t>WET GRANULATION 3</t>
  </si>
  <si>
    <t>10-3-110</t>
  </si>
  <si>
    <t>WET GRANULATION 4</t>
  </si>
  <si>
    <t>10-3-111</t>
  </si>
  <si>
    <t>WET GRANULATION 5</t>
  </si>
  <si>
    <t>10-3-112</t>
  </si>
  <si>
    <t>BLENDING 2</t>
  </si>
  <si>
    <t>10-3-113</t>
  </si>
  <si>
    <t>BLENDING 3</t>
  </si>
  <si>
    <t>10-3-114</t>
  </si>
  <si>
    <t>10-3-115</t>
  </si>
  <si>
    <t>10-3-116</t>
  </si>
  <si>
    <t>WEIGHING 2</t>
  </si>
  <si>
    <t>10-3-117</t>
  </si>
  <si>
    <t>IPQC-2</t>
  </si>
  <si>
    <t>10-3-118</t>
  </si>
  <si>
    <t>10-3-119</t>
  </si>
  <si>
    <t>COMPRESSION 1  (TABLET COMPRESSION MACHINE)</t>
  </si>
  <si>
    <t>COMPRESSION 2  (TABLET COMPRESSION MACHINE)</t>
  </si>
  <si>
    <t>COMPRESSION 5  (TABLET INSPECTION MACHINE)</t>
  </si>
  <si>
    <t>16-1-089</t>
  </si>
  <si>
    <t>COMPRESSION 6  (TABLET COMPRESSION MACHINE)</t>
  </si>
  <si>
    <t>COMPRESSION 7  (TABLET COMPRESSION MACHINE)</t>
  </si>
  <si>
    <t>COMPRESSION 8  (TABLET COMPRESSION MACHINE)</t>
  </si>
  <si>
    <t>10-3-128</t>
  </si>
  <si>
    <t>10-3-129</t>
  </si>
  <si>
    <t>10-3-130</t>
  </si>
  <si>
    <t>10-3-131</t>
  </si>
  <si>
    <t>AIRLOCK-P</t>
  </si>
  <si>
    <t>10-3-133</t>
  </si>
  <si>
    <t>SCRAP ROOM-P</t>
  </si>
  <si>
    <t>10-3-134</t>
  </si>
  <si>
    <t>BULK STAGING 2-P</t>
  </si>
  <si>
    <t>10-3-135</t>
  </si>
  <si>
    <t>10-3-137</t>
  </si>
  <si>
    <t>10-3-138</t>
  </si>
  <si>
    <t>LINEN STORAGE-P</t>
  </si>
  <si>
    <t>10-3-139</t>
  </si>
  <si>
    <t>10-3-140</t>
  </si>
  <si>
    <t>10-3-141</t>
  </si>
  <si>
    <t>10-3-142</t>
  </si>
  <si>
    <t>15:39</t>
  </si>
  <si>
    <t>18:55</t>
  </si>
  <si>
    <t>16-1-090</t>
  </si>
  <si>
    <t>10-3-146</t>
  </si>
  <si>
    <t>WEIGHING 1-P</t>
  </si>
  <si>
    <t>10-3-148</t>
  </si>
  <si>
    <t>BULK STAGING 1-P</t>
  </si>
  <si>
    <t>10-3-149</t>
  </si>
  <si>
    <t>IPQC 1-P</t>
  </si>
  <si>
    <t>10-3-150</t>
  </si>
  <si>
    <t>10-3-151</t>
  </si>
  <si>
    <t>10-3-152</t>
  </si>
  <si>
    <t>10-3-153</t>
  </si>
  <si>
    <t>10-3-154</t>
  </si>
  <si>
    <t>10-3-155</t>
  </si>
  <si>
    <t>10-3-156</t>
  </si>
  <si>
    <t>10-3-157</t>
  </si>
  <si>
    <t>10-3-158</t>
  </si>
  <si>
    <t>IPQC 2-P</t>
  </si>
  <si>
    <t>BINDER PREPARATION-P  (BINDER PREPARATION MACHINE)</t>
  </si>
  <si>
    <t>10-3-161</t>
  </si>
  <si>
    <t>WEIGHING-P</t>
  </si>
  <si>
    <t>10-3-162</t>
  </si>
  <si>
    <t>BLENDING-P</t>
  </si>
  <si>
    <t>10-3-163</t>
  </si>
  <si>
    <t>15:38</t>
  </si>
  <si>
    <t>WET GRANULATION 1-P</t>
  </si>
  <si>
    <t>10-3-164</t>
  </si>
  <si>
    <t>WET GRANULATION 2-P</t>
  </si>
  <si>
    <t>10-3-165</t>
  </si>
  <si>
    <t>10-3-166</t>
  </si>
  <si>
    <t>10-3-167</t>
  </si>
  <si>
    <t>DISPENSED MATERIAL STAGING-P</t>
  </si>
  <si>
    <t>10-3-168</t>
  </si>
  <si>
    <t>DISPENSING 1-P</t>
  </si>
  <si>
    <t>10-3-168-B</t>
  </si>
  <si>
    <t>DISPENSING 1-P (Booth)</t>
  </si>
  <si>
    <t>10-3-169</t>
  </si>
  <si>
    <t>CLEANED TOOLS-P</t>
  </si>
  <si>
    <t>10-3-172</t>
  </si>
  <si>
    <t>16-1-091</t>
  </si>
  <si>
    <t>10-3-173</t>
  </si>
  <si>
    <t>10-3-174</t>
  </si>
  <si>
    <t>RAW MATERIAL STAGING-P</t>
  </si>
  <si>
    <t>11-1-012</t>
  </si>
  <si>
    <t>MAL 2</t>
  </si>
  <si>
    <t>Building 11</t>
  </si>
  <si>
    <t>SHB06</t>
  </si>
  <si>
    <t>11-1-013</t>
  </si>
  <si>
    <t>PAL 2</t>
  </si>
  <si>
    <t>11-1-014</t>
  </si>
  <si>
    <t>PPM SAMPLING</t>
  </si>
  <si>
    <t>11-1-014-B</t>
  </si>
  <si>
    <t>PPM SAMPLING (Booth)</t>
  </si>
  <si>
    <t>11-1-015</t>
  </si>
  <si>
    <t>PAL-1</t>
  </si>
  <si>
    <t>11-1-016</t>
  </si>
  <si>
    <t>11-1-017</t>
  </si>
  <si>
    <t>SAMPLING 1-P</t>
  </si>
  <si>
    <t>11-1-018</t>
  </si>
  <si>
    <t>SAMPLING 2 (LOW RH)</t>
  </si>
  <si>
    <t>59.9</t>
  </si>
  <si>
    <t>11-1-018-B</t>
  </si>
  <si>
    <t>SAMPLING 2 (LOW RH) (Booth)</t>
  </si>
  <si>
    <t>11-1-019</t>
  </si>
  <si>
    <t>MAL 1</t>
  </si>
  <si>
    <t>11-1-020</t>
  </si>
  <si>
    <t>CHANGING ROOM</t>
  </si>
  <si>
    <t>11-1-021</t>
  </si>
  <si>
    <t>11-1-021-PB</t>
  </si>
  <si>
    <t>AIRLOCK  (Passbox)</t>
  </si>
  <si>
    <t>11-1-022</t>
  </si>
  <si>
    <t>SAMPLING 4</t>
  </si>
  <si>
    <t>11-1-022-B</t>
  </si>
  <si>
    <t>SAMPLING 4 (Booth)</t>
  </si>
  <si>
    <t>11-1-023</t>
  </si>
  <si>
    <t>SAMPLING 3</t>
  </si>
  <si>
    <t>11-1-023-B</t>
  </si>
  <si>
    <t>SAMPLING 3 (Booth)</t>
  </si>
  <si>
    <t>Passbox-PB</t>
  </si>
  <si>
    <t>11-1-024</t>
  </si>
  <si>
    <t>11-1-025</t>
  </si>
  <si>
    <t>JANITOR ROOM</t>
  </si>
  <si>
    <t>PB ริมนอก</t>
  </si>
  <si>
    <t>11-1-026</t>
  </si>
  <si>
    <t>STORAGE</t>
  </si>
  <si>
    <t>60.2</t>
  </si>
  <si>
    <t>11-1-027</t>
  </si>
  <si>
    <t>11-1-028</t>
  </si>
  <si>
    <t>12-1-034</t>
  </si>
  <si>
    <t>Building 12</t>
  </si>
  <si>
    <t>12-1-035</t>
  </si>
  <si>
    <t>SUGAR TRANSFERRING</t>
  </si>
  <si>
    <t>11-1-049</t>
  </si>
  <si>
    <t>12-1-049</t>
  </si>
  <si>
    <t>12-1-050</t>
  </si>
  <si>
    <t>12-1-051</t>
  </si>
  <si>
    <t>12-1-052</t>
  </si>
  <si>
    <t>12-1-053</t>
  </si>
  <si>
    <t>12-1-054</t>
  </si>
  <si>
    <t>PALLET TRUCK ROOM</t>
  </si>
  <si>
    <t>12-1-055</t>
  </si>
  <si>
    <t>12-1-056</t>
  </si>
  <si>
    <t>12-1-057</t>
  </si>
  <si>
    <t>12-1-058</t>
  </si>
  <si>
    <t>CHANGE PART STORAGE</t>
  </si>
  <si>
    <t>12-1-059</t>
  </si>
  <si>
    <t>12-1-060</t>
  </si>
  <si>
    <t>12-1-061</t>
  </si>
  <si>
    <t>59.8</t>
  </si>
  <si>
    <t>15:37</t>
  </si>
  <si>
    <t>18:54</t>
  </si>
  <si>
    <t>12-1-062</t>
  </si>
  <si>
    <t>PB ทางเดิน</t>
  </si>
  <si>
    <t>12-1-066</t>
  </si>
  <si>
    <t>12-1-067</t>
  </si>
  <si>
    <t>FILLING LINE 1</t>
  </si>
  <si>
    <t>12-1-068</t>
  </si>
  <si>
    <t>FILLING LINE 2</t>
  </si>
  <si>
    <t>12-1-071</t>
  </si>
  <si>
    <t>12-1-072</t>
  </si>
  <si>
    <t>FILLING LINE 3</t>
  </si>
  <si>
    <t>12-1-073</t>
  </si>
  <si>
    <t>FILLING LINE 4</t>
  </si>
  <si>
    <t>12-1-076</t>
  </si>
  <si>
    <t>PAL</t>
  </si>
  <si>
    <t>12-1-077</t>
  </si>
  <si>
    <t>15:36</t>
  </si>
  <si>
    <t>12-1-086</t>
  </si>
  <si>
    <t>12-1-087</t>
  </si>
  <si>
    <t>Floor 2</t>
  </si>
  <si>
    <t>SOLVENTS STORAGE</t>
  </si>
  <si>
    <t>SHB02</t>
  </si>
  <si>
    <t>ALCOHOL STORAGE</t>
  </si>
  <si>
    <t>55.8</t>
  </si>
  <si>
    <t>15:35</t>
  </si>
  <si>
    <t>18:53</t>
  </si>
  <si>
    <t>brand</t>
  </si>
  <si>
    <t>Vo</t>
  </si>
  <si>
    <t>Vc</t>
  </si>
  <si>
    <t>code</t>
  </si>
  <si>
    <t>16-1-092</t>
  </si>
  <si>
    <t>MAS-100 VF</t>
  </si>
  <si>
    <t>59.1</t>
  </si>
  <si>
    <t>PRO TINCTURE STAGING</t>
  </si>
  <si>
    <t>SCRAP STORAGE</t>
  </si>
  <si>
    <t>16-1-093</t>
  </si>
  <si>
    <t>12-2-060-B</t>
  </si>
  <si>
    <t>12-2-061-B</t>
  </si>
  <si>
    <t>15:34</t>
  </si>
  <si>
    <t>16-1-094</t>
  </si>
  <si>
    <t>PRODUCTION OFFICE</t>
  </si>
  <si>
    <t>12-3-051</t>
  </si>
  <si>
    <t>LAL ROOM</t>
  </si>
  <si>
    <t>12-3-052</t>
  </si>
  <si>
    <t>MLT 1</t>
  </si>
  <si>
    <t>12-3-052-BSC</t>
  </si>
  <si>
    <t>MLT 2</t>
  </si>
  <si>
    <t>MLT 3</t>
  </si>
  <si>
    <t>15:33</t>
  </si>
  <si>
    <t>16-1-095</t>
  </si>
  <si>
    <t>SPARE ROOM</t>
  </si>
  <si>
    <t>12-3-060</t>
  </si>
  <si>
    <t>CHANGING ROOM 1</t>
  </si>
  <si>
    <t>12-3-061</t>
  </si>
  <si>
    <t>CHANGING ROOM 2</t>
  </si>
  <si>
    <t>12-3-062</t>
  </si>
  <si>
    <t>CHANGING ROOM 3</t>
  </si>
  <si>
    <t>12-3-063</t>
  </si>
  <si>
    <t>12-3-064</t>
  </si>
  <si>
    <t>COOLING ZONE</t>
  </si>
  <si>
    <t>12-3-065</t>
  </si>
  <si>
    <t>STERILITY TESTING</t>
  </si>
  <si>
    <t>12-3-066</t>
  </si>
  <si>
    <t>12-3-067</t>
  </si>
  <si>
    <t>12-3-068</t>
  </si>
  <si>
    <t>12-3-069</t>
  </si>
  <si>
    <t>MICROBIAL IDENTIFICATION</t>
  </si>
  <si>
    <t>12-3-070</t>
  </si>
  <si>
    <t>POTENCY</t>
  </si>
  <si>
    <t>12-3-099</t>
  </si>
  <si>
    <t>58.9</t>
  </si>
  <si>
    <t>15:30</t>
  </si>
  <si>
    <t>18:52</t>
  </si>
  <si>
    <t>MEN PAL</t>
  </si>
  <si>
    <t>Building 16</t>
  </si>
  <si>
    <t>MEN PROCESS CHANGE</t>
  </si>
  <si>
    <t>WOMEN PAL</t>
  </si>
  <si>
    <t>WOMEN PROCESS CHANGE</t>
  </si>
  <si>
    <t>VIALS CAPPING</t>
  </si>
  <si>
    <t>16-1-075-M</t>
  </si>
  <si>
    <t>VIALS CAPPING (Machine)</t>
  </si>
  <si>
    <t>16-1-076-L</t>
  </si>
  <si>
    <t>FILLING 2 (Laminar)</t>
  </si>
  <si>
    <t>16-1-076-M</t>
  </si>
  <si>
    <t>FILLING 2 (Machine)</t>
  </si>
  <si>
    <t>PASSAGE</t>
  </si>
  <si>
    <t>16-1-078-PB</t>
  </si>
  <si>
    <t>PASSAGE (Passbox)</t>
  </si>
  <si>
    <t>15:28</t>
  </si>
  <si>
    <t>16-1-097</t>
  </si>
  <si>
    <t>16-1-084-L</t>
  </si>
  <si>
    <t>FILLING 1 (Laminar)</t>
  </si>
  <si>
    <t>16-1-084-M</t>
  </si>
  <si>
    <t>FILLING 1 (Machine)</t>
  </si>
  <si>
    <t>16-1-091-PB</t>
  </si>
  <si>
    <t>CORRIDOR (Passbox)</t>
  </si>
  <si>
    <t>54.4</t>
  </si>
  <si>
    <t>18:51</t>
  </si>
  <si>
    <t>VIALS INTERNAL STAGING</t>
  </si>
  <si>
    <t>16-1-097-PB</t>
  </si>
  <si>
    <t>VIALS INTERNAL STAGING (Passbox)</t>
  </si>
  <si>
    <t>Passbox</t>
  </si>
  <si>
    <t>16-1-099</t>
  </si>
  <si>
    <t>16-1-100</t>
  </si>
  <si>
    <t>16-1-101</t>
  </si>
  <si>
    <t>16-1-101-PB</t>
  </si>
  <si>
    <t>AIRLOCK (Passbox)</t>
  </si>
  <si>
    <t>DISPENSING</t>
  </si>
  <si>
    <t>16-1-102-B</t>
  </si>
  <si>
    <t>DISPENSING (Booth)</t>
  </si>
  <si>
    <t>16-1-103</t>
  </si>
  <si>
    <t>16-1-104</t>
  </si>
  <si>
    <t>AMPOULES INTERNAL STAGING</t>
  </si>
  <si>
    <t>54.6</t>
  </si>
  <si>
    <t>16-1-104-PB</t>
  </si>
  <si>
    <t>AMPOULES INTERNAL STAGING (Passbox)</t>
  </si>
  <si>
    <t>16-1-106</t>
  </si>
  <si>
    <t>16-1-108</t>
  </si>
  <si>
    <t>16-1-111</t>
  </si>
  <si>
    <t>COMPONENT PREPARATION</t>
  </si>
  <si>
    <t>16-1-112</t>
  </si>
  <si>
    <t>16-1-113</t>
  </si>
  <si>
    <t>16-1-124</t>
  </si>
  <si>
    <t>16-1-125</t>
  </si>
  <si>
    <t>16-3-047</t>
  </si>
  <si>
    <t>16-3-048</t>
  </si>
  <si>
    <t>16-3-049</t>
  </si>
  <si>
    <t>16-3-050</t>
  </si>
  <si>
    <t>16-3-051</t>
  </si>
  <si>
    <t>16-3-052</t>
  </si>
  <si>
    <t>16-3-053</t>
  </si>
  <si>
    <t>16-3-054</t>
  </si>
  <si>
    <t>16-3-055</t>
  </si>
  <si>
    <t>16-3-056</t>
  </si>
  <si>
    <t>16-3-057</t>
  </si>
  <si>
    <t>WAX MELTING</t>
  </si>
  <si>
    <t>16-3-058</t>
  </si>
  <si>
    <t>16-3-059</t>
  </si>
  <si>
    <t>16-3-060</t>
  </si>
  <si>
    <t>15:29</t>
  </si>
  <si>
    <t>18:50</t>
  </si>
  <si>
    <t>16-3-061</t>
  </si>
  <si>
    <t>16-3-061-B</t>
  </si>
  <si>
    <t>16-3-062</t>
  </si>
  <si>
    <t>16-3-063</t>
  </si>
  <si>
    <t>16-3-063-B</t>
  </si>
  <si>
    <t>16-3-064</t>
  </si>
  <si>
    <t>16-3-065</t>
  </si>
  <si>
    <t>ETHANOL STORAGE</t>
  </si>
  <si>
    <t>16-3-066</t>
  </si>
  <si>
    <t>16-3-068</t>
  </si>
  <si>
    <t>16-3-069</t>
  </si>
  <si>
    <t>16-3-070</t>
  </si>
  <si>
    <t>16-3-072</t>
  </si>
  <si>
    <t>16-3-074</t>
  </si>
  <si>
    <t>16-3-076</t>
  </si>
  <si>
    <t>16-3-077</t>
  </si>
  <si>
    <t>MFG 6</t>
  </si>
  <si>
    <t>16-3-078</t>
  </si>
  <si>
    <t>16-3-079</t>
  </si>
  <si>
    <t>16-3-081</t>
  </si>
  <si>
    <t>16-3-082</t>
  </si>
  <si>
    <t>16-3-084</t>
  </si>
  <si>
    <t>16-3-089</t>
  </si>
  <si>
    <t>22.2</t>
  </si>
  <si>
    <t>16-3-092</t>
  </si>
  <si>
    <t>16-3-094</t>
  </si>
  <si>
    <t>PPM STORAGE</t>
  </si>
  <si>
    <t>16-3-095</t>
  </si>
  <si>
    <t>16-3-097</t>
  </si>
  <si>
    <t>16-3-098</t>
  </si>
  <si>
    <t>16-3-099</t>
  </si>
  <si>
    <t>16-3-100</t>
  </si>
  <si>
    <t>16-3-101</t>
  </si>
  <si>
    <t>FILLING 3</t>
  </si>
  <si>
    <t>16-3-102</t>
  </si>
  <si>
    <t>16-3-103</t>
  </si>
  <si>
    <t>FILLING 4</t>
  </si>
  <si>
    <t>16-3-104</t>
  </si>
  <si>
    <t>16-3-105</t>
  </si>
  <si>
    <t>FILLING 5</t>
  </si>
  <si>
    <t>16-3-106</t>
  </si>
  <si>
    <t>16-3-107</t>
  </si>
  <si>
    <t>FILLING 6</t>
  </si>
  <si>
    <t>16-3-108</t>
  </si>
  <si>
    <t>16-3-114</t>
  </si>
  <si>
    <t>16-3-115</t>
  </si>
  <si>
    <t>16-3-116</t>
  </si>
  <si>
    <t>1</t>
  </si>
  <si>
    <t>15:31</t>
  </si>
  <si>
    <t>filterTag</t>
  </si>
  <si>
    <t>NA</t>
  </si>
  <si>
    <t>15:32</t>
  </si>
  <si>
    <t>PROCESS CHANGE VISITOR</t>
  </si>
  <si>
    <t>B10L1-FSL33</t>
  </si>
  <si>
    <t>53.4</t>
  </si>
  <si>
    <t>15:40</t>
  </si>
  <si>
    <t>B10L1-FSL34</t>
  </si>
  <si>
    <t>B10L1-FSL37</t>
  </si>
  <si>
    <t>B10L1-FSL36</t>
  </si>
  <si>
    <t>59.7</t>
  </si>
  <si>
    <t>44.3</t>
  </si>
  <si>
    <t>14:13</t>
  </si>
  <si>
    <t>18:00</t>
  </si>
  <si>
    <t>AT-26-0003</t>
  </si>
  <si>
    <t>44.2</t>
  </si>
  <si>
    <t>14:12</t>
  </si>
  <si>
    <t>B10L3-FSL39</t>
  </si>
  <si>
    <t>B10L3-FSL40</t>
  </si>
  <si>
    <t>B10L3-FSL29</t>
  </si>
  <si>
    <t>B10L3-FSL24</t>
  </si>
  <si>
    <t>B10L3-FSL25</t>
  </si>
  <si>
    <t>B10L3-FSL23</t>
  </si>
  <si>
    <t>B10L3-FSL21</t>
  </si>
  <si>
    <t>B10L3-FSL20</t>
  </si>
  <si>
    <t>B10L3-FSL22</t>
  </si>
  <si>
    <t>B10L3-FSL26</t>
  </si>
  <si>
    <t>B10L3-FSL27</t>
  </si>
  <si>
    <t>B10L3-FSL28</t>
  </si>
  <si>
    <t>B10L3-FSL10</t>
  </si>
  <si>
    <t>B10L3-FSL09</t>
  </si>
  <si>
    <t>B10L3-FSL11</t>
  </si>
  <si>
    <t>52.6</t>
  </si>
  <si>
    <t>14:11</t>
  </si>
  <si>
    <t>B10L3-FSL05</t>
  </si>
  <si>
    <t>B10L3-FSL06</t>
  </si>
  <si>
    <t>B10L3-FSL07</t>
  </si>
  <si>
    <t>14:08</t>
  </si>
  <si>
    <t>B10L3-FSL30</t>
  </si>
  <si>
    <t>B10L3-FSL12</t>
  </si>
  <si>
    <t>14:07</t>
  </si>
  <si>
    <t>18:01</t>
  </si>
  <si>
    <t>B10L3-FSL31</t>
  </si>
  <si>
    <t>B10L3-FSL33</t>
  </si>
  <si>
    <t>B10L3-FSL36</t>
  </si>
  <si>
    <t>B10L3-FSL13</t>
  </si>
  <si>
    <t>B10L3-FSL41</t>
  </si>
  <si>
    <t>B10L3-FSL35</t>
  </si>
  <si>
    <t>B10L3-FSL34</t>
  </si>
  <si>
    <t>B10L3-FSL32</t>
  </si>
  <si>
    <t>52.9</t>
  </si>
  <si>
    <t>14:09</t>
  </si>
  <si>
    <t>B10L3-FSL19</t>
  </si>
  <si>
    <t>B10L3-FSL18</t>
  </si>
  <si>
    <t>B10L3-FSL17</t>
  </si>
  <si>
    <t>B10L3-FSL16</t>
  </si>
  <si>
    <t>B10L3-FSL15</t>
  </si>
  <si>
    <t>6/9/2026</t>
  </si>
  <si>
    <t>B10L3-FSL08</t>
  </si>
  <si>
    <t>B10L3-FSL14</t>
  </si>
  <si>
    <t>B10L3-FSL01</t>
  </si>
  <si>
    <t>B10L3-FSL02</t>
  </si>
  <si>
    <t>B10L3-FSL04</t>
  </si>
  <si>
    <t>14.20</t>
  </si>
  <si>
    <t>18:02</t>
  </si>
  <si>
    <t>14:14</t>
  </si>
  <si>
    <t>TECHNICAL AREA</t>
  </si>
  <si>
    <t>11-2-015</t>
  </si>
  <si>
    <t>FILTER WASHING</t>
  </si>
  <si>
    <t>12-1-039</t>
  </si>
  <si>
    <t>SECONDARY PACKING HALL LINE1-4</t>
  </si>
  <si>
    <t>12-1-044</t>
  </si>
  <si>
    <t>LINEN WASHING (LINEN WASHING MACHINE)</t>
  </si>
  <si>
    <t>BOTTLE CLEANING 1 (BLOWER) (DEPALLETIZER)</t>
  </si>
  <si>
    <t>FILLING LINE 1 (FILLING MACHINE)</t>
  </si>
  <si>
    <t>FILLING LINE 2 (FILLING MACHINE)</t>
  </si>
  <si>
    <t>BOTTLE CLEANING 2 (BLOWER) (DEPALLETIZER)</t>
  </si>
  <si>
    <t>BOTTLE CLEANING 3 (BLOWER) (DEPALLETIZER)</t>
  </si>
  <si>
    <t>FILLING LINE 3 (FILLING MACHINE)</t>
  </si>
  <si>
    <t>FILLING LINE 4 (FILLING MACHINE)</t>
  </si>
  <si>
    <t>BOTTLE CLEANING 4 (BLOWER)</t>
  </si>
  <si>
    <t>12-2-000</t>
  </si>
  <si>
    <t>PW JUNCTION BOX</t>
  </si>
  <si>
    <t>LIQUORICE EXTRACT (UTILITY SKID ADAM)</t>
  </si>
  <si>
    <t>SOLVENTS STORAGE (UTILITY SKID ADAM)</t>
  </si>
  <si>
    <t>ALCOHOL STORAGE (UTILITY SKID ADAM)</t>
  </si>
  <si>
    <t>OPIUM TINCTURE (UTILITY TINCTURE)</t>
  </si>
  <si>
    <t>CAMPHORATED OPIUM TINCTURE (UTILITY SKID ADAM)</t>
  </si>
  <si>
    <t>51.8</t>
  </si>
  <si>
    <t>14:17</t>
  </si>
  <si>
    <t>SYRUP PREPARATION (UTILITY SKID ADAM)</t>
  </si>
  <si>
    <t>CIP 1 (UTILITY SKID ADAM)</t>
  </si>
  <si>
    <t>MFG 1 (UTILITY SKID ADAM)</t>
  </si>
  <si>
    <t>MFG 2 (UTILITY SKID ADAM)</t>
  </si>
  <si>
    <t>MFG 3 (UTILITY SKID ADAM)</t>
  </si>
  <si>
    <t>MFG 4 (UTILITY SKID ADAM)</t>
  </si>
  <si>
    <t>LINEN WASHING (WASHING MACHINE)</t>
  </si>
  <si>
    <t>STAGING 3 (UTILITY SKID ADAM)</t>
  </si>
  <si>
    <t>CIP 3 (UTILITY SKID ADAM)</t>
  </si>
  <si>
    <t>STAGING 2 (UTILITY SKID ADAM)</t>
  </si>
  <si>
    <t>14:16</t>
  </si>
  <si>
    <t>18:03</t>
  </si>
  <si>
    <t>CIP 2 (UTILITY SKID ADAM)</t>
  </si>
  <si>
    <t>STAGING 1 (UTILITY SKID ADAM)</t>
  </si>
  <si>
    <t>12-2-077</t>
  </si>
  <si>
    <t>WATER SYSTEM ROOM (PURIFIED WATER SKID)</t>
  </si>
  <si>
    <t>12-2-079</t>
  </si>
  <si>
    <t>12-3-021</t>
  </si>
  <si>
    <t>PM TESTING LAB (BURSTING STRENGTH TESTER)</t>
  </si>
  <si>
    <t>12-3-029</t>
  </si>
  <si>
    <t>INSTRUMENT 1</t>
  </si>
  <si>
    <t>12-3-030</t>
  </si>
  <si>
    <t>INSTRUMENT 4</t>
  </si>
  <si>
    <t>12-3-031</t>
  </si>
  <si>
    <t>INSTRUMENT 3</t>
  </si>
  <si>
    <t>12-3-035</t>
  </si>
  <si>
    <t>INSTRUMENT 5</t>
  </si>
  <si>
    <t>12-3-040</t>
  </si>
  <si>
    <t>INSTRUMENT 6</t>
  </si>
  <si>
    <t>12-3-042</t>
  </si>
  <si>
    <t>SAMPLE PREPARATION</t>
  </si>
  <si>
    <t>52.2</t>
  </si>
  <si>
    <t>12-3-044</t>
  </si>
  <si>
    <t>FUME HOOD</t>
  </si>
  <si>
    <t>12-3-045</t>
  </si>
  <si>
    <t>INSTRUMENT 8</t>
  </si>
  <si>
    <t>12-3-056</t>
  </si>
  <si>
    <t>MEDIA PREPARATION</t>
  </si>
  <si>
    <t>12-3-057</t>
  </si>
  <si>
    <t>STERILIZATION</t>
  </si>
  <si>
    <t>12-3-059</t>
  </si>
  <si>
    <t>AUTOCLAVE (AUTOCLAVE 200 L)</t>
  </si>
  <si>
    <t>12-3-074</t>
  </si>
  <si>
    <t>DECONTAMINATION</t>
  </si>
  <si>
    <t>12-3-095</t>
  </si>
  <si>
    <t>TECHNICAL AREA (CONTROL VALVE 123-AHU08 LOW RH)</t>
  </si>
  <si>
    <t>16-1-044</t>
  </si>
  <si>
    <t>SECONDARY PACKING 2</t>
  </si>
  <si>
    <t>16-1-048</t>
  </si>
  <si>
    <t>INSPECTION 2</t>
  </si>
  <si>
    <t>16-1-050</t>
  </si>
  <si>
    <t>TERMINAL STERILIZER 2</t>
  </si>
  <si>
    <t>16-1-052</t>
  </si>
  <si>
    <t>SECONDARY PACKING 1</t>
  </si>
  <si>
    <t>16-1-059</t>
  </si>
  <si>
    <t>INSPECTION 1</t>
  </si>
  <si>
    <t>16-1-061</t>
  </si>
  <si>
    <t>TERMINAL STERILIZER 1</t>
  </si>
  <si>
    <t>VIAL CAPPING</t>
  </si>
  <si>
    <t>48.6</t>
  </si>
  <si>
    <t>14:20</t>
  </si>
  <si>
    <t>ทำความสะอาดแล้ว</t>
  </si>
  <si>
    <t>FILTRATION 2 (UTILITY SKID ADAM)</t>
  </si>
  <si>
    <t>DISINFECT PREPARATION</t>
  </si>
  <si>
    <t>FILTRATION 1 (UTILITY SKID ADAM)</t>
  </si>
  <si>
    <t>WASHING/TUNNEL 2 (WASHING TUNNEL AMPOULE MACHINE)</t>
  </si>
  <si>
    <t>CIP/SIP (CIP VESSEL)</t>
  </si>
  <si>
    <t>WASHING/TUNNEL 1 (WASHING/TUNNEL VIAL MACHINE)</t>
  </si>
  <si>
    <t>COMPOUNDING 1 (UTILITY SKID ADAM)</t>
  </si>
  <si>
    <t>14:26</t>
  </si>
  <si>
    <t>COMPOUNDING 2 (UTILITY SKID)</t>
  </si>
  <si>
    <t>16-2-008</t>
  </si>
  <si>
    <t>FILTER WASH</t>
  </si>
  <si>
    <t>16-2-010</t>
  </si>
  <si>
    <t>WATER SYSTEM</t>
  </si>
  <si>
    <t>Special</t>
  </si>
  <si>
    <t>16-3-030</t>
  </si>
  <si>
    <t>RM / PPM CLEANING</t>
  </si>
  <si>
    <t>70.1</t>
  </si>
  <si>
    <t>16-3-039</t>
  </si>
  <si>
    <t>SECONDARY PACKING HALL</t>
  </si>
  <si>
    <t>48.0</t>
  </si>
  <si>
    <t>14:23</t>
  </si>
  <si>
    <t>18:04</t>
  </si>
  <si>
    <t>MFG 5 (UTILITY SKID ADAM)</t>
  </si>
  <si>
    <t>MFG 6 (UTILITY SKID ADAM)</t>
  </si>
  <si>
    <t>STAGING 5 (UTILITY SKID ADAM)</t>
  </si>
  <si>
    <t>CIP 3 (CIP SKID)</t>
  </si>
  <si>
    <t>STAGING 4 (UTILITY SKID ADAM)</t>
  </si>
  <si>
    <t>CIP 2 (CIP SKID)</t>
  </si>
  <si>
    <t>CIP 1 (CIP SKID)</t>
  </si>
  <si>
    <t>FILLING 1 (IWKA FILLING LINE)</t>
  </si>
  <si>
    <t>46.5</t>
  </si>
  <si>
    <t>14:24</t>
  </si>
  <si>
    <t>FILLING 7 (OINTMENT TUBE FILLING LINE)</t>
  </si>
  <si>
    <t>16-4-005</t>
  </si>
  <si>
    <t>TECHNICAL ROOM</t>
  </si>
  <si>
    <t>Floor 4</t>
  </si>
  <si>
    <t>16-4-010</t>
  </si>
  <si>
    <t>112-BAA-1600-01</t>
  </si>
  <si>
    <t>Technical Area</t>
  </si>
  <si>
    <t>12-2-015</t>
  </si>
  <si>
    <t>12-2-018</t>
  </si>
  <si>
    <t>12-2-071</t>
  </si>
  <si>
    <t>12-2-072</t>
  </si>
  <si>
    <t>14:25</t>
  </si>
  <si>
    <t xml:space="preserve">SYRUP PREPARATION </t>
  </si>
  <si>
    <t>311016108-0</t>
  </si>
  <si>
    <t xml:space="preserve">MFG 1 </t>
  </si>
  <si>
    <t>BSC</t>
  </si>
  <si>
    <t xml:space="preserve">MFG 2 </t>
  </si>
  <si>
    <t>14:27</t>
  </si>
  <si>
    <t xml:space="preserve">MFG 3 </t>
  </si>
  <si>
    <t xml:space="preserve">ALCOHOL STORAGE </t>
  </si>
  <si>
    <t>14:29</t>
  </si>
  <si>
    <t>DISPENSING 1 (BOOTH)</t>
  </si>
  <si>
    <t>DISPENSING 2 (BOOTH)</t>
  </si>
  <si>
    <t>SOLVENTS STORGE</t>
  </si>
  <si>
    <t xml:space="preserve">LINEN WASHING </t>
  </si>
  <si>
    <t>18:05</t>
  </si>
  <si>
    <t>42.4</t>
  </si>
  <si>
    <t>44.8</t>
  </si>
  <si>
    <t>14:39</t>
  </si>
  <si>
    <t>18:06</t>
  </si>
  <si>
    <t>AIRILOCK</t>
  </si>
  <si>
    <t>50.6</t>
  </si>
  <si>
    <t>14:06</t>
  </si>
  <si>
    <t>COLLING ZONE</t>
  </si>
  <si>
    <t>23.0</t>
  </si>
  <si>
    <t>49.4</t>
  </si>
  <si>
    <t>311016109-0</t>
  </si>
  <si>
    <t>39.5</t>
  </si>
  <si>
    <t>14:52</t>
  </si>
  <si>
    <t>AT-26-0004</t>
  </si>
  <si>
    <t xml:space="preserve">LINEN DRY </t>
  </si>
  <si>
    <t>42.9</t>
  </si>
  <si>
    <t>14:05</t>
  </si>
  <si>
    <t xml:space="preserve">FILLING 4 </t>
  </si>
  <si>
    <t>40.9</t>
  </si>
  <si>
    <t xml:space="preserve">CIP 1 </t>
  </si>
  <si>
    <t xml:space="preserve">MFG 4 </t>
  </si>
  <si>
    <t>AIRLCOK</t>
  </si>
  <si>
    <t>11:33</t>
  </si>
  <si>
    <t>Technical Area,Floor2</t>
  </si>
  <si>
    <t>39.0</t>
  </si>
  <si>
    <t>14:36</t>
  </si>
  <si>
    <t>43.1</t>
  </si>
  <si>
    <t>10:41</t>
  </si>
  <si>
    <t>311016436-0</t>
  </si>
  <si>
    <t>41.9</t>
  </si>
  <si>
    <t>10:35</t>
  </si>
  <si>
    <t>14:57</t>
  </si>
  <si>
    <t>46.1</t>
  </si>
  <si>
    <t>samplingDate</t>
  </si>
  <si>
    <t>determinedDate</t>
  </si>
  <si>
    <t>grade</t>
  </si>
  <si>
    <t>Day 3</t>
  </si>
  <si>
    <t>Feller</t>
  </si>
  <si>
    <t>Day 4</t>
  </si>
  <si>
    <t>Day 5</t>
  </si>
  <si>
    <t>assetNo</t>
  </si>
  <si>
    <t>model</t>
  </si>
  <si>
    <t>Column 1</t>
  </si>
  <si>
    <t>เครื่องเก็บตัวอย่างในอากาศ (Air sampler) ผลิตภัณฑ์ของ VWR</t>
  </si>
  <si>
    <t>https://drive.google.com/file/d/1n09Y_e22F72gJcMJrjfFpRzfAgqwMKpJ/view?usp=sharing</t>
  </si>
  <si>
    <t>เครื่องเก็บตัวอย่างจากอากาศ(Air Sampler) รุ่น MAS-100 VF</t>
  </si>
  <si>
    <t>https://drive.google.com/file/d/1HZDwaE9gGLoRINdTxjol6Z6FF8naMIxH/view?usp=sharing</t>
  </si>
  <si>
    <t>47.2</t>
  </si>
  <si>
    <t>311015016</t>
  </si>
  <si>
    <t>เครื่องเก็บตัวอย่างจากแก๊สอัด(4162301177)</t>
  </si>
  <si>
    <t>https://drive.google.com/file/d/1QZh_29V2uP3BYIi-xAMFBYtxG30Oxfey/view?usp=sharing</t>
  </si>
  <si>
    <t>42.5</t>
  </si>
  <si>
    <t>311016437-0</t>
  </si>
  <si>
    <t>In Machine</t>
  </si>
  <si>
    <t>11:26</t>
  </si>
  <si>
    <t>In Hood</t>
  </si>
  <si>
    <t>43.8</t>
  </si>
  <si>
    <t>42.6</t>
  </si>
  <si>
    <t>11:09</t>
  </si>
  <si>
    <t>42.7</t>
  </si>
  <si>
    <t>11:30</t>
  </si>
  <si>
    <t>11:17</t>
  </si>
  <si>
    <t>in Hood</t>
  </si>
  <si>
    <t>36.5</t>
  </si>
  <si>
    <t>10:48</t>
  </si>
  <si>
    <t>PASS BOX</t>
  </si>
  <si>
    <t>PASS BOX Corridor</t>
  </si>
  <si>
    <t>11:16</t>
  </si>
  <si>
    <t>36.8</t>
  </si>
  <si>
    <t>Pass Box</t>
  </si>
  <si>
    <t>รา</t>
  </si>
  <si>
    <t>15:51</t>
  </si>
  <si>
    <t>44.9</t>
  </si>
  <si>
    <t>con</t>
  </si>
  <si>
    <t>38.1</t>
  </si>
  <si>
    <t>45.2</t>
  </si>
  <si>
    <t>45.6</t>
  </si>
  <si>
    <t>46.8</t>
  </si>
  <si>
    <t>48.5</t>
  </si>
  <si>
    <t>35.4</t>
  </si>
  <si>
    <t>PB กลางทางเดิน</t>
  </si>
  <si>
    <t>room_no</t>
  </si>
  <si>
    <t>room_name</t>
  </si>
  <si>
    <t>filter_tag</t>
  </si>
  <si>
    <t>area</t>
  </si>
  <si>
    <t>Temp</t>
  </si>
  <si>
    <t>%RH</t>
  </si>
  <si>
    <t>BLISTER PACKING 1
 (BLISTER PACKING MACHINE)</t>
  </si>
  <si>
    <t>NON-POTENT</t>
  </si>
  <si>
    <t>BLISTER PACKING 2
 (DRUM TIPPER)  (BLISTER PACKING MACHINE)</t>
  </si>
  <si>
    <t>BLISTER PACKING 2
 (BLISTER PACKING MACHINE)</t>
  </si>
  <si>
    <t>BLISTER PACKING 3
 (BLISTER PACKING MACHINE)</t>
  </si>
  <si>
    <t>TA69012</t>
  </si>
  <si>
    <t>6/30/2026</t>
  </si>
  <si>
    <t>BLISTER PACKING 4
 (BLISTER PACKING MACHINE)</t>
  </si>
  <si>
    <t>BLISTER PACKING 5
 (BLISTER PACKING MACHINE)</t>
  </si>
  <si>
    <t>BLISTER PACKING 6
 (BLISTER PACKING MACHINE)</t>
  </si>
  <si>
    <t>POS FILLING (LOW RH)
 (BOTTLE FILLING MACHINE)</t>
  </si>
  <si>
    <t>BOTTLE CLEANING
 (BOTTLE CLEANING MACHINE)</t>
  </si>
  <si>
    <t>STRIP PACKING 1 (LOW RH)
 (DRUM TIPPER) &amp; (STRIP PACKING MACHINE)</t>
  </si>
  <si>
    <t>SACHET PACKING (LOW RH)
 (STRIP PACKING MACHINE)</t>
  </si>
  <si>
    <t>15:14</t>
  </si>
  <si>
    <t>TABLETS INSPECTION 2
 (TABLET INSPECTION MACHINE)</t>
  </si>
  <si>
    <t>STRIP PACKING 3
 (DRUM TIPPER) &amp; (STRIP PACKING MACHINE)</t>
  </si>
  <si>
    <t>15:05</t>
  </si>
  <si>
    <t>STRIP PACKING 2
 (DRUM TIPPER) &amp; (STRIP PACKING MACHINE)</t>
  </si>
  <si>
    <t>วัดก่อนเปลี่ยน Filter แล้วได้ &lt;1</t>
  </si>
  <si>
    <t>POTENT</t>
  </si>
  <si>
    <t>STRIP PACKING-P (LOW RH)
 (DRUM TIPPER) &amp; (STRIP PACKING MACHINE)</t>
  </si>
  <si>
    <t>TABLETS INSPECTION 1 
 (TABLET INSPECTION MACHINE) &amp;
 (DRUM TIPPER)</t>
  </si>
  <si>
    <t>TABLETS INSPECTION 2 
 (TABLET INSPECTION MACHINE) &amp;
 (DRUM TIPPER)</t>
  </si>
  <si>
    <t>COATING SOLUTION PREPARATION 1 
 (SOLUTION PREPARATION TANK)</t>
  </si>
  <si>
    <t>COATING SOLUTION PREPARATION 2 
 (SOLUTION PREPARATION TANK)</t>
  </si>
  <si>
    <t>COATING SOLUTION PREPARATION 3 
 (SOLUTION PREPARATION TANK)</t>
  </si>
  <si>
    <t>COATING SOLUTION PREPARATION 4 
 (SOLUTION PREPARATION TANK)</t>
  </si>
  <si>
    <t>result</t>
  </si>
  <si>
    <t>DRY GRANULATION 1
 (ROLL COMPACTOR)</t>
  </si>
  <si>
    <t>Compressed Air</t>
  </si>
  <si>
    <t>LOW RH/ROLL COMPACTOR</t>
  </si>
  <si>
    <t>15:09</t>
  </si>
  <si>
    <t>BINDER PREPARATION MACHINE</t>
  </si>
  <si>
    <t>BINDER PREPARATION 
 (BINDER PREPARATION MACHINE)</t>
  </si>
  <si>
    <t>LOW RH</t>
  </si>
  <si>
    <t>POU อยู่ห้องที่ไม่คุม Temp Hu</t>
  </si>
  <si>
    <t>COMPRESSION 1 
 (TABLET COMPRESSION MACHINE)</t>
  </si>
  <si>
    <t>TABLET COMPRESSION MACHINE</t>
  </si>
  <si>
    <t>COMPRESSION 2 
 (TABLET COMPRESSION MACHINE)</t>
  </si>
  <si>
    <t>TABLET INSPECTION MACHINE</t>
  </si>
  <si>
    <t>10:58</t>
  </si>
  <si>
    <t>COMPRESSION 5 
 (TABLET INSPECTION MACHINE)</t>
  </si>
  <si>
    <t>TABLET INSPECTION MACHINE/DRUM TIPPER</t>
  </si>
  <si>
    <t>COMPRESSION 6 
 (TABLET COMPRESSION MACHINE)</t>
  </si>
  <si>
    <t>COMPRESSION 7 
 (TABLET COMPRESSION MACHINE)</t>
  </si>
  <si>
    <t>COMPRESSION 8 
 (TABLET COMPRESSION MACHINE)</t>
  </si>
  <si>
    <t>TABLET INSPECTION-P (LOW RH) (TABLET INSPECTION MACHINE)
 (DRUM TIPPER)</t>
  </si>
  <si>
    <t>LOW RH/TABLET INSPECTION MACHINE/DRUM TIPPER</t>
  </si>
  <si>
    <t>45.4</t>
  </si>
  <si>
    <t>LOW RH/TABLET COMPRESSION MACHINE</t>
  </si>
  <si>
    <t>BINDER PREPARATION-P 
 (BINDER PREPARATION MACHINE)</t>
  </si>
  <si>
    <t>44.7</t>
  </si>
  <si>
    <t>15:41</t>
  </si>
  <si>
    <t>DISPENSING ISOLATOR</t>
  </si>
  <si>
    <t>ด</t>
  </si>
  <si>
    <t>11:22</t>
  </si>
  <si>
    <t>in</t>
  </si>
  <si>
    <t>out</t>
  </si>
  <si>
    <t>hours</t>
  </si>
  <si>
    <t>mins</t>
  </si>
  <si>
    <t>13:29</t>
  </si>
  <si>
    <t>9:58 น.</t>
  </si>
  <si>
    <t>13:47 น.</t>
  </si>
  <si>
    <t>3 ชม.</t>
  </si>
  <si>
    <t>49 นาที</t>
  </si>
  <si>
    <t>10:09 น.</t>
  </si>
  <si>
    <t>13:53 น.</t>
  </si>
  <si>
    <t>44 นาที</t>
  </si>
  <si>
    <t>10:06 น.</t>
  </si>
  <si>
    <t>13:52 น.</t>
  </si>
  <si>
    <t>46 นาที</t>
  </si>
  <si>
    <t>10:07 น.</t>
  </si>
  <si>
    <t>45 นาที</t>
  </si>
  <si>
    <t>11:41</t>
  </si>
  <si>
    <t>10:05 น.</t>
  </si>
  <si>
    <t>13:51 น.</t>
  </si>
  <si>
    <t>10:03 น.</t>
  </si>
  <si>
    <t>13:50 น.</t>
  </si>
  <si>
    <t>47 นาที</t>
  </si>
  <si>
    <t>10:04 น.</t>
  </si>
  <si>
    <t>10:02 น.</t>
  </si>
  <si>
    <t>48 นาที</t>
  </si>
  <si>
    <t>10:10 น.</t>
  </si>
  <si>
    <t>37 นาที</t>
  </si>
  <si>
    <t>10:00 น.</t>
  </si>
  <si>
    <t>13:49 น.</t>
  </si>
  <si>
    <t>9:57 น.</t>
  </si>
  <si>
    <t>13:48 น.</t>
  </si>
  <si>
    <t>51 นาที</t>
  </si>
  <si>
    <t>43 นาที</t>
  </si>
  <si>
    <t>10:01 น.</t>
  </si>
  <si>
    <t>10:08 น.</t>
  </si>
  <si>
    <t>10:11 น.</t>
  </si>
  <si>
    <t>13:54 น.</t>
  </si>
  <si>
    <t>BOTTLE FILLING-P</t>
  </si>
  <si>
    <t>BLISTER PACKING-P</t>
  </si>
  <si>
    <t>STRIP PACKING-P</t>
  </si>
  <si>
    <t>10:32 น.</t>
  </si>
  <si>
    <t>13:57 น.</t>
  </si>
  <si>
    <t>25 นาที</t>
  </si>
  <si>
    <t>11:43</t>
  </si>
  <si>
    <t>10:33 น.</t>
  </si>
  <si>
    <t>13:58 น.</t>
  </si>
  <si>
    <t>10:39 น.</t>
  </si>
  <si>
    <t>14:01 น.</t>
  </si>
  <si>
    <t>22 นาที</t>
  </si>
  <si>
    <t>10:36 น.</t>
  </si>
  <si>
    <t>14:00 น.</t>
  </si>
  <si>
    <t>24 นาที</t>
  </si>
  <si>
    <t>10:38 น.</t>
  </si>
  <si>
    <t>52 นาที</t>
  </si>
  <si>
    <t>10:40 น.</t>
  </si>
  <si>
    <t>21 นาที</t>
  </si>
  <si>
    <t>49.6</t>
  </si>
  <si>
    <t>13:57</t>
  </si>
  <si>
    <t>10:41 น.</t>
  </si>
  <si>
    <t>14:02 น.</t>
  </si>
  <si>
    <t>14:03 น.</t>
  </si>
  <si>
    <t>10:42 น.</t>
  </si>
  <si>
    <t>10:16 น.</t>
  </si>
  <si>
    <t>42 นาที</t>
  </si>
  <si>
    <t>10:17 น.</t>
  </si>
  <si>
    <t>13:59 น.</t>
  </si>
  <si>
    <t>10:18 น.</t>
  </si>
  <si>
    <t>41 นาที</t>
  </si>
  <si>
    <t>10:19 น.</t>
  </si>
  <si>
    <t>40 นาที</t>
  </si>
  <si>
    <t>10:20 น.</t>
  </si>
  <si>
    <t>10:22 น.</t>
  </si>
  <si>
    <t>38 นาที</t>
  </si>
  <si>
    <t>10:53</t>
  </si>
  <si>
    <t>10:25 น.</t>
  </si>
  <si>
    <t>29 นาที</t>
  </si>
  <si>
    <t>BOTTLE PACKING 4 (LOW RH)</t>
  </si>
  <si>
    <t>10:26 น.</t>
  </si>
  <si>
    <t>28 นาที</t>
  </si>
  <si>
    <t>BOTTLE PACKING 5 (LOW RH)</t>
  </si>
  <si>
    <t>10:27 น.</t>
  </si>
  <si>
    <t>13:55 น.</t>
  </si>
  <si>
    <t>10:12 น.</t>
  </si>
  <si>
    <t>13:56 น.</t>
  </si>
  <si>
    <t>RAG01</t>
  </si>
  <si>
    <t>45.0</t>
  </si>
  <si>
    <t>36 นาที</t>
  </si>
  <si>
    <t>50 นาที</t>
  </si>
  <si>
    <t>10:28 น.</t>
  </si>
  <si>
    <t>TABLET INSPECTION 1</t>
  </si>
  <si>
    <t>10:35 น.</t>
  </si>
  <si>
    <t>TABLET INSPECTION 2</t>
  </si>
  <si>
    <t>26 นาที</t>
  </si>
  <si>
    <t>14:50</t>
  </si>
  <si>
    <t>10:34 น.</t>
  </si>
  <si>
    <t>10:29 น.</t>
  </si>
  <si>
    <t>27 นาที</t>
  </si>
  <si>
    <t>10:43 น.</t>
  </si>
  <si>
    <t>18 นาที</t>
  </si>
  <si>
    <t>10:30 น.</t>
  </si>
  <si>
    <t>23.3</t>
  </si>
  <si>
    <t>37.2</t>
  </si>
  <si>
    <t xml:space="preserve">ว ด ป </t>
  </si>
  <si>
    <t>55 นาที</t>
  </si>
  <si>
    <t>10:56 น.</t>
  </si>
  <si>
    <t>14:19 น.</t>
  </si>
  <si>
    <t>23 นาที</t>
  </si>
  <si>
    <t>10:54 น.</t>
  </si>
  <si>
    <t>14:15 น.</t>
  </si>
  <si>
    <t>10:50 น.</t>
  </si>
  <si>
    <t>10:52 น.</t>
  </si>
  <si>
    <t>14:16 น.</t>
  </si>
  <si>
    <t>36.9</t>
  </si>
  <si>
    <t>10:53 น.</t>
  </si>
  <si>
    <t>14:17 น.</t>
  </si>
  <si>
    <t>10:55 น.</t>
  </si>
  <si>
    <t>14:18 น.</t>
  </si>
  <si>
    <t>10:57 น.</t>
  </si>
  <si>
    <t>11:00 น.</t>
  </si>
  <si>
    <t>14:20 น.</t>
  </si>
  <si>
    <t>20 นาที</t>
  </si>
  <si>
    <t>COATED TANLETS INSPECTION 1</t>
  </si>
  <si>
    <t>10:59 น.</t>
  </si>
  <si>
    <t>11:01 น.</t>
  </si>
  <si>
    <t>14:21 น.</t>
  </si>
  <si>
    <t>COATED TANLETS INSPECTION 2</t>
  </si>
  <si>
    <t>14:22 น.</t>
  </si>
  <si>
    <t>11:02 น.</t>
  </si>
  <si>
    <t>14:06 น.</t>
  </si>
  <si>
    <t>10:48 น.</t>
  </si>
  <si>
    <t>14:07 น.</t>
  </si>
  <si>
    <t>19 นาที</t>
  </si>
  <si>
    <t>10:45 น.</t>
  </si>
  <si>
    <t>14:09 น.</t>
  </si>
  <si>
    <t>14:08 น.</t>
  </si>
  <si>
    <t>35 นาที</t>
  </si>
  <si>
    <t>33 นาที</t>
  </si>
  <si>
    <t>10:37 น.</t>
  </si>
  <si>
    <t>14:11 น.</t>
  </si>
  <si>
    <t>34 นาที</t>
  </si>
  <si>
    <t>14:12 น.</t>
  </si>
  <si>
    <t>26.0</t>
  </si>
  <si>
    <t>66.8</t>
  </si>
  <si>
    <t>31 นาที</t>
  </si>
  <si>
    <t>14:13 น.</t>
  </si>
  <si>
    <t>30 นาที</t>
  </si>
  <si>
    <t>10:46 น.</t>
  </si>
  <si>
    <t>10:47 น.</t>
  </si>
  <si>
    <t>14:14 น.</t>
  </si>
  <si>
    <t>10:21 น.</t>
  </si>
  <si>
    <t>10:15 น.</t>
  </si>
  <si>
    <t>14:04 น.</t>
  </si>
  <si>
    <t>DRY GRANULATION 2</t>
  </si>
  <si>
    <t>48.9</t>
  </si>
  <si>
    <t>DRY GRANULATION 3</t>
  </si>
  <si>
    <t>14:05 น.</t>
  </si>
  <si>
    <t>AT-26-0005</t>
  </si>
  <si>
    <t>10:13 น.</t>
  </si>
  <si>
    <t>56 นาที</t>
  </si>
  <si>
    <t>14:10 น.</t>
  </si>
  <si>
    <t>10:40</t>
  </si>
  <si>
    <t>57 นาที</t>
  </si>
  <si>
    <t>53 นาที</t>
  </si>
  <si>
    <t>54 นาที</t>
  </si>
  <si>
    <t>in Laminar</t>
  </si>
  <si>
    <t>48.1</t>
  </si>
  <si>
    <t>10:36</t>
  </si>
  <si>
    <t>10:14 น.</t>
  </si>
  <si>
    <t>10:38</t>
  </si>
  <si>
    <t>position 079</t>
  </si>
  <si>
    <t>10:24 น.</t>
  </si>
  <si>
    <t>14:24 น.</t>
  </si>
  <si>
    <t>14:23 น.</t>
  </si>
  <si>
    <t>19.7</t>
  </si>
  <si>
    <t>47.4</t>
  </si>
  <si>
    <t>10:23 น.</t>
  </si>
  <si>
    <t>WET GRANULATION 2</t>
  </si>
  <si>
    <t>10:31 น.</t>
  </si>
  <si>
    <t>10:51</t>
  </si>
  <si>
    <t>14:30 น.</t>
  </si>
  <si>
    <t>10:58 น.</t>
  </si>
  <si>
    <t>14:32 น.</t>
  </si>
  <si>
    <t>14:31 น.</t>
  </si>
  <si>
    <t>14:42 น.</t>
  </si>
  <si>
    <t>10:52</t>
  </si>
  <si>
    <t>14:33 น.</t>
  </si>
  <si>
    <t>10:44 น.</t>
  </si>
  <si>
    <t>COMPRESSION 3</t>
  </si>
  <si>
    <t>14:34 น.</t>
  </si>
  <si>
    <t>14:35 น.</t>
  </si>
  <si>
    <t>10:49 น.</t>
  </si>
  <si>
    <t>14:36 น.</t>
  </si>
  <si>
    <t>14:37 น.</t>
  </si>
  <si>
    <t>10:51 น.</t>
  </si>
  <si>
    <t>14:39 น.</t>
  </si>
  <si>
    <t>14:40 น.</t>
  </si>
  <si>
    <t>11:04 น.</t>
  </si>
  <si>
    <t>32 นาที</t>
  </si>
  <si>
    <t>11:05 น.</t>
  </si>
  <si>
    <t>11:03 น.</t>
  </si>
  <si>
    <t>11:08 น.</t>
  </si>
  <si>
    <t>14:38 น.</t>
  </si>
  <si>
    <t>11:10 น.</t>
  </si>
  <si>
    <t>INSPECTION-P</t>
  </si>
  <si>
    <t>11:09 น.</t>
  </si>
  <si>
    <t>11:12 น.</t>
  </si>
  <si>
    <t>14:41 น.</t>
  </si>
  <si>
    <t>11:11 น.</t>
  </si>
  <si>
    <t>11:13 น.</t>
  </si>
  <si>
    <t>14:26 น.</t>
  </si>
  <si>
    <t>COMPRESSION 1-P</t>
  </si>
  <si>
    <t>14:25 น.</t>
  </si>
  <si>
    <t>10:50</t>
  </si>
  <si>
    <t>14:29 น.</t>
  </si>
  <si>
    <t>14:28 น.</t>
  </si>
  <si>
    <t>14:27 น.</t>
  </si>
  <si>
    <t>39 นาที</t>
  </si>
  <si>
    <t>46.7</t>
  </si>
  <si>
    <t>30.5</t>
  </si>
  <si>
    <t>DRY GRANULATION-P</t>
  </si>
  <si>
    <t>TOOL WASHING-P</t>
  </si>
  <si>
    <t>39.4</t>
  </si>
  <si>
    <t>10:46</t>
  </si>
  <si>
    <t>RAG05</t>
  </si>
  <si>
    <t>37.3</t>
  </si>
  <si>
    <t>10:44</t>
  </si>
  <si>
    <t>10:42</t>
  </si>
  <si>
    <t>10:43</t>
  </si>
  <si>
    <t>13:41 น.</t>
  </si>
  <si>
    <t>10:47</t>
  </si>
  <si>
    <t>13:42 น.</t>
  </si>
  <si>
    <t>45.9</t>
  </si>
  <si>
    <t>10:49</t>
  </si>
  <si>
    <t>13:45 น.</t>
  </si>
  <si>
    <t>10:54</t>
  </si>
  <si>
    <t>13:46 น.</t>
  </si>
  <si>
    <t>13:44 น.</t>
  </si>
  <si>
    <t>13:43 น.</t>
  </si>
  <si>
    <t>20/12/2025</t>
  </si>
  <si>
    <t>9:36 น.</t>
  </si>
  <si>
    <t>13:40 น.</t>
  </si>
  <si>
    <t>4 ชม.</t>
  </si>
  <si>
    <t>4 นาที</t>
  </si>
  <si>
    <t>9:52 น.</t>
  </si>
  <si>
    <t>9:50 น.</t>
  </si>
  <si>
    <t>9:51 น.</t>
  </si>
  <si>
    <t>9:54 น.</t>
  </si>
  <si>
    <t>9:53 น.</t>
  </si>
  <si>
    <t>9:55 น.</t>
  </si>
  <si>
    <t>9:43 น.</t>
  </si>
  <si>
    <t>0 นาที</t>
  </si>
  <si>
    <t>9:48 น.</t>
  </si>
  <si>
    <t>9:47 น.</t>
  </si>
  <si>
    <t>9:44 น.</t>
  </si>
  <si>
    <t>59 นาที</t>
  </si>
  <si>
    <t>9:45 น.</t>
  </si>
  <si>
    <t>58 นาที</t>
  </si>
  <si>
    <t>9:46 น.</t>
  </si>
  <si>
    <t>10:34</t>
  </si>
  <si>
    <t>9:42 น.</t>
  </si>
  <si>
    <t>9:40 น.</t>
  </si>
  <si>
    <t>1 นาที</t>
  </si>
  <si>
    <t>9:41 น.</t>
  </si>
  <si>
    <t>9:39 น.</t>
  </si>
  <si>
    <t>2 นาที</t>
  </si>
  <si>
    <t>9:37 น.</t>
  </si>
  <si>
    <t>9:38 น.</t>
  </si>
  <si>
    <t>3 นาที</t>
  </si>
  <si>
    <t>10:33</t>
  </si>
  <si>
    <t>9:59 น.</t>
  </si>
  <si>
    <t>9:16 น.</t>
  </si>
  <si>
    <t>13:30 น.</t>
  </si>
  <si>
    <t>14 นาที</t>
  </si>
  <si>
    <t>9:33 น.</t>
  </si>
  <si>
    <t>13:39 น.</t>
  </si>
  <si>
    <t>6 นาที</t>
  </si>
  <si>
    <t>9:32 น.</t>
  </si>
  <si>
    <t>7 นาที</t>
  </si>
  <si>
    <t>9:34 น.</t>
  </si>
  <si>
    <t>9:35 น.</t>
  </si>
  <si>
    <t>5 นาที</t>
  </si>
  <si>
    <t>9:18 น.</t>
  </si>
  <si>
    <t>12 นาที</t>
  </si>
  <si>
    <t>9:31 น.</t>
  </si>
  <si>
    <t>13:38 น.</t>
  </si>
  <si>
    <t>9:29 น.</t>
  </si>
  <si>
    <t>13:37 น.</t>
  </si>
  <si>
    <t>8 นาที</t>
  </si>
  <si>
    <t>9:28 น.</t>
  </si>
  <si>
    <t>13:36 น.</t>
  </si>
  <si>
    <t>9:25 น.</t>
  </si>
  <si>
    <t>13:34 น.</t>
  </si>
  <si>
    <t>9 นาที</t>
  </si>
  <si>
    <t>9:30 น.</t>
  </si>
  <si>
    <t>9:27 น.</t>
  </si>
  <si>
    <t>13:35 น.</t>
  </si>
  <si>
    <t>9:26 น.</t>
  </si>
  <si>
    <t>9:24 น.</t>
  </si>
  <si>
    <t>13:33 น.</t>
  </si>
  <si>
    <t>9:23 น.</t>
  </si>
  <si>
    <t>13:32 น.</t>
  </si>
  <si>
    <t>9:22 น.</t>
  </si>
  <si>
    <t>13:31 น.</t>
  </si>
  <si>
    <t>9:21 น.</t>
  </si>
  <si>
    <t>10 นาที</t>
  </si>
  <si>
    <t>9:20 น.</t>
  </si>
  <si>
    <t>9:19 น.</t>
  </si>
  <si>
    <t>11 นาที</t>
  </si>
  <si>
    <t>Booth</t>
  </si>
  <si>
    <t>50.0</t>
  </si>
  <si>
    <t>18.8</t>
  </si>
  <si>
    <t>48.7</t>
  </si>
  <si>
    <t>10:37</t>
  </si>
  <si>
    <t>Re-Sampling</t>
  </si>
  <si>
    <t>09:00</t>
  </si>
  <si>
    <t>09:08</t>
  </si>
  <si>
    <t>AT-26-0006</t>
  </si>
  <si>
    <t>41.1</t>
  </si>
  <si>
    <t>09:17</t>
  </si>
  <si>
    <t>09:25</t>
  </si>
  <si>
    <t>41.2</t>
  </si>
  <si>
    <t>AT-26-0007</t>
  </si>
  <si>
    <t>47.1</t>
  </si>
  <si>
    <t>Routine, Re-Sampling</t>
  </si>
  <si>
    <t>40.4</t>
  </si>
  <si>
    <t>AT-26-0008</t>
  </si>
  <si>
    <t>40.2</t>
  </si>
  <si>
    <t>A ในเครื่อง</t>
  </si>
  <si>
    <t>A ด้านในผ้าใบ</t>
  </si>
  <si>
    <t>37.5</t>
  </si>
  <si>
    <t>A ในผ้ายาง</t>
  </si>
  <si>
    <t>PASS BOX กลางทางเดิน</t>
  </si>
  <si>
    <t>41.3</t>
  </si>
  <si>
    <t>40.6</t>
  </si>
  <si>
    <t>40.7</t>
  </si>
  <si>
    <t xml:space="preserve">A ใน Hood </t>
  </si>
  <si>
    <t>43.2</t>
  </si>
  <si>
    <t>49.8</t>
  </si>
  <si>
    <t>41.7</t>
  </si>
  <si>
    <t>42.1</t>
  </si>
  <si>
    <t>PASS BOX ริมนอก</t>
  </si>
  <si>
    <t xml:space="preserve">SHB02จุดที่ 30 </t>
  </si>
  <si>
    <t>HOOD</t>
  </si>
  <si>
    <t>47.0</t>
  </si>
  <si>
    <t>TA69013</t>
  </si>
  <si>
    <t>7/6/2026</t>
  </si>
  <si>
    <t>18.9</t>
  </si>
  <si>
    <t>41.5</t>
  </si>
  <si>
    <t>48.4</t>
  </si>
  <si>
    <t>47.9</t>
  </si>
  <si>
    <t>17.45</t>
  </si>
  <si>
    <t>TA69006</t>
  </si>
  <si>
    <t>2/26/2026</t>
  </si>
  <si>
    <t>AT-26-0009</t>
  </si>
  <si>
    <t>17.46</t>
  </si>
  <si>
    <t>Laminar</t>
  </si>
  <si>
    <t>17.47</t>
  </si>
  <si>
    <t>Machine</t>
  </si>
  <si>
    <t>17.48</t>
  </si>
  <si>
    <t>17.49</t>
  </si>
  <si>
    <t>17.50</t>
  </si>
  <si>
    <t>17.51</t>
  </si>
  <si>
    <t>RAG02</t>
  </si>
  <si>
    <t>31.4</t>
  </si>
  <si>
    <t>17.52</t>
  </si>
  <si>
    <t>17.53</t>
  </si>
  <si>
    <t>17.54</t>
  </si>
  <si>
    <t>17.55</t>
  </si>
  <si>
    <t>17.56</t>
  </si>
  <si>
    <t>17.57</t>
  </si>
  <si>
    <t>17.58</t>
  </si>
  <si>
    <t>17.59</t>
  </si>
  <si>
    <t>18.00</t>
  </si>
  <si>
    <t>18.01</t>
  </si>
  <si>
    <t>18.02</t>
  </si>
  <si>
    <t>50.7</t>
  </si>
  <si>
    <t>18.03</t>
  </si>
  <si>
    <t>45</t>
  </si>
  <si>
    <t>18.04</t>
  </si>
  <si>
    <t>14:18</t>
  </si>
  <si>
    <t>18.05</t>
  </si>
  <si>
    <t>14:19</t>
  </si>
  <si>
    <t>18.06</t>
  </si>
  <si>
    <t>37.4</t>
  </si>
  <si>
    <t>AT-26-0010</t>
  </si>
  <si>
    <t>9:50</t>
  </si>
  <si>
    <t>10:15</t>
  </si>
  <si>
    <t>9:20</t>
  </si>
  <si>
    <t>9:30</t>
  </si>
  <si>
    <t>9:32</t>
  </si>
  <si>
    <t>9:45</t>
  </si>
  <si>
    <t>44.1</t>
  </si>
  <si>
    <t>AT-26-0011</t>
  </si>
  <si>
    <t>09:45</t>
  </si>
  <si>
    <t>09:55</t>
  </si>
  <si>
    <t>09:36</t>
  </si>
  <si>
    <t>09:06</t>
  </si>
  <si>
    <t>09:20</t>
  </si>
  <si>
    <t>08:48</t>
  </si>
  <si>
    <t>TA69007</t>
  </si>
  <si>
    <t>3/10/2026</t>
  </si>
  <si>
    <t>AT-26-0013</t>
  </si>
  <si>
    <t>55.3</t>
  </si>
  <si>
    <t>53.1</t>
  </si>
  <si>
    <t>54.0</t>
  </si>
  <si>
    <t>RAG0</t>
  </si>
  <si>
    <t>54.1</t>
  </si>
  <si>
    <t>54.8</t>
  </si>
  <si>
    <t>63.2</t>
  </si>
  <si>
    <t>73.2</t>
  </si>
  <si>
    <t>65.3</t>
  </si>
  <si>
    <t>62.0</t>
  </si>
  <si>
    <t>61.3</t>
  </si>
  <si>
    <t>SHB03</t>
  </si>
  <si>
    <t>BOOTH</t>
  </si>
  <si>
    <t>61.0</t>
  </si>
  <si>
    <t>59.0</t>
  </si>
  <si>
    <t>27.0</t>
  </si>
  <si>
    <t>200.3</t>
  </si>
  <si>
    <t>10:13</t>
  </si>
  <si>
    <t>10:12</t>
  </si>
  <si>
    <t>43.6</t>
  </si>
  <si>
    <t>29.4</t>
  </si>
  <si>
    <t>40.3</t>
  </si>
  <si>
    <t>38.4</t>
  </si>
  <si>
    <t>40.5</t>
  </si>
  <si>
    <t>RAG04</t>
  </si>
  <si>
    <t>26.6</t>
  </si>
  <si>
    <t>79.9</t>
  </si>
  <si>
    <t>80.7</t>
  </si>
  <si>
    <t>77.1</t>
  </si>
  <si>
    <t>74.4</t>
  </si>
  <si>
    <t>66.2</t>
  </si>
  <si>
    <t>62.8</t>
  </si>
  <si>
    <t>34.5</t>
  </si>
  <si>
    <t>62.9</t>
  </si>
  <si>
    <t>61.2</t>
  </si>
  <si>
    <t>18.2</t>
  </si>
  <si>
    <t>60.8</t>
  </si>
  <si>
    <t>58.3</t>
  </si>
  <si>
    <t>10:08</t>
  </si>
  <si>
    <t>28.1</t>
  </si>
  <si>
    <t>28.0</t>
  </si>
  <si>
    <t>62.1</t>
  </si>
  <si>
    <t>60.5</t>
  </si>
  <si>
    <t>09:51</t>
  </si>
  <si>
    <t>15.9</t>
  </si>
  <si>
    <t>31.1</t>
  </si>
  <si>
    <t>49.0</t>
  </si>
  <si>
    <t>13:47</t>
  </si>
  <si>
    <t>13:49</t>
  </si>
  <si>
    <t>13:48</t>
  </si>
  <si>
    <t>27.7</t>
  </si>
  <si>
    <t>36.6</t>
  </si>
  <si>
    <t>09:57</t>
  </si>
  <si>
    <t>50.2</t>
  </si>
  <si>
    <t>09:58</t>
  </si>
  <si>
    <t>09:56</t>
  </si>
  <si>
    <t>09:54</t>
  </si>
  <si>
    <t>09:53</t>
  </si>
  <si>
    <t>09:11</t>
  </si>
  <si>
    <t>09:24</t>
  </si>
  <si>
    <t>AT-26-0012</t>
  </si>
  <si>
    <t>08:35</t>
  </si>
  <si>
    <t>08:45</t>
  </si>
  <si>
    <t>08:40</t>
  </si>
  <si>
    <t>08:50</t>
  </si>
  <si>
    <t>09:18</t>
  </si>
  <si>
    <t>09:05</t>
  </si>
  <si>
    <t>09:15</t>
  </si>
  <si>
    <t>09:46</t>
  </si>
  <si>
    <t>TA69008</t>
  </si>
  <si>
    <t>3/18/2026</t>
  </si>
  <si>
    <t>AT-26-0014</t>
  </si>
  <si>
    <t>39.8</t>
  </si>
  <si>
    <t>39.3</t>
  </si>
  <si>
    <t>49.7</t>
  </si>
  <si>
    <t>SP09</t>
  </si>
  <si>
    <t>SP10</t>
  </si>
  <si>
    <t xml:space="preserve">turn table </t>
  </si>
  <si>
    <t>Final Fillter</t>
  </si>
  <si>
    <t>Filling nozzle</t>
  </si>
  <si>
    <t>SP08</t>
  </si>
  <si>
    <t>tunnel cooling zone</t>
  </si>
  <si>
    <t>SP07</t>
  </si>
  <si>
    <t>16-1-067</t>
  </si>
  <si>
    <t>รอบ 1 เก็บลม (Tray loader)</t>
  </si>
  <si>
    <t>รอบ 2 มีขวดผลิตออกมา (Tray loader)</t>
  </si>
  <si>
    <t>42.8</t>
  </si>
  <si>
    <t>Passbox กลาง</t>
  </si>
  <si>
    <t>SP06</t>
  </si>
  <si>
    <t>SP02</t>
  </si>
  <si>
    <t xml:space="preserve">UAF 13 </t>
  </si>
  <si>
    <t>43.5</t>
  </si>
  <si>
    <t>24.1</t>
  </si>
  <si>
    <t>09:42</t>
  </si>
  <si>
    <t>13:30</t>
  </si>
  <si>
    <t>AT-26-0015</t>
  </si>
  <si>
    <t>09:47</t>
  </si>
  <si>
    <t>13:35</t>
  </si>
  <si>
    <t>60.7</t>
  </si>
  <si>
    <t>13:36</t>
  </si>
  <si>
    <t>60.4</t>
  </si>
  <si>
    <t>09:48</t>
  </si>
  <si>
    <t>13:37</t>
  </si>
  <si>
    <t>61.1</t>
  </si>
  <si>
    <t>13:34</t>
  </si>
  <si>
    <t>13:38</t>
  </si>
  <si>
    <t>59.6</t>
  </si>
  <si>
    <t>13:33</t>
  </si>
  <si>
    <t>09:44</t>
  </si>
  <si>
    <t>13:32</t>
  </si>
  <si>
    <t>58.8</t>
  </si>
  <si>
    <t>09:43</t>
  </si>
  <si>
    <t>554.0</t>
  </si>
  <si>
    <t>65.6</t>
  </si>
  <si>
    <t>56.1</t>
  </si>
  <si>
    <t>13:31</t>
  </si>
  <si>
    <t>17.1</t>
  </si>
  <si>
    <t>36.3</t>
  </si>
  <si>
    <t>AT-26-0016</t>
  </si>
  <si>
    <t>AT-26-0017</t>
  </si>
  <si>
    <t>SP04</t>
  </si>
  <si>
    <t>SP05</t>
  </si>
  <si>
    <t>Final filter</t>
  </si>
  <si>
    <t>SP01</t>
  </si>
  <si>
    <t>SP03</t>
  </si>
  <si>
    <t>Tunnel ampoule cooling zone</t>
  </si>
  <si>
    <t>16-1-063</t>
  </si>
  <si>
    <t>Tray loader</t>
  </si>
  <si>
    <t>27.9</t>
  </si>
  <si>
    <t>57.2</t>
  </si>
  <si>
    <t>AT-26-0018</t>
  </si>
  <si>
    <t>66.4</t>
  </si>
  <si>
    <t>67.8</t>
  </si>
  <si>
    <t>10:56</t>
  </si>
  <si>
    <t>28.3</t>
  </si>
  <si>
    <t>11:20</t>
  </si>
  <si>
    <t>AT-26-0019</t>
  </si>
  <si>
    <t>56.8</t>
  </si>
  <si>
    <t>62.6</t>
  </si>
  <si>
    <t>14:21</t>
  </si>
  <si>
    <t>14:22</t>
  </si>
  <si>
    <t>24.0</t>
  </si>
  <si>
    <t>0001686342</t>
  </si>
  <si>
    <t>In operate LAF ampoule filling</t>
  </si>
  <si>
    <t>At-rest UAF machine ampoule Filling</t>
  </si>
  <si>
    <t>At-rest UAF เครื่อง 1/2</t>
  </si>
  <si>
    <t>81.0</t>
  </si>
  <si>
    <t>At-rest UAF เครื่อง 2/2</t>
  </si>
  <si>
    <t xml:space="preserve">At-rest UAF เครื่อง </t>
  </si>
  <si>
    <t>At-rest LAF ampoule tunnel</t>
  </si>
  <si>
    <t>25.5</t>
  </si>
  <si>
    <t>At-rest Dynamic passbox (038)</t>
  </si>
  <si>
    <t>At-rest Air trap ampoule</t>
  </si>
  <si>
    <t>At-rest LAF Vial</t>
  </si>
  <si>
    <t>At-rest Dynamic passbox (041)</t>
  </si>
  <si>
    <t>At-rest Dynamic passbox (039)</t>
  </si>
  <si>
    <t>At-rest Dispensing Booth</t>
  </si>
  <si>
    <t>At-rest Dynamic passbox กลาง</t>
  </si>
  <si>
    <t>At-rest Dynamic passbox ริม</t>
  </si>
  <si>
    <t>27.1</t>
  </si>
  <si>
    <t>35.6</t>
  </si>
  <si>
    <t>53.3</t>
  </si>
  <si>
    <t>25.3</t>
  </si>
  <si>
    <t>09:27</t>
  </si>
  <si>
    <t>58.1</t>
  </si>
  <si>
    <t>23.9</t>
  </si>
  <si>
    <t>53.2</t>
  </si>
  <si>
    <t>AT-26-0020</t>
  </si>
  <si>
    <t>ไม่ได้เก็บห้องล็อค</t>
  </si>
  <si>
    <t>RAG06</t>
  </si>
  <si>
    <t>55.7</t>
  </si>
  <si>
    <t>24.5</t>
  </si>
  <si>
    <t>27.5</t>
  </si>
  <si>
    <t>27.8</t>
  </si>
  <si>
    <t>26.5</t>
  </si>
  <si>
    <t>AT-26-0021</t>
  </si>
  <si>
    <t>AT-26-0022</t>
  </si>
  <si>
    <t>AT-26-0023</t>
  </si>
  <si>
    <t>42.0</t>
  </si>
  <si>
    <t>AT-26-0024</t>
  </si>
  <si>
    <t>AT-26-0025</t>
  </si>
  <si>
    <t>ซ่อม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</si>
</sst>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yyyy"/>
    <numFmt numFmtId="165" formatCode="dd&quot;-&quot;mmm&quot;-&quot;yyyy"/>
    <numFmt numFmtId="166" formatCode="M/d/yyyy"/>
    <numFmt numFmtId="167" formatCode="d/mmm/yyyy"/>
    <numFmt numFmtId="168" formatCode="m-d-yyyy"/>
    <numFmt numFmtId="169" formatCode="d-mmm-yyyy"/>
    <numFmt numFmtId="170" formatCode="mmm&quot;-&quot;dd&quot;-&quot;yyyy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b/>
      <color rgb="FF000000"/>
      <name val="Roboto"/>
    </font>
    <font>
      <b/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434343"/>
      <name val="Roboto"/>
    </font>
    <font>
      <sz val="11.0"/>
      <color theme="1"/>
      <name val="Tahoma"/>
    </font>
    <font>
      <sz val="11.0"/>
      <color rgb="FF000000"/>
      <name val="Tahoma"/>
    </font>
    <font>
      <color rgb="FF434343"/>
      <name val="Roboto"/>
    </font>
    <font>
      <sz val="10.0"/>
      <color theme="1"/>
      <name val="Roboto"/>
    </font>
    <font>
      <b/>
      <sz val="10.0"/>
      <color rgb="FF000000"/>
      <name val="Roboto"/>
    </font>
    <font>
      <sz val="16.0"/>
      <color rgb="FF000000"/>
      <name val="Angsana New"/>
    </font>
    <font>
      <color rgb="FF000000"/>
      <name val="Arial"/>
      <scheme val="minor"/>
    </font>
    <font>
      <u/>
      <color rgb="FF0000FF"/>
    </font>
    <font>
      <u/>
      <color rgb="FF0000FF"/>
    </font>
    <font>
      <sz val="11.0"/>
      <color rgb="FF000000"/>
      <name val="Calibri"/>
    </font>
    <font>
      <sz val="11.0"/>
      <color rgb="FF473821"/>
      <name val="Roboto"/>
    </font>
    <font>
      <sz val="11.0"/>
      <color rgb="FFD4EDBC"/>
      <name val="Roboto"/>
    </font>
    <font>
      <sz val="11.0"/>
      <color rgb="FFBFE0F6"/>
      <name val="Roboto"/>
    </font>
    <font>
      <sz val="11.0"/>
      <color rgb="FF0A53A8"/>
      <name val="Roboto"/>
    </font>
    <font>
      <sz val="10.0"/>
      <color rgb="FF000000"/>
      <name val="Roboto"/>
    </font>
    <font>
      <sz val="16.0"/>
      <color theme="1"/>
      <name val="Angsana New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FF4D6"/>
        <bgColor rgb="FFFFF4D6"/>
      </patternFill>
    </fill>
    <fill>
      <patternFill patternType="solid">
        <fgColor rgb="FFFFE5A0"/>
        <bgColor rgb="FFFFE5A0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DF0F6"/>
        <bgColor rgb="FFFDF0F6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</fills>
  <borders count="6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80AD86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80AD86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80AD86"/>
      </left>
      <right style="thin">
        <color rgb="FFFFFFFF"/>
      </right>
      <top style="thin">
        <color rgb="FFFFFFFF"/>
      </top>
      <bottom style="thin">
        <color rgb="FF80AD8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49" xfId="0" applyAlignment="1" applyFill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1" numFmtId="49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horizontal="left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0" fillId="0" fontId="5" numFmtId="166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3" fontId="5" numFmtId="0" xfId="0" applyAlignment="1" applyFill="1" applyFont="1">
      <alignment horizontal="center" shrinkToFit="0" vertical="center" wrapText="0"/>
    </xf>
    <xf borderId="0" fillId="0" fontId="5" numFmtId="0" xfId="0" applyFont="1"/>
    <xf borderId="0" fillId="3" fontId="5" numFmtId="49" xfId="0" applyAlignment="1" applyFill="1" applyFont="1" applyNumberFormat="1">
      <alignment horizontal="center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166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3" fontId="5" numFmtId="0" xfId="0" applyAlignment="1" applyFill="1" applyFont="1">
      <alignment horizontal="center" shrinkToFit="0" vertical="center" wrapText="0"/>
    </xf>
    <xf borderId="0" fillId="3" fontId="5" numFmtId="0" xfId="0" applyAlignment="1" applyFill="1" applyFont="1">
      <alignment horizontal="center" shrinkToFit="0" vertical="center" wrapText="0"/>
    </xf>
    <xf borderId="0" fillId="3" fontId="5" numFmtId="49" xfId="0" applyAlignment="1" applyFill="1" applyFont="1" applyNumberFormat="1">
      <alignment horizontal="center" shrinkToFit="0" vertical="center" wrapText="0"/>
    </xf>
    <xf borderId="0" fillId="4" fontId="5" numFmtId="10" xfId="0" applyAlignment="1" applyFill="1" applyFont="1" applyNumberFormat="1">
      <alignment horizontal="center" shrinkToFit="0" vertical="center" wrapText="0"/>
    </xf>
    <xf borderId="0" fillId="4" fontId="5" numFmtId="0" xfId="0" applyAlignment="1" applyFill="1" applyFont="1">
      <alignment horizontal="center" readingOrder="0" shrinkToFit="0" vertical="center" wrapText="0"/>
    </xf>
    <xf borderId="0" fillId="3" fontId="5" numFmtId="0" xfId="0" applyAlignment="1" applyFill="1" applyFont="1">
      <alignment horizontal="center" shrinkToFit="0" vertical="center" wrapText="0"/>
    </xf>
    <xf borderId="0" fillId="4" fontId="5" numFmtId="10" xfId="0" applyAlignment="1" applyFill="1" applyFont="1" applyNumberFormat="1">
      <alignment horizontal="center" shrinkToFit="0" vertical="center" wrapText="0"/>
    </xf>
    <xf borderId="0" fillId="0" fontId="5" numFmtId="49" xfId="0" applyFont="1" applyNumberFormat="1"/>
    <xf borderId="1" fillId="4" fontId="6" numFmtId="49" xfId="0" applyAlignment="1" applyBorder="1" applyFill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5" fontId="5" numFmtId="165" xfId="0" applyAlignment="1" applyFill="1" applyFont="1" applyNumberForma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5" fontId="5" numFmtId="49" xfId="0" applyAlignment="1" applyFill="1" applyFont="1" applyNumberForma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5" fontId="5" numFmtId="166" xfId="0" applyAlignment="1" applyFill="1" applyFont="1" applyNumberForma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5" fontId="5" numFmtId="49" xfId="0" applyAlignment="1" applyFill="1" applyFont="1" applyNumberFormat="1">
      <alignment horizontal="left" shrinkToFit="0" vertical="center" wrapText="0"/>
    </xf>
    <xf borderId="0" fillId="5" fontId="5" numFmtId="0" xfId="0" applyAlignment="1" applyFill="1" applyFont="1">
      <alignment horizontal="left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5" fontId="5" numFmtId="49" xfId="0" applyAlignment="1" applyFill="1" applyFont="1" applyNumberFormat="1">
      <alignment shrinkToFit="0" vertical="center" wrapText="0"/>
    </xf>
    <xf borderId="0" fillId="0" fontId="5" numFmtId="168" xfId="0" applyAlignment="1" applyFont="1" applyNumberFormat="1">
      <alignment shrinkToFit="0" vertical="center" wrapText="0"/>
    </xf>
    <xf borderId="0" fillId="3" fontId="5" numFmtId="168" xfId="0" applyAlignment="1" applyFill="1" applyFont="1" applyNumberFormat="1">
      <alignment horizontal="center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49" xfId="0" applyAlignment="1" applyFont="1" applyNumberFormat="1">
      <alignment horizontal="left" readingOrder="0" shrinkToFit="0" vertical="bottom" wrapText="0"/>
    </xf>
    <xf borderId="0" fillId="0" fontId="7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/>
    </xf>
    <xf borderId="0" fillId="5" fontId="5" numFmtId="49" xfId="0" applyAlignment="1" applyFill="1" applyFont="1" applyNumberFormat="1">
      <alignment readingOrder="0" shrinkToFit="0" vertical="center" wrapText="0"/>
    </xf>
    <xf borderId="0" fillId="0" fontId="1" numFmtId="49" xfId="0" applyFont="1" applyNumberFormat="1"/>
    <xf borderId="0" fillId="6" fontId="5" numFmtId="0" xfId="0" applyAlignment="1" applyFill="1" applyFont="1">
      <alignment readingOrder="0" shrinkToFit="0" vertical="center" wrapText="0"/>
    </xf>
    <xf borderId="2" fillId="7" fontId="9" numFmtId="49" xfId="0" applyAlignment="1" applyBorder="1" applyFill="1" applyFont="1" applyNumberFormat="1">
      <alignment shrinkToFit="0" vertical="center" wrapText="0"/>
    </xf>
    <xf borderId="0" fillId="0" fontId="1" numFmtId="0" xfId="0" applyFont="1"/>
    <xf borderId="3" fillId="4" fontId="9" numFmtId="49" xfId="0" applyAlignment="1" applyBorder="1" applyFill="1" applyFont="1" applyNumberFormat="1">
      <alignment shrinkToFit="0" vertical="center" wrapText="0"/>
    </xf>
    <xf borderId="0" fillId="5" fontId="5" numFmtId="0" xfId="0" applyAlignment="1" applyFill="1" applyFont="1">
      <alignment horizontal="center"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8" fontId="5" numFmtId="165" xfId="0" applyAlignment="1" applyFill="1" applyFont="1" applyNumberFormat="1">
      <alignment readingOrder="0" shrinkToFit="0" vertical="center" wrapText="0"/>
    </xf>
    <xf borderId="0" fillId="8" fontId="5" numFmtId="49" xfId="0" applyAlignment="1" applyFill="1" applyFont="1" applyNumberFormat="1">
      <alignment readingOrder="0" shrinkToFit="0" vertical="center" wrapText="0"/>
    </xf>
    <xf borderId="0" fillId="8" fontId="5" numFmtId="0" xfId="0" applyAlignment="1" applyFill="1" applyFont="1">
      <alignment readingOrder="0" shrinkToFit="0" vertical="center" wrapText="0"/>
    </xf>
    <xf borderId="0" fillId="8" fontId="5" numFmtId="166" xfId="0" applyAlignment="1" applyFill="1" applyFont="1" applyNumberFormat="1">
      <alignment readingOrder="0" shrinkToFit="0" vertical="center" wrapText="0"/>
    </xf>
    <xf borderId="0" fillId="8" fontId="5" numFmtId="0" xfId="0" applyAlignment="1" applyFill="1" applyFont="1">
      <alignment readingOrder="0" shrinkToFit="0" vertical="center" wrapText="0"/>
    </xf>
    <xf borderId="0" fillId="8" fontId="5" numFmtId="0" xfId="0" applyAlignment="1" applyFill="1" applyFont="1">
      <alignment readingOrder="0" shrinkToFit="0" vertical="center" wrapText="0"/>
    </xf>
    <xf borderId="0" fillId="8" fontId="5" numFmtId="0" xfId="0" applyAlignment="1" applyFill="1" applyFont="1">
      <alignment shrinkToFit="0" vertical="center" wrapText="0"/>
    </xf>
    <xf borderId="0" fillId="8" fontId="5" numFmtId="49" xfId="0" applyAlignment="1" applyFill="1" applyFont="1" applyNumberFormat="1">
      <alignment horizontal="left" shrinkToFit="0" vertical="center" wrapText="0"/>
    </xf>
    <xf borderId="0" fillId="8" fontId="5" numFmtId="49" xfId="0" applyAlignment="1" applyFill="1" applyFont="1" applyNumberFormat="1">
      <alignment shrinkToFit="0" vertical="center" wrapText="0"/>
    </xf>
    <xf borderId="3" fillId="4" fontId="9" numFmtId="49" xfId="0" applyAlignment="1" applyBorder="1" applyFill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3" fillId="4" fontId="9" numFmtId="168" xfId="0" applyAlignment="1" applyBorder="1" applyFill="1" applyFont="1" applyNumberFormat="1">
      <alignment shrinkToFit="0" vertical="center" wrapText="0"/>
    </xf>
    <xf borderId="2" fillId="7" fontId="9" numFmtId="168" xfId="0" applyAlignment="1" applyBorder="1" applyFill="1" applyFont="1" applyNumberFormat="1">
      <alignment shrinkToFit="0" vertical="center" wrapText="0"/>
    </xf>
    <xf borderId="3" fillId="4" fontId="9" numFmtId="0" xfId="0" applyAlignment="1" applyBorder="1" applyFill="1" applyFont="1">
      <alignment shrinkToFit="0" vertical="center" wrapText="0"/>
    </xf>
    <xf borderId="2" fillId="7" fontId="9" numFmtId="168" xfId="0" applyAlignment="1" applyBorder="1" applyFill="1" applyFont="1" applyNumberFormat="1">
      <alignment readingOrder="0" shrinkToFit="0" vertical="center" wrapText="0"/>
    </xf>
    <xf borderId="2" fillId="7" fontId="9" numFmtId="0" xfId="0" applyAlignment="1" applyBorder="1" applyFill="1" applyFont="1">
      <alignment shrinkToFit="0" vertical="center" wrapText="0"/>
    </xf>
    <xf borderId="3" fillId="4" fontId="9" numFmtId="0" xfId="0" applyAlignment="1" applyBorder="1" applyFill="1" applyFont="1">
      <alignment readingOrder="0" shrinkToFit="0" vertical="center" wrapText="0"/>
    </xf>
    <xf borderId="2" fillId="7" fontId="9" numFmtId="0" xfId="0" applyAlignment="1" applyBorder="1" applyFill="1" applyFont="1">
      <alignment readingOrder="0" shrinkToFit="0" vertical="center" wrapText="0"/>
    </xf>
    <xf borderId="4" fillId="7" fontId="9" numFmtId="0" xfId="0" applyAlignment="1" applyBorder="1" applyFill="1" applyFont="1">
      <alignment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49" xfId="0" applyAlignment="1" applyFont="1" applyNumberForma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0" numFmtId="0" xfId="0" applyFont="1"/>
    <xf borderId="0" fillId="0" fontId="10" numFmtId="49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49" xfId="0" applyFont="1" applyNumberFormat="1"/>
    <xf borderId="0" fillId="0" fontId="10" numFmtId="49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5" numFmtId="167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3" fontId="5" numFmtId="49" xfId="0" applyAlignment="1" applyFill="1" applyFont="1" applyNumberFormat="1">
      <alignment horizontal="center"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0"/>
    </xf>
    <xf borderId="0" fillId="4" fontId="5" numFmtId="10" xfId="0" applyAlignment="1" applyFill="1" applyFont="1" applyNumberFormat="1">
      <alignment horizontal="center" readingOrder="0" shrinkToFit="0" vertical="center" wrapText="0"/>
    </xf>
    <xf borderId="0" fillId="0" fontId="5" numFmtId="169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9" fontId="13" numFmtId="0" xfId="0" applyAlignment="1" applyFill="1" applyFont="1">
      <alignment horizontal="left" readingOrder="0" shrinkToFit="0" vertical="center" wrapText="0"/>
    </xf>
    <xf borderId="0" fillId="10" fontId="13" numFmtId="49" xfId="0" applyAlignment="1" applyFill="1" applyFont="1" applyNumberFormat="1">
      <alignment horizontal="left" readingOrder="0" shrinkToFit="0" vertical="center" wrapText="0"/>
    </xf>
    <xf borderId="0" fillId="11" fontId="1" numFmtId="49" xfId="0" applyAlignment="1" applyFill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49" xfId="0" applyAlignment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8" fontId="5" numFmtId="0" xfId="0" applyAlignment="1" applyFill="1" applyFont="1">
      <alignment readingOrder="0" shrinkToFit="0" vertical="center" wrapText="0"/>
    </xf>
    <xf borderId="0" fillId="12" fontId="5" numFmtId="0" xfId="0" applyAlignment="1" applyFill="1" applyFont="1">
      <alignment readingOrder="0" shrinkToFit="0" vertical="center" wrapText="0"/>
    </xf>
    <xf borderId="0" fillId="0" fontId="5" numFmtId="165" xfId="0" applyAlignment="1" applyFont="1" applyNumberFormat="1">
      <alignment horizontal="center"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13" fontId="5" numFmtId="0" xfId="0" applyAlignment="1" applyFill="1" applyFon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11" fontId="5" numFmtId="49" xfId="0" applyAlignment="1" applyFill="1" applyFont="1" applyNumberFormat="1">
      <alignment readingOrder="0" shrinkToFit="0" vertical="center" wrapText="0"/>
    </xf>
    <xf borderId="0" fillId="14" fontId="5" numFmtId="0" xfId="0" applyAlignment="1" applyFill="1" applyFont="1">
      <alignment readingOrder="0" shrinkToFit="0" vertical="center" wrapText="0"/>
    </xf>
    <xf borderId="0" fillId="15" fontId="5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1" fillId="4" fontId="6" numFmtId="49" xfId="0" applyAlignment="1" applyBorder="1" applyFill="1" applyFont="1" applyNumberFormat="1">
      <alignment horizontal="center" shrinkToFit="0" vertical="center" wrapText="0"/>
    </xf>
    <xf borderId="1" fillId="4" fontId="6" numFmtId="166" xfId="0" applyAlignment="1" applyBorder="1" applyFill="1" applyFont="1" applyNumberFormat="1">
      <alignment horizontal="center" shrinkToFit="0" vertical="center" wrapText="0"/>
    </xf>
    <xf borderId="0" fillId="5" fontId="5" numFmtId="0" xfId="0" applyAlignment="1" applyFill="1" applyFont="1">
      <alignment shrinkToFit="0" vertical="center" wrapText="0"/>
    </xf>
    <xf borderId="0" fillId="5" fontId="5" numFmtId="49" xfId="0" applyAlignment="1" applyFill="1" applyFont="1" applyNumberFormat="1">
      <alignment horizontal="center" readingOrder="0" shrinkToFit="0" vertical="center" wrapText="0"/>
    </xf>
    <xf borderId="0" fillId="5" fontId="5" numFmtId="166" xfId="0" applyAlignment="1" applyFill="1" applyFont="1" applyNumberFormat="1">
      <alignment horizontal="center" readingOrder="0" shrinkToFit="0" vertical="center" wrapText="0"/>
    </xf>
    <xf borderId="0" fillId="5" fontId="5" numFmtId="0" xfId="0" applyAlignment="1" applyFill="1" applyFont="1">
      <alignment horizontal="center" readingOrder="0" shrinkToFit="0" vertical="center" wrapText="0"/>
    </xf>
    <xf borderId="0" fillId="5" fontId="5" numFmtId="0" xfId="0" applyAlignment="1" applyFill="1" applyFont="1">
      <alignment horizontal="center" readingOrder="0" shrinkToFit="0" vertical="center" wrapText="0"/>
    </xf>
    <xf borderId="0" fillId="5" fontId="5" numFmtId="49" xfId="0" applyAlignment="1" applyFill="1" applyFont="1" applyNumberFormat="1">
      <alignment horizontal="center" shrinkToFit="0" vertical="center" wrapText="0"/>
    </xf>
    <xf borderId="0" fillId="5" fontId="5" numFmtId="0" xfId="0" applyAlignment="1" applyFill="1" applyFont="1">
      <alignment horizontal="center" shrinkToFit="0" vertical="center" wrapText="0"/>
    </xf>
    <xf borderId="0" fillId="5" fontId="5" numFmtId="0" xfId="0" applyAlignment="1" applyFill="1" applyFont="1">
      <alignment horizontal="center" shrinkToFit="0" vertical="center" wrapText="0"/>
    </xf>
    <xf borderId="0" fillId="5" fontId="5" numFmtId="10" xfId="0" applyAlignment="1" applyFill="1" applyFont="1" applyNumberFormat="1">
      <alignment horizontal="center" shrinkToFit="0" vertical="center" wrapText="0"/>
    </xf>
    <xf borderId="0" fillId="5" fontId="5" numFmtId="0" xfId="0" applyFill="1" applyFont="1"/>
    <xf borderId="0" fillId="0" fontId="5" numFmtId="0" xfId="0" applyAlignment="1" applyFont="1">
      <alignment shrinkToFit="0" vertical="center" wrapText="0"/>
    </xf>
    <xf borderId="0" fillId="8" fontId="1" numFmtId="49" xfId="0" applyAlignment="1" applyFill="1" applyFont="1" applyNumberFormat="1">
      <alignment readingOrder="0" shrinkToFit="0" vertical="center" wrapText="0"/>
    </xf>
    <xf borderId="5" fillId="8" fontId="17" numFmtId="0" xfId="0" applyAlignment="1" applyBorder="1" applyFill="1" applyFont="1">
      <alignment shrinkToFit="0" vertical="center" wrapText="0"/>
    </xf>
    <xf borderId="0" fillId="8" fontId="5" numFmtId="49" xfId="0" applyAlignment="1" applyFill="1" applyFont="1" applyNumberFormat="1">
      <alignment horizontal="center" readingOrder="0" shrinkToFit="0" vertical="center" wrapText="0"/>
    </xf>
    <xf borderId="0" fillId="8" fontId="5" numFmtId="166" xfId="0" applyAlignment="1" applyFill="1" applyFont="1" applyNumberFormat="1">
      <alignment horizontal="center" readingOrder="0" shrinkToFit="0" vertical="center" wrapText="0"/>
    </xf>
    <xf borderId="0" fillId="8" fontId="5" numFmtId="0" xfId="0" applyAlignment="1" applyFill="1" applyFont="1">
      <alignment horizontal="center" readingOrder="0" shrinkToFit="0" vertical="center" wrapText="0"/>
    </xf>
    <xf borderId="1" fillId="4" fontId="17" numFmtId="0" xfId="0" applyAlignment="1" applyBorder="1" applyFill="1" applyFont="1">
      <alignment shrinkToFit="0" vertical="center" wrapText="0"/>
    </xf>
    <xf borderId="5" fillId="7" fontId="17" numFmtId="0" xfId="0" applyAlignment="1" applyBorder="1" applyFill="1" applyFont="1">
      <alignment shrinkToFit="0" vertical="center" wrapText="0"/>
    </xf>
    <xf borderId="5" fillId="7" fontId="6" numFmtId="49" xfId="0" applyAlignment="1" applyBorder="1" applyFill="1" applyFont="1" applyNumberFormat="1">
      <alignment shrinkToFit="0" vertical="center" wrapText="0"/>
    </xf>
    <xf borderId="5" fillId="7" fontId="18" numFmtId="0" xfId="0" applyAlignment="1" applyBorder="1" applyFill="1" applyFont="1">
      <alignment shrinkToFit="0" vertical="center" wrapText="0"/>
    </xf>
    <xf borderId="1" fillId="4" fontId="18" numFmtId="0" xfId="0" applyAlignment="1" applyBorder="1" applyFill="1" applyFont="1">
      <alignment shrinkToFit="0" vertical="center" wrapText="0"/>
    </xf>
    <xf borderId="5" fillId="7" fontId="6" numFmtId="168" xfId="0" applyAlignment="1" applyBorder="1" applyFill="1" applyFont="1" applyNumberFormat="1">
      <alignment shrinkToFit="0" vertical="center" wrapText="0"/>
    </xf>
    <xf borderId="1" fillId="4" fontId="6" numFmtId="168" xfId="0" applyAlignment="1" applyBorder="1" applyFill="1" applyFont="1" applyNumberFormat="1">
      <alignment shrinkToFit="0" vertical="center" wrapText="0"/>
    </xf>
    <xf borderId="1" fillId="4" fontId="19" numFmtId="0" xfId="0" applyAlignment="1" applyBorder="1" applyFill="1" applyFont="1">
      <alignment shrinkToFit="0" vertical="center" wrapText="0"/>
    </xf>
    <xf borderId="1" fillId="4" fontId="20" numFmtId="0" xfId="0" applyAlignment="1" applyBorder="1" applyFill="1" applyFont="1">
      <alignment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5" numFmtId="169" xfId="0" applyAlignment="1" applyFont="1" applyNumberFormat="1">
      <alignment horizontal="center"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0"/>
    </xf>
    <xf borderId="1" fillId="4" fontId="17" numFmtId="0" xfId="0" applyAlignment="1" applyBorder="1" applyFill="1" applyFont="1">
      <alignment shrinkToFit="0" vertical="center" wrapText="0"/>
    </xf>
    <xf borderId="1" fillId="4" fontId="18" numFmtId="0" xfId="0" applyAlignment="1" applyBorder="1" applyFill="1" applyFont="1">
      <alignment shrinkToFit="0" vertical="center" wrapText="0"/>
    </xf>
    <xf borderId="5" fillId="7" fontId="17" numFmtId="0" xfId="0" applyAlignment="1" applyBorder="1" applyFill="1" applyFont="1">
      <alignment shrinkToFit="0" vertical="center" wrapText="0"/>
    </xf>
    <xf borderId="5" fillId="7" fontId="18" numFmtId="0" xfId="0" applyAlignment="1" applyBorder="1" applyFill="1" applyFont="1">
      <alignment shrinkToFit="0" vertical="center" wrapText="0"/>
    </xf>
    <xf borderId="5" fillId="7" fontId="19" numFmtId="0" xfId="0" applyAlignment="1" applyBorder="1" applyFill="1" applyFont="1">
      <alignment shrinkToFit="0" vertical="center" wrapText="0"/>
    </xf>
    <xf borderId="0" fillId="6" fontId="5" numFmtId="0" xfId="0" applyAlignment="1" applyFill="1" applyFont="1">
      <alignment readingOrder="0" shrinkToFit="0" vertical="center" wrapText="0"/>
    </xf>
    <xf borderId="0" fillId="6" fontId="5" numFmtId="0" xfId="0" applyAlignment="1" applyFill="1" applyFont="1">
      <alignment readingOrder="0" shrinkToFit="0" vertical="center" wrapText="0"/>
    </xf>
    <xf borderId="5" fillId="7" fontId="20" numFmtId="0" xfId="0" applyAlignment="1" applyBorder="1" applyFill="1" applyFont="1">
      <alignment shrinkToFit="0" vertical="center" wrapText="0"/>
    </xf>
    <xf borderId="0" fillId="7" fontId="18" numFmtId="0" xfId="0" applyAlignment="1" applyFill="1" applyFont="1">
      <alignment readingOrder="0" shrinkToFit="0" vertical="center" wrapText="0"/>
    </xf>
    <xf borderId="0" fillId="7" fontId="6" numFmtId="49" xfId="0" applyAlignment="1" applyFill="1" applyFont="1" applyNumberFormat="1">
      <alignment readingOrder="0" shrinkToFit="0" vertical="center" wrapText="0"/>
    </xf>
    <xf borderId="0" fillId="7" fontId="20" numFmtId="0" xfId="0" applyAlignment="1" applyFill="1" applyFont="1">
      <alignment readingOrder="0" shrinkToFit="0" vertical="center" wrapText="0"/>
    </xf>
    <xf borderId="0" fillId="16" fontId="5" numFmtId="0" xfId="0" applyAlignment="1" applyFill="1" applyFont="1">
      <alignment horizontal="center" readingOrder="0" shrinkToFit="0" vertical="center" wrapText="0"/>
    </xf>
    <xf borderId="0" fillId="16" fontId="5" numFmtId="0" xfId="0" applyAlignment="1" applyFill="1" applyFont="1">
      <alignment horizontal="center" readingOrder="0" shrinkToFit="0" vertical="center" wrapText="0"/>
    </xf>
    <xf borderId="0" fillId="17" fontId="5" numFmtId="0" xfId="0" applyAlignment="1" applyFill="1" applyFont="1">
      <alignment horizontal="center" readingOrder="0" shrinkToFit="0" vertical="center" wrapText="0"/>
    </xf>
    <xf borderId="0" fillId="17" fontId="5" numFmtId="0" xfId="0" applyAlignment="1" applyFill="1" applyFont="1">
      <alignment horizontal="center" readingOrder="0" shrinkToFit="0" vertical="center" wrapText="0"/>
    </xf>
    <xf borderId="0" fillId="18" fontId="5" numFmtId="0" xfId="0" applyAlignment="1" applyFill="1" applyFont="1">
      <alignment horizontal="center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7" fontId="18" numFmtId="0" xfId="0" applyAlignment="1" applyBorder="1" applyFill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7" fontId="18" numFmtId="0" xfId="0" applyAlignment="1" applyBorder="1" applyFill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0" fillId="4" fontId="6" numFmtId="49" xfId="0" applyAlignment="1" applyFill="1" applyFont="1" applyNumberFormat="1">
      <alignment shrinkToFit="0" vertical="center" wrapText="0"/>
    </xf>
    <xf borderId="0" fillId="4" fontId="17" numFmtId="0" xfId="0" applyAlignment="1" applyFill="1" applyFont="1">
      <alignment shrinkToFit="0" vertical="center" wrapText="0"/>
    </xf>
    <xf borderId="0" fillId="4" fontId="18" numFmtId="0" xfId="0" applyAlignment="1" applyFill="1" applyFont="1">
      <alignment shrinkToFit="0" vertical="center" wrapText="0"/>
    </xf>
    <xf borderId="0" fillId="7" fontId="6" numFmtId="49" xfId="0" applyAlignment="1" applyFill="1" applyFont="1" applyNumberFormat="1">
      <alignment shrinkToFit="0" vertical="center" wrapText="0"/>
    </xf>
    <xf borderId="0" fillId="7" fontId="17" numFmtId="0" xfId="0" applyAlignment="1" applyFill="1" applyFont="1">
      <alignment shrinkToFit="0" vertical="center" wrapText="0"/>
    </xf>
    <xf borderId="0" fillId="7" fontId="18" numFmtId="0" xfId="0" applyAlignment="1" applyFill="1" applyFont="1">
      <alignment shrinkToFit="0" vertical="center" wrapText="0"/>
    </xf>
    <xf borderId="0" fillId="4" fontId="6" numFmtId="168" xfId="0" applyAlignment="1" applyFill="1" applyFont="1" applyNumberFormat="1">
      <alignment shrinkToFit="0" vertical="center" wrapText="0"/>
    </xf>
    <xf borderId="0" fillId="7" fontId="6" numFmtId="168" xfId="0" applyAlignment="1" applyFill="1" applyFont="1" applyNumberFormat="1">
      <alignment shrinkToFit="0" vertical="center" wrapText="0"/>
    </xf>
    <xf borderId="0" fillId="7" fontId="19" numFmtId="0" xfId="0" applyAlignment="1" applyFill="1" applyFont="1">
      <alignment shrinkToFit="0" vertical="center" wrapText="0"/>
    </xf>
    <xf borderId="0" fillId="7" fontId="20" numFmtId="0" xfId="0" applyAlignment="1" applyFill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7" fontId="5" numFmtId="0" xfId="0" applyAlignment="1" applyFill="1" applyFont="1">
      <alignment horizontal="center" readingOrder="0" shrinkToFit="0" vertical="center" wrapText="0"/>
    </xf>
    <xf borderId="0" fillId="4" fontId="17" numFmtId="0" xfId="0" applyAlignment="1" applyFill="1" applyFont="1">
      <alignment shrinkToFit="0" vertical="center" wrapText="0"/>
    </xf>
    <xf borderId="0" fillId="4" fontId="18" numFmtId="0" xfId="0" applyAlignment="1" applyFill="1" applyFont="1">
      <alignment shrinkToFit="0" vertical="center" wrapText="0"/>
    </xf>
    <xf borderId="0" fillId="7" fontId="17" numFmtId="0" xfId="0" applyAlignment="1" applyFill="1" applyFont="1">
      <alignment shrinkToFit="0" vertical="center" wrapText="0"/>
    </xf>
    <xf borderId="0" fillId="7" fontId="18" numFmtId="0" xfId="0" applyAlignment="1" applyFill="1" applyFont="1">
      <alignment shrinkToFit="0" vertical="center" wrapText="0"/>
    </xf>
    <xf borderId="0" fillId="7" fontId="19" numFmtId="0" xfId="0" applyAlignment="1" applyFill="1" applyFont="1">
      <alignment shrinkToFit="0" vertical="center" wrapText="0"/>
    </xf>
    <xf borderId="0" fillId="7" fontId="20" numFmtId="0" xfId="0" applyAlignment="1" applyFill="1" applyFont="1">
      <alignment shrinkToFit="0" vertical="center" wrapText="0"/>
    </xf>
    <xf borderId="0" fillId="4" fontId="5" numFmtId="49" xfId="0" applyAlignment="1" applyFill="1" applyFont="1" applyNumberFormat="1">
      <alignment readingOrder="0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4" fontId="5" numFmtId="49" xfId="0" applyAlignment="1" applyFill="1" applyFont="1" applyNumberFormat="1">
      <alignment horizontal="center" readingOrder="0" shrinkToFit="0" vertical="center" wrapText="0"/>
    </xf>
    <xf borderId="0" fillId="12" fontId="5" numFmtId="0" xfId="0" applyAlignment="1" applyFill="1" applyFont="1">
      <alignment horizontal="center" readingOrder="0" shrinkToFit="0" vertical="center" wrapText="0"/>
    </xf>
    <xf borderId="5" fillId="7" fontId="6" numFmtId="0" xfId="0" applyAlignment="1" applyBorder="1" applyFill="1" applyFont="1">
      <alignment shrinkToFit="0" vertical="center" wrapText="0"/>
    </xf>
    <xf borderId="1" fillId="4" fontId="6" numFmtId="0" xfId="0" applyAlignment="1" applyBorder="1" applyFill="1" applyFont="1">
      <alignment shrinkToFit="0" vertical="center" wrapText="0"/>
    </xf>
    <xf borderId="0" fillId="11" fontId="5" numFmtId="165" xfId="0" applyAlignment="1" applyFill="1" applyFont="1" applyNumberFormat="1">
      <alignment readingOrder="0" shrinkToFit="0" vertical="center" wrapText="0"/>
    </xf>
    <xf borderId="5" fillId="11" fontId="6" numFmtId="0" xfId="0" applyAlignment="1" applyBorder="1" applyFill="1" applyFont="1">
      <alignment shrinkToFit="0" vertical="center" wrapText="0"/>
    </xf>
    <xf borderId="0" fillId="11" fontId="5" numFmtId="0" xfId="0" applyAlignment="1" applyFill="1" applyFont="1">
      <alignment readingOrder="0" shrinkToFit="0" vertical="center" wrapText="0"/>
    </xf>
    <xf borderId="0" fillId="11" fontId="5" numFmtId="0" xfId="0" applyAlignment="1" applyFill="1" applyFont="1">
      <alignment readingOrder="0" shrinkToFit="0" vertical="center" wrapText="0"/>
    </xf>
    <xf borderId="0" fillId="11" fontId="5" numFmtId="167" xfId="0" applyAlignment="1" applyFill="1" applyFont="1" applyNumberFormat="1">
      <alignment readingOrder="0" shrinkToFit="0" vertical="center" wrapText="0"/>
    </xf>
    <xf borderId="0" fillId="11" fontId="5" numFmtId="49" xfId="0" applyAlignment="1" applyFill="1" applyFont="1" applyNumberFormat="1">
      <alignment horizontal="center" readingOrder="0" shrinkToFit="0" vertical="center" wrapText="0"/>
    </xf>
    <xf borderId="0" fillId="11" fontId="5" numFmtId="166" xfId="0" applyAlignment="1" applyFill="1" applyFont="1" applyNumberFormat="1">
      <alignment horizontal="center" readingOrder="0" shrinkToFit="0" vertical="center" wrapText="0"/>
    </xf>
    <xf borderId="0" fillId="11" fontId="5" numFmtId="0" xfId="0" applyAlignment="1" applyFill="1" applyFont="1">
      <alignment horizontal="center" readingOrder="0" shrinkToFit="0" vertical="center" wrapText="0"/>
    </xf>
    <xf borderId="0" fillId="11" fontId="5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49" xfId="0" applyAlignment="1" applyFont="1" applyNumberFormat="1">
      <alignment horizontal="center" shrinkToFit="0" vertical="center" wrapText="0"/>
    </xf>
    <xf borderId="0" fillId="0" fontId="5" numFmtId="10" xfId="0" applyAlignment="1" applyFont="1" applyNumberFormat="1">
      <alignment horizontal="center" shrinkToFit="0" vertical="center" wrapText="0"/>
    </xf>
    <xf borderId="0" fillId="7" fontId="6" numFmtId="0" xfId="0" applyAlignment="1" applyFill="1" applyFont="1">
      <alignment readingOrder="0" shrinkToFit="0" vertical="center" wrapText="0"/>
    </xf>
    <xf borderId="1" fillId="4" fontId="6" numFmtId="0" xfId="0" applyAlignment="1" applyBorder="1" applyFill="1" applyFont="1">
      <alignment horizontal="right" shrinkToFit="0" vertical="center" wrapText="0"/>
    </xf>
    <xf borderId="1" fillId="4" fontId="6" numFmtId="167" xfId="0" applyAlignment="1" applyBorder="1" applyFill="1" applyFont="1" applyNumberFormat="1">
      <alignment horizontal="right" shrinkToFit="0" vertical="center" wrapText="0"/>
    </xf>
    <xf borderId="0" fillId="4" fontId="6" numFmtId="0" xfId="0" applyAlignment="1" applyFill="1" applyFont="1">
      <alignment horizontal="right" shrinkToFit="0" vertical="center" wrapText="0"/>
    </xf>
    <xf borderId="0" fillId="4" fontId="6" numFmtId="167" xfId="0" applyAlignment="1" applyFill="1" applyFont="1" applyNumberFormat="1">
      <alignment horizontal="right" shrinkToFit="0" vertical="center" wrapText="0"/>
    </xf>
    <xf borderId="5" fillId="4" fontId="6" numFmtId="49" xfId="0" applyAlignment="1" applyBorder="1" applyFill="1" applyFont="1" applyNumberFormat="1">
      <alignment shrinkToFit="0" vertical="center" wrapText="0"/>
    </xf>
    <xf borderId="5" fillId="4" fontId="17" numFmtId="0" xfId="0" applyAlignment="1" applyBorder="1" applyFill="1" applyFont="1">
      <alignment shrinkToFit="0" vertical="center" wrapText="0"/>
    </xf>
    <xf borderId="5" fillId="4" fontId="18" numFmtId="0" xfId="0" applyAlignment="1" applyBorder="1" applyFill="1" applyFont="1">
      <alignment shrinkToFit="0" vertical="center" wrapText="0"/>
    </xf>
    <xf borderId="1" fillId="7" fontId="6" numFmtId="49" xfId="0" applyAlignment="1" applyBorder="1" applyFill="1" applyFont="1" applyNumberFormat="1">
      <alignment shrinkToFit="0" vertical="center" wrapText="0"/>
    </xf>
    <xf borderId="1" fillId="7" fontId="17" numFmtId="0" xfId="0" applyAlignment="1" applyBorder="1" applyFill="1" applyFont="1">
      <alignment shrinkToFit="0" vertical="center" wrapText="0"/>
    </xf>
    <xf borderId="1" fillId="7" fontId="18" numFmtId="0" xfId="0" applyAlignment="1" applyBorder="1" applyFill="1" applyFont="1">
      <alignment shrinkToFit="0" vertical="center" wrapText="0"/>
    </xf>
    <xf borderId="5" fillId="4" fontId="6" numFmtId="168" xfId="0" applyAlignment="1" applyBorder="1" applyFill="1" applyFont="1" applyNumberFormat="1">
      <alignment shrinkToFit="0" vertical="center" wrapText="0"/>
    </xf>
    <xf borderId="1" fillId="7" fontId="6" numFmtId="168" xfId="0" applyAlignment="1" applyBorder="1" applyFill="1" applyFont="1" applyNumberFormat="1">
      <alignment shrinkToFit="0" vertical="center" wrapText="0"/>
    </xf>
    <xf borderId="1" fillId="7" fontId="19" numFmtId="0" xfId="0" applyAlignment="1" applyBorder="1" applyFill="1" applyFont="1">
      <alignment shrinkToFit="0" vertical="center" wrapText="0"/>
    </xf>
    <xf borderId="1" fillId="4" fontId="6" numFmtId="49" xfId="0" applyAlignment="1" applyBorder="1" applyFill="1" applyFont="1" applyNumberFormat="1">
      <alignment horizontal="center" readingOrder="0" shrinkToFit="0" vertical="center" wrapText="0"/>
    </xf>
    <xf borderId="0" fillId="12" fontId="5" numFmtId="49" xfId="0" applyAlignment="1" applyFill="1" applyFont="1" applyNumberFormat="1">
      <alignment readingOrder="0" shrinkToFit="0" vertical="center" wrapText="0"/>
    </xf>
    <xf borderId="0" fillId="12" fontId="5" numFmtId="0" xfId="0" applyAlignment="1" applyFill="1" applyFont="1">
      <alignment readingOrder="0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5" numFmtId="169" xfId="0" applyAlignment="1" applyBorder="1" applyFont="1" applyNumberFormat="1">
      <alignment horizontal="center" readingOrder="0" shrinkToFit="0" vertical="center" wrapText="0"/>
    </xf>
    <xf borderId="0" fillId="4" fontId="22" numFmtId="0" xfId="0" applyAlignment="1" applyFill="1" applyFont="1">
      <alignment horizontal="center" shrinkToFit="0" vertical="center" wrapText="0"/>
    </xf>
    <xf borderId="0" fillId="4" fontId="9" numFmtId="169" xfId="0" applyAlignment="1" applyFill="1" applyFont="1" applyNumberFormat="1">
      <alignment horizontal="center"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B7E5CD"/>
          <bgColor rgb="FFB7E5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7E5CD"/>
        </left>
        <right style="thin">
          <color rgb="FFB7E5CD"/>
        </right>
        <top style="thin">
          <color rgb="FFB7E5CD"/>
        </top>
        <bottom style="thin">
          <color rgb="FFB7E5CD"/>
        </bottom>
      </border>
    </dxf>
    <dxf>
      <font/>
      <fill>
        <patternFill patternType="solid">
          <fgColor rgb="FFF9F5F0"/>
          <bgColor rgb="FFF9F5F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ABE7B2"/>
          <bgColor rgb="FFABE7B2"/>
        </patternFill>
      </fill>
      <border/>
    </dxf>
    <dxf>
      <font/>
      <fill>
        <patternFill patternType="solid">
          <fgColor rgb="FFBF4646"/>
          <bgColor rgb="FFBF4646"/>
        </patternFill>
      </fill>
      <border/>
    </dxf>
    <dxf>
      <font/>
      <fill>
        <patternFill patternType="solid">
          <fgColor rgb="FF016B61"/>
          <bgColor rgb="FF016B61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  <tableStyles count="16">
    <tableStyle count="4" pivot="0" name="CA-Risk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ecords-CA Gas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records-Ai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Backup records-Ai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Backup records-CA Gas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dCAGass-style">
      <tableStyleElement dxfId="8" type="headerRow"/>
      <tableStyleElement dxfId="3" type="firstRowStripe"/>
      <tableStyleElement dxfId="4" type="secondRowStripe"/>
      <tableStyleElement dxfId="5" size="0" type="wholeTable"/>
    </tableStyle>
    <tableStyle count="4" pivot="0" name="dAir-style">
      <tableStyleElement dxfId="8" type="headerRow"/>
      <tableStyleElement dxfId="3" type="firstRowStripe"/>
      <tableStyleElement dxfId="4" type="secondRowStripe"/>
      <tableStyleElement dxfId="5" size="0" type="wholeTable"/>
    </tableStyle>
    <tableStyle count="4" pivot="0" name="dAir-style 2">
      <tableStyleElement dxfId="8" type="headerRow"/>
      <tableStyleElement dxfId="3" type="firstRowStripe"/>
      <tableStyleElement dxfId="4" type="secondRowStripe"/>
      <tableStyleElement dxfId="5" size="0" type="wholeTable"/>
    </tableStyle>
    <tableStyle count="4" pivot="0" name="dfeller-style">
      <tableStyleElement dxfId="9" type="headerRow"/>
      <tableStyleElement dxfId="3" type="firstRowStripe"/>
      <tableStyleElement dxfId="4" type="secondRowStripe"/>
      <tableStyleElement dxfId="5" size="0" type="wholeTable"/>
    </tableStyle>
    <tableStyle count="4" pivot="0" name="database-Air-style">
      <tableStyleElement dxfId="10" type="headerRow"/>
      <tableStyleElement dxfId="3" type="firstRowStripe"/>
      <tableStyleElement dxfId="4" type="secondRowStripe"/>
      <tableStyleElement dxfId="5" size="0" type="wholeTable"/>
    </tableStyle>
    <tableStyle count="4" pivot="0" name="OCL-Study-style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CA-OSD-style">
      <tableStyleElement dxfId="10" type="headerRow"/>
      <tableStyleElement dxfId="3" type="firstRowStripe"/>
      <tableStyleElement dxfId="4" type="secondRowStripe"/>
      <tableStyleElement dxfId="5" size="0" type="wholeTable"/>
    </tableStyle>
    <tableStyle count="4" pivot="0" name="Backup-record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ettle-ASRS-style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Settle-F1-style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Settle-F3-style">
      <tableStyleElement dxfId="1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862" displayName="records" name="records" id="1">
  <tableColumns count="31">
    <tableColumn name="Sampling Date" id="1"/>
    <tableColumn name="MonthYear" id="2"/>
    <tableColumn name="roomNo" id="3"/>
    <tableColumn name="Type" id="4"/>
    <tableColumn name="Method" id="5"/>
    <tableColumn name="worksheetNo" id="6"/>
    <tableColumn name="worksheetCreate" id="7"/>
    <tableColumn name="Group" id="8"/>
    <tableColumn name="AirSampler" id="9"/>
    <tableColumn name="รหัสทรัพย์สินเครื่อง" id="10"/>
    <tableColumn name="Next cal " id="11"/>
    <tableColumn name="temp" id="12"/>
    <tableColumn name="%rh" id="13"/>
    <tableColumn name="timeIn" id="14"/>
    <tableColumn name="timeOut" id="15"/>
    <tableColumn name="lotTSA" id="16"/>
    <tableColumn name="mfgDate" id="17"/>
    <tableColumn name="expDate" id="18"/>
    <tableColumn name="ColonyCount" id="19"/>
    <tableColumn name="remark" id="20"/>
    <tableColumn name="ID" id="21"/>
    <tableColumn name="roomName" id="22"/>
    <tableColumn name="building" id="23"/>
    <tableColumn name="floor" id="24"/>
    <tableColumn name="Class" id="25"/>
    <tableColumn name="Spec" id="26"/>
    <tableColumn name="Unit" id="27"/>
    <tableColumn name="Result" id="28"/>
    <tableColumn name="IsPass" id="29"/>
    <tableColumn name="Exclude" id="30"/>
    <tableColumn name="syncStatus" id="31"/>
  </tableColumns>
  <tableStyleInfo name="records-Air-style" showColumnStripes="0" showFirstColumn="1" showLastColumn="1" showRowStripes="1"/>
</table>
</file>

<file path=xl/tables/table2.xml><?xml version="1.0" encoding="utf-8"?>
<table xmlns="http://schemas.openxmlformats.org/spreadsheetml/2006/main" ref="A1:Z84" displayName="records_CAGass" name="records_CAGass" id="2">
  <tableColumns count="26">
    <tableColumn name="SamplingDate" id="1"/>
    <tableColumn name="MonthYear" id="2"/>
    <tableColumn name="Tag" id="3"/>
    <tableColumn name="roomNo" id="4"/>
    <tableColumn name="Gass Type" id="5"/>
    <tableColumn name="worksheetNo" id="6"/>
    <tableColumn name="worksheetCreate" id="7"/>
    <tableColumn name="temp" id="8"/>
    <tableColumn name="%rh" id="9"/>
    <tableColumn name="timeIn" id="10"/>
    <tableColumn name="timeOut" id="11"/>
    <tableColumn name="lotTSA" id="12"/>
    <tableColumn name="mfgDate" id="13"/>
    <tableColumn name="expDate" id="14"/>
    <tableColumn name="ColonyCount" id="15"/>
    <tableColumn name="remark" id="16"/>
    <tableColumn name="AirSampler" id="17"/>
    <tableColumn name="รหัสทรัพย์สินเครื่อง" id="18"/>
    <tableColumn name="Next cal " id="19"/>
    <tableColumn name="roomName" id="20"/>
    <tableColumn name="building" id="21"/>
    <tableColumn name="floor" id="22"/>
    <tableColumn name="Spec" id="23"/>
    <tableColumn name="Result" id="24"/>
    <tableColumn name="Exclude" id="25"/>
    <tableColumn name="syncStatus" id="26"/>
  </tableColumns>
  <tableStyleInfo name="records-CA Gass-style" showColumnStripes="0" showFirstColumn="1" showLastColumn="1" showRowStripes="1"/>
</table>
</file>

<file path=xl/tables/table3.xml><?xml version="1.0" encoding="utf-8"?>
<table xmlns="http://schemas.openxmlformats.org/spreadsheetml/2006/main" ref="A1:F41" displayName="caRisk" name="caRisk" id="3">
  <autoFilter ref="$A$1:$F$41">
    <filterColumn colId="1">
      <filters>
        <filter val="10-3-107"/>
        <filter val="10-3-120"/>
        <filter val="10-3-085"/>
        <filter val="10-3-121"/>
        <filter val="10-3-079"/>
      </filters>
    </filterColumn>
  </autoFilter>
  <tableColumns count="6">
    <tableColumn name="POU no." id="1"/>
    <tableColumn name="Room no." id="2"/>
    <tableColumn name="Room name" id="3"/>
    <tableColumn name="Next Due" id="4"/>
    <tableColumn name="PLAN for ANF3 Micro (เข้าได้ช่วง 5-21 Aug)" id="5"/>
    <tableColumn name="Priority" id="6"/>
  </tableColumns>
  <tableStyleInfo name="CA-Risk-style" showColumnStripes="0" showFirstColumn="1" showLastColumn="1" showRowStripes="1"/>
</table>
</file>

<file path=xl/tables/table4.xml><?xml version="1.0" encoding="utf-8"?>
<table xmlns="http://schemas.openxmlformats.org/spreadsheetml/2006/main" ref="A1:AE991" displayName="records_2" name="records_2" id="4">
  <tableColumns count="31">
    <tableColumn name="Sampling Date" id="1"/>
    <tableColumn name="MonthYear" id="2"/>
    <tableColumn name="roomNo" id="3"/>
    <tableColumn name="Type" id="4"/>
    <tableColumn name="Method" id="5"/>
    <tableColumn name="worksheetCreate" id="6"/>
    <tableColumn name="Group" id="7"/>
    <tableColumn name="AirSampler" id="8"/>
    <tableColumn name="รหัสทรัพย์สินเครื่อง" id="9"/>
    <tableColumn name="Next cal " id="10"/>
    <tableColumn name="temp" id="11"/>
    <tableColumn name="%rh" id="12"/>
    <tableColumn name="timeIn" id="13"/>
    <tableColumn name="timeOut" id="14"/>
    <tableColumn name="lotTSA" id="15"/>
    <tableColumn name="mfgDate" id="16"/>
    <tableColumn name="expDate" id="17"/>
    <tableColumn name="ColonyCount" id="18"/>
    <tableColumn name="remark" id="19"/>
    <tableColumn name="worksheetNo" id="20"/>
    <tableColumn name="ID" id="21"/>
    <tableColumn name="roomName" id="22"/>
    <tableColumn name="building" id="23"/>
    <tableColumn name="floor" id="24"/>
    <tableColumn name="Class" id="25"/>
    <tableColumn name="Spec" id="26"/>
    <tableColumn name="Unit" id="27"/>
    <tableColumn name="Result" id="28"/>
    <tableColumn name="IsPass" id="29"/>
    <tableColumn name="Exclude" id="30"/>
    <tableColumn name="syncStatus" id="31"/>
  </tableColumns>
  <tableStyleInfo name="Backup records-Air-style" showColumnStripes="0" showFirstColumn="1" showLastColumn="1" showRowStripes="1"/>
</table>
</file>

<file path=xl/tables/table5.xml><?xml version="1.0" encoding="utf-8"?>
<table xmlns="http://schemas.openxmlformats.org/spreadsheetml/2006/main" ref="A1:Z126" displayName="records_CAGass_2" name="records_CAGass_2" id="5">
  <tableColumns count="26">
    <tableColumn name="SamplingDate" id="1"/>
    <tableColumn name="MonthYear" id="2"/>
    <tableColumn name="roomNo" id="3"/>
    <tableColumn name="Gass Type" id="4"/>
    <tableColumn name="Tag" id="5"/>
    <tableColumn name="worksheetCreate" id="6"/>
    <tableColumn name="temp" id="7"/>
    <tableColumn name="%rh" id="8"/>
    <tableColumn name="timeIn" id="9"/>
    <tableColumn name="timeOut" id="10"/>
    <tableColumn name="lotTSA" id="11"/>
    <tableColumn name="mfgDate" id="12"/>
    <tableColumn name="expDate" id="13"/>
    <tableColumn name="ColonyCount" id="14"/>
    <tableColumn name="remark" id="15"/>
    <tableColumn name="worksheetNo" id="16"/>
    <tableColumn name="AirSampler" id="17"/>
    <tableColumn name="รหัสทรัพย์สินเครื่อง" id="18"/>
    <tableColumn name="Next cal " id="19"/>
    <tableColumn name="roomName" id="20"/>
    <tableColumn name="building" id="21"/>
    <tableColumn name="floor" id="22"/>
    <tableColumn name="Spec" id="23"/>
    <tableColumn name="Result" id="24"/>
    <tableColumn name="Exclude" id="25"/>
    <tableColumn name="syncStatus" id="26"/>
  </tableColumns>
  <tableStyleInfo name="Backup records-CA Gass-style" showColumnStripes="0" showFirstColumn="1" showLastColumn="1" showRowStripes="1"/>
</table>
</file>

<file path=xl/tables/table6.xml><?xml version="1.0" encoding="utf-8"?>
<table xmlns="http://schemas.openxmlformats.org/spreadsheetml/2006/main" ref="A1:I123" displayName="dCAGass" name="dCAGass" id="6">
  <tableColumns count="9">
    <tableColumn name="Bld" id="1"/>
    <tableColumn name="Floor" id="2"/>
    <tableColumn name="Room no." id="3"/>
    <tableColumn name="Room Name" id="4"/>
    <tableColumn name="Tag" id="5"/>
    <tableColumn name="Type" id="6"/>
    <tableColumn name="Class" id="7"/>
    <tableColumn name="Spec" id="8"/>
    <tableColumn name="Remark" id="9"/>
  </tableColumns>
  <tableStyleInfo name="dCAGass-style" showColumnStripes="0" showFirstColumn="1" showLastColumn="1" showRowStripes="1"/>
</table>
</file>

<file path=xl/tables/table7.xml><?xml version="1.0" encoding="utf-8"?>
<table xmlns="http://schemas.openxmlformats.org/spreadsheetml/2006/main" ref="A1:E475" displayName="dAir" name="dAir" id="7">
  <autoFilter ref="$A$1:$E$475"/>
  <tableColumns count="5">
    <tableColumn name="roomNo" id="1"/>
    <tableColumn name="roomName" id="2"/>
    <tableColumn name="building" id="3"/>
    <tableColumn name="floor" id="4"/>
    <tableColumn name="Class" id="5"/>
  </tableColumns>
  <tableStyleInfo name="dAir-style" showColumnStripes="0" showFirstColumn="1" showLastColumn="1" showRowStripes="1"/>
</table>
</file>

<file path=xl/tables/table8.xml><?xml version="1.0" encoding="utf-8"?>
<table xmlns="http://schemas.openxmlformats.org/spreadsheetml/2006/main" ref="G1:K9" displayName="dAirSpec" name="dAirSpec" id="8">
  <tableColumns count="5">
    <tableColumn name="ID" id="1"/>
    <tableColumn name="Method" id="2"/>
    <tableColumn name="Class" id="3"/>
    <tableColumn name="Unit" id="4"/>
    <tableColumn name="Spec" id="5"/>
  </tableColumns>
  <tableStyleInfo name="dAir-style 2" showColumnStripes="0" showFirstColumn="1" showLastColumn="1" showRowStripes="1"/>
</table>
</file>

<file path=xl/tables/table9.xml><?xml version="1.0" encoding="utf-8"?>
<table xmlns="http://schemas.openxmlformats.org/spreadsheetml/2006/main" ref="A1:D1038" displayName="feller" name="feller" id="9">
  <tableColumns count="4">
    <tableColumn name="brand" id="1"/>
    <tableColumn name="Vo" id="2"/>
    <tableColumn name="Vc" id="3"/>
    <tableColumn name="code" id="4"/>
  </tableColumns>
  <tableStyleInfo name="dfeller-style" showColumnStripes="0" showFirstColumn="1" showLastColumn="1" showRowStripes="1"/>
</table>
</file>

<file path=xl/tables/table10.xml><?xml version="1.0" encoding="utf-8"?>
<table xmlns="http://schemas.openxmlformats.org/spreadsheetml/2006/main" ref="A1:E539" displayName="database" name="database" id="10">
  <tableColumns count="5">
    <tableColumn name="roomNo" id="1"/>
    <tableColumn name="roomName" id="2"/>
    <tableColumn name="filterTag" id="3"/>
    <tableColumn name="building" id="4"/>
    <tableColumn name="floor" id="5"/>
  </tableColumns>
  <tableStyleInfo name="database-Air-style" showColumnStripes="0" showFirstColumn="1" showLastColumn="1" showRowStripes="1"/>
</table>
</file>

<file path=xl/tables/table11.xml><?xml version="1.0" encoding="utf-8"?>
<table xmlns="http://schemas.openxmlformats.org/spreadsheetml/2006/main" ref="A1:M61" displayName="OCL_study" name="OCL_study" id="11">
  <tableColumns count="13">
    <tableColumn name="samplingDate" id="1"/>
    <tableColumn name="determinedDate" id="2"/>
    <tableColumn name="roomNo" id="3"/>
    <tableColumn name="roomName" id="4"/>
    <tableColumn name="grade" id="5"/>
    <tableColumn name="Day 3" id="6"/>
    <tableColumn name="Feller" id="7"/>
    <tableColumn name="Day 4" id="8"/>
    <tableColumn name="Day 5" id="9"/>
    <tableColumn name="remark" id="10"/>
    <tableColumn name="assetNo" id="11"/>
    <tableColumn name="model" id="12"/>
    <tableColumn name="Column 1" id="13"/>
  </tableColumns>
  <tableStyleInfo name="OCL-Study-style" showColumnStripes="0" showFirstColumn="1" showLastColumn="1" showRowStripes="1"/>
</table>
</file>

<file path=xl/tables/table12.xml><?xml version="1.0" encoding="utf-8"?>
<table xmlns="http://schemas.openxmlformats.org/spreadsheetml/2006/main" ref="A1:I64" displayName="CAOSD" name="CAOSD" id="12">
  <autoFilter ref="$A$1:$I$64"/>
  <tableColumns count="9">
    <tableColumn name="room_no" id="1"/>
    <tableColumn name="room_name" id="2"/>
    <tableColumn name="filter_tag" id="3"/>
    <tableColumn name="area" id="4"/>
    <tableColumn name="Sampling Date" id="5"/>
    <tableColumn name="Temp" id="6"/>
    <tableColumn name="%RH" id="7"/>
    <tableColumn name="remark" id="8"/>
    <tableColumn name="Result" id="9"/>
  </tableColumns>
  <tableStyleInfo name="CA-OSD-style" showColumnStripes="0" showFirstColumn="1" showLastColumn="1" showRowStripes="1"/>
</table>
</file>

<file path=xl/tables/table13.xml><?xml version="1.0" encoding="utf-8"?>
<table xmlns="http://schemas.openxmlformats.org/spreadsheetml/2006/main" ref="A1:T341" displayName="records_3" name="records_3" id="13">
  <tableColumns count="20">
    <tableColumn name="0" id="1"/>
    <tableColumn name="roomNo" id="2"/>
    <tableColumn name="Type" id="3"/>
    <tableColumn name="Method" id="4"/>
    <tableColumn name="temp" id="5"/>
    <tableColumn name="%rh" id="6"/>
    <tableColumn name="timeIn" id="7"/>
    <tableColumn name="timeOut" id="8"/>
    <tableColumn name="lotTSA" id="9"/>
    <tableColumn name="mfgDate" id="10"/>
    <tableColumn name="expDate" id="11"/>
    <tableColumn name="roomName" id="12"/>
    <tableColumn name="building" id="13"/>
    <tableColumn name="floor" id="14"/>
    <tableColumn name="result" id="15"/>
    <tableColumn name="worksheetNo" id="16"/>
    <tableColumn name="remark" id="17"/>
    <tableColumn name="รหัสทรัพย์สินเครื่อง" id="18"/>
    <tableColumn name="Next cal " id="19"/>
    <tableColumn name="Column 1" id="20"/>
  </tableColumns>
  <tableStyleInfo name="Backup-records-style" showColumnStripes="0" showFirstColumn="1" showLastColumn="1" showRowStripes="1"/>
</table>
</file>

<file path=xl/tables/table14.xml><?xml version="1.0" encoding="utf-8"?>
<table xmlns="http://schemas.openxmlformats.org/spreadsheetml/2006/main" ref="A1:J18" displayName="SettleASRS" name="SettleASRS" id="14">
  <tableColumns count="10">
    <tableColumn name="room_no" id="1"/>
    <tableColumn name="room_name" id="2"/>
    <tableColumn name="Temp" id="3"/>
    <tableColumn name="%RH" id="4"/>
    <tableColumn name="in" id="5"/>
    <tableColumn name="out" id="6"/>
    <tableColumn name="hours" id="7"/>
    <tableColumn name="mins" id="8"/>
    <tableColumn name="remark" id="9"/>
    <tableColumn name="Result" id="10"/>
  </tableColumns>
  <tableStyleInfo name="Settle-ASRS-style" showColumnStripes="0" showFirstColumn="1" showLastColumn="1" showRowStripes="1"/>
</table>
</file>

<file path=xl/tables/table15.xml><?xml version="1.0" encoding="utf-8"?>
<table xmlns="http://schemas.openxmlformats.org/spreadsheetml/2006/main" ref="A1:K70" displayName="SettleF1" name="SettleF1" id="15">
  <tableColumns count="11">
    <tableColumn name="room_no" id="1"/>
    <tableColumn name="room_name" id="2"/>
    <tableColumn name="area" id="3"/>
    <tableColumn name="Temp" id="4"/>
    <tableColumn name="%RH" id="5"/>
    <tableColumn name="in" id="6"/>
    <tableColumn name="out" id="7"/>
    <tableColumn name="hours" id="8"/>
    <tableColumn name="mins" id="9"/>
    <tableColumn name="remark" id="10"/>
    <tableColumn name="Result" id="11"/>
  </tableColumns>
  <tableStyleInfo name="Settle-F1-style" showColumnStripes="0" showFirstColumn="1" showLastColumn="1" showRowStripes="1"/>
</table>
</file>

<file path=xl/tables/table16.xml><?xml version="1.0" encoding="utf-8"?>
<table xmlns="http://schemas.openxmlformats.org/spreadsheetml/2006/main" ref="A1:J427" displayName="SettleF3" name="SettleF3" id="16">
  <tableColumns count="10">
    <tableColumn name="ว ด ป " id="1"/>
    <tableColumn name="room_no" id="2"/>
    <tableColumn name="room_name" id="3"/>
    <tableColumn name="area" id="4"/>
    <tableColumn name="in" id="5"/>
    <tableColumn name="out" id="6"/>
    <tableColumn name="hours" id="7"/>
    <tableColumn name="mins" id="8"/>
    <tableColumn name="remark" id="9"/>
    <tableColumn name="Result" id="10"/>
  </tableColumns>
  <tableStyleInfo name="Settle-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09Y_e22F72gJcMJrjfFpRzfAgqwMKpJ/view?usp=sharing" TargetMode="External"/><Relationship Id="rId2" Type="http://schemas.openxmlformats.org/officeDocument/2006/relationships/hyperlink" Target="https://drive.google.com/file/d/1HZDwaE9gGLoRINdTxjol6Z6FF8naMIxH/view?usp=sharing" TargetMode="External"/><Relationship Id="rId3" Type="http://schemas.openxmlformats.org/officeDocument/2006/relationships/hyperlink" Target="https://drive.google.com/file/d/1QZh_29V2uP3BYIi-xAMFBYtxG30Oxfey/view?usp=sharing" TargetMode="External"/><Relationship Id="rId4" Type="http://schemas.openxmlformats.org/officeDocument/2006/relationships/hyperlink" Target="https://drive.google.com/file/d/1HZDwaE9gGLoRINdTxjol6Z6FF8naMIxH/view?usp=sharing" TargetMode="External"/><Relationship Id="rId5" Type="http://schemas.openxmlformats.org/officeDocument/2006/relationships/drawing" Target="../drawings/drawing14.xml"/><Relationship Id="rId7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13.13"/>
    <col customWidth="1" min="2" max="2" width="12.0"/>
    <col customWidth="1" min="3" max="3" width="14.13"/>
    <col customWidth="1" min="4" max="5" width="17.75"/>
    <col customWidth="1" min="6" max="6" width="19.63"/>
    <col customWidth="1" min="7" max="7" width="7.88"/>
    <col customWidth="1" min="8" max="9" width="18.0"/>
    <col customWidth="1" min="10" max="10" width="14.63"/>
    <col customWidth="1" min="11" max="11" width="15.38"/>
    <col customWidth="1" min="12" max="12" width="13.0"/>
    <col customWidth="1" min="16" max="16" width="13.38"/>
    <col customWidth="1" min="17" max="17" width="15.75"/>
    <col customWidth="1" min="18" max="18" width="15.38"/>
    <col customWidth="1" min="19" max="19" width="19.38"/>
    <col customWidth="1" min="20" max="20" width="31.5"/>
    <col customWidth="1" min="21" max="21" width="16.5"/>
    <col customWidth="1" min="22" max="22" width="39.0"/>
    <col customWidth="1" min="23" max="23" width="15.25"/>
    <col customWidth="1" min="30" max="30" width="15.13"/>
  </cols>
  <sheetData>
    <row r="1" ht="22.5" customHeight="1">
      <c r="A1" s="2" t="s">
        <v>89</v>
      </c>
      <c r="B1" s="3" t="s">
        <v>72</v>
      </c>
      <c r="C1" s="2" t="s">
        <v>81</v>
      </c>
      <c r="D1" s="3" t="s">
        <v>107</v>
      </c>
      <c r="E1" s="2" t="s">
        <v>112</v>
      </c>
      <c r="F1" s="7" t="s">
        <v>0</v>
      </c>
      <c r="G1" s="6" t="s">
        <v>94</v>
      </c>
      <c r="H1" s="8" t="s">
        <v>125</v>
      </c>
      <c r="I1" s="5" t="s">
        <v>132</v>
      </c>
      <c r="J1" s="9" t="s">
        <v>138</v>
      </c>
      <c r="K1" s="9" t="s">
        <v>145</v>
      </c>
      <c r="L1" s="10" t="s">
        <v>100</v>
      </c>
      <c r="M1" s="10" t="s">
        <v>105</v>
      </c>
      <c r="N1" s="10" t="s">
        <v>110</v>
      </c>
      <c r="O1" s="10" t="s">
        <v>122</v>
      </c>
      <c r="P1" s="14" t="s">
        <v>127</v>
      </c>
      <c r="Q1" s="14" t="s">
        <v>134</v>
      </c>
      <c r="R1" s="14" t="s">
        <v>142</v>
      </c>
      <c r="S1" s="10" t="s">
        <v>147</v>
      </c>
      <c r="T1" s="7" t="s">
        <v>150</v>
      </c>
      <c r="U1" s="14" t="s">
        <v>175</v>
      </c>
      <c r="V1" s="10" t="s">
        <v>162</v>
      </c>
      <c r="W1" s="14" t="s">
        <v>163</v>
      </c>
      <c r="X1" s="14" t="s">
        <v>164</v>
      </c>
      <c r="Y1" s="19" t="s">
        <v>180</v>
      </c>
      <c r="Z1" s="7" t="s">
        <v>167</v>
      </c>
      <c r="AA1" s="19" t="s">
        <v>184</v>
      </c>
      <c r="AB1" s="7" t="s">
        <v>169</v>
      </c>
      <c r="AC1" s="22" t="s">
        <v>189</v>
      </c>
      <c r="AD1" s="7" t="s">
        <v>170</v>
      </c>
      <c r="AE1" s="24" t="s">
        <v>171</v>
      </c>
      <c r="AF1" s="16"/>
      <c r="AG1" s="16"/>
      <c r="AH1" s="16"/>
      <c r="AI1" s="16"/>
      <c r="AJ1" s="16"/>
    </row>
    <row r="2" ht="22.5" customHeight="1">
      <c r="A2" s="27">
        <v>46172.0</v>
      </c>
      <c r="B2" s="34" t="str">
        <f t="array" ref="B2">TEXT(A2, "MM-YYYY")</f>
        <v>05-2026</v>
      </c>
      <c r="C2" s="32" t="s">
        <v>207</v>
      </c>
      <c r="D2" s="21" t="s">
        <v>210</v>
      </c>
      <c r="E2" s="36" t="s">
        <v>213</v>
      </c>
      <c r="F2" s="37" t="s">
        <v>4</v>
      </c>
      <c r="G2" s="29" t="b">
        <v>1</v>
      </c>
      <c r="H2" s="36" t="s">
        <v>214</v>
      </c>
      <c r="I2" s="36" t="s">
        <v>215</v>
      </c>
      <c r="J2" s="39"/>
      <c r="K2" s="40"/>
      <c r="L2" s="37" t="s">
        <v>194</v>
      </c>
      <c r="M2" s="37" t="s">
        <v>194</v>
      </c>
      <c r="N2" s="37" t="s">
        <v>194</v>
      </c>
      <c r="O2" s="37" t="s">
        <v>194</v>
      </c>
      <c r="P2" s="37" t="s">
        <v>223</v>
      </c>
      <c r="Q2" s="37" t="s">
        <v>224</v>
      </c>
      <c r="R2" s="41">
        <v>46218.0</v>
      </c>
      <c r="S2" s="42">
        <v>14.0</v>
      </c>
      <c r="T2" s="44"/>
      <c r="U2" s="45" t="str">
        <f>IF(records[Type]="Room",records[roomNo],records[roomNo]&amp;"-"&amp;SUBSTITUTE(RIGHT(records[roomNo]&amp;records[Type],2),"-",""))</f>
        <v>12-2-021</v>
      </c>
      <c r="V2" s="47" t="str">
        <f t="array" ref="V2">_xlfn.XLOOKUP(records[ID], dAir[roomNo], dAir[roomName])</f>
        <v>PROCESS CHANGE</v>
      </c>
      <c r="W2" s="47" t="str">
        <f t="array" ref="W2">_xlfn.XLOOKUP(records[ID], dAir[roomNo], dAir[building])</f>
        <v>Building 12</v>
      </c>
      <c r="X2" s="47" t="str">
        <f t="array" ref="X2">_xlfn.XLOOKUP(records[ID], dAir[roomNo], dAir[floor])</f>
        <v>Floor 2</v>
      </c>
      <c r="Y2" s="45" t="str">
        <f t="array" ref="Y2">_xlfn.XLOOKUP(records[ID], dAir[roomNo], dAir[Class])</f>
        <v>D</v>
      </c>
      <c r="Z2" s="45">
        <f t="array" ref="Z2">_xlfn.XLOOKUP(records[Method]&amp;"-"&amp;records[Class], dAirSpec[ID], dAirSpec[Spec])</f>
        <v>100</v>
      </c>
      <c r="AA2" s="45" t="str">
        <f t="array" ref="AA2">_xlfn.XLOOKUP(records[Method]&amp;"-"&amp;records[Class], dAirSpec[ID], dAirSpec[Unit])</f>
        <v>cfu/plate</v>
      </c>
      <c r="AB2" s="58">
        <f t="array" ref="AB2">if(S2="","", if(records[Method]="Active Air",_xlfn.xlookup(records[ColonyCount]&amp;records[AirSampler],feller[code],feller[Vc]),records[ColonyCount]))</f>
        <v>14</v>
      </c>
      <c r="AC2" s="60" t="b">
        <f t="shared" ref="AC2:AC862" si="1">AB2&lt;=Z2</f>
        <v>1</v>
      </c>
      <c r="AD2" s="61" t="b">
        <v>0</v>
      </c>
      <c r="AE2" s="32" t="s">
        <v>235</v>
      </c>
      <c r="AF2" s="46"/>
      <c r="AG2" s="46"/>
      <c r="AH2" s="46"/>
      <c r="AI2" s="46"/>
      <c r="AJ2" s="46"/>
    </row>
    <row r="3" ht="22.5" customHeight="1">
      <c r="A3" s="27">
        <v>46172.0</v>
      </c>
      <c r="B3" s="34" t="str">
        <f t="array" ref="B3">TEXT(A3, "MM-YYYY")</f>
        <v>05-2026</v>
      </c>
      <c r="C3" s="39" t="s">
        <v>277</v>
      </c>
      <c r="D3" s="36" t="s">
        <v>210</v>
      </c>
      <c r="E3" s="36" t="s">
        <v>213</v>
      </c>
      <c r="F3" s="37" t="s">
        <v>4</v>
      </c>
      <c r="G3" s="29" t="b">
        <v>1</v>
      </c>
      <c r="H3" s="36" t="s">
        <v>214</v>
      </c>
      <c r="I3" s="36" t="s">
        <v>215</v>
      </c>
      <c r="J3" s="39"/>
      <c r="K3" s="40"/>
      <c r="L3" s="37" t="s">
        <v>194</v>
      </c>
      <c r="M3" s="37" t="s">
        <v>194</v>
      </c>
      <c r="N3" s="37" t="s">
        <v>194</v>
      </c>
      <c r="O3" s="37" t="s">
        <v>194</v>
      </c>
      <c r="P3" s="37" t="s">
        <v>223</v>
      </c>
      <c r="Q3" s="37" t="s">
        <v>224</v>
      </c>
      <c r="R3" s="41">
        <v>46218.0</v>
      </c>
      <c r="S3" s="42">
        <v>0.0</v>
      </c>
      <c r="T3" s="44"/>
      <c r="U3" s="45" t="str">
        <f>IF(records[Type]="Room",records[roomNo],records[roomNo]&amp;"-"&amp;SUBSTITUTE(RIGHT(records[roomNo]&amp;records[Type],2),"-",""))</f>
        <v>12-2-022</v>
      </c>
      <c r="V3" s="47" t="str">
        <f t="array" ref="V3">_xlfn.XLOOKUP(records[ID], dAir[roomNo], dAir[roomName])</f>
        <v>CORRIDOR</v>
      </c>
      <c r="W3" s="47" t="str">
        <f t="array" ref="W3">_xlfn.XLOOKUP(records[ID], dAir[roomNo], dAir[building])</f>
        <v>Building 12</v>
      </c>
      <c r="X3" s="47" t="str">
        <f t="array" ref="X3">_xlfn.XLOOKUP(records[ID], dAir[roomNo], dAir[floor])</f>
        <v>Floor 2</v>
      </c>
      <c r="Y3" s="45" t="str">
        <f t="array" ref="Y3">_xlfn.XLOOKUP(records[ID], dAir[roomNo], dAir[Class])</f>
        <v>D</v>
      </c>
      <c r="Z3" s="45">
        <f t="array" ref="Z3">_xlfn.XLOOKUP(records[Method]&amp;"-"&amp;records[Class], dAirSpec[ID], dAirSpec[Spec])</f>
        <v>100</v>
      </c>
      <c r="AA3" s="45" t="str">
        <f t="array" ref="AA3">_xlfn.XLOOKUP(records[Method]&amp;"-"&amp;records[Class], dAirSpec[ID], dAirSpec[Unit])</f>
        <v>cfu/plate</v>
      </c>
      <c r="AB3" s="58">
        <f t="array" ref="AB3">if(S3="","", if(records[Method]="Active Air",_xlfn.xlookup(records[ColonyCount]&amp;records[AirSampler],feller[code],feller[Vc]),records[ColonyCount]))</f>
        <v>0</v>
      </c>
      <c r="AC3" s="60" t="b">
        <f t="shared" si="1"/>
        <v>1</v>
      </c>
      <c r="AD3" s="61" t="b">
        <v>0</v>
      </c>
      <c r="AE3" s="32" t="s">
        <v>235</v>
      </c>
      <c r="AF3" s="46"/>
      <c r="AG3" s="46"/>
      <c r="AH3" s="46"/>
      <c r="AI3" s="46"/>
      <c r="AJ3" s="46"/>
    </row>
    <row r="4" ht="22.5" customHeight="1">
      <c r="A4" s="27">
        <v>46172.0</v>
      </c>
      <c r="B4" s="34" t="str">
        <f t="array" ref="B4">TEXT(A4, "MM-YYYY")</f>
        <v>05-2026</v>
      </c>
      <c r="C4" s="39" t="s">
        <v>302</v>
      </c>
      <c r="D4" s="36" t="s">
        <v>210</v>
      </c>
      <c r="E4" s="36" t="s">
        <v>213</v>
      </c>
      <c r="F4" s="37" t="s">
        <v>4</v>
      </c>
      <c r="G4" s="29" t="b">
        <v>1</v>
      </c>
      <c r="H4" s="36" t="s">
        <v>214</v>
      </c>
      <c r="I4" s="36" t="s">
        <v>215</v>
      </c>
      <c r="J4" s="39"/>
      <c r="K4" s="40"/>
      <c r="L4" s="37" t="s">
        <v>194</v>
      </c>
      <c r="M4" s="37" t="s">
        <v>194</v>
      </c>
      <c r="N4" s="37" t="s">
        <v>194</v>
      </c>
      <c r="O4" s="37" t="s">
        <v>194</v>
      </c>
      <c r="P4" s="37" t="s">
        <v>223</v>
      </c>
      <c r="Q4" s="37" t="s">
        <v>224</v>
      </c>
      <c r="R4" s="41">
        <v>46218.0</v>
      </c>
      <c r="S4" s="42">
        <v>0.0</v>
      </c>
      <c r="T4" s="44"/>
      <c r="U4" s="45" t="str">
        <f>IF(records[Type]="Room",records[roomNo],records[roomNo]&amp;"-"&amp;SUBSTITUTE(RIGHT(records[roomNo]&amp;records[Type],2),"-",""))</f>
        <v>12-2-023</v>
      </c>
      <c r="V4" s="47" t="str">
        <f t="array" ref="V4">_xlfn.XLOOKUP(records[ID], dAir[roomNo], dAir[roomName])</f>
        <v>AIRLOCK</v>
      </c>
      <c r="W4" s="47" t="str">
        <f t="array" ref="W4">_xlfn.XLOOKUP(records[ID], dAir[roomNo], dAir[building])</f>
        <v>Building 12</v>
      </c>
      <c r="X4" s="47" t="str">
        <f t="array" ref="X4">_xlfn.XLOOKUP(records[ID], dAir[roomNo], dAir[floor])</f>
        <v>Floor 2</v>
      </c>
      <c r="Y4" s="45" t="str">
        <f t="array" ref="Y4">_xlfn.XLOOKUP(records[ID], dAir[roomNo], dAir[Class])</f>
        <v>D</v>
      </c>
      <c r="Z4" s="45">
        <f t="array" ref="Z4">_xlfn.XLOOKUP(records[Method]&amp;"-"&amp;records[Class], dAirSpec[ID], dAirSpec[Spec])</f>
        <v>100</v>
      </c>
      <c r="AA4" s="45" t="str">
        <f t="array" ref="AA4">_xlfn.XLOOKUP(records[Method]&amp;"-"&amp;records[Class], dAirSpec[ID], dAirSpec[Unit])</f>
        <v>cfu/plate</v>
      </c>
      <c r="AB4" s="58">
        <f t="array" ref="AB4">if(S4="","", if(records[Method]="Active Air",_xlfn.xlookup(records[ColonyCount]&amp;records[AirSampler],feller[code],feller[Vc]),records[ColonyCount]))</f>
        <v>0</v>
      </c>
      <c r="AC4" s="60" t="b">
        <f t="shared" si="1"/>
        <v>1</v>
      </c>
      <c r="AD4" s="61" t="b">
        <v>0</v>
      </c>
      <c r="AE4" s="32" t="s">
        <v>235</v>
      </c>
      <c r="AF4" s="46"/>
      <c r="AG4" s="46"/>
      <c r="AH4" s="46"/>
      <c r="AI4" s="46"/>
      <c r="AJ4" s="46"/>
    </row>
    <row r="5" ht="22.5" customHeight="1">
      <c r="A5" s="27">
        <v>46172.0</v>
      </c>
      <c r="B5" s="34" t="str">
        <f t="array" ref="B5">TEXT(A5, "MM-YYYY")</f>
        <v>05-2026</v>
      </c>
      <c r="C5" s="39" t="s">
        <v>321</v>
      </c>
      <c r="D5" s="36" t="s">
        <v>210</v>
      </c>
      <c r="E5" s="36" t="s">
        <v>213</v>
      </c>
      <c r="F5" s="37" t="s">
        <v>4</v>
      </c>
      <c r="G5" s="29" t="b">
        <v>1</v>
      </c>
      <c r="H5" s="36" t="s">
        <v>214</v>
      </c>
      <c r="I5" s="36" t="s">
        <v>215</v>
      </c>
      <c r="J5" s="39"/>
      <c r="K5" s="40"/>
      <c r="L5" s="37" t="s">
        <v>194</v>
      </c>
      <c r="M5" s="37" t="s">
        <v>194</v>
      </c>
      <c r="N5" s="37" t="s">
        <v>194</v>
      </c>
      <c r="O5" s="37" t="s">
        <v>194</v>
      </c>
      <c r="P5" s="37" t="s">
        <v>223</v>
      </c>
      <c r="Q5" s="37" t="s">
        <v>224</v>
      </c>
      <c r="R5" s="41">
        <v>46218.0</v>
      </c>
      <c r="S5" s="42">
        <v>0.0</v>
      </c>
      <c r="T5" s="44"/>
      <c r="U5" s="45" t="str">
        <f>IF(records[Type]="Room",records[roomNo],records[roomNo]&amp;"-"&amp;SUBSTITUTE(RIGHT(records[roomNo]&amp;records[Type],2),"-",""))</f>
        <v>12-2-024</v>
      </c>
      <c r="V5" s="47" t="str">
        <f t="array" ref="V5">_xlfn.XLOOKUP(records[ID], dAir[roomNo], dAir[roomName])</f>
        <v>LIQUORICE EXTRACT</v>
      </c>
      <c r="W5" s="47" t="str">
        <f t="array" ref="W5">_xlfn.XLOOKUP(records[ID], dAir[roomNo], dAir[building])</f>
        <v>Building 12</v>
      </c>
      <c r="X5" s="47" t="str">
        <f t="array" ref="X5">_xlfn.XLOOKUP(records[ID], dAir[roomNo], dAir[floor])</f>
        <v>Floor 2</v>
      </c>
      <c r="Y5" s="45" t="str">
        <f t="array" ref="Y5">_xlfn.XLOOKUP(records[ID], dAir[roomNo], dAir[Class])</f>
        <v>D</v>
      </c>
      <c r="Z5" s="45">
        <f t="array" ref="Z5">_xlfn.XLOOKUP(records[Method]&amp;"-"&amp;records[Class], dAirSpec[ID], dAirSpec[Spec])</f>
        <v>100</v>
      </c>
      <c r="AA5" s="45" t="str">
        <f t="array" ref="AA5">_xlfn.XLOOKUP(records[Method]&amp;"-"&amp;records[Class], dAirSpec[ID], dAirSpec[Unit])</f>
        <v>cfu/plate</v>
      </c>
      <c r="AB5" s="58">
        <f t="array" ref="AB5">if(S5="","", if(records[Method]="Active Air",_xlfn.xlookup(records[ColonyCount]&amp;records[AirSampler],feller[code],feller[Vc]),records[ColonyCount]))</f>
        <v>0</v>
      </c>
      <c r="AC5" s="60" t="b">
        <f t="shared" si="1"/>
        <v>1</v>
      </c>
      <c r="AD5" s="61" t="b">
        <v>0</v>
      </c>
      <c r="AE5" s="32" t="s">
        <v>235</v>
      </c>
      <c r="AF5" s="46"/>
      <c r="AG5" s="46"/>
      <c r="AH5" s="46"/>
      <c r="AI5" s="46"/>
      <c r="AJ5" s="46"/>
    </row>
    <row r="6" ht="22.5" customHeight="1">
      <c r="A6" s="27">
        <v>46172.0</v>
      </c>
      <c r="B6" s="34" t="str">
        <f t="array" ref="B6">TEXT(A6, "MM-YYYY")</f>
        <v>05-2026</v>
      </c>
      <c r="C6" s="39" t="s">
        <v>337</v>
      </c>
      <c r="D6" s="36" t="s">
        <v>210</v>
      </c>
      <c r="E6" s="36" t="s">
        <v>213</v>
      </c>
      <c r="F6" s="37" t="s">
        <v>4</v>
      </c>
      <c r="G6" s="29" t="b">
        <v>1</v>
      </c>
      <c r="H6" s="36" t="s">
        <v>214</v>
      </c>
      <c r="I6" s="36" t="s">
        <v>215</v>
      </c>
      <c r="J6" s="39"/>
      <c r="K6" s="40"/>
      <c r="L6" s="37" t="s">
        <v>194</v>
      </c>
      <c r="M6" s="37" t="s">
        <v>194</v>
      </c>
      <c r="N6" s="37" t="s">
        <v>194</v>
      </c>
      <c r="O6" s="37" t="s">
        <v>194</v>
      </c>
      <c r="P6" s="37" t="s">
        <v>223</v>
      </c>
      <c r="Q6" s="37" t="s">
        <v>224</v>
      </c>
      <c r="R6" s="41">
        <v>46218.0</v>
      </c>
      <c r="S6" s="42">
        <v>1.0</v>
      </c>
      <c r="T6" s="44"/>
      <c r="U6" s="45" t="str">
        <f>IF(records[Type]="Room",records[roomNo],records[roomNo]&amp;"-"&amp;SUBSTITUTE(RIGHT(records[roomNo]&amp;records[Type],2),"-",""))</f>
        <v>12-2-025</v>
      </c>
      <c r="V6" s="47" t="str">
        <f t="array" ref="V6">_xlfn.XLOOKUP(records[ID], dAir[roomNo], dAir[roomName])</f>
        <v>SOLVENTS STORAGE</v>
      </c>
      <c r="W6" s="47" t="str">
        <f t="array" ref="W6">_xlfn.XLOOKUP(records[ID], dAir[roomNo], dAir[building])</f>
        <v>Building 12</v>
      </c>
      <c r="X6" s="47" t="str">
        <f t="array" ref="X6">_xlfn.XLOOKUP(records[ID], dAir[roomNo], dAir[floor])</f>
        <v>Floor 2</v>
      </c>
      <c r="Y6" s="45" t="str">
        <f t="array" ref="Y6">_xlfn.XLOOKUP(records[ID], dAir[roomNo], dAir[Class])</f>
        <v>D</v>
      </c>
      <c r="Z6" s="45">
        <f t="array" ref="Z6">_xlfn.XLOOKUP(records[Method]&amp;"-"&amp;records[Class], dAirSpec[ID], dAirSpec[Spec])</f>
        <v>100</v>
      </c>
      <c r="AA6" s="45" t="str">
        <f t="array" ref="AA6">_xlfn.XLOOKUP(records[Method]&amp;"-"&amp;records[Class], dAirSpec[ID], dAirSpec[Unit])</f>
        <v>cfu/plate</v>
      </c>
      <c r="AB6" s="58">
        <f t="array" ref="AB6">if(S6="","", if(records[Method]="Active Air",_xlfn.xlookup(records[ColonyCount]&amp;records[AirSampler],feller[code],feller[Vc]),records[ColonyCount]))</f>
        <v>1</v>
      </c>
      <c r="AC6" s="60" t="b">
        <f t="shared" si="1"/>
        <v>1</v>
      </c>
      <c r="AD6" s="61" t="b">
        <v>0</v>
      </c>
      <c r="AE6" s="32" t="s">
        <v>235</v>
      </c>
      <c r="AF6" s="46"/>
      <c r="AG6" s="46"/>
      <c r="AH6" s="46"/>
      <c r="AI6" s="46"/>
      <c r="AJ6" s="46"/>
    </row>
    <row r="7" ht="22.5" customHeight="1">
      <c r="A7" s="27">
        <v>46172.0</v>
      </c>
      <c r="B7" s="34" t="str">
        <f t="array" ref="B7">TEXT(A7, "MM-YYYY")</f>
        <v>05-2026</v>
      </c>
      <c r="C7" s="39" t="s">
        <v>347</v>
      </c>
      <c r="D7" s="36" t="s">
        <v>210</v>
      </c>
      <c r="E7" s="36" t="s">
        <v>213</v>
      </c>
      <c r="F7" s="37" t="s">
        <v>4</v>
      </c>
      <c r="G7" s="29" t="b">
        <v>1</v>
      </c>
      <c r="H7" s="36" t="s">
        <v>214</v>
      </c>
      <c r="I7" s="36" t="s">
        <v>215</v>
      </c>
      <c r="J7" s="39"/>
      <c r="K7" s="40"/>
      <c r="L7" s="37" t="s">
        <v>194</v>
      </c>
      <c r="M7" s="37" t="s">
        <v>194</v>
      </c>
      <c r="N7" s="37" t="s">
        <v>194</v>
      </c>
      <c r="O7" s="37" t="s">
        <v>194</v>
      </c>
      <c r="P7" s="37" t="s">
        <v>223</v>
      </c>
      <c r="Q7" s="37" t="s">
        <v>224</v>
      </c>
      <c r="R7" s="41">
        <v>46218.0</v>
      </c>
      <c r="S7" s="42">
        <v>1.0</v>
      </c>
      <c r="T7" s="44"/>
      <c r="U7" s="45" t="str">
        <f>IF(records[Type]="Room",records[roomNo],records[roomNo]&amp;"-"&amp;SUBSTITUTE(RIGHT(records[roomNo]&amp;records[Type],2),"-",""))</f>
        <v>12-2-026</v>
      </c>
      <c r="V7" s="47" t="str">
        <f t="array" ref="V7">_xlfn.XLOOKUP(records[ID], dAir[roomNo], dAir[roomName])</f>
        <v>CORRIDOR</v>
      </c>
      <c r="W7" s="47" t="str">
        <f t="array" ref="W7">_xlfn.XLOOKUP(records[ID], dAir[roomNo], dAir[building])</f>
        <v>Building 12</v>
      </c>
      <c r="X7" s="47" t="str">
        <f t="array" ref="X7">_xlfn.XLOOKUP(records[ID], dAir[roomNo], dAir[floor])</f>
        <v>Floor 2</v>
      </c>
      <c r="Y7" s="45" t="str">
        <f t="array" ref="Y7">_xlfn.XLOOKUP(records[ID], dAir[roomNo], dAir[Class])</f>
        <v>D</v>
      </c>
      <c r="Z7" s="45">
        <f t="array" ref="Z7">_xlfn.XLOOKUP(records[Method]&amp;"-"&amp;records[Class], dAirSpec[ID], dAirSpec[Spec])</f>
        <v>100</v>
      </c>
      <c r="AA7" s="45" t="str">
        <f t="array" ref="AA7">_xlfn.XLOOKUP(records[Method]&amp;"-"&amp;records[Class], dAirSpec[ID], dAirSpec[Unit])</f>
        <v>cfu/plate</v>
      </c>
      <c r="AB7" s="58">
        <f t="array" ref="AB7">if(S7="","", if(records[Method]="Active Air",_xlfn.xlookup(records[ColonyCount]&amp;records[AirSampler],feller[code],feller[Vc]),records[ColonyCount]))</f>
        <v>1</v>
      </c>
      <c r="AC7" s="60" t="b">
        <f t="shared" si="1"/>
        <v>1</v>
      </c>
      <c r="AD7" s="61" t="b">
        <v>0</v>
      </c>
      <c r="AE7" s="32" t="s">
        <v>235</v>
      </c>
      <c r="AF7" s="46"/>
      <c r="AG7" s="46"/>
      <c r="AH7" s="46"/>
      <c r="AI7" s="46"/>
      <c r="AJ7" s="46"/>
    </row>
    <row r="8" ht="22.5" customHeight="1">
      <c r="A8" s="27">
        <v>46172.0</v>
      </c>
      <c r="B8" s="34" t="str">
        <f t="array" ref="B8">TEXT(A8, "MM-YYYY")</f>
        <v>05-2026</v>
      </c>
      <c r="C8" s="39" t="s">
        <v>365</v>
      </c>
      <c r="D8" s="36" t="s">
        <v>210</v>
      </c>
      <c r="E8" s="36" t="s">
        <v>213</v>
      </c>
      <c r="F8" s="37" t="s">
        <v>4</v>
      </c>
      <c r="G8" s="29" t="b">
        <v>1</v>
      </c>
      <c r="H8" s="36" t="s">
        <v>214</v>
      </c>
      <c r="I8" s="36" t="s">
        <v>215</v>
      </c>
      <c r="J8" s="39"/>
      <c r="K8" s="40"/>
      <c r="L8" s="37" t="s">
        <v>194</v>
      </c>
      <c r="M8" s="37" t="s">
        <v>194</v>
      </c>
      <c r="N8" s="37" t="s">
        <v>194</v>
      </c>
      <c r="O8" s="37" t="s">
        <v>194</v>
      </c>
      <c r="P8" s="37" t="s">
        <v>223</v>
      </c>
      <c r="Q8" s="37" t="s">
        <v>224</v>
      </c>
      <c r="R8" s="41">
        <v>46218.0</v>
      </c>
      <c r="S8" s="42">
        <v>1.0</v>
      </c>
      <c r="T8" s="44"/>
      <c r="U8" s="45" t="str">
        <f>IF(records[Type]="Room",records[roomNo],records[roomNo]&amp;"-"&amp;SUBSTITUTE(RIGHT(records[roomNo]&amp;records[Type],2),"-",""))</f>
        <v>12-2-027</v>
      </c>
      <c r="V8" s="47" t="str">
        <f t="array" ref="V8">_xlfn.XLOOKUP(records[ID], dAir[roomNo], dAir[roomName])</f>
        <v>AIRLOCK</v>
      </c>
      <c r="W8" s="47" t="str">
        <f t="array" ref="W8">_xlfn.XLOOKUP(records[ID], dAir[roomNo], dAir[building])</f>
        <v>Building 12</v>
      </c>
      <c r="X8" s="47" t="str">
        <f t="array" ref="X8">_xlfn.XLOOKUP(records[ID], dAir[roomNo], dAir[floor])</f>
        <v>Floor 2</v>
      </c>
      <c r="Y8" s="45" t="str">
        <f t="array" ref="Y8">_xlfn.XLOOKUP(records[ID], dAir[roomNo], dAir[Class])</f>
        <v>D</v>
      </c>
      <c r="Z8" s="45">
        <f t="array" ref="Z8">_xlfn.XLOOKUP(records[Method]&amp;"-"&amp;records[Class], dAirSpec[ID], dAirSpec[Spec])</f>
        <v>100</v>
      </c>
      <c r="AA8" s="45" t="str">
        <f t="array" ref="AA8">_xlfn.XLOOKUP(records[Method]&amp;"-"&amp;records[Class], dAirSpec[ID], dAirSpec[Unit])</f>
        <v>cfu/plate</v>
      </c>
      <c r="AB8" s="58">
        <f t="array" ref="AB8">if(S8="","", if(records[Method]="Active Air",_xlfn.xlookup(records[ColonyCount]&amp;records[AirSampler],feller[code],feller[Vc]),records[ColonyCount]))</f>
        <v>1</v>
      </c>
      <c r="AC8" s="60" t="b">
        <f t="shared" si="1"/>
        <v>1</v>
      </c>
      <c r="AD8" s="61" t="b">
        <v>0</v>
      </c>
      <c r="AE8" s="32" t="s">
        <v>235</v>
      </c>
      <c r="AF8" s="46"/>
      <c r="AG8" s="46"/>
      <c r="AH8" s="46"/>
      <c r="AI8" s="46"/>
      <c r="AJ8" s="46"/>
    </row>
    <row r="9" ht="22.5" customHeight="1">
      <c r="A9" s="27">
        <v>46172.0</v>
      </c>
      <c r="B9" s="34" t="str">
        <f t="array" ref="B9">TEXT(A9, "MM-YYYY")</f>
        <v>05-2026</v>
      </c>
      <c r="C9" s="39" t="s">
        <v>379</v>
      </c>
      <c r="D9" s="36" t="s">
        <v>210</v>
      </c>
      <c r="E9" s="36" t="s">
        <v>213</v>
      </c>
      <c r="F9" s="37" t="s">
        <v>4</v>
      </c>
      <c r="G9" s="29" t="b">
        <v>1</v>
      </c>
      <c r="H9" s="36" t="s">
        <v>214</v>
      </c>
      <c r="I9" s="36" t="s">
        <v>215</v>
      </c>
      <c r="J9" s="39"/>
      <c r="K9" s="40"/>
      <c r="L9" s="37" t="s">
        <v>194</v>
      </c>
      <c r="M9" s="37" t="s">
        <v>194</v>
      </c>
      <c r="N9" s="37" t="s">
        <v>194</v>
      </c>
      <c r="O9" s="37" t="s">
        <v>194</v>
      </c>
      <c r="P9" s="37" t="s">
        <v>223</v>
      </c>
      <c r="Q9" s="37" t="s">
        <v>224</v>
      </c>
      <c r="R9" s="41">
        <v>46218.0</v>
      </c>
      <c r="S9" s="42">
        <v>0.0</v>
      </c>
      <c r="T9" s="44"/>
      <c r="U9" s="45" t="str">
        <f>IF(records[Type]="Room",records[roomNo],records[roomNo]&amp;"-"&amp;SUBSTITUTE(RIGHT(records[roomNo]&amp;records[Type],2),"-",""))</f>
        <v>12-2-028</v>
      </c>
      <c r="V9" s="47" t="str">
        <f t="array" ref="V9">_xlfn.XLOOKUP(records[ID], dAir[roomNo], dAir[roomName])</f>
        <v>ALCOHOL STORAGE</v>
      </c>
      <c r="W9" s="47" t="str">
        <f t="array" ref="W9">_xlfn.XLOOKUP(records[ID], dAir[roomNo], dAir[building])</f>
        <v>Building 12</v>
      </c>
      <c r="X9" s="47" t="str">
        <f t="array" ref="X9">_xlfn.XLOOKUP(records[ID], dAir[roomNo], dAir[floor])</f>
        <v>Floor 2</v>
      </c>
      <c r="Y9" s="45" t="str">
        <f t="array" ref="Y9">_xlfn.XLOOKUP(records[ID], dAir[roomNo], dAir[Class])</f>
        <v>D</v>
      </c>
      <c r="Z9" s="45">
        <f t="array" ref="Z9">_xlfn.XLOOKUP(records[Method]&amp;"-"&amp;records[Class], dAirSpec[ID], dAirSpec[Spec])</f>
        <v>100</v>
      </c>
      <c r="AA9" s="45" t="str">
        <f t="array" ref="AA9">_xlfn.XLOOKUP(records[Method]&amp;"-"&amp;records[Class], dAirSpec[ID], dAirSpec[Unit])</f>
        <v>cfu/plate</v>
      </c>
      <c r="AB9" s="58">
        <f t="array" ref="AB9">if(S9="","", if(records[Method]="Active Air",_xlfn.xlookup(records[ColonyCount]&amp;records[AirSampler],feller[code],feller[Vc]),records[ColonyCount]))</f>
        <v>0</v>
      </c>
      <c r="AC9" s="60" t="b">
        <f t="shared" si="1"/>
        <v>1</v>
      </c>
      <c r="AD9" s="61" t="b">
        <v>0</v>
      </c>
      <c r="AE9" s="32" t="s">
        <v>235</v>
      </c>
      <c r="AF9" s="46"/>
      <c r="AG9" s="46"/>
      <c r="AH9" s="46"/>
      <c r="AI9" s="46"/>
      <c r="AJ9" s="46"/>
    </row>
    <row r="10" ht="22.5" customHeight="1">
      <c r="A10" s="27">
        <v>46172.0</v>
      </c>
      <c r="B10" s="34" t="str">
        <f t="array" ref="B10">TEXT(A10, "MM-YYYY")</f>
        <v>05-2026</v>
      </c>
      <c r="C10" s="39" t="s">
        <v>391</v>
      </c>
      <c r="D10" s="36" t="s">
        <v>210</v>
      </c>
      <c r="E10" s="36" t="s">
        <v>213</v>
      </c>
      <c r="F10" s="37" t="s">
        <v>4</v>
      </c>
      <c r="G10" s="29" t="b">
        <v>1</v>
      </c>
      <c r="H10" s="36" t="s">
        <v>214</v>
      </c>
      <c r="I10" s="36" t="s">
        <v>215</v>
      </c>
      <c r="J10" s="39"/>
      <c r="K10" s="40"/>
      <c r="L10" s="37" t="s">
        <v>194</v>
      </c>
      <c r="M10" s="37" t="s">
        <v>194</v>
      </c>
      <c r="N10" s="37" t="s">
        <v>194</v>
      </c>
      <c r="O10" s="37" t="s">
        <v>194</v>
      </c>
      <c r="P10" s="37" t="s">
        <v>223</v>
      </c>
      <c r="Q10" s="37" t="s">
        <v>224</v>
      </c>
      <c r="R10" s="41">
        <v>46218.0</v>
      </c>
      <c r="S10" s="42">
        <v>3.0</v>
      </c>
      <c r="T10" s="44"/>
      <c r="U10" s="45" t="str">
        <f>IF(records[Type]="Room",records[roomNo],records[roomNo]&amp;"-"&amp;SUBSTITUTE(RIGHT(records[roomNo]&amp;records[Type],2),"-",""))</f>
        <v>12-2-029</v>
      </c>
      <c r="V10" s="47" t="str">
        <f t="array" ref="V10">_xlfn.XLOOKUP(records[ID], dAir[roomNo], dAir[roomName])</f>
        <v>AIRLOCK</v>
      </c>
      <c r="W10" s="47" t="str">
        <f t="array" ref="W10">_xlfn.XLOOKUP(records[ID], dAir[roomNo], dAir[building])</f>
        <v>Building 12</v>
      </c>
      <c r="X10" s="47" t="str">
        <f t="array" ref="X10">_xlfn.XLOOKUP(records[ID], dAir[roomNo], dAir[floor])</f>
        <v>Floor 2</v>
      </c>
      <c r="Y10" s="45" t="str">
        <f t="array" ref="Y10">_xlfn.XLOOKUP(records[ID], dAir[roomNo], dAir[Class])</f>
        <v>D</v>
      </c>
      <c r="Z10" s="45">
        <f t="array" ref="Z10">_xlfn.XLOOKUP(records[Method]&amp;"-"&amp;records[Class], dAirSpec[ID], dAirSpec[Spec])</f>
        <v>100</v>
      </c>
      <c r="AA10" s="45" t="str">
        <f t="array" ref="AA10">_xlfn.XLOOKUP(records[Method]&amp;"-"&amp;records[Class], dAirSpec[ID], dAirSpec[Unit])</f>
        <v>cfu/plate</v>
      </c>
      <c r="AB10" s="58">
        <f t="array" ref="AB10">if(S10="","", if(records[Method]="Active Air",_xlfn.xlookup(records[ColonyCount]&amp;records[AirSampler],feller[code],feller[Vc]),records[ColonyCount]))</f>
        <v>3</v>
      </c>
      <c r="AC10" s="60" t="b">
        <f t="shared" si="1"/>
        <v>1</v>
      </c>
      <c r="AD10" s="61" t="b">
        <v>0</v>
      </c>
      <c r="AE10" s="32" t="s">
        <v>235</v>
      </c>
      <c r="AF10" s="46"/>
      <c r="AG10" s="46"/>
      <c r="AH10" s="46"/>
      <c r="AI10" s="46"/>
      <c r="AJ10" s="46"/>
    </row>
    <row r="11" ht="22.5" customHeight="1">
      <c r="A11" s="27">
        <v>46172.0</v>
      </c>
      <c r="B11" s="34" t="str">
        <f t="array" ref="B11">TEXT(A11, "MM-YYYY")</f>
        <v>05-2026</v>
      </c>
      <c r="C11" s="39" t="s">
        <v>404</v>
      </c>
      <c r="D11" s="36" t="s">
        <v>210</v>
      </c>
      <c r="E11" s="36" t="s">
        <v>213</v>
      </c>
      <c r="F11" s="37" t="s">
        <v>4</v>
      </c>
      <c r="G11" s="29" t="b">
        <v>1</v>
      </c>
      <c r="H11" s="36" t="s">
        <v>214</v>
      </c>
      <c r="I11" s="36" t="s">
        <v>215</v>
      </c>
      <c r="J11" s="39"/>
      <c r="K11" s="40"/>
      <c r="L11" s="37" t="s">
        <v>194</v>
      </c>
      <c r="M11" s="37" t="s">
        <v>194</v>
      </c>
      <c r="N11" s="37" t="s">
        <v>194</v>
      </c>
      <c r="O11" s="37" t="s">
        <v>194</v>
      </c>
      <c r="P11" s="37" t="s">
        <v>223</v>
      </c>
      <c r="Q11" s="37" t="s">
        <v>224</v>
      </c>
      <c r="R11" s="41">
        <v>46218.0</v>
      </c>
      <c r="S11" s="42">
        <v>0.0</v>
      </c>
      <c r="T11" s="44"/>
      <c r="U11" s="45" t="str">
        <f>IF(records[Type]="Room",records[roomNo],records[roomNo]&amp;"-"&amp;SUBSTITUTE(RIGHT(records[roomNo]&amp;records[Type],2),"-",""))</f>
        <v>12-2-030</v>
      </c>
      <c r="V11" s="47" t="str">
        <f t="array" ref="V11">_xlfn.XLOOKUP(records[ID], dAir[roomNo], dAir[roomName])</f>
        <v>OPIUM TINCTURE</v>
      </c>
      <c r="W11" s="47" t="str">
        <f t="array" ref="W11">_xlfn.XLOOKUP(records[ID], dAir[roomNo], dAir[building])</f>
        <v>Building 12</v>
      </c>
      <c r="X11" s="47" t="str">
        <f t="array" ref="X11">_xlfn.XLOOKUP(records[ID], dAir[roomNo], dAir[floor])</f>
        <v>Floor 2</v>
      </c>
      <c r="Y11" s="45" t="str">
        <f t="array" ref="Y11">_xlfn.XLOOKUP(records[ID], dAir[roomNo], dAir[Class])</f>
        <v>D</v>
      </c>
      <c r="Z11" s="45">
        <f t="array" ref="Z11">_xlfn.XLOOKUP(records[Method]&amp;"-"&amp;records[Class], dAirSpec[ID], dAirSpec[Spec])</f>
        <v>100</v>
      </c>
      <c r="AA11" s="45" t="str">
        <f t="array" ref="AA11">_xlfn.XLOOKUP(records[Method]&amp;"-"&amp;records[Class], dAirSpec[ID], dAirSpec[Unit])</f>
        <v>cfu/plate</v>
      </c>
      <c r="AB11" s="58">
        <f t="array" ref="AB11">if(S11="","", if(records[Method]="Active Air",_xlfn.xlookup(records[ColonyCount]&amp;records[AirSampler],feller[code],feller[Vc]),records[ColonyCount]))</f>
        <v>0</v>
      </c>
      <c r="AC11" s="60" t="b">
        <f t="shared" si="1"/>
        <v>1</v>
      </c>
      <c r="AD11" s="61" t="b">
        <v>0</v>
      </c>
      <c r="AE11" s="32" t="s">
        <v>235</v>
      </c>
      <c r="AF11" s="46"/>
      <c r="AG11" s="46"/>
      <c r="AH11" s="46"/>
      <c r="AI11" s="46"/>
      <c r="AJ11" s="46"/>
    </row>
    <row r="12" ht="22.5" customHeight="1">
      <c r="A12" s="27">
        <v>46172.0</v>
      </c>
      <c r="B12" s="34" t="str">
        <f t="array" ref="B12">TEXT(A12, "MM-YYYY")</f>
        <v>05-2026</v>
      </c>
      <c r="C12" s="39" t="s">
        <v>412</v>
      </c>
      <c r="D12" s="36" t="s">
        <v>210</v>
      </c>
      <c r="E12" s="36" t="s">
        <v>213</v>
      </c>
      <c r="F12" s="37" t="s">
        <v>4</v>
      </c>
      <c r="G12" s="29" t="b">
        <v>1</v>
      </c>
      <c r="H12" s="36" t="s">
        <v>214</v>
      </c>
      <c r="I12" s="36" t="s">
        <v>215</v>
      </c>
      <c r="J12" s="39"/>
      <c r="K12" s="40"/>
      <c r="L12" s="37" t="s">
        <v>194</v>
      </c>
      <c r="M12" s="37" t="s">
        <v>194</v>
      </c>
      <c r="N12" s="37" t="s">
        <v>194</v>
      </c>
      <c r="O12" s="37" t="s">
        <v>194</v>
      </c>
      <c r="P12" s="37" t="s">
        <v>223</v>
      </c>
      <c r="Q12" s="37" t="s">
        <v>224</v>
      </c>
      <c r="R12" s="41">
        <v>46218.0</v>
      </c>
      <c r="S12" s="42">
        <v>3.0</v>
      </c>
      <c r="T12" s="44"/>
      <c r="U12" s="45" t="str">
        <f>IF(records[Type]="Room",records[roomNo],records[roomNo]&amp;"-"&amp;SUBSTITUTE(RIGHT(records[roomNo]&amp;records[Type],2),"-",""))</f>
        <v>12-2-031</v>
      </c>
      <c r="V12" s="47" t="str">
        <f t="array" ref="V12">_xlfn.XLOOKUP(records[ID], dAir[roomNo], dAir[roomName])</f>
        <v>AIRLOCK</v>
      </c>
      <c r="W12" s="47" t="str">
        <f t="array" ref="W12">_xlfn.XLOOKUP(records[ID], dAir[roomNo], dAir[building])</f>
        <v>Building 12</v>
      </c>
      <c r="X12" s="47" t="str">
        <f t="array" ref="X12">_xlfn.XLOOKUP(records[ID], dAir[roomNo], dAir[floor])</f>
        <v>Floor 2</v>
      </c>
      <c r="Y12" s="45" t="str">
        <f t="array" ref="Y12">_xlfn.XLOOKUP(records[ID], dAir[roomNo], dAir[Class])</f>
        <v>D</v>
      </c>
      <c r="Z12" s="45">
        <f t="array" ref="Z12">_xlfn.XLOOKUP(records[Method]&amp;"-"&amp;records[Class], dAirSpec[ID], dAirSpec[Spec])</f>
        <v>100</v>
      </c>
      <c r="AA12" s="45" t="str">
        <f t="array" ref="AA12">_xlfn.XLOOKUP(records[Method]&amp;"-"&amp;records[Class], dAirSpec[ID], dAirSpec[Unit])</f>
        <v>cfu/plate</v>
      </c>
      <c r="AB12" s="58">
        <f t="array" ref="AB12">if(S12="","", if(records[Method]="Active Air",_xlfn.xlookup(records[ColonyCount]&amp;records[AirSampler],feller[code],feller[Vc]),records[ColonyCount]))</f>
        <v>3</v>
      </c>
      <c r="AC12" s="60" t="b">
        <f t="shared" si="1"/>
        <v>1</v>
      </c>
      <c r="AD12" s="61" t="b">
        <v>0</v>
      </c>
      <c r="AE12" s="32" t="s">
        <v>235</v>
      </c>
      <c r="AF12" s="46"/>
      <c r="AG12" s="46"/>
      <c r="AH12" s="46"/>
      <c r="AI12" s="46"/>
      <c r="AJ12" s="46"/>
    </row>
    <row r="13" ht="22.5" customHeight="1">
      <c r="A13" s="27">
        <v>46172.0</v>
      </c>
      <c r="B13" s="34" t="str">
        <f t="array" ref="B13">TEXT(A13, "MM-YYYY")</f>
        <v>05-2026</v>
      </c>
      <c r="C13" s="39" t="s">
        <v>421</v>
      </c>
      <c r="D13" s="36" t="s">
        <v>210</v>
      </c>
      <c r="E13" s="36" t="s">
        <v>213</v>
      </c>
      <c r="F13" s="37" t="s">
        <v>4</v>
      </c>
      <c r="G13" s="29" t="b">
        <v>1</v>
      </c>
      <c r="H13" s="36" t="s">
        <v>214</v>
      </c>
      <c r="I13" s="36" t="s">
        <v>215</v>
      </c>
      <c r="J13" s="39"/>
      <c r="K13" s="40"/>
      <c r="L13" s="37" t="s">
        <v>194</v>
      </c>
      <c r="M13" s="37" t="s">
        <v>194</v>
      </c>
      <c r="N13" s="37" t="s">
        <v>194</v>
      </c>
      <c r="O13" s="37" t="s">
        <v>194</v>
      </c>
      <c r="P13" s="37" t="s">
        <v>223</v>
      </c>
      <c r="Q13" s="37" t="s">
        <v>224</v>
      </c>
      <c r="R13" s="41">
        <v>46218.0</v>
      </c>
      <c r="S13" s="42">
        <v>3.0</v>
      </c>
      <c r="T13" s="44"/>
      <c r="U13" s="45" t="str">
        <f>IF(records[Type]="Room",records[roomNo],records[roomNo]&amp;"-"&amp;SUBSTITUTE(RIGHT(records[roomNo]&amp;records[Type],2),"-",""))</f>
        <v>12-2-032</v>
      </c>
      <c r="V13" s="47" t="str">
        <f t="array" ref="V13">_xlfn.XLOOKUP(records[ID], dAir[roomNo], dAir[roomName])</f>
        <v>CAMPHORATED OPIUM TINCTURE</v>
      </c>
      <c r="W13" s="47" t="str">
        <f t="array" ref="W13">_xlfn.XLOOKUP(records[ID], dAir[roomNo], dAir[building])</f>
        <v>Building 12</v>
      </c>
      <c r="X13" s="47" t="str">
        <f t="array" ref="X13">_xlfn.XLOOKUP(records[ID], dAir[roomNo], dAir[floor])</f>
        <v>Floor 2</v>
      </c>
      <c r="Y13" s="45" t="str">
        <f t="array" ref="Y13">_xlfn.XLOOKUP(records[ID], dAir[roomNo], dAir[Class])</f>
        <v>D</v>
      </c>
      <c r="Z13" s="45">
        <f t="array" ref="Z13">_xlfn.XLOOKUP(records[Method]&amp;"-"&amp;records[Class], dAirSpec[ID], dAirSpec[Spec])</f>
        <v>100</v>
      </c>
      <c r="AA13" s="45" t="str">
        <f t="array" ref="AA13">_xlfn.XLOOKUP(records[Method]&amp;"-"&amp;records[Class], dAirSpec[ID], dAirSpec[Unit])</f>
        <v>cfu/plate</v>
      </c>
      <c r="AB13" s="58">
        <f t="array" ref="AB13">if(S13="","", if(records[Method]="Active Air",_xlfn.xlookup(records[ColonyCount]&amp;records[AirSampler],feller[code],feller[Vc]),records[ColonyCount]))</f>
        <v>3</v>
      </c>
      <c r="AC13" s="60" t="b">
        <f t="shared" si="1"/>
        <v>1</v>
      </c>
      <c r="AD13" s="61" t="b">
        <v>0</v>
      </c>
      <c r="AE13" s="32" t="s">
        <v>235</v>
      </c>
      <c r="AF13" s="46"/>
      <c r="AG13" s="46"/>
      <c r="AH13" s="46"/>
      <c r="AI13" s="46"/>
      <c r="AJ13" s="46"/>
    </row>
    <row r="14" ht="22.5" customHeight="1">
      <c r="A14" s="27">
        <v>46172.0</v>
      </c>
      <c r="B14" s="34" t="str">
        <f t="array" ref="B14">TEXT(A14, "MM-YYYY")</f>
        <v>05-2026</v>
      </c>
      <c r="C14" s="39" t="s">
        <v>432</v>
      </c>
      <c r="D14" s="36" t="s">
        <v>210</v>
      </c>
      <c r="E14" s="36" t="s">
        <v>213</v>
      </c>
      <c r="F14" s="37" t="s">
        <v>4</v>
      </c>
      <c r="G14" s="29" t="b">
        <v>1</v>
      </c>
      <c r="H14" s="36" t="s">
        <v>214</v>
      </c>
      <c r="I14" s="36" t="s">
        <v>215</v>
      </c>
      <c r="J14" s="39"/>
      <c r="K14" s="40"/>
      <c r="L14" s="37" t="s">
        <v>194</v>
      </c>
      <c r="M14" s="37" t="s">
        <v>194</v>
      </c>
      <c r="N14" s="37" t="s">
        <v>194</v>
      </c>
      <c r="O14" s="37" t="s">
        <v>194</v>
      </c>
      <c r="P14" s="37" t="s">
        <v>223</v>
      </c>
      <c r="Q14" s="37" t="s">
        <v>224</v>
      </c>
      <c r="R14" s="41">
        <v>46218.0</v>
      </c>
      <c r="S14" s="42">
        <v>54.0</v>
      </c>
      <c r="T14" s="44"/>
      <c r="U14" s="45" t="str">
        <f>IF(records[Type]="Room",records[roomNo],records[roomNo]&amp;"-"&amp;SUBSTITUTE(RIGHT(records[roomNo]&amp;records[Type],2),"-",""))</f>
        <v>12-2-033</v>
      </c>
      <c r="V14" s="47" t="str">
        <f t="array" ref="V14">_xlfn.XLOOKUP(records[ID], dAir[roomNo], dAir[roomName])</f>
        <v>AIRLOCK</v>
      </c>
      <c r="W14" s="47" t="str">
        <f t="array" ref="W14">_xlfn.XLOOKUP(records[ID], dAir[roomNo], dAir[building])</f>
        <v>Building 12</v>
      </c>
      <c r="X14" s="47" t="str">
        <f t="array" ref="X14">_xlfn.XLOOKUP(records[ID], dAir[roomNo], dAir[floor])</f>
        <v>Floor 2</v>
      </c>
      <c r="Y14" s="45" t="str">
        <f t="array" ref="Y14">_xlfn.XLOOKUP(records[ID], dAir[roomNo], dAir[Class])</f>
        <v>D</v>
      </c>
      <c r="Z14" s="45">
        <f t="array" ref="Z14">_xlfn.XLOOKUP(records[Method]&amp;"-"&amp;records[Class], dAirSpec[ID], dAirSpec[Spec])</f>
        <v>100</v>
      </c>
      <c r="AA14" s="45" t="str">
        <f t="array" ref="AA14">_xlfn.XLOOKUP(records[Method]&amp;"-"&amp;records[Class], dAirSpec[ID], dAirSpec[Unit])</f>
        <v>cfu/plate</v>
      </c>
      <c r="AB14" s="58">
        <f t="array" ref="AB14">if(S14="","", if(records[Method]="Active Air",_xlfn.xlookup(records[ColonyCount]&amp;records[AirSampler],feller[code],feller[Vc]),records[ColonyCount]))</f>
        <v>54</v>
      </c>
      <c r="AC14" s="60" t="b">
        <f t="shared" si="1"/>
        <v>1</v>
      </c>
      <c r="AD14" s="61" t="b">
        <v>0</v>
      </c>
      <c r="AE14" s="32" t="s">
        <v>235</v>
      </c>
      <c r="AF14" s="46"/>
      <c r="AG14" s="46"/>
      <c r="AH14" s="46"/>
      <c r="AI14" s="46"/>
      <c r="AJ14" s="46"/>
    </row>
    <row r="15" ht="22.5" customHeight="1">
      <c r="A15" s="27">
        <v>46172.0</v>
      </c>
      <c r="B15" s="34" t="str">
        <f t="array" ref="B15">TEXT(A15, "MM-YYYY")</f>
        <v>05-2026</v>
      </c>
      <c r="C15" s="39" t="s">
        <v>442</v>
      </c>
      <c r="D15" s="36" t="s">
        <v>210</v>
      </c>
      <c r="E15" s="36" t="s">
        <v>213</v>
      </c>
      <c r="F15" s="37" t="s">
        <v>4</v>
      </c>
      <c r="G15" s="29" t="b">
        <v>1</v>
      </c>
      <c r="H15" s="36" t="s">
        <v>214</v>
      </c>
      <c r="I15" s="36" t="s">
        <v>215</v>
      </c>
      <c r="J15" s="39"/>
      <c r="K15" s="40"/>
      <c r="L15" s="37" t="s">
        <v>194</v>
      </c>
      <c r="M15" s="37" t="s">
        <v>194</v>
      </c>
      <c r="N15" s="37" t="s">
        <v>194</v>
      </c>
      <c r="O15" s="37" t="s">
        <v>194</v>
      </c>
      <c r="P15" s="37" t="s">
        <v>223</v>
      </c>
      <c r="Q15" s="37" t="s">
        <v>224</v>
      </c>
      <c r="R15" s="41">
        <v>46218.0</v>
      </c>
      <c r="S15" s="42">
        <v>1.0</v>
      </c>
      <c r="T15" s="44"/>
      <c r="U15" s="45" t="str">
        <f>IF(records[Type]="Room",records[roomNo],records[roomNo]&amp;"-"&amp;SUBSTITUTE(RIGHT(records[roomNo]&amp;records[Type],2),"-",""))</f>
        <v>12-2-034</v>
      </c>
      <c r="V15" s="47" t="str">
        <f t="array" ref="V15">_xlfn.XLOOKUP(records[ID], dAir[roomNo], dAir[roomName])</f>
        <v>SYRUP PREPARATION</v>
      </c>
      <c r="W15" s="47" t="str">
        <f t="array" ref="W15">_xlfn.XLOOKUP(records[ID], dAir[roomNo], dAir[building])</f>
        <v>Building 12</v>
      </c>
      <c r="X15" s="47" t="str">
        <f t="array" ref="X15">_xlfn.XLOOKUP(records[ID], dAir[roomNo], dAir[floor])</f>
        <v>Floor 2</v>
      </c>
      <c r="Y15" s="45" t="str">
        <f t="array" ref="Y15">_xlfn.XLOOKUP(records[ID], dAir[roomNo], dAir[Class])</f>
        <v>D</v>
      </c>
      <c r="Z15" s="45">
        <f t="array" ref="Z15">_xlfn.XLOOKUP(records[Method]&amp;"-"&amp;records[Class], dAirSpec[ID], dAirSpec[Spec])</f>
        <v>100</v>
      </c>
      <c r="AA15" s="45" t="str">
        <f t="array" ref="AA15">_xlfn.XLOOKUP(records[Method]&amp;"-"&amp;records[Class], dAirSpec[ID], dAirSpec[Unit])</f>
        <v>cfu/plate</v>
      </c>
      <c r="AB15" s="58">
        <f t="array" ref="AB15">if(S15="","", if(records[Method]="Active Air",_xlfn.xlookup(records[ColonyCount]&amp;records[AirSampler],feller[code],feller[Vc]),records[ColonyCount]))</f>
        <v>1</v>
      </c>
      <c r="AC15" s="60" t="b">
        <f t="shared" si="1"/>
        <v>1</v>
      </c>
      <c r="AD15" s="61" t="b">
        <v>0</v>
      </c>
      <c r="AE15" s="32" t="s">
        <v>235</v>
      </c>
      <c r="AF15" s="46"/>
      <c r="AG15" s="46"/>
      <c r="AH15" s="46"/>
      <c r="AI15" s="46"/>
      <c r="AJ15" s="46"/>
    </row>
    <row r="16" ht="22.5" customHeight="1">
      <c r="A16" s="27">
        <v>46172.0</v>
      </c>
      <c r="B16" s="34" t="str">
        <f t="array" ref="B16">TEXT(A16, "MM-YYYY")</f>
        <v>05-2026</v>
      </c>
      <c r="C16" s="34" t="s">
        <v>450</v>
      </c>
      <c r="D16" s="36" t="s">
        <v>210</v>
      </c>
      <c r="E16" s="36" t="s">
        <v>213</v>
      </c>
      <c r="F16" s="37" t="s">
        <v>4</v>
      </c>
      <c r="G16" s="29" t="b">
        <v>1</v>
      </c>
      <c r="H16" s="36" t="s">
        <v>214</v>
      </c>
      <c r="I16" s="36" t="s">
        <v>215</v>
      </c>
      <c r="J16" s="39"/>
      <c r="K16" s="40"/>
      <c r="L16" s="37" t="s">
        <v>194</v>
      </c>
      <c r="M16" s="37" t="s">
        <v>194</v>
      </c>
      <c r="N16" s="37" t="s">
        <v>194</v>
      </c>
      <c r="O16" s="37" t="s">
        <v>194</v>
      </c>
      <c r="P16" s="37" t="s">
        <v>223</v>
      </c>
      <c r="Q16" s="37" t="s">
        <v>224</v>
      </c>
      <c r="R16" s="41">
        <v>46218.0</v>
      </c>
      <c r="S16" s="42">
        <v>2.0</v>
      </c>
      <c r="T16" s="44"/>
      <c r="U16" s="47" t="str">
        <f>IF(records[Type]="Room",records[roomNo],records[roomNo]&amp;"-"&amp;SUBSTITUTE(RIGHT(records[roomNo]&amp;records[Type],2),"-",""))</f>
        <v>12-2-035</v>
      </c>
      <c r="V16" s="47" t="str">
        <f t="array" ref="V16">_xlfn.XLOOKUP(records[ID], dAir[roomNo], dAir[roomName])</f>
        <v>CORRIDOR</v>
      </c>
      <c r="W16" s="47" t="str">
        <f t="array" ref="W16">_xlfn.XLOOKUP(records[ID], dAir[roomNo], dAir[building])</f>
        <v>Building 12</v>
      </c>
      <c r="X16" s="47" t="str">
        <f t="array" ref="X16">_xlfn.XLOOKUP(records[ID], dAir[roomNo], dAir[floor])</f>
        <v>Floor 2</v>
      </c>
      <c r="Y16" s="45" t="str">
        <f t="array" ref="Y16">_xlfn.XLOOKUP(records[ID], dAir[roomNo], dAir[Class])</f>
        <v>D</v>
      </c>
      <c r="Z16" s="45">
        <f t="array" ref="Z16">_xlfn.XLOOKUP(records[Method]&amp;"-"&amp;records[Class], dAirSpec[ID], dAirSpec[Spec])</f>
        <v>100</v>
      </c>
      <c r="AA16" s="45" t="str">
        <f t="array" ref="AA16">_xlfn.XLOOKUP(records[Method]&amp;"-"&amp;records[Class], dAirSpec[ID], dAirSpec[Unit])</f>
        <v>cfu/plate</v>
      </c>
      <c r="AB16" s="58">
        <f t="array" ref="AB16">if(S16="","", if(records[Method]="Active Air",_xlfn.xlookup(records[ColonyCount]&amp;records[AirSampler],feller[code],feller[Vc]),records[ColonyCount]))</f>
        <v>2</v>
      </c>
      <c r="AC16" s="60" t="b">
        <f t="shared" si="1"/>
        <v>1</v>
      </c>
      <c r="AD16" s="61" t="b">
        <v>0</v>
      </c>
      <c r="AE16" s="32" t="s">
        <v>235</v>
      </c>
      <c r="AF16" s="46"/>
      <c r="AG16" s="46"/>
      <c r="AH16" s="46"/>
      <c r="AI16" s="46"/>
      <c r="AJ16" s="46"/>
    </row>
    <row r="17" ht="22.5" customHeight="1">
      <c r="A17" s="27">
        <v>46172.0</v>
      </c>
      <c r="B17" s="34" t="str">
        <f t="array" ref="B17">TEXT(A17, "MM-YYYY")</f>
        <v>05-2026</v>
      </c>
      <c r="C17" s="39" t="s">
        <v>456</v>
      </c>
      <c r="D17" s="36" t="s">
        <v>210</v>
      </c>
      <c r="E17" s="36" t="s">
        <v>213</v>
      </c>
      <c r="F17" s="37" t="s">
        <v>4</v>
      </c>
      <c r="G17" s="29" t="b">
        <v>1</v>
      </c>
      <c r="H17" s="36" t="s">
        <v>214</v>
      </c>
      <c r="I17" s="36" t="s">
        <v>215</v>
      </c>
      <c r="J17" s="39"/>
      <c r="K17" s="40"/>
      <c r="L17" s="37" t="s">
        <v>194</v>
      </c>
      <c r="M17" s="37" t="s">
        <v>194</v>
      </c>
      <c r="N17" s="37" t="s">
        <v>194</v>
      </c>
      <c r="O17" s="37" t="s">
        <v>194</v>
      </c>
      <c r="P17" s="37" t="s">
        <v>223</v>
      </c>
      <c r="Q17" s="37" t="s">
        <v>224</v>
      </c>
      <c r="R17" s="41">
        <v>46218.0</v>
      </c>
      <c r="S17" s="42">
        <v>0.0</v>
      </c>
      <c r="T17" s="44"/>
      <c r="U17" s="45" t="str">
        <f>IF(records[Type]="Room",records[roomNo],records[roomNo]&amp;"-"&amp;SUBSTITUTE(RIGHT(records[roomNo]&amp;records[Type],2),"-",""))</f>
        <v>12-2-036</v>
      </c>
      <c r="V17" s="47" t="str">
        <f t="array" ref="V17">_xlfn.XLOOKUP(records[ID], dAir[roomNo], dAir[roomName])</f>
        <v>CIP 1</v>
      </c>
      <c r="W17" s="47" t="str">
        <f t="array" ref="W17">_xlfn.XLOOKUP(records[ID], dAir[roomNo], dAir[building])</f>
        <v>Building 12</v>
      </c>
      <c r="X17" s="47" t="str">
        <f t="array" ref="X17">_xlfn.XLOOKUP(records[ID], dAir[roomNo], dAir[floor])</f>
        <v>Floor 2</v>
      </c>
      <c r="Y17" s="45" t="str">
        <f t="array" ref="Y17">_xlfn.XLOOKUP(records[ID], dAir[roomNo], dAir[Class])</f>
        <v>D</v>
      </c>
      <c r="Z17" s="45">
        <f t="array" ref="Z17">_xlfn.XLOOKUP(records[Method]&amp;"-"&amp;records[Class], dAirSpec[ID], dAirSpec[Spec])</f>
        <v>100</v>
      </c>
      <c r="AA17" s="45" t="str">
        <f t="array" ref="AA17">_xlfn.XLOOKUP(records[Method]&amp;"-"&amp;records[Class], dAirSpec[ID], dAirSpec[Unit])</f>
        <v>cfu/plate</v>
      </c>
      <c r="AB17" s="58">
        <f t="array" ref="AB17">if(S17="","", if(records[Method]="Active Air",_xlfn.xlookup(records[ColonyCount]&amp;records[AirSampler],feller[code],feller[Vc]),records[ColonyCount]))</f>
        <v>0</v>
      </c>
      <c r="AC17" s="60" t="b">
        <f t="shared" si="1"/>
        <v>1</v>
      </c>
      <c r="AD17" s="61" t="b">
        <v>0</v>
      </c>
      <c r="AE17" s="32" t="s">
        <v>235</v>
      </c>
      <c r="AF17" s="46"/>
      <c r="AG17" s="46"/>
      <c r="AH17" s="46"/>
      <c r="AI17" s="46"/>
      <c r="AJ17" s="46"/>
    </row>
    <row r="18" ht="22.5" customHeight="1">
      <c r="A18" s="27">
        <v>46172.0</v>
      </c>
      <c r="B18" s="34" t="str">
        <f t="array" ref="B18">TEXT(A18, "MM-YYYY")</f>
        <v>05-2026</v>
      </c>
      <c r="C18" s="39" t="s">
        <v>466</v>
      </c>
      <c r="D18" s="36" t="s">
        <v>210</v>
      </c>
      <c r="E18" s="36" t="s">
        <v>213</v>
      </c>
      <c r="F18" s="37" t="s">
        <v>4</v>
      </c>
      <c r="G18" s="29" t="b">
        <v>1</v>
      </c>
      <c r="H18" s="36" t="s">
        <v>214</v>
      </c>
      <c r="I18" s="36" t="s">
        <v>215</v>
      </c>
      <c r="J18" s="39"/>
      <c r="K18" s="40"/>
      <c r="L18" s="37" t="s">
        <v>194</v>
      </c>
      <c r="M18" s="37" t="s">
        <v>194</v>
      </c>
      <c r="N18" s="37" t="s">
        <v>194</v>
      </c>
      <c r="O18" s="37" t="s">
        <v>194</v>
      </c>
      <c r="P18" s="37" t="s">
        <v>223</v>
      </c>
      <c r="Q18" s="37" t="s">
        <v>224</v>
      </c>
      <c r="R18" s="41">
        <v>46218.0</v>
      </c>
      <c r="S18" s="42">
        <v>1.0</v>
      </c>
      <c r="T18" s="44"/>
      <c r="U18" s="45" t="str">
        <f>IF(records[Type]="Room",records[roomNo],records[roomNo]&amp;"-"&amp;SUBSTITUTE(RIGHT(records[roomNo]&amp;records[Type],2),"-",""))</f>
        <v>12-2-037</v>
      </c>
      <c r="V18" s="47" t="str">
        <f t="array" ref="V18">_xlfn.XLOOKUP(records[ID], dAir[roomNo], dAir[roomName])</f>
        <v>DISPENSED MATERIAL STAGING</v>
      </c>
      <c r="W18" s="47" t="str">
        <f t="array" ref="W18">_xlfn.XLOOKUP(records[ID], dAir[roomNo], dAir[building])</f>
        <v>Building 12</v>
      </c>
      <c r="X18" s="47" t="str">
        <f t="array" ref="X18">_xlfn.XLOOKUP(records[ID], dAir[roomNo], dAir[floor])</f>
        <v>Floor 2</v>
      </c>
      <c r="Y18" s="45" t="str">
        <f t="array" ref="Y18">_xlfn.XLOOKUP(records[ID], dAir[roomNo], dAir[Class])</f>
        <v>D</v>
      </c>
      <c r="Z18" s="45">
        <f t="array" ref="Z18">_xlfn.XLOOKUP(records[Method]&amp;"-"&amp;records[Class], dAirSpec[ID], dAirSpec[Spec])</f>
        <v>100</v>
      </c>
      <c r="AA18" s="45" t="str">
        <f t="array" ref="AA18">_xlfn.XLOOKUP(records[Method]&amp;"-"&amp;records[Class], dAirSpec[ID], dAirSpec[Unit])</f>
        <v>cfu/plate</v>
      </c>
      <c r="AB18" s="58">
        <f t="array" ref="AB18">if(S18="","", if(records[Method]="Active Air",_xlfn.xlookup(records[ColonyCount]&amp;records[AirSampler],feller[code],feller[Vc]),records[ColonyCount]))</f>
        <v>1</v>
      </c>
      <c r="AC18" s="60" t="b">
        <f t="shared" si="1"/>
        <v>1</v>
      </c>
      <c r="AD18" s="61" t="b">
        <v>0</v>
      </c>
      <c r="AE18" s="32" t="s">
        <v>235</v>
      </c>
      <c r="AF18" s="46"/>
      <c r="AG18" s="46"/>
      <c r="AH18" s="46"/>
      <c r="AI18" s="46"/>
      <c r="AJ18" s="46"/>
    </row>
    <row r="19" ht="22.5" customHeight="1">
      <c r="A19" s="27">
        <v>46172.0</v>
      </c>
      <c r="B19" s="34" t="str">
        <f t="array" ref="B19">TEXT(A19, "MM-YYYY")</f>
        <v>05-2026</v>
      </c>
      <c r="C19" s="39" t="s">
        <v>479</v>
      </c>
      <c r="D19" s="36" t="s">
        <v>210</v>
      </c>
      <c r="E19" s="36" t="s">
        <v>213</v>
      </c>
      <c r="F19" s="37" t="s">
        <v>4</v>
      </c>
      <c r="G19" s="29" t="b">
        <v>1</v>
      </c>
      <c r="H19" s="36" t="s">
        <v>214</v>
      </c>
      <c r="I19" s="36" t="s">
        <v>215</v>
      </c>
      <c r="J19" s="39"/>
      <c r="K19" s="40"/>
      <c r="L19" s="37" t="s">
        <v>194</v>
      </c>
      <c r="M19" s="37" t="s">
        <v>194</v>
      </c>
      <c r="N19" s="37" t="s">
        <v>194</v>
      </c>
      <c r="O19" s="37" t="s">
        <v>194</v>
      </c>
      <c r="P19" s="37" t="s">
        <v>223</v>
      </c>
      <c r="Q19" s="37" t="s">
        <v>224</v>
      </c>
      <c r="R19" s="41">
        <v>46218.0</v>
      </c>
      <c r="S19" s="42">
        <v>1.0</v>
      </c>
      <c r="T19" s="44"/>
      <c r="U19" s="45" t="str">
        <f>IF(records[Type]="Room",records[roomNo],records[roomNo]&amp;"-"&amp;SUBSTITUTE(RIGHT(records[roomNo]&amp;records[Type],2),"-",""))</f>
        <v>12-2-038</v>
      </c>
      <c r="V19" s="47" t="str">
        <f t="array" ref="V19">_xlfn.XLOOKUP(records[ID], dAir[roomNo], dAir[roomName])</f>
        <v>AIRLOCK</v>
      </c>
      <c r="W19" s="47" t="str">
        <f t="array" ref="W19">_xlfn.XLOOKUP(records[ID], dAir[roomNo], dAir[building])</f>
        <v>Building 12</v>
      </c>
      <c r="X19" s="47" t="str">
        <f t="array" ref="X19">_xlfn.XLOOKUP(records[ID], dAir[roomNo], dAir[floor])</f>
        <v>Floor 2</v>
      </c>
      <c r="Y19" s="45" t="str">
        <f t="array" ref="Y19">_xlfn.XLOOKUP(records[ID], dAir[roomNo], dAir[Class])</f>
        <v>D</v>
      </c>
      <c r="Z19" s="45">
        <f t="array" ref="Z19">_xlfn.XLOOKUP(records[Method]&amp;"-"&amp;records[Class], dAirSpec[ID], dAirSpec[Spec])</f>
        <v>100</v>
      </c>
      <c r="AA19" s="45" t="str">
        <f t="array" ref="AA19">_xlfn.XLOOKUP(records[Method]&amp;"-"&amp;records[Class], dAirSpec[ID], dAirSpec[Unit])</f>
        <v>cfu/plate</v>
      </c>
      <c r="AB19" s="58">
        <f t="array" ref="AB19">if(S19="","", if(records[Method]="Active Air",_xlfn.xlookup(records[ColonyCount]&amp;records[AirSampler],feller[code],feller[Vc]),records[ColonyCount]))</f>
        <v>1</v>
      </c>
      <c r="AC19" s="60" t="b">
        <f t="shared" si="1"/>
        <v>1</v>
      </c>
      <c r="AD19" s="61" t="b">
        <v>0</v>
      </c>
      <c r="AE19" s="32" t="s">
        <v>235</v>
      </c>
      <c r="AF19" s="46"/>
      <c r="AG19" s="46"/>
      <c r="AH19" s="46"/>
      <c r="AI19" s="46"/>
      <c r="AJ19" s="46"/>
    </row>
    <row r="20" ht="22.5" customHeight="1">
      <c r="A20" s="27">
        <v>46172.0</v>
      </c>
      <c r="B20" s="34" t="str">
        <f t="array" ref="B20">TEXT(A20, "MM-YYYY")</f>
        <v>05-2026</v>
      </c>
      <c r="C20" s="39" t="s">
        <v>486</v>
      </c>
      <c r="D20" s="36" t="s">
        <v>210</v>
      </c>
      <c r="E20" s="36" t="s">
        <v>213</v>
      </c>
      <c r="F20" s="37" t="s">
        <v>4</v>
      </c>
      <c r="G20" s="29" t="b">
        <v>1</v>
      </c>
      <c r="H20" s="36" t="s">
        <v>214</v>
      </c>
      <c r="I20" s="36" t="s">
        <v>215</v>
      </c>
      <c r="J20" s="39"/>
      <c r="K20" s="40"/>
      <c r="L20" s="37" t="s">
        <v>194</v>
      </c>
      <c r="M20" s="37" t="s">
        <v>194</v>
      </c>
      <c r="N20" s="37" t="s">
        <v>194</v>
      </c>
      <c r="O20" s="37" t="s">
        <v>194</v>
      </c>
      <c r="P20" s="37" t="s">
        <v>223</v>
      </c>
      <c r="Q20" s="37" t="s">
        <v>224</v>
      </c>
      <c r="R20" s="41">
        <v>46218.0</v>
      </c>
      <c r="S20" s="42">
        <v>0.0</v>
      </c>
      <c r="T20" s="44"/>
      <c r="U20" s="45" t="str">
        <f>IF(records[Type]="Room",records[roomNo],records[roomNo]&amp;"-"&amp;SUBSTITUTE(RIGHT(records[roomNo]&amp;records[Type],2),"-",""))</f>
        <v>12-2-039</v>
      </c>
      <c r="V20" s="47" t="str">
        <f t="array" ref="V20">_xlfn.XLOOKUP(records[ID], dAir[roomNo], dAir[roomName])</f>
        <v>MFG 1</v>
      </c>
      <c r="W20" s="47" t="str">
        <f t="array" ref="W20">_xlfn.XLOOKUP(records[ID], dAir[roomNo], dAir[building])</f>
        <v>Building 12</v>
      </c>
      <c r="X20" s="47" t="str">
        <f t="array" ref="X20">_xlfn.XLOOKUP(records[ID], dAir[roomNo], dAir[floor])</f>
        <v>Floor 2</v>
      </c>
      <c r="Y20" s="45" t="str">
        <f t="array" ref="Y20">_xlfn.XLOOKUP(records[ID], dAir[roomNo], dAir[Class])</f>
        <v>D</v>
      </c>
      <c r="Z20" s="45">
        <f t="array" ref="Z20">_xlfn.XLOOKUP(records[Method]&amp;"-"&amp;records[Class], dAirSpec[ID], dAirSpec[Spec])</f>
        <v>100</v>
      </c>
      <c r="AA20" s="45" t="str">
        <f t="array" ref="AA20">_xlfn.XLOOKUP(records[Method]&amp;"-"&amp;records[Class], dAirSpec[ID], dAirSpec[Unit])</f>
        <v>cfu/plate</v>
      </c>
      <c r="AB20" s="58">
        <f t="array" ref="AB20">if(S20="","", if(records[Method]="Active Air",_xlfn.xlookup(records[ColonyCount]&amp;records[AirSampler],feller[code],feller[Vc]),records[ColonyCount]))</f>
        <v>0</v>
      </c>
      <c r="AC20" s="60" t="b">
        <f t="shared" si="1"/>
        <v>1</v>
      </c>
      <c r="AD20" s="61" t="b">
        <v>0</v>
      </c>
      <c r="AE20" s="32" t="s">
        <v>235</v>
      </c>
      <c r="AF20" s="46"/>
      <c r="AG20" s="46"/>
      <c r="AH20" s="46"/>
      <c r="AI20" s="46"/>
      <c r="AJ20" s="46"/>
    </row>
    <row r="21" ht="22.5" customHeight="1">
      <c r="A21" s="27">
        <v>46172.0</v>
      </c>
      <c r="B21" s="34" t="str">
        <f t="array" ref="B21">TEXT(A21, "MM-YYYY")</f>
        <v>05-2026</v>
      </c>
      <c r="C21" s="39" t="s">
        <v>496</v>
      </c>
      <c r="D21" s="36" t="s">
        <v>210</v>
      </c>
      <c r="E21" s="36" t="s">
        <v>213</v>
      </c>
      <c r="F21" s="37" t="s">
        <v>4</v>
      </c>
      <c r="G21" s="29" t="b">
        <v>1</v>
      </c>
      <c r="H21" s="36" t="s">
        <v>214</v>
      </c>
      <c r="I21" s="36" t="s">
        <v>215</v>
      </c>
      <c r="J21" s="39"/>
      <c r="K21" s="40"/>
      <c r="L21" s="37" t="s">
        <v>194</v>
      </c>
      <c r="M21" s="37" t="s">
        <v>194</v>
      </c>
      <c r="N21" s="37" t="s">
        <v>194</v>
      </c>
      <c r="O21" s="37" t="s">
        <v>194</v>
      </c>
      <c r="P21" s="37" t="s">
        <v>223</v>
      </c>
      <c r="Q21" s="37" t="s">
        <v>224</v>
      </c>
      <c r="R21" s="41">
        <v>46218.0</v>
      </c>
      <c r="S21" s="42">
        <v>1.0</v>
      </c>
      <c r="T21" s="44"/>
      <c r="U21" s="45" t="str">
        <f>IF(records[Type]="Room",records[roomNo],records[roomNo]&amp;"-"&amp;SUBSTITUTE(RIGHT(records[roomNo]&amp;records[Type],2),"-",""))</f>
        <v>12-2-040</v>
      </c>
      <c r="V21" s="47" t="str">
        <f t="array" ref="V21">_xlfn.XLOOKUP(records[ID], dAir[roomNo], dAir[roomName])</f>
        <v>AIRLOCK</v>
      </c>
      <c r="W21" s="47" t="str">
        <f t="array" ref="W21">_xlfn.XLOOKUP(records[ID], dAir[roomNo], dAir[building])</f>
        <v>Building 12</v>
      </c>
      <c r="X21" s="47" t="str">
        <f t="array" ref="X21">_xlfn.XLOOKUP(records[ID], dAir[roomNo], dAir[floor])</f>
        <v>Floor 2</v>
      </c>
      <c r="Y21" s="45" t="str">
        <f t="array" ref="Y21">_xlfn.XLOOKUP(records[ID], dAir[roomNo], dAir[Class])</f>
        <v>D</v>
      </c>
      <c r="Z21" s="45">
        <f t="array" ref="Z21">_xlfn.XLOOKUP(records[Method]&amp;"-"&amp;records[Class], dAirSpec[ID], dAirSpec[Spec])</f>
        <v>100</v>
      </c>
      <c r="AA21" s="45" t="str">
        <f t="array" ref="AA21">_xlfn.XLOOKUP(records[Method]&amp;"-"&amp;records[Class], dAirSpec[ID], dAirSpec[Unit])</f>
        <v>cfu/plate</v>
      </c>
      <c r="AB21" s="58">
        <f t="array" ref="AB21">if(S21="","", if(records[Method]="Active Air",_xlfn.xlookup(records[ColonyCount]&amp;records[AirSampler],feller[code],feller[Vc]),records[ColonyCount]))</f>
        <v>1</v>
      </c>
      <c r="AC21" s="60" t="b">
        <f t="shared" si="1"/>
        <v>1</v>
      </c>
      <c r="AD21" s="61" t="b">
        <v>0</v>
      </c>
      <c r="AE21" s="32" t="s">
        <v>235</v>
      </c>
      <c r="AF21" s="46"/>
      <c r="AG21" s="46"/>
      <c r="AH21" s="46"/>
      <c r="AI21" s="46"/>
      <c r="AJ21" s="46"/>
    </row>
    <row r="22" ht="22.5" customHeight="1">
      <c r="A22" s="27">
        <v>46172.0</v>
      </c>
      <c r="B22" s="34" t="str">
        <f t="array" ref="B22">TEXT(A22, "MM-YYYY")</f>
        <v>05-2026</v>
      </c>
      <c r="C22" s="39" t="s">
        <v>507</v>
      </c>
      <c r="D22" s="36" t="s">
        <v>210</v>
      </c>
      <c r="E22" s="36" t="s">
        <v>213</v>
      </c>
      <c r="F22" s="37" t="s">
        <v>4</v>
      </c>
      <c r="G22" s="29" t="b">
        <v>1</v>
      </c>
      <c r="H22" s="36" t="s">
        <v>214</v>
      </c>
      <c r="I22" s="36" t="s">
        <v>215</v>
      </c>
      <c r="J22" s="39"/>
      <c r="K22" s="40"/>
      <c r="L22" s="37" t="s">
        <v>194</v>
      </c>
      <c r="M22" s="37" t="s">
        <v>194</v>
      </c>
      <c r="N22" s="37" t="s">
        <v>194</v>
      </c>
      <c r="O22" s="37" t="s">
        <v>194</v>
      </c>
      <c r="P22" s="37" t="s">
        <v>223</v>
      </c>
      <c r="Q22" s="37" t="s">
        <v>224</v>
      </c>
      <c r="R22" s="41">
        <v>46218.0</v>
      </c>
      <c r="S22" s="42">
        <v>0.0</v>
      </c>
      <c r="T22" s="44"/>
      <c r="U22" s="45" t="str">
        <f>IF(records[Type]="Room",records[roomNo],records[roomNo]&amp;"-"&amp;SUBSTITUTE(RIGHT(records[roomNo]&amp;records[Type],2),"-",""))</f>
        <v>12-2-041</v>
      </c>
      <c r="V22" s="47" t="str">
        <f t="array" ref="V22">_xlfn.XLOOKUP(records[ID], dAir[roomNo], dAir[roomName])</f>
        <v>MFG 2</v>
      </c>
      <c r="W22" s="47" t="str">
        <f t="array" ref="W22">_xlfn.XLOOKUP(records[ID], dAir[roomNo], dAir[building])</f>
        <v>Building 12</v>
      </c>
      <c r="X22" s="47" t="str">
        <f t="array" ref="X22">_xlfn.XLOOKUP(records[ID], dAir[roomNo], dAir[floor])</f>
        <v>Floor 2</v>
      </c>
      <c r="Y22" s="45" t="str">
        <f t="array" ref="Y22">_xlfn.XLOOKUP(records[ID], dAir[roomNo], dAir[Class])</f>
        <v>D</v>
      </c>
      <c r="Z22" s="45">
        <f t="array" ref="Z22">_xlfn.XLOOKUP(records[Method]&amp;"-"&amp;records[Class], dAirSpec[ID], dAirSpec[Spec])</f>
        <v>100</v>
      </c>
      <c r="AA22" s="45" t="str">
        <f t="array" ref="AA22">_xlfn.XLOOKUP(records[Method]&amp;"-"&amp;records[Class], dAirSpec[ID], dAirSpec[Unit])</f>
        <v>cfu/plate</v>
      </c>
      <c r="AB22" s="58">
        <f t="array" ref="AB22">if(S22="","", if(records[Method]="Active Air",_xlfn.xlookup(records[ColonyCount]&amp;records[AirSampler],feller[code],feller[Vc]),records[ColonyCount]))</f>
        <v>0</v>
      </c>
      <c r="AC22" s="60" t="b">
        <f t="shared" si="1"/>
        <v>1</v>
      </c>
      <c r="AD22" s="61" t="b">
        <v>0</v>
      </c>
      <c r="AE22" s="32" t="s">
        <v>235</v>
      </c>
      <c r="AF22" s="46"/>
      <c r="AG22" s="46"/>
      <c r="AH22" s="46"/>
      <c r="AI22" s="46"/>
      <c r="AJ22" s="46"/>
    </row>
    <row r="23" ht="22.5" customHeight="1">
      <c r="A23" s="27">
        <v>46172.0</v>
      </c>
      <c r="B23" s="34" t="str">
        <f t="array" ref="B23">TEXT(A23, "MM-YYYY")</f>
        <v>05-2026</v>
      </c>
      <c r="C23" s="39" t="s">
        <v>520</v>
      </c>
      <c r="D23" s="36" t="s">
        <v>210</v>
      </c>
      <c r="E23" s="36" t="s">
        <v>213</v>
      </c>
      <c r="F23" s="37" t="s">
        <v>4</v>
      </c>
      <c r="G23" s="29" t="b">
        <v>1</v>
      </c>
      <c r="H23" s="36" t="s">
        <v>214</v>
      </c>
      <c r="I23" s="36" t="s">
        <v>215</v>
      </c>
      <c r="J23" s="39"/>
      <c r="K23" s="40"/>
      <c r="L23" s="37" t="s">
        <v>194</v>
      </c>
      <c r="M23" s="37" t="s">
        <v>194</v>
      </c>
      <c r="N23" s="37" t="s">
        <v>194</v>
      </c>
      <c r="O23" s="37" t="s">
        <v>194</v>
      </c>
      <c r="P23" s="37" t="s">
        <v>223</v>
      </c>
      <c r="Q23" s="37" t="s">
        <v>224</v>
      </c>
      <c r="R23" s="41">
        <v>46218.0</v>
      </c>
      <c r="S23" s="42">
        <v>1.0</v>
      </c>
      <c r="T23" s="44"/>
      <c r="U23" s="45" t="str">
        <f>IF(records[Type]="Room",records[roomNo],records[roomNo]&amp;"-"&amp;SUBSTITUTE(RIGHT(records[roomNo]&amp;records[Type],2),"-",""))</f>
        <v>12-2-042</v>
      </c>
      <c r="V23" s="47" t="str">
        <f t="array" ref="V23">_xlfn.XLOOKUP(records[ID], dAir[roomNo], dAir[roomName])</f>
        <v>AIRLOCK</v>
      </c>
      <c r="W23" s="47" t="str">
        <f t="array" ref="W23">_xlfn.XLOOKUP(records[ID], dAir[roomNo], dAir[building])</f>
        <v>Building 12</v>
      </c>
      <c r="X23" s="47" t="str">
        <f t="array" ref="X23">_xlfn.XLOOKUP(records[ID], dAir[roomNo], dAir[floor])</f>
        <v>Floor 2</v>
      </c>
      <c r="Y23" s="45" t="str">
        <f t="array" ref="Y23">_xlfn.XLOOKUP(records[ID], dAir[roomNo], dAir[Class])</f>
        <v>D</v>
      </c>
      <c r="Z23" s="45">
        <f t="array" ref="Z23">_xlfn.XLOOKUP(records[Method]&amp;"-"&amp;records[Class], dAirSpec[ID], dAirSpec[Spec])</f>
        <v>100</v>
      </c>
      <c r="AA23" s="45" t="str">
        <f t="array" ref="AA23">_xlfn.XLOOKUP(records[Method]&amp;"-"&amp;records[Class], dAirSpec[ID], dAirSpec[Unit])</f>
        <v>cfu/plate</v>
      </c>
      <c r="AB23" s="58">
        <f t="array" ref="AB23">if(S23="","", if(records[Method]="Active Air",_xlfn.xlookup(records[ColonyCount]&amp;records[AirSampler],feller[code],feller[Vc]),records[ColonyCount]))</f>
        <v>1</v>
      </c>
      <c r="AC23" s="60" t="b">
        <f t="shared" si="1"/>
        <v>1</v>
      </c>
      <c r="AD23" s="61" t="b">
        <v>0</v>
      </c>
      <c r="AE23" s="32" t="s">
        <v>235</v>
      </c>
      <c r="AF23" s="46"/>
      <c r="AG23" s="46"/>
      <c r="AH23" s="46"/>
      <c r="AI23" s="46"/>
      <c r="AJ23" s="46"/>
    </row>
    <row r="24" ht="22.5" customHeight="1">
      <c r="A24" s="27">
        <v>46172.0</v>
      </c>
      <c r="B24" s="34" t="str">
        <f t="array" ref="B24">TEXT(A24, "MM-YYYY")</f>
        <v>05-2026</v>
      </c>
      <c r="C24" s="39" t="s">
        <v>530</v>
      </c>
      <c r="D24" s="36" t="s">
        <v>210</v>
      </c>
      <c r="E24" s="36" t="s">
        <v>531</v>
      </c>
      <c r="F24" s="37" t="s">
        <v>4</v>
      </c>
      <c r="G24" s="29" t="b">
        <v>1</v>
      </c>
      <c r="H24" s="36" t="s">
        <v>214</v>
      </c>
      <c r="I24" s="36" t="s">
        <v>534</v>
      </c>
      <c r="J24" s="39"/>
      <c r="K24" s="40"/>
      <c r="L24" s="37" t="s">
        <v>194</v>
      </c>
      <c r="M24" s="37" t="s">
        <v>194</v>
      </c>
      <c r="N24" s="37" t="s">
        <v>194</v>
      </c>
      <c r="O24" s="37" t="s">
        <v>194</v>
      </c>
      <c r="P24" s="37" t="s">
        <v>223</v>
      </c>
      <c r="Q24" s="37" t="s">
        <v>224</v>
      </c>
      <c r="R24" s="41">
        <v>46218.0</v>
      </c>
      <c r="S24" s="42">
        <v>28.0</v>
      </c>
      <c r="T24" s="44"/>
      <c r="U24" s="45" t="str">
        <f>IF(records[Type]="Room",records[roomNo],records[roomNo]&amp;"-"&amp;SUBSTITUTE(RIGHT(records[roomNo]&amp;records[Type],2),"-",""))</f>
        <v>12-2-043</v>
      </c>
      <c r="V24" s="47" t="str">
        <f t="array" ref="V24">_xlfn.XLOOKUP(records[ID], dAir[roomNo], dAir[roomName])</f>
        <v>MFG 3</v>
      </c>
      <c r="W24" s="47" t="str">
        <f t="array" ref="W24">_xlfn.XLOOKUP(records[ID], dAir[roomNo], dAir[building])</f>
        <v>Building 12</v>
      </c>
      <c r="X24" s="47" t="str">
        <f t="array" ref="X24">_xlfn.XLOOKUP(records[ID], dAir[roomNo], dAir[floor])</f>
        <v>Floor 2</v>
      </c>
      <c r="Y24" s="45" t="str">
        <f t="array" ref="Y24">_xlfn.XLOOKUP(records[ID], dAir[roomNo], dAir[Class])</f>
        <v>D</v>
      </c>
      <c r="Z24" s="45">
        <f t="array" ref="Z24">_xlfn.XLOOKUP(records[Method]&amp;"-"&amp;records[Class], dAirSpec[ID], dAirSpec[Spec])</f>
        <v>200</v>
      </c>
      <c r="AA24" s="45" t="str">
        <f t="array" ref="AA24">_xlfn.XLOOKUP(records[Method]&amp;"-"&amp;records[Class], dAirSpec[ID], dAirSpec[Unit])</f>
        <v>cfu/m3</v>
      </c>
      <c r="AB24" s="45">
        <f t="array" ref="AB24">if(S24="","", if(records[Method]="Active Air",_xlfn.xlookup(records[ColonyCount]&amp;records[AirSampler],feller[code],feller[Vc]),records[ColonyCount]))</f>
        <v>30</v>
      </c>
      <c r="AC24" s="60" t="b">
        <f t="shared" si="1"/>
        <v>1</v>
      </c>
      <c r="AD24" s="61" t="b">
        <v>0</v>
      </c>
      <c r="AE24" s="32" t="s">
        <v>235</v>
      </c>
      <c r="AF24" s="46"/>
      <c r="AG24" s="46"/>
      <c r="AH24" s="46"/>
      <c r="AI24" s="46"/>
      <c r="AJ24" s="46"/>
    </row>
    <row r="25" ht="22.5" customHeight="1">
      <c r="A25" s="27">
        <v>46172.0</v>
      </c>
      <c r="B25" s="34" t="str">
        <f t="array" ref="B25">TEXT(A25, "MM-YYYY")</f>
        <v>05-2026</v>
      </c>
      <c r="C25" s="39" t="s">
        <v>543</v>
      </c>
      <c r="D25" s="36" t="s">
        <v>210</v>
      </c>
      <c r="E25" s="36" t="s">
        <v>213</v>
      </c>
      <c r="F25" s="37" t="s">
        <v>4</v>
      </c>
      <c r="G25" s="29" t="b">
        <v>1</v>
      </c>
      <c r="H25" s="36" t="s">
        <v>214</v>
      </c>
      <c r="I25" s="36" t="s">
        <v>215</v>
      </c>
      <c r="J25" s="39"/>
      <c r="K25" s="40"/>
      <c r="L25" s="37" t="s">
        <v>194</v>
      </c>
      <c r="M25" s="37" t="s">
        <v>194</v>
      </c>
      <c r="N25" s="37" t="s">
        <v>194</v>
      </c>
      <c r="O25" s="37" t="s">
        <v>194</v>
      </c>
      <c r="P25" s="37" t="s">
        <v>223</v>
      </c>
      <c r="Q25" s="37" t="s">
        <v>224</v>
      </c>
      <c r="R25" s="41">
        <v>46218.0</v>
      </c>
      <c r="S25" s="42">
        <v>7.0</v>
      </c>
      <c r="T25" s="44"/>
      <c r="U25" s="45" t="str">
        <f>IF(records[Type]="Room",records[roomNo],records[roomNo]&amp;"-"&amp;SUBSTITUTE(RIGHT(records[roomNo]&amp;records[Type],2),"-",""))</f>
        <v>12-2-044</v>
      </c>
      <c r="V25" s="47" t="str">
        <f t="array" ref="V25">_xlfn.XLOOKUP(records[ID], dAir[roomNo], dAir[roomName])</f>
        <v>AIRLOCK</v>
      </c>
      <c r="W25" s="47" t="str">
        <f t="array" ref="W25">_xlfn.XLOOKUP(records[ID], dAir[roomNo], dAir[building])</f>
        <v>Building 12</v>
      </c>
      <c r="X25" s="47" t="str">
        <f t="array" ref="X25">_xlfn.XLOOKUP(records[ID], dAir[roomNo], dAir[floor])</f>
        <v>Floor 2</v>
      </c>
      <c r="Y25" s="45" t="str">
        <f t="array" ref="Y25">_xlfn.XLOOKUP(records[ID], dAir[roomNo], dAir[Class])</f>
        <v>D</v>
      </c>
      <c r="Z25" s="45">
        <f t="array" ref="Z25">_xlfn.XLOOKUP(records[Method]&amp;"-"&amp;records[Class], dAirSpec[ID], dAirSpec[Spec])</f>
        <v>100</v>
      </c>
      <c r="AA25" s="45" t="str">
        <f t="array" ref="AA25">_xlfn.XLOOKUP(records[Method]&amp;"-"&amp;records[Class], dAirSpec[ID], dAirSpec[Unit])</f>
        <v>cfu/plate</v>
      </c>
      <c r="AB25" s="58">
        <f t="array" ref="AB25">if(S25="","", if(records[Method]="Active Air",_xlfn.xlookup(records[ColonyCount]&amp;records[AirSampler],feller[code],feller[Vc]),records[ColonyCount]))</f>
        <v>7</v>
      </c>
      <c r="AC25" s="60" t="b">
        <f t="shared" si="1"/>
        <v>1</v>
      </c>
      <c r="AD25" s="61" t="b">
        <v>0</v>
      </c>
      <c r="AE25" s="32" t="s">
        <v>235</v>
      </c>
      <c r="AF25" s="46"/>
      <c r="AG25" s="46"/>
      <c r="AH25" s="46"/>
      <c r="AI25" s="46"/>
      <c r="AJ25" s="46"/>
    </row>
    <row r="26" ht="22.5" customHeight="1">
      <c r="A26" s="27">
        <v>46172.0</v>
      </c>
      <c r="B26" s="34" t="str">
        <f t="array" ref="B26">TEXT(A26, "MM-YYYY")</f>
        <v>05-2026</v>
      </c>
      <c r="C26" s="39" t="s">
        <v>552</v>
      </c>
      <c r="D26" s="36" t="s">
        <v>210</v>
      </c>
      <c r="E26" s="36" t="s">
        <v>213</v>
      </c>
      <c r="F26" s="37" t="s">
        <v>4</v>
      </c>
      <c r="G26" s="29" t="b">
        <v>1</v>
      </c>
      <c r="H26" s="36" t="s">
        <v>214</v>
      </c>
      <c r="I26" s="36" t="s">
        <v>215</v>
      </c>
      <c r="J26" s="39"/>
      <c r="K26" s="40"/>
      <c r="L26" s="37" t="s">
        <v>194</v>
      </c>
      <c r="M26" s="37" t="s">
        <v>194</v>
      </c>
      <c r="N26" s="37" t="s">
        <v>194</v>
      </c>
      <c r="O26" s="37" t="s">
        <v>194</v>
      </c>
      <c r="P26" s="37" t="s">
        <v>223</v>
      </c>
      <c r="Q26" s="37" t="s">
        <v>224</v>
      </c>
      <c r="R26" s="41">
        <v>46218.0</v>
      </c>
      <c r="S26" s="42">
        <v>0.0</v>
      </c>
      <c r="T26" s="44"/>
      <c r="U26" s="45" t="str">
        <f>IF(records[Type]="Room",records[roomNo],records[roomNo]&amp;"-"&amp;SUBSTITUTE(RIGHT(records[roomNo]&amp;records[Type],2),"-",""))</f>
        <v>12-2-045</v>
      </c>
      <c r="V26" s="47" t="str">
        <f t="array" ref="V26">_xlfn.XLOOKUP(records[ID], dAir[roomNo], dAir[roomName])</f>
        <v>MFG 4</v>
      </c>
      <c r="W26" s="47" t="str">
        <f t="array" ref="W26">_xlfn.XLOOKUP(records[ID], dAir[roomNo], dAir[building])</f>
        <v>Building 12</v>
      </c>
      <c r="X26" s="47" t="str">
        <f t="array" ref="X26">_xlfn.XLOOKUP(records[ID], dAir[roomNo], dAir[floor])</f>
        <v>Floor 2</v>
      </c>
      <c r="Y26" s="45" t="str">
        <f t="array" ref="Y26">_xlfn.XLOOKUP(records[ID], dAir[roomNo], dAir[Class])</f>
        <v>D</v>
      </c>
      <c r="Z26" s="45">
        <f t="array" ref="Z26">_xlfn.XLOOKUP(records[Method]&amp;"-"&amp;records[Class], dAirSpec[ID], dAirSpec[Spec])</f>
        <v>100</v>
      </c>
      <c r="AA26" s="45" t="str">
        <f t="array" ref="AA26">_xlfn.XLOOKUP(records[Method]&amp;"-"&amp;records[Class], dAirSpec[ID], dAirSpec[Unit])</f>
        <v>cfu/plate</v>
      </c>
      <c r="AB26" s="58">
        <f t="array" ref="AB26">if(S26="","", if(records[Method]="Active Air",_xlfn.xlookup(records[ColonyCount]&amp;records[AirSampler],feller[code],feller[Vc]),records[ColonyCount]))</f>
        <v>0</v>
      </c>
      <c r="AC26" s="60" t="b">
        <f t="shared" si="1"/>
        <v>1</v>
      </c>
      <c r="AD26" s="61" t="b">
        <v>0</v>
      </c>
      <c r="AE26" s="32" t="s">
        <v>235</v>
      </c>
      <c r="AF26" s="46"/>
      <c r="AG26" s="46"/>
      <c r="AH26" s="46"/>
      <c r="AI26" s="46"/>
      <c r="AJ26" s="46"/>
    </row>
    <row r="27" ht="22.5" customHeight="1">
      <c r="A27" s="27">
        <v>46172.0</v>
      </c>
      <c r="B27" s="34" t="str">
        <f t="array" ref="B27">TEXT(A27, "MM-YYYY")</f>
        <v>05-2026</v>
      </c>
      <c r="C27" s="39" t="s">
        <v>556</v>
      </c>
      <c r="D27" s="36" t="s">
        <v>210</v>
      </c>
      <c r="E27" s="36" t="s">
        <v>213</v>
      </c>
      <c r="F27" s="37" t="s">
        <v>4</v>
      </c>
      <c r="G27" s="29" t="b">
        <v>1</v>
      </c>
      <c r="H27" s="36" t="s">
        <v>214</v>
      </c>
      <c r="I27" s="36" t="s">
        <v>215</v>
      </c>
      <c r="J27" s="39"/>
      <c r="K27" s="40"/>
      <c r="L27" s="37" t="s">
        <v>194</v>
      </c>
      <c r="M27" s="37" t="s">
        <v>194</v>
      </c>
      <c r="N27" s="37" t="s">
        <v>194</v>
      </c>
      <c r="O27" s="37" t="s">
        <v>194</v>
      </c>
      <c r="P27" s="37" t="s">
        <v>223</v>
      </c>
      <c r="Q27" s="37" t="s">
        <v>224</v>
      </c>
      <c r="R27" s="41">
        <v>46218.0</v>
      </c>
      <c r="S27" s="42">
        <v>2.0</v>
      </c>
      <c r="T27" s="44"/>
      <c r="U27" s="45" t="str">
        <f>IF(records[Type]="Room",records[roomNo],records[roomNo]&amp;"-"&amp;SUBSTITUTE(RIGHT(records[roomNo]&amp;records[Type],2),"-",""))</f>
        <v>12-2-046</v>
      </c>
      <c r="V27" s="47" t="str">
        <f t="array" ref="V27">_xlfn.XLOOKUP(records[ID], dAir[roomNo], dAir[roomName])</f>
        <v>PRO TINCTURE STAGING</v>
      </c>
      <c r="W27" s="47" t="str">
        <f t="array" ref="W27">_xlfn.XLOOKUP(records[ID], dAir[roomNo], dAir[building])</f>
        <v>Building 12</v>
      </c>
      <c r="X27" s="47" t="str">
        <f t="array" ref="X27">_xlfn.XLOOKUP(records[ID], dAir[roomNo], dAir[floor])</f>
        <v>Floor 2</v>
      </c>
      <c r="Y27" s="45" t="str">
        <f t="array" ref="Y27">_xlfn.XLOOKUP(records[ID], dAir[roomNo], dAir[Class])</f>
        <v>D</v>
      </c>
      <c r="Z27" s="45">
        <f t="array" ref="Z27">_xlfn.XLOOKUP(records[Method]&amp;"-"&amp;records[Class], dAirSpec[ID], dAirSpec[Spec])</f>
        <v>100</v>
      </c>
      <c r="AA27" s="45" t="str">
        <f t="array" ref="AA27">_xlfn.XLOOKUP(records[Method]&amp;"-"&amp;records[Class], dAirSpec[ID], dAirSpec[Unit])</f>
        <v>cfu/plate</v>
      </c>
      <c r="AB27" s="58">
        <f t="array" ref="AB27">if(S27="","", if(records[Method]="Active Air",_xlfn.xlookup(records[ColonyCount]&amp;records[AirSampler],feller[code],feller[Vc]),records[ColonyCount]))</f>
        <v>2</v>
      </c>
      <c r="AC27" s="60" t="b">
        <f t="shared" si="1"/>
        <v>1</v>
      </c>
      <c r="AD27" s="61" t="b">
        <v>0</v>
      </c>
      <c r="AE27" s="32" t="s">
        <v>235</v>
      </c>
      <c r="AF27" s="46"/>
      <c r="AG27" s="46"/>
      <c r="AH27" s="46"/>
      <c r="AI27" s="46"/>
      <c r="AJ27" s="46"/>
    </row>
    <row r="28" ht="22.5" customHeight="1">
      <c r="A28" s="27">
        <v>46172.0</v>
      </c>
      <c r="B28" s="34" t="str">
        <f t="array" ref="B28">TEXT(A28, "MM-YYYY")</f>
        <v>05-2026</v>
      </c>
      <c r="C28" s="39" t="s">
        <v>562</v>
      </c>
      <c r="D28" s="36" t="s">
        <v>210</v>
      </c>
      <c r="E28" s="36" t="s">
        <v>213</v>
      </c>
      <c r="F28" s="37" t="s">
        <v>4</v>
      </c>
      <c r="G28" s="29" t="b">
        <v>1</v>
      </c>
      <c r="H28" s="36" t="s">
        <v>214</v>
      </c>
      <c r="I28" s="36" t="s">
        <v>215</v>
      </c>
      <c r="J28" s="39"/>
      <c r="K28" s="40"/>
      <c r="L28" s="37" t="s">
        <v>194</v>
      </c>
      <c r="M28" s="37" t="s">
        <v>194</v>
      </c>
      <c r="N28" s="37" t="s">
        <v>194</v>
      </c>
      <c r="O28" s="37" t="s">
        <v>194</v>
      </c>
      <c r="P28" s="37" t="s">
        <v>223</v>
      </c>
      <c r="Q28" s="37" t="s">
        <v>224</v>
      </c>
      <c r="R28" s="41">
        <v>46218.0</v>
      </c>
      <c r="S28" s="42">
        <v>1.0</v>
      </c>
      <c r="T28" s="44"/>
      <c r="U28" s="45" t="str">
        <f>IF(records[Type]="Room",records[roomNo],records[roomNo]&amp;"-"&amp;SUBSTITUTE(RIGHT(records[roomNo]&amp;records[Type],2),"-",""))</f>
        <v>12-2-047</v>
      </c>
      <c r="V28" s="47" t="str">
        <f t="array" ref="V28">_xlfn.XLOOKUP(records[ID], dAir[roomNo], dAir[roomName])</f>
        <v>AIRLOCK</v>
      </c>
      <c r="W28" s="47" t="str">
        <f t="array" ref="W28">_xlfn.XLOOKUP(records[ID], dAir[roomNo], dAir[building])</f>
        <v>Building 12</v>
      </c>
      <c r="X28" s="47" t="str">
        <f t="array" ref="X28">_xlfn.XLOOKUP(records[ID], dAir[roomNo], dAir[floor])</f>
        <v>Floor 2</v>
      </c>
      <c r="Y28" s="45" t="str">
        <f t="array" ref="Y28">_xlfn.XLOOKUP(records[ID], dAir[roomNo], dAir[Class])</f>
        <v>D</v>
      </c>
      <c r="Z28" s="45">
        <f t="array" ref="Z28">_xlfn.XLOOKUP(records[Method]&amp;"-"&amp;records[Class], dAirSpec[ID], dAirSpec[Spec])</f>
        <v>100</v>
      </c>
      <c r="AA28" s="45" t="str">
        <f t="array" ref="AA28">_xlfn.XLOOKUP(records[Method]&amp;"-"&amp;records[Class], dAirSpec[ID], dAirSpec[Unit])</f>
        <v>cfu/plate</v>
      </c>
      <c r="AB28" s="58">
        <f t="array" ref="AB28">if(S28="","", if(records[Method]="Active Air",_xlfn.xlookup(records[ColonyCount]&amp;records[AirSampler],feller[code],feller[Vc]),records[ColonyCount]))</f>
        <v>1</v>
      </c>
      <c r="AC28" s="60" t="b">
        <f t="shared" si="1"/>
        <v>1</v>
      </c>
      <c r="AD28" s="61" t="b">
        <v>0</v>
      </c>
      <c r="AE28" s="32" t="s">
        <v>235</v>
      </c>
      <c r="AF28" s="46"/>
      <c r="AG28" s="46"/>
      <c r="AH28" s="46"/>
      <c r="AI28" s="46"/>
      <c r="AJ28" s="46"/>
    </row>
    <row r="29" ht="22.5" customHeight="1">
      <c r="A29" s="27">
        <v>46172.0</v>
      </c>
      <c r="B29" s="34" t="str">
        <f t="array" ref="B29">TEXT(A29, "MM-YYYY")</f>
        <v>05-2026</v>
      </c>
      <c r="C29" s="39" t="s">
        <v>572</v>
      </c>
      <c r="D29" s="36" t="s">
        <v>210</v>
      </c>
      <c r="E29" s="36" t="s">
        <v>213</v>
      </c>
      <c r="F29" s="37" t="s">
        <v>4</v>
      </c>
      <c r="G29" s="29" t="b">
        <v>1</v>
      </c>
      <c r="H29" s="36" t="s">
        <v>214</v>
      </c>
      <c r="I29" s="36" t="s">
        <v>215</v>
      </c>
      <c r="J29" s="39"/>
      <c r="K29" s="40"/>
      <c r="L29" s="37" t="s">
        <v>194</v>
      </c>
      <c r="M29" s="37" t="s">
        <v>194</v>
      </c>
      <c r="N29" s="37" t="s">
        <v>194</v>
      </c>
      <c r="O29" s="37" t="s">
        <v>194</v>
      </c>
      <c r="P29" s="37" t="s">
        <v>223</v>
      </c>
      <c r="Q29" s="37" t="s">
        <v>224</v>
      </c>
      <c r="R29" s="41">
        <v>46218.0</v>
      </c>
      <c r="S29" s="42">
        <v>0.0</v>
      </c>
      <c r="T29" s="44"/>
      <c r="U29" s="45" t="str">
        <f>IF(records[Type]="Room",records[roomNo],records[roomNo]&amp;"-"&amp;SUBSTITUTE(RIGHT(records[roomNo]&amp;records[Type],2),"-",""))</f>
        <v>12-2-048</v>
      </c>
      <c r="V29" s="47" t="str">
        <f t="array" ref="V29">_xlfn.XLOOKUP(records[ID], dAir[roomNo], dAir[roomName])</f>
        <v>CORRIDOR</v>
      </c>
      <c r="W29" s="47" t="str">
        <f t="array" ref="W29">_xlfn.XLOOKUP(records[ID], dAir[roomNo], dAir[building])</f>
        <v>Building 12</v>
      </c>
      <c r="X29" s="47" t="str">
        <f t="array" ref="X29">_xlfn.XLOOKUP(records[ID], dAir[roomNo], dAir[floor])</f>
        <v>Floor 2</v>
      </c>
      <c r="Y29" s="45" t="str">
        <f t="array" ref="Y29">_xlfn.XLOOKUP(records[ID], dAir[roomNo], dAir[Class])</f>
        <v>D</v>
      </c>
      <c r="Z29" s="45">
        <f t="array" ref="Z29">_xlfn.XLOOKUP(records[Method]&amp;"-"&amp;records[Class], dAirSpec[ID], dAirSpec[Spec])</f>
        <v>100</v>
      </c>
      <c r="AA29" s="45" t="str">
        <f t="array" ref="AA29">_xlfn.XLOOKUP(records[Method]&amp;"-"&amp;records[Class], dAirSpec[ID], dAirSpec[Unit])</f>
        <v>cfu/plate</v>
      </c>
      <c r="AB29" s="58">
        <f t="array" ref="AB29">if(S29="","", if(records[Method]="Active Air",_xlfn.xlookup(records[ColonyCount]&amp;records[AirSampler],feller[code],feller[Vc]),records[ColonyCount]))</f>
        <v>0</v>
      </c>
      <c r="AC29" s="60" t="b">
        <f t="shared" si="1"/>
        <v>1</v>
      </c>
      <c r="AD29" s="61" t="b">
        <v>0</v>
      </c>
      <c r="AE29" s="32" t="s">
        <v>235</v>
      </c>
      <c r="AF29" s="46"/>
      <c r="AG29" s="46"/>
      <c r="AH29" s="46"/>
      <c r="AI29" s="46"/>
      <c r="AJ29" s="46"/>
    </row>
    <row r="30" ht="22.5" customHeight="1">
      <c r="A30" s="27">
        <v>46172.0</v>
      </c>
      <c r="B30" s="34" t="str">
        <f t="array" ref="B30">TEXT(A30, "MM-YYYY")</f>
        <v>05-2026</v>
      </c>
      <c r="C30" s="39" t="s">
        <v>581</v>
      </c>
      <c r="D30" s="36" t="s">
        <v>210</v>
      </c>
      <c r="E30" s="36" t="s">
        <v>213</v>
      </c>
      <c r="F30" s="37" t="s">
        <v>4</v>
      </c>
      <c r="G30" s="29" t="b">
        <v>1</v>
      </c>
      <c r="H30" s="36" t="s">
        <v>214</v>
      </c>
      <c r="I30" s="36" t="s">
        <v>215</v>
      </c>
      <c r="J30" s="39"/>
      <c r="K30" s="40"/>
      <c r="L30" s="37" t="s">
        <v>194</v>
      </c>
      <c r="M30" s="37" t="s">
        <v>194</v>
      </c>
      <c r="N30" s="37" t="s">
        <v>194</v>
      </c>
      <c r="O30" s="37" t="s">
        <v>194</v>
      </c>
      <c r="P30" s="37" t="s">
        <v>223</v>
      </c>
      <c r="Q30" s="37" t="s">
        <v>224</v>
      </c>
      <c r="R30" s="41">
        <v>46218.0</v>
      </c>
      <c r="S30" s="42">
        <v>0.0</v>
      </c>
      <c r="T30" s="44"/>
      <c r="U30" s="45" t="str">
        <f>IF(records[Type]="Room",records[roomNo],records[roomNo]&amp;"-"&amp;SUBSTITUTE(RIGHT(records[roomNo]&amp;records[Type],2),"-",""))</f>
        <v>12-2-049</v>
      </c>
      <c r="V30" s="47" t="str">
        <f t="array" ref="V30">_xlfn.XLOOKUP(records[ID], dAir[roomNo], dAir[roomName])</f>
        <v>LINEN WASHING</v>
      </c>
      <c r="W30" s="47" t="str">
        <f t="array" ref="W30">_xlfn.XLOOKUP(records[ID], dAir[roomNo], dAir[building])</f>
        <v>Building 12</v>
      </c>
      <c r="X30" s="47" t="str">
        <f t="array" ref="X30">_xlfn.XLOOKUP(records[ID], dAir[roomNo], dAir[floor])</f>
        <v>Floor 2</v>
      </c>
      <c r="Y30" s="45" t="str">
        <f t="array" ref="Y30">_xlfn.XLOOKUP(records[ID], dAir[roomNo], dAir[Class])</f>
        <v>D</v>
      </c>
      <c r="Z30" s="45">
        <f t="array" ref="Z30">_xlfn.XLOOKUP(records[Method]&amp;"-"&amp;records[Class], dAirSpec[ID], dAirSpec[Spec])</f>
        <v>100</v>
      </c>
      <c r="AA30" s="45" t="str">
        <f t="array" ref="AA30">_xlfn.XLOOKUP(records[Method]&amp;"-"&amp;records[Class], dAirSpec[ID], dAirSpec[Unit])</f>
        <v>cfu/plate</v>
      </c>
      <c r="AB30" s="58">
        <f t="array" ref="AB30">if(S30="","", if(records[Method]="Active Air",_xlfn.xlookup(records[ColonyCount]&amp;records[AirSampler],feller[code],feller[Vc]),records[ColonyCount]))</f>
        <v>0</v>
      </c>
      <c r="AC30" s="60" t="b">
        <f t="shared" si="1"/>
        <v>1</v>
      </c>
      <c r="AD30" s="61" t="b">
        <v>0</v>
      </c>
      <c r="AE30" s="32" t="s">
        <v>235</v>
      </c>
      <c r="AF30" s="46"/>
      <c r="AG30" s="46"/>
      <c r="AH30" s="46"/>
      <c r="AI30" s="46"/>
      <c r="AJ30" s="46"/>
    </row>
    <row r="31" ht="22.5" customHeight="1">
      <c r="A31" s="27">
        <v>46172.0</v>
      </c>
      <c r="B31" s="34" t="str">
        <f t="array" ref="B31">TEXT(A31, "MM-YYYY")</f>
        <v>05-2026</v>
      </c>
      <c r="C31" s="39" t="s">
        <v>590</v>
      </c>
      <c r="D31" s="36" t="s">
        <v>210</v>
      </c>
      <c r="E31" s="36" t="s">
        <v>213</v>
      </c>
      <c r="F31" s="37" t="s">
        <v>4</v>
      </c>
      <c r="G31" s="29" t="b">
        <v>1</v>
      </c>
      <c r="H31" s="36" t="s">
        <v>214</v>
      </c>
      <c r="I31" s="36" t="s">
        <v>215</v>
      </c>
      <c r="J31" s="39"/>
      <c r="K31" s="40"/>
      <c r="L31" s="37" t="s">
        <v>194</v>
      </c>
      <c r="M31" s="37" t="s">
        <v>194</v>
      </c>
      <c r="N31" s="37" t="s">
        <v>194</v>
      </c>
      <c r="O31" s="37" t="s">
        <v>194</v>
      </c>
      <c r="P31" s="37" t="s">
        <v>223</v>
      </c>
      <c r="Q31" s="37" t="s">
        <v>224</v>
      </c>
      <c r="R31" s="41">
        <v>46218.0</v>
      </c>
      <c r="S31" s="42">
        <v>0.0</v>
      </c>
      <c r="T31" s="44"/>
      <c r="U31" s="45" t="str">
        <f>IF(records[Type]="Room",records[roomNo],records[roomNo]&amp;"-"&amp;SUBSTITUTE(RIGHT(records[roomNo]&amp;records[Type],2),"-",""))</f>
        <v>12-2-050</v>
      </c>
      <c r="V31" s="47" t="str">
        <f t="array" ref="V31">_xlfn.XLOOKUP(records[ID], dAir[roomNo], dAir[roomName])</f>
        <v>LINEN DRY</v>
      </c>
      <c r="W31" s="47" t="str">
        <f t="array" ref="W31">_xlfn.XLOOKUP(records[ID], dAir[roomNo], dAir[building])</f>
        <v>Building 12</v>
      </c>
      <c r="X31" s="47" t="str">
        <f t="array" ref="X31">_xlfn.XLOOKUP(records[ID], dAir[roomNo], dAir[floor])</f>
        <v>Floor 2</v>
      </c>
      <c r="Y31" s="45" t="str">
        <f t="array" ref="Y31">_xlfn.XLOOKUP(records[ID], dAir[roomNo], dAir[Class])</f>
        <v>D</v>
      </c>
      <c r="Z31" s="45">
        <f t="array" ref="Z31">_xlfn.XLOOKUP(records[Method]&amp;"-"&amp;records[Class], dAirSpec[ID], dAirSpec[Spec])</f>
        <v>100</v>
      </c>
      <c r="AA31" s="45" t="str">
        <f t="array" ref="AA31">_xlfn.XLOOKUP(records[Method]&amp;"-"&amp;records[Class], dAirSpec[ID], dAirSpec[Unit])</f>
        <v>cfu/plate</v>
      </c>
      <c r="AB31" s="58">
        <f t="array" ref="AB31">if(S31="","", if(records[Method]="Active Air",_xlfn.xlookup(records[ColonyCount]&amp;records[AirSampler],feller[code],feller[Vc]),records[ColonyCount]))</f>
        <v>0</v>
      </c>
      <c r="AC31" s="60" t="b">
        <f t="shared" si="1"/>
        <v>1</v>
      </c>
      <c r="AD31" s="61" t="b">
        <v>0</v>
      </c>
      <c r="AE31" s="32" t="s">
        <v>235</v>
      </c>
      <c r="AF31" s="46"/>
      <c r="AG31" s="46"/>
      <c r="AH31" s="46"/>
      <c r="AI31" s="46"/>
      <c r="AJ31" s="46"/>
    </row>
    <row r="32" ht="22.5" customHeight="1">
      <c r="A32" s="27">
        <v>46172.0</v>
      </c>
      <c r="B32" s="34" t="str">
        <f t="array" ref="B32">TEXT(A32, "MM-YYYY")</f>
        <v>05-2026</v>
      </c>
      <c r="C32" s="39" t="s">
        <v>601</v>
      </c>
      <c r="D32" s="36" t="s">
        <v>210</v>
      </c>
      <c r="E32" s="36" t="s">
        <v>213</v>
      </c>
      <c r="F32" s="37" t="s">
        <v>4</v>
      </c>
      <c r="G32" s="29" t="b">
        <v>1</v>
      </c>
      <c r="H32" s="36" t="s">
        <v>214</v>
      </c>
      <c r="I32" s="36" t="s">
        <v>215</v>
      </c>
      <c r="J32" s="39"/>
      <c r="K32" s="40"/>
      <c r="L32" s="37" t="s">
        <v>194</v>
      </c>
      <c r="M32" s="37" t="s">
        <v>194</v>
      </c>
      <c r="N32" s="37" t="s">
        <v>194</v>
      </c>
      <c r="O32" s="37" t="s">
        <v>194</v>
      </c>
      <c r="P32" s="37" t="s">
        <v>223</v>
      </c>
      <c r="Q32" s="37" t="s">
        <v>224</v>
      </c>
      <c r="R32" s="41">
        <v>46218.0</v>
      </c>
      <c r="S32" s="42">
        <v>0.0</v>
      </c>
      <c r="T32" s="44"/>
      <c r="U32" s="45" t="str">
        <f>IF(records[Type]="Room",records[roomNo],records[roomNo]&amp;"-"&amp;SUBSTITUTE(RIGHT(records[roomNo]&amp;records[Type],2),"-",""))</f>
        <v>12-2-051</v>
      </c>
      <c r="V32" s="47" t="str">
        <f t="array" ref="V32">_xlfn.XLOOKUP(records[ID], dAir[roomNo], dAir[roomName])</f>
        <v>SCRAP STORAGE</v>
      </c>
      <c r="W32" s="47" t="str">
        <f t="array" ref="W32">_xlfn.XLOOKUP(records[ID], dAir[roomNo], dAir[building])</f>
        <v>Building 12</v>
      </c>
      <c r="X32" s="47" t="str">
        <f t="array" ref="X32">_xlfn.XLOOKUP(records[ID], dAir[roomNo], dAir[floor])</f>
        <v>Floor 2</v>
      </c>
      <c r="Y32" s="45" t="str">
        <f t="array" ref="Y32">_xlfn.XLOOKUP(records[ID], dAir[roomNo], dAir[Class])</f>
        <v>D</v>
      </c>
      <c r="Z32" s="45">
        <f t="array" ref="Z32">_xlfn.XLOOKUP(records[Method]&amp;"-"&amp;records[Class], dAirSpec[ID], dAirSpec[Spec])</f>
        <v>100</v>
      </c>
      <c r="AA32" s="45" t="str">
        <f t="array" ref="AA32">_xlfn.XLOOKUP(records[Method]&amp;"-"&amp;records[Class], dAirSpec[ID], dAirSpec[Unit])</f>
        <v>cfu/plate</v>
      </c>
      <c r="AB32" s="58">
        <f t="array" ref="AB32">if(S32="","", if(records[Method]="Active Air",_xlfn.xlookup(records[ColonyCount]&amp;records[AirSampler],feller[code],feller[Vc]),records[ColonyCount]))</f>
        <v>0</v>
      </c>
      <c r="AC32" s="60" t="b">
        <f t="shared" si="1"/>
        <v>1</v>
      </c>
      <c r="AD32" s="61" t="b">
        <v>0</v>
      </c>
      <c r="AE32" s="32" t="s">
        <v>235</v>
      </c>
      <c r="AF32" s="46"/>
      <c r="AG32" s="46"/>
      <c r="AH32" s="46"/>
      <c r="AI32" s="46"/>
      <c r="AJ32" s="46"/>
    </row>
    <row r="33" ht="22.5" customHeight="1">
      <c r="A33" s="27">
        <v>46172.0</v>
      </c>
      <c r="B33" s="34" t="str">
        <f t="array" ref="B33">TEXT(A33, "MM-YYYY")</f>
        <v>05-2026</v>
      </c>
      <c r="C33" s="39" t="s">
        <v>610</v>
      </c>
      <c r="D33" s="36" t="s">
        <v>210</v>
      </c>
      <c r="E33" s="36" t="s">
        <v>213</v>
      </c>
      <c r="F33" s="37" t="s">
        <v>4</v>
      </c>
      <c r="G33" s="29" t="b">
        <v>1</v>
      </c>
      <c r="H33" s="36" t="s">
        <v>214</v>
      </c>
      <c r="I33" s="36" t="s">
        <v>215</v>
      </c>
      <c r="J33" s="39"/>
      <c r="K33" s="40"/>
      <c r="L33" s="37" t="s">
        <v>194</v>
      </c>
      <c r="M33" s="37" t="s">
        <v>194</v>
      </c>
      <c r="N33" s="37" t="s">
        <v>194</v>
      </c>
      <c r="O33" s="37" t="s">
        <v>194</v>
      </c>
      <c r="P33" s="37" t="s">
        <v>223</v>
      </c>
      <c r="Q33" s="37" t="s">
        <v>224</v>
      </c>
      <c r="R33" s="41">
        <v>46218.0</v>
      </c>
      <c r="S33" s="42">
        <v>6.0</v>
      </c>
      <c r="T33" s="44"/>
      <c r="U33" s="45" t="str">
        <f>IF(records[Type]="Room",records[roomNo],records[roomNo]&amp;"-"&amp;SUBSTITUTE(RIGHT(records[roomNo]&amp;records[Type],2),"-",""))</f>
        <v>12-2-052</v>
      </c>
      <c r="V33" s="47" t="str">
        <f t="array" ref="V33">_xlfn.XLOOKUP(records[ID], dAir[roomNo], dAir[roomName])</f>
        <v>CORRIDOR</v>
      </c>
      <c r="W33" s="47" t="str">
        <f t="array" ref="W33">_xlfn.XLOOKUP(records[ID], dAir[roomNo], dAir[building])</f>
        <v>Building 12</v>
      </c>
      <c r="X33" s="47" t="str">
        <f t="array" ref="X33">_xlfn.XLOOKUP(records[ID], dAir[roomNo], dAir[floor])</f>
        <v>Floor 2</v>
      </c>
      <c r="Y33" s="45" t="str">
        <f t="array" ref="Y33">_xlfn.XLOOKUP(records[ID], dAir[roomNo], dAir[Class])</f>
        <v>D</v>
      </c>
      <c r="Z33" s="45">
        <f t="array" ref="Z33">_xlfn.XLOOKUP(records[Method]&amp;"-"&amp;records[Class], dAirSpec[ID], dAirSpec[Spec])</f>
        <v>100</v>
      </c>
      <c r="AA33" s="45" t="str">
        <f t="array" ref="AA33">_xlfn.XLOOKUP(records[Method]&amp;"-"&amp;records[Class], dAirSpec[ID], dAirSpec[Unit])</f>
        <v>cfu/plate</v>
      </c>
      <c r="AB33" s="58">
        <f t="array" ref="AB33">if(S33="","", if(records[Method]="Active Air",_xlfn.xlookup(records[ColonyCount]&amp;records[AirSampler],feller[code],feller[Vc]),records[ColonyCount]))</f>
        <v>6</v>
      </c>
      <c r="AC33" s="60" t="b">
        <f t="shared" si="1"/>
        <v>1</v>
      </c>
      <c r="AD33" s="61" t="b">
        <v>0</v>
      </c>
      <c r="AE33" s="32" t="s">
        <v>235</v>
      </c>
      <c r="AF33" s="46"/>
      <c r="AG33" s="46"/>
      <c r="AH33" s="46"/>
      <c r="AI33" s="46"/>
      <c r="AJ33" s="46"/>
    </row>
    <row r="34" ht="22.5" customHeight="1">
      <c r="A34" s="27">
        <v>46172.0</v>
      </c>
      <c r="B34" s="34" t="str">
        <f t="array" ref="B34">TEXT(A34, "MM-YYYY")</f>
        <v>05-2026</v>
      </c>
      <c r="C34" s="39" t="s">
        <v>622</v>
      </c>
      <c r="D34" s="36" t="s">
        <v>210</v>
      </c>
      <c r="E34" s="36" t="s">
        <v>213</v>
      </c>
      <c r="F34" s="37" t="s">
        <v>4</v>
      </c>
      <c r="G34" s="29" t="b">
        <v>1</v>
      </c>
      <c r="H34" s="36" t="s">
        <v>214</v>
      </c>
      <c r="I34" s="36" t="s">
        <v>215</v>
      </c>
      <c r="J34" s="39"/>
      <c r="K34" s="40"/>
      <c r="L34" s="37" t="s">
        <v>194</v>
      </c>
      <c r="M34" s="37" t="s">
        <v>194</v>
      </c>
      <c r="N34" s="37" t="s">
        <v>194</v>
      </c>
      <c r="O34" s="37" t="s">
        <v>194</v>
      </c>
      <c r="P34" s="37" t="s">
        <v>223</v>
      </c>
      <c r="Q34" s="37" t="s">
        <v>224</v>
      </c>
      <c r="R34" s="41">
        <v>46218.0</v>
      </c>
      <c r="S34" s="42">
        <v>2.0</v>
      </c>
      <c r="T34" s="44"/>
      <c r="U34" s="45" t="str">
        <f>IF(records[Type]="Room",records[roomNo],records[roomNo]&amp;"-"&amp;SUBSTITUTE(RIGHT(records[roomNo]&amp;records[Type],2),"-",""))</f>
        <v>12-2-053</v>
      </c>
      <c r="V34" s="47" t="str">
        <f t="array" ref="V34">_xlfn.XLOOKUP(records[ID], dAir[roomNo], dAir[roomName])</f>
        <v>IPQC</v>
      </c>
      <c r="W34" s="47" t="str">
        <f t="array" ref="W34">_xlfn.XLOOKUP(records[ID], dAir[roomNo], dAir[building])</f>
        <v>Building 12</v>
      </c>
      <c r="X34" s="47" t="str">
        <f t="array" ref="X34">_xlfn.XLOOKUP(records[ID], dAir[roomNo], dAir[floor])</f>
        <v>Floor 2</v>
      </c>
      <c r="Y34" s="45" t="str">
        <f t="array" ref="Y34">_xlfn.XLOOKUP(records[ID], dAir[roomNo], dAir[Class])</f>
        <v>D</v>
      </c>
      <c r="Z34" s="45">
        <f t="array" ref="Z34">_xlfn.XLOOKUP(records[Method]&amp;"-"&amp;records[Class], dAirSpec[ID], dAirSpec[Spec])</f>
        <v>100</v>
      </c>
      <c r="AA34" s="45" t="str">
        <f t="array" ref="AA34">_xlfn.XLOOKUP(records[Method]&amp;"-"&amp;records[Class], dAirSpec[ID], dAirSpec[Unit])</f>
        <v>cfu/plate</v>
      </c>
      <c r="AB34" s="58">
        <f t="array" ref="AB34">if(S34="","", if(records[Method]="Active Air",_xlfn.xlookup(records[ColonyCount]&amp;records[AirSampler],feller[code],feller[Vc]),records[ColonyCount]))</f>
        <v>2</v>
      </c>
      <c r="AC34" s="60" t="b">
        <f t="shared" si="1"/>
        <v>1</v>
      </c>
      <c r="AD34" s="61" t="b">
        <v>0</v>
      </c>
      <c r="AE34" s="32" t="s">
        <v>235</v>
      </c>
      <c r="AF34" s="46"/>
      <c r="AG34" s="46"/>
      <c r="AH34" s="46"/>
      <c r="AI34" s="46"/>
      <c r="AJ34" s="46"/>
    </row>
    <row r="35" ht="22.5" customHeight="1">
      <c r="A35" s="27">
        <v>46172.0</v>
      </c>
      <c r="B35" s="34" t="str">
        <f t="array" ref="B35">TEXT(A35, "MM-YYYY")</f>
        <v>05-2026</v>
      </c>
      <c r="C35" s="39" t="s">
        <v>626</v>
      </c>
      <c r="D35" s="36" t="s">
        <v>210</v>
      </c>
      <c r="E35" s="36" t="s">
        <v>213</v>
      </c>
      <c r="F35" s="37" t="s">
        <v>4</v>
      </c>
      <c r="G35" s="29" t="b">
        <v>1</v>
      </c>
      <c r="H35" s="36" t="s">
        <v>214</v>
      </c>
      <c r="I35" s="36" t="s">
        <v>215</v>
      </c>
      <c r="J35" s="39"/>
      <c r="K35" s="40"/>
      <c r="L35" s="37" t="s">
        <v>194</v>
      </c>
      <c r="M35" s="37" t="s">
        <v>194</v>
      </c>
      <c r="N35" s="37" t="s">
        <v>194</v>
      </c>
      <c r="O35" s="37" t="s">
        <v>194</v>
      </c>
      <c r="P35" s="37" t="s">
        <v>223</v>
      </c>
      <c r="Q35" s="37" t="s">
        <v>224</v>
      </c>
      <c r="R35" s="41">
        <v>46218.0</v>
      </c>
      <c r="S35" s="42">
        <v>0.0</v>
      </c>
      <c r="T35" s="44"/>
      <c r="U35" s="45" t="str">
        <f>IF(records[Type]="Room",records[roomNo],records[roomNo]&amp;"-"&amp;SUBSTITUTE(RIGHT(records[roomNo]&amp;records[Type],2),"-",""))</f>
        <v>12-2-054</v>
      </c>
      <c r="V35" s="47" t="str">
        <f t="array" ref="V35">_xlfn.XLOOKUP(records[ID], dAir[roomNo], dAir[roomName])</f>
        <v>STAGING 3</v>
      </c>
      <c r="W35" s="47" t="str">
        <f t="array" ref="W35">_xlfn.XLOOKUP(records[ID], dAir[roomNo], dAir[building])</f>
        <v>Building 12</v>
      </c>
      <c r="X35" s="47" t="str">
        <f t="array" ref="X35">_xlfn.XLOOKUP(records[ID], dAir[roomNo], dAir[floor])</f>
        <v>Floor 2</v>
      </c>
      <c r="Y35" s="45" t="str">
        <f t="array" ref="Y35">_xlfn.XLOOKUP(records[ID], dAir[roomNo], dAir[Class])</f>
        <v>D</v>
      </c>
      <c r="Z35" s="45">
        <f t="array" ref="Z35">_xlfn.XLOOKUP(records[Method]&amp;"-"&amp;records[Class], dAirSpec[ID], dAirSpec[Spec])</f>
        <v>100</v>
      </c>
      <c r="AA35" s="45" t="str">
        <f t="array" ref="AA35">_xlfn.XLOOKUP(records[Method]&amp;"-"&amp;records[Class], dAirSpec[ID], dAirSpec[Unit])</f>
        <v>cfu/plate</v>
      </c>
      <c r="AB35" s="58">
        <f t="array" ref="AB35">if(S35="","", if(records[Method]="Active Air",_xlfn.xlookup(records[ColonyCount]&amp;records[AirSampler],feller[code],feller[Vc]),records[ColonyCount]))</f>
        <v>0</v>
      </c>
      <c r="AC35" s="60" t="b">
        <f t="shared" si="1"/>
        <v>1</v>
      </c>
      <c r="AD35" s="61" t="b">
        <v>0</v>
      </c>
      <c r="AE35" s="32" t="s">
        <v>235</v>
      </c>
      <c r="AF35" s="46"/>
      <c r="AG35" s="46"/>
      <c r="AH35" s="46"/>
      <c r="AI35" s="46"/>
      <c r="AJ35" s="46"/>
    </row>
    <row r="36" ht="22.5" customHeight="1">
      <c r="A36" s="27">
        <v>46172.0</v>
      </c>
      <c r="B36" s="34" t="str">
        <f t="array" ref="B36">TEXT(A36, "MM-YYYY")</f>
        <v>05-2026</v>
      </c>
      <c r="C36" s="39" t="s">
        <v>635</v>
      </c>
      <c r="D36" s="36" t="s">
        <v>210</v>
      </c>
      <c r="E36" s="36" t="s">
        <v>213</v>
      </c>
      <c r="F36" s="37" t="s">
        <v>4</v>
      </c>
      <c r="G36" s="29" t="b">
        <v>1</v>
      </c>
      <c r="H36" s="36" t="s">
        <v>214</v>
      </c>
      <c r="I36" s="36" t="s">
        <v>215</v>
      </c>
      <c r="J36" s="39"/>
      <c r="K36" s="40"/>
      <c r="L36" s="37" t="s">
        <v>194</v>
      </c>
      <c r="M36" s="37" t="s">
        <v>194</v>
      </c>
      <c r="N36" s="37" t="s">
        <v>194</v>
      </c>
      <c r="O36" s="37" t="s">
        <v>194</v>
      </c>
      <c r="P36" s="37" t="s">
        <v>223</v>
      </c>
      <c r="Q36" s="37" t="s">
        <v>224</v>
      </c>
      <c r="R36" s="41">
        <v>46218.0</v>
      </c>
      <c r="S36" s="42">
        <v>2.0</v>
      </c>
      <c r="T36" s="44"/>
      <c r="U36" s="45" t="str">
        <f>IF(records[Type]="Room",records[roomNo],records[roomNo]&amp;"-"&amp;SUBSTITUTE(RIGHT(records[roomNo]&amp;records[Type],2),"-",""))</f>
        <v>12-2-055</v>
      </c>
      <c r="V36" s="47" t="str">
        <f t="array" ref="V36">_xlfn.XLOOKUP(records[ID], dAir[roomNo], dAir[roomName])</f>
        <v>CIP 3</v>
      </c>
      <c r="W36" s="47" t="str">
        <f t="array" ref="W36">_xlfn.XLOOKUP(records[ID], dAir[roomNo], dAir[building])</f>
        <v>Building 12</v>
      </c>
      <c r="X36" s="47" t="str">
        <f t="array" ref="X36">_xlfn.XLOOKUP(records[ID], dAir[roomNo], dAir[floor])</f>
        <v>Floor 2</v>
      </c>
      <c r="Y36" s="45" t="str">
        <f t="array" ref="Y36">_xlfn.XLOOKUP(records[ID], dAir[roomNo], dAir[Class])</f>
        <v>D</v>
      </c>
      <c r="Z36" s="45">
        <f t="array" ref="Z36">_xlfn.XLOOKUP(records[Method]&amp;"-"&amp;records[Class], dAirSpec[ID], dAirSpec[Spec])</f>
        <v>100</v>
      </c>
      <c r="AA36" s="45" t="str">
        <f t="array" ref="AA36">_xlfn.XLOOKUP(records[Method]&amp;"-"&amp;records[Class], dAirSpec[ID], dAirSpec[Unit])</f>
        <v>cfu/plate</v>
      </c>
      <c r="AB36" s="58">
        <f t="array" ref="AB36">if(S36="","", if(records[Method]="Active Air",_xlfn.xlookup(records[ColonyCount]&amp;records[AirSampler],feller[code],feller[Vc]),records[ColonyCount]))</f>
        <v>2</v>
      </c>
      <c r="AC36" s="60" t="b">
        <f t="shared" si="1"/>
        <v>1</v>
      </c>
      <c r="AD36" s="61" t="b">
        <v>0</v>
      </c>
      <c r="AE36" s="32" t="s">
        <v>235</v>
      </c>
      <c r="AF36" s="46"/>
      <c r="AG36" s="46"/>
      <c r="AH36" s="46"/>
      <c r="AI36" s="46"/>
      <c r="AJ36" s="46"/>
    </row>
    <row r="37" ht="22.5" customHeight="1">
      <c r="A37" s="27">
        <v>46172.0</v>
      </c>
      <c r="B37" s="34" t="str">
        <f t="array" ref="B37">TEXT(A37, "MM-YYYY")</f>
        <v>05-2026</v>
      </c>
      <c r="C37" s="39" t="s">
        <v>642</v>
      </c>
      <c r="D37" s="36" t="s">
        <v>210</v>
      </c>
      <c r="E37" s="36" t="s">
        <v>213</v>
      </c>
      <c r="F37" s="37" t="s">
        <v>4</v>
      </c>
      <c r="G37" s="29" t="b">
        <v>1</v>
      </c>
      <c r="H37" s="36" t="s">
        <v>214</v>
      </c>
      <c r="I37" s="36" t="s">
        <v>215</v>
      </c>
      <c r="J37" s="39"/>
      <c r="K37" s="40"/>
      <c r="L37" s="37" t="s">
        <v>194</v>
      </c>
      <c r="M37" s="37" t="s">
        <v>194</v>
      </c>
      <c r="N37" s="37" t="s">
        <v>194</v>
      </c>
      <c r="O37" s="37" t="s">
        <v>194</v>
      </c>
      <c r="P37" s="37" t="s">
        <v>223</v>
      </c>
      <c r="Q37" s="37" t="s">
        <v>224</v>
      </c>
      <c r="R37" s="41">
        <v>46218.0</v>
      </c>
      <c r="S37" s="42">
        <v>2.0</v>
      </c>
      <c r="T37" s="44"/>
      <c r="U37" s="45" t="str">
        <f>IF(records[Type]="Room",records[roomNo],records[roomNo]&amp;"-"&amp;SUBSTITUTE(RIGHT(records[roomNo]&amp;records[Type],2),"-",""))</f>
        <v>12-2-056</v>
      </c>
      <c r="V37" s="47" t="str">
        <f t="array" ref="V37">_xlfn.XLOOKUP(records[ID], dAir[roomNo], dAir[roomName])</f>
        <v>STAGING 2</v>
      </c>
      <c r="W37" s="47" t="str">
        <f t="array" ref="W37">_xlfn.XLOOKUP(records[ID], dAir[roomNo], dAir[building])</f>
        <v>Building 12</v>
      </c>
      <c r="X37" s="47" t="str">
        <f t="array" ref="X37">_xlfn.XLOOKUP(records[ID], dAir[roomNo], dAir[floor])</f>
        <v>Floor 2</v>
      </c>
      <c r="Y37" s="45" t="str">
        <f t="array" ref="Y37">_xlfn.XLOOKUP(records[ID], dAir[roomNo], dAir[Class])</f>
        <v>D</v>
      </c>
      <c r="Z37" s="45">
        <f t="array" ref="Z37">_xlfn.XLOOKUP(records[Method]&amp;"-"&amp;records[Class], dAirSpec[ID], dAirSpec[Spec])</f>
        <v>100</v>
      </c>
      <c r="AA37" s="45" t="str">
        <f t="array" ref="AA37">_xlfn.XLOOKUP(records[Method]&amp;"-"&amp;records[Class], dAirSpec[ID], dAirSpec[Unit])</f>
        <v>cfu/plate</v>
      </c>
      <c r="AB37" s="58">
        <f t="array" ref="AB37">if(S37="","", if(records[Method]="Active Air",_xlfn.xlookup(records[ColonyCount]&amp;records[AirSampler],feller[code],feller[Vc]),records[ColonyCount]))</f>
        <v>2</v>
      </c>
      <c r="AC37" s="60" t="b">
        <f t="shared" si="1"/>
        <v>1</v>
      </c>
      <c r="AD37" s="61" t="b">
        <v>0</v>
      </c>
      <c r="AE37" s="32" t="s">
        <v>235</v>
      </c>
      <c r="AF37" s="46"/>
      <c r="AG37" s="46"/>
      <c r="AH37" s="46"/>
      <c r="AI37" s="46"/>
      <c r="AJ37" s="46"/>
    </row>
    <row r="38" ht="22.5" customHeight="1">
      <c r="A38" s="27">
        <v>46172.0</v>
      </c>
      <c r="B38" s="34" t="str">
        <f t="array" ref="B38">TEXT(A38, "MM-YYYY")</f>
        <v>05-2026</v>
      </c>
      <c r="C38" s="39" t="s">
        <v>648</v>
      </c>
      <c r="D38" s="36" t="s">
        <v>210</v>
      </c>
      <c r="E38" s="36" t="s">
        <v>213</v>
      </c>
      <c r="F38" s="37" t="s">
        <v>4</v>
      </c>
      <c r="G38" s="29" t="b">
        <v>1</v>
      </c>
      <c r="H38" s="36" t="s">
        <v>214</v>
      </c>
      <c r="I38" s="36" t="s">
        <v>215</v>
      </c>
      <c r="J38" s="39"/>
      <c r="K38" s="40"/>
      <c r="L38" s="37" t="s">
        <v>194</v>
      </c>
      <c r="M38" s="37" t="s">
        <v>194</v>
      </c>
      <c r="N38" s="37" t="s">
        <v>194</v>
      </c>
      <c r="O38" s="37" t="s">
        <v>194</v>
      </c>
      <c r="P38" s="37" t="s">
        <v>223</v>
      </c>
      <c r="Q38" s="37" t="s">
        <v>224</v>
      </c>
      <c r="R38" s="41">
        <v>46218.0</v>
      </c>
      <c r="S38" s="42">
        <v>0.0</v>
      </c>
      <c r="T38" s="44"/>
      <c r="U38" s="45" t="str">
        <f>IF(records[Type]="Room",records[roomNo],records[roomNo]&amp;"-"&amp;SUBSTITUTE(RIGHT(records[roomNo]&amp;records[Type],2),"-",""))</f>
        <v>12-2-057</v>
      </c>
      <c r="V38" s="47" t="str">
        <f t="array" ref="V38">_xlfn.XLOOKUP(records[ID], dAir[roomNo], dAir[roomName])</f>
        <v>CIP 2</v>
      </c>
      <c r="W38" s="47" t="str">
        <f t="array" ref="W38">_xlfn.XLOOKUP(records[ID], dAir[roomNo], dAir[building])</f>
        <v>Building 12</v>
      </c>
      <c r="X38" s="47" t="str">
        <f t="array" ref="X38">_xlfn.XLOOKUP(records[ID], dAir[roomNo], dAir[floor])</f>
        <v>Floor 2</v>
      </c>
      <c r="Y38" s="45" t="str">
        <f t="array" ref="Y38">_xlfn.XLOOKUP(records[ID], dAir[roomNo], dAir[Class])</f>
        <v>D</v>
      </c>
      <c r="Z38" s="45">
        <f t="array" ref="Z38">_xlfn.XLOOKUP(records[Method]&amp;"-"&amp;records[Class], dAirSpec[ID], dAirSpec[Spec])</f>
        <v>100</v>
      </c>
      <c r="AA38" s="45" t="str">
        <f t="array" ref="AA38">_xlfn.XLOOKUP(records[Method]&amp;"-"&amp;records[Class], dAirSpec[ID], dAirSpec[Unit])</f>
        <v>cfu/plate</v>
      </c>
      <c r="AB38" s="58">
        <f t="array" ref="AB38">if(S38="","", if(records[Method]="Active Air",_xlfn.xlookup(records[ColonyCount]&amp;records[AirSampler],feller[code],feller[Vc]),records[ColonyCount]))</f>
        <v>0</v>
      </c>
      <c r="AC38" s="60" t="b">
        <f t="shared" si="1"/>
        <v>1</v>
      </c>
      <c r="AD38" s="61" t="b">
        <v>0</v>
      </c>
      <c r="AE38" s="32" t="s">
        <v>235</v>
      </c>
      <c r="AF38" s="46"/>
      <c r="AG38" s="46"/>
      <c r="AH38" s="46"/>
      <c r="AI38" s="46"/>
      <c r="AJ38" s="46"/>
    </row>
    <row r="39" ht="22.5" customHeight="1">
      <c r="A39" s="27">
        <v>46172.0</v>
      </c>
      <c r="B39" s="34" t="str">
        <f t="array" ref="B39">TEXT(A39, "MM-YYYY")</f>
        <v>05-2026</v>
      </c>
      <c r="C39" s="39" t="s">
        <v>655</v>
      </c>
      <c r="D39" s="36" t="s">
        <v>210</v>
      </c>
      <c r="E39" s="36" t="s">
        <v>213</v>
      </c>
      <c r="F39" s="37" t="s">
        <v>4</v>
      </c>
      <c r="G39" s="29" t="b">
        <v>1</v>
      </c>
      <c r="H39" s="36" t="s">
        <v>214</v>
      </c>
      <c r="I39" s="36" t="s">
        <v>215</v>
      </c>
      <c r="J39" s="39"/>
      <c r="K39" s="40"/>
      <c r="L39" s="37" t="s">
        <v>194</v>
      </c>
      <c r="M39" s="37" t="s">
        <v>194</v>
      </c>
      <c r="N39" s="37" t="s">
        <v>194</v>
      </c>
      <c r="O39" s="37" t="s">
        <v>194</v>
      </c>
      <c r="P39" s="37" t="s">
        <v>223</v>
      </c>
      <c r="Q39" s="37" t="s">
        <v>224</v>
      </c>
      <c r="R39" s="41">
        <v>46218.0</v>
      </c>
      <c r="S39" s="42">
        <v>0.0</v>
      </c>
      <c r="T39" s="44"/>
      <c r="U39" s="45" t="str">
        <f>IF(records[Type]="Room",records[roomNo],records[roomNo]&amp;"-"&amp;SUBSTITUTE(RIGHT(records[roomNo]&amp;records[Type],2),"-",""))</f>
        <v>12-2-058</v>
      </c>
      <c r="V39" s="47" t="str">
        <f t="array" ref="V39">_xlfn.XLOOKUP(records[ID], dAir[roomNo], dAir[roomName])</f>
        <v>STAGING 1</v>
      </c>
      <c r="W39" s="47" t="str">
        <f t="array" ref="W39">_xlfn.XLOOKUP(records[ID], dAir[roomNo], dAir[building])</f>
        <v>Building 12</v>
      </c>
      <c r="X39" s="47" t="str">
        <f t="array" ref="X39">_xlfn.XLOOKUP(records[ID], dAir[roomNo], dAir[floor])</f>
        <v>Floor 2</v>
      </c>
      <c r="Y39" s="45" t="str">
        <f t="array" ref="Y39">_xlfn.XLOOKUP(records[ID], dAir[roomNo], dAir[Class])</f>
        <v>D</v>
      </c>
      <c r="Z39" s="45">
        <f t="array" ref="Z39">_xlfn.XLOOKUP(records[Method]&amp;"-"&amp;records[Class], dAirSpec[ID], dAirSpec[Spec])</f>
        <v>100</v>
      </c>
      <c r="AA39" s="45" t="str">
        <f t="array" ref="AA39">_xlfn.XLOOKUP(records[Method]&amp;"-"&amp;records[Class], dAirSpec[ID], dAirSpec[Unit])</f>
        <v>cfu/plate</v>
      </c>
      <c r="AB39" s="58">
        <f t="array" ref="AB39">if(S39="","", if(records[Method]="Active Air",_xlfn.xlookup(records[ColonyCount]&amp;records[AirSampler],feller[code],feller[Vc]),records[ColonyCount]))</f>
        <v>0</v>
      </c>
      <c r="AC39" s="60" t="b">
        <f t="shared" si="1"/>
        <v>1</v>
      </c>
      <c r="AD39" s="61" t="b">
        <v>0</v>
      </c>
      <c r="AE39" s="32" t="s">
        <v>235</v>
      </c>
      <c r="AF39" s="46"/>
      <c r="AG39" s="46"/>
      <c r="AH39" s="46"/>
      <c r="AI39" s="46"/>
      <c r="AJ39" s="46"/>
    </row>
    <row r="40" ht="22.5" customHeight="1">
      <c r="A40" s="27">
        <v>46172.0</v>
      </c>
      <c r="B40" s="34" t="str">
        <f t="array" ref="B40">TEXT(A40, "MM-YYYY")</f>
        <v>05-2026</v>
      </c>
      <c r="C40" s="39" t="s">
        <v>665</v>
      </c>
      <c r="D40" s="36" t="s">
        <v>210</v>
      </c>
      <c r="E40" s="36" t="s">
        <v>213</v>
      </c>
      <c r="F40" s="37" t="s">
        <v>4</v>
      </c>
      <c r="G40" s="29" t="b">
        <v>1</v>
      </c>
      <c r="H40" s="36" t="s">
        <v>214</v>
      </c>
      <c r="I40" s="36" t="s">
        <v>215</v>
      </c>
      <c r="J40" s="39"/>
      <c r="K40" s="40"/>
      <c r="L40" s="37" t="s">
        <v>194</v>
      </c>
      <c r="M40" s="37" t="s">
        <v>194</v>
      </c>
      <c r="N40" s="37" t="s">
        <v>194</v>
      </c>
      <c r="O40" s="37" t="s">
        <v>194</v>
      </c>
      <c r="P40" s="37" t="s">
        <v>223</v>
      </c>
      <c r="Q40" s="37" t="s">
        <v>224</v>
      </c>
      <c r="R40" s="41">
        <v>46218.0</v>
      </c>
      <c r="S40" s="42">
        <v>0.0</v>
      </c>
      <c r="T40" s="44"/>
      <c r="U40" s="45" t="str">
        <f>IF(records[Type]="Room",records[roomNo],records[roomNo]&amp;"-"&amp;SUBSTITUTE(RIGHT(records[roomNo]&amp;records[Type],2),"-",""))</f>
        <v>12-2-059</v>
      </c>
      <c r="V40" s="47" t="str">
        <f t="array" ref="V40">_xlfn.XLOOKUP(records[ID], dAir[roomNo], dAir[roomName])</f>
        <v>CORRIDOR</v>
      </c>
      <c r="W40" s="47" t="str">
        <f t="array" ref="W40">_xlfn.XLOOKUP(records[ID], dAir[roomNo], dAir[building])</f>
        <v>Building 12</v>
      </c>
      <c r="X40" s="47" t="str">
        <f t="array" ref="X40">_xlfn.XLOOKUP(records[ID], dAir[roomNo], dAir[floor])</f>
        <v>Floor 2</v>
      </c>
      <c r="Y40" s="45" t="str">
        <f t="array" ref="Y40">_xlfn.XLOOKUP(records[ID], dAir[roomNo], dAir[Class])</f>
        <v>D</v>
      </c>
      <c r="Z40" s="45">
        <f t="array" ref="Z40">_xlfn.XLOOKUP(records[Method]&amp;"-"&amp;records[Class], dAirSpec[ID], dAirSpec[Spec])</f>
        <v>100</v>
      </c>
      <c r="AA40" s="45" t="str">
        <f t="array" ref="AA40">_xlfn.XLOOKUP(records[Method]&amp;"-"&amp;records[Class], dAirSpec[ID], dAirSpec[Unit])</f>
        <v>cfu/plate</v>
      </c>
      <c r="AB40" s="58">
        <f t="array" ref="AB40">if(S40="","", if(records[Method]="Active Air",_xlfn.xlookup(records[ColonyCount]&amp;records[AirSampler],feller[code],feller[Vc]),records[ColonyCount]))</f>
        <v>0</v>
      </c>
      <c r="AC40" s="60" t="b">
        <f t="shared" si="1"/>
        <v>1</v>
      </c>
      <c r="AD40" s="61" t="b">
        <v>0</v>
      </c>
      <c r="AE40" s="32" t="s">
        <v>235</v>
      </c>
      <c r="AF40" s="46"/>
      <c r="AG40" s="46"/>
      <c r="AH40" s="46"/>
      <c r="AI40" s="46"/>
      <c r="AJ40" s="46"/>
    </row>
    <row r="41" ht="22.5" customHeight="1">
      <c r="A41" s="27">
        <v>46172.0</v>
      </c>
      <c r="B41" s="34" t="str">
        <f t="array" ref="B41">TEXT(A41, "MM-YYYY")</f>
        <v>05-2026</v>
      </c>
      <c r="C41" s="39" t="s">
        <v>673</v>
      </c>
      <c r="D41" s="36" t="s">
        <v>210</v>
      </c>
      <c r="E41" s="36" t="s">
        <v>213</v>
      </c>
      <c r="F41" s="37" t="s">
        <v>4</v>
      </c>
      <c r="G41" s="29" t="b">
        <v>1</v>
      </c>
      <c r="H41" s="36" t="s">
        <v>214</v>
      </c>
      <c r="I41" s="36" t="s">
        <v>215</v>
      </c>
      <c r="J41" s="39"/>
      <c r="K41" s="40"/>
      <c r="L41" s="37" t="s">
        <v>194</v>
      </c>
      <c r="M41" s="37" t="s">
        <v>194</v>
      </c>
      <c r="N41" s="37" t="s">
        <v>194</v>
      </c>
      <c r="O41" s="37" t="s">
        <v>194</v>
      </c>
      <c r="P41" s="37" t="s">
        <v>223</v>
      </c>
      <c r="Q41" s="37" t="s">
        <v>224</v>
      </c>
      <c r="R41" s="41">
        <v>46218.0</v>
      </c>
      <c r="S41" s="42">
        <v>3.0</v>
      </c>
      <c r="T41" s="44"/>
      <c r="U41" s="45" t="str">
        <f>IF(records[Type]="Room",records[roomNo],records[roomNo]&amp;"-"&amp;SUBSTITUTE(RIGHT(records[roomNo]&amp;records[Type],2),"-",""))</f>
        <v>12-2-060</v>
      </c>
      <c r="V41" s="47" t="str">
        <f t="array" ref="V41">_xlfn.XLOOKUP(records[ID], dAir[roomNo], dAir[roomName])</f>
        <v>DISPENSING 1</v>
      </c>
      <c r="W41" s="47" t="str">
        <f t="array" ref="W41">_xlfn.XLOOKUP(records[ID], dAir[roomNo], dAir[building])</f>
        <v>Building 12</v>
      </c>
      <c r="X41" s="47" t="str">
        <f t="array" ref="X41">_xlfn.XLOOKUP(records[ID], dAir[roomNo], dAir[floor])</f>
        <v>Floor 2</v>
      </c>
      <c r="Y41" s="45" t="str">
        <f t="array" ref="Y41">_xlfn.XLOOKUP(records[ID], dAir[roomNo], dAir[Class])</f>
        <v>D</v>
      </c>
      <c r="Z41" s="45">
        <f t="array" ref="Z41">_xlfn.XLOOKUP(records[Method]&amp;"-"&amp;records[Class], dAirSpec[ID], dAirSpec[Spec])</f>
        <v>100</v>
      </c>
      <c r="AA41" s="45" t="str">
        <f t="array" ref="AA41">_xlfn.XLOOKUP(records[Method]&amp;"-"&amp;records[Class], dAirSpec[ID], dAirSpec[Unit])</f>
        <v>cfu/plate</v>
      </c>
      <c r="AB41" s="58">
        <f t="array" ref="AB41">if(S41="","", if(records[Method]="Active Air",_xlfn.xlookup(records[ColonyCount]&amp;records[AirSampler],feller[code],feller[Vc]),records[ColonyCount]))</f>
        <v>3</v>
      </c>
      <c r="AC41" s="60" t="b">
        <f t="shared" si="1"/>
        <v>1</v>
      </c>
      <c r="AD41" s="61" t="b">
        <v>0</v>
      </c>
      <c r="AE41" s="32" t="s">
        <v>235</v>
      </c>
      <c r="AF41" s="46"/>
      <c r="AG41" s="46"/>
      <c r="AH41" s="46"/>
      <c r="AI41" s="46"/>
      <c r="AJ41" s="46"/>
    </row>
    <row r="42" ht="22.5" customHeight="1">
      <c r="A42" s="27">
        <v>46172.0</v>
      </c>
      <c r="B42" s="34" t="str">
        <f t="array" ref="B42">TEXT(A42, "MM-YYYY")</f>
        <v>05-2026</v>
      </c>
      <c r="C42" s="39" t="s">
        <v>673</v>
      </c>
      <c r="D42" s="36" t="s">
        <v>680</v>
      </c>
      <c r="E42" s="36" t="s">
        <v>213</v>
      </c>
      <c r="F42" s="37" t="s">
        <v>4</v>
      </c>
      <c r="G42" s="29" t="b">
        <v>1</v>
      </c>
      <c r="H42" s="36" t="s">
        <v>214</v>
      </c>
      <c r="I42" s="36" t="s">
        <v>215</v>
      </c>
      <c r="J42" s="39"/>
      <c r="K42" s="40"/>
      <c r="L42" s="37" t="s">
        <v>194</v>
      </c>
      <c r="M42" s="37" t="s">
        <v>194</v>
      </c>
      <c r="N42" s="37" t="s">
        <v>194</v>
      </c>
      <c r="O42" s="37" t="s">
        <v>194</v>
      </c>
      <c r="P42" s="37" t="s">
        <v>223</v>
      </c>
      <c r="Q42" s="37" t="s">
        <v>224</v>
      </c>
      <c r="R42" s="41">
        <v>46218.0</v>
      </c>
      <c r="S42" s="42">
        <v>3.0</v>
      </c>
      <c r="T42" s="44"/>
      <c r="U42" s="45" t="str">
        <f>IF(records[Type]="Room",records[roomNo],records[roomNo]&amp;"-"&amp;SUBSTITUTE(RIGHT(records[roomNo]&amp;records[Type],2),"-",""))</f>
        <v>12-2-060-B</v>
      </c>
      <c r="V42" s="47" t="str">
        <f t="array" ref="V42">_xlfn.XLOOKUP(records[ID], dAir[roomNo], dAir[roomName])</f>
        <v>DISPENSING 1 (Booth)</v>
      </c>
      <c r="W42" s="47" t="str">
        <f t="array" ref="W42">_xlfn.XLOOKUP(records[ID], dAir[roomNo], dAir[building])</f>
        <v>Building 12</v>
      </c>
      <c r="X42" s="47" t="str">
        <f t="array" ref="X42">_xlfn.XLOOKUP(records[ID], dAir[roomNo], dAir[floor])</f>
        <v>Floor 2</v>
      </c>
      <c r="Y42" s="45" t="str">
        <f t="array" ref="Y42">_xlfn.XLOOKUP(records[ID], dAir[roomNo], dAir[Class])</f>
        <v>D</v>
      </c>
      <c r="Z42" s="45">
        <f t="array" ref="Z42">_xlfn.XLOOKUP(records[Method]&amp;"-"&amp;records[Class], dAirSpec[ID], dAirSpec[Spec])</f>
        <v>100</v>
      </c>
      <c r="AA42" s="45" t="str">
        <f t="array" ref="AA42">_xlfn.XLOOKUP(records[Method]&amp;"-"&amp;records[Class], dAirSpec[ID], dAirSpec[Unit])</f>
        <v>cfu/plate</v>
      </c>
      <c r="AB42" s="58">
        <f t="array" ref="AB42">if(S42="","", if(records[Method]="Active Air",_xlfn.xlookup(records[ColonyCount]&amp;records[AirSampler],feller[code],feller[Vc]),records[ColonyCount]))</f>
        <v>3</v>
      </c>
      <c r="AC42" s="60" t="b">
        <f t="shared" si="1"/>
        <v>1</v>
      </c>
      <c r="AD42" s="61" t="b">
        <v>0</v>
      </c>
      <c r="AE42" s="32" t="s">
        <v>235</v>
      </c>
      <c r="AF42" s="46"/>
      <c r="AG42" s="46"/>
      <c r="AH42" s="46"/>
      <c r="AI42" s="46"/>
      <c r="AJ42" s="46"/>
    </row>
    <row r="43" ht="22.5" customHeight="1">
      <c r="A43" s="27">
        <v>46172.0</v>
      </c>
      <c r="B43" s="34" t="str">
        <f t="array" ref="B43">TEXT(A43, "MM-YYYY")</f>
        <v>05-2026</v>
      </c>
      <c r="C43" s="39" t="s">
        <v>689</v>
      </c>
      <c r="D43" s="36" t="s">
        <v>210</v>
      </c>
      <c r="E43" s="36" t="s">
        <v>213</v>
      </c>
      <c r="F43" s="37" t="s">
        <v>4</v>
      </c>
      <c r="G43" s="29" t="b">
        <v>1</v>
      </c>
      <c r="H43" s="36" t="s">
        <v>214</v>
      </c>
      <c r="I43" s="36" t="s">
        <v>215</v>
      </c>
      <c r="J43" s="39"/>
      <c r="K43" s="40"/>
      <c r="L43" s="37" t="s">
        <v>194</v>
      </c>
      <c r="M43" s="37" t="s">
        <v>194</v>
      </c>
      <c r="N43" s="37" t="s">
        <v>194</v>
      </c>
      <c r="O43" s="37" t="s">
        <v>194</v>
      </c>
      <c r="P43" s="37" t="s">
        <v>223</v>
      </c>
      <c r="Q43" s="37" t="s">
        <v>224</v>
      </c>
      <c r="R43" s="41">
        <v>46218.0</v>
      </c>
      <c r="S43" s="42">
        <v>4.0</v>
      </c>
      <c r="T43" s="44"/>
      <c r="U43" s="45" t="str">
        <f>IF(records[Type]="Room",records[roomNo],records[roomNo]&amp;"-"&amp;SUBSTITUTE(RIGHT(records[roomNo]&amp;records[Type],2),"-",""))</f>
        <v>12-2-061</v>
      </c>
      <c r="V43" s="47" t="str">
        <f t="array" ref="V43">_xlfn.XLOOKUP(records[ID], dAir[roomNo], dAir[roomName])</f>
        <v>DISPENSING 2</v>
      </c>
      <c r="W43" s="47" t="str">
        <f t="array" ref="W43">_xlfn.XLOOKUP(records[ID], dAir[roomNo], dAir[building])</f>
        <v>Building 12</v>
      </c>
      <c r="X43" s="47" t="str">
        <f t="array" ref="X43">_xlfn.XLOOKUP(records[ID], dAir[roomNo], dAir[floor])</f>
        <v>Floor 2</v>
      </c>
      <c r="Y43" s="45" t="str">
        <f t="array" ref="Y43">_xlfn.XLOOKUP(records[ID], dAir[roomNo], dAir[Class])</f>
        <v>D</v>
      </c>
      <c r="Z43" s="45">
        <f t="array" ref="Z43">_xlfn.XLOOKUP(records[Method]&amp;"-"&amp;records[Class], dAirSpec[ID], dAirSpec[Spec])</f>
        <v>100</v>
      </c>
      <c r="AA43" s="45" t="str">
        <f t="array" ref="AA43">_xlfn.XLOOKUP(records[Method]&amp;"-"&amp;records[Class], dAirSpec[ID], dAirSpec[Unit])</f>
        <v>cfu/plate</v>
      </c>
      <c r="AB43" s="58">
        <f t="array" ref="AB43">if(S43="","", if(records[Method]="Active Air",_xlfn.xlookup(records[ColonyCount]&amp;records[AirSampler],feller[code],feller[Vc]),records[ColonyCount]))</f>
        <v>4</v>
      </c>
      <c r="AC43" s="60" t="b">
        <f t="shared" si="1"/>
        <v>1</v>
      </c>
      <c r="AD43" s="61" t="b">
        <v>0</v>
      </c>
      <c r="AE43" s="32" t="s">
        <v>235</v>
      </c>
      <c r="AF43" s="46"/>
      <c r="AG43" s="46"/>
      <c r="AH43" s="46"/>
      <c r="AI43" s="46"/>
      <c r="AJ43" s="46"/>
    </row>
    <row r="44" ht="22.5" customHeight="1">
      <c r="A44" s="27">
        <v>46172.0</v>
      </c>
      <c r="B44" s="34" t="str">
        <f t="array" ref="B44">TEXT(A44, "MM-YYYY")</f>
        <v>05-2026</v>
      </c>
      <c r="C44" s="39" t="s">
        <v>689</v>
      </c>
      <c r="D44" s="36" t="s">
        <v>680</v>
      </c>
      <c r="E44" s="36" t="s">
        <v>213</v>
      </c>
      <c r="F44" s="37" t="s">
        <v>4</v>
      </c>
      <c r="G44" s="29" t="b">
        <v>1</v>
      </c>
      <c r="H44" s="36" t="s">
        <v>214</v>
      </c>
      <c r="I44" s="36" t="s">
        <v>215</v>
      </c>
      <c r="J44" s="39"/>
      <c r="K44" s="40"/>
      <c r="L44" s="37" t="s">
        <v>194</v>
      </c>
      <c r="M44" s="37" t="s">
        <v>194</v>
      </c>
      <c r="N44" s="37" t="s">
        <v>194</v>
      </c>
      <c r="O44" s="37" t="s">
        <v>194</v>
      </c>
      <c r="P44" s="37" t="s">
        <v>223</v>
      </c>
      <c r="Q44" s="37" t="s">
        <v>224</v>
      </c>
      <c r="R44" s="41">
        <v>46218.0</v>
      </c>
      <c r="S44" s="42">
        <v>0.0</v>
      </c>
      <c r="T44" s="44"/>
      <c r="U44" s="45" t="str">
        <f>IF(records[Type]="Room",records[roomNo],records[roomNo]&amp;"-"&amp;SUBSTITUTE(RIGHT(records[roomNo]&amp;records[Type],2),"-",""))</f>
        <v>12-2-061-B</v>
      </c>
      <c r="V44" s="47" t="str">
        <f t="array" ref="V44">_xlfn.XLOOKUP(records[ID], dAir[roomNo], dAir[roomName])</f>
        <v>DISPENSING 2 (Booth)</v>
      </c>
      <c r="W44" s="47" t="str">
        <f t="array" ref="W44">_xlfn.XLOOKUP(records[ID], dAir[roomNo], dAir[building])</f>
        <v>Building 12</v>
      </c>
      <c r="X44" s="47" t="str">
        <f t="array" ref="X44">_xlfn.XLOOKUP(records[ID], dAir[roomNo], dAir[floor])</f>
        <v>Floor 2</v>
      </c>
      <c r="Y44" s="45" t="str">
        <f t="array" ref="Y44">_xlfn.XLOOKUP(records[ID], dAir[roomNo], dAir[Class])</f>
        <v>D</v>
      </c>
      <c r="Z44" s="45">
        <f t="array" ref="Z44">_xlfn.XLOOKUP(records[Method]&amp;"-"&amp;records[Class], dAirSpec[ID], dAirSpec[Spec])</f>
        <v>100</v>
      </c>
      <c r="AA44" s="45" t="str">
        <f t="array" ref="AA44">_xlfn.XLOOKUP(records[Method]&amp;"-"&amp;records[Class], dAirSpec[ID], dAirSpec[Unit])</f>
        <v>cfu/plate</v>
      </c>
      <c r="AB44" s="58">
        <f t="array" ref="AB44">if(S44="","", if(records[Method]="Active Air",_xlfn.xlookup(records[ColonyCount]&amp;records[AirSampler],feller[code],feller[Vc]),records[ColonyCount]))</f>
        <v>0</v>
      </c>
      <c r="AC44" s="60" t="b">
        <f t="shared" si="1"/>
        <v>1</v>
      </c>
      <c r="AD44" s="61" t="b">
        <v>0</v>
      </c>
      <c r="AE44" s="32" t="s">
        <v>235</v>
      </c>
      <c r="AF44" s="46"/>
      <c r="AG44" s="46"/>
      <c r="AH44" s="46"/>
      <c r="AI44" s="46"/>
      <c r="AJ44" s="46"/>
    </row>
    <row r="45" ht="22.5" customHeight="1">
      <c r="A45" s="27">
        <v>46172.0</v>
      </c>
      <c r="B45" s="34" t="str">
        <f t="array" ref="B45">TEXT(A45, "MM-YYYY")</f>
        <v>05-2026</v>
      </c>
      <c r="C45" s="39" t="s">
        <v>704</v>
      </c>
      <c r="D45" s="36" t="s">
        <v>210</v>
      </c>
      <c r="E45" s="36" t="s">
        <v>213</v>
      </c>
      <c r="F45" s="37" t="s">
        <v>4</v>
      </c>
      <c r="G45" s="29" t="b">
        <v>1</v>
      </c>
      <c r="H45" s="36" t="s">
        <v>214</v>
      </c>
      <c r="I45" s="36" t="s">
        <v>215</v>
      </c>
      <c r="J45" s="39"/>
      <c r="K45" s="40"/>
      <c r="L45" s="37" t="s">
        <v>194</v>
      </c>
      <c r="M45" s="37" t="s">
        <v>194</v>
      </c>
      <c r="N45" s="37" t="s">
        <v>194</v>
      </c>
      <c r="O45" s="37" t="s">
        <v>194</v>
      </c>
      <c r="P45" s="37" t="s">
        <v>223</v>
      </c>
      <c r="Q45" s="37" t="s">
        <v>224</v>
      </c>
      <c r="R45" s="41">
        <v>46218.0</v>
      </c>
      <c r="S45" s="42">
        <v>1.0</v>
      </c>
      <c r="T45" s="44"/>
      <c r="U45" s="45" t="str">
        <f>IF(records[Type]="Room",records[roomNo],records[roomNo]&amp;"-"&amp;SUBSTITUTE(RIGHT(records[roomNo]&amp;records[Type],2),"-",""))</f>
        <v>12-2-062</v>
      </c>
      <c r="V45" s="47" t="str">
        <f t="array" ref="V45">_xlfn.XLOOKUP(records[ID], dAir[roomNo], dAir[roomName])</f>
        <v>RM STAGING</v>
      </c>
      <c r="W45" s="47" t="str">
        <f t="array" ref="W45">_xlfn.XLOOKUP(records[ID], dAir[roomNo], dAir[building])</f>
        <v>Building 12</v>
      </c>
      <c r="X45" s="47" t="str">
        <f t="array" ref="X45">_xlfn.XLOOKUP(records[ID], dAir[roomNo], dAir[floor])</f>
        <v>Floor 2</v>
      </c>
      <c r="Y45" s="45" t="str">
        <f t="array" ref="Y45">_xlfn.XLOOKUP(records[ID], dAir[roomNo], dAir[Class])</f>
        <v>D</v>
      </c>
      <c r="Z45" s="45">
        <f t="array" ref="Z45">_xlfn.XLOOKUP(records[Method]&amp;"-"&amp;records[Class], dAirSpec[ID], dAirSpec[Spec])</f>
        <v>100</v>
      </c>
      <c r="AA45" s="45" t="str">
        <f t="array" ref="AA45">_xlfn.XLOOKUP(records[Method]&amp;"-"&amp;records[Class], dAirSpec[ID], dAirSpec[Unit])</f>
        <v>cfu/plate</v>
      </c>
      <c r="AB45" s="58">
        <f t="array" ref="AB45">if(S45="","", if(records[Method]="Active Air",_xlfn.xlookup(records[ColonyCount]&amp;records[AirSampler],feller[code],feller[Vc]),records[ColonyCount]))</f>
        <v>1</v>
      </c>
      <c r="AC45" s="60" t="b">
        <f t="shared" si="1"/>
        <v>1</v>
      </c>
      <c r="AD45" s="61" t="b">
        <v>0</v>
      </c>
      <c r="AE45" s="32" t="s">
        <v>235</v>
      </c>
      <c r="AF45" s="46"/>
      <c r="AG45" s="46"/>
      <c r="AH45" s="46"/>
      <c r="AI45" s="46"/>
      <c r="AJ45" s="46"/>
    </row>
    <row r="46" ht="22.5" customHeight="1">
      <c r="A46" s="27">
        <v>46172.0</v>
      </c>
      <c r="B46" s="34" t="str">
        <f t="array" ref="B46">TEXT(A46, "MM-YYYY")</f>
        <v>05-2026</v>
      </c>
      <c r="C46" s="39" t="s">
        <v>710</v>
      </c>
      <c r="D46" s="36" t="s">
        <v>210</v>
      </c>
      <c r="E46" s="36" t="s">
        <v>213</v>
      </c>
      <c r="F46" s="37" t="s">
        <v>4</v>
      </c>
      <c r="G46" s="29" t="b">
        <v>1</v>
      </c>
      <c r="H46" s="36" t="s">
        <v>214</v>
      </c>
      <c r="I46" s="36" t="s">
        <v>215</v>
      </c>
      <c r="J46" s="39"/>
      <c r="K46" s="40"/>
      <c r="L46" s="37" t="s">
        <v>194</v>
      </c>
      <c r="M46" s="37" t="s">
        <v>194</v>
      </c>
      <c r="N46" s="37" t="s">
        <v>194</v>
      </c>
      <c r="O46" s="37" t="s">
        <v>194</v>
      </c>
      <c r="P46" s="37" t="s">
        <v>223</v>
      </c>
      <c r="Q46" s="37" t="s">
        <v>224</v>
      </c>
      <c r="R46" s="41">
        <v>46218.0</v>
      </c>
      <c r="S46" s="42">
        <v>2.0</v>
      </c>
      <c r="T46" s="44"/>
      <c r="U46" s="45" t="str">
        <f>IF(records[Type]="Room",records[roomNo],records[roomNo]&amp;"-"&amp;SUBSTITUTE(RIGHT(records[roomNo]&amp;records[Type],2),"-",""))</f>
        <v>12-2-063</v>
      </c>
      <c r="V46" s="47" t="str">
        <f t="array" ref="V46">_xlfn.XLOOKUP(records[ID], dAir[roomNo], dAir[roomName])</f>
        <v>MAL</v>
      </c>
      <c r="W46" s="47" t="str">
        <f t="array" ref="W46">_xlfn.XLOOKUP(records[ID], dAir[roomNo], dAir[building])</f>
        <v>Building 12</v>
      </c>
      <c r="X46" s="47" t="str">
        <f t="array" ref="X46">_xlfn.XLOOKUP(records[ID], dAir[roomNo], dAir[floor])</f>
        <v>Floor 2</v>
      </c>
      <c r="Y46" s="45" t="str">
        <f t="array" ref="Y46">_xlfn.XLOOKUP(records[ID], dAir[roomNo], dAir[Class])</f>
        <v>D</v>
      </c>
      <c r="Z46" s="45">
        <f t="array" ref="Z46">_xlfn.XLOOKUP(records[Method]&amp;"-"&amp;records[Class], dAirSpec[ID], dAirSpec[Spec])</f>
        <v>100</v>
      </c>
      <c r="AA46" s="45" t="str">
        <f t="array" ref="AA46">_xlfn.XLOOKUP(records[Method]&amp;"-"&amp;records[Class], dAirSpec[ID], dAirSpec[Unit])</f>
        <v>cfu/plate</v>
      </c>
      <c r="AB46" s="58">
        <f t="array" ref="AB46">if(S46="","", if(records[Method]="Active Air",_xlfn.xlookup(records[ColonyCount]&amp;records[AirSampler],feller[code],feller[Vc]),records[ColonyCount]))</f>
        <v>2</v>
      </c>
      <c r="AC46" s="60" t="b">
        <f t="shared" si="1"/>
        <v>1</v>
      </c>
      <c r="AD46" s="61" t="b">
        <v>0</v>
      </c>
      <c r="AE46" s="32" t="s">
        <v>235</v>
      </c>
      <c r="AF46" s="46"/>
      <c r="AG46" s="46"/>
      <c r="AH46" s="46"/>
      <c r="AI46" s="46"/>
      <c r="AJ46" s="46"/>
    </row>
    <row r="47" ht="22.5" customHeight="1">
      <c r="A47" s="27">
        <v>46172.0</v>
      </c>
      <c r="B47" s="34" t="str">
        <f t="array" ref="B47">TEXT(A47, "MM-YYYY")</f>
        <v>05-2026</v>
      </c>
      <c r="C47" s="39" t="s">
        <v>714</v>
      </c>
      <c r="D47" s="36" t="s">
        <v>210</v>
      </c>
      <c r="E47" s="36" t="s">
        <v>213</v>
      </c>
      <c r="F47" s="37" t="s">
        <v>4</v>
      </c>
      <c r="G47" s="29" t="b">
        <v>1</v>
      </c>
      <c r="H47" s="36" t="s">
        <v>214</v>
      </c>
      <c r="I47" s="36" t="s">
        <v>215</v>
      </c>
      <c r="J47" s="39"/>
      <c r="K47" s="40"/>
      <c r="L47" s="37" t="s">
        <v>194</v>
      </c>
      <c r="M47" s="37" t="s">
        <v>194</v>
      </c>
      <c r="N47" s="37" t="s">
        <v>194</v>
      </c>
      <c r="O47" s="37" t="s">
        <v>194</v>
      </c>
      <c r="P47" s="37" t="s">
        <v>223</v>
      </c>
      <c r="Q47" s="37" t="s">
        <v>224</v>
      </c>
      <c r="R47" s="41">
        <v>46218.0</v>
      </c>
      <c r="S47" s="42">
        <v>0.0</v>
      </c>
      <c r="T47" s="44"/>
      <c r="U47" s="45" t="str">
        <f>IF(records[Type]="Room",records[roomNo],records[roomNo]&amp;"-"&amp;SUBSTITUTE(RIGHT(records[roomNo]&amp;records[Type],2),"-",""))</f>
        <v>12-2-064</v>
      </c>
      <c r="V47" s="47" t="str">
        <f t="array" ref="V47">_xlfn.XLOOKUP(records[ID], dAir[roomNo], dAir[roomName])</f>
        <v>CORRIDOR</v>
      </c>
      <c r="W47" s="47" t="str">
        <f t="array" ref="W47">_xlfn.XLOOKUP(records[ID], dAir[roomNo], dAir[building])</f>
        <v>Building 12</v>
      </c>
      <c r="X47" s="47" t="str">
        <f t="array" ref="X47">_xlfn.XLOOKUP(records[ID], dAir[roomNo], dAir[floor])</f>
        <v>Floor 2</v>
      </c>
      <c r="Y47" s="45" t="str">
        <f t="array" ref="Y47">_xlfn.XLOOKUP(records[ID], dAir[roomNo], dAir[Class])</f>
        <v>D</v>
      </c>
      <c r="Z47" s="45">
        <f t="array" ref="Z47">_xlfn.XLOOKUP(records[Method]&amp;"-"&amp;records[Class], dAirSpec[ID], dAirSpec[Spec])</f>
        <v>100</v>
      </c>
      <c r="AA47" s="45" t="str">
        <f t="array" ref="AA47">_xlfn.XLOOKUP(records[Method]&amp;"-"&amp;records[Class], dAirSpec[ID], dAirSpec[Unit])</f>
        <v>cfu/plate</v>
      </c>
      <c r="AB47" s="58">
        <f t="array" ref="AB47">if(S47="","", if(records[Method]="Active Air",_xlfn.xlookup(records[ColonyCount]&amp;records[AirSampler],feller[code],feller[Vc]),records[ColonyCount]))</f>
        <v>0</v>
      </c>
      <c r="AC47" s="60" t="b">
        <f t="shared" si="1"/>
        <v>1</v>
      </c>
      <c r="AD47" s="61" t="b">
        <v>0</v>
      </c>
      <c r="AE47" s="32" t="s">
        <v>235</v>
      </c>
      <c r="AF47" s="46"/>
      <c r="AG47" s="46"/>
      <c r="AH47" s="46"/>
      <c r="AI47" s="46"/>
      <c r="AJ47" s="46"/>
    </row>
    <row r="48" ht="22.5" customHeight="1">
      <c r="A48" s="27">
        <v>46172.0</v>
      </c>
      <c r="B48" s="34" t="str">
        <f t="array" ref="B48">TEXT(A48, "MM-YYYY")</f>
        <v>05-2026</v>
      </c>
      <c r="C48" s="39" t="s">
        <v>719</v>
      </c>
      <c r="D48" s="36" t="s">
        <v>210</v>
      </c>
      <c r="E48" s="36" t="s">
        <v>213</v>
      </c>
      <c r="F48" s="37" t="s">
        <v>4</v>
      </c>
      <c r="G48" s="29" t="b">
        <v>1</v>
      </c>
      <c r="H48" s="36" t="s">
        <v>214</v>
      </c>
      <c r="I48" s="36" t="s">
        <v>215</v>
      </c>
      <c r="J48" s="39"/>
      <c r="K48" s="40"/>
      <c r="L48" s="37" t="s">
        <v>194</v>
      </c>
      <c r="M48" s="37" t="s">
        <v>194</v>
      </c>
      <c r="N48" s="37" t="s">
        <v>194</v>
      </c>
      <c r="O48" s="37" t="s">
        <v>194</v>
      </c>
      <c r="P48" s="37" t="s">
        <v>223</v>
      </c>
      <c r="Q48" s="37" t="s">
        <v>224</v>
      </c>
      <c r="R48" s="41">
        <v>46218.0</v>
      </c>
      <c r="S48" s="42">
        <v>0.0</v>
      </c>
      <c r="T48" s="44"/>
      <c r="U48" s="45" t="str">
        <f>IF(records[Type]="Room",records[roomNo],records[roomNo]&amp;"-"&amp;SUBSTITUTE(RIGHT(records[roomNo]&amp;records[Type],2),"-",""))</f>
        <v>12-2-065</v>
      </c>
      <c r="V48" s="47" t="str">
        <f t="array" ref="V48">_xlfn.XLOOKUP(records[ID], dAir[roomNo], dAir[roomName])</f>
        <v>WASHING</v>
      </c>
      <c r="W48" s="47" t="str">
        <f t="array" ref="W48">_xlfn.XLOOKUP(records[ID], dAir[roomNo], dAir[building])</f>
        <v>Building 12</v>
      </c>
      <c r="X48" s="47" t="str">
        <f t="array" ref="X48">_xlfn.XLOOKUP(records[ID], dAir[roomNo], dAir[floor])</f>
        <v>Floor 2</v>
      </c>
      <c r="Y48" s="45" t="str">
        <f t="array" ref="Y48">_xlfn.XLOOKUP(records[ID], dAir[roomNo], dAir[Class])</f>
        <v>D</v>
      </c>
      <c r="Z48" s="45">
        <f t="array" ref="Z48">_xlfn.XLOOKUP(records[Method]&amp;"-"&amp;records[Class], dAirSpec[ID], dAirSpec[Spec])</f>
        <v>100</v>
      </c>
      <c r="AA48" s="45" t="str">
        <f t="array" ref="AA48">_xlfn.XLOOKUP(records[Method]&amp;"-"&amp;records[Class], dAirSpec[ID], dAirSpec[Unit])</f>
        <v>cfu/plate</v>
      </c>
      <c r="AB48" s="58">
        <f t="array" ref="AB48">if(S48="","", if(records[Method]="Active Air",_xlfn.xlookup(records[ColonyCount]&amp;records[AirSampler],feller[code],feller[Vc]),records[ColonyCount]))</f>
        <v>0</v>
      </c>
      <c r="AC48" s="60" t="b">
        <f t="shared" si="1"/>
        <v>1</v>
      </c>
      <c r="AD48" s="61" t="b">
        <v>0</v>
      </c>
      <c r="AE48" s="32" t="s">
        <v>235</v>
      </c>
      <c r="AF48" s="46"/>
      <c r="AG48" s="46"/>
      <c r="AH48" s="46"/>
      <c r="AI48" s="46"/>
      <c r="AJ48" s="46"/>
    </row>
    <row r="49" ht="22.5" customHeight="1">
      <c r="A49" s="27">
        <v>46172.0</v>
      </c>
      <c r="B49" s="34" t="str">
        <f t="array" ref="B49">TEXT(A49, "MM-YYYY")</f>
        <v>05-2026</v>
      </c>
      <c r="C49" s="39" t="s">
        <v>725</v>
      </c>
      <c r="D49" s="36" t="s">
        <v>210</v>
      </c>
      <c r="E49" s="36" t="s">
        <v>213</v>
      </c>
      <c r="F49" s="37" t="s">
        <v>4</v>
      </c>
      <c r="G49" s="29" t="b">
        <v>1</v>
      </c>
      <c r="H49" s="36" t="s">
        <v>214</v>
      </c>
      <c r="I49" s="36" t="s">
        <v>215</v>
      </c>
      <c r="J49" s="39"/>
      <c r="K49" s="40"/>
      <c r="L49" s="37" t="s">
        <v>194</v>
      </c>
      <c r="M49" s="37" t="s">
        <v>194</v>
      </c>
      <c r="N49" s="37" t="s">
        <v>194</v>
      </c>
      <c r="O49" s="37" t="s">
        <v>194</v>
      </c>
      <c r="P49" s="37" t="s">
        <v>223</v>
      </c>
      <c r="Q49" s="37" t="s">
        <v>224</v>
      </c>
      <c r="R49" s="41">
        <v>46218.0</v>
      </c>
      <c r="S49" s="42">
        <v>2.0</v>
      </c>
      <c r="T49" s="44"/>
      <c r="U49" s="45" t="str">
        <f>IF(records[Type]="Room",records[roomNo],records[roomNo]&amp;"-"&amp;SUBSTITUTE(RIGHT(records[roomNo]&amp;records[Type],2),"-",""))</f>
        <v>12-2-066</v>
      </c>
      <c r="V49" s="47" t="str">
        <f t="array" ref="V49">_xlfn.XLOOKUP(records[ID], dAir[roomNo], dAir[roomName])</f>
        <v>DRYING</v>
      </c>
      <c r="W49" s="47" t="str">
        <f t="array" ref="W49">_xlfn.XLOOKUP(records[ID], dAir[roomNo], dAir[building])</f>
        <v>Building 12</v>
      </c>
      <c r="X49" s="47" t="str">
        <f t="array" ref="X49">_xlfn.XLOOKUP(records[ID], dAir[roomNo], dAir[floor])</f>
        <v>Floor 2</v>
      </c>
      <c r="Y49" s="45" t="str">
        <f t="array" ref="Y49">_xlfn.XLOOKUP(records[ID], dAir[roomNo], dAir[Class])</f>
        <v>D</v>
      </c>
      <c r="Z49" s="45">
        <f t="array" ref="Z49">_xlfn.XLOOKUP(records[Method]&amp;"-"&amp;records[Class], dAirSpec[ID], dAirSpec[Spec])</f>
        <v>100</v>
      </c>
      <c r="AA49" s="45" t="str">
        <f t="array" ref="AA49">_xlfn.XLOOKUP(records[Method]&amp;"-"&amp;records[Class], dAirSpec[ID], dAirSpec[Unit])</f>
        <v>cfu/plate</v>
      </c>
      <c r="AB49" s="58">
        <f t="array" ref="AB49">if(S49="","", if(records[Method]="Active Air",_xlfn.xlookup(records[ColonyCount]&amp;records[AirSampler],feller[code],feller[Vc]),records[ColonyCount]))</f>
        <v>2</v>
      </c>
      <c r="AC49" s="60" t="b">
        <f t="shared" si="1"/>
        <v>1</v>
      </c>
      <c r="AD49" s="61" t="b">
        <v>0</v>
      </c>
      <c r="AE49" s="32" t="s">
        <v>235</v>
      </c>
      <c r="AF49" s="46"/>
      <c r="AG49" s="46"/>
      <c r="AH49" s="46"/>
      <c r="AI49" s="46"/>
      <c r="AJ49" s="46"/>
    </row>
    <row r="50" ht="22.5" customHeight="1">
      <c r="A50" s="27">
        <v>46172.0</v>
      </c>
      <c r="B50" s="34" t="str">
        <f t="array" ref="B50">TEXT(A50, "MM-YYYY")</f>
        <v>05-2026</v>
      </c>
      <c r="C50" s="39" t="s">
        <v>728</v>
      </c>
      <c r="D50" s="36" t="s">
        <v>210</v>
      </c>
      <c r="E50" s="36" t="s">
        <v>213</v>
      </c>
      <c r="F50" s="37" t="s">
        <v>4</v>
      </c>
      <c r="G50" s="29" t="b">
        <v>1</v>
      </c>
      <c r="H50" s="36" t="s">
        <v>214</v>
      </c>
      <c r="I50" s="36" t="s">
        <v>215</v>
      </c>
      <c r="J50" s="39"/>
      <c r="K50" s="40"/>
      <c r="L50" s="37" t="s">
        <v>194</v>
      </c>
      <c r="M50" s="37" t="s">
        <v>194</v>
      </c>
      <c r="N50" s="37" t="s">
        <v>194</v>
      </c>
      <c r="O50" s="37" t="s">
        <v>194</v>
      </c>
      <c r="P50" s="37" t="s">
        <v>223</v>
      </c>
      <c r="Q50" s="37" t="s">
        <v>224</v>
      </c>
      <c r="R50" s="41">
        <v>46218.0</v>
      </c>
      <c r="S50" s="42">
        <v>0.0</v>
      </c>
      <c r="T50" s="44"/>
      <c r="U50" s="45" t="str">
        <f>IF(records[Type]="Room",records[roomNo],records[roomNo]&amp;"-"&amp;SUBSTITUTE(RIGHT(records[roomNo]&amp;records[Type],2),"-",""))</f>
        <v>12-2-067</v>
      </c>
      <c r="V50" s="47" t="str">
        <f t="array" ref="V50">_xlfn.XLOOKUP(records[ID], dAir[roomNo], dAir[roomName])</f>
        <v>CLEANED EQUIPMENT</v>
      </c>
      <c r="W50" s="47" t="str">
        <f t="array" ref="W50">_xlfn.XLOOKUP(records[ID], dAir[roomNo], dAir[building])</f>
        <v>Building 12</v>
      </c>
      <c r="X50" s="47" t="str">
        <f t="array" ref="X50">_xlfn.XLOOKUP(records[ID], dAir[roomNo], dAir[floor])</f>
        <v>Floor 2</v>
      </c>
      <c r="Y50" s="45" t="str">
        <f t="array" ref="Y50">_xlfn.XLOOKUP(records[ID], dAir[roomNo], dAir[Class])</f>
        <v>D</v>
      </c>
      <c r="Z50" s="45">
        <f t="array" ref="Z50">_xlfn.XLOOKUP(records[Method]&amp;"-"&amp;records[Class], dAirSpec[ID], dAirSpec[Spec])</f>
        <v>100</v>
      </c>
      <c r="AA50" s="45" t="str">
        <f t="array" ref="AA50">_xlfn.XLOOKUP(records[Method]&amp;"-"&amp;records[Class], dAirSpec[ID], dAirSpec[Unit])</f>
        <v>cfu/plate</v>
      </c>
      <c r="AB50" s="58">
        <f t="array" ref="AB50">if(S50="","", if(records[Method]="Active Air",_xlfn.xlookup(records[ColonyCount]&amp;records[AirSampler],feller[code],feller[Vc]),records[ColonyCount]))</f>
        <v>0</v>
      </c>
      <c r="AC50" s="60" t="b">
        <f t="shared" si="1"/>
        <v>1</v>
      </c>
      <c r="AD50" s="61" t="b">
        <v>0</v>
      </c>
      <c r="AE50" s="32" t="s">
        <v>235</v>
      </c>
      <c r="AF50" s="46"/>
      <c r="AG50" s="46"/>
      <c r="AH50" s="46"/>
      <c r="AI50" s="46"/>
      <c r="AJ50" s="46"/>
    </row>
    <row r="51" ht="22.5" customHeight="1">
      <c r="A51" s="27">
        <v>46172.0</v>
      </c>
      <c r="B51" s="34" t="str">
        <f t="array" ref="B51">TEXT(A51, "MM-YYYY")</f>
        <v>05-2026</v>
      </c>
      <c r="C51" s="39" t="s">
        <v>735</v>
      </c>
      <c r="D51" s="36" t="s">
        <v>210</v>
      </c>
      <c r="E51" s="36" t="s">
        <v>213</v>
      </c>
      <c r="F51" s="37" t="s">
        <v>4</v>
      </c>
      <c r="G51" s="29" t="b">
        <v>1</v>
      </c>
      <c r="H51" s="36" t="s">
        <v>214</v>
      </c>
      <c r="I51" s="36" t="s">
        <v>215</v>
      </c>
      <c r="J51" s="39"/>
      <c r="K51" s="40"/>
      <c r="L51" s="37" t="s">
        <v>194</v>
      </c>
      <c r="M51" s="37" t="s">
        <v>194</v>
      </c>
      <c r="N51" s="37" t="s">
        <v>194</v>
      </c>
      <c r="O51" s="37" t="s">
        <v>194</v>
      </c>
      <c r="P51" s="37" t="s">
        <v>223</v>
      </c>
      <c r="Q51" s="37" t="s">
        <v>224</v>
      </c>
      <c r="R51" s="41">
        <v>46218.0</v>
      </c>
      <c r="S51" s="42">
        <v>5.0</v>
      </c>
      <c r="T51" s="44"/>
      <c r="U51" s="45" t="str">
        <f>IF(records[Type]="Room",records[roomNo],records[roomNo]&amp;"-"&amp;SUBSTITUTE(RIGHT(records[roomNo]&amp;records[Type],2),"-",""))</f>
        <v>12-2-068</v>
      </c>
      <c r="V51" s="47" t="str">
        <f t="array" ref="V51">_xlfn.XLOOKUP(records[ID], dAir[roomNo], dAir[roomName])</f>
        <v>JANITOR</v>
      </c>
      <c r="W51" s="47" t="str">
        <f t="array" ref="W51">_xlfn.XLOOKUP(records[ID], dAir[roomNo], dAir[building])</f>
        <v>Building 12</v>
      </c>
      <c r="X51" s="47" t="str">
        <f t="array" ref="X51">_xlfn.XLOOKUP(records[ID], dAir[roomNo], dAir[floor])</f>
        <v>Floor 2</v>
      </c>
      <c r="Y51" s="45" t="str">
        <f t="array" ref="Y51">_xlfn.XLOOKUP(records[ID], dAir[roomNo], dAir[Class])</f>
        <v>D</v>
      </c>
      <c r="Z51" s="45">
        <f t="array" ref="Z51">_xlfn.XLOOKUP(records[Method]&amp;"-"&amp;records[Class], dAirSpec[ID], dAirSpec[Spec])</f>
        <v>100</v>
      </c>
      <c r="AA51" s="45" t="str">
        <f t="array" ref="AA51">_xlfn.XLOOKUP(records[Method]&amp;"-"&amp;records[Class], dAirSpec[ID], dAirSpec[Unit])</f>
        <v>cfu/plate</v>
      </c>
      <c r="AB51" s="58">
        <f t="array" ref="AB51">if(S51="","", if(records[Method]="Active Air",_xlfn.xlookup(records[ColonyCount]&amp;records[AirSampler],feller[code],feller[Vc]),records[ColonyCount]))</f>
        <v>5</v>
      </c>
      <c r="AC51" s="60" t="b">
        <f t="shared" si="1"/>
        <v>1</v>
      </c>
      <c r="AD51" s="61" t="b">
        <v>0</v>
      </c>
      <c r="AE51" s="32" t="s">
        <v>235</v>
      </c>
      <c r="AF51" s="46"/>
      <c r="AG51" s="46"/>
      <c r="AH51" s="46"/>
      <c r="AI51" s="46"/>
      <c r="AJ51" s="46"/>
    </row>
    <row r="52" ht="22.5" customHeight="1">
      <c r="A52" s="27">
        <v>46172.0</v>
      </c>
      <c r="B52" s="34" t="str">
        <f t="array" ref="B52">TEXT(A52, "MM-YYYY")</f>
        <v>05-2026</v>
      </c>
      <c r="C52" s="39" t="s">
        <v>738</v>
      </c>
      <c r="D52" s="36" t="s">
        <v>210</v>
      </c>
      <c r="E52" s="36" t="s">
        <v>213</v>
      </c>
      <c r="F52" s="37" t="s">
        <v>4</v>
      </c>
      <c r="G52" s="29" t="b">
        <v>1</v>
      </c>
      <c r="H52" s="36" t="s">
        <v>214</v>
      </c>
      <c r="I52" s="36" t="s">
        <v>215</v>
      </c>
      <c r="J52" s="39"/>
      <c r="K52" s="40"/>
      <c r="L52" s="37" t="s">
        <v>194</v>
      </c>
      <c r="M52" s="37" t="s">
        <v>194</v>
      </c>
      <c r="N52" s="37" t="s">
        <v>194</v>
      </c>
      <c r="O52" s="37" t="s">
        <v>194</v>
      </c>
      <c r="P52" s="37" t="s">
        <v>223</v>
      </c>
      <c r="Q52" s="37" t="s">
        <v>224</v>
      </c>
      <c r="R52" s="41">
        <v>46218.0</v>
      </c>
      <c r="S52" s="42">
        <v>1.0</v>
      </c>
      <c r="T52" s="44"/>
      <c r="U52" s="45" t="str">
        <f>IF(records[Type]="Room",records[roomNo],records[roomNo]&amp;"-"&amp;SUBSTITUTE(RIGHT(records[roomNo]&amp;records[Type],2),"-",""))</f>
        <v>12-2-069</v>
      </c>
      <c r="V52" s="47" t="str">
        <f t="array" ref="V52">_xlfn.XLOOKUP(records[ID], dAir[roomNo], dAir[roomName])</f>
        <v>PRODUCTION OFFICE</v>
      </c>
      <c r="W52" s="47" t="str">
        <f t="array" ref="W52">_xlfn.XLOOKUP(records[ID], dAir[roomNo], dAir[building])</f>
        <v>Building 12</v>
      </c>
      <c r="X52" s="47" t="str">
        <f t="array" ref="X52">_xlfn.XLOOKUP(records[ID], dAir[roomNo], dAir[floor])</f>
        <v>Floor 2</v>
      </c>
      <c r="Y52" s="45" t="str">
        <f t="array" ref="Y52">_xlfn.XLOOKUP(records[ID], dAir[roomNo], dAir[Class])</f>
        <v>D</v>
      </c>
      <c r="Z52" s="45">
        <f t="array" ref="Z52">_xlfn.XLOOKUP(records[Method]&amp;"-"&amp;records[Class], dAirSpec[ID], dAirSpec[Spec])</f>
        <v>100</v>
      </c>
      <c r="AA52" s="45" t="str">
        <f t="array" ref="AA52">_xlfn.XLOOKUP(records[Method]&amp;"-"&amp;records[Class], dAirSpec[ID], dAirSpec[Unit])</f>
        <v>cfu/plate</v>
      </c>
      <c r="AB52" s="58">
        <f t="array" ref="AB52">if(S52="","", if(records[Method]="Active Air",_xlfn.xlookup(records[ColonyCount]&amp;records[AirSampler],feller[code],feller[Vc]),records[ColonyCount]))</f>
        <v>1</v>
      </c>
      <c r="AC52" s="60" t="b">
        <f t="shared" si="1"/>
        <v>1</v>
      </c>
      <c r="AD52" s="61" t="b">
        <v>0</v>
      </c>
      <c r="AE52" s="32" t="s">
        <v>235</v>
      </c>
      <c r="AF52" s="46"/>
      <c r="AG52" s="46"/>
      <c r="AH52" s="46"/>
      <c r="AI52" s="46"/>
      <c r="AJ52" s="46"/>
    </row>
    <row r="53" ht="22.5" customHeight="1">
      <c r="A53" s="27">
        <v>46172.0</v>
      </c>
      <c r="B53" s="34" t="str">
        <f t="array" ref="B53">TEXT(A53, "MM-YYYY")</f>
        <v>05-2026</v>
      </c>
      <c r="C53" s="39" t="s">
        <v>744</v>
      </c>
      <c r="D53" s="36" t="s">
        <v>210</v>
      </c>
      <c r="E53" s="36" t="s">
        <v>213</v>
      </c>
      <c r="F53" s="37" t="s">
        <v>4</v>
      </c>
      <c r="G53" s="29" t="b">
        <v>1</v>
      </c>
      <c r="H53" s="36" t="s">
        <v>214</v>
      </c>
      <c r="I53" s="36" t="s">
        <v>215</v>
      </c>
      <c r="J53" s="39"/>
      <c r="K53" s="40"/>
      <c r="L53" s="37" t="s">
        <v>194</v>
      </c>
      <c r="M53" s="37" t="s">
        <v>194</v>
      </c>
      <c r="N53" s="37" t="s">
        <v>194</v>
      </c>
      <c r="O53" s="37" t="s">
        <v>194</v>
      </c>
      <c r="P53" s="37" t="s">
        <v>223</v>
      </c>
      <c r="Q53" s="37" t="s">
        <v>224</v>
      </c>
      <c r="R53" s="41">
        <v>46218.0</v>
      </c>
      <c r="S53" s="42">
        <v>0.0</v>
      </c>
      <c r="T53" s="44"/>
      <c r="U53" s="45" t="str">
        <f>IF(records[Type]="Room",records[roomNo],records[roomNo]&amp;"-"&amp;SUBSTITUTE(RIGHT(records[roomNo]&amp;records[Type],2),"-",""))</f>
        <v>12-2-082</v>
      </c>
      <c r="V53" s="47" t="str">
        <f t="array" ref="V53">_xlfn.XLOOKUP(records[ID], dAir[roomNo], dAir[roomName])</f>
        <v>LINEN STORAGE</v>
      </c>
      <c r="W53" s="47" t="str">
        <f t="array" ref="W53">_xlfn.XLOOKUP(records[ID], dAir[roomNo], dAir[building])</f>
        <v>Building 12</v>
      </c>
      <c r="X53" s="47" t="str">
        <f t="array" ref="X53">_xlfn.XLOOKUP(records[ID], dAir[roomNo], dAir[floor])</f>
        <v>Floor 2</v>
      </c>
      <c r="Y53" s="45" t="str">
        <f t="array" ref="Y53">_xlfn.XLOOKUP(records[ID], dAir[roomNo], dAir[Class])</f>
        <v>D</v>
      </c>
      <c r="Z53" s="45">
        <f t="array" ref="Z53">_xlfn.XLOOKUP(records[Method]&amp;"-"&amp;records[Class], dAirSpec[ID], dAirSpec[Spec])</f>
        <v>100</v>
      </c>
      <c r="AA53" s="45" t="str">
        <f t="array" ref="AA53">_xlfn.XLOOKUP(records[Method]&amp;"-"&amp;records[Class], dAirSpec[ID], dAirSpec[Unit])</f>
        <v>cfu/plate</v>
      </c>
      <c r="AB53" s="58">
        <f t="array" ref="AB53">if(S53="","", if(records[Method]="Active Air",_xlfn.xlookup(records[ColonyCount]&amp;records[AirSampler],feller[code],feller[Vc]),records[ColonyCount]))</f>
        <v>0</v>
      </c>
      <c r="AC53" s="60" t="b">
        <f t="shared" si="1"/>
        <v>1</v>
      </c>
      <c r="AD53" s="61" t="b">
        <v>0</v>
      </c>
      <c r="AE53" s="32" t="s">
        <v>235</v>
      </c>
      <c r="AF53" s="46"/>
      <c r="AG53" s="46"/>
      <c r="AH53" s="46"/>
      <c r="AI53" s="46"/>
      <c r="AJ53" s="46"/>
    </row>
    <row r="54" ht="22.5" customHeight="1">
      <c r="A54" s="27">
        <v>46172.0</v>
      </c>
      <c r="B54" s="34" t="str">
        <f t="array" ref="B54">TEXT(A54, "MM-YYYY")</f>
        <v>05-2026</v>
      </c>
      <c r="C54" s="39" t="s">
        <v>748</v>
      </c>
      <c r="D54" s="36" t="s">
        <v>210</v>
      </c>
      <c r="E54" s="36" t="s">
        <v>213</v>
      </c>
      <c r="F54" s="37" t="s">
        <v>4</v>
      </c>
      <c r="G54" s="29" t="b">
        <v>1</v>
      </c>
      <c r="H54" s="36" t="s">
        <v>214</v>
      </c>
      <c r="I54" s="36" t="s">
        <v>215</v>
      </c>
      <c r="J54" s="39"/>
      <c r="K54" s="40"/>
      <c r="L54" s="37" t="s">
        <v>194</v>
      </c>
      <c r="M54" s="37" t="s">
        <v>194</v>
      </c>
      <c r="N54" s="37" t="s">
        <v>194</v>
      </c>
      <c r="O54" s="37" t="s">
        <v>194</v>
      </c>
      <c r="P54" s="37" t="s">
        <v>223</v>
      </c>
      <c r="Q54" s="37" t="s">
        <v>224</v>
      </c>
      <c r="R54" s="41">
        <v>46218.0</v>
      </c>
      <c r="S54" s="42">
        <v>0.0</v>
      </c>
      <c r="T54" s="44"/>
      <c r="U54" s="45" t="str">
        <f>IF(records[Type]="Room",records[roomNo],records[roomNo]&amp;"-"&amp;SUBSTITUTE(RIGHT(records[roomNo]&amp;records[Type],2),"-",""))</f>
        <v>12-2-083</v>
      </c>
      <c r="V54" s="47" t="str">
        <f t="array" ref="V54">_xlfn.XLOOKUP(records[ID], dAir[roomNo], dAir[roomName])</f>
        <v>CORRIDOR</v>
      </c>
      <c r="W54" s="47" t="str">
        <f t="array" ref="W54">_xlfn.XLOOKUP(records[ID], dAir[roomNo], dAir[building])</f>
        <v>Building 12</v>
      </c>
      <c r="X54" s="47" t="str">
        <f t="array" ref="X54">_xlfn.XLOOKUP(records[ID], dAir[roomNo], dAir[floor])</f>
        <v>Floor 2</v>
      </c>
      <c r="Y54" s="45" t="str">
        <f t="array" ref="Y54">_xlfn.XLOOKUP(records[ID], dAir[roomNo], dAir[Class])</f>
        <v>D</v>
      </c>
      <c r="Z54" s="45">
        <f t="array" ref="Z54">_xlfn.XLOOKUP(records[Method]&amp;"-"&amp;records[Class], dAirSpec[ID], dAirSpec[Spec])</f>
        <v>100</v>
      </c>
      <c r="AA54" s="45" t="str">
        <f t="array" ref="AA54">_xlfn.XLOOKUP(records[Method]&amp;"-"&amp;records[Class], dAirSpec[ID], dAirSpec[Unit])</f>
        <v>cfu/plate</v>
      </c>
      <c r="AB54" s="58">
        <f t="array" ref="AB54">if(S54="","", if(records[Method]="Active Air",_xlfn.xlookup(records[ColonyCount]&amp;records[AirSampler],feller[code],feller[Vc]),records[ColonyCount]))</f>
        <v>0</v>
      </c>
      <c r="AC54" s="60" t="b">
        <f t="shared" si="1"/>
        <v>1</v>
      </c>
      <c r="AD54" s="61" t="b">
        <v>0</v>
      </c>
      <c r="AE54" s="32" t="s">
        <v>235</v>
      </c>
      <c r="AF54" s="46"/>
      <c r="AG54" s="46"/>
      <c r="AH54" s="46"/>
      <c r="AI54" s="46"/>
      <c r="AJ54" s="46"/>
    </row>
    <row r="55" ht="22.5" customHeight="1">
      <c r="A55" s="27">
        <v>46175.0</v>
      </c>
      <c r="B55" s="34" t="str">
        <f t="array" ref="B55">TEXT(A55, "MM-YYYY")</f>
        <v>06-2026</v>
      </c>
      <c r="C55" s="39" t="s">
        <v>753</v>
      </c>
      <c r="D55" s="36" t="s">
        <v>755</v>
      </c>
      <c r="E55" s="36" t="s">
        <v>531</v>
      </c>
      <c r="F55" s="37" t="s">
        <v>8</v>
      </c>
      <c r="G55" s="29" t="b">
        <v>1</v>
      </c>
      <c r="H55" s="36" t="s">
        <v>214</v>
      </c>
      <c r="I55" s="36" t="s">
        <v>757</v>
      </c>
      <c r="J55" s="39">
        <v>3.1101125E8</v>
      </c>
      <c r="K55" s="40">
        <v>46240.0</v>
      </c>
      <c r="L55" s="37" t="s">
        <v>638</v>
      </c>
      <c r="M55" s="37" t="s">
        <v>758</v>
      </c>
      <c r="N55" s="37" t="s">
        <v>194</v>
      </c>
      <c r="O55" s="37" t="s">
        <v>194</v>
      </c>
      <c r="P55" s="37" t="s">
        <v>759</v>
      </c>
      <c r="Q55" s="37" t="s">
        <v>760</v>
      </c>
      <c r="R55" s="41">
        <v>46195.0</v>
      </c>
      <c r="S55" s="42">
        <v>0.0</v>
      </c>
      <c r="T55" s="44" t="s">
        <v>755</v>
      </c>
      <c r="U55" s="45" t="str">
        <f>IF(records[Type]="Room",records[roomNo],records[roomNo]&amp;"-"&amp;SUBSTITUTE(RIGHT(records[roomNo]&amp;records[Type],2),"-",""))</f>
        <v>16-1-075-M</v>
      </c>
      <c r="V55" s="47" t="str">
        <f t="array" ref="V55">_xlfn.XLOOKUP(records[ID], dAir[roomNo], dAir[roomName])</f>
        <v>VIALS CAPPING (Machine)</v>
      </c>
      <c r="W55" s="47" t="str">
        <f t="array" ref="W55">_xlfn.XLOOKUP(records[ID], dAir[roomNo], dAir[building])</f>
        <v>Building 16</v>
      </c>
      <c r="X55" s="47" t="str">
        <f t="array" ref="X55">_xlfn.XLOOKUP(records[ID], dAir[roomNo], dAir[floor])</f>
        <v>Floor 1</v>
      </c>
      <c r="Y55" s="45" t="str">
        <f t="array" ref="Y55">_xlfn.XLOOKUP(records[ID], dAir[roomNo], dAir[Class])</f>
        <v>A</v>
      </c>
      <c r="Z55" s="45">
        <f t="array" ref="Z55">_xlfn.XLOOKUP(records[Method]&amp;"-"&amp;records[Class], dAirSpec[ID], dAirSpec[Spec])</f>
        <v>0</v>
      </c>
      <c r="AA55" s="45" t="str">
        <f t="array" ref="AA55">_xlfn.XLOOKUP(records[Method]&amp;"-"&amp;records[Class], dAirSpec[ID], dAirSpec[Unit])</f>
        <v>cfu/m3</v>
      </c>
      <c r="AB55" s="45">
        <f t="array" ref="AB55">if(S55="","", if(records[Method]="Active Air",_xlfn.xlookup(records[ColonyCount]&amp;records[AirSampler],feller[code],feller[Vc]),records[ColonyCount]))</f>
        <v>0</v>
      </c>
      <c r="AC55" s="60" t="b">
        <f t="shared" si="1"/>
        <v>1</v>
      </c>
      <c r="AD55" s="61" t="b">
        <v>0</v>
      </c>
      <c r="AE55" s="32" t="s">
        <v>235</v>
      </c>
      <c r="AF55" s="46"/>
      <c r="AG55" s="46"/>
      <c r="AH55" s="46"/>
      <c r="AI55" s="46"/>
      <c r="AJ55" s="46"/>
    </row>
    <row r="56" ht="22.5" customHeight="1">
      <c r="A56" s="27">
        <v>46175.0</v>
      </c>
      <c r="B56" s="34" t="str">
        <f t="array" ref="B56">TEXT(A56, "MM-YYYY")</f>
        <v>06-2026</v>
      </c>
      <c r="C56" s="39" t="s">
        <v>765</v>
      </c>
      <c r="D56" s="36" t="s">
        <v>755</v>
      </c>
      <c r="E56" s="36" t="s">
        <v>531</v>
      </c>
      <c r="F56" s="37" t="s">
        <v>8</v>
      </c>
      <c r="G56" s="29" t="b">
        <v>1</v>
      </c>
      <c r="H56" s="36" t="s">
        <v>214</v>
      </c>
      <c r="I56" s="36" t="s">
        <v>757</v>
      </c>
      <c r="J56" s="39">
        <v>3.1101125E8</v>
      </c>
      <c r="K56" s="40">
        <v>46240.0</v>
      </c>
      <c r="L56" s="37" t="s">
        <v>326</v>
      </c>
      <c r="M56" s="37" t="s">
        <v>767</v>
      </c>
      <c r="N56" s="37" t="s">
        <v>194</v>
      </c>
      <c r="O56" s="37" t="s">
        <v>194</v>
      </c>
      <c r="P56" s="37" t="s">
        <v>759</v>
      </c>
      <c r="Q56" s="37" t="s">
        <v>760</v>
      </c>
      <c r="R56" s="41">
        <v>46195.0</v>
      </c>
      <c r="S56" s="42">
        <v>0.0</v>
      </c>
      <c r="T56" s="44" t="s">
        <v>755</v>
      </c>
      <c r="U56" s="45" t="str">
        <f>IF(records[Type]="Room",records[roomNo],records[roomNo]&amp;"-"&amp;SUBSTITUTE(RIGHT(records[roomNo]&amp;records[Type],2),"-",""))</f>
        <v>16-1-076-M</v>
      </c>
      <c r="V56" s="47" t="str">
        <f t="array" ref="V56">_xlfn.XLOOKUP(records[ID], dAir[roomNo], dAir[roomName])</f>
        <v>FILLING 2 (Machine)</v>
      </c>
      <c r="W56" s="47" t="str">
        <f t="array" ref="W56">_xlfn.XLOOKUP(records[ID], dAir[roomNo], dAir[building])</f>
        <v>Building 16</v>
      </c>
      <c r="X56" s="47" t="str">
        <f t="array" ref="X56">_xlfn.XLOOKUP(records[ID], dAir[roomNo], dAir[floor])</f>
        <v>Floor 1</v>
      </c>
      <c r="Y56" s="45" t="str">
        <f t="array" ref="Y56">_xlfn.XLOOKUP(records[ID], dAir[roomNo], dAir[Class])</f>
        <v>A</v>
      </c>
      <c r="Z56" s="45">
        <f t="array" ref="Z56">_xlfn.XLOOKUP(records[Method]&amp;"-"&amp;records[Class], dAirSpec[ID], dAirSpec[Spec])</f>
        <v>0</v>
      </c>
      <c r="AA56" s="45" t="str">
        <f t="array" ref="AA56">_xlfn.XLOOKUP(records[Method]&amp;"-"&amp;records[Class], dAirSpec[ID], dAirSpec[Unit])</f>
        <v>cfu/m3</v>
      </c>
      <c r="AB56" s="45">
        <f t="array" ref="AB56">if(S56="","", if(records[Method]="Active Air",_xlfn.xlookup(records[ColonyCount]&amp;records[AirSampler],feller[code],feller[Vc]),records[ColonyCount]))</f>
        <v>0</v>
      </c>
      <c r="AC56" s="60" t="b">
        <f t="shared" si="1"/>
        <v>1</v>
      </c>
      <c r="AD56" s="61" t="b">
        <v>0</v>
      </c>
      <c r="AE56" s="32" t="s">
        <v>235</v>
      </c>
      <c r="AF56" s="46"/>
      <c r="AG56" s="46"/>
      <c r="AH56" s="46"/>
      <c r="AI56" s="46"/>
      <c r="AJ56" s="46"/>
    </row>
    <row r="57" ht="22.5" customHeight="1">
      <c r="A57" s="27">
        <v>46175.0</v>
      </c>
      <c r="B57" s="34" t="str">
        <f t="array" ref="B57">TEXT(A57, "MM-YYYY")</f>
        <v>06-2026</v>
      </c>
      <c r="C57" s="39" t="s">
        <v>765</v>
      </c>
      <c r="D57" s="36" t="s">
        <v>770</v>
      </c>
      <c r="E57" s="36" t="s">
        <v>531</v>
      </c>
      <c r="F57" s="37" t="s">
        <v>8</v>
      </c>
      <c r="G57" s="29" t="b">
        <v>1</v>
      </c>
      <c r="H57" s="36" t="s">
        <v>214</v>
      </c>
      <c r="I57" s="36" t="s">
        <v>757</v>
      </c>
      <c r="J57" s="39">
        <v>3.1101125E8</v>
      </c>
      <c r="K57" s="40">
        <v>46240.0</v>
      </c>
      <c r="L57" s="37" t="s">
        <v>326</v>
      </c>
      <c r="M57" s="37" t="s">
        <v>767</v>
      </c>
      <c r="N57" s="37" t="s">
        <v>194</v>
      </c>
      <c r="O57" s="37" t="s">
        <v>194</v>
      </c>
      <c r="P57" s="37" t="s">
        <v>759</v>
      </c>
      <c r="Q57" s="37" t="s">
        <v>760</v>
      </c>
      <c r="R57" s="41">
        <v>46195.0</v>
      </c>
      <c r="S57" s="42">
        <v>0.0</v>
      </c>
      <c r="T57" s="44" t="s">
        <v>770</v>
      </c>
      <c r="U57" s="45" t="str">
        <f>IF(records[Type]="Room",records[roomNo],records[roomNo]&amp;"-"&amp;SUBSTITUTE(RIGHT(records[roomNo]&amp;records[Type],2),"-",""))</f>
        <v>16-1-076-L</v>
      </c>
      <c r="V57" s="47" t="str">
        <f t="array" ref="V57">_xlfn.XLOOKUP(records[ID], dAir[roomNo], dAir[roomName])</f>
        <v>FILLING 2 (Laminar)</v>
      </c>
      <c r="W57" s="47" t="str">
        <f t="array" ref="W57">_xlfn.XLOOKUP(records[ID], dAir[roomNo], dAir[building])</f>
        <v>Building 16</v>
      </c>
      <c r="X57" s="47" t="str">
        <f t="array" ref="X57">_xlfn.XLOOKUP(records[ID], dAir[roomNo], dAir[floor])</f>
        <v>Floor 1</v>
      </c>
      <c r="Y57" s="45" t="str">
        <f t="array" ref="Y57">_xlfn.XLOOKUP(records[ID], dAir[roomNo], dAir[Class])</f>
        <v>A</v>
      </c>
      <c r="Z57" s="45">
        <f t="array" ref="Z57">_xlfn.XLOOKUP(records[Method]&amp;"-"&amp;records[Class], dAirSpec[ID], dAirSpec[Spec])</f>
        <v>0</v>
      </c>
      <c r="AA57" s="45" t="str">
        <f t="array" ref="AA57">_xlfn.XLOOKUP(records[Method]&amp;"-"&amp;records[Class], dAirSpec[ID], dAirSpec[Unit])</f>
        <v>cfu/m3</v>
      </c>
      <c r="AB57" s="45">
        <f t="array" ref="AB57">if(S57="","", if(records[Method]="Active Air",_xlfn.xlookup(records[ColonyCount]&amp;records[AirSampler],feller[code],feller[Vc]),records[ColonyCount]))</f>
        <v>0</v>
      </c>
      <c r="AC57" s="60" t="b">
        <f t="shared" si="1"/>
        <v>1</v>
      </c>
      <c r="AD57" s="61" t="b">
        <v>0</v>
      </c>
      <c r="AE57" s="32" t="s">
        <v>235</v>
      </c>
      <c r="AF57" s="46"/>
      <c r="AG57" s="46"/>
      <c r="AH57" s="46"/>
      <c r="AI57" s="46"/>
      <c r="AJ57" s="46"/>
    </row>
    <row r="58" ht="22.5" customHeight="1">
      <c r="A58" s="27">
        <v>46175.0</v>
      </c>
      <c r="B58" s="34" t="str">
        <f t="array" ref="B58">TEXT(A58, "MM-YYYY")</f>
        <v>06-2026</v>
      </c>
      <c r="C58" s="39" t="s">
        <v>774</v>
      </c>
      <c r="D58" s="36" t="s">
        <v>755</v>
      </c>
      <c r="E58" s="36" t="s">
        <v>531</v>
      </c>
      <c r="F58" s="37" t="s">
        <v>8</v>
      </c>
      <c r="G58" s="29" t="b">
        <v>1</v>
      </c>
      <c r="H58" s="36" t="s">
        <v>214</v>
      </c>
      <c r="I58" s="36" t="s">
        <v>757</v>
      </c>
      <c r="J58" s="39">
        <v>3.1101125E8</v>
      </c>
      <c r="K58" s="40">
        <v>46240.0</v>
      </c>
      <c r="L58" s="37" t="s">
        <v>314</v>
      </c>
      <c r="M58" s="37" t="s">
        <v>775</v>
      </c>
      <c r="N58" s="37" t="s">
        <v>194</v>
      </c>
      <c r="O58" s="37" t="s">
        <v>194</v>
      </c>
      <c r="P58" s="37" t="s">
        <v>759</v>
      </c>
      <c r="Q58" s="37" t="s">
        <v>760</v>
      </c>
      <c r="R58" s="41">
        <v>46195.0</v>
      </c>
      <c r="S58" s="42">
        <v>0.0</v>
      </c>
      <c r="T58" s="44" t="s">
        <v>755</v>
      </c>
      <c r="U58" s="45" t="str">
        <f>IF(records[Type]="Room",records[roomNo],records[roomNo]&amp;"-"&amp;SUBSTITUTE(RIGHT(records[roomNo]&amp;records[Type],2),"-",""))</f>
        <v>16-1-084-M</v>
      </c>
      <c r="V58" s="47" t="str">
        <f t="array" ref="V58">_xlfn.XLOOKUP(records[ID], dAir[roomNo], dAir[roomName])</f>
        <v>FILLING 1 (Machine)</v>
      </c>
      <c r="W58" s="47" t="str">
        <f t="array" ref="W58">_xlfn.XLOOKUP(records[ID], dAir[roomNo], dAir[building])</f>
        <v>Building 16</v>
      </c>
      <c r="X58" s="47" t="str">
        <f t="array" ref="X58">_xlfn.XLOOKUP(records[ID], dAir[roomNo], dAir[floor])</f>
        <v>Floor 1</v>
      </c>
      <c r="Y58" s="45" t="str">
        <f t="array" ref="Y58">_xlfn.XLOOKUP(records[ID], dAir[roomNo], dAir[Class])</f>
        <v>A</v>
      </c>
      <c r="Z58" s="45">
        <f t="array" ref="Z58">_xlfn.XLOOKUP(records[Method]&amp;"-"&amp;records[Class], dAirSpec[ID], dAirSpec[Spec])</f>
        <v>0</v>
      </c>
      <c r="AA58" s="45" t="str">
        <f t="array" ref="AA58">_xlfn.XLOOKUP(records[Method]&amp;"-"&amp;records[Class], dAirSpec[ID], dAirSpec[Unit])</f>
        <v>cfu/m3</v>
      </c>
      <c r="AB58" s="45">
        <f t="array" ref="AB58">if(S58="","", if(records[Method]="Active Air",_xlfn.xlookup(records[ColonyCount]&amp;records[AirSampler],feller[code],feller[Vc]),records[ColonyCount]))</f>
        <v>0</v>
      </c>
      <c r="AC58" s="60" t="b">
        <f t="shared" si="1"/>
        <v>1</v>
      </c>
      <c r="AD58" s="61" t="b">
        <v>0</v>
      </c>
      <c r="AE58" s="32" t="s">
        <v>235</v>
      </c>
      <c r="AF58" s="46"/>
      <c r="AG58" s="46"/>
      <c r="AH58" s="46"/>
      <c r="AI58" s="46"/>
      <c r="AJ58" s="46"/>
    </row>
    <row r="59" ht="22.5" customHeight="1">
      <c r="A59" s="27">
        <v>46175.0</v>
      </c>
      <c r="B59" s="34" t="str">
        <f t="array" ref="B59">TEXT(A59, "MM-YYYY")</f>
        <v>06-2026</v>
      </c>
      <c r="C59" s="39" t="s">
        <v>774</v>
      </c>
      <c r="D59" s="36" t="s">
        <v>770</v>
      </c>
      <c r="E59" s="36" t="s">
        <v>531</v>
      </c>
      <c r="F59" s="37" t="s">
        <v>8</v>
      </c>
      <c r="G59" s="29" t="b">
        <v>1</v>
      </c>
      <c r="H59" s="36" t="s">
        <v>214</v>
      </c>
      <c r="I59" s="36" t="s">
        <v>757</v>
      </c>
      <c r="J59" s="39">
        <v>3.1101125E8</v>
      </c>
      <c r="K59" s="40">
        <v>46240.0</v>
      </c>
      <c r="L59" s="37" t="s">
        <v>314</v>
      </c>
      <c r="M59" s="37" t="s">
        <v>775</v>
      </c>
      <c r="N59" s="37" t="s">
        <v>194</v>
      </c>
      <c r="O59" s="37" t="s">
        <v>194</v>
      </c>
      <c r="P59" s="37" t="s">
        <v>759</v>
      </c>
      <c r="Q59" s="37" t="s">
        <v>760</v>
      </c>
      <c r="R59" s="41">
        <v>46195.0</v>
      </c>
      <c r="S59" s="42">
        <v>0.0</v>
      </c>
      <c r="T59" s="44" t="s">
        <v>770</v>
      </c>
      <c r="U59" s="45" t="str">
        <f>IF(records[Type]="Room",records[roomNo],records[roomNo]&amp;"-"&amp;SUBSTITUTE(RIGHT(records[roomNo]&amp;records[Type],2),"-",""))</f>
        <v>16-1-084-L</v>
      </c>
      <c r="V59" s="47" t="str">
        <f t="array" ref="V59">_xlfn.XLOOKUP(records[ID], dAir[roomNo], dAir[roomName])</f>
        <v>FILLING 1 (Laminar)</v>
      </c>
      <c r="W59" s="47" t="str">
        <f t="array" ref="W59">_xlfn.XLOOKUP(records[ID], dAir[roomNo], dAir[building])</f>
        <v>Building 16</v>
      </c>
      <c r="X59" s="47" t="str">
        <f t="array" ref="X59">_xlfn.XLOOKUP(records[ID], dAir[roomNo], dAir[floor])</f>
        <v>Floor 1</v>
      </c>
      <c r="Y59" s="45" t="str">
        <f t="array" ref="Y59">_xlfn.XLOOKUP(records[ID], dAir[roomNo], dAir[Class])</f>
        <v>A</v>
      </c>
      <c r="Z59" s="45">
        <f t="array" ref="Z59">_xlfn.XLOOKUP(records[Method]&amp;"-"&amp;records[Class], dAirSpec[ID], dAirSpec[Spec])</f>
        <v>0</v>
      </c>
      <c r="AA59" s="45" t="str">
        <f t="array" ref="AA59">_xlfn.XLOOKUP(records[Method]&amp;"-"&amp;records[Class], dAirSpec[ID], dAirSpec[Unit])</f>
        <v>cfu/m3</v>
      </c>
      <c r="AB59" s="45">
        <f t="array" ref="AB59">if(S59="","", if(records[Method]="Active Air",_xlfn.xlookup(records[ColonyCount]&amp;records[AirSampler],feller[code],feller[Vc]),records[ColonyCount]))</f>
        <v>0</v>
      </c>
      <c r="AC59" s="60" t="b">
        <f t="shared" si="1"/>
        <v>1</v>
      </c>
      <c r="AD59" s="61" t="b">
        <v>0</v>
      </c>
      <c r="AE59" s="32" t="s">
        <v>235</v>
      </c>
      <c r="AF59" s="46"/>
      <c r="AG59" s="46"/>
      <c r="AH59" s="46"/>
      <c r="AI59" s="46"/>
      <c r="AJ59" s="46"/>
    </row>
    <row r="60" ht="22.5" customHeight="1">
      <c r="A60" s="27">
        <v>46175.0</v>
      </c>
      <c r="B60" s="34" t="str">
        <f t="array" ref="B60">TEXT(A60, "MM-YYYY")</f>
        <v>06-2026</v>
      </c>
      <c r="C60" s="32" t="s">
        <v>786</v>
      </c>
      <c r="D60" s="21" t="s">
        <v>680</v>
      </c>
      <c r="E60" s="36" t="s">
        <v>531</v>
      </c>
      <c r="F60" s="37" t="s">
        <v>8</v>
      </c>
      <c r="G60" s="29" t="b">
        <v>1</v>
      </c>
      <c r="H60" s="36" t="s">
        <v>214</v>
      </c>
      <c r="I60" s="36" t="s">
        <v>757</v>
      </c>
      <c r="J60" s="39">
        <v>3.1101125E8</v>
      </c>
      <c r="K60" s="40">
        <v>46240.0</v>
      </c>
      <c r="L60" s="37" t="s">
        <v>787</v>
      </c>
      <c r="M60" s="37" t="s">
        <v>788</v>
      </c>
      <c r="N60" s="37" t="s">
        <v>194</v>
      </c>
      <c r="O60" s="37" t="s">
        <v>194</v>
      </c>
      <c r="P60" s="37" t="s">
        <v>759</v>
      </c>
      <c r="Q60" s="37" t="s">
        <v>760</v>
      </c>
      <c r="R60" s="41">
        <v>46195.0</v>
      </c>
      <c r="S60" s="42">
        <v>1.0</v>
      </c>
      <c r="T60" s="44" t="s">
        <v>680</v>
      </c>
      <c r="U60" s="45" t="str">
        <f>IF(records[Type]="Room",records[roomNo],records[roomNo]&amp;"-"&amp;SUBSTITUTE(RIGHT(records[roomNo]&amp;records[Type],2),"-",""))</f>
        <v>16-1-102-B</v>
      </c>
      <c r="V60" s="47" t="str">
        <f t="array" ref="V60">_xlfn.XLOOKUP(records[ID], dAir[roomNo], dAir[roomName])</f>
        <v>DISPENSING (Booth)</v>
      </c>
      <c r="W60" s="47" t="str">
        <f t="array" ref="W60">_xlfn.XLOOKUP(records[ID], dAir[roomNo], dAir[building])</f>
        <v>Building 16</v>
      </c>
      <c r="X60" s="47" t="str">
        <f t="array" ref="X60">_xlfn.XLOOKUP(records[ID], dAir[roomNo], dAir[floor])</f>
        <v>Floor 1</v>
      </c>
      <c r="Y60" s="45" t="str">
        <f t="array" ref="Y60">_xlfn.XLOOKUP(records[ID], dAir[roomNo], dAir[Class])</f>
        <v>A</v>
      </c>
      <c r="Z60" s="45">
        <f t="array" ref="Z60">_xlfn.XLOOKUP(records[Method]&amp;"-"&amp;records[Class], dAirSpec[ID], dAirSpec[Spec])</f>
        <v>0</v>
      </c>
      <c r="AA60" s="45" t="str">
        <f t="array" ref="AA60">_xlfn.XLOOKUP(records[Method]&amp;"-"&amp;records[Class], dAirSpec[ID], dAirSpec[Unit])</f>
        <v>cfu/m3</v>
      </c>
      <c r="AB60" s="45">
        <f t="array" ref="AB60">if(S60="","", if(records[Method]="Active Air",_xlfn.xlookup(records[ColonyCount]&amp;records[AirSampler],feller[code],feller[Vc]),records[ColonyCount]))</f>
        <v>1</v>
      </c>
      <c r="AC60" s="60" t="b">
        <f t="shared" si="1"/>
        <v>0</v>
      </c>
      <c r="AD60" s="61" t="b">
        <v>0</v>
      </c>
      <c r="AE60" s="32" t="s">
        <v>235</v>
      </c>
      <c r="AF60" s="46"/>
      <c r="AG60" s="46"/>
      <c r="AH60" s="46"/>
      <c r="AI60" s="46"/>
      <c r="AJ60" s="46"/>
    </row>
    <row r="61" ht="22.5" customHeight="1">
      <c r="A61" s="27">
        <v>46179.0</v>
      </c>
      <c r="B61" s="34" t="str">
        <f t="array" ref="B61">TEXT(A61, "MM-YYYY")</f>
        <v>06-2026</v>
      </c>
      <c r="C61" s="56" t="s">
        <v>795</v>
      </c>
      <c r="D61" s="36" t="s">
        <v>210</v>
      </c>
      <c r="E61" s="36" t="s">
        <v>213</v>
      </c>
      <c r="F61" s="37"/>
      <c r="G61" s="29" t="b">
        <v>0</v>
      </c>
      <c r="H61" s="36" t="s">
        <v>214</v>
      </c>
      <c r="I61" s="36" t="s">
        <v>215</v>
      </c>
      <c r="J61" s="39"/>
      <c r="K61" s="40"/>
      <c r="L61" s="37" t="s">
        <v>194</v>
      </c>
      <c r="M61" s="37" t="s">
        <v>194</v>
      </c>
      <c r="N61" s="37" t="s">
        <v>194</v>
      </c>
      <c r="O61" s="37" t="s">
        <v>194</v>
      </c>
      <c r="P61" s="37" t="s">
        <v>223</v>
      </c>
      <c r="Q61" s="37" t="s">
        <v>224</v>
      </c>
      <c r="R61" s="41">
        <v>46218.0</v>
      </c>
      <c r="S61" s="42">
        <v>1.0</v>
      </c>
      <c r="T61" s="44" t="s">
        <v>194</v>
      </c>
      <c r="U61" s="47" t="str">
        <f>IF(records[Type]="Room",records[roomNo],records[roomNo]&amp;"-"&amp;SUBSTITUTE(RIGHT(records[roomNo]&amp;records[Type],2),"-",""))</f>
        <v>12-3-049</v>
      </c>
      <c r="V61" s="47" t="str">
        <f t="array" ref="V61">_xlfn.XLOOKUP(records[ID], dAir[roomNo], dAir[roomName])</f>
        <v>CHANGING ROOM</v>
      </c>
      <c r="W61" s="47" t="str">
        <f t="array" ref="W61">_xlfn.XLOOKUP(records[ID], dAir[roomNo], dAir[building])</f>
        <v>Building 12</v>
      </c>
      <c r="X61" s="47" t="str">
        <f t="array" ref="X61">_xlfn.XLOOKUP(records[ID], dAir[roomNo], dAir[floor])</f>
        <v>Floor 3</v>
      </c>
      <c r="Y61" s="45" t="str">
        <f t="array" ref="Y61">_xlfn.XLOOKUP(records[ID], dAir[roomNo], dAir[Class])</f>
        <v>D</v>
      </c>
      <c r="Z61" s="45">
        <f t="array" ref="Z61">_xlfn.XLOOKUP(records[Method]&amp;"-"&amp;records[Class], dAirSpec[ID], dAirSpec[Spec])</f>
        <v>100</v>
      </c>
      <c r="AA61" s="45" t="str">
        <f t="array" ref="AA61">_xlfn.XLOOKUP(records[Method]&amp;"-"&amp;records[Class], dAirSpec[ID], dAirSpec[Unit])</f>
        <v>cfu/plate</v>
      </c>
      <c r="AB61" s="58">
        <f t="array" ref="AB61">if(S61="","", if(records[Method]="Active Air",_xlfn.xlookup(records[ColonyCount]&amp;records[AirSampler],feller[code],feller[Vc]),records[ColonyCount]))</f>
        <v>1</v>
      </c>
      <c r="AC61" s="60" t="b">
        <f t="shared" si="1"/>
        <v>1</v>
      </c>
      <c r="AD61" s="61" t="b">
        <v>0</v>
      </c>
      <c r="AE61" s="32"/>
      <c r="AF61" s="46"/>
      <c r="AG61" s="46"/>
      <c r="AH61" s="46"/>
      <c r="AI61" s="46"/>
      <c r="AJ61" s="46"/>
    </row>
    <row r="62" ht="22.5" customHeight="1">
      <c r="A62" s="27">
        <v>46179.0</v>
      </c>
      <c r="B62" s="34" t="str">
        <f t="array" ref="B62">TEXT(A62, "MM-YYYY")</f>
        <v>06-2026</v>
      </c>
      <c r="C62" s="56" t="s">
        <v>802</v>
      </c>
      <c r="D62" s="36" t="s">
        <v>210</v>
      </c>
      <c r="E62" s="36" t="s">
        <v>213</v>
      </c>
      <c r="F62" s="37" t="s">
        <v>22</v>
      </c>
      <c r="G62" s="29" t="b">
        <v>1</v>
      </c>
      <c r="H62" s="36" t="s">
        <v>214</v>
      </c>
      <c r="I62" s="36" t="s">
        <v>215</v>
      </c>
      <c r="J62" s="39"/>
      <c r="K62" s="40"/>
      <c r="L62" s="37" t="s">
        <v>194</v>
      </c>
      <c r="M62" s="37" t="s">
        <v>194</v>
      </c>
      <c r="N62" s="37" t="s">
        <v>194</v>
      </c>
      <c r="O62" s="37" t="s">
        <v>194</v>
      </c>
      <c r="P62" s="37" t="s">
        <v>223</v>
      </c>
      <c r="Q62" s="37" t="s">
        <v>224</v>
      </c>
      <c r="R62" s="41">
        <v>46218.0</v>
      </c>
      <c r="S62" s="42">
        <v>1.0</v>
      </c>
      <c r="T62" s="44" t="s">
        <v>194</v>
      </c>
      <c r="U62" s="47" t="str">
        <f>IF(records[Type]="Room",records[roomNo],records[roomNo]&amp;"-"&amp;SUBSTITUTE(RIGHT(records[roomNo]&amp;records[Type],2),"-",""))</f>
        <v>12-3-050</v>
      </c>
      <c r="V62" s="47" t="str">
        <f t="array" ref="V62">_xlfn.XLOOKUP(records[ID], dAir[roomNo], dAir[roomName])</f>
        <v>CORRIDOR</v>
      </c>
      <c r="W62" s="47" t="str">
        <f t="array" ref="W62">_xlfn.XLOOKUP(records[ID], dAir[roomNo], dAir[building])</f>
        <v>Building 12</v>
      </c>
      <c r="X62" s="47" t="str">
        <f t="array" ref="X62">_xlfn.XLOOKUP(records[ID], dAir[roomNo], dAir[floor])</f>
        <v>Floor 3</v>
      </c>
      <c r="Y62" s="45" t="str">
        <f t="array" ref="Y62">_xlfn.XLOOKUP(records[ID], dAir[roomNo], dAir[Class])</f>
        <v>D</v>
      </c>
      <c r="Z62" s="45">
        <f t="array" ref="Z62">_xlfn.XLOOKUP(records[Method]&amp;"-"&amp;records[Class], dAirSpec[ID], dAirSpec[Spec])</f>
        <v>100</v>
      </c>
      <c r="AA62" s="45" t="str">
        <f t="array" ref="AA62">_xlfn.XLOOKUP(records[Method]&amp;"-"&amp;records[Class], dAirSpec[ID], dAirSpec[Unit])</f>
        <v>cfu/plate</v>
      </c>
      <c r="AB62" s="58">
        <f t="array" ref="AB62">if(S62="","", if(records[Method]="Active Air",_xlfn.xlookup(records[ColonyCount]&amp;records[AirSampler],feller[code],feller[Vc]),records[ColonyCount]))</f>
        <v>1</v>
      </c>
      <c r="AC62" s="60" t="b">
        <f t="shared" si="1"/>
        <v>1</v>
      </c>
      <c r="AD62" s="61" t="b">
        <v>0</v>
      </c>
      <c r="AE62" s="32" t="s">
        <v>235</v>
      </c>
      <c r="AF62" s="46"/>
      <c r="AG62" s="46"/>
      <c r="AH62" s="46"/>
      <c r="AI62" s="46"/>
      <c r="AJ62" s="46"/>
    </row>
    <row r="63" ht="22.5" customHeight="1">
      <c r="A63" s="27">
        <v>46179.0</v>
      </c>
      <c r="B63" s="34" t="str">
        <f t="array" ref="B63">TEXT(A63, "MM-YYYY")</f>
        <v>06-2026</v>
      </c>
      <c r="C63" s="82" t="s">
        <v>809</v>
      </c>
      <c r="D63" s="36" t="s">
        <v>210</v>
      </c>
      <c r="E63" s="36" t="s">
        <v>213</v>
      </c>
      <c r="F63" s="37"/>
      <c r="G63" s="29" t="b">
        <v>0</v>
      </c>
      <c r="H63" s="36" t="s">
        <v>214</v>
      </c>
      <c r="I63" s="36" t="s">
        <v>215</v>
      </c>
      <c r="J63" s="39"/>
      <c r="K63" s="40"/>
      <c r="L63" s="37" t="s">
        <v>194</v>
      </c>
      <c r="M63" s="37" t="s">
        <v>194</v>
      </c>
      <c r="N63" s="37" t="s">
        <v>194</v>
      </c>
      <c r="O63" s="37" t="s">
        <v>194</v>
      </c>
      <c r="P63" s="37" t="s">
        <v>223</v>
      </c>
      <c r="Q63" s="37" t="s">
        <v>224</v>
      </c>
      <c r="R63" s="41">
        <v>46218.0</v>
      </c>
      <c r="S63" s="42">
        <v>1.0</v>
      </c>
      <c r="T63" s="44" t="s">
        <v>194</v>
      </c>
      <c r="U63" s="83" t="str">
        <f>IF(records[Type]="Room",records[roomNo],records[roomNo]&amp;"-"&amp;SUBSTITUTE(RIGHT(records[roomNo]&amp;records[Type],2),"-",""))</f>
        <v>12-3-053</v>
      </c>
      <c r="V63" s="47" t="str">
        <f t="array" ref="V63">_xlfn.XLOOKUP(records[ID], dAir[roomNo], dAir[roomName])</f>
        <v>MLT 2</v>
      </c>
      <c r="W63" s="47" t="str">
        <f t="array" ref="W63">_xlfn.XLOOKUP(records[ID], dAir[roomNo], dAir[building])</f>
        <v>Building 12</v>
      </c>
      <c r="X63" s="47" t="str">
        <f t="array" ref="X63">_xlfn.XLOOKUP(records[ID], dAir[roomNo], dAir[floor])</f>
        <v>Floor 3</v>
      </c>
      <c r="Y63" s="45" t="str">
        <f t="array" ref="Y63">_xlfn.XLOOKUP(records[ID], dAir[roomNo], dAir[Class])</f>
        <v>D</v>
      </c>
      <c r="Z63" s="45">
        <f t="array" ref="Z63">_xlfn.XLOOKUP(records[Method]&amp;"-"&amp;records[Class], dAirSpec[ID], dAirSpec[Spec])</f>
        <v>100</v>
      </c>
      <c r="AA63" s="45" t="str">
        <f t="array" ref="AA63">_xlfn.XLOOKUP(records[Method]&amp;"-"&amp;records[Class], dAirSpec[ID], dAirSpec[Unit])</f>
        <v>cfu/plate</v>
      </c>
      <c r="AB63" s="58">
        <f t="array" ref="AB63">if(S63="","", if(records[Method]="Active Air",_xlfn.xlookup(records[ColonyCount]&amp;records[AirSampler],feller[code],feller[Vc]),records[ColonyCount]))</f>
        <v>1</v>
      </c>
      <c r="AC63" s="60" t="b">
        <f t="shared" si="1"/>
        <v>1</v>
      </c>
      <c r="AD63" s="61" t="b">
        <v>0</v>
      </c>
      <c r="AE63" s="32"/>
      <c r="AF63" s="46"/>
      <c r="AG63" s="46"/>
      <c r="AH63" s="46"/>
      <c r="AI63" s="46"/>
      <c r="AJ63" s="46"/>
    </row>
    <row r="64" ht="22.5" customHeight="1">
      <c r="A64" s="27">
        <v>46179.0</v>
      </c>
      <c r="B64" s="34" t="str">
        <f t="array" ref="B64">TEXT(A64, "MM-YYYY")</f>
        <v>06-2026</v>
      </c>
      <c r="C64" s="85" t="s">
        <v>814</v>
      </c>
      <c r="D64" s="36" t="s">
        <v>210</v>
      </c>
      <c r="E64" s="36" t="s">
        <v>531</v>
      </c>
      <c r="F64" s="37" t="s">
        <v>18</v>
      </c>
      <c r="G64" s="29" t="b">
        <v>1</v>
      </c>
      <c r="H64" s="36" t="s">
        <v>214</v>
      </c>
      <c r="I64" s="36" t="s">
        <v>757</v>
      </c>
      <c r="J64" s="39">
        <v>3.1101125E8</v>
      </c>
      <c r="K64" s="40">
        <v>46240.0</v>
      </c>
      <c r="L64" s="37" t="s">
        <v>194</v>
      </c>
      <c r="M64" s="37" t="s">
        <v>194</v>
      </c>
      <c r="N64" s="37" t="s">
        <v>194</v>
      </c>
      <c r="O64" s="37" t="s">
        <v>194</v>
      </c>
      <c r="P64" s="37" t="s">
        <v>223</v>
      </c>
      <c r="Q64" s="37" t="s">
        <v>224</v>
      </c>
      <c r="R64" s="41">
        <v>46218.0</v>
      </c>
      <c r="S64" s="42">
        <v>0.0</v>
      </c>
      <c r="T64" s="44" t="s">
        <v>194</v>
      </c>
      <c r="U64" s="83" t="str">
        <f>IF(records[Type]="Room",records[roomNo],records[roomNo]&amp;"-"&amp;SUBSTITUTE(RIGHT(records[roomNo]&amp;records[Type],2),"-",""))</f>
        <v>12-3-053-BSC</v>
      </c>
      <c r="V64" s="47" t="str">
        <f t="array" ref="V64">_xlfn.XLOOKUP(records[ID], dAir[roomNo], dAir[roomName])</f>
        <v>MLT 2</v>
      </c>
      <c r="W64" s="47" t="str">
        <f t="array" ref="W64">_xlfn.XLOOKUP(records[ID], dAir[roomNo], dAir[building])</f>
        <v>Building 12</v>
      </c>
      <c r="X64" s="47" t="str">
        <f t="array" ref="X64">_xlfn.XLOOKUP(records[ID], dAir[roomNo], dAir[floor])</f>
        <v>Floor 3</v>
      </c>
      <c r="Y64" s="45" t="str">
        <f t="array" ref="Y64">_xlfn.XLOOKUP(records[ID], dAir[roomNo], dAir[Class])</f>
        <v>A</v>
      </c>
      <c r="Z64" s="45">
        <f t="array" ref="Z64">_xlfn.XLOOKUP(records[Method]&amp;"-"&amp;records[Class], dAirSpec[ID], dAirSpec[Spec])</f>
        <v>0</v>
      </c>
      <c r="AA64" s="45" t="str">
        <f t="array" ref="AA64">_xlfn.XLOOKUP(records[Method]&amp;"-"&amp;records[Class], dAirSpec[ID], dAirSpec[Unit])</f>
        <v>cfu/m3</v>
      </c>
      <c r="AB64" s="45">
        <f t="array" ref="AB64">if(S64="","", if(records[Method]="Active Air",_xlfn.xlookup(records[ColonyCount]&amp;records[AirSampler],feller[code],feller[Vc]),records[ColonyCount]))</f>
        <v>0</v>
      </c>
      <c r="AC64" s="60" t="b">
        <f t="shared" si="1"/>
        <v>1</v>
      </c>
      <c r="AD64" s="61" t="b">
        <v>0</v>
      </c>
      <c r="AE64" s="32" t="s">
        <v>235</v>
      </c>
      <c r="AF64" s="46"/>
      <c r="AG64" s="46"/>
      <c r="AH64" s="46"/>
      <c r="AI64" s="46"/>
      <c r="AJ64" s="46"/>
    </row>
    <row r="65" ht="22.5" customHeight="1">
      <c r="A65" s="27">
        <v>46179.0</v>
      </c>
      <c r="B65" s="34" t="str">
        <f t="array" ref="B65">TEXT(A65, "MM-YYYY")</f>
        <v>06-2026</v>
      </c>
      <c r="C65" s="56" t="s">
        <v>821</v>
      </c>
      <c r="D65" s="36" t="s">
        <v>210</v>
      </c>
      <c r="E65" s="36" t="s">
        <v>213</v>
      </c>
      <c r="F65" s="37"/>
      <c r="G65" s="29" t="b">
        <v>0</v>
      </c>
      <c r="H65" s="36" t="s">
        <v>214</v>
      </c>
      <c r="I65" s="36" t="s">
        <v>215</v>
      </c>
      <c r="J65" s="39"/>
      <c r="K65" s="40"/>
      <c r="L65" s="37" t="s">
        <v>194</v>
      </c>
      <c r="M65" s="37" t="s">
        <v>194</v>
      </c>
      <c r="N65" s="37" t="s">
        <v>194</v>
      </c>
      <c r="O65" s="37" t="s">
        <v>194</v>
      </c>
      <c r="P65" s="37" t="s">
        <v>223</v>
      </c>
      <c r="Q65" s="37" t="s">
        <v>224</v>
      </c>
      <c r="R65" s="41">
        <v>46218.0</v>
      </c>
      <c r="S65" s="42">
        <v>5.0</v>
      </c>
      <c r="T65" s="44" t="s">
        <v>194</v>
      </c>
      <c r="U65" s="47" t="str">
        <f>IF(records[Type]="Room",records[roomNo],records[roomNo]&amp;"-"&amp;SUBSTITUTE(RIGHT(records[roomNo]&amp;records[Type],2),"-",""))</f>
        <v>12-3-054</v>
      </c>
      <c r="V65" s="47" t="str">
        <f t="array" ref="V65">_xlfn.XLOOKUP(records[ID], dAir[roomNo], dAir[roomName])</f>
        <v>MLT 3</v>
      </c>
      <c r="W65" s="47" t="str">
        <f t="array" ref="W65">_xlfn.XLOOKUP(records[ID], dAir[roomNo], dAir[building])</f>
        <v>Building 12</v>
      </c>
      <c r="X65" s="47" t="str">
        <f t="array" ref="X65">_xlfn.XLOOKUP(records[ID], dAir[roomNo], dAir[floor])</f>
        <v>Floor 3</v>
      </c>
      <c r="Y65" s="45" t="str">
        <f t="array" ref="Y65">_xlfn.XLOOKUP(records[ID], dAir[roomNo], dAir[Class])</f>
        <v>D</v>
      </c>
      <c r="Z65" s="45">
        <f t="array" ref="Z65">_xlfn.XLOOKUP(records[Method]&amp;"-"&amp;records[Class], dAirSpec[ID], dAirSpec[Spec])</f>
        <v>100</v>
      </c>
      <c r="AA65" s="45" t="str">
        <f t="array" ref="AA65">_xlfn.XLOOKUP(records[Method]&amp;"-"&amp;records[Class], dAirSpec[ID], dAirSpec[Unit])</f>
        <v>cfu/plate</v>
      </c>
      <c r="AB65" s="58">
        <f t="array" ref="AB65">if(S65="","", if(records[Method]="Active Air",_xlfn.xlookup(records[ColonyCount]&amp;records[AirSampler],feller[code],feller[Vc]),records[ColonyCount]))</f>
        <v>5</v>
      </c>
      <c r="AC65" s="60" t="b">
        <f t="shared" si="1"/>
        <v>1</v>
      </c>
      <c r="AD65" s="61" t="b">
        <v>0</v>
      </c>
      <c r="AE65" s="32"/>
      <c r="AF65" s="46"/>
      <c r="AG65" s="46"/>
      <c r="AH65" s="46"/>
      <c r="AI65" s="46"/>
      <c r="AJ65" s="46"/>
    </row>
    <row r="66" ht="22.5" customHeight="1">
      <c r="A66" s="27">
        <v>46179.0</v>
      </c>
      <c r="B66" s="34" t="str">
        <f t="array" ref="B66">TEXT(A66, "MM-YYYY")</f>
        <v>06-2026</v>
      </c>
      <c r="C66" s="34" t="s">
        <v>825</v>
      </c>
      <c r="D66" s="36" t="s">
        <v>210</v>
      </c>
      <c r="E66" s="36" t="s">
        <v>531</v>
      </c>
      <c r="F66" s="37" t="s">
        <v>18</v>
      </c>
      <c r="G66" s="29" t="b">
        <v>1</v>
      </c>
      <c r="H66" s="36" t="s">
        <v>214</v>
      </c>
      <c r="I66" s="36" t="s">
        <v>757</v>
      </c>
      <c r="J66" s="39">
        <v>3.1101125E8</v>
      </c>
      <c r="K66" s="40">
        <v>46240.0</v>
      </c>
      <c r="L66" s="37" t="s">
        <v>194</v>
      </c>
      <c r="M66" s="37" t="s">
        <v>194</v>
      </c>
      <c r="N66" s="37" t="s">
        <v>194</v>
      </c>
      <c r="O66" s="37" t="s">
        <v>194</v>
      </c>
      <c r="P66" s="37" t="s">
        <v>223</v>
      </c>
      <c r="Q66" s="37" t="s">
        <v>224</v>
      </c>
      <c r="R66" s="41">
        <v>46218.0</v>
      </c>
      <c r="S66" s="42">
        <v>0.0</v>
      </c>
      <c r="T66" s="44" t="s">
        <v>194</v>
      </c>
      <c r="U66" s="47" t="str">
        <f>IF(records[Type]="Room",records[roomNo],records[roomNo]&amp;"-"&amp;SUBSTITUTE(RIGHT(records[roomNo]&amp;records[Type],2),"-",""))</f>
        <v>12-3-054-BSC</v>
      </c>
      <c r="V66" s="47" t="str">
        <f t="array" ref="V66">_xlfn.XLOOKUP(records[ID], dAir[roomNo], dAir[roomName])</f>
        <v>MLT 3</v>
      </c>
      <c r="W66" s="47" t="str">
        <f t="array" ref="W66">_xlfn.XLOOKUP(records[ID], dAir[roomNo], dAir[building])</f>
        <v>Building 12</v>
      </c>
      <c r="X66" s="47" t="str">
        <f t="array" ref="X66">_xlfn.XLOOKUP(records[ID], dAir[roomNo], dAir[floor])</f>
        <v>Floor 3</v>
      </c>
      <c r="Y66" s="45" t="str">
        <f t="array" ref="Y66">_xlfn.XLOOKUP(records[ID], dAir[roomNo], dAir[Class])</f>
        <v>A</v>
      </c>
      <c r="Z66" s="45">
        <f t="array" ref="Z66">_xlfn.XLOOKUP(records[Method]&amp;"-"&amp;records[Class], dAirSpec[ID], dAirSpec[Spec])</f>
        <v>0</v>
      </c>
      <c r="AA66" s="45" t="str">
        <f t="array" ref="AA66">_xlfn.XLOOKUP(records[Method]&amp;"-"&amp;records[Class], dAirSpec[ID], dAirSpec[Unit])</f>
        <v>cfu/m3</v>
      </c>
      <c r="AB66" s="45">
        <f t="array" ref="AB66">if(S66="","", if(records[Method]="Active Air",_xlfn.xlookup(records[ColonyCount]&amp;records[AirSampler],feller[code],feller[Vc]),records[ColonyCount]))</f>
        <v>0</v>
      </c>
      <c r="AC66" s="60" t="b">
        <f t="shared" si="1"/>
        <v>1</v>
      </c>
      <c r="AD66" s="61" t="b">
        <v>0</v>
      </c>
      <c r="AE66" s="32" t="s">
        <v>235</v>
      </c>
      <c r="AF66" s="46"/>
      <c r="AG66" s="46"/>
      <c r="AH66" s="46"/>
      <c r="AI66" s="46"/>
      <c r="AJ66" s="46"/>
    </row>
    <row r="67" ht="22.5" customHeight="1">
      <c r="A67" s="27">
        <v>46179.0</v>
      </c>
      <c r="B67" s="34" t="str">
        <f t="array" ref="B67">TEXT(A67, "MM-YYYY")</f>
        <v>06-2026</v>
      </c>
      <c r="C67" s="39" t="s">
        <v>831</v>
      </c>
      <c r="D67" s="36" t="s">
        <v>210</v>
      </c>
      <c r="E67" s="36" t="s">
        <v>213</v>
      </c>
      <c r="F67" s="37"/>
      <c r="G67" s="29" t="b">
        <v>0</v>
      </c>
      <c r="H67" s="36" t="s">
        <v>214</v>
      </c>
      <c r="I67" s="36" t="s">
        <v>215</v>
      </c>
      <c r="J67" s="39"/>
      <c r="K67" s="40"/>
      <c r="L67" s="37" t="s">
        <v>194</v>
      </c>
      <c r="M67" s="37" t="s">
        <v>194</v>
      </c>
      <c r="N67" s="37" t="s">
        <v>194</v>
      </c>
      <c r="O67" s="37" t="s">
        <v>194</v>
      </c>
      <c r="P67" s="37" t="s">
        <v>223</v>
      </c>
      <c r="Q67" s="37" t="s">
        <v>224</v>
      </c>
      <c r="R67" s="41">
        <v>46218.0</v>
      </c>
      <c r="S67" s="42">
        <v>1.0</v>
      </c>
      <c r="T67" s="44" t="s">
        <v>194</v>
      </c>
      <c r="U67" s="45" t="str">
        <f>IF(records[Type]="Room",records[roomNo],records[roomNo]&amp;"-"&amp;SUBSTITUTE(RIGHT(records[roomNo]&amp;records[Type],2),"-",""))</f>
        <v>12-3-055</v>
      </c>
      <c r="V67" s="47" t="str">
        <f t="array" ref="V67">_xlfn.XLOOKUP(records[ID], dAir[roomNo], dAir[roomName])</f>
        <v>SPARE ROOM</v>
      </c>
      <c r="W67" s="47" t="str">
        <f t="array" ref="W67">_xlfn.XLOOKUP(records[ID], dAir[roomNo], dAir[building])</f>
        <v>Building 12</v>
      </c>
      <c r="X67" s="47" t="str">
        <f t="array" ref="X67">_xlfn.XLOOKUP(records[ID], dAir[roomNo], dAir[floor])</f>
        <v>Floor 3</v>
      </c>
      <c r="Y67" s="45" t="str">
        <f t="array" ref="Y67">_xlfn.XLOOKUP(records[ID], dAir[roomNo], dAir[Class])</f>
        <v>D</v>
      </c>
      <c r="Z67" s="45">
        <f t="array" ref="Z67">_xlfn.XLOOKUP(records[Method]&amp;"-"&amp;records[Class], dAirSpec[ID], dAirSpec[Spec])</f>
        <v>100</v>
      </c>
      <c r="AA67" s="45" t="str">
        <f t="array" ref="AA67">_xlfn.XLOOKUP(records[Method]&amp;"-"&amp;records[Class], dAirSpec[ID], dAirSpec[Unit])</f>
        <v>cfu/plate</v>
      </c>
      <c r="AB67" s="58">
        <f t="array" ref="AB67">if(S67="","", if(records[Method]="Active Air",_xlfn.xlookup(records[ColonyCount]&amp;records[AirSampler],feller[code],feller[Vc]),records[ColonyCount]))</f>
        <v>1</v>
      </c>
      <c r="AC67" s="60" t="b">
        <f t="shared" si="1"/>
        <v>1</v>
      </c>
      <c r="AD67" s="61" t="b">
        <v>0</v>
      </c>
      <c r="AE67" s="32"/>
      <c r="AF67" s="46"/>
      <c r="AG67" s="46"/>
      <c r="AH67" s="46"/>
      <c r="AI67" s="46"/>
      <c r="AJ67" s="46"/>
    </row>
    <row r="68" ht="22.5" customHeight="1">
      <c r="A68" s="27">
        <v>46180.0</v>
      </c>
      <c r="B68" s="34" t="str">
        <f t="array" ref="B68">TEXT(A68, "MM-YYYY")</f>
        <v>06-2026</v>
      </c>
      <c r="C68" s="20" t="s">
        <v>840</v>
      </c>
      <c r="D68" s="21" t="s">
        <v>210</v>
      </c>
      <c r="E68" s="36" t="s">
        <v>531</v>
      </c>
      <c r="F68" s="37" t="s">
        <v>10</v>
      </c>
      <c r="G68" s="29" t="b">
        <v>1</v>
      </c>
      <c r="H68" s="36" t="s">
        <v>214</v>
      </c>
      <c r="I68" s="36" t="s">
        <v>203</v>
      </c>
      <c r="J68" s="39"/>
      <c r="K68" s="40"/>
      <c r="L68" s="37" t="s">
        <v>194</v>
      </c>
      <c r="M68" s="37" t="s">
        <v>194</v>
      </c>
      <c r="N68" s="37" t="s">
        <v>194</v>
      </c>
      <c r="O68" s="37" t="s">
        <v>194</v>
      </c>
      <c r="P68" s="37" t="s">
        <v>223</v>
      </c>
      <c r="Q68" s="37" t="s">
        <v>224</v>
      </c>
      <c r="R68" s="41">
        <v>46218.0</v>
      </c>
      <c r="S68" s="42">
        <v>22.0</v>
      </c>
      <c r="T68" s="44" t="s">
        <v>194</v>
      </c>
      <c r="U68" s="47" t="str">
        <f>IF(records[Type]="Room",records[roomNo],records[roomNo]&amp;"-"&amp;SUBSTITUTE(RIGHT(records[roomNo]&amp;records[Type],2),"-",""))</f>
        <v>16-1-069</v>
      </c>
      <c r="V68" s="47" t="str">
        <f t="array" ref="V68">_xlfn.XLOOKUP(records[ID], dAir[roomNo], dAir[roomName])</f>
        <v>MEN PAL</v>
      </c>
      <c r="W68" s="47" t="str">
        <f t="array" ref="W68">_xlfn.XLOOKUP(records[ID], dAir[roomNo], dAir[building])</f>
        <v>Building 16</v>
      </c>
      <c r="X68" s="47" t="str">
        <f t="array" ref="X68">_xlfn.XLOOKUP(records[ID], dAir[roomNo], dAir[floor])</f>
        <v>Floor 1</v>
      </c>
      <c r="Y68" s="45" t="str">
        <f t="array" ref="Y68">_xlfn.XLOOKUP(records[ID], dAir[roomNo], dAir[Class])</f>
        <v>D</v>
      </c>
      <c r="Z68" s="45">
        <f t="array" ref="Z68">_xlfn.XLOOKUP(records[Method]&amp;"-"&amp;records[Class], dAirSpec[ID], dAirSpec[Spec])</f>
        <v>200</v>
      </c>
      <c r="AA68" s="45" t="str">
        <f t="array" ref="AA68">_xlfn.XLOOKUP(records[Method]&amp;"-"&amp;records[Class], dAirSpec[ID], dAirSpec[Unit])</f>
        <v>cfu/m3</v>
      </c>
      <c r="AB68" s="45">
        <f t="array" ref="AB68">if(S68="","", if(records[Method]="Active Air",_xlfn.xlookup(records[ColonyCount]&amp;records[AirSampler],feller[code],feller[Vc]),records[ColonyCount]))</f>
        <v>22</v>
      </c>
      <c r="AC68" s="60" t="b">
        <f t="shared" si="1"/>
        <v>1</v>
      </c>
      <c r="AD68" s="61" t="b">
        <v>0</v>
      </c>
      <c r="AE68" s="32" t="s">
        <v>235</v>
      </c>
      <c r="AF68" s="46"/>
      <c r="AG68" s="46"/>
      <c r="AH68" s="46"/>
      <c r="AI68" s="46"/>
      <c r="AJ68" s="46"/>
    </row>
    <row r="69" ht="22.5" customHeight="1">
      <c r="A69" s="27">
        <v>46180.0</v>
      </c>
      <c r="B69" s="34" t="str">
        <f t="array" ref="B69">TEXT(A69, "MM-YYYY")</f>
        <v>06-2026</v>
      </c>
      <c r="C69" s="39" t="s">
        <v>845</v>
      </c>
      <c r="D69" s="36" t="s">
        <v>210</v>
      </c>
      <c r="E69" s="36" t="s">
        <v>531</v>
      </c>
      <c r="F69" s="37" t="s">
        <v>10</v>
      </c>
      <c r="G69" s="29" t="b">
        <v>1</v>
      </c>
      <c r="H69" s="36" t="s">
        <v>214</v>
      </c>
      <c r="I69" s="36" t="s">
        <v>203</v>
      </c>
      <c r="J69" s="39"/>
      <c r="K69" s="40"/>
      <c r="L69" s="37" t="s">
        <v>194</v>
      </c>
      <c r="M69" s="37" t="s">
        <v>194</v>
      </c>
      <c r="N69" s="37" t="s">
        <v>194</v>
      </c>
      <c r="O69" s="37" t="s">
        <v>194</v>
      </c>
      <c r="P69" s="37" t="s">
        <v>223</v>
      </c>
      <c r="Q69" s="37" t="s">
        <v>224</v>
      </c>
      <c r="R69" s="41">
        <v>46218.0</v>
      </c>
      <c r="S69" s="42">
        <v>14.0</v>
      </c>
      <c r="T69" s="44" t="s">
        <v>194</v>
      </c>
      <c r="U69" s="45" t="str">
        <f>IF(records[Type]="Room",records[roomNo],records[roomNo]&amp;"-"&amp;SUBSTITUTE(RIGHT(records[roomNo]&amp;records[Type],2),"-",""))</f>
        <v>16-1-070</v>
      </c>
      <c r="V69" s="47" t="str">
        <f t="array" ref="V69">_xlfn.XLOOKUP(records[ID], dAir[roomNo], dAir[roomName])</f>
        <v>MEN PROCESS CHANGE</v>
      </c>
      <c r="W69" s="47" t="str">
        <f t="array" ref="W69">_xlfn.XLOOKUP(records[ID], dAir[roomNo], dAir[building])</f>
        <v>Building 16</v>
      </c>
      <c r="X69" s="47" t="str">
        <f t="array" ref="X69">_xlfn.XLOOKUP(records[ID], dAir[roomNo], dAir[floor])</f>
        <v>Floor 1</v>
      </c>
      <c r="Y69" s="45" t="str">
        <f t="array" ref="Y69">_xlfn.XLOOKUP(records[ID], dAir[roomNo], dAir[Class])</f>
        <v>C</v>
      </c>
      <c r="Z69" s="45">
        <f t="array" ref="Z69">_xlfn.XLOOKUP(records[Method]&amp;"-"&amp;records[Class], dAirSpec[ID], dAirSpec[Spec])</f>
        <v>100</v>
      </c>
      <c r="AA69" s="45" t="str">
        <f t="array" ref="AA69">_xlfn.XLOOKUP(records[Method]&amp;"-"&amp;records[Class], dAirSpec[ID], dAirSpec[Unit])</f>
        <v>cfu/m3</v>
      </c>
      <c r="AB69" s="45">
        <f t="array" ref="AB69">if(S69="","", if(records[Method]="Active Air",_xlfn.xlookup(records[ColonyCount]&amp;records[AirSampler],feller[code],feller[Vc]),records[ColonyCount]))</f>
        <v>14</v>
      </c>
      <c r="AC69" s="60" t="b">
        <f t="shared" si="1"/>
        <v>1</v>
      </c>
      <c r="AD69" s="61" t="b">
        <v>0</v>
      </c>
      <c r="AE69" s="32" t="s">
        <v>235</v>
      </c>
      <c r="AF69" s="46"/>
      <c r="AG69" s="46"/>
      <c r="AH69" s="46"/>
      <c r="AI69" s="46"/>
      <c r="AJ69" s="46"/>
    </row>
    <row r="70" ht="22.5" customHeight="1">
      <c r="A70" s="27">
        <v>46180.0</v>
      </c>
      <c r="B70" s="34" t="str">
        <f t="array" ref="B70">TEXT(A70, "MM-YYYY")</f>
        <v>06-2026</v>
      </c>
      <c r="C70" s="39" t="s">
        <v>857</v>
      </c>
      <c r="D70" s="36" t="s">
        <v>210</v>
      </c>
      <c r="E70" s="36" t="s">
        <v>531</v>
      </c>
      <c r="F70" s="37" t="s">
        <v>10</v>
      </c>
      <c r="G70" s="29" t="b">
        <v>1</v>
      </c>
      <c r="H70" s="36" t="s">
        <v>214</v>
      </c>
      <c r="I70" s="36" t="s">
        <v>757</v>
      </c>
      <c r="J70" s="39">
        <v>3.1101125E8</v>
      </c>
      <c r="K70" s="40">
        <v>46240.0</v>
      </c>
      <c r="L70" s="37" t="s">
        <v>194</v>
      </c>
      <c r="M70" s="37" t="s">
        <v>194</v>
      </c>
      <c r="N70" s="37" t="s">
        <v>194</v>
      </c>
      <c r="O70" s="37" t="s">
        <v>194</v>
      </c>
      <c r="P70" s="37" t="s">
        <v>223</v>
      </c>
      <c r="Q70" s="37" t="s">
        <v>224</v>
      </c>
      <c r="R70" s="41">
        <v>46218.0</v>
      </c>
      <c r="S70" s="42">
        <v>11.0</v>
      </c>
      <c r="T70" s="44" t="s">
        <v>194</v>
      </c>
      <c r="U70" s="45" t="str">
        <f>IF(records[Type]="Room",records[roomNo],records[roomNo]&amp;"-"&amp;SUBSTITUTE(RIGHT(records[roomNo]&amp;records[Type],2),"-",""))</f>
        <v>16-1-071</v>
      </c>
      <c r="V70" s="47" t="str">
        <f t="array" ref="V70">_xlfn.XLOOKUP(records[ID], dAir[roomNo], dAir[roomName])</f>
        <v>WOMEN PAL</v>
      </c>
      <c r="W70" s="47" t="str">
        <f t="array" ref="W70">_xlfn.XLOOKUP(records[ID], dAir[roomNo], dAir[building])</f>
        <v>Building 16</v>
      </c>
      <c r="X70" s="47" t="str">
        <f t="array" ref="X70">_xlfn.XLOOKUP(records[ID], dAir[roomNo], dAir[floor])</f>
        <v>Floor 1</v>
      </c>
      <c r="Y70" s="45" t="str">
        <f t="array" ref="Y70">_xlfn.XLOOKUP(records[ID], dAir[roomNo], dAir[Class])</f>
        <v>D</v>
      </c>
      <c r="Z70" s="45">
        <f t="array" ref="Z70">_xlfn.XLOOKUP(records[Method]&amp;"-"&amp;records[Class], dAirSpec[ID], dAirSpec[Spec])</f>
        <v>200</v>
      </c>
      <c r="AA70" s="45" t="str">
        <f t="array" ref="AA70">_xlfn.XLOOKUP(records[Method]&amp;"-"&amp;records[Class], dAirSpec[ID], dAirSpec[Unit])</f>
        <v>cfu/m3</v>
      </c>
      <c r="AB70" s="45">
        <f t="array" ref="AB70">if(S70="","", if(records[Method]="Active Air",_xlfn.xlookup(records[ColonyCount]&amp;records[AirSampler],feller[code],feller[Vc]),records[ColonyCount]))</f>
        <v>11</v>
      </c>
      <c r="AC70" s="60" t="b">
        <f t="shared" si="1"/>
        <v>1</v>
      </c>
      <c r="AD70" s="61" t="b">
        <v>0</v>
      </c>
      <c r="AE70" s="32" t="s">
        <v>235</v>
      </c>
      <c r="AF70" s="46"/>
      <c r="AG70" s="46"/>
      <c r="AH70" s="46"/>
      <c r="AI70" s="46"/>
      <c r="AJ70" s="46"/>
    </row>
    <row r="71" ht="22.5" customHeight="1">
      <c r="A71" s="27">
        <v>46180.0</v>
      </c>
      <c r="B71" s="34" t="str">
        <f t="array" ref="B71">TEXT(A71, "MM-YYYY")</f>
        <v>06-2026</v>
      </c>
      <c r="C71" s="39" t="s">
        <v>878</v>
      </c>
      <c r="D71" s="36" t="s">
        <v>210</v>
      </c>
      <c r="E71" s="36" t="s">
        <v>531</v>
      </c>
      <c r="F71" s="37" t="s">
        <v>10</v>
      </c>
      <c r="G71" s="29" t="b">
        <v>1</v>
      </c>
      <c r="H71" s="36" t="s">
        <v>214</v>
      </c>
      <c r="I71" s="36" t="s">
        <v>757</v>
      </c>
      <c r="J71" s="39">
        <v>3.1101125E8</v>
      </c>
      <c r="K71" s="40">
        <v>46240.0</v>
      </c>
      <c r="L71" s="37" t="s">
        <v>194</v>
      </c>
      <c r="M71" s="37" t="s">
        <v>194</v>
      </c>
      <c r="N71" s="37" t="s">
        <v>194</v>
      </c>
      <c r="O71" s="37" t="s">
        <v>194</v>
      </c>
      <c r="P71" s="37" t="s">
        <v>223</v>
      </c>
      <c r="Q71" s="37" t="s">
        <v>224</v>
      </c>
      <c r="R71" s="41">
        <v>46218.0</v>
      </c>
      <c r="S71" s="42">
        <v>3.0</v>
      </c>
      <c r="T71" s="44" t="s">
        <v>194</v>
      </c>
      <c r="U71" s="45" t="str">
        <f>IF(records[Type]="Room",records[roomNo],records[roomNo]&amp;"-"&amp;SUBSTITUTE(RIGHT(records[roomNo]&amp;records[Type],2),"-",""))</f>
        <v>16-1-072</v>
      </c>
      <c r="V71" s="47" t="str">
        <f t="array" ref="V71">_xlfn.XLOOKUP(records[ID], dAir[roomNo], dAir[roomName])</f>
        <v>WOMEN PROCESS CHANGE</v>
      </c>
      <c r="W71" s="47" t="str">
        <f t="array" ref="W71">_xlfn.XLOOKUP(records[ID], dAir[roomNo], dAir[building])</f>
        <v>Building 16</v>
      </c>
      <c r="X71" s="47" t="str">
        <f t="array" ref="X71">_xlfn.XLOOKUP(records[ID], dAir[roomNo], dAir[floor])</f>
        <v>Floor 1</v>
      </c>
      <c r="Y71" s="45" t="str">
        <f t="array" ref="Y71">_xlfn.XLOOKUP(records[ID], dAir[roomNo], dAir[Class])</f>
        <v>C</v>
      </c>
      <c r="Z71" s="45">
        <f t="array" ref="Z71">_xlfn.XLOOKUP(records[Method]&amp;"-"&amp;records[Class], dAirSpec[ID], dAirSpec[Spec])</f>
        <v>100</v>
      </c>
      <c r="AA71" s="45" t="str">
        <f t="array" ref="AA71">_xlfn.XLOOKUP(records[Method]&amp;"-"&amp;records[Class], dAirSpec[ID], dAirSpec[Unit])</f>
        <v>cfu/m3</v>
      </c>
      <c r="AB71" s="45">
        <f t="array" ref="AB71">if(S71="","", if(records[Method]="Active Air",_xlfn.xlookup(records[ColonyCount]&amp;records[AirSampler],feller[code],feller[Vc]),records[ColonyCount]))</f>
        <v>3</v>
      </c>
      <c r="AC71" s="60" t="b">
        <f t="shared" si="1"/>
        <v>1</v>
      </c>
      <c r="AD71" s="61" t="b">
        <v>0</v>
      </c>
      <c r="AE71" s="32" t="s">
        <v>235</v>
      </c>
      <c r="AF71" s="46"/>
      <c r="AG71" s="46"/>
      <c r="AH71" s="46"/>
      <c r="AI71" s="46"/>
      <c r="AJ71" s="46"/>
    </row>
    <row r="72" ht="22.5" customHeight="1">
      <c r="A72" s="27">
        <v>46180.0</v>
      </c>
      <c r="B72" s="34" t="str">
        <f t="array" ref="B72">TEXT(A72, "MM-YYYY")</f>
        <v>06-2026</v>
      </c>
      <c r="C72" s="39" t="s">
        <v>898</v>
      </c>
      <c r="D72" s="36" t="s">
        <v>210</v>
      </c>
      <c r="E72" s="36" t="s">
        <v>531</v>
      </c>
      <c r="F72" s="37" t="s">
        <v>10</v>
      </c>
      <c r="G72" s="29" t="b">
        <v>1</v>
      </c>
      <c r="H72" s="36" t="s">
        <v>214</v>
      </c>
      <c r="I72" s="36" t="s">
        <v>757</v>
      </c>
      <c r="J72" s="39">
        <v>3.1101125E8</v>
      </c>
      <c r="K72" s="40">
        <v>46240.0</v>
      </c>
      <c r="L72" s="37" t="s">
        <v>194</v>
      </c>
      <c r="M72" s="37" t="s">
        <v>194</v>
      </c>
      <c r="N72" s="37" t="s">
        <v>194</v>
      </c>
      <c r="O72" s="37" t="s">
        <v>194</v>
      </c>
      <c r="P72" s="37" t="s">
        <v>223</v>
      </c>
      <c r="Q72" s="37" t="s">
        <v>224</v>
      </c>
      <c r="R72" s="41">
        <v>46218.0</v>
      </c>
      <c r="S72" s="42">
        <v>38.0</v>
      </c>
      <c r="T72" s="29" t="s">
        <v>902</v>
      </c>
      <c r="U72" s="45" t="str">
        <f>IF(records[Type]="Room",records[roomNo],records[roomNo]&amp;"-"&amp;SUBSTITUTE(RIGHT(records[roomNo]&amp;records[Type],2),"-",""))</f>
        <v>16-1-073</v>
      </c>
      <c r="V72" s="47" t="str">
        <f t="array" ref="V72">_xlfn.XLOOKUP(records[ID], dAir[roomNo], dAir[roomName])</f>
        <v>CORRIDOR</v>
      </c>
      <c r="W72" s="47" t="str">
        <f t="array" ref="W72">_xlfn.XLOOKUP(records[ID], dAir[roomNo], dAir[building])</f>
        <v>Building 16</v>
      </c>
      <c r="X72" s="47" t="str">
        <f t="array" ref="X72">_xlfn.XLOOKUP(records[ID], dAir[roomNo], dAir[floor])</f>
        <v>Floor 1</v>
      </c>
      <c r="Y72" s="45" t="str">
        <f t="array" ref="Y72">_xlfn.XLOOKUP(records[ID], dAir[roomNo], dAir[Class])</f>
        <v>C</v>
      </c>
      <c r="Z72" s="45">
        <f t="array" ref="Z72">_xlfn.XLOOKUP(records[Method]&amp;"-"&amp;records[Class], dAirSpec[ID], dAirSpec[Spec])</f>
        <v>100</v>
      </c>
      <c r="AA72" s="45" t="str">
        <f t="array" ref="AA72">_xlfn.XLOOKUP(records[Method]&amp;"-"&amp;records[Class], dAirSpec[ID], dAirSpec[Unit])</f>
        <v>cfu/m3</v>
      </c>
      <c r="AB72" s="45">
        <f t="array" ref="AB72">if(S72="","", if(records[Method]="Active Air",_xlfn.xlookup(records[ColonyCount]&amp;records[AirSampler],feller[code],feller[Vc]),records[ColonyCount]))</f>
        <v>41</v>
      </c>
      <c r="AC72" s="60" t="b">
        <f t="shared" si="1"/>
        <v>1</v>
      </c>
      <c r="AD72" s="61" t="b">
        <v>0</v>
      </c>
      <c r="AE72" s="32" t="s">
        <v>235</v>
      </c>
      <c r="AF72" s="46"/>
      <c r="AG72" s="46"/>
      <c r="AH72" s="46"/>
      <c r="AI72" s="46"/>
      <c r="AJ72" s="46"/>
    </row>
    <row r="73" ht="22.5" customHeight="1">
      <c r="A73" s="27">
        <v>46180.0</v>
      </c>
      <c r="B73" s="34" t="str">
        <f t="array" ref="B73">TEXT(A73, "MM-YYYY")</f>
        <v>06-2026</v>
      </c>
      <c r="C73" s="39" t="s">
        <v>919</v>
      </c>
      <c r="D73" s="36" t="s">
        <v>210</v>
      </c>
      <c r="E73" s="36" t="s">
        <v>531</v>
      </c>
      <c r="F73" s="37" t="s">
        <v>10</v>
      </c>
      <c r="G73" s="29" t="b">
        <v>1</v>
      </c>
      <c r="H73" s="36" t="s">
        <v>214</v>
      </c>
      <c r="I73" s="36" t="s">
        <v>534</v>
      </c>
      <c r="J73" s="39"/>
      <c r="K73" s="40"/>
      <c r="L73" s="37" t="s">
        <v>194</v>
      </c>
      <c r="M73" s="37" t="s">
        <v>194</v>
      </c>
      <c r="N73" s="37" t="s">
        <v>194</v>
      </c>
      <c r="O73" s="37" t="s">
        <v>194</v>
      </c>
      <c r="P73" s="37" t="s">
        <v>223</v>
      </c>
      <c r="Q73" s="37" t="s">
        <v>224</v>
      </c>
      <c r="R73" s="41">
        <v>46218.0</v>
      </c>
      <c r="S73" s="42">
        <v>4.0</v>
      </c>
      <c r="T73" s="44" t="s">
        <v>194</v>
      </c>
      <c r="U73" s="45" t="str">
        <f>IF(records[Type]="Room",records[roomNo],records[roomNo]&amp;"-"&amp;SUBSTITUTE(RIGHT(records[roomNo]&amp;records[Type],2),"-",""))</f>
        <v>16-1-074</v>
      </c>
      <c r="V73" s="47" t="str">
        <f t="array" ref="V73">_xlfn.XLOOKUP(records[ID], dAir[roomNo], dAir[roomName])</f>
        <v>AIRLOCK</v>
      </c>
      <c r="W73" s="47" t="str">
        <f t="array" ref="W73">_xlfn.XLOOKUP(records[ID], dAir[roomNo], dAir[building])</f>
        <v>Building 16</v>
      </c>
      <c r="X73" s="47" t="str">
        <f t="array" ref="X73">_xlfn.XLOOKUP(records[ID], dAir[roomNo], dAir[floor])</f>
        <v>Floor 1</v>
      </c>
      <c r="Y73" s="45" t="str">
        <f t="array" ref="Y73">_xlfn.XLOOKUP(records[ID], dAir[roomNo], dAir[Class])</f>
        <v>C</v>
      </c>
      <c r="Z73" s="45">
        <f t="array" ref="Z73">_xlfn.XLOOKUP(records[Method]&amp;"-"&amp;records[Class], dAirSpec[ID], dAirSpec[Spec])</f>
        <v>100</v>
      </c>
      <c r="AA73" s="45" t="str">
        <f t="array" ref="AA73">_xlfn.XLOOKUP(records[Method]&amp;"-"&amp;records[Class], dAirSpec[ID], dAirSpec[Unit])</f>
        <v>cfu/m3</v>
      </c>
      <c r="AB73" s="45">
        <f t="array" ref="AB73">if(S73="","", if(records[Method]="Active Air",_xlfn.xlookup(records[ColonyCount]&amp;records[AirSampler],feller[code],feller[Vc]),records[ColonyCount]))</f>
        <v>4</v>
      </c>
      <c r="AC73" s="60" t="b">
        <f t="shared" si="1"/>
        <v>1</v>
      </c>
      <c r="AD73" s="61" t="b">
        <v>0</v>
      </c>
      <c r="AE73" s="32" t="s">
        <v>235</v>
      </c>
      <c r="AF73" s="46"/>
      <c r="AG73" s="46"/>
      <c r="AH73" s="46"/>
      <c r="AI73" s="46"/>
      <c r="AJ73" s="46"/>
    </row>
    <row r="74" ht="22.5" customHeight="1">
      <c r="A74" s="27">
        <v>46180.0</v>
      </c>
      <c r="B74" s="34" t="str">
        <f t="array" ref="B74">TEXT(A74, "MM-YYYY")</f>
        <v>06-2026</v>
      </c>
      <c r="C74" s="39" t="s">
        <v>753</v>
      </c>
      <c r="D74" s="36" t="s">
        <v>210</v>
      </c>
      <c r="E74" s="36" t="s">
        <v>531</v>
      </c>
      <c r="F74" s="37" t="s">
        <v>10</v>
      </c>
      <c r="G74" s="29" t="b">
        <v>1</v>
      </c>
      <c r="H74" s="36" t="s">
        <v>214</v>
      </c>
      <c r="I74" s="36" t="s">
        <v>534</v>
      </c>
      <c r="J74" s="39"/>
      <c r="K74" s="40"/>
      <c r="L74" s="37" t="s">
        <v>194</v>
      </c>
      <c r="M74" s="37" t="s">
        <v>194</v>
      </c>
      <c r="N74" s="37" t="s">
        <v>194</v>
      </c>
      <c r="O74" s="37" t="s">
        <v>194</v>
      </c>
      <c r="P74" s="37" t="s">
        <v>223</v>
      </c>
      <c r="Q74" s="37" t="s">
        <v>224</v>
      </c>
      <c r="R74" s="41">
        <v>46218.0</v>
      </c>
      <c r="S74" s="42">
        <v>1.0</v>
      </c>
      <c r="T74" s="44" t="s">
        <v>194</v>
      </c>
      <c r="U74" s="45" t="str">
        <f>IF(records[Type]="Room",records[roomNo],records[roomNo]&amp;"-"&amp;SUBSTITUTE(RIGHT(records[roomNo]&amp;records[Type],2),"-",""))</f>
        <v>16-1-075</v>
      </c>
      <c r="V74" s="47" t="str">
        <f t="array" ref="V74">_xlfn.XLOOKUP(records[ID], dAir[roomNo], dAir[roomName])</f>
        <v>VIALS CAPPING</v>
      </c>
      <c r="W74" s="47" t="str">
        <f t="array" ref="W74">_xlfn.XLOOKUP(records[ID], dAir[roomNo], dAir[building])</f>
        <v>Building 16</v>
      </c>
      <c r="X74" s="47" t="str">
        <f t="array" ref="X74">_xlfn.XLOOKUP(records[ID], dAir[roomNo], dAir[floor])</f>
        <v>Floor 1</v>
      </c>
      <c r="Y74" s="45" t="str">
        <f t="array" ref="Y74">_xlfn.XLOOKUP(records[ID], dAir[roomNo], dAir[Class])</f>
        <v>C</v>
      </c>
      <c r="Z74" s="45">
        <f t="array" ref="Z74">_xlfn.XLOOKUP(records[Method]&amp;"-"&amp;records[Class], dAirSpec[ID], dAirSpec[Spec])</f>
        <v>100</v>
      </c>
      <c r="AA74" s="45" t="str">
        <f t="array" ref="AA74">_xlfn.XLOOKUP(records[Method]&amp;"-"&amp;records[Class], dAirSpec[ID], dAirSpec[Unit])</f>
        <v>cfu/m3</v>
      </c>
      <c r="AB74" s="45">
        <f t="array" ref="AB74">if(S74="","", if(records[Method]="Active Air",_xlfn.xlookup(records[ColonyCount]&amp;records[AirSampler],feller[code],feller[Vc]),records[ColonyCount]))</f>
        <v>1</v>
      </c>
      <c r="AC74" s="60" t="b">
        <f t="shared" si="1"/>
        <v>1</v>
      </c>
      <c r="AD74" s="61" t="b">
        <v>0</v>
      </c>
      <c r="AE74" s="32" t="s">
        <v>235</v>
      </c>
      <c r="AF74" s="46"/>
      <c r="AG74" s="46"/>
      <c r="AH74" s="46"/>
      <c r="AI74" s="46"/>
      <c r="AJ74" s="46"/>
    </row>
    <row r="75" ht="22.5" customHeight="1">
      <c r="A75" s="27">
        <v>46180.0</v>
      </c>
      <c r="B75" s="34" t="str">
        <f t="array" ref="B75">TEXT(A75, "MM-YYYY")</f>
        <v>06-2026</v>
      </c>
      <c r="C75" s="39" t="s">
        <v>753</v>
      </c>
      <c r="D75" s="36" t="s">
        <v>755</v>
      </c>
      <c r="E75" s="36" t="s">
        <v>531</v>
      </c>
      <c r="F75" s="37" t="s">
        <v>10</v>
      </c>
      <c r="G75" s="29" t="b">
        <v>1</v>
      </c>
      <c r="H75" s="36" t="s">
        <v>214</v>
      </c>
      <c r="I75" s="36" t="s">
        <v>757</v>
      </c>
      <c r="J75" s="39">
        <v>3.1101125E8</v>
      </c>
      <c r="K75" s="40">
        <v>46240.0</v>
      </c>
      <c r="L75" s="37" t="s">
        <v>194</v>
      </c>
      <c r="M75" s="37" t="s">
        <v>194</v>
      </c>
      <c r="N75" s="37" t="s">
        <v>194</v>
      </c>
      <c r="O75" s="37" t="s">
        <v>194</v>
      </c>
      <c r="P75" s="37" t="s">
        <v>223</v>
      </c>
      <c r="Q75" s="37" t="s">
        <v>224</v>
      </c>
      <c r="R75" s="41">
        <v>46218.0</v>
      </c>
      <c r="S75" s="42">
        <v>0.0</v>
      </c>
      <c r="T75" s="44" t="s">
        <v>755</v>
      </c>
      <c r="U75" s="45" t="str">
        <f>IF(records[Type]="Room",records[roomNo],records[roomNo]&amp;"-"&amp;SUBSTITUTE(RIGHT(records[roomNo]&amp;records[Type],2),"-",""))</f>
        <v>16-1-075-M</v>
      </c>
      <c r="V75" s="47" t="str">
        <f t="array" ref="V75">_xlfn.XLOOKUP(records[ID], dAir[roomNo], dAir[roomName])</f>
        <v>VIALS CAPPING (Machine)</v>
      </c>
      <c r="W75" s="47" t="str">
        <f t="array" ref="W75">_xlfn.XLOOKUP(records[ID], dAir[roomNo], dAir[building])</f>
        <v>Building 16</v>
      </c>
      <c r="X75" s="47" t="str">
        <f t="array" ref="X75">_xlfn.XLOOKUP(records[ID], dAir[roomNo], dAir[floor])</f>
        <v>Floor 1</v>
      </c>
      <c r="Y75" s="45" t="str">
        <f t="array" ref="Y75">_xlfn.XLOOKUP(records[ID], dAir[roomNo], dAir[Class])</f>
        <v>A</v>
      </c>
      <c r="Z75" s="45">
        <f t="array" ref="Z75">_xlfn.XLOOKUP(records[Method]&amp;"-"&amp;records[Class], dAirSpec[ID], dAirSpec[Spec])</f>
        <v>0</v>
      </c>
      <c r="AA75" s="45" t="str">
        <f t="array" ref="AA75">_xlfn.XLOOKUP(records[Method]&amp;"-"&amp;records[Class], dAirSpec[ID], dAirSpec[Unit])</f>
        <v>cfu/m3</v>
      </c>
      <c r="AB75" s="45">
        <f t="array" ref="AB75">if(S75="","", if(records[Method]="Active Air",_xlfn.xlookup(records[ColonyCount]&amp;records[AirSampler],feller[code],feller[Vc]),records[ColonyCount]))</f>
        <v>0</v>
      </c>
      <c r="AC75" s="60" t="b">
        <f t="shared" si="1"/>
        <v>1</v>
      </c>
      <c r="AD75" s="61" t="b">
        <v>0</v>
      </c>
      <c r="AE75" s="32" t="s">
        <v>235</v>
      </c>
      <c r="AF75" s="46"/>
      <c r="AG75" s="46"/>
      <c r="AH75" s="46"/>
      <c r="AI75" s="46"/>
      <c r="AJ75" s="46"/>
    </row>
    <row r="76" ht="22.5" customHeight="1">
      <c r="A76" s="27">
        <v>46180.0</v>
      </c>
      <c r="B76" s="34" t="str">
        <f t="array" ref="B76">TEXT(A76, "MM-YYYY")</f>
        <v>06-2026</v>
      </c>
      <c r="C76" s="39" t="s">
        <v>765</v>
      </c>
      <c r="D76" s="36" t="s">
        <v>755</v>
      </c>
      <c r="E76" s="36" t="s">
        <v>531</v>
      </c>
      <c r="F76" s="37" t="s">
        <v>10</v>
      </c>
      <c r="G76" s="29" t="b">
        <v>1</v>
      </c>
      <c r="H76" s="36" t="s">
        <v>214</v>
      </c>
      <c r="I76" s="36" t="s">
        <v>757</v>
      </c>
      <c r="J76" s="39">
        <v>3.1101125E8</v>
      </c>
      <c r="K76" s="40">
        <v>46240.0</v>
      </c>
      <c r="L76" s="37" t="s">
        <v>194</v>
      </c>
      <c r="M76" s="37" t="s">
        <v>194</v>
      </c>
      <c r="N76" s="37" t="s">
        <v>194</v>
      </c>
      <c r="O76" s="37" t="s">
        <v>194</v>
      </c>
      <c r="P76" s="37" t="s">
        <v>223</v>
      </c>
      <c r="Q76" s="37" t="s">
        <v>224</v>
      </c>
      <c r="R76" s="41">
        <v>46218.0</v>
      </c>
      <c r="S76" s="42">
        <v>0.0</v>
      </c>
      <c r="T76" s="44" t="s">
        <v>755</v>
      </c>
      <c r="U76" s="45" t="str">
        <f>IF(records[Type]="Room",records[roomNo],records[roomNo]&amp;"-"&amp;SUBSTITUTE(RIGHT(records[roomNo]&amp;records[Type],2),"-",""))</f>
        <v>16-1-076-M</v>
      </c>
      <c r="V76" s="47" t="str">
        <f t="array" ref="V76">_xlfn.XLOOKUP(records[ID], dAir[roomNo], dAir[roomName])</f>
        <v>FILLING 2 (Machine)</v>
      </c>
      <c r="W76" s="47" t="str">
        <f t="array" ref="W76">_xlfn.XLOOKUP(records[ID], dAir[roomNo], dAir[building])</f>
        <v>Building 16</v>
      </c>
      <c r="X76" s="47" t="str">
        <f t="array" ref="X76">_xlfn.XLOOKUP(records[ID], dAir[roomNo], dAir[floor])</f>
        <v>Floor 1</v>
      </c>
      <c r="Y76" s="45" t="str">
        <f t="array" ref="Y76">_xlfn.XLOOKUP(records[ID], dAir[roomNo], dAir[Class])</f>
        <v>A</v>
      </c>
      <c r="Z76" s="45">
        <f t="array" ref="Z76">_xlfn.XLOOKUP(records[Method]&amp;"-"&amp;records[Class], dAirSpec[ID], dAirSpec[Spec])</f>
        <v>0</v>
      </c>
      <c r="AA76" s="45" t="str">
        <f t="array" ref="AA76">_xlfn.XLOOKUP(records[Method]&amp;"-"&amp;records[Class], dAirSpec[ID], dAirSpec[Unit])</f>
        <v>cfu/m3</v>
      </c>
      <c r="AB76" s="45">
        <f t="array" ref="AB76">if(S76="","", if(records[Method]="Active Air",_xlfn.xlookup(records[ColonyCount]&amp;records[AirSampler],feller[code],feller[Vc]),records[ColonyCount]))</f>
        <v>0</v>
      </c>
      <c r="AC76" s="60" t="b">
        <f t="shared" si="1"/>
        <v>1</v>
      </c>
      <c r="AD76" s="61" t="b">
        <v>0</v>
      </c>
      <c r="AE76" s="32" t="s">
        <v>235</v>
      </c>
      <c r="AF76" s="46"/>
      <c r="AG76" s="46"/>
      <c r="AH76" s="46"/>
      <c r="AI76" s="46"/>
      <c r="AJ76" s="46"/>
    </row>
    <row r="77" ht="22.5" customHeight="1">
      <c r="A77" s="27">
        <v>46180.0</v>
      </c>
      <c r="B77" s="34" t="str">
        <f t="array" ref="B77">TEXT(A77, "MM-YYYY")</f>
        <v>06-2026</v>
      </c>
      <c r="C77" s="39" t="s">
        <v>765</v>
      </c>
      <c r="D77" s="36" t="s">
        <v>770</v>
      </c>
      <c r="E77" s="36" t="s">
        <v>531</v>
      </c>
      <c r="F77" s="37" t="s">
        <v>10</v>
      </c>
      <c r="G77" s="29" t="b">
        <v>1</v>
      </c>
      <c r="H77" s="36" t="s">
        <v>214</v>
      </c>
      <c r="I77" s="36" t="s">
        <v>757</v>
      </c>
      <c r="J77" s="39">
        <v>3.1101125E8</v>
      </c>
      <c r="K77" s="40">
        <v>46240.0</v>
      </c>
      <c r="L77" s="37" t="s">
        <v>194</v>
      </c>
      <c r="M77" s="37" t="s">
        <v>194</v>
      </c>
      <c r="N77" s="37" t="s">
        <v>194</v>
      </c>
      <c r="O77" s="37" t="s">
        <v>194</v>
      </c>
      <c r="P77" s="37" t="s">
        <v>223</v>
      </c>
      <c r="Q77" s="37" t="s">
        <v>224</v>
      </c>
      <c r="R77" s="41">
        <v>46218.0</v>
      </c>
      <c r="S77" s="42">
        <v>0.0</v>
      </c>
      <c r="T77" s="44" t="s">
        <v>770</v>
      </c>
      <c r="U77" s="45" t="str">
        <f>IF(records[Type]="Room",records[roomNo],records[roomNo]&amp;"-"&amp;SUBSTITUTE(RIGHT(records[roomNo]&amp;records[Type],2),"-",""))</f>
        <v>16-1-076-L</v>
      </c>
      <c r="V77" s="47" t="str">
        <f t="array" ref="V77">_xlfn.XLOOKUP(records[ID], dAir[roomNo], dAir[roomName])</f>
        <v>FILLING 2 (Laminar)</v>
      </c>
      <c r="W77" s="47" t="str">
        <f t="array" ref="W77">_xlfn.XLOOKUP(records[ID], dAir[roomNo], dAir[building])</f>
        <v>Building 16</v>
      </c>
      <c r="X77" s="47" t="str">
        <f t="array" ref="X77">_xlfn.XLOOKUP(records[ID], dAir[roomNo], dAir[floor])</f>
        <v>Floor 1</v>
      </c>
      <c r="Y77" s="45" t="str">
        <f t="array" ref="Y77">_xlfn.XLOOKUP(records[ID], dAir[roomNo], dAir[Class])</f>
        <v>A</v>
      </c>
      <c r="Z77" s="45">
        <f t="array" ref="Z77">_xlfn.XLOOKUP(records[Method]&amp;"-"&amp;records[Class], dAirSpec[ID], dAirSpec[Spec])</f>
        <v>0</v>
      </c>
      <c r="AA77" s="45" t="str">
        <f t="array" ref="AA77">_xlfn.XLOOKUP(records[Method]&amp;"-"&amp;records[Class], dAirSpec[ID], dAirSpec[Unit])</f>
        <v>cfu/m3</v>
      </c>
      <c r="AB77" s="45">
        <f t="array" ref="AB77">if(S77="","", if(records[Method]="Active Air",_xlfn.xlookup(records[ColonyCount]&amp;records[AirSampler],feller[code],feller[Vc]),records[ColonyCount]))</f>
        <v>0</v>
      </c>
      <c r="AC77" s="60" t="b">
        <f t="shared" si="1"/>
        <v>1</v>
      </c>
      <c r="AD77" s="61" t="b">
        <v>0</v>
      </c>
      <c r="AE77" s="32" t="s">
        <v>235</v>
      </c>
      <c r="AF77" s="46"/>
      <c r="AG77" s="46"/>
      <c r="AH77" s="46"/>
      <c r="AI77" s="46"/>
      <c r="AJ77" s="46"/>
    </row>
    <row r="78" ht="22.5" customHeight="1">
      <c r="A78" s="27">
        <v>46180.0</v>
      </c>
      <c r="B78" s="34" t="str">
        <f t="array" ref="B78">TEXT(A78, "MM-YYYY")</f>
        <v>06-2026</v>
      </c>
      <c r="C78" s="39" t="s">
        <v>765</v>
      </c>
      <c r="D78" s="36" t="s">
        <v>210</v>
      </c>
      <c r="E78" s="36" t="s">
        <v>531</v>
      </c>
      <c r="F78" s="37" t="s">
        <v>10</v>
      </c>
      <c r="G78" s="29" t="b">
        <v>1</v>
      </c>
      <c r="H78" s="36" t="s">
        <v>214</v>
      </c>
      <c r="I78" s="36" t="s">
        <v>757</v>
      </c>
      <c r="J78" s="39">
        <v>3.1101125E8</v>
      </c>
      <c r="K78" s="40">
        <v>46240.0</v>
      </c>
      <c r="L78" s="37" t="s">
        <v>194</v>
      </c>
      <c r="M78" s="37" t="s">
        <v>194</v>
      </c>
      <c r="N78" s="37" t="s">
        <v>194</v>
      </c>
      <c r="O78" s="37" t="s">
        <v>194</v>
      </c>
      <c r="P78" s="37" t="s">
        <v>223</v>
      </c>
      <c r="Q78" s="37" t="s">
        <v>224</v>
      </c>
      <c r="R78" s="41">
        <v>46218.0</v>
      </c>
      <c r="S78" s="42">
        <v>0.0</v>
      </c>
      <c r="T78" s="44" t="s">
        <v>194</v>
      </c>
      <c r="U78" s="45" t="str">
        <f>IF(records[Type]="Room",records[roomNo],records[roomNo]&amp;"-"&amp;SUBSTITUTE(RIGHT(records[roomNo]&amp;records[Type],2),"-",""))</f>
        <v>16-1-076</v>
      </c>
      <c r="V78" s="47" t="str">
        <f t="array" ref="V78">_xlfn.XLOOKUP(records[ID], dAir[roomNo], dAir[roomName])</f>
        <v>FILLING 2</v>
      </c>
      <c r="W78" s="47" t="str">
        <f t="array" ref="W78">_xlfn.XLOOKUP(records[ID], dAir[roomNo], dAir[building])</f>
        <v>Building 16</v>
      </c>
      <c r="X78" s="47" t="str">
        <f t="array" ref="X78">_xlfn.XLOOKUP(records[ID], dAir[roomNo], dAir[floor])</f>
        <v>Floor 1</v>
      </c>
      <c r="Y78" s="45" t="str">
        <f t="array" ref="Y78">_xlfn.XLOOKUP(records[ID], dAir[roomNo], dAir[Class])</f>
        <v>C</v>
      </c>
      <c r="Z78" s="45">
        <f t="array" ref="Z78">_xlfn.XLOOKUP(records[Method]&amp;"-"&amp;records[Class], dAirSpec[ID], dAirSpec[Spec])</f>
        <v>100</v>
      </c>
      <c r="AA78" s="45" t="str">
        <f t="array" ref="AA78">_xlfn.XLOOKUP(records[Method]&amp;"-"&amp;records[Class], dAirSpec[ID], dAirSpec[Unit])</f>
        <v>cfu/m3</v>
      </c>
      <c r="AB78" s="45">
        <f t="array" ref="AB78">if(S78="","", if(records[Method]="Active Air",_xlfn.xlookup(records[ColonyCount]&amp;records[AirSampler],feller[code],feller[Vc]),records[ColonyCount]))</f>
        <v>0</v>
      </c>
      <c r="AC78" s="60" t="b">
        <f t="shared" si="1"/>
        <v>1</v>
      </c>
      <c r="AD78" s="61" t="b">
        <v>0</v>
      </c>
      <c r="AE78" s="32" t="s">
        <v>235</v>
      </c>
      <c r="AF78" s="46"/>
      <c r="AG78" s="46"/>
      <c r="AH78" s="46"/>
      <c r="AI78" s="46"/>
      <c r="AJ78" s="46"/>
    </row>
    <row r="79" ht="22.5" customHeight="1">
      <c r="A79" s="27">
        <v>46180.0</v>
      </c>
      <c r="B79" s="34" t="str">
        <f t="array" ref="B79">TEXT(A79, "MM-YYYY")</f>
        <v>06-2026</v>
      </c>
      <c r="C79" s="39" t="s">
        <v>729</v>
      </c>
      <c r="D79" s="36" t="s">
        <v>210</v>
      </c>
      <c r="E79" s="36" t="s">
        <v>531</v>
      </c>
      <c r="F79" s="37" t="s">
        <v>10</v>
      </c>
      <c r="G79" s="29" t="b">
        <v>1</v>
      </c>
      <c r="H79" s="36" t="s">
        <v>214</v>
      </c>
      <c r="I79" s="36" t="s">
        <v>534</v>
      </c>
      <c r="J79" s="39"/>
      <c r="K79" s="40"/>
      <c r="L79" s="37" t="s">
        <v>194</v>
      </c>
      <c r="M79" s="37" t="s">
        <v>194</v>
      </c>
      <c r="N79" s="37" t="s">
        <v>194</v>
      </c>
      <c r="O79" s="37" t="s">
        <v>194</v>
      </c>
      <c r="P79" s="37" t="s">
        <v>223</v>
      </c>
      <c r="Q79" s="37" t="s">
        <v>224</v>
      </c>
      <c r="R79" s="41">
        <v>46218.0</v>
      </c>
      <c r="S79" s="42">
        <v>7.0</v>
      </c>
      <c r="T79" s="44" t="s">
        <v>194</v>
      </c>
      <c r="U79" s="45" t="str">
        <f>IF(records[Type]="Room",records[roomNo],records[roomNo]&amp;"-"&amp;SUBSTITUTE(RIGHT(records[roomNo]&amp;records[Type],2),"-",""))</f>
        <v>16-1-077</v>
      </c>
      <c r="V79" s="47" t="str">
        <f t="array" ref="V79">_xlfn.XLOOKUP(records[ID], dAir[roomNo], dAir[roomName])</f>
        <v>FILTRATION 2</v>
      </c>
      <c r="W79" s="47" t="str">
        <f t="array" ref="W79">_xlfn.XLOOKUP(records[ID], dAir[roomNo], dAir[building])</f>
        <v>Building 16</v>
      </c>
      <c r="X79" s="47" t="str">
        <f t="array" ref="X79">_xlfn.XLOOKUP(records[ID], dAir[roomNo], dAir[floor])</f>
        <v>Floor 1</v>
      </c>
      <c r="Y79" s="45" t="str">
        <f t="array" ref="Y79">_xlfn.XLOOKUP(records[ID], dAir[roomNo], dAir[Class])</f>
        <v>C</v>
      </c>
      <c r="Z79" s="45">
        <f t="array" ref="Z79">_xlfn.XLOOKUP(records[Method]&amp;"-"&amp;records[Class], dAirSpec[ID], dAirSpec[Spec])</f>
        <v>100</v>
      </c>
      <c r="AA79" s="45" t="str">
        <f t="array" ref="AA79">_xlfn.XLOOKUP(records[Method]&amp;"-"&amp;records[Class], dAirSpec[ID], dAirSpec[Unit])</f>
        <v>cfu/m3</v>
      </c>
      <c r="AB79" s="45">
        <f t="array" ref="AB79">if(S79="","", if(records[Method]="Active Air",_xlfn.xlookup(records[ColonyCount]&amp;records[AirSampler],feller[code],feller[Vc]),records[ColonyCount]))</f>
        <v>7</v>
      </c>
      <c r="AC79" s="60" t="b">
        <f t="shared" si="1"/>
        <v>1</v>
      </c>
      <c r="AD79" s="61" t="b">
        <v>0</v>
      </c>
      <c r="AE79" s="32" t="s">
        <v>235</v>
      </c>
      <c r="AF79" s="46"/>
      <c r="AG79" s="46"/>
      <c r="AH79" s="46"/>
      <c r="AI79" s="46"/>
      <c r="AJ79" s="46"/>
    </row>
    <row r="80" ht="22.5" customHeight="1">
      <c r="A80" s="27">
        <v>46180.0</v>
      </c>
      <c r="B80" s="34" t="str">
        <f t="array" ref="B80">TEXT(A80, "MM-YYYY")</f>
        <v>06-2026</v>
      </c>
      <c r="C80" s="39" t="s">
        <v>1041</v>
      </c>
      <c r="D80" s="36" t="s">
        <v>210</v>
      </c>
      <c r="E80" s="36" t="s">
        <v>531</v>
      </c>
      <c r="F80" s="37" t="s">
        <v>10</v>
      </c>
      <c r="G80" s="29" t="b">
        <v>1</v>
      </c>
      <c r="H80" s="36" t="s">
        <v>214</v>
      </c>
      <c r="I80" s="36" t="s">
        <v>203</v>
      </c>
      <c r="J80" s="39"/>
      <c r="K80" s="40"/>
      <c r="L80" s="37" t="s">
        <v>194</v>
      </c>
      <c r="M80" s="37" t="s">
        <v>194</v>
      </c>
      <c r="N80" s="37" t="s">
        <v>194</v>
      </c>
      <c r="O80" s="37" t="s">
        <v>194</v>
      </c>
      <c r="P80" s="37" t="s">
        <v>223</v>
      </c>
      <c r="Q80" s="37" t="s">
        <v>224</v>
      </c>
      <c r="R80" s="41">
        <v>46218.0</v>
      </c>
      <c r="S80" s="42">
        <v>32.0</v>
      </c>
      <c r="T80" s="29" t="s">
        <v>1043</v>
      </c>
      <c r="U80" s="45" t="str">
        <f>IF(records[Type]="Room",records[roomNo],records[roomNo]&amp;"-"&amp;SUBSTITUTE(RIGHT(records[roomNo]&amp;records[Type],2),"-",""))</f>
        <v>16-1-078</v>
      </c>
      <c r="V80" s="47" t="str">
        <f t="array" ref="V80">_xlfn.XLOOKUP(records[ID], dAir[roomNo], dAir[roomName])</f>
        <v>PASSAGE</v>
      </c>
      <c r="W80" s="47" t="str">
        <f t="array" ref="W80">_xlfn.XLOOKUP(records[ID], dAir[roomNo], dAir[building])</f>
        <v>Building 16</v>
      </c>
      <c r="X80" s="47" t="str">
        <f t="array" ref="X80">_xlfn.XLOOKUP(records[ID], dAir[roomNo], dAir[floor])</f>
        <v>Floor 1</v>
      </c>
      <c r="Y80" s="45" t="str">
        <f t="array" ref="Y80">_xlfn.XLOOKUP(records[ID], dAir[roomNo], dAir[Class])</f>
        <v>C</v>
      </c>
      <c r="Z80" s="45">
        <f t="array" ref="Z80">_xlfn.XLOOKUP(records[Method]&amp;"-"&amp;records[Class], dAirSpec[ID], dAirSpec[Spec])</f>
        <v>100</v>
      </c>
      <c r="AA80" s="45" t="str">
        <f t="array" ref="AA80">_xlfn.XLOOKUP(records[Method]&amp;"-"&amp;records[Class], dAirSpec[ID], dAirSpec[Unit])</f>
        <v>cfu/m3</v>
      </c>
      <c r="AB80" s="45">
        <f t="array" ref="AB80">if(S80="","", if(records[Method]="Active Air",_xlfn.xlookup(records[ColonyCount]&amp;records[AirSampler],feller[code],feller[Vc]),records[ColonyCount]))</f>
        <v>32</v>
      </c>
      <c r="AC80" s="60" t="b">
        <f t="shared" si="1"/>
        <v>1</v>
      </c>
      <c r="AD80" s="61" t="b">
        <v>0</v>
      </c>
      <c r="AE80" s="32" t="s">
        <v>235</v>
      </c>
      <c r="AF80" s="46"/>
      <c r="AG80" s="46"/>
      <c r="AH80" s="46"/>
      <c r="AI80" s="46"/>
      <c r="AJ80" s="46"/>
    </row>
    <row r="81" ht="22.5" customHeight="1">
      <c r="A81" s="27">
        <v>46180.0</v>
      </c>
      <c r="B81" s="34" t="str">
        <f t="array" ref="B81">TEXT(A81, "MM-YYYY")</f>
        <v>06-2026</v>
      </c>
      <c r="C81" s="39" t="s">
        <v>1047</v>
      </c>
      <c r="D81" s="36" t="s">
        <v>210</v>
      </c>
      <c r="E81" s="36" t="s">
        <v>531</v>
      </c>
      <c r="F81" s="37" t="s">
        <v>10</v>
      </c>
      <c r="G81" s="29" t="b">
        <v>1</v>
      </c>
      <c r="H81" s="36" t="s">
        <v>214</v>
      </c>
      <c r="I81" s="36" t="s">
        <v>534</v>
      </c>
      <c r="J81" s="39"/>
      <c r="K81" s="40"/>
      <c r="L81" s="37" t="s">
        <v>194</v>
      </c>
      <c r="M81" s="37" t="s">
        <v>194</v>
      </c>
      <c r="N81" s="37" t="s">
        <v>194</v>
      </c>
      <c r="O81" s="37" t="s">
        <v>194</v>
      </c>
      <c r="P81" s="37" t="s">
        <v>223</v>
      </c>
      <c r="Q81" s="37" t="s">
        <v>224</v>
      </c>
      <c r="R81" s="41">
        <v>46218.0</v>
      </c>
      <c r="S81" s="42">
        <v>2.0</v>
      </c>
      <c r="T81" s="44" t="s">
        <v>194</v>
      </c>
      <c r="U81" s="45" t="str">
        <f>IF(records[Type]="Room",records[roomNo],records[roomNo]&amp;"-"&amp;SUBSTITUTE(RIGHT(records[roomNo]&amp;records[Type],2),"-",""))</f>
        <v>16-1-079</v>
      </c>
      <c r="V81" s="47" t="str">
        <f t="array" ref="V81">_xlfn.XLOOKUP(records[ID], dAir[roomNo], dAir[roomName])</f>
        <v>COOLING ZONE</v>
      </c>
      <c r="W81" s="47" t="str">
        <f t="array" ref="W81">_xlfn.XLOOKUP(records[ID], dAir[roomNo], dAir[building])</f>
        <v>Building 16</v>
      </c>
      <c r="X81" s="47" t="str">
        <f t="array" ref="X81">_xlfn.XLOOKUP(records[ID], dAir[roomNo], dAir[floor])</f>
        <v>Floor 1</v>
      </c>
      <c r="Y81" s="45" t="str">
        <f t="array" ref="Y81">_xlfn.XLOOKUP(records[ID], dAir[roomNo], dAir[Class])</f>
        <v>C</v>
      </c>
      <c r="Z81" s="45">
        <f t="array" ref="Z81">_xlfn.XLOOKUP(records[Method]&amp;"-"&amp;records[Class], dAirSpec[ID], dAirSpec[Spec])</f>
        <v>100</v>
      </c>
      <c r="AA81" s="45" t="str">
        <f t="array" ref="AA81">_xlfn.XLOOKUP(records[Method]&amp;"-"&amp;records[Class], dAirSpec[ID], dAirSpec[Unit])</f>
        <v>cfu/m3</v>
      </c>
      <c r="AB81" s="45">
        <f t="array" ref="AB81">if(S81="","", if(records[Method]="Active Air",_xlfn.xlookup(records[ColonyCount]&amp;records[AirSampler],feller[code],feller[Vc]),records[ColonyCount]))</f>
        <v>2</v>
      </c>
      <c r="AC81" s="60" t="b">
        <f t="shared" si="1"/>
        <v>1</v>
      </c>
      <c r="AD81" s="61" t="b">
        <v>0</v>
      </c>
      <c r="AE81" s="32" t="s">
        <v>235</v>
      </c>
      <c r="AF81" s="46"/>
      <c r="AG81" s="46"/>
      <c r="AH81" s="46"/>
      <c r="AI81" s="46"/>
      <c r="AJ81" s="46"/>
    </row>
    <row r="82" ht="22.5" customHeight="1">
      <c r="A82" s="27">
        <v>46180.0</v>
      </c>
      <c r="B82" s="34" t="str">
        <f t="array" ref="B82">TEXT(A82, "MM-YYYY")</f>
        <v>06-2026</v>
      </c>
      <c r="C82" s="39" t="s">
        <v>1052</v>
      </c>
      <c r="D82" s="36" t="s">
        <v>210</v>
      </c>
      <c r="E82" s="36" t="s">
        <v>531</v>
      </c>
      <c r="F82" s="37" t="s">
        <v>10</v>
      </c>
      <c r="G82" s="29" t="b">
        <v>1</v>
      </c>
      <c r="H82" s="36" t="s">
        <v>214</v>
      </c>
      <c r="I82" s="36" t="s">
        <v>534</v>
      </c>
      <c r="J82" s="39"/>
      <c r="K82" s="40"/>
      <c r="L82" s="37" t="s">
        <v>194</v>
      </c>
      <c r="M82" s="37" t="s">
        <v>194</v>
      </c>
      <c r="N82" s="37" t="s">
        <v>194</v>
      </c>
      <c r="O82" s="37" t="s">
        <v>194</v>
      </c>
      <c r="P82" s="37" t="s">
        <v>223</v>
      </c>
      <c r="Q82" s="37" t="s">
        <v>224</v>
      </c>
      <c r="R82" s="41">
        <v>46218.0</v>
      </c>
      <c r="S82" s="42">
        <v>8.0</v>
      </c>
      <c r="T82" s="44" t="s">
        <v>194</v>
      </c>
      <c r="U82" s="45" t="str">
        <f>IF(records[Type]="Room",records[roomNo],records[roomNo]&amp;"-"&amp;SUBSTITUTE(RIGHT(records[roomNo]&amp;records[Type],2),"-",""))</f>
        <v>16-1-080</v>
      </c>
      <c r="V82" s="47" t="str">
        <f t="array" ref="V82">_xlfn.XLOOKUP(records[ID], dAir[roomNo], dAir[roomName])</f>
        <v>TOOL STORAGE</v>
      </c>
      <c r="W82" s="47" t="str">
        <f t="array" ref="W82">_xlfn.XLOOKUP(records[ID], dAir[roomNo], dAir[building])</f>
        <v>Building 16</v>
      </c>
      <c r="X82" s="47" t="str">
        <f t="array" ref="X82">_xlfn.XLOOKUP(records[ID], dAir[roomNo], dAir[floor])</f>
        <v>Floor 1</v>
      </c>
      <c r="Y82" s="45" t="str">
        <f t="array" ref="Y82">_xlfn.XLOOKUP(records[ID], dAir[roomNo], dAir[Class])</f>
        <v>C</v>
      </c>
      <c r="Z82" s="45">
        <f t="array" ref="Z82">_xlfn.XLOOKUP(records[Method]&amp;"-"&amp;records[Class], dAirSpec[ID], dAirSpec[Spec])</f>
        <v>100</v>
      </c>
      <c r="AA82" s="45" t="str">
        <f t="array" ref="AA82">_xlfn.XLOOKUP(records[Method]&amp;"-"&amp;records[Class], dAirSpec[ID], dAirSpec[Unit])</f>
        <v>cfu/m3</v>
      </c>
      <c r="AB82" s="45">
        <f t="array" ref="AB82">if(S82="","", if(records[Method]="Active Air",_xlfn.xlookup(records[ColonyCount]&amp;records[AirSampler],feller[code],feller[Vc]),records[ColonyCount]))</f>
        <v>8</v>
      </c>
      <c r="AC82" s="60" t="b">
        <f t="shared" si="1"/>
        <v>1</v>
      </c>
      <c r="AD82" s="61" t="b">
        <v>0</v>
      </c>
      <c r="AE82" s="32" t="s">
        <v>235</v>
      </c>
      <c r="AF82" s="46"/>
      <c r="AG82" s="46"/>
      <c r="AH82" s="46"/>
      <c r="AI82" s="46"/>
      <c r="AJ82" s="46"/>
    </row>
    <row r="83" ht="22.5" customHeight="1">
      <c r="A83" s="27">
        <v>46180.0</v>
      </c>
      <c r="B83" s="34" t="str">
        <f t="array" ref="B83">TEXT(A83, "MM-YYYY")</f>
        <v>06-2026</v>
      </c>
      <c r="C83" s="39" t="s">
        <v>1068</v>
      </c>
      <c r="D83" s="36" t="s">
        <v>210</v>
      </c>
      <c r="E83" s="36" t="s">
        <v>531</v>
      </c>
      <c r="F83" s="37" t="s">
        <v>10</v>
      </c>
      <c r="G83" s="29" t="b">
        <v>1</v>
      </c>
      <c r="H83" s="36" t="s">
        <v>214</v>
      </c>
      <c r="I83" s="36" t="s">
        <v>534</v>
      </c>
      <c r="J83" s="39"/>
      <c r="K83" s="40"/>
      <c r="L83" s="37" t="s">
        <v>194</v>
      </c>
      <c r="M83" s="37" t="s">
        <v>194</v>
      </c>
      <c r="N83" s="37" t="s">
        <v>194</v>
      </c>
      <c r="O83" s="37" t="s">
        <v>194</v>
      </c>
      <c r="P83" s="37" t="s">
        <v>223</v>
      </c>
      <c r="Q83" s="37" t="s">
        <v>224</v>
      </c>
      <c r="R83" s="41">
        <v>46218.0</v>
      </c>
      <c r="S83" s="42">
        <v>4.0</v>
      </c>
      <c r="T83" s="44" t="s">
        <v>194</v>
      </c>
      <c r="U83" s="45" t="str">
        <f>IF(records[Type]="Room",records[roomNo],records[roomNo]&amp;"-"&amp;SUBSTITUTE(RIGHT(records[roomNo]&amp;records[Type],2),"-",""))</f>
        <v>16-1-081</v>
      </c>
      <c r="V83" s="47" t="str">
        <f t="array" ref="V83">_xlfn.XLOOKUP(records[ID], dAir[roomNo], dAir[roomName])</f>
        <v>AIRLOCK</v>
      </c>
      <c r="W83" s="47" t="str">
        <f t="array" ref="W83">_xlfn.XLOOKUP(records[ID], dAir[roomNo], dAir[building])</f>
        <v>Building 16</v>
      </c>
      <c r="X83" s="47" t="str">
        <f t="array" ref="X83">_xlfn.XLOOKUP(records[ID], dAir[roomNo], dAir[floor])</f>
        <v>Floor 1</v>
      </c>
      <c r="Y83" s="45" t="str">
        <f t="array" ref="Y83">_xlfn.XLOOKUP(records[ID], dAir[roomNo], dAir[Class])</f>
        <v>C</v>
      </c>
      <c r="Z83" s="45">
        <f t="array" ref="Z83">_xlfn.XLOOKUP(records[Method]&amp;"-"&amp;records[Class], dAirSpec[ID], dAirSpec[Spec])</f>
        <v>100</v>
      </c>
      <c r="AA83" s="45" t="str">
        <f t="array" ref="AA83">_xlfn.XLOOKUP(records[Method]&amp;"-"&amp;records[Class], dAirSpec[ID], dAirSpec[Unit])</f>
        <v>cfu/m3</v>
      </c>
      <c r="AB83" s="45">
        <f t="array" ref="AB83">if(S83="","", if(records[Method]="Active Air",_xlfn.xlookup(records[ColonyCount]&amp;records[AirSampler],feller[code],feller[Vc]),records[ColonyCount]))</f>
        <v>4</v>
      </c>
      <c r="AC83" s="60" t="b">
        <f t="shared" si="1"/>
        <v>1</v>
      </c>
      <c r="AD83" s="61" t="b">
        <v>0</v>
      </c>
      <c r="AE83" s="32" t="s">
        <v>235</v>
      </c>
      <c r="AF83" s="46"/>
      <c r="AG83" s="46"/>
      <c r="AH83" s="46"/>
      <c r="AI83" s="46"/>
      <c r="AJ83" s="46"/>
    </row>
    <row r="84" ht="22.5" customHeight="1">
      <c r="A84" s="27">
        <v>46180.0</v>
      </c>
      <c r="B84" s="34" t="str">
        <f t="array" ref="B84">TEXT(A84, "MM-YYYY")</f>
        <v>06-2026</v>
      </c>
      <c r="C84" s="39" t="s">
        <v>736</v>
      </c>
      <c r="D84" s="36" t="s">
        <v>210</v>
      </c>
      <c r="E84" s="36" t="s">
        <v>531</v>
      </c>
      <c r="F84" s="37" t="s">
        <v>10</v>
      </c>
      <c r="G84" s="29" t="b">
        <v>1</v>
      </c>
      <c r="H84" s="36" t="s">
        <v>214</v>
      </c>
      <c r="I84" s="36" t="s">
        <v>534</v>
      </c>
      <c r="J84" s="39"/>
      <c r="K84" s="40"/>
      <c r="L84" s="37" t="s">
        <v>194</v>
      </c>
      <c r="M84" s="37" t="s">
        <v>194</v>
      </c>
      <c r="N84" s="37" t="s">
        <v>194</v>
      </c>
      <c r="O84" s="37" t="s">
        <v>194</v>
      </c>
      <c r="P84" s="37" t="s">
        <v>223</v>
      </c>
      <c r="Q84" s="37" t="s">
        <v>224</v>
      </c>
      <c r="R84" s="41">
        <v>46218.0</v>
      </c>
      <c r="S84" s="42">
        <v>0.0</v>
      </c>
      <c r="T84" s="44" t="s">
        <v>194</v>
      </c>
      <c r="U84" s="45" t="str">
        <f>IF(records[Type]="Room",records[roomNo],records[roomNo]&amp;"-"&amp;SUBSTITUTE(RIGHT(records[roomNo]&amp;records[Type],2),"-",""))</f>
        <v>16-1-082</v>
      </c>
      <c r="V84" s="47" t="str">
        <f t="array" ref="V84">_xlfn.XLOOKUP(records[ID], dAir[roomNo], dAir[roomName])</f>
        <v>WASHING</v>
      </c>
      <c r="W84" s="47" t="str">
        <f t="array" ref="W84">_xlfn.XLOOKUP(records[ID], dAir[roomNo], dAir[building])</f>
        <v>Building 16</v>
      </c>
      <c r="X84" s="47" t="str">
        <f t="array" ref="X84">_xlfn.XLOOKUP(records[ID], dAir[roomNo], dAir[floor])</f>
        <v>Floor 1</v>
      </c>
      <c r="Y84" s="45" t="str">
        <f t="array" ref="Y84">_xlfn.XLOOKUP(records[ID], dAir[roomNo], dAir[Class])</f>
        <v>C</v>
      </c>
      <c r="Z84" s="45">
        <f t="array" ref="Z84">_xlfn.XLOOKUP(records[Method]&amp;"-"&amp;records[Class], dAirSpec[ID], dAirSpec[Spec])</f>
        <v>100</v>
      </c>
      <c r="AA84" s="45" t="str">
        <f t="array" ref="AA84">_xlfn.XLOOKUP(records[Method]&amp;"-"&amp;records[Class], dAirSpec[ID], dAirSpec[Unit])</f>
        <v>cfu/m3</v>
      </c>
      <c r="AB84" s="45">
        <f t="array" ref="AB84">if(S84="","", if(records[Method]="Active Air",_xlfn.xlookup(records[ColonyCount]&amp;records[AirSampler],feller[code],feller[Vc]),records[ColonyCount]))</f>
        <v>0</v>
      </c>
      <c r="AC84" s="60" t="b">
        <f t="shared" si="1"/>
        <v>1</v>
      </c>
      <c r="AD84" s="61" t="b">
        <v>0</v>
      </c>
      <c r="AE84" s="32" t="s">
        <v>235</v>
      </c>
      <c r="AF84" s="46"/>
      <c r="AG84" s="46"/>
      <c r="AH84" s="46"/>
      <c r="AI84" s="46"/>
      <c r="AJ84" s="46"/>
    </row>
    <row r="85" ht="22.5" customHeight="1">
      <c r="A85" s="27">
        <v>46180.0</v>
      </c>
      <c r="B85" s="34" t="str">
        <f t="array" ref="B85">TEXT(A85, "MM-YYYY")</f>
        <v>06-2026</v>
      </c>
      <c r="C85" s="39" t="s">
        <v>740</v>
      </c>
      <c r="D85" s="36" t="s">
        <v>210</v>
      </c>
      <c r="E85" s="36" t="s">
        <v>531</v>
      </c>
      <c r="F85" s="37" t="s">
        <v>10</v>
      </c>
      <c r="G85" s="29" t="b">
        <v>1</v>
      </c>
      <c r="H85" s="36" t="s">
        <v>214</v>
      </c>
      <c r="I85" s="36" t="s">
        <v>534</v>
      </c>
      <c r="J85" s="39"/>
      <c r="K85" s="40"/>
      <c r="L85" s="37" t="s">
        <v>194</v>
      </c>
      <c r="M85" s="37" t="s">
        <v>194</v>
      </c>
      <c r="N85" s="37" t="s">
        <v>194</v>
      </c>
      <c r="O85" s="37" t="s">
        <v>194</v>
      </c>
      <c r="P85" s="37" t="s">
        <v>223</v>
      </c>
      <c r="Q85" s="37" t="s">
        <v>224</v>
      </c>
      <c r="R85" s="41">
        <v>46218.0</v>
      </c>
      <c r="S85" s="42">
        <v>4.0</v>
      </c>
      <c r="T85" s="44" t="s">
        <v>194</v>
      </c>
      <c r="U85" s="45" t="str">
        <f>IF(records[Type]="Room",records[roomNo],records[roomNo]&amp;"-"&amp;SUBSTITUTE(RIGHT(records[roomNo]&amp;records[Type],2),"-",""))</f>
        <v>16-1-083</v>
      </c>
      <c r="V85" s="47" t="str">
        <f t="array" ref="V85">_xlfn.XLOOKUP(records[ID], dAir[roomNo], dAir[roomName])</f>
        <v>FILTRATION 1</v>
      </c>
      <c r="W85" s="47" t="str">
        <f t="array" ref="W85">_xlfn.XLOOKUP(records[ID], dAir[roomNo], dAir[building])</f>
        <v>Building 16</v>
      </c>
      <c r="X85" s="47" t="str">
        <f t="array" ref="X85">_xlfn.XLOOKUP(records[ID], dAir[roomNo], dAir[floor])</f>
        <v>Floor 1</v>
      </c>
      <c r="Y85" s="45" t="str">
        <f t="array" ref="Y85">_xlfn.XLOOKUP(records[ID], dAir[roomNo], dAir[Class])</f>
        <v>C</v>
      </c>
      <c r="Z85" s="45">
        <f t="array" ref="Z85">_xlfn.XLOOKUP(records[Method]&amp;"-"&amp;records[Class], dAirSpec[ID], dAirSpec[Spec])</f>
        <v>100</v>
      </c>
      <c r="AA85" s="45" t="str">
        <f t="array" ref="AA85">_xlfn.XLOOKUP(records[Method]&amp;"-"&amp;records[Class], dAirSpec[ID], dAirSpec[Unit])</f>
        <v>cfu/m3</v>
      </c>
      <c r="AB85" s="45">
        <f t="array" ref="AB85">if(S85="","", if(records[Method]="Active Air",_xlfn.xlookup(records[ColonyCount]&amp;records[AirSampler],feller[code],feller[Vc]),records[ColonyCount]))</f>
        <v>4</v>
      </c>
      <c r="AC85" s="60" t="b">
        <f t="shared" si="1"/>
        <v>1</v>
      </c>
      <c r="AD85" s="61" t="b">
        <v>0</v>
      </c>
      <c r="AE85" s="32" t="s">
        <v>235</v>
      </c>
      <c r="AF85" s="46"/>
      <c r="AG85" s="46"/>
      <c r="AH85" s="46"/>
      <c r="AI85" s="46"/>
      <c r="AJ85" s="46"/>
    </row>
    <row r="86" ht="22.5" customHeight="1">
      <c r="A86" s="27">
        <v>46180.0</v>
      </c>
      <c r="B86" s="34" t="str">
        <f t="array" ref="B86">TEXT(A86, "MM-YYYY")</f>
        <v>06-2026</v>
      </c>
      <c r="C86" s="39" t="s">
        <v>774</v>
      </c>
      <c r="D86" s="36" t="s">
        <v>755</v>
      </c>
      <c r="E86" s="36" t="s">
        <v>531</v>
      </c>
      <c r="F86" s="37" t="s">
        <v>10</v>
      </c>
      <c r="G86" s="29" t="b">
        <v>1</v>
      </c>
      <c r="H86" s="36" t="s">
        <v>214</v>
      </c>
      <c r="I86" s="36" t="s">
        <v>757</v>
      </c>
      <c r="J86" s="39">
        <v>3.1101125E8</v>
      </c>
      <c r="K86" s="40">
        <v>46240.0</v>
      </c>
      <c r="L86" s="37" t="s">
        <v>194</v>
      </c>
      <c r="M86" s="37" t="s">
        <v>194</v>
      </c>
      <c r="N86" s="37" t="s">
        <v>194</v>
      </c>
      <c r="O86" s="37" t="s">
        <v>194</v>
      </c>
      <c r="P86" s="37" t="s">
        <v>223</v>
      </c>
      <c r="Q86" s="37" t="s">
        <v>224</v>
      </c>
      <c r="R86" s="41">
        <v>46218.0</v>
      </c>
      <c r="S86" s="42">
        <v>0.0</v>
      </c>
      <c r="T86" s="44" t="s">
        <v>755</v>
      </c>
      <c r="U86" s="45" t="str">
        <f>IF(records[Type]="Room",records[roomNo],records[roomNo]&amp;"-"&amp;SUBSTITUTE(RIGHT(records[roomNo]&amp;records[Type],2),"-",""))</f>
        <v>16-1-084-M</v>
      </c>
      <c r="V86" s="47" t="str">
        <f t="array" ref="V86">_xlfn.XLOOKUP(records[ID], dAir[roomNo], dAir[roomName])</f>
        <v>FILLING 1 (Machine)</v>
      </c>
      <c r="W86" s="47" t="str">
        <f t="array" ref="W86">_xlfn.XLOOKUP(records[ID], dAir[roomNo], dAir[building])</f>
        <v>Building 16</v>
      </c>
      <c r="X86" s="47" t="str">
        <f t="array" ref="X86">_xlfn.XLOOKUP(records[ID], dAir[roomNo], dAir[floor])</f>
        <v>Floor 1</v>
      </c>
      <c r="Y86" s="45" t="str">
        <f t="array" ref="Y86">_xlfn.XLOOKUP(records[ID], dAir[roomNo], dAir[Class])</f>
        <v>A</v>
      </c>
      <c r="Z86" s="45">
        <f t="array" ref="Z86">_xlfn.XLOOKUP(records[Method]&amp;"-"&amp;records[Class], dAirSpec[ID], dAirSpec[Spec])</f>
        <v>0</v>
      </c>
      <c r="AA86" s="45" t="str">
        <f t="array" ref="AA86">_xlfn.XLOOKUP(records[Method]&amp;"-"&amp;records[Class], dAirSpec[ID], dAirSpec[Unit])</f>
        <v>cfu/m3</v>
      </c>
      <c r="AB86" s="45">
        <f t="array" ref="AB86">if(S86="","", if(records[Method]="Active Air",_xlfn.xlookup(records[ColonyCount]&amp;records[AirSampler],feller[code],feller[Vc]),records[ColonyCount]))</f>
        <v>0</v>
      </c>
      <c r="AC86" s="60" t="b">
        <f t="shared" si="1"/>
        <v>1</v>
      </c>
      <c r="AD86" s="61" t="b">
        <v>0</v>
      </c>
      <c r="AE86" s="32" t="s">
        <v>235</v>
      </c>
      <c r="AF86" s="46"/>
      <c r="AG86" s="46"/>
      <c r="AH86" s="46"/>
      <c r="AI86" s="46"/>
      <c r="AJ86" s="46"/>
    </row>
    <row r="87" ht="22.5" customHeight="1">
      <c r="A87" s="27">
        <v>46180.0</v>
      </c>
      <c r="B87" s="34" t="str">
        <f t="array" ref="B87">TEXT(A87, "MM-YYYY")</f>
        <v>06-2026</v>
      </c>
      <c r="C87" s="39" t="s">
        <v>774</v>
      </c>
      <c r="D87" s="36" t="s">
        <v>770</v>
      </c>
      <c r="E87" s="36" t="s">
        <v>531</v>
      </c>
      <c r="F87" s="37" t="s">
        <v>10</v>
      </c>
      <c r="G87" s="29" t="b">
        <v>1</v>
      </c>
      <c r="H87" s="36" t="s">
        <v>214</v>
      </c>
      <c r="I87" s="36" t="s">
        <v>757</v>
      </c>
      <c r="J87" s="39">
        <v>3.1101125E8</v>
      </c>
      <c r="K87" s="40">
        <v>46240.0</v>
      </c>
      <c r="L87" s="37" t="s">
        <v>194</v>
      </c>
      <c r="M87" s="37" t="s">
        <v>194</v>
      </c>
      <c r="N87" s="37" t="s">
        <v>194</v>
      </c>
      <c r="O87" s="37" t="s">
        <v>194</v>
      </c>
      <c r="P87" s="37" t="s">
        <v>223</v>
      </c>
      <c r="Q87" s="37" t="s">
        <v>224</v>
      </c>
      <c r="R87" s="41">
        <v>46218.0</v>
      </c>
      <c r="S87" s="42">
        <v>1.0</v>
      </c>
      <c r="T87" s="44" t="s">
        <v>770</v>
      </c>
      <c r="U87" s="45" t="str">
        <f>IF(records[Type]="Room",records[roomNo],records[roomNo]&amp;"-"&amp;SUBSTITUTE(RIGHT(records[roomNo]&amp;records[Type],2),"-",""))</f>
        <v>16-1-084-L</v>
      </c>
      <c r="V87" s="47" t="str">
        <f t="array" ref="V87">_xlfn.XLOOKUP(records[ID], dAir[roomNo], dAir[roomName])</f>
        <v>FILLING 1 (Laminar)</v>
      </c>
      <c r="W87" s="47" t="str">
        <f t="array" ref="W87">_xlfn.XLOOKUP(records[ID], dAir[roomNo], dAir[building])</f>
        <v>Building 16</v>
      </c>
      <c r="X87" s="47" t="str">
        <f t="array" ref="X87">_xlfn.XLOOKUP(records[ID], dAir[roomNo], dAir[floor])</f>
        <v>Floor 1</v>
      </c>
      <c r="Y87" s="45" t="str">
        <f t="array" ref="Y87">_xlfn.XLOOKUP(records[ID], dAir[roomNo], dAir[Class])</f>
        <v>A</v>
      </c>
      <c r="Z87" s="45">
        <f t="array" ref="Z87">_xlfn.XLOOKUP(records[Method]&amp;"-"&amp;records[Class], dAirSpec[ID], dAirSpec[Spec])</f>
        <v>0</v>
      </c>
      <c r="AA87" s="45" t="str">
        <f t="array" ref="AA87">_xlfn.XLOOKUP(records[Method]&amp;"-"&amp;records[Class], dAirSpec[ID], dAirSpec[Unit])</f>
        <v>cfu/m3</v>
      </c>
      <c r="AB87" s="45">
        <f t="array" ref="AB87">if(S87="","", if(records[Method]="Active Air",_xlfn.xlookup(records[ColonyCount]&amp;records[AirSampler],feller[code],feller[Vc]),records[ColonyCount]))</f>
        <v>1</v>
      </c>
      <c r="AC87" s="60" t="b">
        <f t="shared" si="1"/>
        <v>0</v>
      </c>
      <c r="AD87" s="61" t="b">
        <v>0</v>
      </c>
      <c r="AE87" s="32" t="s">
        <v>235</v>
      </c>
      <c r="AF87" s="46"/>
      <c r="AG87" s="46"/>
      <c r="AH87" s="46"/>
      <c r="AI87" s="46"/>
      <c r="AJ87" s="46"/>
    </row>
    <row r="88" ht="22.5" customHeight="1">
      <c r="A88" s="27">
        <v>46180.0</v>
      </c>
      <c r="B88" s="34" t="str">
        <f t="array" ref="B88">TEXT(A88, "MM-YYYY")</f>
        <v>06-2026</v>
      </c>
      <c r="C88" s="39" t="s">
        <v>774</v>
      </c>
      <c r="D88" s="36" t="s">
        <v>210</v>
      </c>
      <c r="E88" s="36" t="s">
        <v>531</v>
      </c>
      <c r="F88" s="37" t="s">
        <v>10</v>
      </c>
      <c r="G88" s="29" t="b">
        <v>1</v>
      </c>
      <c r="H88" s="36" t="s">
        <v>214</v>
      </c>
      <c r="I88" s="36" t="s">
        <v>534</v>
      </c>
      <c r="J88" s="39"/>
      <c r="K88" s="40"/>
      <c r="L88" s="37" t="s">
        <v>194</v>
      </c>
      <c r="M88" s="37" t="s">
        <v>194</v>
      </c>
      <c r="N88" s="37" t="s">
        <v>194</v>
      </c>
      <c r="O88" s="37" t="s">
        <v>194</v>
      </c>
      <c r="P88" s="37" t="s">
        <v>223</v>
      </c>
      <c r="Q88" s="37" t="s">
        <v>224</v>
      </c>
      <c r="R88" s="41">
        <v>46218.0</v>
      </c>
      <c r="S88" s="42">
        <v>3.0</v>
      </c>
      <c r="T88" s="44" t="s">
        <v>194</v>
      </c>
      <c r="U88" s="45" t="str">
        <f>IF(records[Type]="Room",records[roomNo],records[roomNo]&amp;"-"&amp;SUBSTITUTE(RIGHT(records[roomNo]&amp;records[Type],2),"-",""))</f>
        <v>16-1-084</v>
      </c>
      <c r="V88" s="47" t="str">
        <f t="array" ref="V88">_xlfn.XLOOKUP(records[ID], dAir[roomNo], dAir[roomName])</f>
        <v>FILLING 1</v>
      </c>
      <c r="W88" s="47" t="str">
        <f t="array" ref="W88">_xlfn.XLOOKUP(records[ID], dAir[roomNo], dAir[building])</f>
        <v>Building 16</v>
      </c>
      <c r="X88" s="47" t="str">
        <f t="array" ref="X88">_xlfn.XLOOKUP(records[ID], dAir[roomNo], dAir[floor])</f>
        <v>Floor 1</v>
      </c>
      <c r="Y88" s="45" t="str">
        <f t="array" ref="Y88">_xlfn.XLOOKUP(records[ID], dAir[roomNo], dAir[Class])</f>
        <v>C</v>
      </c>
      <c r="Z88" s="45">
        <f t="array" ref="Z88">_xlfn.XLOOKUP(records[Method]&amp;"-"&amp;records[Class], dAirSpec[ID], dAirSpec[Spec])</f>
        <v>100</v>
      </c>
      <c r="AA88" s="45" t="str">
        <f t="array" ref="AA88">_xlfn.XLOOKUP(records[Method]&amp;"-"&amp;records[Class], dAirSpec[ID], dAirSpec[Unit])</f>
        <v>cfu/m3</v>
      </c>
      <c r="AB88" s="45">
        <f t="array" ref="AB88">if(S88="","", if(records[Method]="Active Air",_xlfn.xlookup(records[ColonyCount]&amp;records[AirSampler],feller[code],feller[Vc]),records[ColonyCount]))</f>
        <v>3</v>
      </c>
      <c r="AC88" s="60" t="b">
        <f t="shared" si="1"/>
        <v>1</v>
      </c>
      <c r="AD88" s="61" t="b">
        <v>0</v>
      </c>
      <c r="AE88" s="32" t="s">
        <v>235</v>
      </c>
      <c r="AF88" s="46"/>
      <c r="AG88" s="46"/>
      <c r="AH88" s="46"/>
      <c r="AI88" s="46"/>
      <c r="AJ88" s="46"/>
    </row>
    <row r="89" ht="22.5" customHeight="1">
      <c r="A89" s="27">
        <v>46180.0</v>
      </c>
      <c r="B89" s="34" t="str">
        <f t="array" ref="B89">TEXT(A89, "MM-YYYY")</f>
        <v>06-2026</v>
      </c>
      <c r="C89" s="39" t="s">
        <v>1162</v>
      </c>
      <c r="D89" s="36" t="s">
        <v>210</v>
      </c>
      <c r="E89" s="36" t="s">
        <v>531</v>
      </c>
      <c r="F89" s="37" t="s">
        <v>10</v>
      </c>
      <c r="G89" s="29" t="b">
        <v>1</v>
      </c>
      <c r="H89" s="36" t="s">
        <v>214</v>
      </c>
      <c r="I89" s="36" t="s">
        <v>534</v>
      </c>
      <c r="J89" s="39"/>
      <c r="K89" s="40"/>
      <c r="L89" s="37" t="s">
        <v>194</v>
      </c>
      <c r="M89" s="37" t="s">
        <v>194</v>
      </c>
      <c r="N89" s="37" t="s">
        <v>194</v>
      </c>
      <c r="O89" s="37" t="s">
        <v>194</v>
      </c>
      <c r="P89" s="37" t="s">
        <v>223</v>
      </c>
      <c r="Q89" s="37" t="s">
        <v>224</v>
      </c>
      <c r="R89" s="41">
        <v>46218.0</v>
      </c>
      <c r="S89" s="42">
        <v>0.0</v>
      </c>
      <c r="T89" s="44" t="s">
        <v>194</v>
      </c>
      <c r="U89" s="45" t="str">
        <f>IF(records[Type]="Room",records[roomNo],records[roomNo]&amp;"-"&amp;SUBSTITUTE(RIGHT(records[roomNo]&amp;records[Type],2),"-",""))</f>
        <v>16-1-085</v>
      </c>
      <c r="V89" s="47" t="str">
        <f t="array" ref="V89">_xlfn.XLOOKUP(records[ID], dAir[roomNo], dAir[roomName])</f>
        <v>IPQC</v>
      </c>
      <c r="W89" s="47" t="str">
        <f t="array" ref="W89">_xlfn.XLOOKUP(records[ID], dAir[roomNo], dAir[building])</f>
        <v>Building 16</v>
      </c>
      <c r="X89" s="47" t="str">
        <f t="array" ref="X89">_xlfn.XLOOKUP(records[ID], dAir[roomNo], dAir[floor])</f>
        <v>Floor 1</v>
      </c>
      <c r="Y89" s="45" t="str">
        <f t="array" ref="Y89">_xlfn.XLOOKUP(records[ID], dAir[roomNo], dAir[Class])</f>
        <v>C</v>
      </c>
      <c r="Z89" s="45">
        <f t="array" ref="Z89">_xlfn.XLOOKUP(records[Method]&amp;"-"&amp;records[Class], dAirSpec[ID], dAirSpec[Spec])</f>
        <v>100</v>
      </c>
      <c r="AA89" s="45" t="str">
        <f t="array" ref="AA89">_xlfn.XLOOKUP(records[Method]&amp;"-"&amp;records[Class], dAirSpec[ID], dAirSpec[Unit])</f>
        <v>cfu/m3</v>
      </c>
      <c r="AB89" s="45">
        <f t="array" ref="AB89">if(S89="","", if(records[Method]="Active Air",_xlfn.xlookup(records[ColonyCount]&amp;records[AirSampler],feller[code],feller[Vc]),records[ColonyCount]))</f>
        <v>0</v>
      </c>
      <c r="AC89" s="60" t="b">
        <f t="shared" si="1"/>
        <v>1</v>
      </c>
      <c r="AD89" s="61" t="b">
        <v>0</v>
      </c>
      <c r="AE89" s="32" t="s">
        <v>235</v>
      </c>
      <c r="AF89" s="46"/>
      <c r="AG89" s="46"/>
      <c r="AH89" s="46"/>
      <c r="AI89" s="46"/>
      <c r="AJ89" s="46"/>
    </row>
    <row r="90" ht="22.5" customHeight="1">
      <c r="A90" s="27">
        <v>46180.0</v>
      </c>
      <c r="B90" s="34" t="str">
        <f t="array" ref="B90">TEXT(A90, "MM-YYYY")</f>
        <v>06-2026</v>
      </c>
      <c r="C90" s="39" t="s">
        <v>1174</v>
      </c>
      <c r="D90" s="36" t="s">
        <v>210</v>
      </c>
      <c r="E90" s="36" t="s">
        <v>531</v>
      </c>
      <c r="F90" s="37" t="s">
        <v>10</v>
      </c>
      <c r="G90" s="29" t="b">
        <v>1</v>
      </c>
      <c r="H90" s="36" t="s">
        <v>214</v>
      </c>
      <c r="I90" s="36" t="s">
        <v>534</v>
      </c>
      <c r="J90" s="39"/>
      <c r="K90" s="40"/>
      <c r="L90" s="37" t="s">
        <v>194</v>
      </c>
      <c r="M90" s="37" t="s">
        <v>194</v>
      </c>
      <c r="N90" s="37" t="s">
        <v>194</v>
      </c>
      <c r="O90" s="37" t="s">
        <v>194</v>
      </c>
      <c r="P90" s="37" t="s">
        <v>223</v>
      </c>
      <c r="Q90" s="37" t="s">
        <v>224</v>
      </c>
      <c r="R90" s="41">
        <v>46218.0</v>
      </c>
      <c r="S90" s="42">
        <v>0.0</v>
      </c>
      <c r="T90" s="44" t="s">
        <v>194</v>
      </c>
      <c r="U90" s="45" t="str">
        <f>IF(records[Type]="Room",records[roomNo],records[roomNo]&amp;"-"&amp;SUBSTITUTE(RIGHT(records[roomNo]&amp;records[Type],2),"-",""))</f>
        <v>16-1-086</v>
      </c>
      <c r="V90" s="47" t="str">
        <f t="array" ref="V90">_xlfn.XLOOKUP(records[ID], dAir[roomNo], dAir[roomName])</f>
        <v>CLEANED EQUIPMENT</v>
      </c>
      <c r="W90" s="47" t="str">
        <f t="array" ref="W90">_xlfn.XLOOKUP(records[ID], dAir[roomNo], dAir[building])</f>
        <v>Building 16</v>
      </c>
      <c r="X90" s="47" t="str">
        <f t="array" ref="X90">_xlfn.XLOOKUP(records[ID], dAir[roomNo], dAir[floor])</f>
        <v>Floor 1</v>
      </c>
      <c r="Y90" s="45" t="str">
        <f t="array" ref="Y90">_xlfn.XLOOKUP(records[ID], dAir[roomNo], dAir[Class])</f>
        <v>C</v>
      </c>
      <c r="Z90" s="45">
        <f t="array" ref="Z90">_xlfn.XLOOKUP(records[Method]&amp;"-"&amp;records[Class], dAirSpec[ID], dAirSpec[Spec])</f>
        <v>100</v>
      </c>
      <c r="AA90" s="45" t="str">
        <f t="array" ref="AA90">_xlfn.XLOOKUP(records[Method]&amp;"-"&amp;records[Class], dAirSpec[ID], dAirSpec[Unit])</f>
        <v>cfu/m3</v>
      </c>
      <c r="AB90" s="45">
        <f t="array" ref="AB90">if(S90="","", if(records[Method]="Active Air",_xlfn.xlookup(records[ColonyCount]&amp;records[AirSampler],feller[code],feller[Vc]),records[ColonyCount]))</f>
        <v>0</v>
      </c>
      <c r="AC90" s="60" t="b">
        <f t="shared" si="1"/>
        <v>1</v>
      </c>
      <c r="AD90" s="61" t="b">
        <v>0</v>
      </c>
      <c r="AE90" s="32" t="s">
        <v>235</v>
      </c>
      <c r="AF90" s="46"/>
      <c r="AG90" s="46"/>
      <c r="AH90" s="46"/>
      <c r="AI90" s="46"/>
      <c r="AJ90" s="46"/>
    </row>
    <row r="91" ht="22.5" customHeight="1">
      <c r="A91" s="27">
        <v>46180.0</v>
      </c>
      <c r="B91" s="34" t="str">
        <f t="array" ref="B91">TEXT(A91, "MM-YYYY")</f>
        <v>06-2026</v>
      </c>
      <c r="C91" s="39" t="s">
        <v>1194</v>
      </c>
      <c r="D91" s="36" t="s">
        <v>210</v>
      </c>
      <c r="E91" s="36" t="s">
        <v>531</v>
      </c>
      <c r="F91" s="37" t="s">
        <v>10</v>
      </c>
      <c r="G91" s="29" t="b">
        <v>1</v>
      </c>
      <c r="H91" s="36" t="s">
        <v>214</v>
      </c>
      <c r="I91" s="36" t="s">
        <v>534</v>
      </c>
      <c r="J91" s="39"/>
      <c r="K91" s="40"/>
      <c r="L91" s="37" t="s">
        <v>194</v>
      </c>
      <c r="M91" s="37" t="s">
        <v>194</v>
      </c>
      <c r="N91" s="37" t="s">
        <v>194</v>
      </c>
      <c r="O91" s="37" t="s">
        <v>194</v>
      </c>
      <c r="P91" s="37" t="s">
        <v>223</v>
      </c>
      <c r="Q91" s="37" t="s">
        <v>224</v>
      </c>
      <c r="R91" s="41">
        <v>46218.0</v>
      </c>
      <c r="S91" s="42">
        <v>20.0</v>
      </c>
      <c r="T91" s="44" t="s">
        <v>194</v>
      </c>
      <c r="U91" s="45" t="str">
        <f>IF(records[Type]="Room",records[roomNo],records[roomNo]&amp;"-"&amp;SUBSTITUTE(RIGHT(records[roomNo]&amp;records[Type],2),"-",""))</f>
        <v>16-1-087</v>
      </c>
      <c r="V91" s="47" t="str">
        <f t="array" ref="V91">_xlfn.XLOOKUP(records[ID], dAir[roomNo], dAir[roomName])</f>
        <v>MEN PAL</v>
      </c>
      <c r="W91" s="47" t="str">
        <f t="array" ref="W91">_xlfn.XLOOKUP(records[ID], dAir[roomNo], dAir[building])</f>
        <v>Building 16</v>
      </c>
      <c r="X91" s="47" t="str">
        <f t="array" ref="X91">_xlfn.XLOOKUP(records[ID], dAir[roomNo], dAir[floor])</f>
        <v>Floor 1</v>
      </c>
      <c r="Y91" s="45" t="str">
        <f t="array" ref="Y91">_xlfn.XLOOKUP(records[ID], dAir[roomNo], dAir[Class])</f>
        <v>D</v>
      </c>
      <c r="Z91" s="45">
        <f t="array" ref="Z91">_xlfn.XLOOKUP(records[Method]&amp;"-"&amp;records[Class], dAirSpec[ID], dAirSpec[Spec])</f>
        <v>200</v>
      </c>
      <c r="AA91" s="45" t="str">
        <f t="array" ref="AA91">_xlfn.XLOOKUP(records[Method]&amp;"-"&amp;records[Class], dAirSpec[ID], dAirSpec[Unit])</f>
        <v>cfu/m3</v>
      </c>
      <c r="AB91" s="45">
        <f t="array" ref="AB91">if(S91="","", if(records[Method]="Active Air",_xlfn.xlookup(records[ColonyCount]&amp;records[AirSampler],feller[code],feller[Vc]),records[ColonyCount]))</f>
        <v>21</v>
      </c>
      <c r="AC91" s="60" t="b">
        <f t="shared" si="1"/>
        <v>1</v>
      </c>
      <c r="AD91" s="61" t="b">
        <v>0</v>
      </c>
      <c r="AE91" s="32" t="s">
        <v>235</v>
      </c>
      <c r="AF91" s="46"/>
      <c r="AG91" s="46"/>
      <c r="AH91" s="46"/>
      <c r="AI91" s="46"/>
      <c r="AJ91" s="46"/>
    </row>
    <row r="92" ht="22.5" customHeight="1">
      <c r="A92" s="27">
        <v>46180.0</v>
      </c>
      <c r="B92" s="34" t="str">
        <f t="array" ref="B92">TEXT(A92, "MM-YYYY")</f>
        <v>06-2026</v>
      </c>
      <c r="C92" s="39" t="s">
        <v>1226</v>
      </c>
      <c r="D92" s="36" t="s">
        <v>210</v>
      </c>
      <c r="E92" s="36" t="s">
        <v>531</v>
      </c>
      <c r="F92" s="37" t="s">
        <v>10</v>
      </c>
      <c r="G92" s="29" t="b">
        <v>1</v>
      </c>
      <c r="H92" s="36" t="s">
        <v>214</v>
      </c>
      <c r="I92" s="36" t="s">
        <v>534</v>
      </c>
      <c r="J92" s="39"/>
      <c r="K92" s="40"/>
      <c r="L92" s="37" t="s">
        <v>194</v>
      </c>
      <c r="M92" s="37" t="s">
        <v>194</v>
      </c>
      <c r="N92" s="37" t="s">
        <v>194</v>
      </c>
      <c r="O92" s="37" t="s">
        <v>194</v>
      </c>
      <c r="P92" s="37" t="s">
        <v>223</v>
      </c>
      <c r="Q92" s="37" t="s">
        <v>224</v>
      </c>
      <c r="R92" s="41">
        <v>46218.0</v>
      </c>
      <c r="S92" s="42">
        <v>16.0</v>
      </c>
      <c r="T92" s="44" t="s">
        <v>194</v>
      </c>
      <c r="U92" s="45" t="str">
        <f>IF(records[Type]="Room",records[roomNo],records[roomNo]&amp;"-"&amp;SUBSTITUTE(RIGHT(records[roomNo]&amp;records[Type],2),"-",""))</f>
        <v>16-1-088</v>
      </c>
      <c r="V92" s="47" t="str">
        <f t="array" ref="V92">_xlfn.XLOOKUP(records[ID], dAir[roomNo], dAir[roomName])</f>
        <v>MEN PROCESS CHANGE</v>
      </c>
      <c r="W92" s="47" t="str">
        <f t="array" ref="W92">_xlfn.XLOOKUP(records[ID], dAir[roomNo], dAir[building])</f>
        <v>Building 16</v>
      </c>
      <c r="X92" s="47" t="str">
        <f t="array" ref="X92">_xlfn.XLOOKUP(records[ID], dAir[roomNo], dAir[floor])</f>
        <v>Floor 1</v>
      </c>
      <c r="Y92" s="45" t="str">
        <f t="array" ref="Y92">_xlfn.XLOOKUP(records[ID], dAir[roomNo], dAir[Class])</f>
        <v>C</v>
      </c>
      <c r="Z92" s="45">
        <f t="array" ref="Z92">_xlfn.XLOOKUP(records[Method]&amp;"-"&amp;records[Class], dAirSpec[ID], dAirSpec[Spec])</f>
        <v>100</v>
      </c>
      <c r="AA92" s="45" t="str">
        <f t="array" ref="AA92">_xlfn.XLOOKUP(records[Method]&amp;"-"&amp;records[Class], dAirSpec[ID], dAirSpec[Unit])</f>
        <v>cfu/m3</v>
      </c>
      <c r="AB92" s="45">
        <f t="array" ref="AB92">if(S92="","", if(records[Method]="Active Air",_xlfn.xlookup(records[ColonyCount]&amp;records[AirSampler],feller[code],feller[Vc]),records[ColonyCount]))</f>
        <v>17</v>
      </c>
      <c r="AC92" s="60" t="b">
        <f t="shared" si="1"/>
        <v>1</v>
      </c>
      <c r="AD92" s="61" t="b">
        <v>0</v>
      </c>
      <c r="AE92" s="32" t="s">
        <v>235</v>
      </c>
      <c r="AF92" s="46"/>
      <c r="AG92" s="46"/>
      <c r="AH92" s="46"/>
      <c r="AI92" s="46"/>
      <c r="AJ92" s="46"/>
    </row>
    <row r="93" ht="22.5" customHeight="1">
      <c r="A93" s="27">
        <v>46180.0</v>
      </c>
      <c r="B93" s="34" t="str">
        <f t="array" ref="B93">TEXT(A93, "MM-YYYY")</f>
        <v>06-2026</v>
      </c>
      <c r="C93" s="39" t="s">
        <v>1250</v>
      </c>
      <c r="D93" s="36" t="s">
        <v>210</v>
      </c>
      <c r="E93" s="36" t="s">
        <v>531</v>
      </c>
      <c r="F93" s="37" t="s">
        <v>10</v>
      </c>
      <c r="G93" s="29" t="b">
        <v>1</v>
      </c>
      <c r="H93" s="36" t="s">
        <v>214</v>
      </c>
      <c r="I93" s="36" t="s">
        <v>534</v>
      </c>
      <c r="J93" s="39"/>
      <c r="K93" s="40"/>
      <c r="L93" s="37" t="s">
        <v>194</v>
      </c>
      <c r="M93" s="37" t="s">
        <v>194</v>
      </c>
      <c r="N93" s="37" t="s">
        <v>194</v>
      </c>
      <c r="O93" s="37" t="s">
        <v>194</v>
      </c>
      <c r="P93" s="37" t="s">
        <v>223</v>
      </c>
      <c r="Q93" s="37" t="s">
        <v>224</v>
      </c>
      <c r="R93" s="41">
        <v>46218.0</v>
      </c>
      <c r="S93" s="42">
        <v>4.0</v>
      </c>
      <c r="T93" s="44" t="s">
        <v>194</v>
      </c>
      <c r="U93" s="45" t="str">
        <f>IF(records[Type]="Room",records[roomNo],records[roomNo]&amp;"-"&amp;SUBSTITUTE(RIGHT(records[roomNo]&amp;records[Type],2),"-",""))</f>
        <v>16-1-089</v>
      </c>
      <c r="V93" s="47" t="str">
        <f t="array" ref="V93">_xlfn.XLOOKUP(records[ID], dAir[roomNo], dAir[roomName])</f>
        <v>WOMEN PAL</v>
      </c>
      <c r="W93" s="47" t="str">
        <f t="array" ref="W93">_xlfn.XLOOKUP(records[ID], dAir[roomNo], dAir[building])</f>
        <v>Building 16</v>
      </c>
      <c r="X93" s="47" t="str">
        <f t="array" ref="X93">_xlfn.XLOOKUP(records[ID], dAir[roomNo], dAir[floor])</f>
        <v>Floor 1</v>
      </c>
      <c r="Y93" s="45" t="str">
        <f t="array" ref="Y93">_xlfn.XLOOKUP(records[ID], dAir[roomNo], dAir[Class])</f>
        <v>D</v>
      </c>
      <c r="Z93" s="45">
        <f t="array" ref="Z93">_xlfn.XLOOKUP(records[Method]&amp;"-"&amp;records[Class], dAirSpec[ID], dAirSpec[Spec])</f>
        <v>200</v>
      </c>
      <c r="AA93" s="45" t="str">
        <f t="array" ref="AA93">_xlfn.XLOOKUP(records[Method]&amp;"-"&amp;records[Class], dAirSpec[ID], dAirSpec[Unit])</f>
        <v>cfu/m3</v>
      </c>
      <c r="AB93" s="45">
        <f t="array" ref="AB93">if(S93="","", if(records[Method]="Active Air",_xlfn.xlookup(records[ColonyCount]&amp;records[AirSampler],feller[code],feller[Vc]),records[ColonyCount]))</f>
        <v>4</v>
      </c>
      <c r="AC93" s="60" t="b">
        <f t="shared" si="1"/>
        <v>1</v>
      </c>
      <c r="AD93" s="61" t="b">
        <v>0</v>
      </c>
      <c r="AE93" s="32" t="s">
        <v>235</v>
      </c>
      <c r="AF93" s="46"/>
      <c r="AG93" s="46"/>
      <c r="AH93" s="46"/>
      <c r="AI93" s="46"/>
      <c r="AJ93" s="46"/>
    </row>
    <row r="94" ht="22.5" customHeight="1">
      <c r="A94" s="27">
        <v>46180.0</v>
      </c>
      <c r="B94" s="34" t="str">
        <f t="array" ref="B94">TEXT(A94, "MM-YYYY")</f>
        <v>06-2026</v>
      </c>
      <c r="C94" s="39" t="s">
        <v>1273</v>
      </c>
      <c r="D94" s="36" t="s">
        <v>210</v>
      </c>
      <c r="E94" s="36" t="s">
        <v>531</v>
      </c>
      <c r="F94" s="37" t="s">
        <v>10</v>
      </c>
      <c r="G94" s="29" t="b">
        <v>1</v>
      </c>
      <c r="H94" s="36" t="s">
        <v>214</v>
      </c>
      <c r="I94" s="36" t="s">
        <v>534</v>
      </c>
      <c r="J94" s="39"/>
      <c r="K94" s="40"/>
      <c r="L94" s="37" t="s">
        <v>194</v>
      </c>
      <c r="M94" s="37" t="s">
        <v>194</v>
      </c>
      <c r="N94" s="37" t="s">
        <v>194</v>
      </c>
      <c r="O94" s="37" t="s">
        <v>194</v>
      </c>
      <c r="P94" s="37" t="s">
        <v>223</v>
      </c>
      <c r="Q94" s="37" t="s">
        <v>224</v>
      </c>
      <c r="R94" s="41">
        <v>46218.0</v>
      </c>
      <c r="S94" s="42">
        <v>0.0</v>
      </c>
      <c r="T94" s="44" t="s">
        <v>194</v>
      </c>
      <c r="U94" s="45" t="str">
        <f>IF(records[Type]="Room",records[roomNo],records[roomNo]&amp;"-"&amp;SUBSTITUTE(RIGHT(records[roomNo]&amp;records[Type],2),"-",""))</f>
        <v>16-1-090</v>
      </c>
      <c r="V94" s="47" t="str">
        <f t="array" ref="V94">_xlfn.XLOOKUP(records[ID], dAir[roomNo], dAir[roomName])</f>
        <v>WOMEN PROCESS CHANGE</v>
      </c>
      <c r="W94" s="47" t="str">
        <f t="array" ref="W94">_xlfn.XLOOKUP(records[ID], dAir[roomNo], dAir[building])</f>
        <v>Building 16</v>
      </c>
      <c r="X94" s="47" t="str">
        <f t="array" ref="X94">_xlfn.XLOOKUP(records[ID], dAir[roomNo], dAir[floor])</f>
        <v>Floor 1</v>
      </c>
      <c r="Y94" s="45" t="str">
        <f t="array" ref="Y94">_xlfn.XLOOKUP(records[ID], dAir[roomNo], dAir[Class])</f>
        <v>C</v>
      </c>
      <c r="Z94" s="45">
        <f t="array" ref="Z94">_xlfn.XLOOKUP(records[Method]&amp;"-"&amp;records[Class], dAirSpec[ID], dAirSpec[Spec])</f>
        <v>100</v>
      </c>
      <c r="AA94" s="45" t="str">
        <f t="array" ref="AA94">_xlfn.XLOOKUP(records[Method]&amp;"-"&amp;records[Class], dAirSpec[ID], dAirSpec[Unit])</f>
        <v>cfu/m3</v>
      </c>
      <c r="AB94" s="45">
        <f t="array" ref="AB94">if(S94="","", if(records[Method]="Active Air",_xlfn.xlookup(records[ColonyCount]&amp;records[AirSampler],feller[code],feller[Vc]),records[ColonyCount]))</f>
        <v>0</v>
      </c>
      <c r="AC94" s="60" t="b">
        <f t="shared" si="1"/>
        <v>1</v>
      </c>
      <c r="AD94" s="61" t="b">
        <v>0</v>
      </c>
      <c r="AE94" s="32" t="s">
        <v>235</v>
      </c>
      <c r="AF94" s="46"/>
      <c r="AG94" s="46"/>
      <c r="AH94" s="46"/>
      <c r="AI94" s="46"/>
      <c r="AJ94" s="46"/>
    </row>
    <row r="95" ht="22.5" customHeight="1">
      <c r="A95" s="27">
        <v>46180.0</v>
      </c>
      <c r="B95" s="34" t="str">
        <f t="array" ref="B95">TEXT(A95, "MM-YYYY")</f>
        <v>06-2026</v>
      </c>
      <c r="C95" s="39" t="s">
        <v>1311</v>
      </c>
      <c r="D95" s="36" t="s">
        <v>210</v>
      </c>
      <c r="E95" s="36" t="s">
        <v>531</v>
      </c>
      <c r="F95" s="37" t="s">
        <v>10</v>
      </c>
      <c r="G95" s="29" t="b">
        <v>1</v>
      </c>
      <c r="H95" s="36" t="s">
        <v>214</v>
      </c>
      <c r="I95" s="36" t="s">
        <v>534</v>
      </c>
      <c r="J95" s="39"/>
      <c r="K95" s="40"/>
      <c r="L95" s="37" t="s">
        <v>194</v>
      </c>
      <c r="M95" s="37" t="s">
        <v>194</v>
      </c>
      <c r="N95" s="37" t="s">
        <v>194</v>
      </c>
      <c r="O95" s="37" t="s">
        <v>194</v>
      </c>
      <c r="P95" s="37" t="s">
        <v>223</v>
      </c>
      <c r="Q95" s="37" t="s">
        <v>224</v>
      </c>
      <c r="R95" s="41">
        <v>46218.0</v>
      </c>
      <c r="S95" s="42">
        <v>10.0</v>
      </c>
      <c r="T95" s="29" t="s">
        <v>1318</v>
      </c>
      <c r="U95" s="45" t="str">
        <f>IF(records[Type]="Room",records[roomNo],records[roomNo]&amp;"-"&amp;SUBSTITUTE(RIGHT(records[roomNo]&amp;records[Type],2),"-",""))</f>
        <v>16-1-091</v>
      </c>
      <c r="V95" s="47" t="str">
        <f t="array" ref="V95">_xlfn.XLOOKUP(records[ID], dAir[roomNo], dAir[roomName])</f>
        <v>CORRIDOR</v>
      </c>
      <c r="W95" s="47" t="str">
        <f t="array" ref="W95">_xlfn.XLOOKUP(records[ID], dAir[roomNo], dAir[building])</f>
        <v>Building 16</v>
      </c>
      <c r="X95" s="47" t="str">
        <f t="array" ref="X95">_xlfn.XLOOKUP(records[ID], dAir[roomNo], dAir[floor])</f>
        <v>Floor 1</v>
      </c>
      <c r="Y95" s="45" t="str">
        <f t="array" ref="Y95">_xlfn.XLOOKUP(records[ID], dAir[roomNo], dAir[Class])</f>
        <v>C</v>
      </c>
      <c r="Z95" s="45">
        <f t="array" ref="Z95">_xlfn.XLOOKUP(records[Method]&amp;"-"&amp;records[Class], dAirSpec[ID], dAirSpec[Spec])</f>
        <v>100</v>
      </c>
      <c r="AA95" s="45" t="str">
        <f t="array" ref="AA95">_xlfn.XLOOKUP(records[Method]&amp;"-"&amp;records[Class], dAirSpec[ID], dAirSpec[Unit])</f>
        <v>cfu/m3</v>
      </c>
      <c r="AB95" s="45">
        <f t="array" ref="AB95">if(S95="","", if(records[Method]="Active Air",_xlfn.xlookup(records[ColonyCount]&amp;records[AirSampler],feller[code],feller[Vc]),records[ColonyCount]))</f>
        <v>10</v>
      </c>
      <c r="AC95" s="60" t="b">
        <f t="shared" si="1"/>
        <v>1</v>
      </c>
      <c r="AD95" s="61" t="b">
        <v>0</v>
      </c>
      <c r="AE95" s="32" t="s">
        <v>235</v>
      </c>
      <c r="AF95" s="46"/>
      <c r="AG95" s="46"/>
      <c r="AH95" s="46"/>
      <c r="AI95" s="46"/>
      <c r="AJ95" s="46"/>
    </row>
    <row r="96" ht="22.5" customHeight="1">
      <c r="A96" s="27">
        <v>46180.0</v>
      </c>
      <c r="B96" s="34" t="str">
        <f t="array" ref="B96">TEXT(A96, "MM-YYYY")</f>
        <v>06-2026</v>
      </c>
      <c r="C96" s="39" t="s">
        <v>1311</v>
      </c>
      <c r="D96" s="36" t="s">
        <v>1350</v>
      </c>
      <c r="E96" s="36" t="s">
        <v>531</v>
      </c>
      <c r="F96" s="37" t="s">
        <v>10</v>
      </c>
      <c r="G96" s="29" t="b">
        <v>1</v>
      </c>
      <c r="H96" s="36" t="s">
        <v>214</v>
      </c>
      <c r="I96" s="36" t="s">
        <v>534</v>
      </c>
      <c r="J96" s="39"/>
      <c r="K96" s="40"/>
      <c r="L96" s="37" t="s">
        <v>194</v>
      </c>
      <c r="M96" s="37" t="s">
        <v>194</v>
      </c>
      <c r="N96" s="37" t="s">
        <v>194</v>
      </c>
      <c r="O96" s="37" t="s">
        <v>194</v>
      </c>
      <c r="P96" s="37" t="s">
        <v>223</v>
      </c>
      <c r="Q96" s="37" t="s">
        <v>224</v>
      </c>
      <c r="R96" s="41">
        <v>46218.0</v>
      </c>
      <c r="S96" s="42">
        <v>1.0</v>
      </c>
      <c r="T96" s="29" t="s">
        <v>1354</v>
      </c>
      <c r="U96" s="45" t="str">
        <f>IF(records[Type]="Room",records[roomNo],records[roomNo]&amp;"-"&amp;SUBSTITUTE(RIGHT(records[roomNo]&amp;records[Type],2),"-",""))</f>
        <v>16-1-091-PB</v>
      </c>
      <c r="V96" s="47" t="str">
        <f t="array" ref="V96">_xlfn.XLOOKUP(records[ID], dAir[roomNo], dAir[roomName])</f>
        <v>CORRIDOR (Passbox)</v>
      </c>
      <c r="W96" s="47" t="str">
        <f t="array" ref="W96">_xlfn.XLOOKUP(records[ID], dAir[roomNo], dAir[building])</f>
        <v>Building 16</v>
      </c>
      <c r="X96" s="47" t="str">
        <f t="array" ref="X96">_xlfn.XLOOKUP(records[ID], dAir[roomNo], dAir[floor])</f>
        <v>Floor 1</v>
      </c>
      <c r="Y96" s="45" t="str">
        <f t="array" ref="Y96">_xlfn.XLOOKUP(records[ID], dAir[roomNo], dAir[Class])</f>
        <v>C</v>
      </c>
      <c r="Z96" s="45">
        <f t="array" ref="Z96">_xlfn.XLOOKUP(records[Method]&amp;"-"&amp;records[Class], dAirSpec[ID], dAirSpec[Spec])</f>
        <v>100</v>
      </c>
      <c r="AA96" s="45" t="str">
        <f t="array" ref="AA96">_xlfn.XLOOKUP(records[Method]&amp;"-"&amp;records[Class], dAirSpec[ID], dAirSpec[Unit])</f>
        <v>cfu/m3</v>
      </c>
      <c r="AB96" s="45">
        <f t="array" ref="AB96">if(S96="","", if(records[Method]="Active Air",_xlfn.xlookup(records[ColonyCount]&amp;records[AirSampler],feller[code],feller[Vc]),records[ColonyCount]))</f>
        <v>1</v>
      </c>
      <c r="AC96" s="60" t="b">
        <f t="shared" si="1"/>
        <v>1</v>
      </c>
      <c r="AD96" s="61" t="b">
        <v>0</v>
      </c>
      <c r="AE96" s="32" t="s">
        <v>235</v>
      </c>
      <c r="AF96" s="46"/>
      <c r="AG96" s="46"/>
      <c r="AH96" s="46"/>
      <c r="AI96" s="46"/>
      <c r="AJ96" s="46"/>
    </row>
    <row r="97" ht="22.5" customHeight="1">
      <c r="A97" s="27">
        <v>46180.0</v>
      </c>
      <c r="B97" s="34" t="str">
        <f t="array" ref="B97">TEXT(A97, "MM-YYYY")</f>
        <v>06-2026</v>
      </c>
      <c r="C97" s="39" t="s">
        <v>1041</v>
      </c>
      <c r="D97" s="36" t="s">
        <v>1350</v>
      </c>
      <c r="E97" s="36" t="s">
        <v>531</v>
      </c>
      <c r="F97" s="37" t="s">
        <v>10</v>
      </c>
      <c r="G97" s="29" t="b">
        <v>1</v>
      </c>
      <c r="H97" s="36" t="s">
        <v>214</v>
      </c>
      <c r="I97" s="36" t="s">
        <v>203</v>
      </c>
      <c r="J97" s="39"/>
      <c r="K97" s="40"/>
      <c r="L97" s="37" t="s">
        <v>194</v>
      </c>
      <c r="M97" s="37" t="s">
        <v>194</v>
      </c>
      <c r="N97" s="37" t="s">
        <v>194</v>
      </c>
      <c r="O97" s="37" t="s">
        <v>194</v>
      </c>
      <c r="P97" s="37" t="s">
        <v>223</v>
      </c>
      <c r="Q97" s="37" t="s">
        <v>224</v>
      </c>
      <c r="R97" s="41">
        <v>46218.0</v>
      </c>
      <c r="S97" s="42">
        <v>13.0</v>
      </c>
      <c r="T97" s="29" t="s">
        <v>1384</v>
      </c>
      <c r="U97" s="45" t="str">
        <f>IF(records[Type]="Room",records[roomNo],records[roomNo]&amp;"-"&amp;SUBSTITUTE(RIGHT(records[roomNo]&amp;records[Type],2),"-",""))</f>
        <v>16-1-078-PB</v>
      </c>
      <c r="V97" s="47" t="str">
        <f t="array" ref="V97">_xlfn.XLOOKUP(records[ID], dAir[roomNo], dAir[roomName])</f>
        <v>PASSAGE (Passbox)</v>
      </c>
      <c r="W97" s="47" t="str">
        <f t="array" ref="W97">_xlfn.XLOOKUP(records[ID], dAir[roomNo], dAir[building])</f>
        <v>Building 16</v>
      </c>
      <c r="X97" s="47" t="str">
        <f t="array" ref="X97">_xlfn.XLOOKUP(records[ID], dAir[roomNo], dAir[floor])</f>
        <v>Floor 1</v>
      </c>
      <c r="Y97" s="45" t="str">
        <f t="array" ref="Y97">_xlfn.XLOOKUP(records[ID], dAir[roomNo], dAir[Class])</f>
        <v>C</v>
      </c>
      <c r="Z97" s="45">
        <f t="array" ref="Z97">_xlfn.XLOOKUP(records[Method]&amp;"-"&amp;records[Class], dAirSpec[ID], dAirSpec[Spec])</f>
        <v>100</v>
      </c>
      <c r="AA97" s="45" t="str">
        <f t="array" ref="AA97">_xlfn.XLOOKUP(records[Method]&amp;"-"&amp;records[Class], dAirSpec[ID], dAirSpec[Unit])</f>
        <v>cfu/m3</v>
      </c>
      <c r="AB97" s="45">
        <f t="array" ref="AB97">if(S97="","", if(records[Method]="Active Air",_xlfn.xlookup(records[ColonyCount]&amp;records[AirSampler],feller[code],feller[Vc]),records[ColonyCount]))</f>
        <v>13</v>
      </c>
      <c r="AC97" s="60" t="b">
        <f t="shared" si="1"/>
        <v>1</v>
      </c>
      <c r="AD97" s="61" t="b">
        <v>0</v>
      </c>
      <c r="AE97" s="32" t="s">
        <v>235</v>
      </c>
      <c r="AF97" s="46"/>
      <c r="AG97" s="46"/>
      <c r="AH97" s="46"/>
      <c r="AI97" s="46"/>
      <c r="AJ97" s="46"/>
    </row>
    <row r="98" ht="22.5" customHeight="1">
      <c r="A98" s="27">
        <v>46180.0</v>
      </c>
      <c r="B98" s="34" t="str">
        <f t="array" ref="B98">TEXT(A98, "MM-YYYY")</f>
        <v>06-2026</v>
      </c>
      <c r="C98" s="39" t="s">
        <v>1311</v>
      </c>
      <c r="D98" s="36" t="s">
        <v>210</v>
      </c>
      <c r="E98" s="36" t="s">
        <v>531</v>
      </c>
      <c r="F98" s="37" t="s">
        <v>10</v>
      </c>
      <c r="G98" s="29" t="b">
        <v>1</v>
      </c>
      <c r="H98" s="36" t="s">
        <v>214</v>
      </c>
      <c r="I98" s="36" t="s">
        <v>203</v>
      </c>
      <c r="J98" s="39"/>
      <c r="K98" s="40"/>
      <c r="L98" s="37" t="s">
        <v>194</v>
      </c>
      <c r="M98" s="37" t="s">
        <v>194</v>
      </c>
      <c r="N98" s="37" t="s">
        <v>194</v>
      </c>
      <c r="O98" s="37" t="s">
        <v>194</v>
      </c>
      <c r="P98" s="37" t="s">
        <v>223</v>
      </c>
      <c r="Q98" s="37" t="s">
        <v>224</v>
      </c>
      <c r="R98" s="41">
        <v>46218.0</v>
      </c>
      <c r="S98" s="42">
        <v>13.0</v>
      </c>
      <c r="T98" s="29" t="s">
        <v>1403</v>
      </c>
      <c r="U98" s="45" t="str">
        <f>IF(records[Type]="Room",records[roomNo],records[roomNo]&amp;"-"&amp;SUBSTITUTE(RIGHT(records[roomNo]&amp;records[Type],2),"-",""))</f>
        <v>16-1-091</v>
      </c>
      <c r="V98" s="47" t="str">
        <f t="array" ref="V98">_xlfn.XLOOKUP(records[ID], dAir[roomNo], dAir[roomName])</f>
        <v>CORRIDOR</v>
      </c>
      <c r="W98" s="47" t="str">
        <f t="array" ref="W98">_xlfn.XLOOKUP(records[ID], dAir[roomNo], dAir[building])</f>
        <v>Building 16</v>
      </c>
      <c r="X98" s="47" t="str">
        <f t="array" ref="X98">_xlfn.XLOOKUP(records[ID], dAir[roomNo], dAir[floor])</f>
        <v>Floor 1</v>
      </c>
      <c r="Y98" s="45" t="str">
        <f t="array" ref="Y98">_xlfn.XLOOKUP(records[ID], dAir[roomNo], dAir[Class])</f>
        <v>C</v>
      </c>
      <c r="Z98" s="45">
        <f t="array" ref="Z98">_xlfn.XLOOKUP(records[Method]&amp;"-"&amp;records[Class], dAirSpec[ID], dAirSpec[Spec])</f>
        <v>100</v>
      </c>
      <c r="AA98" s="45" t="str">
        <f t="array" ref="AA98">_xlfn.XLOOKUP(records[Method]&amp;"-"&amp;records[Class], dAirSpec[ID], dAirSpec[Unit])</f>
        <v>cfu/m3</v>
      </c>
      <c r="AB98" s="45">
        <f t="array" ref="AB98">if(S98="","", if(records[Method]="Active Air",_xlfn.xlookup(records[ColonyCount]&amp;records[AirSampler],feller[code],feller[Vc]),records[ColonyCount]))</f>
        <v>13</v>
      </c>
      <c r="AC98" s="60" t="b">
        <f t="shared" si="1"/>
        <v>1</v>
      </c>
      <c r="AD98" s="61" t="b">
        <v>0</v>
      </c>
      <c r="AE98" s="32" t="s">
        <v>235</v>
      </c>
      <c r="AF98" s="46"/>
      <c r="AG98" s="46"/>
      <c r="AH98" s="46"/>
      <c r="AI98" s="46"/>
      <c r="AJ98" s="46"/>
    </row>
    <row r="99" ht="22.5" customHeight="1">
      <c r="A99" s="27">
        <v>46180.0</v>
      </c>
      <c r="B99" s="34" t="str">
        <f t="array" ref="B99">TEXT(A99, "MM-YYYY")</f>
        <v>06-2026</v>
      </c>
      <c r="C99" s="39" t="s">
        <v>1412</v>
      </c>
      <c r="D99" s="36" t="s">
        <v>210</v>
      </c>
      <c r="E99" s="36" t="s">
        <v>531</v>
      </c>
      <c r="F99" s="37" t="s">
        <v>10</v>
      </c>
      <c r="G99" s="29" t="b">
        <v>1</v>
      </c>
      <c r="H99" s="36" t="s">
        <v>214</v>
      </c>
      <c r="I99" s="36" t="s">
        <v>534</v>
      </c>
      <c r="J99" s="39"/>
      <c r="K99" s="40"/>
      <c r="L99" s="37" t="s">
        <v>194</v>
      </c>
      <c r="M99" s="37" t="s">
        <v>194</v>
      </c>
      <c r="N99" s="37" t="s">
        <v>194</v>
      </c>
      <c r="O99" s="37" t="s">
        <v>194</v>
      </c>
      <c r="P99" s="37" t="s">
        <v>223</v>
      </c>
      <c r="Q99" s="37" t="s">
        <v>224</v>
      </c>
      <c r="R99" s="41">
        <v>46218.0</v>
      </c>
      <c r="S99" s="42">
        <v>0.0</v>
      </c>
      <c r="T99" s="44" t="s">
        <v>194</v>
      </c>
      <c r="U99" s="45" t="str">
        <f>IF(records[Type]="Room",records[roomNo],records[roomNo]&amp;"-"&amp;SUBSTITUTE(RIGHT(records[roomNo]&amp;records[Type],2),"-",""))</f>
        <v>16-1-092</v>
      </c>
      <c r="V99" s="47" t="str">
        <f t="array" ref="V99">_xlfn.XLOOKUP(records[ID], dAir[roomNo], dAir[roomName])</f>
        <v>LINEN WASHING</v>
      </c>
      <c r="W99" s="47" t="str">
        <f t="array" ref="W99">_xlfn.XLOOKUP(records[ID], dAir[roomNo], dAir[building])</f>
        <v>Building 16</v>
      </c>
      <c r="X99" s="47" t="str">
        <f t="array" ref="X99">_xlfn.XLOOKUP(records[ID], dAir[roomNo], dAir[floor])</f>
        <v>Floor 1</v>
      </c>
      <c r="Y99" s="45" t="str">
        <f t="array" ref="Y99">_xlfn.XLOOKUP(records[ID], dAir[roomNo], dAir[Class])</f>
        <v>C</v>
      </c>
      <c r="Z99" s="45">
        <f t="array" ref="Z99">_xlfn.XLOOKUP(records[Method]&amp;"-"&amp;records[Class], dAirSpec[ID], dAirSpec[Spec])</f>
        <v>100</v>
      </c>
      <c r="AA99" s="45" t="str">
        <f t="array" ref="AA99">_xlfn.XLOOKUP(records[Method]&amp;"-"&amp;records[Class], dAirSpec[ID], dAirSpec[Unit])</f>
        <v>cfu/m3</v>
      </c>
      <c r="AB99" s="45">
        <f t="array" ref="AB99">if(S99="","", if(records[Method]="Active Air",_xlfn.xlookup(records[ColonyCount]&amp;records[AirSampler],feller[code],feller[Vc]),records[ColonyCount]))</f>
        <v>0</v>
      </c>
      <c r="AC99" s="60" t="b">
        <f t="shared" si="1"/>
        <v>1</v>
      </c>
      <c r="AD99" s="61" t="b">
        <v>0</v>
      </c>
      <c r="AE99" s="32" t="s">
        <v>235</v>
      </c>
      <c r="AF99" s="46"/>
      <c r="AG99" s="46"/>
      <c r="AH99" s="46"/>
      <c r="AI99" s="46"/>
      <c r="AJ99" s="46"/>
    </row>
    <row r="100" ht="22.5" customHeight="1">
      <c r="A100" s="27">
        <v>46180.0</v>
      </c>
      <c r="B100" s="34" t="str">
        <f t="array" ref="B100">TEXT(A100, "MM-YYYY")</f>
        <v>06-2026</v>
      </c>
      <c r="C100" s="39" t="s">
        <v>1417</v>
      </c>
      <c r="D100" s="36" t="s">
        <v>210</v>
      </c>
      <c r="E100" s="36" t="s">
        <v>531</v>
      </c>
      <c r="F100" s="37" t="s">
        <v>10</v>
      </c>
      <c r="G100" s="29" t="b">
        <v>1</v>
      </c>
      <c r="H100" s="36" t="s">
        <v>214</v>
      </c>
      <c r="I100" s="36" t="s">
        <v>203</v>
      </c>
      <c r="J100" s="39"/>
      <c r="K100" s="39"/>
      <c r="L100" s="37" t="s">
        <v>194</v>
      </c>
      <c r="M100" s="37" t="s">
        <v>194</v>
      </c>
      <c r="N100" s="37" t="s">
        <v>194</v>
      </c>
      <c r="O100" s="37" t="s">
        <v>194</v>
      </c>
      <c r="P100" s="37" t="s">
        <v>223</v>
      </c>
      <c r="Q100" s="37" t="s">
        <v>224</v>
      </c>
      <c r="R100" s="41">
        <v>46218.0</v>
      </c>
      <c r="S100" s="42">
        <v>12.0</v>
      </c>
      <c r="T100" s="44" t="s">
        <v>194</v>
      </c>
      <c r="U100" s="45" t="str">
        <f>IF(records[Type]="Room",records[roomNo],records[roomNo]&amp;"-"&amp;SUBSTITUTE(RIGHT(records[roomNo]&amp;records[Type],2),"-",""))</f>
        <v>16-1-093</v>
      </c>
      <c r="V100" s="47" t="str">
        <f t="array" ref="V100">_xlfn.XLOOKUP(records[ID], dAir[roomNo], dAir[roomName])</f>
        <v>LINEN DRY</v>
      </c>
      <c r="W100" s="47" t="str">
        <f t="array" ref="W100">_xlfn.XLOOKUP(records[ID], dAir[roomNo], dAir[building])</f>
        <v>Building 16</v>
      </c>
      <c r="X100" s="47" t="str">
        <f t="array" ref="X100">_xlfn.XLOOKUP(records[ID], dAir[roomNo], dAir[floor])</f>
        <v>Floor 1</v>
      </c>
      <c r="Y100" s="45" t="str">
        <f t="array" ref="Y100">_xlfn.XLOOKUP(records[ID], dAir[roomNo], dAir[Class])</f>
        <v>C</v>
      </c>
      <c r="Z100" s="45">
        <f t="array" ref="Z100">_xlfn.XLOOKUP(records[Method]&amp;"-"&amp;records[Class], dAirSpec[ID], dAirSpec[Spec])</f>
        <v>100</v>
      </c>
      <c r="AA100" s="45" t="str">
        <f t="array" ref="AA100">_xlfn.XLOOKUP(records[Method]&amp;"-"&amp;records[Class], dAirSpec[ID], dAirSpec[Unit])</f>
        <v>cfu/m3</v>
      </c>
      <c r="AB100" s="45">
        <f t="array" ref="AB100">if(S100="","", if(records[Method]="Active Air",_xlfn.xlookup(records[ColonyCount]&amp;records[AirSampler],feller[code],feller[Vc]),records[ColonyCount]))</f>
        <v>12</v>
      </c>
      <c r="AC100" s="60" t="b">
        <f t="shared" si="1"/>
        <v>1</v>
      </c>
      <c r="AD100" s="61" t="b">
        <v>0</v>
      </c>
      <c r="AE100" s="32" t="s">
        <v>235</v>
      </c>
      <c r="AF100" s="46"/>
      <c r="AG100" s="46"/>
      <c r="AH100" s="46"/>
      <c r="AI100" s="46"/>
      <c r="AJ100" s="46"/>
    </row>
    <row r="101" ht="22.5" customHeight="1">
      <c r="A101" s="27">
        <v>46180.0</v>
      </c>
      <c r="B101" s="34" t="str">
        <f t="array" ref="B101">TEXT(A101, "MM-YYYY")</f>
        <v>06-2026</v>
      </c>
      <c r="C101" s="39" t="s">
        <v>1421</v>
      </c>
      <c r="D101" s="36" t="s">
        <v>210</v>
      </c>
      <c r="E101" s="36" t="s">
        <v>531</v>
      </c>
      <c r="F101" s="37" t="s">
        <v>10</v>
      </c>
      <c r="G101" s="29" t="b">
        <v>1</v>
      </c>
      <c r="H101" s="36" t="s">
        <v>214</v>
      </c>
      <c r="I101" s="36" t="s">
        <v>203</v>
      </c>
      <c r="J101" s="39"/>
      <c r="K101" s="40"/>
      <c r="L101" s="37" t="s">
        <v>194</v>
      </c>
      <c r="M101" s="37" t="s">
        <v>194</v>
      </c>
      <c r="N101" s="37" t="s">
        <v>194</v>
      </c>
      <c r="O101" s="37" t="s">
        <v>194</v>
      </c>
      <c r="P101" s="37" t="s">
        <v>223</v>
      </c>
      <c r="Q101" s="37" t="s">
        <v>224</v>
      </c>
      <c r="R101" s="41">
        <v>46218.0</v>
      </c>
      <c r="S101" s="42">
        <v>25.0</v>
      </c>
      <c r="T101" s="44" t="s">
        <v>194</v>
      </c>
      <c r="U101" s="45" t="str">
        <f>IF(records[Type]="Room",records[roomNo],records[roomNo]&amp;"-"&amp;SUBSTITUTE(RIGHT(records[roomNo]&amp;records[Type],2),"-",""))</f>
        <v>16-1-094</v>
      </c>
      <c r="V101" s="47" t="str">
        <f t="array" ref="V101">_xlfn.XLOOKUP(records[ID], dAir[roomNo], dAir[roomName])</f>
        <v>LINEN STORAGE</v>
      </c>
      <c r="W101" s="47" t="str">
        <f t="array" ref="W101">_xlfn.XLOOKUP(records[ID], dAir[roomNo], dAir[building])</f>
        <v>Building 16</v>
      </c>
      <c r="X101" s="47" t="str">
        <f t="array" ref="X101">_xlfn.XLOOKUP(records[ID], dAir[roomNo], dAir[floor])</f>
        <v>Floor 1</v>
      </c>
      <c r="Y101" s="45" t="str">
        <f t="array" ref="Y101">_xlfn.XLOOKUP(records[ID], dAir[roomNo], dAir[Class])</f>
        <v>C</v>
      </c>
      <c r="Z101" s="45">
        <f t="array" ref="Z101">_xlfn.XLOOKUP(records[Method]&amp;"-"&amp;records[Class], dAirSpec[ID], dAirSpec[Spec])</f>
        <v>100</v>
      </c>
      <c r="AA101" s="45" t="str">
        <f t="array" ref="AA101">_xlfn.XLOOKUP(records[Method]&amp;"-"&amp;records[Class], dAirSpec[ID], dAirSpec[Unit])</f>
        <v>cfu/m3</v>
      </c>
      <c r="AB101" s="45">
        <f t="array" ref="AB101">if(S101="","", if(records[Method]="Active Air",_xlfn.xlookup(records[ColonyCount]&amp;records[AirSampler],feller[code],feller[Vc]),records[ColonyCount]))</f>
        <v>25</v>
      </c>
      <c r="AC101" s="60" t="b">
        <f t="shared" si="1"/>
        <v>1</v>
      </c>
      <c r="AD101" s="61" t="b">
        <v>0</v>
      </c>
      <c r="AE101" s="32" t="s">
        <v>235</v>
      </c>
      <c r="AF101" s="46"/>
      <c r="AG101" s="46"/>
      <c r="AH101" s="46"/>
      <c r="AI101" s="46"/>
      <c r="AJ101" s="46"/>
    </row>
    <row r="102" ht="22.5" customHeight="1">
      <c r="A102" s="27">
        <v>46180.0</v>
      </c>
      <c r="B102" s="34" t="str">
        <f t="array" ref="B102">TEXT(A102, "MM-YYYY")</f>
        <v>06-2026</v>
      </c>
      <c r="C102" s="39" t="s">
        <v>1431</v>
      </c>
      <c r="D102" s="36" t="s">
        <v>210</v>
      </c>
      <c r="E102" s="36" t="s">
        <v>531</v>
      </c>
      <c r="F102" s="37" t="s">
        <v>10</v>
      </c>
      <c r="G102" s="29" t="b">
        <v>1</v>
      </c>
      <c r="H102" s="36" t="s">
        <v>214</v>
      </c>
      <c r="I102" s="36" t="s">
        <v>534</v>
      </c>
      <c r="J102" s="39"/>
      <c r="K102" s="40"/>
      <c r="L102" s="37" t="s">
        <v>194</v>
      </c>
      <c r="M102" s="37" t="s">
        <v>194</v>
      </c>
      <c r="N102" s="37" t="s">
        <v>194</v>
      </c>
      <c r="O102" s="37" t="s">
        <v>194</v>
      </c>
      <c r="P102" s="37" t="s">
        <v>223</v>
      </c>
      <c r="Q102" s="37" t="s">
        <v>224</v>
      </c>
      <c r="R102" s="41">
        <v>46218.0</v>
      </c>
      <c r="S102" s="42">
        <v>5.0</v>
      </c>
      <c r="T102" s="44" t="s">
        <v>194</v>
      </c>
      <c r="U102" s="45" t="str">
        <f>IF(records[Type]="Room",records[roomNo],records[roomNo]&amp;"-"&amp;SUBSTITUTE(RIGHT(records[roomNo]&amp;records[Type],2),"-",""))</f>
        <v>16-1-095</v>
      </c>
      <c r="V102" s="47" t="str">
        <f t="array" ref="V102">_xlfn.XLOOKUP(records[ID], dAir[roomNo], dAir[roomName])</f>
        <v>JANITOR</v>
      </c>
      <c r="W102" s="47" t="str">
        <f t="array" ref="W102">_xlfn.XLOOKUP(records[ID], dAir[roomNo], dAir[building])</f>
        <v>Building 16</v>
      </c>
      <c r="X102" s="47" t="str">
        <f t="array" ref="X102">_xlfn.XLOOKUP(records[ID], dAir[roomNo], dAir[floor])</f>
        <v>Floor 1</v>
      </c>
      <c r="Y102" s="45" t="str">
        <f t="array" ref="Y102">_xlfn.XLOOKUP(records[ID], dAir[roomNo], dAir[Class])</f>
        <v>C</v>
      </c>
      <c r="Z102" s="45">
        <f t="array" ref="Z102">_xlfn.XLOOKUP(records[Method]&amp;"-"&amp;records[Class], dAirSpec[ID], dAirSpec[Spec])</f>
        <v>100</v>
      </c>
      <c r="AA102" s="45" t="str">
        <f t="array" ref="AA102">_xlfn.XLOOKUP(records[Method]&amp;"-"&amp;records[Class], dAirSpec[ID], dAirSpec[Unit])</f>
        <v>cfu/m3</v>
      </c>
      <c r="AB102" s="45">
        <f t="array" ref="AB102">if(S102="","", if(records[Method]="Active Air",_xlfn.xlookup(records[ColonyCount]&amp;records[AirSampler],feller[code],feller[Vc]),records[ColonyCount]))</f>
        <v>5</v>
      </c>
      <c r="AC102" s="60" t="b">
        <f t="shared" si="1"/>
        <v>1</v>
      </c>
      <c r="AD102" s="61" t="b">
        <v>0</v>
      </c>
      <c r="AE102" s="32" t="s">
        <v>235</v>
      </c>
      <c r="AF102" s="46"/>
      <c r="AG102" s="46"/>
      <c r="AH102" s="46"/>
      <c r="AI102" s="46"/>
      <c r="AJ102" s="46"/>
    </row>
    <row r="103" ht="22.5" customHeight="1">
      <c r="A103" s="27">
        <v>46180.0</v>
      </c>
      <c r="B103" s="34" t="str">
        <f t="array" ref="B103">TEXT(A103, "MM-YYYY")</f>
        <v>06-2026</v>
      </c>
      <c r="C103" s="39" t="s">
        <v>745</v>
      </c>
      <c r="D103" s="36" t="s">
        <v>210</v>
      </c>
      <c r="E103" s="36" t="s">
        <v>531</v>
      </c>
      <c r="F103" s="37" t="s">
        <v>10</v>
      </c>
      <c r="G103" s="29" t="b">
        <v>1</v>
      </c>
      <c r="H103" s="36" t="s">
        <v>214</v>
      </c>
      <c r="I103" s="36" t="s">
        <v>534</v>
      </c>
      <c r="J103" s="39"/>
      <c r="K103" s="40"/>
      <c r="L103" s="37" t="s">
        <v>194</v>
      </c>
      <c r="M103" s="37" t="s">
        <v>194</v>
      </c>
      <c r="N103" s="37" t="s">
        <v>194</v>
      </c>
      <c r="O103" s="37" t="s">
        <v>194</v>
      </c>
      <c r="P103" s="37" t="s">
        <v>223</v>
      </c>
      <c r="Q103" s="37" t="s">
        <v>224</v>
      </c>
      <c r="R103" s="41">
        <v>46218.0</v>
      </c>
      <c r="S103" s="42">
        <v>0.0</v>
      </c>
      <c r="T103" s="44" t="s">
        <v>194</v>
      </c>
      <c r="U103" s="45" t="str">
        <f>IF(records[Type]="Room",records[roomNo],records[roomNo]&amp;"-"&amp;SUBSTITUTE(RIGHT(records[roomNo]&amp;records[Type],2),"-",""))</f>
        <v>16-1-096</v>
      </c>
      <c r="V103" s="47" t="str">
        <f t="array" ref="V103">_xlfn.XLOOKUP(records[ID], dAir[roomNo], dAir[roomName])</f>
        <v>WASHING / TUNNEL 2</v>
      </c>
      <c r="W103" s="47" t="str">
        <f t="array" ref="W103">_xlfn.XLOOKUP(records[ID], dAir[roomNo], dAir[building])</f>
        <v>Building 16</v>
      </c>
      <c r="X103" s="47" t="str">
        <f t="array" ref="X103">_xlfn.XLOOKUP(records[ID], dAir[roomNo], dAir[floor])</f>
        <v>Floor 1</v>
      </c>
      <c r="Y103" s="45" t="str">
        <f t="array" ref="Y103">_xlfn.XLOOKUP(records[ID], dAir[roomNo], dAir[Class])</f>
        <v>C</v>
      </c>
      <c r="Z103" s="45">
        <f t="array" ref="Z103">_xlfn.XLOOKUP(records[Method]&amp;"-"&amp;records[Class], dAirSpec[ID], dAirSpec[Spec])</f>
        <v>100</v>
      </c>
      <c r="AA103" s="45" t="str">
        <f t="array" ref="AA103">_xlfn.XLOOKUP(records[Method]&amp;"-"&amp;records[Class], dAirSpec[ID], dAirSpec[Unit])</f>
        <v>cfu/m3</v>
      </c>
      <c r="AB103" s="45">
        <f t="array" ref="AB103">if(S103="","", if(records[Method]="Active Air",_xlfn.xlookup(records[ColonyCount]&amp;records[AirSampler],feller[code],feller[Vc]),records[ColonyCount]))</f>
        <v>0</v>
      </c>
      <c r="AC103" s="60" t="b">
        <f t="shared" si="1"/>
        <v>1</v>
      </c>
      <c r="AD103" s="61" t="b">
        <v>0</v>
      </c>
      <c r="AE103" s="32" t="s">
        <v>235</v>
      </c>
      <c r="AF103" s="46"/>
      <c r="AG103" s="46"/>
      <c r="AH103" s="46"/>
      <c r="AI103" s="46"/>
      <c r="AJ103" s="46"/>
    </row>
    <row r="104" ht="22.5" customHeight="1">
      <c r="A104" s="27">
        <v>46180.0</v>
      </c>
      <c r="B104" s="34" t="str">
        <f t="array" ref="B104">TEXT(A104, "MM-YYYY")</f>
        <v>06-2026</v>
      </c>
      <c r="C104" s="39" t="s">
        <v>1471</v>
      </c>
      <c r="D104" s="36" t="s">
        <v>210</v>
      </c>
      <c r="E104" s="36" t="s">
        <v>531</v>
      </c>
      <c r="F104" s="37" t="s">
        <v>10</v>
      </c>
      <c r="G104" s="29" t="b">
        <v>1</v>
      </c>
      <c r="H104" s="36" t="s">
        <v>214</v>
      </c>
      <c r="I104" s="36" t="s">
        <v>534</v>
      </c>
      <c r="J104" s="39"/>
      <c r="K104" s="40"/>
      <c r="L104" s="37" t="s">
        <v>194</v>
      </c>
      <c r="M104" s="37" t="s">
        <v>194</v>
      </c>
      <c r="N104" s="37" t="s">
        <v>194</v>
      </c>
      <c r="O104" s="37" t="s">
        <v>194</v>
      </c>
      <c r="P104" s="37" t="s">
        <v>223</v>
      </c>
      <c r="Q104" s="37" t="s">
        <v>224</v>
      </c>
      <c r="R104" s="41">
        <v>46218.0</v>
      </c>
      <c r="S104" s="42">
        <v>2.0</v>
      </c>
      <c r="T104" s="44" t="s">
        <v>194</v>
      </c>
      <c r="U104" s="45" t="str">
        <f>IF(records[Type]="Room",records[roomNo],records[roomNo]&amp;"-"&amp;SUBSTITUTE(RIGHT(records[roomNo]&amp;records[Type],2),"-",""))</f>
        <v>16-1-097</v>
      </c>
      <c r="V104" s="47" t="str">
        <f t="array" ref="V104">_xlfn.XLOOKUP(records[ID], dAir[roomNo], dAir[roomName])</f>
        <v>VIALS INTERNAL STAGING</v>
      </c>
      <c r="W104" s="47" t="str">
        <f t="array" ref="W104">_xlfn.XLOOKUP(records[ID], dAir[roomNo], dAir[building])</f>
        <v>Building 16</v>
      </c>
      <c r="X104" s="47" t="str">
        <f t="array" ref="X104">_xlfn.XLOOKUP(records[ID], dAir[roomNo], dAir[floor])</f>
        <v>Floor 1</v>
      </c>
      <c r="Y104" s="45" t="str">
        <f t="array" ref="Y104">_xlfn.XLOOKUP(records[ID], dAir[roomNo], dAir[Class])</f>
        <v>C</v>
      </c>
      <c r="Z104" s="45">
        <f t="array" ref="Z104">_xlfn.XLOOKUP(records[Method]&amp;"-"&amp;records[Class], dAirSpec[ID], dAirSpec[Spec])</f>
        <v>100</v>
      </c>
      <c r="AA104" s="45" t="str">
        <f t="array" ref="AA104">_xlfn.XLOOKUP(records[Method]&amp;"-"&amp;records[Class], dAirSpec[ID], dAirSpec[Unit])</f>
        <v>cfu/m3</v>
      </c>
      <c r="AB104" s="45">
        <f t="array" ref="AB104">if(S104="","", if(records[Method]="Active Air",_xlfn.xlookup(records[ColonyCount]&amp;records[AirSampler],feller[code],feller[Vc]),records[ColonyCount]))</f>
        <v>2</v>
      </c>
      <c r="AC104" s="60" t="b">
        <f t="shared" si="1"/>
        <v>1</v>
      </c>
      <c r="AD104" s="61" t="b">
        <v>0</v>
      </c>
      <c r="AE104" s="32" t="s">
        <v>235</v>
      </c>
      <c r="AF104" s="46"/>
      <c r="AG104" s="46"/>
      <c r="AH104" s="46"/>
      <c r="AI104" s="46"/>
      <c r="AJ104" s="46"/>
    </row>
    <row r="105" ht="22.5" customHeight="1">
      <c r="A105" s="27">
        <v>46180.0</v>
      </c>
      <c r="B105" s="34" t="str">
        <f t="array" ref="B105">TEXT(A105, "MM-YYYY")</f>
        <v>06-2026</v>
      </c>
      <c r="C105" s="39" t="s">
        <v>1471</v>
      </c>
      <c r="D105" s="36" t="s">
        <v>1350</v>
      </c>
      <c r="E105" s="36" t="s">
        <v>531</v>
      </c>
      <c r="F105" s="37" t="s">
        <v>10</v>
      </c>
      <c r="G105" s="29" t="b">
        <v>1</v>
      </c>
      <c r="H105" s="36" t="s">
        <v>214</v>
      </c>
      <c r="I105" s="36" t="s">
        <v>534</v>
      </c>
      <c r="J105" s="39"/>
      <c r="K105" s="40"/>
      <c r="L105" s="37" t="s">
        <v>194</v>
      </c>
      <c r="M105" s="37" t="s">
        <v>194</v>
      </c>
      <c r="N105" s="37" t="s">
        <v>194</v>
      </c>
      <c r="O105" s="37" t="s">
        <v>194</v>
      </c>
      <c r="P105" s="37" t="s">
        <v>223</v>
      </c>
      <c r="Q105" s="37" t="s">
        <v>224</v>
      </c>
      <c r="R105" s="41">
        <v>46218.0</v>
      </c>
      <c r="S105" s="42">
        <v>115.0</v>
      </c>
      <c r="T105" s="44" t="s">
        <v>1483</v>
      </c>
      <c r="U105" s="45" t="str">
        <f>IF(records[Type]="Room",records[roomNo],records[roomNo]&amp;"-"&amp;SUBSTITUTE(RIGHT(records[roomNo]&amp;records[Type],2),"-",""))</f>
        <v>16-1-097-PB</v>
      </c>
      <c r="V105" s="47" t="str">
        <f t="array" ref="V105">_xlfn.XLOOKUP(records[ID], dAir[roomNo], dAir[roomName])</f>
        <v>VIALS INTERNAL STAGING (Passbox)</v>
      </c>
      <c r="W105" s="47" t="str">
        <f t="array" ref="W105">_xlfn.XLOOKUP(records[ID], dAir[roomNo], dAir[building])</f>
        <v>Building 16</v>
      </c>
      <c r="X105" s="47" t="str">
        <f t="array" ref="X105">_xlfn.XLOOKUP(records[ID], dAir[roomNo], dAir[floor])</f>
        <v>Floor 1</v>
      </c>
      <c r="Y105" s="45" t="str">
        <f t="array" ref="Y105">_xlfn.XLOOKUP(records[ID], dAir[roomNo], dAir[Class])</f>
        <v>C</v>
      </c>
      <c r="Z105" s="45">
        <f t="array" ref="Z105">_xlfn.XLOOKUP(records[Method]&amp;"-"&amp;records[Class], dAirSpec[ID], dAirSpec[Spec])</f>
        <v>100</v>
      </c>
      <c r="AA105" s="45" t="str">
        <f t="array" ref="AA105">_xlfn.XLOOKUP(records[Method]&amp;"-"&amp;records[Class], dAirSpec[ID], dAirSpec[Unit])</f>
        <v>cfu/m3</v>
      </c>
      <c r="AB105" s="45">
        <f t="array" ref="AB105">if(S105="","", if(records[Method]="Active Air",_xlfn.xlookup(records[ColonyCount]&amp;records[AirSampler],feller[code],feller[Vc]),records[ColonyCount]))</f>
        <v>162</v>
      </c>
      <c r="AC105" s="60" t="b">
        <f t="shared" si="1"/>
        <v>0</v>
      </c>
      <c r="AD105" s="61" t="b">
        <v>0</v>
      </c>
      <c r="AE105" s="32" t="s">
        <v>235</v>
      </c>
      <c r="AF105" s="46"/>
      <c r="AG105" s="46"/>
      <c r="AH105" s="46"/>
      <c r="AI105" s="46"/>
      <c r="AJ105" s="46"/>
    </row>
    <row r="106" ht="22.5" customHeight="1">
      <c r="A106" s="27">
        <v>46180.0</v>
      </c>
      <c r="B106" s="34" t="str">
        <f t="array" ref="B106">TEXT(A106, "MM-YYYY")</f>
        <v>06-2026</v>
      </c>
      <c r="C106" s="39" t="s">
        <v>749</v>
      </c>
      <c r="D106" s="36" t="s">
        <v>210</v>
      </c>
      <c r="E106" s="36" t="s">
        <v>531</v>
      </c>
      <c r="F106" s="37" t="s">
        <v>10</v>
      </c>
      <c r="G106" s="29" t="b">
        <v>1</v>
      </c>
      <c r="H106" s="36" t="s">
        <v>214</v>
      </c>
      <c r="I106" s="36" t="s">
        <v>534</v>
      </c>
      <c r="J106" s="39"/>
      <c r="K106" s="40"/>
      <c r="L106" s="37" t="s">
        <v>194</v>
      </c>
      <c r="M106" s="37" t="s">
        <v>194</v>
      </c>
      <c r="N106" s="37" t="s">
        <v>194</v>
      </c>
      <c r="O106" s="37" t="s">
        <v>194</v>
      </c>
      <c r="P106" s="37" t="s">
        <v>223</v>
      </c>
      <c r="Q106" s="37" t="s">
        <v>224</v>
      </c>
      <c r="R106" s="41">
        <v>46218.0</v>
      </c>
      <c r="S106" s="42">
        <v>2.0</v>
      </c>
      <c r="T106" s="44" t="s">
        <v>194</v>
      </c>
      <c r="U106" s="45" t="str">
        <f>IF(records[Type]="Room",records[roomNo],records[roomNo]&amp;"-"&amp;SUBSTITUTE(RIGHT(records[roomNo]&amp;records[Type],2),"-",""))</f>
        <v>16-1-098</v>
      </c>
      <c r="V106" s="47" t="str">
        <f t="array" ref="V106">_xlfn.XLOOKUP(records[ID], dAir[roomNo], dAir[roomName])</f>
        <v>CIP/SIP</v>
      </c>
      <c r="W106" s="47" t="str">
        <f t="array" ref="W106">_xlfn.XLOOKUP(records[ID], dAir[roomNo], dAir[building])</f>
        <v>Building 16</v>
      </c>
      <c r="X106" s="47" t="str">
        <f t="array" ref="X106">_xlfn.XLOOKUP(records[ID], dAir[roomNo], dAir[floor])</f>
        <v>Floor 1</v>
      </c>
      <c r="Y106" s="45" t="str">
        <f t="array" ref="Y106">_xlfn.XLOOKUP(records[ID], dAir[roomNo], dAir[Class])</f>
        <v>C</v>
      </c>
      <c r="Z106" s="45">
        <f t="array" ref="Z106">_xlfn.XLOOKUP(records[Method]&amp;"-"&amp;records[Class], dAirSpec[ID], dAirSpec[Spec])</f>
        <v>100</v>
      </c>
      <c r="AA106" s="45" t="str">
        <f t="array" ref="AA106">_xlfn.XLOOKUP(records[Method]&amp;"-"&amp;records[Class], dAirSpec[ID], dAirSpec[Unit])</f>
        <v>cfu/m3</v>
      </c>
      <c r="AB106" s="45">
        <f t="array" ref="AB106">if(S106="","", if(records[Method]="Active Air",_xlfn.xlookup(records[ColonyCount]&amp;records[AirSampler],feller[code],feller[Vc]),records[ColonyCount]))</f>
        <v>2</v>
      </c>
      <c r="AC106" s="60" t="b">
        <f t="shared" si="1"/>
        <v>1</v>
      </c>
      <c r="AD106" s="61" t="b">
        <v>0</v>
      </c>
      <c r="AE106" s="32" t="s">
        <v>235</v>
      </c>
      <c r="AF106" s="46"/>
      <c r="AG106" s="46"/>
      <c r="AH106" s="46"/>
      <c r="AI106" s="46"/>
      <c r="AJ106" s="46"/>
    </row>
    <row r="107" ht="22.5" customHeight="1">
      <c r="A107" s="27">
        <v>46180.0</v>
      </c>
      <c r="B107" s="34" t="str">
        <f t="array" ref="B107">TEXT(A107, "MM-YYYY")</f>
        <v>06-2026</v>
      </c>
      <c r="C107" s="39" t="s">
        <v>1484</v>
      </c>
      <c r="D107" s="36" t="s">
        <v>210</v>
      </c>
      <c r="E107" s="36" t="s">
        <v>531</v>
      </c>
      <c r="F107" s="37" t="s">
        <v>10</v>
      </c>
      <c r="G107" s="29" t="b">
        <v>1</v>
      </c>
      <c r="H107" s="36" t="s">
        <v>214</v>
      </c>
      <c r="I107" s="36" t="s">
        <v>203</v>
      </c>
      <c r="J107" s="39"/>
      <c r="K107" s="40"/>
      <c r="L107" s="37" t="s">
        <v>194</v>
      </c>
      <c r="M107" s="37" t="s">
        <v>194</v>
      </c>
      <c r="N107" s="37" t="s">
        <v>194</v>
      </c>
      <c r="O107" s="37" t="s">
        <v>194</v>
      </c>
      <c r="P107" s="37" t="s">
        <v>223</v>
      </c>
      <c r="Q107" s="37" t="s">
        <v>224</v>
      </c>
      <c r="R107" s="41">
        <v>46218.0</v>
      </c>
      <c r="S107" s="42">
        <v>17.0</v>
      </c>
      <c r="T107" s="44" t="s">
        <v>194</v>
      </c>
      <c r="U107" s="45" t="str">
        <f>IF(records[Type]="Room",records[roomNo],records[roomNo]&amp;"-"&amp;SUBSTITUTE(RIGHT(records[roomNo]&amp;records[Type],2),"-",""))</f>
        <v>16-1-099</v>
      </c>
      <c r="V107" s="47" t="str">
        <f t="array" ref="V107">_xlfn.XLOOKUP(records[ID], dAir[roomNo], dAir[roomName])</f>
        <v>MAL</v>
      </c>
      <c r="W107" s="47" t="str">
        <f t="array" ref="W107">_xlfn.XLOOKUP(records[ID], dAir[roomNo], dAir[building])</f>
        <v>Building 16</v>
      </c>
      <c r="X107" s="47" t="str">
        <f t="array" ref="X107">_xlfn.XLOOKUP(records[ID], dAir[roomNo], dAir[floor])</f>
        <v>Floor 1</v>
      </c>
      <c r="Y107" s="45" t="str">
        <f t="array" ref="Y107">_xlfn.XLOOKUP(records[ID], dAir[roomNo], dAir[Class])</f>
        <v>C</v>
      </c>
      <c r="Z107" s="45">
        <f t="array" ref="Z107">_xlfn.XLOOKUP(records[Method]&amp;"-"&amp;records[Class], dAirSpec[ID], dAirSpec[Spec])</f>
        <v>100</v>
      </c>
      <c r="AA107" s="45" t="str">
        <f t="array" ref="AA107">_xlfn.XLOOKUP(records[Method]&amp;"-"&amp;records[Class], dAirSpec[ID], dAirSpec[Unit])</f>
        <v>cfu/m3</v>
      </c>
      <c r="AB107" s="45">
        <f t="array" ref="AB107">if(S107="","", if(records[Method]="Active Air",_xlfn.xlookup(records[ColonyCount]&amp;records[AirSampler],feller[code],feller[Vc]),records[ColonyCount]))</f>
        <v>17</v>
      </c>
      <c r="AC107" s="60" t="b">
        <f t="shared" si="1"/>
        <v>1</v>
      </c>
      <c r="AD107" s="61" t="b">
        <v>0</v>
      </c>
      <c r="AE107" s="32" t="s">
        <v>235</v>
      </c>
      <c r="AF107" s="46"/>
      <c r="AG107" s="46"/>
      <c r="AH107" s="46"/>
      <c r="AI107" s="46"/>
      <c r="AJ107" s="46"/>
    </row>
    <row r="108" ht="22.5" customHeight="1">
      <c r="A108" s="27">
        <v>46180.0</v>
      </c>
      <c r="B108" s="34" t="str">
        <f t="array" ref="B108">TEXT(A108, "MM-YYYY")</f>
        <v>06-2026</v>
      </c>
      <c r="C108" s="39" t="s">
        <v>1485</v>
      </c>
      <c r="D108" s="36" t="s">
        <v>210</v>
      </c>
      <c r="E108" s="36" t="s">
        <v>531</v>
      </c>
      <c r="F108" s="37" t="s">
        <v>10</v>
      </c>
      <c r="G108" s="29" t="b">
        <v>1</v>
      </c>
      <c r="H108" s="36" t="s">
        <v>214</v>
      </c>
      <c r="I108" s="36" t="s">
        <v>203</v>
      </c>
      <c r="J108" s="39"/>
      <c r="K108" s="40"/>
      <c r="L108" s="37" t="s">
        <v>194</v>
      </c>
      <c r="M108" s="37" t="s">
        <v>194</v>
      </c>
      <c r="N108" s="37" t="s">
        <v>194</v>
      </c>
      <c r="O108" s="37" t="s">
        <v>194</v>
      </c>
      <c r="P108" s="37" t="s">
        <v>223</v>
      </c>
      <c r="Q108" s="37" t="s">
        <v>224</v>
      </c>
      <c r="R108" s="41">
        <v>46218.0</v>
      </c>
      <c r="S108" s="42">
        <v>6.0</v>
      </c>
      <c r="T108" s="44" t="s">
        <v>194</v>
      </c>
      <c r="U108" s="45" t="str">
        <f>IF(records[Type]="Room",records[roomNo],records[roomNo]&amp;"-"&amp;SUBSTITUTE(RIGHT(records[roomNo]&amp;records[Type],2),"-",""))</f>
        <v>16-1-100</v>
      </c>
      <c r="V108" s="47" t="str">
        <f t="array" ref="V108">_xlfn.XLOOKUP(records[ID], dAir[roomNo], dAir[roomName])</f>
        <v>MAL</v>
      </c>
      <c r="W108" s="47" t="str">
        <f t="array" ref="W108">_xlfn.XLOOKUP(records[ID], dAir[roomNo], dAir[building])</f>
        <v>Building 16</v>
      </c>
      <c r="X108" s="47" t="str">
        <f t="array" ref="X108">_xlfn.XLOOKUP(records[ID], dAir[roomNo], dAir[floor])</f>
        <v>Floor 1</v>
      </c>
      <c r="Y108" s="45" t="str">
        <f t="array" ref="Y108">_xlfn.XLOOKUP(records[ID], dAir[roomNo], dAir[Class])</f>
        <v>D</v>
      </c>
      <c r="Z108" s="45">
        <f t="array" ref="Z108">_xlfn.XLOOKUP(records[Method]&amp;"-"&amp;records[Class], dAirSpec[ID], dAirSpec[Spec])</f>
        <v>200</v>
      </c>
      <c r="AA108" s="45" t="str">
        <f t="array" ref="AA108">_xlfn.XLOOKUP(records[Method]&amp;"-"&amp;records[Class], dAirSpec[ID], dAirSpec[Unit])</f>
        <v>cfu/m3</v>
      </c>
      <c r="AB108" s="45">
        <f t="array" ref="AB108">if(S108="","", if(records[Method]="Active Air",_xlfn.xlookup(records[ColonyCount]&amp;records[AirSampler],feller[code],feller[Vc]),records[ColonyCount]))</f>
        <v>6</v>
      </c>
      <c r="AC108" s="60" t="b">
        <f t="shared" si="1"/>
        <v>1</v>
      </c>
      <c r="AD108" s="61" t="b">
        <v>0</v>
      </c>
      <c r="AE108" s="32" t="s">
        <v>235</v>
      </c>
      <c r="AF108" s="46"/>
      <c r="AG108" s="46"/>
      <c r="AH108" s="46"/>
      <c r="AI108" s="46"/>
      <c r="AJ108" s="46"/>
    </row>
    <row r="109" ht="22.5" customHeight="1">
      <c r="A109" s="27">
        <v>46180.0</v>
      </c>
      <c r="B109" s="34" t="str">
        <f t="array" ref="B109">TEXT(A109, "MM-YYYY")</f>
        <v>06-2026</v>
      </c>
      <c r="C109" s="39" t="s">
        <v>1486</v>
      </c>
      <c r="D109" s="36" t="s">
        <v>210</v>
      </c>
      <c r="E109" s="36" t="s">
        <v>531</v>
      </c>
      <c r="F109" s="37" t="s">
        <v>10</v>
      </c>
      <c r="G109" s="29" t="b">
        <v>1</v>
      </c>
      <c r="H109" s="36" t="s">
        <v>214</v>
      </c>
      <c r="I109" s="36" t="s">
        <v>534</v>
      </c>
      <c r="J109" s="39"/>
      <c r="K109" s="40"/>
      <c r="L109" s="37" t="s">
        <v>194</v>
      </c>
      <c r="M109" s="37" t="s">
        <v>194</v>
      </c>
      <c r="N109" s="37" t="s">
        <v>194</v>
      </c>
      <c r="O109" s="37" t="s">
        <v>194</v>
      </c>
      <c r="P109" s="37" t="s">
        <v>223</v>
      </c>
      <c r="Q109" s="37" t="s">
        <v>224</v>
      </c>
      <c r="R109" s="41">
        <v>46218.0</v>
      </c>
      <c r="S109" s="42">
        <v>6.0</v>
      </c>
      <c r="T109" s="44" t="s">
        <v>194</v>
      </c>
      <c r="U109" s="45" t="str">
        <f>IF(records[Type]="Room",records[roomNo],records[roomNo]&amp;"-"&amp;SUBSTITUTE(RIGHT(records[roomNo]&amp;records[Type],2),"-",""))</f>
        <v>16-1-101</v>
      </c>
      <c r="V109" s="47" t="str">
        <f t="array" ref="V109">_xlfn.XLOOKUP(records[ID], dAir[roomNo], dAir[roomName])</f>
        <v>AIRLOCK</v>
      </c>
      <c r="W109" s="47" t="str">
        <f t="array" ref="W109">_xlfn.XLOOKUP(records[ID], dAir[roomNo], dAir[building])</f>
        <v>Building 16</v>
      </c>
      <c r="X109" s="47" t="str">
        <f t="array" ref="X109">_xlfn.XLOOKUP(records[ID], dAir[roomNo], dAir[floor])</f>
        <v>Floor 1</v>
      </c>
      <c r="Y109" s="45" t="str">
        <f t="array" ref="Y109">_xlfn.XLOOKUP(records[ID], dAir[roomNo], dAir[Class])</f>
        <v>C</v>
      </c>
      <c r="Z109" s="45">
        <f t="array" ref="Z109">_xlfn.XLOOKUP(records[Method]&amp;"-"&amp;records[Class], dAirSpec[ID], dAirSpec[Spec])</f>
        <v>100</v>
      </c>
      <c r="AA109" s="45" t="str">
        <f t="array" ref="AA109">_xlfn.XLOOKUP(records[Method]&amp;"-"&amp;records[Class], dAirSpec[ID], dAirSpec[Unit])</f>
        <v>cfu/m3</v>
      </c>
      <c r="AB109" s="45">
        <f t="array" ref="AB109">if(S109="","", if(records[Method]="Active Air",_xlfn.xlookup(records[ColonyCount]&amp;records[AirSampler],feller[code],feller[Vc]),records[ColonyCount]))</f>
        <v>6</v>
      </c>
      <c r="AC109" s="60" t="b">
        <f t="shared" si="1"/>
        <v>1</v>
      </c>
      <c r="AD109" s="61" t="b">
        <v>0</v>
      </c>
      <c r="AE109" s="32" t="s">
        <v>235</v>
      </c>
      <c r="AF109" s="46"/>
      <c r="AG109" s="46"/>
      <c r="AH109" s="46"/>
      <c r="AI109" s="46"/>
      <c r="AJ109" s="46"/>
    </row>
    <row r="110" ht="22.5" customHeight="1">
      <c r="A110" s="27">
        <v>46180.0</v>
      </c>
      <c r="B110" s="34" t="str">
        <f t="array" ref="B110">TEXT(A110, "MM-YYYY")</f>
        <v>06-2026</v>
      </c>
      <c r="C110" s="39" t="s">
        <v>1486</v>
      </c>
      <c r="D110" s="36" t="s">
        <v>1350</v>
      </c>
      <c r="E110" s="36" t="s">
        <v>531</v>
      </c>
      <c r="F110" s="37" t="s">
        <v>10</v>
      </c>
      <c r="G110" s="29" t="b">
        <v>1</v>
      </c>
      <c r="H110" s="36" t="s">
        <v>214</v>
      </c>
      <c r="I110" s="36" t="s">
        <v>757</v>
      </c>
      <c r="J110" s="39">
        <v>3.1101125E8</v>
      </c>
      <c r="K110" s="40">
        <v>46240.0</v>
      </c>
      <c r="L110" s="37" t="s">
        <v>194</v>
      </c>
      <c r="M110" s="37" t="s">
        <v>194</v>
      </c>
      <c r="N110" s="37" t="s">
        <v>194</v>
      </c>
      <c r="O110" s="37" t="s">
        <v>194</v>
      </c>
      <c r="P110" s="37" t="s">
        <v>223</v>
      </c>
      <c r="Q110" s="37" t="s">
        <v>224</v>
      </c>
      <c r="R110" s="41">
        <v>46218.0</v>
      </c>
      <c r="S110" s="42">
        <v>2.0</v>
      </c>
      <c r="T110" s="44" t="s">
        <v>1483</v>
      </c>
      <c r="U110" s="45" t="str">
        <f>IF(records[Type]="Room",records[roomNo],records[roomNo]&amp;"-"&amp;SUBSTITUTE(RIGHT(records[roomNo]&amp;records[Type],2),"-",""))</f>
        <v>16-1-101-PB</v>
      </c>
      <c r="V110" s="47" t="str">
        <f t="array" ref="V110">_xlfn.XLOOKUP(records[ID], dAir[roomNo], dAir[roomName])</f>
        <v>AIRLOCK (Passbox)</v>
      </c>
      <c r="W110" s="47" t="str">
        <f t="array" ref="W110">_xlfn.XLOOKUP(records[ID], dAir[roomNo], dAir[building])</f>
        <v>Building 16</v>
      </c>
      <c r="X110" s="47" t="str">
        <f t="array" ref="X110">_xlfn.XLOOKUP(records[ID], dAir[roomNo], dAir[floor])</f>
        <v>Floor 1</v>
      </c>
      <c r="Y110" s="45" t="str">
        <f t="array" ref="Y110">_xlfn.XLOOKUP(records[ID], dAir[roomNo], dAir[Class])</f>
        <v>C</v>
      </c>
      <c r="Z110" s="45">
        <f t="array" ref="Z110">_xlfn.XLOOKUP(records[Method]&amp;"-"&amp;records[Class], dAirSpec[ID], dAirSpec[Spec])</f>
        <v>100</v>
      </c>
      <c r="AA110" s="45" t="str">
        <f t="array" ref="AA110">_xlfn.XLOOKUP(records[Method]&amp;"-"&amp;records[Class], dAirSpec[ID], dAirSpec[Unit])</f>
        <v>cfu/m3</v>
      </c>
      <c r="AB110" s="45">
        <f t="array" ref="AB110">if(S110="","", if(records[Method]="Active Air",_xlfn.xlookup(records[ColonyCount]&amp;records[AirSampler],feller[code],feller[Vc]),records[ColonyCount]))</f>
        <v>2</v>
      </c>
      <c r="AC110" s="60" t="b">
        <f t="shared" si="1"/>
        <v>1</v>
      </c>
      <c r="AD110" s="61" t="b">
        <v>0</v>
      </c>
      <c r="AE110" s="32" t="s">
        <v>235</v>
      </c>
      <c r="AF110" s="46"/>
      <c r="AG110" s="46"/>
      <c r="AH110" s="46"/>
      <c r="AI110" s="46"/>
      <c r="AJ110" s="46"/>
    </row>
    <row r="111" ht="22.5" customHeight="1">
      <c r="A111" s="27">
        <v>46180.0</v>
      </c>
      <c r="B111" s="34" t="str">
        <f t="array" ref="B111">TEXT(A111, "MM-YYYY")</f>
        <v>06-2026</v>
      </c>
      <c r="C111" s="32" t="s">
        <v>786</v>
      </c>
      <c r="D111" s="21" t="s">
        <v>680</v>
      </c>
      <c r="E111" s="36" t="s">
        <v>531</v>
      </c>
      <c r="F111" s="37" t="s">
        <v>10</v>
      </c>
      <c r="G111" s="29" t="b">
        <v>1</v>
      </c>
      <c r="H111" s="36" t="s">
        <v>214</v>
      </c>
      <c r="I111" s="36" t="s">
        <v>757</v>
      </c>
      <c r="J111" s="39">
        <v>3.1101125E8</v>
      </c>
      <c r="K111" s="40">
        <v>46240.0</v>
      </c>
      <c r="L111" s="37" t="s">
        <v>194</v>
      </c>
      <c r="M111" s="37" t="s">
        <v>194</v>
      </c>
      <c r="N111" s="37" t="s">
        <v>194</v>
      </c>
      <c r="O111" s="37" t="s">
        <v>194</v>
      </c>
      <c r="P111" s="37" t="s">
        <v>223</v>
      </c>
      <c r="Q111" s="37" t="s">
        <v>224</v>
      </c>
      <c r="R111" s="41">
        <v>46218.0</v>
      </c>
      <c r="S111" s="42">
        <v>1.0</v>
      </c>
      <c r="T111" s="44" t="s">
        <v>680</v>
      </c>
      <c r="U111" s="45" t="str">
        <f>IF(records[Type]="Room",records[roomNo],records[roomNo]&amp;"-"&amp;SUBSTITUTE(RIGHT(records[roomNo]&amp;records[Type],2),"-",""))</f>
        <v>16-1-102-B</v>
      </c>
      <c r="V111" s="47" t="str">
        <f t="array" ref="V111">_xlfn.XLOOKUP(records[ID], dAir[roomNo], dAir[roomName])</f>
        <v>DISPENSING (Booth)</v>
      </c>
      <c r="W111" s="47" t="str">
        <f t="array" ref="W111">_xlfn.XLOOKUP(records[ID], dAir[roomNo], dAir[building])</f>
        <v>Building 16</v>
      </c>
      <c r="X111" s="47" t="str">
        <f t="array" ref="X111">_xlfn.XLOOKUP(records[ID], dAir[roomNo], dAir[floor])</f>
        <v>Floor 1</v>
      </c>
      <c r="Y111" s="45" t="str">
        <f t="array" ref="Y111">_xlfn.XLOOKUP(records[ID], dAir[roomNo], dAir[Class])</f>
        <v>A</v>
      </c>
      <c r="Z111" s="45">
        <f t="array" ref="Z111">_xlfn.XLOOKUP(records[Method]&amp;"-"&amp;records[Class], dAirSpec[ID], dAirSpec[Spec])</f>
        <v>0</v>
      </c>
      <c r="AA111" s="45" t="str">
        <f t="array" ref="AA111">_xlfn.XLOOKUP(records[Method]&amp;"-"&amp;records[Class], dAirSpec[ID], dAirSpec[Unit])</f>
        <v>cfu/m3</v>
      </c>
      <c r="AB111" s="45">
        <f t="array" ref="AB111">if(S111="","", if(records[Method]="Active Air",_xlfn.xlookup(records[ColonyCount]&amp;records[AirSampler],feller[code],feller[Vc]),records[ColonyCount]))</f>
        <v>1</v>
      </c>
      <c r="AC111" s="60" t="b">
        <f t="shared" si="1"/>
        <v>0</v>
      </c>
      <c r="AD111" s="61" t="b">
        <v>0</v>
      </c>
      <c r="AE111" s="32" t="s">
        <v>235</v>
      </c>
      <c r="AF111" s="46"/>
      <c r="AG111" s="46"/>
      <c r="AH111" s="46"/>
      <c r="AI111" s="46"/>
      <c r="AJ111" s="46"/>
    </row>
    <row r="112" ht="22.5" customHeight="1">
      <c r="A112" s="27">
        <v>46180.0</v>
      </c>
      <c r="B112" s="34" t="str">
        <f t="array" ref="B112">TEXT(A112, "MM-YYYY")</f>
        <v>06-2026</v>
      </c>
      <c r="C112" s="39" t="s">
        <v>786</v>
      </c>
      <c r="D112" s="36" t="s">
        <v>210</v>
      </c>
      <c r="E112" s="36" t="s">
        <v>531</v>
      </c>
      <c r="F112" s="37" t="s">
        <v>10</v>
      </c>
      <c r="G112" s="29" t="b">
        <v>1</v>
      </c>
      <c r="H112" s="36" t="s">
        <v>214</v>
      </c>
      <c r="I112" s="36" t="s">
        <v>534</v>
      </c>
      <c r="J112" s="39"/>
      <c r="K112" s="40"/>
      <c r="L112" s="37" t="s">
        <v>194</v>
      </c>
      <c r="M112" s="37" t="s">
        <v>194</v>
      </c>
      <c r="N112" s="37" t="s">
        <v>194</v>
      </c>
      <c r="O112" s="37" t="s">
        <v>194</v>
      </c>
      <c r="P112" s="37" t="s">
        <v>223</v>
      </c>
      <c r="Q112" s="37" t="s">
        <v>224</v>
      </c>
      <c r="R112" s="41">
        <v>46218.0</v>
      </c>
      <c r="S112" s="42">
        <v>17.0</v>
      </c>
      <c r="T112" s="44" t="s">
        <v>194</v>
      </c>
      <c r="U112" s="45" t="str">
        <f>IF(records[Type]="Room",records[roomNo],records[roomNo]&amp;"-"&amp;SUBSTITUTE(RIGHT(records[roomNo]&amp;records[Type],2),"-",""))</f>
        <v>16-1-102</v>
      </c>
      <c r="V112" s="47" t="str">
        <f t="array" ref="V112">_xlfn.XLOOKUP(records[ID], dAir[roomNo], dAir[roomName])</f>
        <v>DISPENSING</v>
      </c>
      <c r="W112" s="47" t="str">
        <f t="array" ref="W112">_xlfn.XLOOKUP(records[ID], dAir[roomNo], dAir[building])</f>
        <v>Building 16</v>
      </c>
      <c r="X112" s="47" t="str">
        <f t="array" ref="X112">_xlfn.XLOOKUP(records[ID], dAir[roomNo], dAir[floor])</f>
        <v>Floor 1</v>
      </c>
      <c r="Y112" s="45" t="str">
        <f t="array" ref="Y112">_xlfn.XLOOKUP(records[ID], dAir[roomNo], dAir[Class])</f>
        <v>C</v>
      </c>
      <c r="Z112" s="45">
        <f t="array" ref="Z112">_xlfn.XLOOKUP(records[Method]&amp;"-"&amp;records[Class], dAirSpec[ID], dAirSpec[Spec])</f>
        <v>100</v>
      </c>
      <c r="AA112" s="45" t="str">
        <f t="array" ref="AA112">_xlfn.XLOOKUP(records[Method]&amp;"-"&amp;records[Class], dAirSpec[ID], dAirSpec[Unit])</f>
        <v>cfu/m3</v>
      </c>
      <c r="AB112" s="45">
        <f t="array" ref="AB112">if(S112="","", if(records[Method]="Active Air",_xlfn.xlookup(records[ColonyCount]&amp;records[AirSampler],feller[code],feller[Vc]),records[ColonyCount]))</f>
        <v>18</v>
      </c>
      <c r="AC112" s="60" t="b">
        <f t="shared" si="1"/>
        <v>1</v>
      </c>
      <c r="AD112" s="61" t="b">
        <v>0</v>
      </c>
      <c r="AE112" s="32" t="s">
        <v>235</v>
      </c>
      <c r="AF112" s="46"/>
      <c r="AG112" s="46"/>
      <c r="AH112" s="46"/>
      <c r="AI112" s="46"/>
      <c r="AJ112" s="46"/>
    </row>
    <row r="113" ht="22.5" customHeight="1">
      <c r="A113" s="27">
        <v>46180.0</v>
      </c>
      <c r="B113" s="34" t="str">
        <f t="array" ref="B113">TEXT(A113, "MM-YYYY")</f>
        <v>06-2026</v>
      </c>
      <c r="C113" s="39" t="s">
        <v>1492</v>
      </c>
      <c r="D113" s="36" t="s">
        <v>210</v>
      </c>
      <c r="E113" s="36" t="s">
        <v>531</v>
      </c>
      <c r="F113" s="37" t="s">
        <v>10</v>
      </c>
      <c r="G113" s="29" t="b">
        <v>1</v>
      </c>
      <c r="H113" s="36" t="s">
        <v>214</v>
      </c>
      <c r="I113" s="36" t="s">
        <v>534</v>
      </c>
      <c r="J113" s="39"/>
      <c r="K113" s="40"/>
      <c r="L113" s="37" t="s">
        <v>194</v>
      </c>
      <c r="M113" s="37" t="s">
        <v>194</v>
      </c>
      <c r="N113" s="37" t="s">
        <v>194</v>
      </c>
      <c r="O113" s="37" t="s">
        <v>194</v>
      </c>
      <c r="P113" s="37" t="s">
        <v>223</v>
      </c>
      <c r="Q113" s="37" t="s">
        <v>224</v>
      </c>
      <c r="R113" s="41">
        <v>46218.0</v>
      </c>
      <c r="S113" s="42">
        <v>1.0</v>
      </c>
      <c r="T113" s="44" t="s">
        <v>194</v>
      </c>
      <c r="U113" s="45" t="str">
        <f>IF(records[Type]="Room",records[roomNo],records[roomNo]&amp;"-"&amp;SUBSTITUTE(RIGHT(records[roomNo]&amp;records[Type],2),"-",""))</f>
        <v>16-1-103</v>
      </c>
      <c r="V113" s="47" t="str">
        <f t="array" ref="V113">_xlfn.XLOOKUP(records[ID], dAir[roomNo], dAir[roomName])</f>
        <v>DISPENSED MATERIAL STAGING</v>
      </c>
      <c r="W113" s="47" t="str">
        <f t="array" ref="W113">_xlfn.XLOOKUP(records[ID], dAir[roomNo], dAir[building])</f>
        <v>Building 16</v>
      </c>
      <c r="X113" s="47" t="str">
        <f t="array" ref="X113">_xlfn.XLOOKUP(records[ID], dAir[roomNo], dAir[floor])</f>
        <v>Floor 1</v>
      </c>
      <c r="Y113" s="45" t="str">
        <f t="array" ref="Y113">_xlfn.XLOOKUP(records[ID], dAir[roomNo], dAir[Class])</f>
        <v>C</v>
      </c>
      <c r="Z113" s="45">
        <f t="array" ref="Z113">_xlfn.XLOOKUP(records[Method]&amp;"-"&amp;records[Class], dAirSpec[ID], dAirSpec[Spec])</f>
        <v>100</v>
      </c>
      <c r="AA113" s="45" t="str">
        <f t="array" ref="AA113">_xlfn.XLOOKUP(records[Method]&amp;"-"&amp;records[Class], dAirSpec[ID], dAirSpec[Unit])</f>
        <v>cfu/m3</v>
      </c>
      <c r="AB113" s="45">
        <f t="array" ref="AB113">if(S113="","", if(records[Method]="Active Air",_xlfn.xlookup(records[ColonyCount]&amp;records[AirSampler],feller[code],feller[Vc]),records[ColonyCount]))</f>
        <v>1</v>
      </c>
      <c r="AC113" s="60" t="b">
        <f t="shared" si="1"/>
        <v>1</v>
      </c>
      <c r="AD113" s="61" t="b">
        <v>0</v>
      </c>
      <c r="AE113" s="32" t="s">
        <v>235</v>
      </c>
      <c r="AF113" s="46"/>
      <c r="AG113" s="46"/>
      <c r="AH113" s="46"/>
      <c r="AI113" s="46"/>
      <c r="AJ113" s="46"/>
    </row>
    <row r="114" ht="22.5" customHeight="1">
      <c r="A114" s="27">
        <v>46180.0</v>
      </c>
      <c r="B114" s="34" t="str">
        <f t="array" ref="B114">TEXT(A114, "MM-YYYY")</f>
        <v>06-2026</v>
      </c>
      <c r="C114" s="39" t="s">
        <v>1493</v>
      </c>
      <c r="D114" s="36" t="s">
        <v>210</v>
      </c>
      <c r="E114" s="36" t="s">
        <v>531</v>
      </c>
      <c r="F114" s="37" t="s">
        <v>10</v>
      </c>
      <c r="G114" s="29" t="b">
        <v>1</v>
      </c>
      <c r="H114" s="36" t="s">
        <v>214</v>
      </c>
      <c r="I114" s="36" t="s">
        <v>203</v>
      </c>
      <c r="J114" s="39"/>
      <c r="K114" s="40"/>
      <c r="L114" s="37" t="s">
        <v>194</v>
      </c>
      <c r="M114" s="37" t="s">
        <v>194</v>
      </c>
      <c r="N114" s="37" t="s">
        <v>194</v>
      </c>
      <c r="O114" s="37" t="s">
        <v>194</v>
      </c>
      <c r="P114" s="37" t="s">
        <v>223</v>
      </c>
      <c r="Q114" s="37" t="s">
        <v>224</v>
      </c>
      <c r="R114" s="41">
        <v>46218.0</v>
      </c>
      <c r="S114" s="42">
        <v>31.0</v>
      </c>
      <c r="T114" s="44" t="s">
        <v>194</v>
      </c>
      <c r="U114" s="45" t="str">
        <f>IF(records[Type]="Room",records[roomNo],records[roomNo]&amp;"-"&amp;SUBSTITUTE(RIGHT(records[roomNo]&amp;records[Type],2),"-",""))</f>
        <v>16-1-104</v>
      </c>
      <c r="V114" s="47" t="str">
        <f t="array" ref="V114">_xlfn.XLOOKUP(records[ID], dAir[roomNo], dAir[roomName])</f>
        <v>AMPOULES INTERNAL STAGING</v>
      </c>
      <c r="W114" s="47" t="str">
        <f t="array" ref="W114">_xlfn.XLOOKUP(records[ID], dAir[roomNo], dAir[building])</f>
        <v>Building 16</v>
      </c>
      <c r="X114" s="47" t="str">
        <f t="array" ref="X114">_xlfn.XLOOKUP(records[ID], dAir[roomNo], dAir[floor])</f>
        <v>Floor 1</v>
      </c>
      <c r="Y114" s="45" t="str">
        <f t="array" ref="Y114">_xlfn.XLOOKUP(records[ID], dAir[roomNo], dAir[Class])</f>
        <v>C</v>
      </c>
      <c r="Z114" s="45">
        <f t="array" ref="Z114">_xlfn.XLOOKUP(records[Method]&amp;"-"&amp;records[Class], dAirSpec[ID], dAirSpec[Spec])</f>
        <v>100</v>
      </c>
      <c r="AA114" s="45" t="str">
        <f t="array" ref="AA114">_xlfn.XLOOKUP(records[Method]&amp;"-"&amp;records[Class], dAirSpec[ID], dAirSpec[Unit])</f>
        <v>cfu/m3</v>
      </c>
      <c r="AB114" s="45">
        <f t="array" ref="AB114">if(S114="","", if(records[Method]="Active Air",_xlfn.xlookup(records[ColonyCount]&amp;records[AirSampler],feller[code],feller[Vc]),records[ColonyCount]))</f>
        <v>31</v>
      </c>
      <c r="AC114" s="60" t="b">
        <f t="shared" si="1"/>
        <v>1</v>
      </c>
      <c r="AD114" s="61" t="b">
        <v>0</v>
      </c>
      <c r="AE114" s="32" t="s">
        <v>235</v>
      </c>
      <c r="AF114" s="46"/>
      <c r="AG114" s="46"/>
      <c r="AH114" s="46"/>
      <c r="AI114" s="46"/>
      <c r="AJ114" s="46"/>
    </row>
    <row r="115" ht="22.5" customHeight="1">
      <c r="A115" s="27">
        <v>46180.0</v>
      </c>
      <c r="B115" s="34" t="str">
        <f t="array" ref="B115">TEXT(A115, "MM-YYYY")</f>
        <v>06-2026</v>
      </c>
      <c r="C115" s="39" t="s">
        <v>1493</v>
      </c>
      <c r="D115" s="36" t="s">
        <v>1350</v>
      </c>
      <c r="E115" s="36" t="s">
        <v>531</v>
      </c>
      <c r="F115" s="37" t="s">
        <v>10</v>
      </c>
      <c r="G115" s="29" t="b">
        <v>1</v>
      </c>
      <c r="H115" s="36" t="s">
        <v>214</v>
      </c>
      <c r="I115" s="36" t="s">
        <v>203</v>
      </c>
      <c r="J115" s="39"/>
      <c r="K115" s="40"/>
      <c r="L115" s="37" t="s">
        <v>194</v>
      </c>
      <c r="M115" s="37" t="s">
        <v>194</v>
      </c>
      <c r="N115" s="37" t="s">
        <v>194</v>
      </c>
      <c r="O115" s="37" t="s">
        <v>194</v>
      </c>
      <c r="P115" s="37" t="s">
        <v>223</v>
      </c>
      <c r="Q115" s="37" t="s">
        <v>224</v>
      </c>
      <c r="R115" s="41">
        <v>46218.0</v>
      </c>
      <c r="S115" s="42">
        <v>16.0</v>
      </c>
      <c r="T115" s="44" t="s">
        <v>1483</v>
      </c>
      <c r="U115" s="45" t="str">
        <f>IF(records[Type]="Room",records[roomNo],records[roomNo]&amp;"-"&amp;SUBSTITUTE(RIGHT(records[roomNo]&amp;records[Type],2),"-",""))</f>
        <v>16-1-104-PB</v>
      </c>
      <c r="V115" s="47" t="str">
        <f t="array" ref="V115">_xlfn.XLOOKUP(records[ID], dAir[roomNo], dAir[roomName])</f>
        <v>AMPOULES INTERNAL STAGING (Passbox)</v>
      </c>
      <c r="W115" s="47" t="str">
        <f t="array" ref="W115">_xlfn.XLOOKUP(records[ID], dAir[roomNo], dAir[building])</f>
        <v>Building 16</v>
      </c>
      <c r="X115" s="47" t="str">
        <f t="array" ref="X115">_xlfn.XLOOKUP(records[ID], dAir[roomNo], dAir[floor])</f>
        <v>Floor 1</v>
      </c>
      <c r="Y115" s="45" t="str">
        <f t="array" ref="Y115">_xlfn.XLOOKUP(records[ID], dAir[roomNo], dAir[Class])</f>
        <v>C</v>
      </c>
      <c r="Z115" s="45">
        <f t="array" ref="Z115">_xlfn.XLOOKUP(records[Method]&amp;"-"&amp;records[Class], dAirSpec[ID], dAirSpec[Spec])</f>
        <v>100</v>
      </c>
      <c r="AA115" s="45" t="str">
        <f t="array" ref="AA115">_xlfn.XLOOKUP(records[Method]&amp;"-"&amp;records[Class], dAirSpec[ID], dAirSpec[Unit])</f>
        <v>cfu/m3</v>
      </c>
      <c r="AB115" s="45">
        <f t="array" ref="AB115">if(S115="","", if(records[Method]="Active Air",_xlfn.xlookup(records[ColonyCount]&amp;records[AirSampler],feller[code],feller[Vc]),records[ColonyCount]))</f>
        <v>16</v>
      </c>
      <c r="AC115" s="60" t="b">
        <f t="shared" si="1"/>
        <v>1</v>
      </c>
      <c r="AD115" s="61" t="b">
        <v>0</v>
      </c>
      <c r="AE115" s="32" t="s">
        <v>235</v>
      </c>
      <c r="AF115" s="46"/>
      <c r="AG115" s="46"/>
      <c r="AH115" s="46"/>
      <c r="AI115" s="46"/>
      <c r="AJ115" s="46"/>
    </row>
    <row r="116" ht="22.5" customHeight="1">
      <c r="A116" s="27">
        <v>46180.0</v>
      </c>
      <c r="B116" s="34" t="str">
        <f t="array" ref="B116">TEXT(A116, "MM-YYYY")</f>
        <v>06-2026</v>
      </c>
      <c r="C116" s="39" t="s">
        <v>754</v>
      </c>
      <c r="D116" s="36" t="s">
        <v>210</v>
      </c>
      <c r="E116" s="36" t="s">
        <v>531</v>
      </c>
      <c r="F116" s="37" t="s">
        <v>10</v>
      </c>
      <c r="G116" s="29" t="b">
        <v>1</v>
      </c>
      <c r="H116" s="36" t="s">
        <v>214</v>
      </c>
      <c r="I116" s="36" t="s">
        <v>534</v>
      </c>
      <c r="J116" s="39"/>
      <c r="K116" s="40"/>
      <c r="L116" s="37" t="s">
        <v>194</v>
      </c>
      <c r="M116" s="37" t="s">
        <v>194</v>
      </c>
      <c r="N116" s="37" t="s">
        <v>194</v>
      </c>
      <c r="O116" s="37" t="s">
        <v>194</v>
      </c>
      <c r="P116" s="37" t="s">
        <v>223</v>
      </c>
      <c r="Q116" s="37" t="s">
        <v>224</v>
      </c>
      <c r="R116" s="41">
        <v>46218.0</v>
      </c>
      <c r="S116" s="42">
        <v>1.0</v>
      </c>
      <c r="T116" s="44" t="s">
        <v>194</v>
      </c>
      <c r="U116" s="45" t="str">
        <f>IF(records[Type]="Room",records[roomNo],records[roomNo]&amp;"-"&amp;SUBSTITUTE(RIGHT(records[roomNo]&amp;records[Type],2),"-",""))</f>
        <v>16-1-105</v>
      </c>
      <c r="V116" s="47" t="str">
        <f t="array" ref="V116">_xlfn.XLOOKUP(records[ID], dAir[roomNo], dAir[roomName])</f>
        <v>WASHING / TUNNEL 1</v>
      </c>
      <c r="W116" s="47" t="str">
        <f t="array" ref="W116">_xlfn.XLOOKUP(records[ID], dAir[roomNo], dAir[building])</f>
        <v>Building 16</v>
      </c>
      <c r="X116" s="47" t="str">
        <f t="array" ref="X116">_xlfn.XLOOKUP(records[ID], dAir[roomNo], dAir[floor])</f>
        <v>Floor 1</v>
      </c>
      <c r="Y116" s="45" t="str">
        <f t="array" ref="Y116">_xlfn.XLOOKUP(records[ID], dAir[roomNo], dAir[Class])</f>
        <v>C</v>
      </c>
      <c r="Z116" s="45">
        <f t="array" ref="Z116">_xlfn.XLOOKUP(records[Method]&amp;"-"&amp;records[Class], dAirSpec[ID], dAirSpec[Spec])</f>
        <v>100</v>
      </c>
      <c r="AA116" s="45" t="str">
        <f t="array" ref="AA116">_xlfn.XLOOKUP(records[Method]&amp;"-"&amp;records[Class], dAirSpec[ID], dAirSpec[Unit])</f>
        <v>cfu/m3</v>
      </c>
      <c r="AB116" s="45">
        <f t="array" ref="AB116">if(S116="","", if(records[Method]="Active Air",_xlfn.xlookup(records[ColonyCount]&amp;records[AirSampler],feller[code],feller[Vc]),records[ColonyCount]))</f>
        <v>1</v>
      </c>
      <c r="AC116" s="60" t="b">
        <f t="shared" si="1"/>
        <v>1</v>
      </c>
      <c r="AD116" s="61" t="b">
        <v>0</v>
      </c>
      <c r="AE116" s="32" t="s">
        <v>235</v>
      </c>
      <c r="AF116" s="46"/>
      <c r="AG116" s="46"/>
      <c r="AH116" s="46"/>
      <c r="AI116" s="46"/>
      <c r="AJ116" s="46"/>
    </row>
    <row r="117" ht="22.5" customHeight="1">
      <c r="A117" s="27">
        <v>46180.0</v>
      </c>
      <c r="B117" s="34" t="str">
        <f t="array" ref="B117">TEXT(A117, "MM-YYYY")</f>
        <v>06-2026</v>
      </c>
      <c r="C117" s="39" t="s">
        <v>1498</v>
      </c>
      <c r="D117" s="36" t="s">
        <v>210</v>
      </c>
      <c r="E117" s="36" t="s">
        <v>531</v>
      </c>
      <c r="F117" s="37" t="s">
        <v>10</v>
      </c>
      <c r="G117" s="29" t="b">
        <v>1</v>
      </c>
      <c r="H117" s="36" t="s">
        <v>214</v>
      </c>
      <c r="I117" s="36" t="s">
        <v>534</v>
      </c>
      <c r="J117" s="39"/>
      <c r="K117" s="40"/>
      <c r="L117" s="37" t="s">
        <v>194</v>
      </c>
      <c r="M117" s="37" t="s">
        <v>194</v>
      </c>
      <c r="N117" s="37" t="s">
        <v>194</v>
      </c>
      <c r="O117" s="37" t="s">
        <v>194</v>
      </c>
      <c r="P117" s="37" t="s">
        <v>223</v>
      </c>
      <c r="Q117" s="37" t="s">
        <v>224</v>
      </c>
      <c r="R117" s="41">
        <v>46218.0</v>
      </c>
      <c r="S117" s="42">
        <v>2.0</v>
      </c>
      <c r="T117" s="44" t="s">
        <v>194</v>
      </c>
      <c r="U117" s="45" t="str">
        <f>IF(records[Type]="Room",records[roomNo],records[roomNo]&amp;"-"&amp;SUBSTITUTE(RIGHT(records[roomNo]&amp;records[Type],2),"-",""))</f>
        <v>16-1-106</v>
      </c>
      <c r="V117" s="47" t="str">
        <f t="array" ref="V117">_xlfn.XLOOKUP(records[ID], dAir[roomNo], dAir[roomName])</f>
        <v>AIRLOCK</v>
      </c>
      <c r="W117" s="47" t="str">
        <f t="array" ref="W117">_xlfn.XLOOKUP(records[ID], dAir[roomNo], dAir[building])</f>
        <v>Building 16</v>
      </c>
      <c r="X117" s="47" t="str">
        <f t="array" ref="X117">_xlfn.XLOOKUP(records[ID], dAir[roomNo], dAir[floor])</f>
        <v>Floor 1</v>
      </c>
      <c r="Y117" s="45" t="str">
        <f t="array" ref="Y117">_xlfn.XLOOKUP(records[ID], dAir[roomNo], dAir[Class])</f>
        <v>C</v>
      </c>
      <c r="Z117" s="45">
        <f t="array" ref="Z117">_xlfn.XLOOKUP(records[Method]&amp;"-"&amp;records[Class], dAirSpec[ID], dAirSpec[Spec])</f>
        <v>100</v>
      </c>
      <c r="AA117" s="45" t="str">
        <f t="array" ref="AA117">_xlfn.XLOOKUP(records[Method]&amp;"-"&amp;records[Class], dAirSpec[ID], dAirSpec[Unit])</f>
        <v>cfu/m3</v>
      </c>
      <c r="AB117" s="45">
        <f t="array" ref="AB117">if(S117="","", if(records[Method]="Active Air",_xlfn.xlookup(records[ColonyCount]&amp;records[AirSampler],feller[code],feller[Vc]),records[ColonyCount]))</f>
        <v>2</v>
      </c>
      <c r="AC117" s="60" t="b">
        <f t="shared" si="1"/>
        <v>1</v>
      </c>
      <c r="AD117" s="61" t="b">
        <v>0</v>
      </c>
      <c r="AE117" s="32" t="s">
        <v>235</v>
      </c>
      <c r="AF117" s="46"/>
      <c r="AG117" s="46"/>
      <c r="AH117" s="46"/>
      <c r="AI117" s="46"/>
      <c r="AJ117" s="46"/>
    </row>
    <row r="118" ht="22.5" customHeight="1">
      <c r="A118" s="27">
        <v>46180.0</v>
      </c>
      <c r="B118" s="34" t="str">
        <f t="array" ref="B118">TEXT(A118, "MM-YYYY")</f>
        <v>06-2026</v>
      </c>
      <c r="C118" s="39" t="s">
        <v>763</v>
      </c>
      <c r="D118" s="36" t="s">
        <v>210</v>
      </c>
      <c r="E118" s="36" t="s">
        <v>531</v>
      </c>
      <c r="F118" s="37" t="s">
        <v>10</v>
      </c>
      <c r="G118" s="29" t="b">
        <v>1</v>
      </c>
      <c r="H118" s="36" t="s">
        <v>214</v>
      </c>
      <c r="I118" s="36" t="s">
        <v>534</v>
      </c>
      <c r="J118" s="39"/>
      <c r="K118" s="40"/>
      <c r="L118" s="37" t="s">
        <v>194</v>
      </c>
      <c r="M118" s="37" t="s">
        <v>194</v>
      </c>
      <c r="N118" s="37" t="s">
        <v>194</v>
      </c>
      <c r="O118" s="37" t="s">
        <v>194</v>
      </c>
      <c r="P118" s="37" t="s">
        <v>223</v>
      </c>
      <c r="Q118" s="37" t="s">
        <v>224</v>
      </c>
      <c r="R118" s="41">
        <v>46218.0</v>
      </c>
      <c r="S118" s="42">
        <v>0.0</v>
      </c>
      <c r="T118" s="44" t="s">
        <v>194</v>
      </c>
      <c r="U118" s="45" t="str">
        <f>IF(records[Type]="Room",records[roomNo],records[roomNo]&amp;"-"&amp;SUBSTITUTE(RIGHT(records[roomNo]&amp;records[Type],2),"-",""))</f>
        <v>16-1-107</v>
      </c>
      <c r="V118" s="47" t="str">
        <f t="array" ref="V118">_xlfn.XLOOKUP(records[ID], dAir[roomNo], dAir[roomName])</f>
        <v>COMPOUNDING 1</v>
      </c>
      <c r="W118" s="47" t="str">
        <f t="array" ref="W118">_xlfn.XLOOKUP(records[ID], dAir[roomNo], dAir[building])</f>
        <v>Building 16</v>
      </c>
      <c r="X118" s="47" t="str">
        <f t="array" ref="X118">_xlfn.XLOOKUP(records[ID], dAir[roomNo], dAir[floor])</f>
        <v>Floor 1</v>
      </c>
      <c r="Y118" s="45" t="str">
        <f t="array" ref="Y118">_xlfn.XLOOKUP(records[ID], dAir[roomNo], dAir[Class])</f>
        <v>C</v>
      </c>
      <c r="Z118" s="45">
        <f t="array" ref="Z118">_xlfn.XLOOKUP(records[Method]&amp;"-"&amp;records[Class], dAirSpec[ID], dAirSpec[Spec])</f>
        <v>100</v>
      </c>
      <c r="AA118" s="45" t="str">
        <f t="array" ref="AA118">_xlfn.XLOOKUP(records[Method]&amp;"-"&amp;records[Class], dAirSpec[ID], dAirSpec[Unit])</f>
        <v>cfu/m3</v>
      </c>
      <c r="AB118" s="45">
        <f t="array" ref="AB118">if(S118="","", if(records[Method]="Active Air",_xlfn.xlookup(records[ColonyCount]&amp;records[AirSampler],feller[code],feller[Vc]),records[ColonyCount]))</f>
        <v>0</v>
      </c>
      <c r="AC118" s="60" t="b">
        <f t="shared" si="1"/>
        <v>1</v>
      </c>
      <c r="AD118" s="61" t="b">
        <v>0</v>
      </c>
      <c r="AE118" s="32" t="s">
        <v>235</v>
      </c>
      <c r="AF118" s="46"/>
      <c r="AG118" s="46"/>
      <c r="AH118" s="46"/>
      <c r="AI118" s="46"/>
      <c r="AJ118" s="46"/>
    </row>
    <row r="119" ht="22.5" customHeight="1">
      <c r="A119" s="27">
        <v>46180.0</v>
      </c>
      <c r="B119" s="34" t="str">
        <f t="array" ref="B119">TEXT(A119, "MM-YYYY")</f>
        <v>06-2026</v>
      </c>
      <c r="C119" s="39" t="s">
        <v>1499</v>
      </c>
      <c r="D119" s="36" t="s">
        <v>210</v>
      </c>
      <c r="E119" s="36" t="s">
        <v>531</v>
      </c>
      <c r="F119" s="37" t="s">
        <v>10</v>
      </c>
      <c r="G119" s="29" t="b">
        <v>1</v>
      </c>
      <c r="H119" s="36" t="s">
        <v>214</v>
      </c>
      <c r="I119" s="36" t="s">
        <v>534</v>
      </c>
      <c r="J119" s="39"/>
      <c r="K119" s="40"/>
      <c r="L119" s="37" t="s">
        <v>194</v>
      </c>
      <c r="M119" s="37" t="s">
        <v>194</v>
      </c>
      <c r="N119" s="37" t="s">
        <v>194</v>
      </c>
      <c r="O119" s="37" t="s">
        <v>194</v>
      </c>
      <c r="P119" s="37" t="s">
        <v>223</v>
      </c>
      <c r="Q119" s="37" t="s">
        <v>224</v>
      </c>
      <c r="R119" s="41">
        <v>46218.0</v>
      </c>
      <c r="S119" s="42">
        <v>45.0</v>
      </c>
      <c r="T119" s="44" t="s">
        <v>194</v>
      </c>
      <c r="U119" s="45" t="str">
        <f>IF(records[Type]="Room",records[roomNo],records[roomNo]&amp;"-"&amp;SUBSTITUTE(RIGHT(records[roomNo]&amp;records[Type],2),"-",""))</f>
        <v>16-1-108</v>
      </c>
      <c r="V119" s="47" t="str">
        <f t="array" ref="V119">_xlfn.XLOOKUP(records[ID], dAir[roomNo], dAir[roomName])</f>
        <v>CLEANED EQUIPMENT</v>
      </c>
      <c r="W119" s="47" t="str">
        <f t="array" ref="W119">_xlfn.XLOOKUP(records[ID], dAir[roomNo], dAir[building])</f>
        <v>Building 16</v>
      </c>
      <c r="X119" s="47" t="str">
        <f t="array" ref="X119">_xlfn.XLOOKUP(records[ID], dAir[roomNo], dAir[floor])</f>
        <v>Floor 1</v>
      </c>
      <c r="Y119" s="45" t="str">
        <f t="array" ref="Y119">_xlfn.XLOOKUP(records[ID], dAir[roomNo], dAir[Class])</f>
        <v>C</v>
      </c>
      <c r="Z119" s="45">
        <f t="array" ref="Z119">_xlfn.XLOOKUP(records[Method]&amp;"-"&amp;records[Class], dAirSpec[ID], dAirSpec[Spec])</f>
        <v>100</v>
      </c>
      <c r="AA119" s="45" t="str">
        <f t="array" ref="AA119">_xlfn.XLOOKUP(records[Method]&amp;"-"&amp;records[Class], dAirSpec[ID], dAirSpec[Unit])</f>
        <v>cfu/m3</v>
      </c>
      <c r="AB119" s="45">
        <f t="array" ref="AB119">if(S119="","", if(records[Method]="Active Air",_xlfn.xlookup(records[ColonyCount]&amp;records[AirSampler],feller[code],feller[Vc]),records[ColonyCount]))</f>
        <v>50</v>
      </c>
      <c r="AC119" s="60" t="b">
        <f t="shared" si="1"/>
        <v>1</v>
      </c>
      <c r="AD119" s="61" t="b">
        <v>0</v>
      </c>
      <c r="AE119" s="32" t="s">
        <v>235</v>
      </c>
      <c r="AF119" s="46"/>
      <c r="AG119" s="46"/>
      <c r="AH119" s="46"/>
      <c r="AI119" s="46"/>
      <c r="AJ119" s="46"/>
    </row>
    <row r="120" ht="22.5" customHeight="1">
      <c r="A120" s="27">
        <v>46180.0</v>
      </c>
      <c r="B120" s="34" t="str">
        <f t="array" ref="B120">TEXT(A120, "MM-YYYY")</f>
        <v>06-2026</v>
      </c>
      <c r="C120" s="39" t="s">
        <v>769</v>
      </c>
      <c r="D120" s="36" t="s">
        <v>210</v>
      </c>
      <c r="E120" s="36" t="s">
        <v>531</v>
      </c>
      <c r="F120" s="37" t="s">
        <v>10</v>
      </c>
      <c r="G120" s="29" t="b">
        <v>1</v>
      </c>
      <c r="H120" s="36" t="s">
        <v>214</v>
      </c>
      <c r="I120" s="36" t="s">
        <v>534</v>
      </c>
      <c r="J120" s="39"/>
      <c r="K120" s="40"/>
      <c r="L120" s="37" t="s">
        <v>194</v>
      </c>
      <c r="M120" s="37" t="s">
        <v>194</v>
      </c>
      <c r="N120" s="37" t="s">
        <v>194</v>
      </c>
      <c r="O120" s="37" t="s">
        <v>194</v>
      </c>
      <c r="P120" s="37" t="s">
        <v>223</v>
      </c>
      <c r="Q120" s="37" t="s">
        <v>224</v>
      </c>
      <c r="R120" s="41">
        <v>46218.0</v>
      </c>
      <c r="S120" s="42">
        <v>18.0</v>
      </c>
      <c r="T120" s="44" t="s">
        <v>194</v>
      </c>
      <c r="U120" s="45" t="str">
        <f>IF(records[Type]="Room",records[roomNo],records[roomNo]&amp;"-"&amp;SUBSTITUTE(RIGHT(records[roomNo]&amp;records[Type],2),"-",""))</f>
        <v>16-1-109</v>
      </c>
      <c r="V120" s="47" t="str">
        <f t="array" ref="V120">_xlfn.XLOOKUP(records[ID], dAir[roomNo], dAir[roomName])</f>
        <v>DRYING</v>
      </c>
      <c r="W120" s="47" t="str">
        <f t="array" ref="W120">_xlfn.XLOOKUP(records[ID], dAir[roomNo], dAir[building])</f>
        <v>Building 16</v>
      </c>
      <c r="X120" s="47" t="str">
        <f t="array" ref="X120">_xlfn.XLOOKUP(records[ID], dAir[roomNo], dAir[floor])</f>
        <v>Floor 1</v>
      </c>
      <c r="Y120" s="45" t="str">
        <f t="array" ref="Y120">_xlfn.XLOOKUP(records[ID], dAir[roomNo], dAir[Class])</f>
        <v>C</v>
      </c>
      <c r="Z120" s="45">
        <f t="array" ref="Z120">_xlfn.XLOOKUP(records[Method]&amp;"-"&amp;records[Class], dAirSpec[ID], dAirSpec[Spec])</f>
        <v>100</v>
      </c>
      <c r="AA120" s="45" t="str">
        <f t="array" ref="AA120">_xlfn.XLOOKUP(records[Method]&amp;"-"&amp;records[Class], dAirSpec[ID], dAirSpec[Unit])</f>
        <v>cfu/m3</v>
      </c>
      <c r="AB120" s="45">
        <f t="array" ref="AB120">if(S120="","", if(records[Method]="Active Air",_xlfn.xlookup(records[ColonyCount]&amp;records[AirSampler],feller[code],feller[Vc]),records[ColonyCount]))</f>
        <v>19</v>
      </c>
      <c r="AC120" s="60" t="b">
        <f t="shared" si="1"/>
        <v>1</v>
      </c>
      <c r="AD120" s="61" t="b">
        <v>0</v>
      </c>
      <c r="AE120" s="32" t="s">
        <v>235</v>
      </c>
      <c r="AF120" s="46"/>
      <c r="AG120" s="46"/>
      <c r="AH120" s="46"/>
      <c r="AI120" s="46"/>
      <c r="AJ120" s="46"/>
    </row>
    <row r="121" ht="22.5" customHeight="1">
      <c r="A121" s="27">
        <v>46180.0</v>
      </c>
      <c r="B121" s="34" t="str">
        <f t="array" ref="B121">TEXT(A121, "MM-YYYY")</f>
        <v>06-2026</v>
      </c>
      <c r="C121" s="39" t="s">
        <v>1024</v>
      </c>
      <c r="D121" s="36" t="s">
        <v>210</v>
      </c>
      <c r="E121" s="36" t="s">
        <v>531</v>
      </c>
      <c r="F121" s="37" t="s">
        <v>10</v>
      </c>
      <c r="G121" s="29" t="b">
        <v>1</v>
      </c>
      <c r="H121" s="36" t="s">
        <v>214</v>
      </c>
      <c r="I121" s="36" t="s">
        <v>203</v>
      </c>
      <c r="J121" s="39"/>
      <c r="K121" s="40"/>
      <c r="L121" s="37" t="s">
        <v>194</v>
      </c>
      <c r="M121" s="37" t="s">
        <v>194</v>
      </c>
      <c r="N121" s="37" t="s">
        <v>194</v>
      </c>
      <c r="O121" s="37" t="s">
        <v>194</v>
      </c>
      <c r="P121" s="37" t="s">
        <v>223</v>
      </c>
      <c r="Q121" s="37" t="s">
        <v>224</v>
      </c>
      <c r="R121" s="41">
        <v>46218.0</v>
      </c>
      <c r="S121" s="42">
        <v>14.0</v>
      </c>
      <c r="T121" s="44" t="s">
        <v>194</v>
      </c>
      <c r="U121" s="45" t="str">
        <f>IF(records[Type]="Room",records[roomNo],records[roomNo]&amp;"-"&amp;SUBSTITUTE(RIGHT(records[roomNo]&amp;records[Type],2),"-",""))</f>
        <v>16-1-110</v>
      </c>
      <c r="V121" s="47" t="str">
        <f t="array" ref="V121">_xlfn.XLOOKUP(records[ID], dAir[roomNo], dAir[roomName])</f>
        <v>DISINFECTANT PREPARATION</v>
      </c>
      <c r="W121" s="47" t="str">
        <f t="array" ref="W121">_xlfn.XLOOKUP(records[ID], dAir[roomNo], dAir[building])</f>
        <v>Building 16</v>
      </c>
      <c r="X121" s="47" t="str">
        <f t="array" ref="X121">_xlfn.XLOOKUP(records[ID], dAir[roomNo], dAir[floor])</f>
        <v>Floor 1</v>
      </c>
      <c r="Y121" s="45" t="str">
        <f t="array" ref="Y121">_xlfn.XLOOKUP(records[ID], dAir[roomNo], dAir[Class])</f>
        <v>C</v>
      </c>
      <c r="Z121" s="45">
        <f t="array" ref="Z121">_xlfn.XLOOKUP(records[Method]&amp;"-"&amp;records[Class], dAirSpec[ID], dAirSpec[Spec])</f>
        <v>100</v>
      </c>
      <c r="AA121" s="45" t="str">
        <f t="array" ref="AA121">_xlfn.XLOOKUP(records[Method]&amp;"-"&amp;records[Class], dAirSpec[ID], dAirSpec[Unit])</f>
        <v>cfu/m3</v>
      </c>
      <c r="AB121" s="45">
        <f t="array" ref="AB121">if(S121="","", if(records[Method]="Active Air",_xlfn.xlookup(records[ColonyCount]&amp;records[AirSampler],feller[code],feller[Vc]),records[ColonyCount]))</f>
        <v>14</v>
      </c>
      <c r="AC121" s="60" t="b">
        <f t="shared" si="1"/>
        <v>1</v>
      </c>
      <c r="AD121" s="61" t="b">
        <v>0</v>
      </c>
      <c r="AE121" s="32" t="s">
        <v>235</v>
      </c>
      <c r="AF121" s="46"/>
      <c r="AG121" s="46"/>
      <c r="AH121" s="46"/>
      <c r="AI121" s="46"/>
      <c r="AJ121" s="46"/>
    </row>
    <row r="122" ht="22.5" customHeight="1">
      <c r="A122" s="27">
        <v>46180.0</v>
      </c>
      <c r="B122" s="34" t="str">
        <f t="array" ref="B122">TEXT(A122, "MM-YYYY")</f>
        <v>06-2026</v>
      </c>
      <c r="C122" s="39" t="s">
        <v>1500</v>
      </c>
      <c r="D122" s="36" t="s">
        <v>210</v>
      </c>
      <c r="E122" s="36" t="s">
        <v>531</v>
      </c>
      <c r="F122" s="37" t="s">
        <v>10</v>
      </c>
      <c r="G122" s="29" t="b">
        <v>1</v>
      </c>
      <c r="H122" s="36" t="s">
        <v>214</v>
      </c>
      <c r="I122" s="36" t="s">
        <v>534</v>
      </c>
      <c r="J122" s="39"/>
      <c r="K122" s="40"/>
      <c r="L122" s="37" t="s">
        <v>194</v>
      </c>
      <c r="M122" s="37" t="s">
        <v>194</v>
      </c>
      <c r="N122" s="37" t="s">
        <v>194</v>
      </c>
      <c r="O122" s="37" t="s">
        <v>194</v>
      </c>
      <c r="P122" s="37" t="s">
        <v>223</v>
      </c>
      <c r="Q122" s="37" t="s">
        <v>224</v>
      </c>
      <c r="R122" s="41">
        <v>46218.0</v>
      </c>
      <c r="S122" s="42">
        <v>3.0</v>
      </c>
      <c r="T122" s="44" t="s">
        <v>194</v>
      </c>
      <c r="U122" s="45" t="str">
        <f>IF(records[Type]="Room",records[roomNo],records[roomNo]&amp;"-"&amp;SUBSTITUTE(RIGHT(records[roomNo]&amp;records[Type],2),"-",""))</f>
        <v>16-1-111</v>
      </c>
      <c r="V122" s="47" t="str">
        <f t="array" ref="V122">_xlfn.XLOOKUP(records[ID], dAir[roomNo], dAir[roomName])</f>
        <v>COMPONENT PREPARATION</v>
      </c>
      <c r="W122" s="47" t="str">
        <f t="array" ref="W122">_xlfn.XLOOKUP(records[ID], dAir[roomNo], dAir[building])</f>
        <v>Building 16</v>
      </c>
      <c r="X122" s="47" t="str">
        <f t="array" ref="X122">_xlfn.XLOOKUP(records[ID], dAir[roomNo], dAir[floor])</f>
        <v>Floor 1</v>
      </c>
      <c r="Y122" s="45" t="str">
        <f t="array" ref="Y122">_xlfn.XLOOKUP(records[ID], dAir[roomNo], dAir[Class])</f>
        <v>C</v>
      </c>
      <c r="Z122" s="45">
        <f t="array" ref="Z122">_xlfn.XLOOKUP(records[Method]&amp;"-"&amp;records[Class], dAirSpec[ID], dAirSpec[Spec])</f>
        <v>100</v>
      </c>
      <c r="AA122" s="45" t="str">
        <f t="array" ref="AA122">_xlfn.XLOOKUP(records[Method]&amp;"-"&amp;records[Class], dAirSpec[ID], dAirSpec[Unit])</f>
        <v>cfu/m3</v>
      </c>
      <c r="AB122" s="45">
        <f t="array" ref="AB122">if(S122="","", if(records[Method]="Active Air",_xlfn.xlookup(records[ColonyCount]&amp;records[AirSampler],feller[code],feller[Vc]),records[ColonyCount]))</f>
        <v>3</v>
      </c>
      <c r="AC122" s="60" t="b">
        <f t="shared" si="1"/>
        <v>1</v>
      </c>
      <c r="AD122" s="61" t="b">
        <v>0</v>
      </c>
      <c r="AE122" s="32" t="s">
        <v>235</v>
      </c>
      <c r="AF122" s="46"/>
      <c r="AG122" s="46"/>
      <c r="AH122" s="46"/>
      <c r="AI122" s="46"/>
      <c r="AJ122" s="46"/>
    </row>
    <row r="123" ht="22.5" customHeight="1">
      <c r="A123" s="27">
        <v>46180.0</v>
      </c>
      <c r="B123" s="34" t="str">
        <f t="array" ref="B123">TEXT(A123, "MM-YYYY")</f>
        <v>06-2026</v>
      </c>
      <c r="C123" s="39" t="s">
        <v>1502</v>
      </c>
      <c r="D123" s="36" t="s">
        <v>210</v>
      </c>
      <c r="E123" s="36" t="s">
        <v>531</v>
      </c>
      <c r="F123" s="37" t="s">
        <v>10</v>
      </c>
      <c r="G123" s="29" t="b">
        <v>1</v>
      </c>
      <c r="H123" s="36" t="s">
        <v>214</v>
      </c>
      <c r="I123" s="36" t="s">
        <v>534</v>
      </c>
      <c r="J123" s="39"/>
      <c r="K123" s="40"/>
      <c r="L123" s="37" t="s">
        <v>194</v>
      </c>
      <c r="M123" s="37" t="s">
        <v>194</v>
      </c>
      <c r="N123" s="37" t="s">
        <v>194</v>
      </c>
      <c r="O123" s="37" t="s">
        <v>194</v>
      </c>
      <c r="P123" s="37" t="s">
        <v>223</v>
      </c>
      <c r="Q123" s="37" t="s">
        <v>224</v>
      </c>
      <c r="R123" s="41">
        <v>46218.0</v>
      </c>
      <c r="S123" s="42">
        <v>4.0</v>
      </c>
      <c r="T123" s="29" t="s">
        <v>1043</v>
      </c>
      <c r="U123" s="45" t="str">
        <f>IF(records[Type]="Room",records[roomNo],records[roomNo]&amp;"-"&amp;SUBSTITUTE(RIGHT(records[roomNo]&amp;records[Type],2),"-",""))</f>
        <v>16-1-112</v>
      </c>
      <c r="V123" s="47" t="str">
        <f t="array" ref="V123">_xlfn.XLOOKUP(records[ID], dAir[roomNo], dAir[roomName])</f>
        <v>PASSAGE</v>
      </c>
      <c r="W123" s="47" t="str">
        <f t="array" ref="W123">_xlfn.XLOOKUP(records[ID], dAir[roomNo], dAir[building])</f>
        <v>Building 16</v>
      </c>
      <c r="X123" s="47" t="str">
        <f t="array" ref="X123">_xlfn.XLOOKUP(records[ID], dAir[roomNo], dAir[floor])</f>
        <v>Floor 1</v>
      </c>
      <c r="Y123" s="45" t="str">
        <f t="array" ref="Y123">_xlfn.XLOOKUP(records[ID], dAir[roomNo], dAir[Class])</f>
        <v>C</v>
      </c>
      <c r="Z123" s="45">
        <f t="array" ref="Z123">_xlfn.XLOOKUP(records[Method]&amp;"-"&amp;records[Class], dAirSpec[ID], dAirSpec[Spec])</f>
        <v>100</v>
      </c>
      <c r="AA123" s="45" t="str">
        <f t="array" ref="AA123">_xlfn.XLOOKUP(records[Method]&amp;"-"&amp;records[Class], dAirSpec[ID], dAirSpec[Unit])</f>
        <v>cfu/m3</v>
      </c>
      <c r="AB123" s="45">
        <f t="array" ref="AB123">if(S123="","", if(records[Method]="Active Air",_xlfn.xlookup(records[ColonyCount]&amp;records[AirSampler],feller[code],feller[Vc]),records[ColonyCount]))</f>
        <v>4</v>
      </c>
      <c r="AC123" s="60" t="b">
        <f t="shared" si="1"/>
        <v>1</v>
      </c>
      <c r="AD123" s="61" t="b">
        <v>0</v>
      </c>
      <c r="AE123" s="32" t="s">
        <v>235</v>
      </c>
      <c r="AF123" s="46"/>
      <c r="AG123" s="46"/>
      <c r="AH123" s="46"/>
      <c r="AI123" s="46"/>
      <c r="AJ123" s="46"/>
    </row>
    <row r="124" ht="22.5" customHeight="1">
      <c r="A124" s="27">
        <v>46180.0</v>
      </c>
      <c r="B124" s="34" t="str">
        <f t="array" ref="B124">TEXT(A124, "MM-YYYY")</f>
        <v>06-2026</v>
      </c>
      <c r="C124" s="39" t="s">
        <v>1503</v>
      </c>
      <c r="D124" s="36" t="s">
        <v>210</v>
      </c>
      <c r="E124" s="36" t="s">
        <v>531</v>
      </c>
      <c r="F124" s="37" t="s">
        <v>10</v>
      </c>
      <c r="G124" s="29" t="b">
        <v>1</v>
      </c>
      <c r="H124" s="36" t="s">
        <v>214</v>
      </c>
      <c r="I124" s="36" t="s">
        <v>534</v>
      </c>
      <c r="J124" s="39"/>
      <c r="K124" s="40"/>
      <c r="L124" s="37" t="s">
        <v>194</v>
      </c>
      <c r="M124" s="37" t="s">
        <v>194</v>
      </c>
      <c r="N124" s="37" t="s">
        <v>194</v>
      </c>
      <c r="O124" s="37" t="s">
        <v>194</v>
      </c>
      <c r="P124" s="37" t="s">
        <v>223</v>
      </c>
      <c r="Q124" s="37" t="s">
        <v>224</v>
      </c>
      <c r="R124" s="41">
        <v>46218.0</v>
      </c>
      <c r="S124" s="42">
        <v>1.0</v>
      </c>
      <c r="T124" s="44" t="s">
        <v>194</v>
      </c>
      <c r="U124" s="45" t="str">
        <f>IF(records[Type]="Room",records[roomNo],records[roomNo]&amp;"-"&amp;SUBSTITUTE(RIGHT(records[roomNo]&amp;records[Type],2),"-",""))</f>
        <v>16-1-113</v>
      </c>
      <c r="V124" s="47" t="str">
        <f t="array" ref="V124">_xlfn.XLOOKUP(records[ID], dAir[roomNo], dAir[roomName])</f>
        <v>AIRLOCK</v>
      </c>
      <c r="W124" s="47" t="str">
        <f t="array" ref="W124">_xlfn.XLOOKUP(records[ID], dAir[roomNo], dAir[building])</f>
        <v>Building 16</v>
      </c>
      <c r="X124" s="47" t="str">
        <f t="array" ref="X124">_xlfn.XLOOKUP(records[ID], dAir[roomNo], dAir[floor])</f>
        <v>Floor 1</v>
      </c>
      <c r="Y124" s="45" t="str">
        <f t="array" ref="Y124">_xlfn.XLOOKUP(records[ID], dAir[roomNo], dAir[Class])</f>
        <v>C</v>
      </c>
      <c r="Z124" s="45">
        <f t="array" ref="Z124">_xlfn.XLOOKUP(records[Method]&amp;"-"&amp;records[Class], dAirSpec[ID], dAirSpec[Spec])</f>
        <v>100</v>
      </c>
      <c r="AA124" s="45" t="str">
        <f t="array" ref="AA124">_xlfn.XLOOKUP(records[Method]&amp;"-"&amp;records[Class], dAirSpec[ID], dAirSpec[Unit])</f>
        <v>cfu/m3</v>
      </c>
      <c r="AB124" s="45">
        <f t="array" ref="AB124">if(S124="","", if(records[Method]="Active Air",_xlfn.xlookup(records[ColonyCount]&amp;records[AirSampler],feller[code],feller[Vc]),records[ColonyCount]))</f>
        <v>1</v>
      </c>
      <c r="AC124" s="60" t="b">
        <f t="shared" si="1"/>
        <v>1</v>
      </c>
      <c r="AD124" s="61" t="b">
        <v>0</v>
      </c>
      <c r="AE124" s="32" t="s">
        <v>235</v>
      </c>
      <c r="AF124" s="46"/>
      <c r="AG124" s="46"/>
      <c r="AH124" s="46"/>
      <c r="AI124" s="46"/>
      <c r="AJ124" s="46"/>
    </row>
    <row r="125" ht="22.5" customHeight="1">
      <c r="A125" s="27">
        <v>46180.0</v>
      </c>
      <c r="B125" s="34" t="str">
        <f t="array" ref="B125">TEXT(A125, "MM-YYYY")</f>
        <v>06-2026</v>
      </c>
      <c r="C125" s="39" t="s">
        <v>776</v>
      </c>
      <c r="D125" s="36" t="s">
        <v>210</v>
      </c>
      <c r="E125" s="36" t="s">
        <v>531</v>
      </c>
      <c r="F125" s="37" t="s">
        <v>10</v>
      </c>
      <c r="G125" s="29" t="b">
        <v>1</v>
      </c>
      <c r="H125" s="36" t="s">
        <v>214</v>
      </c>
      <c r="I125" s="36" t="s">
        <v>534</v>
      </c>
      <c r="J125" s="39"/>
      <c r="K125" s="40"/>
      <c r="L125" s="37" t="s">
        <v>194</v>
      </c>
      <c r="M125" s="37" t="s">
        <v>194</v>
      </c>
      <c r="N125" s="37" t="s">
        <v>194</v>
      </c>
      <c r="O125" s="37" t="s">
        <v>194</v>
      </c>
      <c r="P125" s="37" t="s">
        <v>223</v>
      </c>
      <c r="Q125" s="37" t="s">
        <v>224</v>
      </c>
      <c r="R125" s="41">
        <v>46218.0</v>
      </c>
      <c r="S125" s="42">
        <v>3.0</v>
      </c>
      <c r="T125" s="44" t="s">
        <v>194</v>
      </c>
      <c r="U125" s="45" t="str">
        <f>IF(records[Type]="Room",records[roomNo],records[roomNo]&amp;"-"&amp;SUBSTITUTE(RIGHT(records[roomNo]&amp;records[Type],2),"-",""))</f>
        <v>16-1-114</v>
      </c>
      <c r="V125" s="47" t="str">
        <f t="array" ref="V125">_xlfn.XLOOKUP(records[ID], dAir[roomNo], dAir[roomName])</f>
        <v>COMPOUNDING 2</v>
      </c>
      <c r="W125" s="47" t="str">
        <f t="array" ref="W125">_xlfn.XLOOKUP(records[ID], dAir[roomNo], dAir[building])</f>
        <v>Building 16</v>
      </c>
      <c r="X125" s="47" t="str">
        <f t="array" ref="X125">_xlfn.XLOOKUP(records[ID], dAir[roomNo], dAir[floor])</f>
        <v>Floor 1</v>
      </c>
      <c r="Y125" s="45" t="str">
        <f t="array" ref="Y125">_xlfn.XLOOKUP(records[ID], dAir[roomNo], dAir[Class])</f>
        <v>C</v>
      </c>
      <c r="Z125" s="45">
        <f t="array" ref="Z125">_xlfn.XLOOKUP(records[Method]&amp;"-"&amp;records[Class], dAirSpec[ID], dAirSpec[Spec])</f>
        <v>100</v>
      </c>
      <c r="AA125" s="45" t="str">
        <f t="array" ref="AA125">_xlfn.XLOOKUP(records[Method]&amp;"-"&amp;records[Class], dAirSpec[ID], dAirSpec[Unit])</f>
        <v>cfu/m3</v>
      </c>
      <c r="AB125" s="45">
        <f t="array" ref="AB125">if(S125="","", if(records[Method]="Active Air",_xlfn.xlookup(records[ColonyCount]&amp;records[AirSampler],feller[code],feller[Vc]),records[ColonyCount]))</f>
        <v>3</v>
      </c>
      <c r="AC125" s="60" t="b">
        <f t="shared" si="1"/>
        <v>1</v>
      </c>
      <c r="AD125" s="61" t="b">
        <v>0</v>
      </c>
      <c r="AE125" s="32" t="s">
        <v>235</v>
      </c>
      <c r="AF125" s="46"/>
      <c r="AG125" s="46"/>
      <c r="AH125" s="46"/>
      <c r="AI125" s="46"/>
      <c r="AJ125" s="46"/>
    </row>
    <row r="126" ht="22.5" customHeight="1">
      <c r="A126" s="27">
        <v>46180.0</v>
      </c>
      <c r="B126" s="34" t="str">
        <f t="array" ref="B126">TEXT(A126, "MM-YYYY")</f>
        <v>06-2026</v>
      </c>
      <c r="C126" s="39" t="s">
        <v>1504</v>
      </c>
      <c r="D126" s="36" t="s">
        <v>210</v>
      </c>
      <c r="E126" s="36" t="s">
        <v>531</v>
      </c>
      <c r="F126" s="37" t="s">
        <v>10</v>
      </c>
      <c r="G126" s="29" t="b">
        <v>1</v>
      </c>
      <c r="H126" s="36" t="s">
        <v>214</v>
      </c>
      <c r="I126" s="36" t="s">
        <v>534</v>
      </c>
      <c r="J126" s="39"/>
      <c r="K126" s="40"/>
      <c r="L126" s="37" t="s">
        <v>194</v>
      </c>
      <c r="M126" s="37" t="s">
        <v>194</v>
      </c>
      <c r="N126" s="37" t="s">
        <v>194</v>
      </c>
      <c r="O126" s="37" t="s">
        <v>194</v>
      </c>
      <c r="P126" s="37" t="s">
        <v>223</v>
      </c>
      <c r="Q126" s="37" t="s">
        <v>224</v>
      </c>
      <c r="R126" s="41">
        <v>46218.0</v>
      </c>
      <c r="S126" s="42">
        <v>7.0</v>
      </c>
      <c r="T126" s="44" t="s">
        <v>194</v>
      </c>
      <c r="U126" s="45" t="str">
        <f>IF(records[Type]="Room",records[roomNo],records[roomNo]&amp;"-"&amp;SUBSTITUTE(RIGHT(records[roomNo]&amp;records[Type],2),"-",""))</f>
        <v>16-1-124</v>
      </c>
      <c r="V126" s="47" t="str">
        <f t="array" ref="V126">_xlfn.XLOOKUP(records[ID], dAir[roomNo], dAir[roomName])</f>
        <v>CORRIDOR</v>
      </c>
      <c r="W126" s="47" t="str">
        <f t="array" ref="W126">_xlfn.XLOOKUP(records[ID], dAir[roomNo], dAir[building])</f>
        <v>Building 16</v>
      </c>
      <c r="X126" s="47" t="str">
        <f t="array" ref="X126">_xlfn.XLOOKUP(records[ID], dAir[roomNo], dAir[floor])</f>
        <v>Floor 1</v>
      </c>
      <c r="Y126" s="45" t="str">
        <f t="array" ref="Y126">_xlfn.XLOOKUP(records[ID], dAir[roomNo], dAir[Class])</f>
        <v>C</v>
      </c>
      <c r="Z126" s="45">
        <f t="array" ref="Z126">_xlfn.XLOOKUP(records[Method]&amp;"-"&amp;records[Class], dAirSpec[ID], dAirSpec[Spec])</f>
        <v>100</v>
      </c>
      <c r="AA126" s="45" t="str">
        <f t="array" ref="AA126">_xlfn.XLOOKUP(records[Method]&amp;"-"&amp;records[Class], dAirSpec[ID], dAirSpec[Unit])</f>
        <v>cfu/m3</v>
      </c>
      <c r="AB126" s="45">
        <f t="array" ref="AB126">if(S126="","", if(records[Method]="Active Air",_xlfn.xlookup(records[ColonyCount]&amp;records[AirSampler],feller[code],feller[Vc]),records[ColonyCount]))</f>
        <v>7</v>
      </c>
      <c r="AC126" s="60" t="b">
        <f t="shared" si="1"/>
        <v>1</v>
      </c>
      <c r="AD126" s="61" t="b">
        <v>0</v>
      </c>
      <c r="AE126" s="32" t="s">
        <v>235</v>
      </c>
      <c r="AF126" s="46"/>
      <c r="AG126" s="46"/>
      <c r="AH126" s="46"/>
      <c r="AI126" s="46"/>
      <c r="AJ126" s="46"/>
    </row>
    <row r="127" ht="22.5" customHeight="1">
      <c r="A127" s="27">
        <v>46180.0</v>
      </c>
      <c r="B127" s="34" t="str">
        <f t="array" ref="B127">TEXT(A127, "MM-YYYY")</f>
        <v>06-2026</v>
      </c>
      <c r="C127" s="39" t="s">
        <v>1505</v>
      </c>
      <c r="D127" s="36" t="s">
        <v>210</v>
      </c>
      <c r="E127" s="36" t="s">
        <v>531</v>
      </c>
      <c r="F127" s="37" t="s">
        <v>10</v>
      </c>
      <c r="G127" s="29" t="b">
        <v>1</v>
      </c>
      <c r="H127" s="36" t="s">
        <v>214</v>
      </c>
      <c r="I127" s="36" t="s">
        <v>203</v>
      </c>
      <c r="J127" s="39"/>
      <c r="K127" s="40"/>
      <c r="L127" s="37" t="s">
        <v>194</v>
      </c>
      <c r="M127" s="37" t="s">
        <v>194</v>
      </c>
      <c r="N127" s="37" t="s">
        <v>194</v>
      </c>
      <c r="O127" s="37" t="s">
        <v>194</v>
      </c>
      <c r="P127" s="37" t="s">
        <v>223</v>
      </c>
      <c r="Q127" s="37" t="s">
        <v>224</v>
      </c>
      <c r="R127" s="41">
        <v>46218.0</v>
      </c>
      <c r="S127" s="42">
        <v>24.0</v>
      </c>
      <c r="T127" s="44" t="s">
        <v>194</v>
      </c>
      <c r="U127" s="45" t="str">
        <f>IF(records[Type]="Room",records[roomNo],records[roomNo]&amp;"-"&amp;SUBSTITUTE(RIGHT(records[roomNo]&amp;records[Type],2),"-",""))</f>
        <v>16-1-125</v>
      </c>
      <c r="V127" s="47" t="str">
        <f t="array" ref="V127">_xlfn.XLOOKUP(records[ID], dAir[roomNo], dAir[roomName])</f>
        <v>CORRIDOR</v>
      </c>
      <c r="W127" s="47" t="str">
        <f t="array" ref="W127">_xlfn.XLOOKUP(records[ID], dAir[roomNo], dAir[building])</f>
        <v>Building 16</v>
      </c>
      <c r="X127" s="47" t="str">
        <f t="array" ref="X127">_xlfn.XLOOKUP(records[ID], dAir[roomNo], dAir[floor])</f>
        <v>Floor 1</v>
      </c>
      <c r="Y127" s="45" t="str">
        <f t="array" ref="Y127">_xlfn.XLOOKUP(records[ID], dAir[roomNo], dAir[Class])</f>
        <v>C</v>
      </c>
      <c r="Z127" s="45">
        <f t="array" ref="Z127">_xlfn.XLOOKUP(records[Method]&amp;"-"&amp;records[Class], dAirSpec[ID], dAirSpec[Spec])</f>
        <v>100</v>
      </c>
      <c r="AA127" s="45" t="str">
        <f t="array" ref="AA127">_xlfn.XLOOKUP(records[Method]&amp;"-"&amp;records[Class], dAirSpec[ID], dAirSpec[Unit])</f>
        <v>cfu/m3</v>
      </c>
      <c r="AB127" s="45">
        <f t="array" ref="AB127">if(S127="","", if(records[Method]="Active Air",_xlfn.xlookup(records[ColonyCount]&amp;records[AirSampler],feller[code],feller[Vc]),records[ColonyCount]))</f>
        <v>24</v>
      </c>
      <c r="AC127" s="60" t="b">
        <f t="shared" si="1"/>
        <v>1</v>
      </c>
      <c r="AD127" s="61" t="b">
        <v>0</v>
      </c>
      <c r="AE127" s="32" t="s">
        <v>235</v>
      </c>
      <c r="AF127" s="46"/>
      <c r="AG127" s="46"/>
      <c r="AH127" s="46"/>
      <c r="AI127" s="46"/>
      <c r="AJ127" s="46"/>
    </row>
    <row r="128" ht="22.5" customHeight="1">
      <c r="A128" s="27">
        <v>46186.0</v>
      </c>
      <c r="B128" s="34" t="str">
        <f t="array" ref="B128">TEXT(A128, "MM-YYYY")</f>
        <v>06-2026</v>
      </c>
      <c r="C128" s="56" t="s">
        <v>795</v>
      </c>
      <c r="D128" s="36" t="s">
        <v>210</v>
      </c>
      <c r="E128" s="36" t="s">
        <v>213</v>
      </c>
      <c r="F128" s="37"/>
      <c r="G128" s="29" t="b">
        <v>0</v>
      </c>
      <c r="H128" s="36" t="s">
        <v>214</v>
      </c>
      <c r="I128" s="36" t="s">
        <v>215</v>
      </c>
      <c r="J128" s="39"/>
      <c r="K128" s="40"/>
      <c r="L128" s="37" t="s">
        <v>194</v>
      </c>
      <c r="M128" s="37" t="s">
        <v>194</v>
      </c>
      <c r="N128" s="37" t="s">
        <v>194</v>
      </c>
      <c r="O128" s="37" t="s">
        <v>194</v>
      </c>
      <c r="P128" s="37" t="s">
        <v>392</v>
      </c>
      <c r="Q128" s="37" t="s">
        <v>1629</v>
      </c>
      <c r="R128" s="41">
        <v>46243.0</v>
      </c>
      <c r="S128" s="42">
        <v>2.0</v>
      </c>
      <c r="T128" s="44" t="s">
        <v>194</v>
      </c>
      <c r="U128" s="47" t="str">
        <f>IF(records[Type]="Room",records[roomNo],records[roomNo]&amp;"-"&amp;SUBSTITUTE(RIGHT(records[roomNo]&amp;records[Type],2),"-",""))</f>
        <v>12-3-049</v>
      </c>
      <c r="V128" s="47" t="str">
        <f t="array" ref="V128">_xlfn.XLOOKUP(records[ID], dAir[roomNo], dAir[roomName])</f>
        <v>CHANGING ROOM</v>
      </c>
      <c r="W128" s="47" t="str">
        <f t="array" ref="W128">_xlfn.XLOOKUP(records[ID], dAir[roomNo], dAir[building])</f>
        <v>Building 12</v>
      </c>
      <c r="X128" s="47" t="str">
        <f t="array" ref="X128">_xlfn.XLOOKUP(records[ID], dAir[roomNo], dAir[floor])</f>
        <v>Floor 3</v>
      </c>
      <c r="Y128" s="45" t="str">
        <f t="array" ref="Y128">_xlfn.XLOOKUP(records[ID], dAir[roomNo], dAir[Class])</f>
        <v>D</v>
      </c>
      <c r="Z128" s="45">
        <f t="array" ref="Z128">_xlfn.XLOOKUP(records[Method]&amp;"-"&amp;records[Class], dAirSpec[ID], dAirSpec[Spec])</f>
        <v>100</v>
      </c>
      <c r="AA128" s="45" t="str">
        <f t="array" ref="AA128">_xlfn.XLOOKUP(records[Method]&amp;"-"&amp;records[Class], dAirSpec[ID], dAirSpec[Unit])</f>
        <v>cfu/plate</v>
      </c>
      <c r="AB128" s="58">
        <f t="array" ref="AB128">if(S128="","", if(records[Method]="Active Air",_xlfn.xlookup(records[ColonyCount]&amp;records[AirSampler],feller[code],feller[Vc]),records[ColonyCount]))</f>
        <v>2</v>
      </c>
      <c r="AC128" s="60" t="b">
        <f t="shared" si="1"/>
        <v>1</v>
      </c>
      <c r="AD128" s="61" t="b">
        <v>0</v>
      </c>
      <c r="AE128" s="32"/>
      <c r="AF128" s="46"/>
      <c r="AG128" s="46"/>
      <c r="AH128" s="46"/>
      <c r="AI128" s="46"/>
      <c r="AJ128" s="46"/>
    </row>
    <row r="129" ht="22.5" customHeight="1">
      <c r="A129" s="27">
        <v>46186.0</v>
      </c>
      <c r="B129" s="34" t="str">
        <f t="array" ref="B129">TEXT(A129, "MM-YYYY")</f>
        <v>06-2026</v>
      </c>
      <c r="C129" s="56" t="s">
        <v>802</v>
      </c>
      <c r="D129" s="36" t="s">
        <v>210</v>
      </c>
      <c r="E129" s="36" t="s">
        <v>213</v>
      </c>
      <c r="F129" s="37"/>
      <c r="G129" s="29" t="b">
        <v>0</v>
      </c>
      <c r="H129" s="36" t="s">
        <v>214</v>
      </c>
      <c r="I129" s="36" t="s">
        <v>215</v>
      </c>
      <c r="J129" s="39"/>
      <c r="K129" s="40"/>
      <c r="L129" s="37" t="s">
        <v>194</v>
      </c>
      <c r="M129" s="37" t="s">
        <v>194</v>
      </c>
      <c r="N129" s="37" t="s">
        <v>194</v>
      </c>
      <c r="O129" s="37" t="s">
        <v>194</v>
      </c>
      <c r="P129" s="37" t="s">
        <v>392</v>
      </c>
      <c r="Q129" s="37" t="s">
        <v>1629</v>
      </c>
      <c r="R129" s="41">
        <v>46243.0</v>
      </c>
      <c r="S129" s="42">
        <v>2.0</v>
      </c>
      <c r="T129" s="44" t="s">
        <v>194</v>
      </c>
      <c r="U129" s="47" t="str">
        <f>IF(records[Type]="Room",records[roomNo],records[roomNo]&amp;"-"&amp;SUBSTITUTE(RIGHT(records[roomNo]&amp;records[Type],2),"-",""))</f>
        <v>12-3-050</v>
      </c>
      <c r="V129" s="47" t="str">
        <f t="array" ref="V129">_xlfn.XLOOKUP(records[ID], dAir[roomNo], dAir[roomName])</f>
        <v>CORRIDOR</v>
      </c>
      <c r="W129" s="47" t="str">
        <f t="array" ref="W129">_xlfn.XLOOKUP(records[ID], dAir[roomNo], dAir[building])</f>
        <v>Building 12</v>
      </c>
      <c r="X129" s="47" t="str">
        <f t="array" ref="X129">_xlfn.XLOOKUP(records[ID], dAir[roomNo], dAir[floor])</f>
        <v>Floor 3</v>
      </c>
      <c r="Y129" s="45" t="str">
        <f t="array" ref="Y129">_xlfn.XLOOKUP(records[ID], dAir[roomNo], dAir[Class])</f>
        <v>D</v>
      </c>
      <c r="Z129" s="45">
        <f t="array" ref="Z129">_xlfn.XLOOKUP(records[Method]&amp;"-"&amp;records[Class], dAirSpec[ID], dAirSpec[Spec])</f>
        <v>100</v>
      </c>
      <c r="AA129" s="45" t="str">
        <f t="array" ref="AA129">_xlfn.XLOOKUP(records[Method]&amp;"-"&amp;records[Class], dAirSpec[ID], dAirSpec[Unit])</f>
        <v>cfu/plate</v>
      </c>
      <c r="AB129" s="58">
        <f t="array" ref="AB129">if(S129="","", if(records[Method]="Active Air",_xlfn.xlookup(records[ColonyCount]&amp;records[AirSampler],feller[code],feller[Vc]),records[ColonyCount]))</f>
        <v>2</v>
      </c>
      <c r="AC129" s="60" t="b">
        <f t="shared" si="1"/>
        <v>1</v>
      </c>
      <c r="AD129" s="61" t="b">
        <v>0</v>
      </c>
      <c r="AE129" s="32"/>
      <c r="AF129" s="46"/>
      <c r="AG129" s="46"/>
      <c r="AH129" s="46"/>
      <c r="AI129" s="46"/>
      <c r="AJ129" s="46"/>
    </row>
    <row r="130" ht="22.5" customHeight="1">
      <c r="A130" s="27">
        <v>46186.0</v>
      </c>
      <c r="B130" s="34" t="str">
        <f t="array" ref="B130">TEXT(A130, "MM-YYYY")</f>
        <v>06-2026</v>
      </c>
      <c r="C130" s="82" t="s">
        <v>809</v>
      </c>
      <c r="D130" s="36" t="s">
        <v>210</v>
      </c>
      <c r="E130" s="36" t="s">
        <v>213</v>
      </c>
      <c r="F130" s="37"/>
      <c r="G130" s="29" t="b">
        <v>0</v>
      </c>
      <c r="H130" s="36" t="s">
        <v>214</v>
      </c>
      <c r="I130" s="36" t="s">
        <v>215</v>
      </c>
      <c r="J130" s="39"/>
      <c r="K130" s="40"/>
      <c r="L130" s="37" t="s">
        <v>194</v>
      </c>
      <c r="M130" s="37" t="s">
        <v>194</v>
      </c>
      <c r="N130" s="37" t="s">
        <v>194</v>
      </c>
      <c r="O130" s="37" t="s">
        <v>194</v>
      </c>
      <c r="P130" s="37" t="s">
        <v>392</v>
      </c>
      <c r="Q130" s="37" t="s">
        <v>1629</v>
      </c>
      <c r="R130" s="41">
        <v>46243.0</v>
      </c>
      <c r="S130" s="42">
        <v>0.0</v>
      </c>
      <c r="T130" s="44" t="s">
        <v>194</v>
      </c>
      <c r="U130" s="83" t="str">
        <f>IF(records[Type]="Room",records[roomNo],records[roomNo]&amp;"-"&amp;SUBSTITUTE(RIGHT(records[roomNo]&amp;records[Type],2),"-",""))</f>
        <v>12-3-053</v>
      </c>
      <c r="V130" s="47" t="str">
        <f t="array" ref="V130">_xlfn.XLOOKUP(records[ID], dAir[roomNo], dAir[roomName])</f>
        <v>MLT 2</v>
      </c>
      <c r="W130" s="47" t="str">
        <f t="array" ref="W130">_xlfn.XLOOKUP(records[ID], dAir[roomNo], dAir[building])</f>
        <v>Building 12</v>
      </c>
      <c r="X130" s="47" t="str">
        <f t="array" ref="X130">_xlfn.XLOOKUP(records[ID], dAir[roomNo], dAir[floor])</f>
        <v>Floor 3</v>
      </c>
      <c r="Y130" s="45" t="str">
        <f t="array" ref="Y130">_xlfn.XLOOKUP(records[ID], dAir[roomNo], dAir[Class])</f>
        <v>D</v>
      </c>
      <c r="Z130" s="45">
        <f t="array" ref="Z130">_xlfn.XLOOKUP(records[Method]&amp;"-"&amp;records[Class], dAirSpec[ID], dAirSpec[Spec])</f>
        <v>100</v>
      </c>
      <c r="AA130" s="45" t="str">
        <f t="array" ref="AA130">_xlfn.XLOOKUP(records[Method]&amp;"-"&amp;records[Class], dAirSpec[ID], dAirSpec[Unit])</f>
        <v>cfu/plate</v>
      </c>
      <c r="AB130" s="58">
        <f t="array" ref="AB130">if(S130="","", if(records[Method]="Active Air",_xlfn.xlookup(records[ColonyCount]&amp;records[AirSampler],feller[code],feller[Vc]),records[ColonyCount]))</f>
        <v>0</v>
      </c>
      <c r="AC130" s="60" t="b">
        <f t="shared" si="1"/>
        <v>1</v>
      </c>
      <c r="AD130" s="61" t="b">
        <v>0</v>
      </c>
      <c r="AE130" s="32"/>
      <c r="AF130" s="46"/>
      <c r="AG130" s="46"/>
      <c r="AH130" s="46"/>
      <c r="AI130" s="46"/>
      <c r="AJ130" s="46"/>
    </row>
    <row r="131" ht="22.5" customHeight="1">
      <c r="A131" s="27">
        <v>46186.0</v>
      </c>
      <c r="B131" s="34" t="str">
        <f t="array" ref="B131">TEXT(A131, "MM-YYYY")</f>
        <v>06-2026</v>
      </c>
      <c r="C131" s="85" t="s">
        <v>814</v>
      </c>
      <c r="D131" s="36" t="s">
        <v>210</v>
      </c>
      <c r="E131" s="36" t="s">
        <v>531</v>
      </c>
      <c r="F131" s="37" t="s">
        <v>20</v>
      </c>
      <c r="G131" s="29" t="b">
        <v>1</v>
      </c>
      <c r="H131" s="36" t="s">
        <v>214</v>
      </c>
      <c r="I131" s="36" t="s">
        <v>534</v>
      </c>
      <c r="J131" s="39"/>
      <c r="K131" s="40"/>
      <c r="L131" s="37" t="s">
        <v>194</v>
      </c>
      <c r="M131" s="37" t="s">
        <v>194</v>
      </c>
      <c r="N131" s="37" t="s">
        <v>194</v>
      </c>
      <c r="O131" s="37" t="s">
        <v>194</v>
      </c>
      <c r="P131" s="37" t="s">
        <v>392</v>
      </c>
      <c r="Q131" s="37" t="s">
        <v>1629</v>
      </c>
      <c r="R131" s="41">
        <v>46243.0</v>
      </c>
      <c r="S131" s="42">
        <v>0.0</v>
      </c>
      <c r="T131" s="44" t="s">
        <v>194</v>
      </c>
      <c r="U131" s="83" t="str">
        <f>IF(records[Type]="Room",records[roomNo],records[roomNo]&amp;"-"&amp;SUBSTITUTE(RIGHT(records[roomNo]&amp;records[Type],2),"-",""))</f>
        <v>12-3-053-BSC</v>
      </c>
      <c r="V131" s="47" t="str">
        <f t="array" ref="V131">_xlfn.XLOOKUP(records[ID], dAir[roomNo], dAir[roomName])</f>
        <v>MLT 2</v>
      </c>
      <c r="W131" s="47" t="str">
        <f t="array" ref="W131">_xlfn.XLOOKUP(records[ID], dAir[roomNo], dAir[building])</f>
        <v>Building 12</v>
      </c>
      <c r="X131" s="47" t="str">
        <f t="array" ref="X131">_xlfn.XLOOKUP(records[ID], dAir[roomNo], dAir[floor])</f>
        <v>Floor 3</v>
      </c>
      <c r="Y131" s="45" t="str">
        <f t="array" ref="Y131">_xlfn.XLOOKUP(records[ID], dAir[roomNo], dAir[Class])</f>
        <v>A</v>
      </c>
      <c r="Z131" s="45">
        <f t="array" ref="Z131">_xlfn.XLOOKUP(records[Method]&amp;"-"&amp;records[Class], dAirSpec[ID], dAirSpec[Spec])</f>
        <v>0</v>
      </c>
      <c r="AA131" s="45" t="str">
        <f t="array" ref="AA131">_xlfn.XLOOKUP(records[Method]&amp;"-"&amp;records[Class], dAirSpec[ID], dAirSpec[Unit])</f>
        <v>cfu/m3</v>
      </c>
      <c r="AB131" s="45">
        <f t="array" ref="AB131">if(S131="","", if(records[Method]="Active Air",_xlfn.xlookup(records[ColonyCount]&amp;records[AirSampler],feller[code],feller[Vc]),records[ColonyCount]))</f>
        <v>0</v>
      </c>
      <c r="AC131" s="60" t="b">
        <f t="shared" si="1"/>
        <v>1</v>
      </c>
      <c r="AD131" s="61" t="b">
        <v>0</v>
      </c>
      <c r="AE131" s="32" t="s">
        <v>235</v>
      </c>
      <c r="AF131" s="46"/>
      <c r="AG131" s="46"/>
      <c r="AH131" s="46"/>
      <c r="AI131" s="46"/>
      <c r="AJ131" s="46"/>
    </row>
    <row r="132" ht="22.5" customHeight="1">
      <c r="A132" s="27">
        <v>46186.0</v>
      </c>
      <c r="B132" s="34" t="str">
        <f t="array" ref="B132">TEXT(A132, "MM-YYYY")</f>
        <v>06-2026</v>
      </c>
      <c r="C132" s="56" t="s">
        <v>821</v>
      </c>
      <c r="D132" s="36" t="s">
        <v>210</v>
      </c>
      <c r="E132" s="36" t="s">
        <v>213</v>
      </c>
      <c r="F132" s="37"/>
      <c r="G132" s="29" t="b">
        <v>0</v>
      </c>
      <c r="H132" s="36" t="s">
        <v>214</v>
      </c>
      <c r="I132" s="36" t="s">
        <v>215</v>
      </c>
      <c r="J132" s="39"/>
      <c r="K132" s="40"/>
      <c r="L132" s="37" t="s">
        <v>194</v>
      </c>
      <c r="M132" s="37" t="s">
        <v>194</v>
      </c>
      <c r="N132" s="37" t="s">
        <v>194</v>
      </c>
      <c r="O132" s="37" t="s">
        <v>194</v>
      </c>
      <c r="P132" s="37" t="s">
        <v>392</v>
      </c>
      <c r="Q132" s="37" t="s">
        <v>1629</v>
      </c>
      <c r="R132" s="41">
        <v>46243.0</v>
      </c>
      <c r="S132" s="42">
        <v>0.0</v>
      </c>
      <c r="T132" s="44" t="s">
        <v>194</v>
      </c>
      <c r="U132" s="47" t="str">
        <f>IF(records[Type]="Room",records[roomNo],records[roomNo]&amp;"-"&amp;SUBSTITUTE(RIGHT(records[roomNo]&amp;records[Type],2),"-",""))</f>
        <v>12-3-054</v>
      </c>
      <c r="V132" s="47" t="str">
        <f t="array" ref="V132">_xlfn.XLOOKUP(records[ID], dAir[roomNo], dAir[roomName])</f>
        <v>MLT 3</v>
      </c>
      <c r="W132" s="47" t="str">
        <f t="array" ref="W132">_xlfn.XLOOKUP(records[ID], dAir[roomNo], dAir[building])</f>
        <v>Building 12</v>
      </c>
      <c r="X132" s="47" t="str">
        <f t="array" ref="X132">_xlfn.XLOOKUP(records[ID], dAir[roomNo], dAir[floor])</f>
        <v>Floor 3</v>
      </c>
      <c r="Y132" s="45" t="str">
        <f t="array" ref="Y132">_xlfn.XLOOKUP(records[ID], dAir[roomNo], dAir[Class])</f>
        <v>D</v>
      </c>
      <c r="Z132" s="45">
        <f t="array" ref="Z132">_xlfn.XLOOKUP(records[Method]&amp;"-"&amp;records[Class], dAirSpec[ID], dAirSpec[Spec])</f>
        <v>100</v>
      </c>
      <c r="AA132" s="45" t="str">
        <f t="array" ref="AA132">_xlfn.XLOOKUP(records[Method]&amp;"-"&amp;records[Class], dAirSpec[ID], dAirSpec[Unit])</f>
        <v>cfu/plate</v>
      </c>
      <c r="AB132" s="58">
        <f t="array" ref="AB132">if(S132="","", if(records[Method]="Active Air",_xlfn.xlookup(records[ColonyCount]&amp;records[AirSampler],feller[code],feller[Vc]),records[ColonyCount]))</f>
        <v>0</v>
      </c>
      <c r="AC132" s="60" t="b">
        <f t="shared" si="1"/>
        <v>1</v>
      </c>
      <c r="AD132" s="61" t="b">
        <v>0</v>
      </c>
      <c r="AE132" s="32"/>
      <c r="AF132" s="46"/>
      <c r="AG132" s="46"/>
      <c r="AH132" s="46"/>
      <c r="AI132" s="46"/>
      <c r="AJ132" s="46"/>
    </row>
    <row r="133" ht="22.5" customHeight="1">
      <c r="A133" s="27">
        <v>46186.0</v>
      </c>
      <c r="B133" s="34" t="str">
        <f t="array" ref="B133">TEXT(A133, "MM-YYYY")</f>
        <v>06-2026</v>
      </c>
      <c r="C133" s="34" t="s">
        <v>825</v>
      </c>
      <c r="D133" s="36" t="s">
        <v>210</v>
      </c>
      <c r="E133" s="36" t="s">
        <v>531</v>
      </c>
      <c r="F133" s="37" t="s">
        <v>20</v>
      </c>
      <c r="G133" s="29" t="b">
        <v>1</v>
      </c>
      <c r="H133" s="36" t="s">
        <v>214</v>
      </c>
      <c r="I133" s="36" t="s">
        <v>534</v>
      </c>
      <c r="J133" s="39"/>
      <c r="K133" s="40"/>
      <c r="L133" s="37" t="s">
        <v>194</v>
      </c>
      <c r="M133" s="37" t="s">
        <v>194</v>
      </c>
      <c r="N133" s="37" t="s">
        <v>194</v>
      </c>
      <c r="O133" s="37" t="s">
        <v>194</v>
      </c>
      <c r="P133" s="37" t="s">
        <v>392</v>
      </c>
      <c r="Q133" s="37" t="s">
        <v>1629</v>
      </c>
      <c r="R133" s="41">
        <v>46243.0</v>
      </c>
      <c r="S133" s="42">
        <v>0.0</v>
      </c>
      <c r="T133" s="44" t="s">
        <v>194</v>
      </c>
      <c r="U133" s="47" t="str">
        <f>IF(records[Type]="Room",records[roomNo],records[roomNo]&amp;"-"&amp;SUBSTITUTE(RIGHT(records[roomNo]&amp;records[Type],2),"-",""))</f>
        <v>12-3-054-BSC</v>
      </c>
      <c r="V133" s="47" t="str">
        <f t="array" ref="V133">_xlfn.XLOOKUP(records[ID], dAir[roomNo], dAir[roomName])</f>
        <v>MLT 3</v>
      </c>
      <c r="W133" s="47" t="str">
        <f t="array" ref="W133">_xlfn.XLOOKUP(records[ID], dAir[roomNo], dAir[building])</f>
        <v>Building 12</v>
      </c>
      <c r="X133" s="47" t="str">
        <f t="array" ref="X133">_xlfn.XLOOKUP(records[ID], dAir[roomNo], dAir[floor])</f>
        <v>Floor 3</v>
      </c>
      <c r="Y133" s="45" t="str">
        <f t="array" ref="Y133">_xlfn.XLOOKUP(records[ID], dAir[roomNo], dAir[Class])</f>
        <v>A</v>
      </c>
      <c r="Z133" s="45">
        <f t="array" ref="Z133">_xlfn.XLOOKUP(records[Method]&amp;"-"&amp;records[Class], dAirSpec[ID], dAirSpec[Spec])</f>
        <v>0</v>
      </c>
      <c r="AA133" s="45" t="str">
        <f t="array" ref="AA133">_xlfn.XLOOKUP(records[Method]&amp;"-"&amp;records[Class], dAirSpec[ID], dAirSpec[Unit])</f>
        <v>cfu/m3</v>
      </c>
      <c r="AB133" s="45">
        <f t="array" ref="AB133">if(S133="","", if(records[Method]="Active Air",_xlfn.xlookup(records[ColonyCount]&amp;records[AirSampler],feller[code],feller[Vc]),records[ColonyCount]))</f>
        <v>0</v>
      </c>
      <c r="AC133" s="60" t="b">
        <f t="shared" si="1"/>
        <v>1</v>
      </c>
      <c r="AD133" s="61" t="b">
        <v>0</v>
      </c>
      <c r="AE133" s="32" t="s">
        <v>235</v>
      </c>
      <c r="AF133" s="46"/>
      <c r="AG133" s="46"/>
      <c r="AH133" s="46"/>
      <c r="AI133" s="46"/>
      <c r="AJ133" s="46"/>
    </row>
    <row r="134" ht="22.5" customHeight="1">
      <c r="A134" s="27">
        <v>46186.0</v>
      </c>
      <c r="B134" s="34" t="str">
        <f t="array" ref="B134">TEXT(A134, "MM-YYYY")</f>
        <v>06-2026</v>
      </c>
      <c r="C134" s="39" t="s">
        <v>831</v>
      </c>
      <c r="D134" s="36" t="s">
        <v>210</v>
      </c>
      <c r="E134" s="36" t="s">
        <v>213</v>
      </c>
      <c r="F134" s="37"/>
      <c r="G134" s="29" t="b">
        <v>0</v>
      </c>
      <c r="H134" s="36" t="s">
        <v>214</v>
      </c>
      <c r="I134" s="36" t="s">
        <v>215</v>
      </c>
      <c r="J134" s="39"/>
      <c r="K134" s="40"/>
      <c r="L134" s="37" t="s">
        <v>194</v>
      </c>
      <c r="M134" s="37" t="s">
        <v>194</v>
      </c>
      <c r="N134" s="37" t="s">
        <v>194</v>
      </c>
      <c r="O134" s="37" t="s">
        <v>194</v>
      </c>
      <c r="P134" s="37" t="s">
        <v>392</v>
      </c>
      <c r="Q134" s="37" t="s">
        <v>1629</v>
      </c>
      <c r="R134" s="41">
        <v>46243.0</v>
      </c>
      <c r="S134" s="42">
        <v>0.0</v>
      </c>
      <c r="T134" s="44" t="s">
        <v>194</v>
      </c>
      <c r="U134" s="45" t="str">
        <f>IF(records[Type]="Room",records[roomNo],records[roomNo]&amp;"-"&amp;SUBSTITUTE(RIGHT(records[roomNo]&amp;records[Type],2),"-",""))</f>
        <v>12-3-055</v>
      </c>
      <c r="V134" s="47" t="str">
        <f t="array" ref="V134">_xlfn.XLOOKUP(records[ID], dAir[roomNo], dAir[roomName])</f>
        <v>SPARE ROOM</v>
      </c>
      <c r="W134" s="47" t="str">
        <f t="array" ref="W134">_xlfn.XLOOKUP(records[ID], dAir[roomNo], dAir[building])</f>
        <v>Building 12</v>
      </c>
      <c r="X134" s="47" t="str">
        <f t="array" ref="X134">_xlfn.XLOOKUP(records[ID], dAir[roomNo], dAir[floor])</f>
        <v>Floor 3</v>
      </c>
      <c r="Y134" s="45" t="str">
        <f t="array" ref="Y134">_xlfn.XLOOKUP(records[ID], dAir[roomNo], dAir[Class])</f>
        <v>D</v>
      </c>
      <c r="Z134" s="45">
        <f t="array" ref="Z134">_xlfn.XLOOKUP(records[Method]&amp;"-"&amp;records[Class], dAirSpec[ID], dAirSpec[Spec])</f>
        <v>100</v>
      </c>
      <c r="AA134" s="45" t="str">
        <f t="array" ref="AA134">_xlfn.XLOOKUP(records[Method]&amp;"-"&amp;records[Class], dAirSpec[ID], dAirSpec[Unit])</f>
        <v>cfu/plate</v>
      </c>
      <c r="AB134" s="58">
        <f t="array" ref="AB134">if(S134="","", if(records[Method]="Active Air",_xlfn.xlookup(records[ColonyCount]&amp;records[AirSampler],feller[code],feller[Vc]),records[ColonyCount]))</f>
        <v>0</v>
      </c>
      <c r="AC134" s="60" t="b">
        <f t="shared" si="1"/>
        <v>1</v>
      </c>
      <c r="AD134" s="61" t="b">
        <v>0</v>
      </c>
      <c r="AE134" s="32"/>
      <c r="AF134" s="46"/>
      <c r="AG134" s="46"/>
      <c r="AH134" s="46"/>
      <c r="AI134" s="46"/>
      <c r="AJ134" s="46"/>
    </row>
    <row r="135" ht="22.5" customHeight="1">
      <c r="A135" s="27">
        <v>46188.0</v>
      </c>
      <c r="B135" s="34" t="str">
        <f t="array" ref="B135">TEXT(A135, "MM-YYYY")</f>
        <v>06-2026</v>
      </c>
      <c r="C135" s="39" t="s">
        <v>753</v>
      </c>
      <c r="D135" s="36" t="s">
        <v>755</v>
      </c>
      <c r="E135" s="36" t="s">
        <v>531</v>
      </c>
      <c r="F135" s="37" t="s">
        <v>16</v>
      </c>
      <c r="G135" s="29" t="b">
        <v>1</v>
      </c>
      <c r="H135" s="36" t="s">
        <v>214</v>
      </c>
      <c r="I135" s="36" t="s">
        <v>757</v>
      </c>
      <c r="J135" s="39">
        <v>3.1101125E8</v>
      </c>
      <c r="K135" s="40">
        <v>46240.0</v>
      </c>
      <c r="L135" s="37" t="s">
        <v>194</v>
      </c>
      <c r="M135" s="37" t="s">
        <v>194</v>
      </c>
      <c r="N135" s="37" t="s">
        <v>194</v>
      </c>
      <c r="O135" s="37" t="s">
        <v>194</v>
      </c>
      <c r="P135" s="37" t="s">
        <v>392</v>
      </c>
      <c r="Q135" s="37" t="s">
        <v>1629</v>
      </c>
      <c r="R135" s="41">
        <v>46243.0</v>
      </c>
      <c r="S135" s="42">
        <v>0.0</v>
      </c>
      <c r="T135" s="44" t="s">
        <v>755</v>
      </c>
      <c r="U135" s="45" t="str">
        <f>IF(records[Type]="Room",records[roomNo],records[roomNo]&amp;"-"&amp;SUBSTITUTE(RIGHT(records[roomNo]&amp;records[Type],2),"-",""))</f>
        <v>16-1-075-M</v>
      </c>
      <c r="V135" s="47" t="str">
        <f t="array" ref="V135">_xlfn.XLOOKUP(records[ID], dAir[roomNo], dAir[roomName])</f>
        <v>VIALS CAPPING (Machine)</v>
      </c>
      <c r="W135" s="47" t="str">
        <f t="array" ref="W135">_xlfn.XLOOKUP(records[ID], dAir[roomNo], dAir[building])</f>
        <v>Building 16</v>
      </c>
      <c r="X135" s="47" t="str">
        <f t="array" ref="X135">_xlfn.XLOOKUP(records[ID], dAir[roomNo], dAir[floor])</f>
        <v>Floor 1</v>
      </c>
      <c r="Y135" s="45" t="str">
        <f t="array" ref="Y135">_xlfn.XLOOKUP(records[ID], dAir[roomNo], dAir[Class])</f>
        <v>A</v>
      </c>
      <c r="Z135" s="45">
        <f t="array" ref="Z135">_xlfn.XLOOKUP(records[Method]&amp;"-"&amp;records[Class], dAirSpec[ID], dAirSpec[Spec])</f>
        <v>0</v>
      </c>
      <c r="AA135" s="45" t="str">
        <f t="array" ref="AA135">_xlfn.XLOOKUP(records[Method]&amp;"-"&amp;records[Class], dAirSpec[ID], dAirSpec[Unit])</f>
        <v>cfu/m3</v>
      </c>
      <c r="AB135" s="45">
        <f t="array" ref="AB135">if(S135="","", if(records[Method]="Active Air",_xlfn.xlookup(records[ColonyCount]&amp;records[AirSampler],feller[code],feller[Vc]),records[ColonyCount]))</f>
        <v>0</v>
      </c>
      <c r="AC135" s="60" t="b">
        <f t="shared" si="1"/>
        <v>1</v>
      </c>
      <c r="AD135" s="61" t="b">
        <v>0</v>
      </c>
      <c r="AE135" s="32" t="s">
        <v>235</v>
      </c>
      <c r="AF135" s="46"/>
      <c r="AG135" s="46"/>
      <c r="AH135" s="46"/>
      <c r="AI135" s="46"/>
      <c r="AJ135" s="46"/>
    </row>
    <row r="136" ht="22.5" customHeight="1">
      <c r="A136" s="27">
        <v>46188.0</v>
      </c>
      <c r="B136" s="34" t="str">
        <f t="array" ref="B136">TEXT(A136, "MM-YYYY")</f>
        <v>06-2026</v>
      </c>
      <c r="C136" s="39" t="s">
        <v>765</v>
      </c>
      <c r="D136" s="36" t="s">
        <v>755</v>
      </c>
      <c r="E136" s="36" t="s">
        <v>531</v>
      </c>
      <c r="F136" s="37" t="s">
        <v>16</v>
      </c>
      <c r="G136" s="29" t="b">
        <v>1</v>
      </c>
      <c r="H136" s="36" t="s">
        <v>214</v>
      </c>
      <c r="I136" s="36" t="s">
        <v>757</v>
      </c>
      <c r="J136" s="39">
        <v>3.1101125E8</v>
      </c>
      <c r="K136" s="40">
        <v>46240.0</v>
      </c>
      <c r="L136" s="37" t="s">
        <v>194</v>
      </c>
      <c r="M136" s="37" t="s">
        <v>194</v>
      </c>
      <c r="N136" s="37" t="s">
        <v>194</v>
      </c>
      <c r="O136" s="37" t="s">
        <v>194</v>
      </c>
      <c r="P136" s="37" t="s">
        <v>392</v>
      </c>
      <c r="Q136" s="37" t="s">
        <v>1629</v>
      </c>
      <c r="R136" s="41">
        <v>46243.0</v>
      </c>
      <c r="S136" s="42">
        <v>0.0</v>
      </c>
      <c r="T136" s="44" t="s">
        <v>755</v>
      </c>
      <c r="U136" s="45" t="str">
        <f>IF(records[Type]="Room",records[roomNo],records[roomNo]&amp;"-"&amp;SUBSTITUTE(RIGHT(records[roomNo]&amp;records[Type],2),"-",""))</f>
        <v>16-1-076-M</v>
      </c>
      <c r="V136" s="47" t="str">
        <f t="array" ref="V136">_xlfn.XLOOKUP(records[ID], dAir[roomNo], dAir[roomName])</f>
        <v>FILLING 2 (Machine)</v>
      </c>
      <c r="W136" s="47" t="str">
        <f t="array" ref="W136">_xlfn.XLOOKUP(records[ID], dAir[roomNo], dAir[building])</f>
        <v>Building 16</v>
      </c>
      <c r="X136" s="47" t="str">
        <f t="array" ref="X136">_xlfn.XLOOKUP(records[ID], dAir[roomNo], dAir[floor])</f>
        <v>Floor 1</v>
      </c>
      <c r="Y136" s="45" t="str">
        <f t="array" ref="Y136">_xlfn.XLOOKUP(records[ID], dAir[roomNo], dAir[Class])</f>
        <v>A</v>
      </c>
      <c r="Z136" s="45">
        <f t="array" ref="Z136">_xlfn.XLOOKUP(records[Method]&amp;"-"&amp;records[Class], dAirSpec[ID], dAirSpec[Spec])</f>
        <v>0</v>
      </c>
      <c r="AA136" s="45" t="str">
        <f t="array" ref="AA136">_xlfn.XLOOKUP(records[Method]&amp;"-"&amp;records[Class], dAirSpec[ID], dAirSpec[Unit])</f>
        <v>cfu/m3</v>
      </c>
      <c r="AB136" s="45">
        <f t="array" ref="AB136">if(S136="","", if(records[Method]="Active Air",_xlfn.xlookup(records[ColonyCount]&amp;records[AirSampler],feller[code],feller[Vc]),records[ColonyCount]))</f>
        <v>0</v>
      </c>
      <c r="AC136" s="60" t="b">
        <f t="shared" si="1"/>
        <v>1</v>
      </c>
      <c r="AD136" s="61" t="b">
        <v>0</v>
      </c>
      <c r="AE136" s="32" t="s">
        <v>235</v>
      </c>
      <c r="AF136" s="46"/>
      <c r="AG136" s="46"/>
      <c r="AH136" s="46"/>
      <c r="AI136" s="46"/>
      <c r="AJ136" s="46"/>
    </row>
    <row r="137" ht="22.5" customHeight="1">
      <c r="A137" s="27">
        <v>46188.0</v>
      </c>
      <c r="B137" s="34" t="str">
        <f t="array" ref="B137">TEXT(A137, "MM-YYYY")</f>
        <v>06-2026</v>
      </c>
      <c r="C137" s="39" t="s">
        <v>765</v>
      </c>
      <c r="D137" s="36" t="s">
        <v>770</v>
      </c>
      <c r="E137" s="36" t="s">
        <v>531</v>
      </c>
      <c r="F137" s="37" t="s">
        <v>16</v>
      </c>
      <c r="G137" s="29" t="b">
        <v>1</v>
      </c>
      <c r="H137" s="36" t="s">
        <v>214</v>
      </c>
      <c r="I137" s="36" t="s">
        <v>757</v>
      </c>
      <c r="J137" s="39">
        <v>3.1101125E8</v>
      </c>
      <c r="K137" s="40">
        <v>46240.0</v>
      </c>
      <c r="L137" s="37" t="s">
        <v>194</v>
      </c>
      <c r="M137" s="37" t="s">
        <v>194</v>
      </c>
      <c r="N137" s="37" t="s">
        <v>194</v>
      </c>
      <c r="O137" s="37" t="s">
        <v>194</v>
      </c>
      <c r="P137" s="37" t="s">
        <v>392</v>
      </c>
      <c r="Q137" s="37" t="s">
        <v>1629</v>
      </c>
      <c r="R137" s="41">
        <v>46243.0</v>
      </c>
      <c r="S137" s="42">
        <v>0.0</v>
      </c>
      <c r="T137" s="44" t="s">
        <v>770</v>
      </c>
      <c r="U137" s="45" t="str">
        <f>IF(records[Type]="Room",records[roomNo],records[roomNo]&amp;"-"&amp;SUBSTITUTE(RIGHT(records[roomNo]&amp;records[Type],2),"-",""))</f>
        <v>16-1-076-L</v>
      </c>
      <c r="V137" s="47" t="str">
        <f t="array" ref="V137">_xlfn.XLOOKUP(records[ID], dAir[roomNo], dAir[roomName])</f>
        <v>FILLING 2 (Laminar)</v>
      </c>
      <c r="W137" s="47" t="str">
        <f t="array" ref="W137">_xlfn.XLOOKUP(records[ID], dAir[roomNo], dAir[building])</f>
        <v>Building 16</v>
      </c>
      <c r="X137" s="47" t="str">
        <f t="array" ref="X137">_xlfn.XLOOKUP(records[ID], dAir[roomNo], dAir[floor])</f>
        <v>Floor 1</v>
      </c>
      <c r="Y137" s="45" t="str">
        <f t="array" ref="Y137">_xlfn.XLOOKUP(records[ID], dAir[roomNo], dAir[Class])</f>
        <v>A</v>
      </c>
      <c r="Z137" s="45">
        <f t="array" ref="Z137">_xlfn.XLOOKUP(records[Method]&amp;"-"&amp;records[Class], dAirSpec[ID], dAirSpec[Spec])</f>
        <v>0</v>
      </c>
      <c r="AA137" s="45" t="str">
        <f t="array" ref="AA137">_xlfn.XLOOKUP(records[Method]&amp;"-"&amp;records[Class], dAirSpec[ID], dAirSpec[Unit])</f>
        <v>cfu/m3</v>
      </c>
      <c r="AB137" s="45">
        <f t="array" ref="AB137">if(S137="","", if(records[Method]="Active Air",_xlfn.xlookup(records[ColonyCount]&amp;records[AirSampler],feller[code],feller[Vc]),records[ColonyCount]))</f>
        <v>0</v>
      </c>
      <c r="AC137" s="60" t="b">
        <f t="shared" si="1"/>
        <v>1</v>
      </c>
      <c r="AD137" s="61" t="b">
        <v>0</v>
      </c>
      <c r="AE137" s="32" t="s">
        <v>235</v>
      </c>
      <c r="AF137" s="46"/>
      <c r="AG137" s="46"/>
      <c r="AH137" s="46"/>
      <c r="AI137" s="46"/>
      <c r="AJ137" s="46"/>
    </row>
    <row r="138" ht="22.5" customHeight="1">
      <c r="A138" s="27">
        <v>46188.0</v>
      </c>
      <c r="B138" s="34" t="str">
        <f t="array" ref="B138">TEXT(A138, "MM-YYYY")</f>
        <v>06-2026</v>
      </c>
      <c r="C138" s="39" t="s">
        <v>774</v>
      </c>
      <c r="D138" s="36" t="s">
        <v>755</v>
      </c>
      <c r="E138" s="36" t="s">
        <v>531</v>
      </c>
      <c r="F138" s="37" t="s">
        <v>16</v>
      </c>
      <c r="G138" s="29" t="b">
        <v>1</v>
      </c>
      <c r="H138" s="36" t="s">
        <v>214</v>
      </c>
      <c r="I138" s="36" t="s">
        <v>757</v>
      </c>
      <c r="J138" s="39">
        <v>3.1101125E8</v>
      </c>
      <c r="K138" s="40">
        <v>46240.0</v>
      </c>
      <c r="L138" s="37" t="s">
        <v>194</v>
      </c>
      <c r="M138" s="37" t="s">
        <v>194</v>
      </c>
      <c r="N138" s="37" t="s">
        <v>194</v>
      </c>
      <c r="O138" s="37" t="s">
        <v>194</v>
      </c>
      <c r="P138" s="37" t="s">
        <v>392</v>
      </c>
      <c r="Q138" s="37" t="s">
        <v>1629</v>
      </c>
      <c r="R138" s="41">
        <v>46243.0</v>
      </c>
      <c r="S138" s="42">
        <v>0.0</v>
      </c>
      <c r="T138" s="44" t="s">
        <v>755</v>
      </c>
      <c r="U138" s="45" t="str">
        <f>IF(records[Type]="Room",records[roomNo],records[roomNo]&amp;"-"&amp;SUBSTITUTE(RIGHT(records[roomNo]&amp;records[Type],2),"-",""))</f>
        <v>16-1-084-M</v>
      </c>
      <c r="V138" s="47" t="str">
        <f t="array" ref="V138">_xlfn.XLOOKUP(records[ID], dAir[roomNo], dAir[roomName])</f>
        <v>FILLING 1 (Machine)</v>
      </c>
      <c r="W138" s="47" t="str">
        <f t="array" ref="W138">_xlfn.XLOOKUP(records[ID], dAir[roomNo], dAir[building])</f>
        <v>Building 16</v>
      </c>
      <c r="X138" s="47" t="str">
        <f t="array" ref="X138">_xlfn.XLOOKUP(records[ID], dAir[roomNo], dAir[floor])</f>
        <v>Floor 1</v>
      </c>
      <c r="Y138" s="45" t="str">
        <f t="array" ref="Y138">_xlfn.XLOOKUP(records[ID], dAir[roomNo], dAir[Class])</f>
        <v>A</v>
      </c>
      <c r="Z138" s="45">
        <f t="array" ref="Z138">_xlfn.XLOOKUP(records[Method]&amp;"-"&amp;records[Class], dAirSpec[ID], dAirSpec[Spec])</f>
        <v>0</v>
      </c>
      <c r="AA138" s="45" t="str">
        <f t="array" ref="AA138">_xlfn.XLOOKUP(records[Method]&amp;"-"&amp;records[Class], dAirSpec[ID], dAirSpec[Unit])</f>
        <v>cfu/m3</v>
      </c>
      <c r="AB138" s="45">
        <f t="array" ref="AB138">if(S138="","", if(records[Method]="Active Air",_xlfn.xlookup(records[ColonyCount]&amp;records[AirSampler],feller[code],feller[Vc]),records[ColonyCount]))</f>
        <v>0</v>
      </c>
      <c r="AC138" s="60" t="b">
        <f t="shared" si="1"/>
        <v>1</v>
      </c>
      <c r="AD138" s="61" t="b">
        <v>0</v>
      </c>
      <c r="AE138" s="32" t="s">
        <v>235</v>
      </c>
      <c r="AF138" s="46"/>
      <c r="AG138" s="46"/>
      <c r="AH138" s="46"/>
      <c r="AI138" s="46"/>
      <c r="AJ138" s="46"/>
    </row>
    <row r="139" ht="22.5" customHeight="1">
      <c r="A139" s="27">
        <v>46188.0</v>
      </c>
      <c r="B139" s="34" t="str">
        <f t="array" ref="B139">TEXT(A139, "MM-YYYY")</f>
        <v>06-2026</v>
      </c>
      <c r="C139" s="39" t="s">
        <v>774</v>
      </c>
      <c r="D139" s="36" t="s">
        <v>770</v>
      </c>
      <c r="E139" s="36" t="s">
        <v>531</v>
      </c>
      <c r="F139" s="37" t="s">
        <v>16</v>
      </c>
      <c r="G139" s="29" t="b">
        <v>1</v>
      </c>
      <c r="H139" s="36" t="s">
        <v>214</v>
      </c>
      <c r="I139" s="36" t="s">
        <v>757</v>
      </c>
      <c r="J139" s="39">
        <v>3.1101125E8</v>
      </c>
      <c r="K139" s="40">
        <v>46240.0</v>
      </c>
      <c r="L139" s="37" t="s">
        <v>194</v>
      </c>
      <c r="M139" s="37" t="s">
        <v>194</v>
      </c>
      <c r="N139" s="37" t="s">
        <v>194</v>
      </c>
      <c r="O139" s="37" t="s">
        <v>194</v>
      </c>
      <c r="P139" s="37" t="s">
        <v>392</v>
      </c>
      <c r="Q139" s="37" t="s">
        <v>1629</v>
      </c>
      <c r="R139" s="41">
        <v>46243.0</v>
      </c>
      <c r="S139" s="42">
        <v>0.0</v>
      </c>
      <c r="T139" s="44" t="s">
        <v>770</v>
      </c>
      <c r="U139" s="45" t="str">
        <f>IF(records[Type]="Room",records[roomNo],records[roomNo]&amp;"-"&amp;SUBSTITUTE(RIGHT(records[roomNo]&amp;records[Type],2),"-",""))</f>
        <v>16-1-084-L</v>
      </c>
      <c r="V139" s="47" t="str">
        <f t="array" ref="V139">_xlfn.XLOOKUP(records[ID], dAir[roomNo], dAir[roomName])</f>
        <v>FILLING 1 (Laminar)</v>
      </c>
      <c r="W139" s="47" t="str">
        <f t="array" ref="W139">_xlfn.XLOOKUP(records[ID], dAir[roomNo], dAir[building])</f>
        <v>Building 16</v>
      </c>
      <c r="X139" s="47" t="str">
        <f t="array" ref="X139">_xlfn.XLOOKUP(records[ID], dAir[roomNo], dAir[floor])</f>
        <v>Floor 1</v>
      </c>
      <c r="Y139" s="45" t="str">
        <f t="array" ref="Y139">_xlfn.XLOOKUP(records[ID], dAir[roomNo], dAir[Class])</f>
        <v>A</v>
      </c>
      <c r="Z139" s="45">
        <f t="array" ref="Z139">_xlfn.XLOOKUP(records[Method]&amp;"-"&amp;records[Class], dAirSpec[ID], dAirSpec[Spec])</f>
        <v>0</v>
      </c>
      <c r="AA139" s="45" t="str">
        <f t="array" ref="AA139">_xlfn.XLOOKUP(records[Method]&amp;"-"&amp;records[Class], dAirSpec[ID], dAirSpec[Unit])</f>
        <v>cfu/m3</v>
      </c>
      <c r="AB139" s="45">
        <f t="array" ref="AB139">if(S139="","", if(records[Method]="Active Air",_xlfn.xlookup(records[ColonyCount]&amp;records[AirSampler],feller[code],feller[Vc]),records[ColonyCount]))</f>
        <v>0</v>
      </c>
      <c r="AC139" s="60" t="b">
        <f t="shared" si="1"/>
        <v>1</v>
      </c>
      <c r="AD139" s="61" t="b">
        <v>0</v>
      </c>
      <c r="AE139" s="32" t="s">
        <v>235</v>
      </c>
      <c r="AF139" s="46"/>
      <c r="AG139" s="46"/>
      <c r="AH139" s="46"/>
      <c r="AI139" s="46"/>
      <c r="AJ139" s="46"/>
    </row>
    <row r="140" ht="22.5" customHeight="1">
      <c r="A140" s="27">
        <v>46188.0</v>
      </c>
      <c r="B140" s="34" t="str">
        <f t="array" ref="B140">TEXT(A140, "MM-YYYY")</f>
        <v>06-2026</v>
      </c>
      <c r="C140" s="32" t="s">
        <v>786</v>
      </c>
      <c r="D140" s="21" t="s">
        <v>680</v>
      </c>
      <c r="E140" s="36" t="s">
        <v>531</v>
      </c>
      <c r="F140" s="37" t="s">
        <v>16</v>
      </c>
      <c r="G140" s="29" t="b">
        <v>1</v>
      </c>
      <c r="H140" s="36" t="s">
        <v>214</v>
      </c>
      <c r="I140" s="36" t="s">
        <v>757</v>
      </c>
      <c r="J140" s="39">
        <v>3.1101125E8</v>
      </c>
      <c r="K140" s="40">
        <v>46240.0</v>
      </c>
      <c r="L140" s="37" t="s">
        <v>194</v>
      </c>
      <c r="M140" s="37" t="s">
        <v>194</v>
      </c>
      <c r="N140" s="37" t="s">
        <v>194</v>
      </c>
      <c r="O140" s="37" t="s">
        <v>194</v>
      </c>
      <c r="P140" s="37" t="s">
        <v>392</v>
      </c>
      <c r="Q140" s="37" t="s">
        <v>1629</v>
      </c>
      <c r="R140" s="41">
        <v>46243.0</v>
      </c>
      <c r="S140" s="42">
        <v>0.0</v>
      </c>
      <c r="T140" s="44" t="s">
        <v>680</v>
      </c>
      <c r="U140" s="45" t="str">
        <f>IF(records[Type]="Room",records[roomNo],records[roomNo]&amp;"-"&amp;SUBSTITUTE(RIGHT(records[roomNo]&amp;records[Type],2),"-",""))</f>
        <v>16-1-102-B</v>
      </c>
      <c r="V140" s="47" t="str">
        <f t="array" ref="V140">_xlfn.XLOOKUP(records[ID], dAir[roomNo], dAir[roomName])</f>
        <v>DISPENSING (Booth)</v>
      </c>
      <c r="W140" s="47" t="str">
        <f t="array" ref="W140">_xlfn.XLOOKUP(records[ID], dAir[roomNo], dAir[building])</f>
        <v>Building 16</v>
      </c>
      <c r="X140" s="47" t="str">
        <f t="array" ref="X140">_xlfn.XLOOKUP(records[ID], dAir[roomNo], dAir[floor])</f>
        <v>Floor 1</v>
      </c>
      <c r="Y140" s="45" t="str">
        <f t="array" ref="Y140">_xlfn.XLOOKUP(records[ID], dAir[roomNo], dAir[Class])</f>
        <v>A</v>
      </c>
      <c r="Z140" s="45">
        <f t="array" ref="Z140">_xlfn.XLOOKUP(records[Method]&amp;"-"&amp;records[Class], dAirSpec[ID], dAirSpec[Spec])</f>
        <v>0</v>
      </c>
      <c r="AA140" s="45" t="str">
        <f t="array" ref="AA140">_xlfn.XLOOKUP(records[Method]&amp;"-"&amp;records[Class], dAirSpec[ID], dAirSpec[Unit])</f>
        <v>cfu/m3</v>
      </c>
      <c r="AB140" s="45">
        <f t="array" ref="AB140">if(S140="","", if(records[Method]="Active Air",_xlfn.xlookup(records[ColonyCount]&amp;records[AirSampler],feller[code],feller[Vc]),records[ColonyCount]))</f>
        <v>0</v>
      </c>
      <c r="AC140" s="60" t="b">
        <f t="shared" si="1"/>
        <v>1</v>
      </c>
      <c r="AD140" s="61" t="b">
        <v>0</v>
      </c>
      <c r="AE140" s="32" t="s">
        <v>235</v>
      </c>
      <c r="AF140" s="46"/>
      <c r="AG140" s="46"/>
      <c r="AH140" s="46"/>
      <c r="AI140" s="46"/>
      <c r="AJ140" s="46"/>
    </row>
    <row r="141" ht="22.5" customHeight="1">
      <c r="A141" s="27">
        <v>46189.0</v>
      </c>
      <c r="B141" s="34" t="str">
        <f t="array" ref="B141">TEXT(A141, "MM-YYYY")</f>
        <v>06-2026</v>
      </c>
      <c r="C141" s="32" t="s">
        <v>1298</v>
      </c>
      <c r="D141" s="21" t="s">
        <v>210</v>
      </c>
      <c r="E141" s="36" t="s">
        <v>531</v>
      </c>
      <c r="F141" s="37" t="s">
        <v>24</v>
      </c>
      <c r="G141" s="29" t="b">
        <v>1</v>
      </c>
      <c r="H141" s="36" t="s">
        <v>1737</v>
      </c>
      <c r="I141" s="36" t="s">
        <v>534</v>
      </c>
      <c r="J141" s="39"/>
      <c r="K141" s="40"/>
      <c r="L141" s="37" t="s">
        <v>314</v>
      </c>
      <c r="M141" s="37" t="s">
        <v>1740</v>
      </c>
      <c r="N141" s="37" t="s">
        <v>194</v>
      </c>
      <c r="O141" s="37" t="s">
        <v>194</v>
      </c>
      <c r="P141" s="37" t="s">
        <v>392</v>
      </c>
      <c r="Q141" s="37" t="s">
        <v>1629</v>
      </c>
      <c r="R141" s="41">
        <v>46243.0</v>
      </c>
      <c r="S141" s="42">
        <v>10.0</v>
      </c>
      <c r="T141" s="44" t="s">
        <v>194</v>
      </c>
      <c r="U141" s="45" t="str">
        <f>IF(records[Type]="Room",records[roomNo],records[roomNo]&amp;"-"&amp;SUBSTITUTE(RIGHT(records[roomNo]&amp;records[Type],2),"-",""))</f>
        <v>10-3-164</v>
      </c>
      <c r="V141" s="47" t="str">
        <f t="array" ref="V141">_xlfn.XLOOKUP(records[ID], dAir[roomNo], dAir[roomName])</f>
        <v>WET GRANULATION 2-P</v>
      </c>
      <c r="W141" s="47" t="str">
        <f t="array" ref="W141">_xlfn.XLOOKUP(records[ID], dAir[roomNo], dAir[building])</f>
        <v>Building 10</v>
      </c>
      <c r="X141" s="47" t="str">
        <f t="array" ref="X141">_xlfn.XLOOKUP(records[ID], dAir[roomNo], dAir[floor])</f>
        <v>Floor 3</v>
      </c>
      <c r="Y141" s="45" t="str">
        <f t="array" ref="Y141">_xlfn.XLOOKUP(records[ID], dAir[roomNo], dAir[Class])</f>
        <v>D</v>
      </c>
      <c r="Z141" s="45">
        <f t="array" ref="Z141">_xlfn.XLOOKUP(records[Method]&amp;"-"&amp;records[Class], dAirSpec[ID], dAirSpec[Spec])</f>
        <v>200</v>
      </c>
      <c r="AA141" s="45" t="str">
        <f t="array" ref="AA141">_xlfn.XLOOKUP(records[Method]&amp;"-"&amp;records[Class], dAirSpec[ID], dAirSpec[Unit])</f>
        <v>cfu/m3</v>
      </c>
      <c r="AB141" s="45">
        <f t="array" ref="AB141">if(S141="","", if(records[Method]="Active Air",_xlfn.xlookup(records[ColonyCount]&amp;records[AirSampler],feller[code],feller[Vc]),records[ColonyCount]))</f>
        <v>10</v>
      </c>
      <c r="AC141" s="60" t="b">
        <f t="shared" si="1"/>
        <v>1</v>
      </c>
      <c r="AD141" s="61" t="b">
        <v>0</v>
      </c>
      <c r="AE141" s="32" t="s">
        <v>235</v>
      </c>
      <c r="AF141" s="46"/>
      <c r="AG141" s="46"/>
      <c r="AH141" s="46"/>
      <c r="AI141" s="46"/>
      <c r="AJ141" s="46"/>
    </row>
    <row r="142" ht="22.5" customHeight="1">
      <c r="A142" s="27">
        <v>46194.0</v>
      </c>
      <c r="B142" s="34" t="str">
        <f t="array" ref="B142">TEXT(A142, "MM-YYYY")</f>
        <v>06-2026</v>
      </c>
      <c r="C142" s="56" t="s">
        <v>795</v>
      </c>
      <c r="D142" s="36" t="s">
        <v>210</v>
      </c>
      <c r="E142" s="36" t="s">
        <v>213</v>
      </c>
      <c r="F142" s="37"/>
      <c r="G142" s="29" t="b">
        <v>0</v>
      </c>
      <c r="H142" s="36" t="s">
        <v>214</v>
      </c>
      <c r="I142" s="36"/>
      <c r="J142" s="39"/>
      <c r="K142" s="40"/>
      <c r="L142" s="37" t="s">
        <v>194</v>
      </c>
      <c r="M142" s="37" t="s">
        <v>194</v>
      </c>
      <c r="N142" s="37" t="s">
        <v>194</v>
      </c>
      <c r="O142" s="37" t="s">
        <v>194</v>
      </c>
      <c r="P142" s="37" t="s">
        <v>392</v>
      </c>
      <c r="Q142" s="37" t="s">
        <v>1629</v>
      </c>
      <c r="R142" s="41">
        <v>46243.0</v>
      </c>
      <c r="S142" s="42">
        <v>5.0</v>
      </c>
      <c r="T142" s="44"/>
      <c r="U142" s="47" t="str">
        <f>IF(records[Type]="Room",records[roomNo],records[roomNo]&amp;"-"&amp;SUBSTITUTE(RIGHT(records[roomNo]&amp;records[Type],2),"-",""))</f>
        <v>12-3-049</v>
      </c>
      <c r="V142" s="47" t="str">
        <f t="array" ref="V142">_xlfn.XLOOKUP(records[ID], dAir[roomNo], dAir[roomName])</f>
        <v>CHANGING ROOM</v>
      </c>
      <c r="W142" s="47" t="str">
        <f t="array" ref="W142">_xlfn.XLOOKUP(records[ID], dAir[roomNo], dAir[building])</f>
        <v>Building 12</v>
      </c>
      <c r="X142" s="47" t="str">
        <f t="array" ref="X142">_xlfn.XLOOKUP(records[ID], dAir[roomNo], dAir[floor])</f>
        <v>Floor 3</v>
      </c>
      <c r="Y142" s="45" t="str">
        <f t="array" ref="Y142">_xlfn.XLOOKUP(records[ID], dAir[roomNo], dAir[Class])</f>
        <v>D</v>
      </c>
      <c r="Z142" s="45">
        <f t="array" ref="Z142">_xlfn.XLOOKUP(records[Method]&amp;"-"&amp;records[Class], dAirSpec[ID], dAirSpec[Spec])</f>
        <v>100</v>
      </c>
      <c r="AA142" s="45" t="str">
        <f t="array" ref="AA142">_xlfn.XLOOKUP(records[Method]&amp;"-"&amp;records[Class], dAirSpec[ID], dAirSpec[Unit])</f>
        <v>cfu/plate</v>
      </c>
      <c r="AB142" s="58">
        <f t="array" ref="AB142">if(S142="","", if(records[Method]="Active Air",_xlfn.xlookup(records[ColonyCount]&amp;records[AirSampler],feller[code],feller[Vc]),records[ColonyCount]))</f>
        <v>5</v>
      </c>
      <c r="AC142" s="60" t="b">
        <f t="shared" si="1"/>
        <v>1</v>
      </c>
      <c r="AD142" s="61" t="b">
        <v>0</v>
      </c>
      <c r="AE142" s="32"/>
      <c r="AF142" s="46"/>
      <c r="AG142" s="46"/>
      <c r="AH142" s="46"/>
      <c r="AI142" s="46"/>
      <c r="AJ142" s="46"/>
    </row>
    <row r="143" ht="22.5" customHeight="1">
      <c r="A143" s="27">
        <v>46194.0</v>
      </c>
      <c r="B143" s="34" t="str">
        <f t="array" ref="B143">TEXT(A143, "MM-YYYY")</f>
        <v>06-2026</v>
      </c>
      <c r="C143" s="56" t="s">
        <v>802</v>
      </c>
      <c r="D143" s="36" t="s">
        <v>210</v>
      </c>
      <c r="E143" s="36" t="s">
        <v>213</v>
      </c>
      <c r="F143" s="37"/>
      <c r="G143" s="29" t="b">
        <v>0</v>
      </c>
      <c r="H143" s="36" t="s">
        <v>214</v>
      </c>
      <c r="I143" s="36"/>
      <c r="J143" s="39"/>
      <c r="K143" s="40"/>
      <c r="L143" s="37" t="s">
        <v>194</v>
      </c>
      <c r="M143" s="37" t="s">
        <v>194</v>
      </c>
      <c r="N143" s="37" t="s">
        <v>194</v>
      </c>
      <c r="O143" s="37" t="s">
        <v>194</v>
      </c>
      <c r="P143" s="37" t="s">
        <v>392</v>
      </c>
      <c r="Q143" s="37" t="s">
        <v>1629</v>
      </c>
      <c r="R143" s="41">
        <v>46243.0</v>
      </c>
      <c r="S143" s="42">
        <v>0.0</v>
      </c>
      <c r="T143" s="44"/>
      <c r="U143" s="47" t="str">
        <f>IF(records[Type]="Room",records[roomNo],records[roomNo]&amp;"-"&amp;SUBSTITUTE(RIGHT(records[roomNo]&amp;records[Type],2),"-",""))</f>
        <v>12-3-050</v>
      </c>
      <c r="V143" s="47" t="str">
        <f t="array" ref="V143">_xlfn.XLOOKUP(records[ID], dAir[roomNo], dAir[roomName])</f>
        <v>CORRIDOR</v>
      </c>
      <c r="W143" s="47" t="str">
        <f t="array" ref="W143">_xlfn.XLOOKUP(records[ID], dAir[roomNo], dAir[building])</f>
        <v>Building 12</v>
      </c>
      <c r="X143" s="47" t="str">
        <f t="array" ref="X143">_xlfn.XLOOKUP(records[ID], dAir[roomNo], dAir[floor])</f>
        <v>Floor 3</v>
      </c>
      <c r="Y143" s="45" t="str">
        <f t="array" ref="Y143">_xlfn.XLOOKUP(records[ID], dAir[roomNo], dAir[Class])</f>
        <v>D</v>
      </c>
      <c r="Z143" s="45">
        <f t="array" ref="Z143">_xlfn.XLOOKUP(records[Method]&amp;"-"&amp;records[Class], dAirSpec[ID], dAirSpec[Spec])</f>
        <v>100</v>
      </c>
      <c r="AA143" s="45" t="str">
        <f t="array" ref="AA143">_xlfn.XLOOKUP(records[Method]&amp;"-"&amp;records[Class], dAirSpec[ID], dAirSpec[Unit])</f>
        <v>cfu/plate</v>
      </c>
      <c r="AB143" s="58">
        <f t="array" ref="AB143">if(S143="","", if(records[Method]="Active Air",_xlfn.xlookup(records[ColonyCount]&amp;records[AirSampler],feller[code],feller[Vc]),records[ColonyCount]))</f>
        <v>0</v>
      </c>
      <c r="AC143" s="60" t="b">
        <f t="shared" si="1"/>
        <v>1</v>
      </c>
      <c r="AD143" s="61" t="b">
        <v>0</v>
      </c>
      <c r="AE143" s="32"/>
      <c r="AF143" s="46"/>
      <c r="AG143" s="46"/>
      <c r="AH143" s="46"/>
      <c r="AI143" s="46"/>
      <c r="AJ143" s="46"/>
    </row>
    <row r="144" ht="22.5" customHeight="1">
      <c r="A144" s="27">
        <v>46194.0</v>
      </c>
      <c r="B144" s="34" t="str">
        <f t="array" ref="B144">TEXT(A144, "MM-YYYY")</f>
        <v>06-2026</v>
      </c>
      <c r="C144" s="82" t="s">
        <v>809</v>
      </c>
      <c r="D144" s="36" t="s">
        <v>210</v>
      </c>
      <c r="E144" s="36" t="s">
        <v>213</v>
      </c>
      <c r="F144" s="37"/>
      <c r="G144" s="29" t="b">
        <v>0</v>
      </c>
      <c r="H144" s="36" t="s">
        <v>214</v>
      </c>
      <c r="I144" s="36"/>
      <c r="J144" s="39"/>
      <c r="K144" s="40"/>
      <c r="L144" s="37" t="s">
        <v>194</v>
      </c>
      <c r="M144" s="37" t="s">
        <v>194</v>
      </c>
      <c r="N144" s="37" t="s">
        <v>194</v>
      </c>
      <c r="O144" s="37" t="s">
        <v>194</v>
      </c>
      <c r="P144" s="37" t="s">
        <v>392</v>
      </c>
      <c r="Q144" s="37" t="s">
        <v>1629</v>
      </c>
      <c r="R144" s="41">
        <v>46243.0</v>
      </c>
      <c r="S144" s="42">
        <v>1.0</v>
      </c>
      <c r="T144" s="44"/>
      <c r="U144" s="83" t="str">
        <f>IF(records[Type]="Room",records[roomNo],records[roomNo]&amp;"-"&amp;SUBSTITUTE(RIGHT(records[roomNo]&amp;records[Type],2),"-",""))</f>
        <v>12-3-053</v>
      </c>
      <c r="V144" s="47" t="str">
        <f t="array" ref="V144">_xlfn.XLOOKUP(records[ID], dAir[roomNo], dAir[roomName])</f>
        <v>MLT 2</v>
      </c>
      <c r="W144" s="47" t="str">
        <f t="array" ref="W144">_xlfn.XLOOKUP(records[ID], dAir[roomNo], dAir[building])</f>
        <v>Building 12</v>
      </c>
      <c r="X144" s="47" t="str">
        <f t="array" ref="X144">_xlfn.XLOOKUP(records[ID], dAir[roomNo], dAir[floor])</f>
        <v>Floor 3</v>
      </c>
      <c r="Y144" s="45" t="str">
        <f t="array" ref="Y144">_xlfn.XLOOKUP(records[ID], dAir[roomNo], dAir[Class])</f>
        <v>D</v>
      </c>
      <c r="Z144" s="45">
        <f t="array" ref="Z144">_xlfn.XLOOKUP(records[Method]&amp;"-"&amp;records[Class], dAirSpec[ID], dAirSpec[Spec])</f>
        <v>100</v>
      </c>
      <c r="AA144" s="45" t="str">
        <f t="array" ref="AA144">_xlfn.XLOOKUP(records[Method]&amp;"-"&amp;records[Class], dAirSpec[ID], dAirSpec[Unit])</f>
        <v>cfu/plate</v>
      </c>
      <c r="AB144" s="58">
        <f t="array" ref="AB144">if(S144="","", if(records[Method]="Active Air",_xlfn.xlookup(records[ColonyCount]&amp;records[AirSampler],feller[code],feller[Vc]),records[ColonyCount]))</f>
        <v>1</v>
      </c>
      <c r="AC144" s="60" t="b">
        <f t="shared" si="1"/>
        <v>1</v>
      </c>
      <c r="AD144" s="61" t="b">
        <v>0</v>
      </c>
      <c r="AE144" s="32"/>
      <c r="AF144" s="46"/>
      <c r="AG144" s="46"/>
      <c r="AH144" s="46"/>
      <c r="AI144" s="46"/>
      <c r="AJ144" s="46"/>
    </row>
    <row r="145" ht="22.5" customHeight="1">
      <c r="A145" s="27">
        <v>46194.0</v>
      </c>
      <c r="B145" s="34" t="str">
        <f t="array" ref="B145">TEXT(A145, "MM-YYYY")</f>
        <v>06-2026</v>
      </c>
      <c r="C145" s="85" t="s">
        <v>814</v>
      </c>
      <c r="D145" s="36" t="s">
        <v>210</v>
      </c>
      <c r="E145" s="36" t="s">
        <v>531</v>
      </c>
      <c r="F145" s="37" t="s">
        <v>38</v>
      </c>
      <c r="G145" s="29" t="b">
        <v>1</v>
      </c>
      <c r="H145" s="36" t="s">
        <v>214</v>
      </c>
      <c r="I145" s="36" t="s">
        <v>534</v>
      </c>
      <c r="J145" s="136" t="s">
        <v>1769</v>
      </c>
      <c r="K145" s="40">
        <v>46055.0</v>
      </c>
      <c r="L145" s="37" t="s">
        <v>194</v>
      </c>
      <c r="M145" s="37" t="s">
        <v>194</v>
      </c>
      <c r="N145" s="37" t="s">
        <v>194</v>
      </c>
      <c r="O145" s="37" t="s">
        <v>194</v>
      </c>
      <c r="P145" s="37" t="s">
        <v>392</v>
      </c>
      <c r="Q145" s="37" t="s">
        <v>1629</v>
      </c>
      <c r="R145" s="41">
        <v>46243.0</v>
      </c>
      <c r="S145" s="42">
        <v>0.0</v>
      </c>
      <c r="T145" s="44" t="s">
        <v>1771</v>
      </c>
      <c r="U145" s="83" t="str">
        <f>IF(records[Type]="Room",records[roomNo],records[roomNo]&amp;"-"&amp;SUBSTITUTE(RIGHT(records[roomNo]&amp;records[Type],2),"-",""))</f>
        <v>12-3-053-BSC</v>
      </c>
      <c r="V145" s="47" t="str">
        <f t="array" ref="V145">_xlfn.XLOOKUP(records[ID], dAir[roomNo], dAir[roomName])</f>
        <v>MLT 2</v>
      </c>
      <c r="W145" s="47" t="str">
        <f t="array" ref="W145">_xlfn.XLOOKUP(records[ID], dAir[roomNo], dAir[building])</f>
        <v>Building 12</v>
      </c>
      <c r="X145" s="47" t="str">
        <f t="array" ref="X145">_xlfn.XLOOKUP(records[ID], dAir[roomNo], dAir[floor])</f>
        <v>Floor 3</v>
      </c>
      <c r="Y145" s="45" t="str">
        <f t="array" ref="Y145">_xlfn.XLOOKUP(records[ID], dAir[roomNo], dAir[Class])</f>
        <v>A</v>
      </c>
      <c r="Z145" s="45">
        <f t="array" ref="Z145">_xlfn.XLOOKUP(records[Method]&amp;"-"&amp;records[Class], dAirSpec[ID], dAirSpec[Spec])</f>
        <v>0</v>
      </c>
      <c r="AA145" s="45" t="str">
        <f t="array" ref="AA145">_xlfn.XLOOKUP(records[Method]&amp;"-"&amp;records[Class], dAirSpec[ID], dAirSpec[Unit])</f>
        <v>cfu/m3</v>
      </c>
      <c r="AB145" s="45">
        <f t="array" ref="AB145">if(S145="","", if(records[Method]="Active Air",_xlfn.xlookup(records[ColonyCount]&amp;records[AirSampler],feller[code],feller[Vc]),records[ColonyCount]))</f>
        <v>0</v>
      </c>
      <c r="AC145" s="60" t="b">
        <f t="shared" si="1"/>
        <v>1</v>
      </c>
      <c r="AD145" s="61" t="b">
        <v>0</v>
      </c>
      <c r="AE145" s="32" t="s">
        <v>235</v>
      </c>
      <c r="AF145" s="46"/>
      <c r="AG145" s="46"/>
      <c r="AH145" s="46"/>
      <c r="AI145" s="46"/>
      <c r="AJ145" s="46"/>
    </row>
    <row r="146" ht="22.5" customHeight="1">
      <c r="A146" s="27">
        <v>46194.0</v>
      </c>
      <c r="B146" s="34" t="str">
        <f t="array" ref="B146">TEXT(A146, "MM-YYYY")</f>
        <v>06-2026</v>
      </c>
      <c r="C146" s="56" t="s">
        <v>821</v>
      </c>
      <c r="D146" s="36" t="s">
        <v>210</v>
      </c>
      <c r="E146" s="36" t="s">
        <v>213</v>
      </c>
      <c r="F146" s="37"/>
      <c r="G146" s="29" t="b">
        <v>0</v>
      </c>
      <c r="H146" s="36" t="s">
        <v>214</v>
      </c>
      <c r="I146" s="36"/>
      <c r="J146" s="39"/>
      <c r="K146" s="40"/>
      <c r="L146" s="37" t="s">
        <v>194</v>
      </c>
      <c r="M146" s="37" t="s">
        <v>194</v>
      </c>
      <c r="N146" s="37" t="s">
        <v>194</v>
      </c>
      <c r="O146" s="37" t="s">
        <v>194</v>
      </c>
      <c r="P146" s="37" t="s">
        <v>392</v>
      </c>
      <c r="Q146" s="37" t="s">
        <v>1629</v>
      </c>
      <c r="R146" s="41">
        <v>46243.0</v>
      </c>
      <c r="S146" s="42">
        <v>0.0</v>
      </c>
      <c r="T146" s="44"/>
      <c r="U146" s="47" t="str">
        <f>IF(records[Type]="Room",records[roomNo],records[roomNo]&amp;"-"&amp;SUBSTITUTE(RIGHT(records[roomNo]&amp;records[Type],2),"-",""))</f>
        <v>12-3-054</v>
      </c>
      <c r="V146" s="47" t="str">
        <f t="array" ref="V146">_xlfn.XLOOKUP(records[ID], dAir[roomNo], dAir[roomName])</f>
        <v>MLT 3</v>
      </c>
      <c r="W146" s="47" t="str">
        <f t="array" ref="W146">_xlfn.XLOOKUP(records[ID], dAir[roomNo], dAir[building])</f>
        <v>Building 12</v>
      </c>
      <c r="X146" s="47" t="str">
        <f t="array" ref="X146">_xlfn.XLOOKUP(records[ID], dAir[roomNo], dAir[floor])</f>
        <v>Floor 3</v>
      </c>
      <c r="Y146" s="45" t="str">
        <f t="array" ref="Y146">_xlfn.XLOOKUP(records[ID], dAir[roomNo], dAir[Class])</f>
        <v>D</v>
      </c>
      <c r="Z146" s="45">
        <f t="array" ref="Z146">_xlfn.XLOOKUP(records[Method]&amp;"-"&amp;records[Class], dAirSpec[ID], dAirSpec[Spec])</f>
        <v>100</v>
      </c>
      <c r="AA146" s="45" t="str">
        <f t="array" ref="AA146">_xlfn.XLOOKUP(records[Method]&amp;"-"&amp;records[Class], dAirSpec[ID], dAirSpec[Unit])</f>
        <v>cfu/plate</v>
      </c>
      <c r="AB146" s="58">
        <f t="array" ref="AB146">if(S146="","", if(records[Method]="Active Air",_xlfn.xlookup(records[ColonyCount]&amp;records[AirSampler],feller[code],feller[Vc]),records[ColonyCount]))</f>
        <v>0</v>
      </c>
      <c r="AC146" s="60" t="b">
        <f t="shared" si="1"/>
        <v>1</v>
      </c>
      <c r="AD146" s="61" t="b">
        <v>0</v>
      </c>
      <c r="AE146" s="32"/>
      <c r="AF146" s="46"/>
      <c r="AG146" s="46"/>
      <c r="AH146" s="46"/>
      <c r="AI146" s="46"/>
      <c r="AJ146" s="46"/>
    </row>
    <row r="147" ht="22.5" customHeight="1">
      <c r="A147" s="27">
        <v>46194.0</v>
      </c>
      <c r="B147" s="34" t="str">
        <f t="array" ref="B147">TEXT(A147, "MM-YYYY")</f>
        <v>06-2026</v>
      </c>
      <c r="C147" s="34" t="s">
        <v>825</v>
      </c>
      <c r="D147" s="36" t="s">
        <v>210</v>
      </c>
      <c r="E147" s="36" t="s">
        <v>531</v>
      </c>
      <c r="F147" s="37" t="s">
        <v>38</v>
      </c>
      <c r="G147" s="29" t="b">
        <v>1</v>
      </c>
      <c r="H147" s="36" t="s">
        <v>214</v>
      </c>
      <c r="I147" s="36" t="s">
        <v>534</v>
      </c>
      <c r="J147" s="136" t="s">
        <v>1769</v>
      </c>
      <c r="K147" s="40">
        <v>46055.0</v>
      </c>
      <c r="L147" s="37" t="s">
        <v>194</v>
      </c>
      <c r="M147" s="37" t="s">
        <v>194</v>
      </c>
      <c r="N147" s="37" t="s">
        <v>194</v>
      </c>
      <c r="O147" s="37" t="s">
        <v>194</v>
      </c>
      <c r="P147" s="37" t="s">
        <v>392</v>
      </c>
      <c r="Q147" s="37" t="s">
        <v>1629</v>
      </c>
      <c r="R147" s="41">
        <v>46243.0</v>
      </c>
      <c r="S147" s="42">
        <v>0.0</v>
      </c>
      <c r="T147" s="44" t="s">
        <v>1771</v>
      </c>
      <c r="U147" s="47" t="str">
        <f>IF(records[Type]="Room",records[roomNo],records[roomNo]&amp;"-"&amp;SUBSTITUTE(RIGHT(records[roomNo]&amp;records[Type],2),"-",""))</f>
        <v>12-3-054-BSC</v>
      </c>
      <c r="V147" s="47" t="str">
        <f t="array" ref="V147">_xlfn.XLOOKUP(records[ID], dAir[roomNo], dAir[roomName])</f>
        <v>MLT 3</v>
      </c>
      <c r="W147" s="47" t="str">
        <f t="array" ref="W147">_xlfn.XLOOKUP(records[ID], dAir[roomNo], dAir[building])</f>
        <v>Building 12</v>
      </c>
      <c r="X147" s="47" t="str">
        <f t="array" ref="X147">_xlfn.XLOOKUP(records[ID], dAir[roomNo], dAir[floor])</f>
        <v>Floor 3</v>
      </c>
      <c r="Y147" s="45" t="str">
        <f t="array" ref="Y147">_xlfn.XLOOKUP(records[ID], dAir[roomNo], dAir[Class])</f>
        <v>A</v>
      </c>
      <c r="Z147" s="45">
        <f t="array" ref="Z147">_xlfn.XLOOKUP(records[Method]&amp;"-"&amp;records[Class], dAirSpec[ID], dAirSpec[Spec])</f>
        <v>0</v>
      </c>
      <c r="AA147" s="45" t="str">
        <f t="array" ref="AA147">_xlfn.XLOOKUP(records[Method]&amp;"-"&amp;records[Class], dAirSpec[ID], dAirSpec[Unit])</f>
        <v>cfu/m3</v>
      </c>
      <c r="AB147" s="45">
        <f t="array" ref="AB147">if(S147="","", if(records[Method]="Active Air",_xlfn.xlookup(records[ColonyCount]&amp;records[AirSampler],feller[code],feller[Vc]),records[ColonyCount]))</f>
        <v>0</v>
      </c>
      <c r="AC147" s="60" t="b">
        <f t="shared" si="1"/>
        <v>1</v>
      </c>
      <c r="AD147" s="61" t="b">
        <v>0</v>
      </c>
      <c r="AE147" s="32" t="s">
        <v>235</v>
      </c>
      <c r="AF147" s="46"/>
      <c r="AG147" s="46"/>
      <c r="AH147" s="46"/>
      <c r="AI147" s="46"/>
      <c r="AJ147" s="46"/>
    </row>
    <row r="148" ht="22.5" customHeight="1">
      <c r="A148" s="27">
        <v>46194.0</v>
      </c>
      <c r="B148" s="34" t="str">
        <f t="array" ref="B148">TEXT(A148, "MM-YYYY")</f>
        <v>06-2026</v>
      </c>
      <c r="C148" s="39" t="s">
        <v>831</v>
      </c>
      <c r="D148" s="36" t="s">
        <v>210</v>
      </c>
      <c r="E148" s="36" t="s">
        <v>213</v>
      </c>
      <c r="F148" s="37"/>
      <c r="G148" s="29" t="b">
        <v>0</v>
      </c>
      <c r="H148" s="36" t="s">
        <v>214</v>
      </c>
      <c r="I148" s="36"/>
      <c r="J148" s="39"/>
      <c r="K148" s="40"/>
      <c r="L148" s="37" t="s">
        <v>194</v>
      </c>
      <c r="M148" s="37" t="s">
        <v>194</v>
      </c>
      <c r="N148" s="37" t="s">
        <v>194</v>
      </c>
      <c r="O148" s="37" t="s">
        <v>194</v>
      </c>
      <c r="P148" s="37" t="s">
        <v>392</v>
      </c>
      <c r="Q148" s="37" t="s">
        <v>1629</v>
      </c>
      <c r="R148" s="41">
        <v>46243.0</v>
      </c>
      <c r="S148" s="42">
        <v>0.0</v>
      </c>
      <c r="U148" s="45" t="str">
        <f>IF(records[Type]="Room",records[roomNo],records[roomNo]&amp;"-"&amp;SUBSTITUTE(RIGHT(records[roomNo]&amp;records[Type],2),"-",""))</f>
        <v>12-3-055</v>
      </c>
      <c r="V148" s="47" t="str">
        <f t="array" ref="V148">_xlfn.XLOOKUP(records[ID], dAir[roomNo], dAir[roomName])</f>
        <v>SPARE ROOM</v>
      </c>
      <c r="W148" s="47" t="str">
        <f t="array" ref="W148">_xlfn.XLOOKUP(records[ID], dAir[roomNo], dAir[building])</f>
        <v>Building 12</v>
      </c>
      <c r="X148" s="47" t="str">
        <f t="array" ref="X148">_xlfn.XLOOKUP(records[ID], dAir[roomNo], dAir[floor])</f>
        <v>Floor 3</v>
      </c>
      <c r="Y148" s="45" t="str">
        <f t="array" ref="Y148">_xlfn.XLOOKUP(records[ID], dAir[roomNo], dAir[Class])</f>
        <v>D</v>
      </c>
      <c r="Z148" s="45">
        <f t="array" ref="Z148">_xlfn.XLOOKUP(records[Method]&amp;"-"&amp;records[Class], dAirSpec[ID], dAirSpec[Spec])</f>
        <v>100</v>
      </c>
      <c r="AA148" s="45" t="str">
        <f t="array" ref="AA148">_xlfn.XLOOKUP(records[Method]&amp;"-"&amp;records[Class], dAirSpec[ID], dAirSpec[Unit])</f>
        <v>cfu/plate</v>
      </c>
      <c r="AB148" s="58">
        <f t="array" ref="AB148">if(S148="","", if(records[Method]="Active Air",_xlfn.xlookup(records[ColonyCount]&amp;records[AirSampler],feller[code],feller[Vc]),records[ColonyCount]))</f>
        <v>0</v>
      </c>
      <c r="AC148" s="60" t="b">
        <f t="shared" si="1"/>
        <v>1</v>
      </c>
      <c r="AD148" s="61" t="b">
        <v>0</v>
      </c>
      <c r="AE148" s="32"/>
      <c r="AF148" s="46"/>
      <c r="AG148" s="46"/>
      <c r="AH148" s="46"/>
      <c r="AI148" s="46"/>
      <c r="AJ148" s="46"/>
    </row>
    <row r="149" ht="22.5" customHeight="1">
      <c r="A149" s="27">
        <v>46195.0</v>
      </c>
      <c r="B149" s="34" t="str">
        <f t="array" ref="B149">TEXT(A149, "MM-YYYY")</f>
        <v>06-2026</v>
      </c>
      <c r="C149" s="39" t="s">
        <v>753</v>
      </c>
      <c r="D149" s="36" t="s">
        <v>755</v>
      </c>
      <c r="E149" s="36" t="s">
        <v>531</v>
      </c>
      <c r="F149" s="37" t="s">
        <v>40</v>
      </c>
      <c r="G149" s="29" t="b">
        <v>1</v>
      </c>
      <c r="H149" s="36" t="s">
        <v>214</v>
      </c>
      <c r="I149" s="36" t="s">
        <v>757</v>
      </c>
      <c r="J149" s="39">
        <v>3.1101125E8</v>
      </c>
      <c r="K149" s="40">
        <v>46240.0</v>
      </c>
      <c r="L149" s="37" t="s">
        <v>303</v>
      </c>
      <c r="M149" s="37" t="s">
        <v>1782</v>
      </c>
      <c r="N149" s="37" t="s">
        <v>194</v>
      </c>
      <c r="O149" s="37" t="s">
        <v>194</v>
      </c>
      <c r="P149" s="37" t="s">
        <v>392</v>
      </c>
      <c r="Q149" s="37" t="s">
        <v>1629</v>
      </c>
      <c r="R149" s="41">
        <v>46243.0</v>
      </c>
      <c r="S149" s="42">
        <v>0.0</v>
      </c>
      <c r="T149" s="44" t="s">
        <v>755</v>
      </c>
      <c r="U149" s="45" t="str">
        <f>IF(records[Type]="Room",records[roomNo],records[roomNo]&amp;"-"&amp;SUBSTITUTE(RIGHT(records[roomNo]&amp;records[Type],2),"-",""))</f>
        <v>16-1-075-M</v>
      </c>
      <c r="V149" s="47" t="str">
        <f t="array" ref="V149">_xlfn.XLOOKUP(records[ID], dAir[roomNo], dAir[roomName])</f>
        <v>VIALS CAPPING (Machine)</v>
      </c>
      <c r="W149" s="47" t="str">
        <f t="array" ref="W149">_xlfn.XLOOKUP(records[ID], dAir[roomNo], dAir[building])</f>
        <v>Building 16</v>
      </c>
      <c r="X149" s="47" t="str">
        <f t="array" ref="X149">_xlfn.XLOOKUP(records[ID], dAir[roomNo], dAir[floor])</f>
        <v>Floor 1</v>
      </c>
      <c r="Y149" s="45" t="str">
        <f t="array" ref="Y149">_xlfn.XLOOKUP(records[ID], dAir[roomNo], dAir[Class])</f>
        <v>A</v>
      </c>
      <c r="Z149" s="45">
        <f t="array" ref="Z149">_xlfn.XLOOKUP(records[Method]&amp;"-"&amp;records[Class], dAirSpec[ID], dAirSpec[Spec])</f>
        <v>0</v>
      </c>
      <c r="AA149" s="45" t="str">
        <f t="array" ref="AA149">_xlfn.XLOOKUP(records[Method]&amp;"-"&amp;records[Class], dAirSpec[ID], dAirSpec[Unit])</f>
        <v>cfu/m3</v>
      </c>
      <c r="AB149" s="45">
        <f t="array" ref="AB149">if(S149="","", if(records[Method]="Active Air",_xlfn.xlookup(records[ColonyCount]&amp;records[AirSampler],feller[code],feller[Vc]),records[ColonyCount]))</f>
        <v>0</v>
      </c>
      <c r="AC149" s="60" t="b">
        <f t="shared" si="1"/>
        <v>1</v>
      </c>
      <c r="AD149" s="61" t="b">
        <v>0</v>
      </c>
      <c r="AE149" s="32" t="s">
        <v>235</v>
      </c>
      <c r="AF149" s="46"/>
      <c r="AG149" s="46"/>
      <c r="AH149" s="46"/>
      <c r="AI149" s="46"/>
      <c r="AJ149" s="46"/>
    </row>
    <row r="150" ht="22.5" customHeight="1">
      <c r="A150" s="27">
        <v>46195.0</v>
      </c>
      <c r="B150" s="34" t="str">
        <f t="array" ref="B150">TEXT(A150, "MM-YYYY")</f>
        <v>06-2026</v>
      </c>
      <c r="C150" s="39" t="s">
        <v>765</v>
      </c>
      <c r="D150" s="36" t="s">
        <v>755</v>
      </c>
      <c r="E150" s="36" t="s">
        <v>531</v>
      </c>
      <c r="F150" s="37" t="s">
        <v>40</v>
      </c>
      <c r="G150" s="29" t="b">
        <v>1</v>
      </c>
      <c r="H150" s="36" t="s">
        <v>214</v>
      </c>
      <c r="I150" s="36" t="s">
        <v>757</v>
      </c>
      <c r="J150" s="39">
        <v>3.1101125E8</v>
      </c>
      <c r="K150" s="40">
        <v>46240.0</v>
      </c>
      <c r="L150" s="37" t="s">
        <v>1546</v>
      </c>
      <c r="M150" s="37" t="s">
        <v>1783</v>
      </c>
      <c r="N150" s="37" t="s">
        <v>194</v>
      </c>
      <c r="O150" s="37" t="s">
        <v>194</v>
      </c>
      <c r="P150" s="37" t="s">
        <v>392</v>
      </c>
      <c r="Q150" s="37" t="s">
        <v>1629</v>
      </c>
      <c r="R150" s="41">
        <v>46243.0</v>
      </c>
      <c r="S150" s="42">
        <v>0.0</v>
      </c>
      <c r="T150" s="44" t="s">
        <v>755</v>
      </c>
      <c r="U150" s="45" t="str">
        <f>IF(records[Type]="Room",records[roomNo],records[roomNo]&amp;"-"&amp;SUBSTITUTE(RIGHT(records[roomNo]&amp;records[Type],2),"-",""))</f>
        <v>16-1-076-M</v>
      </c>
      <c r="V150" s="47" t="str">
        <f t="array" ref="V150">_xlfn.XLOOKUP(records[ID], dAir[roomNo], dAir[roomName])</f>
        <v>FILLING 2 (Machine)</v>
      </c>
      <c r="W150" s="47" t="str">
        <f t="array" ref="W150">_xlfn.XLOOKUP(records[ID], dAir[roomNo], dAir[building])</f>
        <v>Building 16</v>
      </c>
      <c r="X150" s="47" t="str">
        <f t="array" ref="X150">_xlfn.XLOOKUP(records[ID], dAir[roomNo], dAir[floor])</f>
        <v>Floor 1</v>
      </c>
      <c r="Y150" s="45" t="str">
        <f t="array" ref="Y150">_xlfn.XLOOKUP(records[ID], dAir[roomNo], dAir[Class])</f>
        <v>A</v>
      </c>
      <c r="Z150" s="45">
        <f t="array" ref="Z150">_xlfn.XLOOKUP(records[Method]&amp;"-"&amp;records[Class], dAirSpec[ID], dAirSpec[Spec])</f>
        <v>0</v>
      </c>
      <c r="AA150" s="45" t="str">
        <f t="array" ref="AA150">_xlfn.XLOOKUP(records[Method]&amp;"-"&amp;records[Class], dAirSpec[ID], dAirSpec[Unit])</f>
        <v>cfu/m3</v>
      </c>
      <c r="AB150" s="45">
        <f t="array" ref="AB150">if(S150="","", if(records[Method]="Active Air",_xlfn.xlookup(records[ColonyCount]&amp;records[AirSampler],feller[code],feller[Vc]),records[ColonyCount]))</f>
        <v>0</v>
      </c>
      <c r="AC150" s="60" t="b">
        <f t="shared" si="1"/>
        <v>1</v>
      </c>
      <c r="AD150" s="61" t="b">
        <v>0</v>
      </c>
      <c r="AE150" s="32" t="s">
        <v>235</v>
      </c>
      <c r="AF150" s="46"/>
      <c r="AG150" s="46"/>
      <c r="AH150" s="46"/>
      <c r="AI150" s="46"/>
      <c r="AJ150" s="46"/>
    </row>
    <row r="151" ht="22.5" customHeight="1">
      <c r="A151" s="27">
        <v>46195.0</v>
      </c>
      <c r="B151" s="34" t="str">
        <f t="array" ref="B151">TEXT(A151, "MM-YYYY")</f>
        <v>06-2026</v>
      </c>
      <c r="C151" s="39" t="s">
        <v>765</v>
      </c>
      <c r="D151" s="36" t="s">
        <v>770</v>
      </c>
      <c r="E151" s="36" t="s">
        <v>531</v>
      </c>
      <c r="F151" s="37" t="s">
        <v>40</v>
      </c>
      <c r="G151" s="29" t="b">
        <v>1</v>
      </c>
      <c r="H151" s="36" t="s">
        <v>214</v>
      </c>
      <c r="I151" s="36" t="s">
        <v>757</v>
      </c>
      <c r="J151" s="39">
        <v>3.1101125E8</v>
      </c>
      <c r="K151" s="40">
        <v>46240.0</v>
      </c>
      <c r="L151" s="37" t="s">
        <v>1546</v>
      </c>
      <c r="M151" s="37" t="s">
        <v>1783</v>
      </c>
      <c r="N151" s="37" t="s">
        <v>194</v>
      </c>
      <c r="O151" s="37" t="s">
        <v>194</v>
      </c>
      <c r="P151" s="37" t="s">
        <v>392</v>
      </c>
      <c r="Q151" s="37" t="s">
        <v>1629</v>
      </c>
      <c r="R151" s="41">
        <v>46243.0</v>
      </c>
      <c r="S151" s="42">
        <v>0.0</v>
      </c>
      <c r="T151" s="44" t="s">
        <v>770</v>
      </c>
      <c r="U151" s="45" t="str">
        <f>IF(records[Type]="Room",records[roomNo],records[roomNo]&amp;"-"&amp;SUBSTITUTE(RIGHT(records[roomNo]&amp;records[Type],2),"-",""))</f>
        <v>16-1-076-L</v>
      </c>
      <c r="V151" s="47" t="str">
        <f t="array" ref="V151">_xlfn.XLOOKUP(records[ID], dAir[roomNo], dAir[roomName])</f>
        <v>FILLING 2 (Laminar)</v>
      </c>
      <c r="W151" s="47" t="str">
        <f t="array" ref="W151">_xlfn.XLOOKUP(records[ID], dAir[roomNo], dAir[building])</f>
        <v>Building 16</v>
      </c>
      <c r="X151" s="47" t="str">
        <f t="array" ref="X151">_xlfn.XLOOKUP(records[ID], dAir[roomNo], dAir[floor])</f>
        <v>Floor 1</v>
      </c>
      <c r="Y151" s="45" t="str">
        <f t="array" ref="Y151">_xlfn.XLOOKUP(records[ID], dAir[roomNo], dAir[Class])</f>
        <v>A</v>
      </c>
      <c r="Z151" s="45">
        <f t="array" ref="Z151">_xlfn.XLOOKUP(records[Method]&amp;"-"&amp;records[Class], dAirSpec[ID], dAirSpec[Spec])</f>
        <v>0</v>
      </c>
      <c r="AA151" s="45" t="str">
        <f t="array" ref="AA151">_xlfn.XLOOKUP(records[Method]&amp;"-"&amp;records[Class], dAirSpec[ID], dAirSpec[Unit])</f>
        <v>cfu/m3</v>
      </c>
      <c r="AB151" s="45">
        <f t="array" ref="AB151">if(S151="","", if(records[Method]="Active Air",_xlfn.xlookup(records[ColonyCount]&amp;records[AirSampler],feller[code],feller[Vc]),records[ColonyCount]))</f>
        <v>0</v>
      </c>
      <c r="AC151" s="60" t="b">
        <f t="shared" si="1"/>
        <v>1</v>
      </c>
      <c r="AD151" s="61" t="b">
        <v>0</v>
      </c>
      <c r="AE151" s="32" t="s">
        <v>235</v>
      </c>
      <c r="AF151" s="46"/>
      <c r="AG151" s="46"/>
      <c r="AH151" s="46"/>
      <c r="AI151" s="46"/>
      <c r="AJ151" s="46"/>
    </row>
    <row r="152" ht="22.5" customHeight="1">
      <c r="A152" s="27">
        <v>46195.0</v>
      </c>
      <c r="B152" s="34" t="str">
        <f t="array" ref="B152">TEXT(A152, "MM-YYYY")</f>
        <v>06-2026</v>
      </c>
      <c r="C152" s="39" t="s">
        <v>774</v>
      </c>
      <c r="D152" s="36" t="s">
        <v>755</v>
      </c>
      <c r="E152" s="36" t="s">
        <v>531</v>
      </c>
      <c r="F152" s="37" t="s">
        <v>40</v>
      </c>
      <c r="G152" s="29" t="b">
        <v>1</v>
      </c>
      <c r="H152" s="36" t="s">
        <v>214</v>
      </c>
      <c r="I152" s="36" t="s">
        <v>757</v>
      </c>
      <c r="J152" s="39">
        <v>3.1101125E8</v>
      </c>
      <c r="K152" s="40">
        <v>46240.0</v>
      </c>
      <c r="L152" s="37" t="s">
        <v>339</v>
      </c>
      <c r="M152" s="37" t="s">
        <v>608</v>
      </c>
      <c r="N152" s="37" t="s">
        <v>194</v>
      </c>
      <c r="O152" s="37" t="s">
        <v>194</v>
      </c>
      <c r="P152" s="37" t="s">
        <v>392</v>
      </c>
      <c r="Q152" s="37" t="s">
        <v>1629</v>
      </c>
      <c r="R152" s="41">
        <v>46243.0</v>
      </c>
      <c r="S152" s="42">
        <v>0.0</v>
      </c>
      <c r="T152" s="44" t="s">
        <v>755</v>
      </c>
      <c r="U152" s="45" t="str">
        <f>IF(records[Type]="Room",records[roomNo],records[roomNo]&amp;"-"&amp;SUBSTITUTE(RIGHT(records[roomNo]&amp;records[Type],2),"-",""))</f>
        <v>16-1-084-M</v>
      </c>
      <c r="V152" s="47" t="str">
        <f t="array" ref="V152">_xlfn.XLOOKUP(records[ID], dAir[roomNo], dAir[roomName])</f>
        <v>FILLING 1 (Machine)</v>
      </c>
      <c r="W152" s="47" t="str">
        <f t="array" ref="W152">_xlfn.XLOOKUP(records[ID], dAir[roomNo], dAir[building])</f>
        <v>Building 16</v>
      </c>
      <c r="X152" s="47" t="str">
        <f t="array" ref="X152">_xlfn.XLOOKUP(records[ID], dAir[roomNo], dAir[floor])</f>
        <v>Floor 1</v>
      </c>
      <c r="Y152" s="45" t="str">
        <f t="array" ref="Y152">_xlfn.XLOOKUP(records[ID], dAir[roomNo], dAir[Class])</f>
        <v>A</v>
      </c>
      <c r="Z152" s="45">
        <f t="array" ref="Z152">_xlfn.XLOOKUP(records[Method]&amp;"-"&amp;records[Class], dAirSpec[ID], dAirSpec[Spec])</f>
        <v>0</v>
      </c>
      <c r="AA152" s="45" t="str">
        <f t="array" ref="AA152">_xlfn.XLOOKUP(records[Method]&amp;"-"&amp;records[Class], dAirSpec[ID], dAirSpec[Unit])</f>
        <v>cfu/m3</v>
      </c>
      <c r="AB152" s="45">
        <f t="array" ref="AB152">if(S152="","", if(records[Method]="Active Air",_xlfn.xlookup(records[ColonyCount]&amp;records[AirSampler],feller[code],feller[Vc]),records[ColonyCount]))</f>
        <v>0</v>
      </c>
      <c r="AC152" s="60" t="b">
        <f t="shared" si="1"/>
        <v>1</v>
      </c>
      <c r="AD152" s="61" t="b">
        <v>0</v>
      </c>
      <c r="AE152" s="32" t="s">
        <v>235</v>
      </c>
      <c r="AF152" s="46"/>
      <c r="AG152" s="46"/>
      <c r="AH152" s="46"/>
      <c r="AI152" s="46"/>
      <c r="AJ152" s="46"/>
    </row>
    <row r="153" ht="22.5" customHeight="1">
      <c r="A153" s="27">
        <v>46195.0</v>
      </c>
      <c r="B153" s="34" t="str">
        <f t="array" ref="B153">TEXT(A153, "MM-YYYY")</f>
        <v>06-2026</v>
      </c>
      <c r="C153" s="39" t="s">
        <v>774</v>
      </c>
      <c r="D153" s="36" t="s">
        <v>770</v>
      </c>
      <c r="E153" s="36" t="s">
        <v>531</v>
      </c>
      <c r="F153" s="37" t="s">
        <v>40</v>
      </c>
      <c r="G153" s="29" t="b">
        <v>1</v>
      </c>
      <c r="H153" s="36" t="s">
        <v>214</v>
      </c>
      <c r="I153" s="36" t="s">
        <v>757</v>
      </c>
      <c r="J153" s="39">
        <v>3.1101125E8</v>
      </c>
      <c r="K153" s="40">
        <v>46240.0</v>
      </c>
      <c r="L153" s="37" t="s">
        <v>339</v>
      </c>
      <c r="M153" s="37" t="s">
        <v>608</v>
      </c>
      <c r="N153" s="37" t="s">
        <v>194</v>
      </c>
      <c r="O153" s="37" t="s">
        <v>194</v>
      </c>
      <c r="P153" s="37" t="s">
        <v>392</v>
      </c>
      <c r="Q153" s="37" t="s">
        <v>1629</v>
      </c>
      <c r="R153" s="41">
        <v>46243.0</v>
      </c>
      <c r="S153" s="42">
        <v>0.0</v>
      </c>
      <c r="T153" s="44" t="s">
        <v>770</v>
      </c>
      <c r="U153" s="45" t="str">
        <f>IF(records[Type]="Room",records[roomNo],records[roomNo]&amp;"-"&amp;SUBSTITUTE(RIGHT(records[roomNo]&amp;records[Type],2),"-",""))</f>
        <v>16-1-084-L</v>
      </c>
      <c r="V153" s="47" t="str">
        <f t="array" ref="V153">_xlfn.XLOOKUP(records[ID], dAir[roomNo], dAir[roomName])</f>
        <v>FILLING 1 (Laminar)</v>
      </c>
      <c r="W153" s="47" t="str">
        <f t="array" ref="W153">_xlfn.XLOOKUP(records[ID], dAir[roomNo], dAir[building])</f>
        <v>Building 16</v>
      </c>
      <c r="X153" s="47" t="str">
        <f t="array" ref="X153">_xlfn.XLOOKUP(records[ID], dAir[roomNo], dAir[floor])</f>
        <v>Floor 1</v>
      </c>
      <c r="Y153" s="45" t="str">
        <f t="array" ref="Y153">_xlfn.XLOOKUP(records[ID], dAir[roomNo], dAir[Class])</f>
        <v>A</v>
      </c>
      <c r="Z153" s="45">
        <f t="array" ref="Z153">_xlfn.XLOOKUP(records[Method]&amp;"-"&amp;records[Class], dAirSpec[ID], dAirSpec[Spec])</f>
        <v>0</v>
      </c>
      <c r="AA153" s="45" t="str">
        <f t="array" ref="AA153">_xlfn.XLOOKUP(records[Method]&amp;"-"&amp;records[Class], dAirSpec[ID], dAirSpec[Unit])</f>
        <v>cfu/m3</v>
      </c>
      <c r="AB153" s="45">
        <f t="array" ref="AB153">if(S153="","", if(records[Method]="Active Air",_xlfn.xlookup(records[ColonyCount]&amp;records[AirSampler],feller[code],feller[Vc]),records[ColonyCount]))</f>
        <v>0</v>
      </c>
      <c r="AC153" s="60" t="b">
        <f t="shared" si="1"/>
        <v>1</v>
      </c>
      <c r="AD153" s="61" t="b">
        <v>0</v>
      </c>
      <c r="AE153" s="32" t="s">
        <v>235</v>
      </c>
      <c r="AF153" s="46"/>
      <c r="AG153" s="46"/>
      <c r="AH153" s="46"/>
      <c r="AI153" s="46"/>
      <c r="AJ153" s="46"/>
    </row>
    <row r="154" ht="22.5" customHeight="1">
      <c r="A154" s="27">
        <v>46195.0</v>
      </c>
      <c r="B154" s="34" t="str">
        <f t="array" ref="B154">TEXT(A154, "MM-YYYY")</f>
        <v>06-2026</v>
      </c>
      <c r="C154" s="32" t="s">
        <v>786</v>
      </c>
      <c r="D154" s="21" t="s">
        <v>680</v>
      </c>
      <c r="E154" s="36" t="s">
        <v>531</v>
      </c>
      <c r="F154" s="37" t="s">
        <v>40</v>
      </c>
      <c r="G154" s="29" t="b">
        <v>1</v>
      </c>
      <c r="H154" s="36" t="s">
        <v>214</v>
      </c>
      <c r="I154" s="36" t="s">
        <v>757</v>
      </c>
      <c r="J154" s="39">
        <v>3.1101125E8</v>
      </c>
      <c r="K154" s="40">
        <v>46240.0</v>
      </c>
      <c r="L154" s="37" t="s">
        <v>298</v>
      </c>
      <c r="M154" s="37" t="s">
        <v>1583</v>
      </c>
      <c r="N154" s="37" t="s">
        <v>194</v>
      </c>
      <c r="O154" s="37" t="s">
        <v>194</v>
      </c>
      <c r="P154" s="37" t="s">
        <v>392</v>
      </c>
      <c r="Q154" s="37" t="s">
        <v>1629</v>
      </c>
      <c r="R154" s="41">
        <v>46243.0</v>
      </c>
      <c r="S154" s="42">
        <v>0.0</v>
      </c>
      <c r="T154" s="44" t="s">
        <v>680</v>
      </c>
      <c r="U154" s="45" t="str">
        <f>IF(records[Type]="Room",records[roomNo],records[roomNo]&amp;"-"&amp;SUBSTITUTE(RIGHT(records[roomNo]&amp;records[Type],2),"-",""))</f>
        <v>16-1-102-B</v>
      </c>
      <c r="V154" s="47" t="str">
        <f t="array" ref="V154">_xlfn.XLOOKUP(records[ID], dAir[roomNo], dAir[roomName])</f>
        <v>DISPENSING (Booth)</v>
      </c>
      <c r="W154" s="47" t="str">
        <f t="array" ref="W154">_xlfn.XLOOKUP(records[ID], dAir[roomNo], dAir[building])</f>
        <v>Building 16</v>
      </c>
      <c r="X154" s="47" t="str">
        <f t="array" ref="X154">_xlfn.XLOOKUP(records[ID], dAir[roomNo], dAir[floor])</f>
        <v>Floor 1</v>
      </c>
      <c r="Y154" s="45" t="str">
        <f t="array" ref="Y154">_xlfn.XLOOKUP(records[ID], dAir[roomNo], dAir[Class])</f>
        <v>A</v>
      </c>
      <c r="Z154" s="45">
        <f t="array" ref="Z154">_xlfn.XLOOKUP(records[Method]&amp;"-"&amp;records[Class], dAirSpec[ID], dAirSpec[Spec])</f>
        <v>0</v>
      </c>
      <c r="AA154" s="45" t="str">
        <f t="array" ref="AA154">_xlfn.XLOOKUP(records[Method]&amp;"-"&amp;records[Class], dAirSpec[ID], dAirSpec[Unit])</f>
        <v>cfu/m3</v>
      </c>
      <c r="AB154" s="45">
        <f t="array" ref="AB154">if(S154="","", if(records[Method]="Active Air",_xlfn.xlookup(records[ColonyCount]&amp;records[AirSampler],feller[code],feller[Vc]),records[ColonyCount]))</f>
        <v>0</v>
      </c>
      <c r="AC154" s="60" t="b">
        <f t="shared" si="1"/>
        <v>1</v>
      </c>
      <c r="AD154" s="61" t="b">
        <v>0</v>
      </c>
      <c r="AE154" s="32" t="s">
        <v>235</v>
      </c>
      <c r="AF154" s="46"/>
      <c r="AG154" s="46"/>
      <c r="AH154" s="46"/>
      <c r="AI154" s="46"/>
      <c r="AJ154" s="46"/>
    </row>
    <row r="155" ht="22.5" customHeight="1">
      <c r="A155" s="27">
        <v>46195.0</v>
      </c>
      <c r="B155" s="34" t="str">
        <f t="array" ref="B155">TEXT(A155, "MM-YYYY")</f>
        <v>06-2026</v>
      </c>
      <c r="C155" s="32" t="s">
        <v>1337</v>
      </c>
      <c r="D155" s="21" t="s">
        <v>210</v>
      </c>
      <c r="E155" s="36" t="s">
        <v>531</v>
      </c>
      <c r="F155" s="37" t="s">
        <v>42</v>
      </c>
      <c r="G155" s="29" t="b">
        <v>1</v>
      </c>
      <c r="H155" s="36" t="s">
        <v>214</v>
      </c>
      <c r="I155" s="36" t="s">
        <v>534</v>
      </c>
      <c r="J155" s="137" t="s">
        <v>1769</v>
      </c>
      <c r="K155" s="138">
        <v>46055.0</v>
      </c>
      <c r="L155" s="37" t="s">
        <v>194</v>
      </c>
      <c r="M155" s="37" t="s">
        <v>194</v>
      </c>
      <c r="N155" s="37" t="s">
        <v>194</v>
      </c>
      <c r="O155" s="37" t="s">
        <v>194</v>
      </c>
      <c r="P155" s="37" t="s">
        <v>392</v>
      </c>
      <c r="Q155" s="37" t="s">
        <v>1629</v>
      </c>
      <c r="R155" s="41">
        <v>46243.0</v>
      </c>
      <c r="S155" s="42">
        <v>2.0</v>
      </c>
      <c r="T155" s="44"/>
      <c r="U155" s="45" t="str">
        <f>IF(records[Type]="Room",records[roomNo],records[roomNo]&amp;"-"&amp;SUBSTITUTE(RIGHT(records[roomNo]&amp;records[Type],2),"-",""))</f>
        <v>11-1-020</v>
      </c>
      <c r="V155" s="47" t="str">
        <f t="array" ref="V155">_xlfn.XLOOKUP(records[ID], dAir[roomNo], dAir[roomName])</f>
        <v>CHANGING ROOM</v>
      </c>
      <c r="W155" s="47" t="str">
        <f t="array" ref="W155">_xlfn.XLOOKUP(records[ID], dAir[roomNo], dAir[building])</f>
        <v>Building 11</v>
      </c>
      <c r="X155" s="47" t="str">
        <f t="array" ref="X155">_xlfn.XLOOKUP(records[ID], dAir[roomNo], dAir[floor])</f>
        <v>Floor 1</v>
      </c>
      <c r="Y155" s="45" t="str">
        <f t="array" ref="Y155">_xlfn.XLOOKUP(records[ID], dAir[roomNo], dAir[Class])</f>
        <v>C</v>
      </c>
      <c r="Z155" s="45">
        <f t="array" ref="Z155">_xlfn.XLOOKUP(records[Method]&amp;"-"&amp;records[Class], dAirSpec[ID], dAirSpec[Spec])</f>
        <v>100</v>
      </c>
      <c r="AA155" s="45" t="str">
        <f t="array" ref="AA155">_xlfn.XLOOKUP(records[Method]&amp;"-"&amp;records[Class], dAirSpec[ID], dAirSpec[Unit])</f>
        <v>cfu/m3</v>
      </c>
      <c r="AB155" s="45">
        <f t="array" ref="AB155">if(S155="","", if(records[Method]="Active Air",_xlfn.xlookup(records[ColonyCount]&amp;records[AirSampler],feller[code],feller[Vc]),records[ColonyCount]))</f>
        <v>2</v>
      </c>
      <c r="AC155" s="60" t="b">
        <f t="shared" si="1"/>
        <v>1</v>
      </c>
      <c r="AD155" s="61" t="b">
        <v>0</v>
      </c>
      <c r="AE155" s="32" t="s">
        <v>235</v>
      </c>
      <c r="AF155" s="46"/>
      <c r="AG155" s="46"/>
      <c r="AH155" s="46"/>
      <c r="AI155" s="46"/>
      <c r="AJ155" s="46"/>
    </row>
    <row r="156" ht="22.5" customHeight="1">
      <c r="A156" s="27">
        <v>46195.0</v>
      </c>
      <c r="B156" s="34" t="str">
        <f t="array" ref="B156">TEXT(A156, "MM-YYYY")</f>
        <v>06-2026</v>
      </c>
      <c r="C156" s="32" t="s">
        <v>1339</v>
      </c>
      <c r="D156" s="21" t="s">
        <v>210</v>
      </c>
      <c r="E156" s="36" t="s">
        <v>531</v>
      </c>
      <c r="F156" s="37" t="s">
        <v>42</v>
      </c>
      <c r="G156" s="29" t="b">
        <v>1</v>
      </c>
      <c r="H156" s="36" t="s">
        <v>214</v>
      </c>
      <c r="I156" s="36" t="s">
        <v>534</v>
      </c>
      <c r="J156" s="137" t="s">
        <v>1769</v>
      </c>
      <c r="K156" s="138">
        <v>46055.0</v>
      </c>
      <c r="L156" s="37" t="s">
        <v>194</v>
      </c>
      <c r="M156" s="37" t="s">
        <v>194</v>
      </c>
      <c r="N156" s="37" t="s">
        <v>194</v>
      </c>
      <c r="O156" s="37" t="s">
        <v>194</v>
      </c>
      <c r="P156" s="37" t="s">
        <v>392</v>
      </c>
      <c r="Q156" s="37" t="s">
        <v>1629</v>
      </c>
      <c r="R156" s="41">
        <v>46243.0</v>
      </c>
      <c r="S156" s="42">
        <v>15.0</v>
      </c>
      <c r="T156" s="44"/>
      <c r="U156" s="45" t="str">
        <f>IF(records[Type]="Room",records[roomNo],records[roomNo]&amp;"-"&amp;SUBSTITUTE(RIGHT(records[roomNo]&amp;records[Type],2),"-",""))</f>
        <v>11-1-021</v>
      </c>
      <c r="V156" s="47" t="str">
        <f t="array" ref="V156">_xlfn.XLOOKUP(records[ID], dAir[roomNo], dAir[roomName])</f>
        <v>AIRLOCK</v>
      </c>
      <c r="W156" s="47" t="str">
        <f t="array" ref="W156">_xlfn.XLOOKUP(records[ID], dAir[roomNo], dAir[building])</f>
        <v>Building 11</v>
      </c>
      <c r="X156" s="47" t="str">
        <f t="array" ref="X156">_xlfn.XLOOKUP(records[ID], dAir[roomNo], dAir[floor])</f>
        <v>Floor 1</v>
      </c>
      <c r="Y156" s="45" t="str">
        <f t="array" ref="Y156">_xlfn.XLOOKUP(records[ID], dAir[roomNo], dAir[Class])</f>
        <v>C</v>
      </c>
      <c r="Z156" s="45">
        <f t="array" ref="Z156">_xlfn.XLOOKUP(records[Method]&amp;"-"&amp;records[Class], dAirSpec[ID], dAirSpec[Spec])</f>
        <v>100</v>
      </c>
      <c r="AA156" s="45" t="str">
        <f t="array" ref="AA156">_xlfn.XLOOKUP(records[Method]&amp;"-"&amp;records[Class], dAirSpec[ID], dAirSpec[Unit])</f>
        <v>cfu/m3</v>
      </c>
      <c r="AB156" s="45">
        <f t="array" ref="AB156">if(S156="","", if(records[Method]="Active Air",_xlfn.xlookup(records[ColonyCount]&amp;records[AirSampler],feller[code],feller[Vc]),records[ColonyCount]))</f>
        <v>15</v>
      </c>
      <c r="AC156" s="60" t="b">
        <f t="shared" si="1"/>
        <v>1</v>
      </c>
      <c r="AD156" s="61" t="b">
        <v>0</v>
      </c>
      <c r="AE156" s="32" t="s">
        <v>235</v>
      </c>
      <c r="AF156" s="46"/>
      <c r="AG156" s="46"/>
      <c r="AH156" s="46"/>
      <c r="AI156" s="46"/>
      <c r="AJ156" s="46"/>
    </row>
    <row r="157" ht="22.5" customHeight="1">
      <c r="A157" s="27">
        <v>46195.0</v>
      </c>
      <c r="B157" s="34" t="str">
        <f t="array" ref="B157">TEXT(A157, "MM-YYYY")</f>
        <v>06-2026</v>
      </c>
      <c r="C157" s="32" t="s">
        <v>1339</v>
      </c>
      <c r="D157" s="21" t="s">
        <v>1350</v>
      </c>
      <c r="E157" s="36" t="s">
        <v>531</v>
      </c>
      <c r="F157" s="37" t="s">
        <v>42</v>
      </c>
      <c r="G157" s="29" t="b">
        <v>1</v>
      </c>
      <c r="H157" s="36" t="s">
        <v>214</v>
      </c>
      <c r="I157" s="36" t="s">
        <v>534</v>
      </c>
      <c r="J157" s="137" t="s">
        <v>1769</v>
      </c>
      <c r="K157" s="138">
        <v>46055.0</v>
      </c>
      <c r="L157" s="37" t="s">
        <v>194</v>
      </c>
      <c r="M157" s="37" t="s">
        <v>194</v>
      </c>
      <c r="N157" s="37" t="s">
        <v>194</v>
      </c>
      <c r="O157" s="37" t="s">
        <v>194</v>
      </c>
      <c r="P157" s="37" t="s">
        <v>392</v>
      </c>
      <c r="Q157" s="37" t="s">
        <v>1629</v>
      </c>
      <c r="R157" s="41">
        <v>46243.0</v>
      </c>
      <c r="S157" s="42">
        <v>2.0</v>
      </c>
      <c r="T157" s="44" t="s">
        <v>1483</v>
      </c>
      <c r="U157" s="45" t="str">
        <f>IF(records[Type]="Room",records[roomNo],records[roomNo]&amp;"-"&amp;SUBSTITUTE(RIGHT(records[roomNo]&amp;records[Type],2),"-",""))</f>
        <v>11-1-021-PB</v>
      </c>
      <c r="V157" s="47" t="str">
        <f t="array" ref="V157">_xlfn.XLOOKUP(records[ID], dAir[roomNo], dAir[roomName])</f>
        <v>AIRLOCK  (Passbox)</v>
      </c>
      <c r="W157" s="47" t="str">
        <f t="array" ref="W157">_xlfn.XLOOKUP(records[ID], dAir[roomNo], dAir[building])</f>
        <v>Building 11</v>
      </c>
      <c r="X157" s="47" t="str">
        <f t="array" ref="X157">_xlfn.XLOOKUP(records[ID], dAir[roomNo], dAir[floor])</f>
        <v>Floor 1</v>
      </c>
      <c r="Y157" s="45" t="str">
        <f t="array" ref="Y157">_xlfn.XLOOKUP(records[ID], dAir[roomNo], dAir[Class])</f>
        <v>C</v>
      </c>
      <c r="Z157" s="45">
        <f t="array" ref="Z157">_xlfn.XLOOKUP(records[Method]&amp;"-"&amp;records[Class], dAirSpec[ID], dAirSpec[Spec])</f>
        <v>100</v>
      </c>
      <c r="AA157" s="45" t="str">
        <f t="array" ref="AA157">_xlfn.XLOOKUP(records[Method]&amp;"-"&amp;records[Class], dAirSpec[ID], dAirSpec[Unit])</f>
        <v>cfu/m3</v>
      </c>
      <c r="AB157" s="45">
        <f t="array" ref="AB157">if(S157="","", if(records[Method]="Active Air",_xlfn.xlookup(records[ColonyCount]&amp;records[AirSampler],feller[code],feller[Vc]),records[ColonyCount]))</f>
        <v>2</v>
      </c>
      <c r="AC157" s="60" t="b">
        <f t="shared" si="1"/>
        <v>1</v>
      </c>
      <c r="AD157" s="61" t="b">
        <v>0</v>
      </c>
      <c r="AE157" s="32" t="s">
        <v>235</v>
      </c>
      <c r="AF157" s="46"/>
      <c r="AG157" s="46"/>
      <c r="AH157" s="46"/>
      <c r="AI157" s="46"/>
      <c r="AJ157" s="46"/>
    </row>
    <row r="158" ht="22.5" customHeight="1">
      <c r="A158" s="27">
        <v>46195.0</v>
      </c>
      <c r="B158" s="34" t="str">
        <f t="array" ref="B158">TEXT(A158, "MM-YYYY")</f>
        <v>06-2026</v>
      </c>
      <c r="C158" s="32" t="s">
        <v>1342</v>
      </c>
      <c r="D158" s="21" t="s">
        <v>680</v>
      </c>
      <c r="E158" s="36" t="s">
        <v>531</v>
      </c>
      <c r="F158" s="37" t="s">
        <v>42</v>
      </c>
      <c r="G158" s="29" t="b">
        <v>1</v>
      </c>
      <c r="H158" s="36" t="s">
        <v>214</v>
      </c>
      <c r="I158" s="36" t="s">
        <v>534</v>
      </c>
      <c r="J158" s="137" t="s">
        <v>1769</v>
      </c>
      <c r="K158" s="138">
        <v>46055.0</v>
      </c>
      <c r="L158" s="37" t="s">
        <v>194</v>
      </c>
      <c r="M158" s="37" t="s">
        <v>194</v>
      </c>
      <c r="N158" s="37" t="s">
        <v>194</v>
      </c>
      <c r="O158" s="37" t="s">
        <v>194</v>
      </c>
      <c r="P158" s="37" t="s">
        <v>392</v>
      </c>
      <c r="Q158" s="37" t="s">
        <v>1629</v>
      </c>
      <c r="R158" s="41">
        <v>46243.0</v>
      </c>
      <c r="S158" s="42">
        <v>3.0</v>
      </c>
      <c r="T158" s="44" t="s">
        <v>680</v>
      </c>
      <c r="U158" s="45" t="str">
        <f>IF(records[Type]="Room",records[roomNo],records[roomNo]&amp;"-"&amp;SUBSTITUTE(RIGHT(records[roomNo]&amp;records[Type],2),"-",""))</f>
        <v>11-1-022-B</v>
      </c>
      <c r="V158" s="47" t="str">
        <f t="array" ref="V158">_xlfn.XLOOKUP(records[ID], dAir[roomNo], dAir[roomName])</f>
        <v>SAMPLING 4 (Booth)</v>
      </c>
      <c r="W158" s="47" t="str">
        <f t="array" ref="W158">_xlfn.XLOOKUP(records[ID], dAir[roomNo], dAir[building])</f>
        <v>Building 11</v>
      </c>
      <c r="X158" s="47" t="str">
        <f t="array" ref="X158">_xlfn.XLOOKUP(records[ID], dAir[roomNo], dAir[floor])</f>
        <v>Floor 1</v>
      </c>
      <c r="Y158" s="45" t="str">
        <f t="array" ref="Y158">_xlfn.XLOOKUP(records[ID], dAir[roomNo], dAir[Class])</f>
        <v>C</v>
      </c>
      <c r="Z158" s="45">
        <f t="array" ref="Z158">_xlfn.XLOOKUP(records[Method]&amp;"-"&amp;records[Class], dAirSpec[ID], dAirSpec[Spec])</f>
        <v>100</v>
      </c>
      <c r="AA158" s="45" t="str">
        <f t="array" ref="AA158">_xlfn.XLOOKUP(records[Method]&amp;"-"&amp;records[Class], dAirSpec[ID], dAirSpec[Unit])</f>
        <v>cfu/m3</v>
      </c>
      <c r="AB158" s="45">
        <f t="array" ref="AB158">if(S158="","", if(records[Method]="Active Air",_xlfn.xlookup(records[ColonyCount]&amp;records[AirSampler],feller[code],feller[Vc]),records[ColonyCount]))</f>
        <v>3</v>
      </c>
      <c r="AC158" s="60" t="b">
        <f t="shared" si="1"/>
        <v>1</v>
      </c>
      <c r="AD158" s="61" t="b">
        <v>0</v>
      </c>
      <c r="AE158" s="32" t="s">
        <v>235</v>
      </c>
      <c r="AF158" s="46"/>
      <c r="AG158" s="46"/>
      <c r="AH158" s="46"/>
      <c r="AI158" s="46"/>
      <c r="AJ158" s="46"/>
    </row>
    <row r="159" ht="22.5" customHeight="1">
      <c r="A159" s="27">
        <v>46195.0</v>
      </c>
      <c r="B159" s="34" t="str">
        <f t="array" ref="B159">TEXT(A159, "MM-YYYY")</f>
        <v>06-2026</v>
      </c>
      <c r="C159" s="32" t="s">
        <v>1342</v>
      </c>
      <c r="D159" s="21" t="s">
        <v>210</v>
      </c>
      <c r="E159" s="36" t="s">
        <v>531</v>
      </c>
      <c r="F159" s="37" t="s">
        <v>42</v>
      </c>
      <c r="G159" s="29" t="b">
        <v>1</v>
      </c>
      <c r="H159" s="36" t="s">
        <v>214</v>
      </c>
      <c r="I159" s="36" t="s">
        <v>534</v>
      </c>
      <c r="J159" s="137" t="s">
        <v>1769</v>
      </c>
      <c r="K159" s="138">
        <v>46055.0</v>
      </c>
      <c r="L159" s="37" t="s">
        <v>194</v>
      </c>
      <c r="M159" s="37" t="s">
        <v>194</v>
      </c>
      <c r="N159" s="37" t="s">
        <v>194</v>
      </c>
      <c r="O159" s="37" t="s">
        <v>194</v>
      </c>
      <c r="P159" s="37" t="s">
        <v>392</v>
      </c>
      <c r="Q159" s="37" t="s">
        <v>1629</v>
      </c>
      <c r="R159" s="41">
        <v>46243.0</v>
      </c>
      <c r="S159" s="42">
        <v>13.0</v>
      </c>
      <c r="T159" s="44"/>
      <c r="U159" s="45" t="str">
        <f>IF(records[Type]="Room",records[roomNo],records[roomNo]&amp;"-"&amp;SUBSTITUTE(RIGHT(records[roomNo]&amp;records[Type],2),"-",""))</f>
        <v>11-1-022</v>
      </c>
      <c r="V159" s="47" t="str">
        <f t="array" ref="V159">_xlfn.XLOOKUP(records[ID], dAir[roomNo], dAir[roomName])</f>
        <v>SAMPLING 4</v>
      </c>
      <c r="W159" s="47" t="str">
        <f t="array" ref="W159">_xlfn.XLOOKUP(records[ID], dAir[roomNo], dAir[building])</f>
        <v>Building 11</v>
      </c>
      <c r="X159" s="47" t="str">
        <f t="array" ref="X159">_xlfn.XLOOKUP(records[ID], dAir[roomNo], dAir[floor])</f>
        <v>Floor 1</v>
      </c>
      <c r="Y159" s="45" t="str">
        <f t="array" ref="Y159">_xlfn.XLOOKUP(records[ID], dAir[roomNo], dAir[Class])</f>
        <v>C</v>
      </c>
      <c r="Z159" s="45">
        <f t="array" ref="Z159">_xlfn.XLOOKUP(records[Method]&amp;"-"&amp;records[Class], dAirSpec[ID], dAirSpec[Spec])</f>
        <v>100</v>
      </c>
      <c r="AA159" s="45" t="str">
        <f t="array" ref="AA159">_xlfn.XLOOKUP(records[Method]&amp;"-"&amp;records[Class], dAirSpec[ID], dAirSpec[Unit])</f>
        <v>cfu/m3</v>
      </c>
      <c r="AB159" s="45">
        <f t="array" ref="AB159">if(S159="","", if(records[Method]="Active Air",_xlfn.xlookup(records[ColonyCount]&amp;records[AirSampler],feller[code],feller[Vc]),records[ColonyCount]))</f>
        <v>13</v>
      </c>
      <c r="AC159" s="60" t="b">
        <f t="shared" si="1"/>
        <v>1</v>
      </c>
      <c r="AD159" s="61" t="b">
        <v>0</v>
      </c>
      <c r="AE159" s="32" t="s">
        <v>235</v>
      </c>
      <c r="AF159" s="46"/>
      <c r="AG159" s="46"/>
      <c r="AH159" s="46"/>
      <c r="AI159" s="46"/>
      <c r="AJ159" s="46"/>
    </row>
    <row r="160" ht="22.5" customHeight="1">
      <c r="A160" s="27">
        <v>46201.0</v>
      </c>
      <c r="B160" s="34" t="str">
        <f t="array" ref="B160">TEXT(A160, "MM-YYYY")</f>
        <v>06-2026</v>
      </c>
      <c r="C160" s="56" t="s">
        <v>795</v>
      </c>
      <c r="D160" s="36" t="s">
        <v>210</v>
      </c>
      <c r="E160" s="36" t="s">
        <v>213</v>
      </c>
      <c r="F160" s="37"/>
      <c r="G160" s="29" t="b">
        <v>0</v>
      </c>
      <c r="H160" s="36" t="s">
        <v>214</v>
      </c>
      <c r="I160" s="36"/>
      <c r="J160" s="137"/>
      <c r="K160" s="138"/>
      <c r="L160" s="37" t="s">
        <v>194</v>
      </c>
      <c r="M160" s="37" t="s">
        <v>194</v>
      </c>
      <c r="N160" s="37" t="s">
        <v>194</v>
      </c>
      <c r="O160" s="37" t="s">
        <v>194</v>
      </c>
      <c r="P160" s="37" t="s">
        <v>392</v>
      </c>
      <c r="Q160" s="37" t="s">
        <v>1629</v>
      </c>
      <c r="R160" s="41">
        <v>46243.0</v>
      </c>
      <c r="S160" s="42">
        <v>2.0</v>
      </c>
      <c r="T160" s="44"/>
      <c r="U160" s="47" t="str">
        <f>IF(records[Type]="Room",records[roomNo],records[roomNo]&amp;"-"&amp;SUBSTITUTE(RIGHT(records[roomNo]&amp;records[Type],2),"-",""))</f>
        <v>12-3-049</v>
      </c>
      <c r="V160" s="47" t="str">
        <f t="array" ref="V160">_xlfn.XLOOKUP(records[ID], dAir[roomNo], dAir[roomName])</f>
        <v>CHANGING ROOM</v>
      </c>
      <c r="W160" s="47" t="str">
        <f t="array" ref="W160">_xlfn.XLOOKUP(records[ID], dAir[roomNo], dAir[building])</f>
        <v>Building 12</v>
      </c>
      <c r="X160" s="47" t="str">
        <f t="array" ref="X160">_xlfn.XLOOKUP(records[ID], dAir[roomNo], dAir[floor])</f>
        <v>Floor 3</v>
      </c>
      <c r="Y160" s="45" t="str">
        <f t="array" ref="Y160">_xlfn.XLOOKUP(records[ID], dAir[roomNo], dAir[Class])</f>
        <v>D</v>
      </c>
      <c r="Z160" s="45">
        <f t="array" ref="Z160">_xlfn.XLOOKUP(records[Method]&amp;"-"&amp;records[Class], dAirSpec[ID], dAirSpec[Spec])</f>
        <v>100</v>
      </c>
      <c r="AA160" s="45" t="str">
        <f t="array" ref="AA160">_xlfn.XLOOKUP(records[Method]&amp;"-"&amp;records[Class], dAirSpec[ID], dAirSpec[Unit])</f>
        <v>cfu/plate</v>
      </c>
      <c r="AB160" s="58">
        <f t="array" ref="AB160">if(S160="","", if(records[Method]="Active Air",_xlfn.xlookup(records[ColonyCount]&amp;records[AirSampler],feller[code],feller[Vc]),records[ColonyCount]))</f>
        <v>2</v>
      </c>
      <c r="AC160" s="60" t="b">
        <f t="shared" si="1"/>
        <v>1</v>
      </c>
      <c r="AD160" s="61" t="b">
        <v>0</v>
      </c>
      <c r="AE160" s="32"/>
      <c r="AF160" s="46"/>
      <c r="AG160" s="46"/>
      <c r="AH160" s="46"/>
      <c r="AI160" s="46"/>
      <c r="AJ160" s="46"/>
    </row>
    <row r="161" ht="22.5" customHeight="1">
      <c r="A161" s="27">
        <v>46201.0</v>
      </c>
      <c r="B161" s="34" t="str">
        <f t="array" ref="B161">TEXT(A161, "MM-YYYY")</f>
        <v>06-2026</v>
      </c>
      <c r="C161" s="56" t="s">
        <v>802</v>
      </c>
      <c r="D161" s="36" t="s">
        <v>210</v>
      </c>
      <c r="E161" s="36" t="s">
        <v>213</v>
      </c>
      <c r="F161" s="37"/>
      <c r="G161" s="29" t="b">
        <v>0</v>
      </c>
      <c r="H161" s="36" t="s">
        <v>214</v>
      </c>
      <c r="I161" s="36"/>
      <c r="J161" s="137"/>
      <c r="K161" s="138"/>
      <c r="L161" s="37" t="s">
        <v>194</v>
      </c>
      <c r="M161" s="37" t="s">
        <v>194</v>
      </c>
      <c r="N161" s="37" t="s">
        <v>194</v>
      </c>
      <c r="O161" s="37" t="s">
        <v>194</v>
      </c>
      <c r="P161" s="37" t="s">
        <v>392</v>
      </c>
      <c r="Q161" s="37" t="s">
        <v>1629</v>
      </c>
      <c r="R161" s="41">
        <v>46243.0</v>
      </c>
      <c r="S161" s="42">
        <v>0.0</v>
      </c>
      <c r="T161" s="44"/>
      <c r="U161" s="47" t="str">
        <f>IF(records[Type]="Room",records[roomNo],records[roomNo]&amp;"-"&amp;SUBSTITUTE(RIGHT(records[roomNo]&amp;records[Type],2),"-",""))</f>
        <v>12-3-050</v>
      </c>
      <c r="V161" s="47" t="str">
        <f t="array" ref="V161">_xlfn.XLOOKUP(records[ID], dAir[roomNo], dAir[roomName])</f>
        <v>CORRIDOR</v>
      </c>
      <c r="W161" s="47" t="str">
        <f t="array" ref="W161">_xlfn.XLOOKUP(records[ID], dAir[roomNo], dAir[building])</f>
        <v>Building 12</v>
      </c>
      <c r="X161" s="47" t="str">
        <f t="array" ref="X161">_xlfn.XLOOKUP(records[ID], dAir[roomNo], dAir[floor])</f>
        <v>Floor 3</v>
      </c>
      <c r="Y161" s="45" t="str">
        <f t="array" ref="Y161">_xlfn.XLOOKUP(records[ID], dAir[roomNo], dAir[Class])</f>
        <v>D</v>
      </c>
      <c r="Z161" s="45">
        <f t="array" ref="Z161">_xlfn.XLOOKUP(records[Method]&amp;"-"&amp;records[Class], dAirSpec[ID], dAirSpec[Spec])</f>
        <v>100</v>
      </c>
      <c r="AA161" s="45" t="str">
        <f t="array" ref="AA161">_xlfn.XLOOKUP(records[Method]&amp;"-"&amp;records[Class], dAirSpec[ID], dAirSpec[Unit])</f>
        <v>cfu/plate</v>
      </c>
      <c r="AB161" s="58">
        <f t="array" ref="AB161">if(S161="","", if(records[Method]="Active Air",_xlfn.xlookup(records[ColonyCount]&amp;records[AirSampler],feller[code],feller[Vc]),records[ColonyCount]))</f>
        <v>0</v>
      </c>
      <c r="AC161" s="60" t="b">
        <f t="shared" si="1"/>
        <v>1</v>
      </c>
      <c r="AD161" s="61" t="b">
        <v>0</v>
      </c>
      <c r="AE161" s="32"/>
      <c r="AF161" s="46"/>
      <c r="AG161" s="46"/>
      <c r="AH161" s="46"/>
      <c r="AI161" s="46"/>
      <c r="AJ161" s="46"/>
    </row>
    <row r="162" ht="22.5" customHeight="1">
      <c r="A162" s="27">
        <v>46201.0</v>
      </c>
      <c r="B162" s="34" t="str">
        <f t="array" ref="B162">TEXT(A162, "MM-YYYY")</f>
        <v>06-2026</v>
      </c>
      <c r="C162" s="82" t="s">
        <v>809</v>
      </c>
      <c r="D162" s="36" t="s">
        <v>210</v>
      </c>
      <c r="E162" s="36" t="s">
        <v>213</v>
      </c>
      <c r="F162" s="37"/>
      <c r="G162" s="29" t="b">
        <v>0</v>
      </c>
      <c r="H162" s="36" t="s">
        <v>214</v>
      </c>
      <c r="I162" s="36"/>
      <c r="J162" s="137"/>
      <c r="K162" s="138"/>
      <c r="L162" s="37" t="s">
        <v>194</v>
      </c>
      <c r="M162" s="37" t="s">
        <v>194</v>
      </c>
      <c r="N162" s="37" t="s">
        <v>194</v>
      </c>
      <c r="O162" s="37" t="s">
        <v>194</v>
      </c>
      <c r="P162" s="37" t="s">
        <v>392</v>
      </c>
      <c r="Q162" s="37" t="s">
        <v>1629</v>
      </c>
      <c r="R162" s="41">
        <v>46243.0</v>
      </c>
      <c r="S162" s="42">
        <v>7.0</v>
      </c>
      <c r="T162" s="44"/>
      <c r="U162" s="83" t="str">
        <f>IF(records[Type]="Room",records[roomNo],records[roomNo]&amp;"-"&amp;SUBSTITUTE(RIGHT(records[roomNo]&amp;records[Type],2),"-",""))</f>
        <v>12-3-053</v>
      </c>
      <c r="V162" s="47" t="str">
        <f t="array" ref="V162">_xlfn.XLOOKUP(records[ID], dAir[roomNo], dAir[roomName])</f>
        <v>MLT 2</v>
      </c>
      <c r="W162" s="47" t="str">
        <f t="array" ref="W162">_xlfn.XLOOKUP(records[ID], dAir[roomNo], dAir[building])</f>
        <v>Building 12</v>
      </c>
      <c r="X162" s="47" t="str">
        <f t="array" ref="X162">_xlfn.XLOOKUP(records[ID], dAir[roomNo], dAir[floor])</f>
        <v>Floor 3</v>
      </c>
      <c r="Y162" s="45" t="str">
        <f t="array" ref="Y162">_xlfn.XLOOKUP(records[ID], dAir[roomNo], dAir[Class])</f>
        <v>D</v>
      </c>
      <c r="Z162" s="45">
        <f t="array" ref="Z162">_xlfn.XLOOKUP(records[Method]&amp;"-"&amp;records[Class], dAirSpec[ID], dAirSpec[Spec])</f>
        <v>100</v>
      </c>
      <c r="AA162" s="45" t="str">
        <f t="array" ref="AA162">_xlfn.XLOOKUP(records[Method]&amp;"-"&amp;records[Class], dAirSpec[ID], dAirSpec[Unit])</f>
        <v>cfu/plate</v>
      </c>
      <c r="AB162" s="58">
        <f t="array" ref="AB162">if(S162="","", if(records[Method]="Active Air",_xlfn.xlookup(records[ColonyCount]&amp;records[AirSampler],feller[code],feller[Vc]),records[ColonyCount]))</f>
        <v>7</v>
      </c>
      <c r="AC162" s="60" t="b">
        <f t="shared" si="1"/>
        <v>1</v>
      </c>
      <c r="AD162" s="61" t="b">
        <v>0</v>
      </c>
      <c r="AE162" s="32"/>
      <c r="AF162" s="46"/>
      <c r="AG162" s="46"/>
      <c r="AH162" s="46"/>
      <c r="AI162" s="46"/>
      <c r="AJ162" s="46"/>
    </row>
    <row r="163" ht="22.5" customHeight="1">
      <c r="A163" s="27">
        <v>46201.0</v>
      </c>
      <c r="B163" s="34" t="str">
        <f t="array" ref="B163">TEXT(A163, "MM-YYYY")</f>
        <v>06-2026</v>
      </c>
      <c r="C163" s="85" t="s">
        <v>814</v>
      </c>
      <c r="D163" s="36" t="s">
        <v>210</v>
      </c>
      <c r="E163" s="36" t="s">
        <v>531</v>
      </c>
      <c r="F163" s="37" t="s">
        <v>46</v>
      </c>
      <c r="G163" s="29" t="b">
        <v>1</v>
      </c>
      <c r="H163" s="36" t="s">
        <v>214</v>
      </c>
      <c r="I163" s="36" t="s">
        <v>534</v>
      </c>
      <c r="J163" s="137" t="s">
        <v>1792</v>
      </c>
      <c r="K163" s="145">
        <v>46472.0</v>
      </c>
      <c r="L163" s="37" t="s">
        <v>194</v>
      </c>
      <c r="M163" s="37" t="s">
        <v>194</v>
      </c>
      <c r="N163" s="37" t="s">
        <v>194</v>
      </c>
      <c r="O163" s="37" t="s">
        <v>194</v>
      </c>
      <c r="P163" s="37" t="s">
        <v>392</v>
      </c>
      <c r="Q163" s="37" t="s">
        <v>1629</v>
      </c>
      <c r="R163" s="41">
        <v>46243.0</v>
      </c>
      <c r="S163" s="42">
        <v>0.0</v>
      </c>
      <c r="T163" s="44"/>
      <c r="U163" s="83" t="str">
        <f>IF(records[Type]="Room",records[roomNo],records[roomNo]&amp;"-"&amp;SUBSTITUTE(RIGHT(records[roomNo]&amp;records[Type],2),"-",""))</f>
        <v>12-3-053-BSC</v>
      </c>
      <c r="V163" s="47" t="str">
        <f t="array" ref="V163">_xlfn.XLOOKUP(records[ID], dAir[roomNo], dAir[roomName])</f>
        <v>MLT 2</v>
      </c>
      <c r="W163" s="47" t="str">
        <f t="array" ref="W163">_xlfn.XLOOKUP(records[ID], dAir[roomNo], dAir[building])</f>
        <v>Building 12</v>
      </c>
      <c r="X163" s="47" t="str">
        <f t="array" ref="X163">_xlfn.XLOOKUP(records[ID], dAir[roomNo], dAir[floor])</f>
        <v>Floor 3</v>
      </c>
      <c r="Y163" s="45" t="str">
        <f t="array" ref="Y163">_xlfn.XLOOKUP(records[ID], dAir[roomNo], dAir[Class])</f>
        <v>A</v>
      </c>
      <c r="Z163" s="45">
        <f t="array" ref="Z163">_xlfn.XLOOKUP(records[Method]&amp;"-"&amp;records[Class], dAirSpec[ID], dAirSpec[Spec])</f>
        <v>0</v>
      </c>
      <c r="AA163" s="45" t="str">
        <f t="array" ref="AA163">_xlfn.XLOOKUP(records[Method]&amp;"-"&amp;records[Class], dAirSpec[ID], dAirSpec[Unit])</f>
        <v>cfu/m3</v>
      </c>
      <c r="AB163" s="45">
        <f t="array" ref="AB163">if(S163="","", if(records[Method]="Active Air",_xlfn.xlookup(records[ColonyCount]&amp;records[AirSampler],feller[code],feller[Vc]),records[ColonyCount]))</f>
        <v>0</v>
      </c>
      <c r="AC163" s="60" t="b">
        <f t="shared" si="1"/>
        <v>1</v>
      </c>
      <c r="AD163" s="61" t="b">
        <v>0</v>
      </c>
      <c r="AE163" s="32" t="s">
        <v>235</v>
      </c>
      <c r="AF163" s="46"/>
      <c r="AG163" s="46"/>
      <c r="AH163" s="46"/>
      <c r="AI163" s="46"/>
      <c r="AJ163" s="46"/>
    </row>
    <row r="164" ht="22.5" customHeight="1">
      <c r="A164" s="27">
        <v>46201.0</v>
      </c>
      <c r="B164" s="34" t="str">
        <f t="array" ref="B164">TEXT(A164, "MM-YYYY")</f>
        <v>06-2026</v>
      </c>
      <c r="C164" s="56" t="s">
        <v>821</v>
      </c>
      <c r="D164" s="36" t="s">
        <v>210</v>
      </c>
      <c r="E164" s="36" t="s">
        <v>213</v>
      </c>
      <c r="F164" s="37"/>
      <c r="G164" s="29" t="b">
        <v>0</v>
      </c>
      <c r="H164" s="36" t="s">
        <v>214</v>
      </c>
      <c r="I164" s="36"/>
      <c r="J164" s="137"/>
      <c r="K164" s="138"/>
      <c r="L164" s="37" t="s">
        <v>194</v>
      </c>
      <c r="M164" s="37" t="s">
        <v>194</v>
      </c>
      <c r="N164" s="37" t="s">
        <v>194</v>
      </c>
      <c r="O164" s="37" t="s">
        <v>194</v>
      </c>
      <c r="P164" s="37" t="s">
        <v>392</v>
      </c>
      <c r="Q164" s="37" t="s">
        <v>1629</v>
      </c>
      <c r="R164" s="41">
        <v>46243.0</v>
      </c>
      <c r="S164" s="42">
        <v>0.0</v>
      </c>
      <c r="T164" s="44"/>
      <c r="U164" s="47" t="str">
        <f>IF(records[Type]="Room",records[roomNo],records[roomNo]&amp;"-"&amp;SUBSTITUTE(RIGHT(records[roomNo]&amp;records[Type],2),"-",""))</f>
        <v>12-3-054</v>
      </c>
      <c r="V164" s="47" t="str">
        <f t="array" ref="V164">_xlfn.XLOOKUP(records[ID], dAir[roomNo], dAir[roomName])</f>
        <v>MLT 3</v>
      </c>
      <c r="W164" s="47" t="str">
        <f t="array" ref="W164">_xlfn.XLOOKUP(records[ID], dAir[roomNo], dAir[building])</f>
        <v>Building 12</v>
      </c>
      <c r="X164" s="47" t="str">
        <f t="array" ref="X164">_xlfn.XLOOKUP(records[ID], dAir[roomNo], dAir[floor])</f>
        <v>Floor 3</v>
      </c>
      <c r="Y164" s="45" t="str">
        <f t="array" ref="Y164">_xlfn.XLOOKUP(records[ID], dAir[roomNo], dAir[Class])</f>
        <v>D</v>
      </c>
      <c r="Z164" s="45">
        <f t="array" ref="Z164">_xlfn.XLOOKUP(records[Method]&amp;"-"&amp;records[Class], dAirSpec[ID], dAirSpec[Spec])</f>
        <v>100</v>
      </c>
      <c r="AA164" s="45" t="str">
        <f t="array" ref="AA164">_xlfn.XLOOKUP(records[Method]&amp;"-"&amp;records[Class], dAirSpec[ID], dAirSpec[Unit])</f>
        <v>cfu/plate</v>
      </c>
      <c r="AB164" s="58">
        <f t="array" ref="AB164">if(S164="","", if(records[Method]="Active Air",_xlfn.xlookup(records[ColonyCount]&amp;records[AirSampler],feller[code],feller[Vc]),records[ColonyCount]))</f>
        <v>0</v>
      </c>
      <c r="AC164" s="60" t="b">
        <f t="shared" si="1"/>
        <v>1</v>
      </c>
      <c r="AD164" s="61" t="b">
        <v>0</v>
      </c>
      <c r="AE164" s="32"/>
      <c r="AF164" s="46"/>
      <c r="AG164" s="46"/>
      <c r="AH164" s="46"/>
      <c r="AI164" s="46"/>
      <c r="AJ164" s="46"/>
    </row>
    <row r="165" ht="22.5" customHeight="1">
      <c r="A165" s="27">
        <v>46201.0</v>
      </c>
      <c r="B165" s="34" t="str">
        <f t="array" ref="B165">TEXT(A165, "MM-YYYY")</f>
        <v>06-2026</v>
      </c>
      <c r="C165" s="34" t="s">
        <v>825</v>
      </c>
      <c r="D165" s="36" t="s">
        <v>210</v>
      </c>
      <c r="E165" s="36" t="s">
        <v>531</v>
      </c>
      <c r="F165" s="37" t="s">
        <v>46</v>
      </c>
      <c r="G165" s="29" t="b">
        <v>1</v>
      </c>
      <c r="H165" s="36" t="s">
        <v>214</v>
      </c>
      <c r="I165" s="36" t="s">
        <v>534</v>
      </c>
      <c r="J165" s="137" t="s">
        <v>1792</v>
      </c>
      <c r="K165" s="145">
        <v>46472.0</v>
      </c>
      <c r="L165" s="37" t="s">
        <v>194</v>
      </c>
      <c r="M165" s="37" t="s">
        <v>194</v>
      </c>
      <c r="N165" s="37" t="s">
        <v>194</v>
      </c>
      <c r="O165" s="37" t="s">
        <v>194</v>
      </c>
      <c r="P165" s="37" t="s">
        <v>392</v>
      </c>
      <c r="Q165" s="37" t="s">
        <v>1629</v>
      </c>
      <c r="R165" s="41">
        <v>46243.0</v>
      </c>
      <c r="S165" s="42">
        <v>0.0</v>
      </c>
      <c r="T165" s="44"/>
      <c r="U165" s="47" t="str">
        <f>IF(records[Type]="Room",records[roomNo],records[roomNo]&amp;"-"&amp;SUBSTITUTE(RIGHT(records[roomNo]&amp;records[Type],2),"-",""))</f>
        <v>12-3-054-BSC</v>
      </c>
      <c r="V165" s="47" t="str">
        <f t="array" ref="V165">_xlfn.XLOOKUP(records[ID], dAir[roomNo], dAir[roomName])</f>
        <v>MLT 3</v>
      </c>
      <c r="W165" s="47" t="str">
        <f t="array" ref="W165">_xlfn.XLOOKUP(records[ID], dAir[roomNo], dAir[building])</f>
        <v>Building 12</v>
      </c>
      <c r="X165" s="47" t="str">
        <f t="array" ref="X165">_xlfn.XLOOKUP(records[ID], dAir[roomNo], dAir[floor])</f>
        <v>Floor 3</v>
      </c>
      <c r="Y165" s="45" t="str">
        <f t="array" ref="Y165">_xlfn.XLOOKUP(records[ID], dAir[roomNo], dAir[Class])</f>
        <v>A</v>
      </c>
      <c r="Z165" s="45">
        <f t="array" ref="Z165">_xlfn.XLOOKUP(records[Method]&amp;"-"&amp;records[Class], dAirSpec[ID], dAirSpec[Spec])</f>
        <v>0</v>
      </c>
      <c r="AA165" s="45" t="str">
        <f t="array" ref="AA165">_xlfn.XLOOKUP(records[Method]&amp;"-"&amp;records[Class], dAirSpec[ID], dAirSpec[Unit])</f>
        <v>cfu/m3</v>
      </c>
      <c r="AB165" s="45">
        <f t="array" ref="AB165">if(S165="","", if(records[Method]="Active Air",_xlfn.xlookup(records[ColonyCount]&amp;records[AirSampler],feller[code],feller[Vc]),records[ColonyCount]))</f>
        <v>0</v>
      </c>
      <c r="AC165" s="60" t="b">
        <f t="shared" si="1"/>
        <v>1</v>
      </c>
      <c r="AD165" s="61" t="b">
        <v>0</v>
      </c>
      <c r="AE165" s="32" t="s">
        <v>235</v>
      </c>
      <c r="AF165" s="46"/>
      <c r="AG165" s="46"/>
      <c r="AH165" s="46"/>
      <c r="AI165" s="46"/>
      <c r="AJ165" s="46"/>
    </row>
    <row r="166" ht="22.5" customHeight="1">
      <c r="A166" s="27">
        <v>46201.0</v>
      </c>
      <c r="B166" s="34" t="str">
        <f t="array" ref="B166">TEXT(A166, "MM-YYYY")</f>
        <v>06-2026</v>
      </c>
      <c r="C166" s="39" t="s">
        <v>831</v>
      </c>
      <c r="D166" s="36" t="s">
        <v>210</v>
      </c>
      <c r="E166" s="36" t="s">
        <v>213</v>
      </c>
      <c r="F166" s="37"/>
      <c r="G166" s="29" t="b">
        <v>0</v>
      </c>
      <c r="H166" s="36" t="s">
        <v>214</v>
      </c>
      <c r="I166" s="36" t="s">
        <v>757</v>
      </c>
      <c r="J166" s="29">
        <v>3.1101125E8</v>
      </c>
      <c r="K166" s="138">
        <v>46240.0</v>
      </c>
      <c r="L166" s="37" t="s">
        <v>194</v>
      </c>
      <c r="M166" s="37" t="s">
        <v>194</v>
      </c>
      <c r="N166" s="37" t="s">
        <v>194</v>
      </c>
      <c r="O166" s="37" t="s">
        <v>194</v>
      </c>
      <c r="P166" s="37" t="s">
        <v>392</v>
      </c>
      <c r="Q166" s="37" t="s">
        <v>1629</v>
      </c>
      <c r="R166" s="41">
        <v>46243.0</v>
      </c>
      <c r="S166" s="42">
        <v>0.0</v>
      </c>
      <c r="T166" s="44"/>
      <c r="U166" s="45" t="str">
        <f>IF(records[Type]="Room",records[roomNo],records[roomNo]&amp;"-"&amp;SUBSTITUTE(RIGHT(records[roomNo]&amp;records[Type],2),"-",""))</f>
        <v>12-3-055</v>
      </c>
      <c r="V166" s="47" t="str">
        <f t="array" ref="V166">_xlfn.XLOOKUP(records[ID], dAir[roomNo], dAir[roomName])</f>
        <v>SPARE ROOM</v>
      </c>
      <c r="W166" s="47" t="str">
        <f t="array" ref="W166">_xlfn.XLOOKUP(records[ID], dAir[roomNo], dAir[building])</f>
        <v>Building 12</v>
      </c>
      <c r="X166" s="47" t="str">
        <f t="array" ref="X166">_xlfn.XLOOKUP(records[ID], dAir[roomNo], dAir[floor])</f>
        <v>Floor 3</v>
      </c>
      <c r="Y166" s="45" t="str">
        <f t="array" ref="Y166">_xlfn.XLOOKUP(records[ID], dAir[roomNo], dAir[Class])</f>
        <v>D</v>
      </c>
      <c r="Z166" s="45">
        <f t="array" ref="Z166">_xlfn.XLOOKUP(records[Method]&amp;"-"&amp;records[Class], dAirSpec[ID], dAirSpec[Spec])</f>
        <v>100</v>
      </c>
      <c r="AA166" s="45" t="str">
        <f t="array" ref="AA166">_xlfn.XLOOKUP(records[Method]&amp;"-"&amp;records[Class], dAirSpec[ID], dAirSpec[Unit])</f>
        <v>cfu/plate</v>
      </c>
      <c r="AB166" s="58">
        <f t="array" ref="AB166">if(S166="","", if(records[Method]="Active Air",_xlfn.xlookup(records[ColonyCount]&amp;records[AirSampler],feller[code],feller[Vc]),records[ColonyCount]))</f>
        <v>0</v>
      </c>
      <c r="AC166" s="60" t="b">
        <f t="shared" si="1"/>
        <v>1</v>
      </c>
      <c r="AD166" s="61" t="b">
        <v>0</v>
      </c>
      <c r="AE166" s="32"/>
      <c r="AF166" s="46"/>
      <c r="AG166" s="46"/>
      <c r="AH166" s="46"/>
      <c r="AI166" s="46"/>
      <c r="AJ166" s="46"/>
    </row>
    <row r="167" ht="22.5" customHeight="1">
      <c r="A167" s="27">
        <v>46202.0</v>
      </c>
      <c r="B167" s="34" t="str">
        <f t="array" ref="B167">TEXT(A167, "MM-YYYY")</f>
        <v>06-2026</v>
      </c>
      <c r="C167" s="39" t="s">
        <v>753</v>
      </c>
      <c r="D167" s="36" t="s">
        <v>755</v>
      </c>
      <c r="E167" s="36" t="s">
        <v>531</v>
      </c>
      <c r="F167" s="37" t="s">
        <v>48</v>
      </c>
      <c r="G167" s="29" t="b">
        <v>1</v>
      </c>
      <c r="H167" s="36" t="s">
        <v>214</v>
      </c>
      <c r="I167" s="36" t="s">
        <v>757</v>
      </c>
      <c r="J167" s="29">
        <v>3.1101125E8</v>
      </c>
      <c r="K167" s="138">
        <v>46240.0</v>
      </c>
      <c r="L167" s="37" t="s">
        <v>303</v>
      </c>
      <c r="M167" s="37" t="s">
        <v>1782</v>
      </c>
      <c r="N167" s="37" t="s">
        <v>194</v>
      </c>
      <c r="O167" s="37" t="s">
        <v>194</v>
      </c>
      <c r="P167" s="37" t="s">
        <v>392</v>
      </c>
      <c r="Q167" s="37" t="s">
        <v>1629</v>
      </c>
      <c r="R167" s="41">
        <v>46243.0</v>
      </c>
      <c r="S167" s="42">
        <v>0.0</v>
      </c>
      <c r="T167" s="44" t="s">
        <v>755</v>
      </c>
      <c r="U167" s="45" t="str">
        <f>IF(records[Type]="Room",records[roomNo],records[roomNo]&amp;"-"&amp;SUBSTITUTE(RIGHT(records[roomNo]&amp;records[Type],2),"-",""))</f>
        <v>16-1-075-M</v>
      </c>
      <c r="V167" s="47" t="str">
        <f t="array" ref="V167">_xlfn.XLOOKUP(records[ID], dAir[roomNo], dAir[roomName])</f>
        <v>VIALS CAPPING (Machine)</v>
      </c>
      <c r="W167" s="47" t="str">
        <f t="array" ref="W167">_xlfn.XLOOKUP(records[ID], dAir[roomNo], dAir[building])</f>
        <v>Building 16</v>
      </c>
      <c r="X167" s="47" t="str">
        <f t="array" ref="X167">_xlfn.XLOOKUP(records[ID], dAir[roomNo], dAir[floor])</f>
        <v>Floor 1</v>
      </c>
      <c r="Y167" s="45" t="str">
        <f t="array" ref="Y167">_xlfn.XLOOKUP(records[ID], dAir[roomNo], dAir[Class])</f>
        <v>A</v>
      </c>
      <c r="Z167" s="45">
        <f t="array" ref="Z167">_xlfn.XLOOKUP(records[Method]&amp;"-"&amp;records[Class], dAirSpec[ID], dAirSpec[Spec])</f>
        <v>0</v>
      </c>
      <c r="AA167" s="45" t="str">
        <f t="array" ref="AA167">_xlfn.XLOOKUP(records[Method]&amp;"-"&amp;records[Class], dAirSpec[ID], dAirSpec[Unit])</f>
        <v>cfu/m3</v>
      </c>
      <c r="AB167" s="45">
        <f t="array" ref="AB167">if(S167="","", if(records[Method]="Active Air",_xlfn.xlookup(records[ColonyCount]&amp;records[AirSampler],feller[code],feller[Vc]),records[ColonyCount]))</f>
        <v>0</v>
      </c>
      <c r="AC167" s="60" t="b">
        <f t="shared" si="1"/>
        <v>1</v>
      </c>
      <c r="AD167" s="61" t="b">
        <v>0</v>
      </c>
      <c r="AE167" s="32" t="s">
        <v>235</v>
      </c>
      <c r="AF167" s="46"/>
      <c r="AG167" s="46"/>
      <c r="AH167" s="46"/>
      <c r="AI167" s="46"/>
      <c r="AJ167" s="46"/>
    </row>
    <row r="168" ht="22.5" customHeight="1">
      <c r="A168" s="27">
        <v>46202.0</v>
      </c>
      <c r="B168" s="34" t="str">
        <f t="array" ref="B168">TEXT(A168, "MM-YYYY")</f>
        <v>06-2026</v>
      </c>
      <c r="C168" s="39" t="s">
        <v>765</v>
      </c>
      <c r="D168" s="36" t="s">
        <v>755</v>
      </c>
      <c r="E168" s="36" t="s">
        <v>531</v>
      </c>
      <c r="F168" s="37" t="s">
        <v>48</v>
      </c>
      <c r="G168" s="29" t="b">
        <v>1</v>
      </c>
      <c r="H168" s="36" t="s">
        <v>214</v>
      </c>
      <c r="I168" s="36" t="s">
        <v>757</v>
      </c>
      <c r="J168" s="29">
        <v>3.1101125E8</v>
      </c>
      <c r="K168" s="138">
        <v>46240.0</v>
      </c>
      <c r="L168" s="37" t="s">
        <v>798</v>
      </c>
      <c r="M168" s="37" t="s">
        <v>1814</v>
      </c>
      <c r="N168" s="37" t="s">
        <v>194</v>
      </c>
      <c r="O168" s="37" t="s">
        <v>194</v>
      </c>
      <c r="P168" s="37" t="s">
        <v>392</v>
      </c>
      <c r="Q168" s="37" t="s">
        <v>1629</v>
      </c>
      <c r="R168" s="41">
        <v>46243.0</v>
      </c>
      <c r="S168" s="42">
        <v>0.0</v>
      </c>
      <c r="T168" s="44" t="s">
        <v>755</v>
      </c>
      <c r="U168" s="45" t="str">
        <f>IF(records[Type]="Room",records[roomNo],records[roomNo]&amp;"-"&amp;SUBSTITUTE(RIGHT(records[roomNo]&amp;records[Type],2),"-",""))</f>
        <v>16-1-076-M</v>
      </c>
      <c r="V168" s="47" t="str">
        <f t="array" ref="V168">_xlfn.XLOOKUP(records[ID], dAir[roomNo], dAir[roomName])</f>
        <v>FILLING 2 (Machine)</v>
      </c>
      <c r="W168" s="47" t="str">
        <f t="array" ref="W168">_xlfn.XLOOKUP(records[ID], dAir[roomNo], dAir[building])</f>
        <v>Building 16</v>
      </c>
      <c r="X168" s="47" t="str">
        <f t="array" ref="X168">_xlfn.XLOOKUP(records[ID], dAir[roomNo], dAir[floor])</f>
        <v>Floor 1</v>
      </c>
      <c r="Y168" s="45" t="str">
        <f t="array" ref="Y168">_xlfn.XLOOKUP(records[ID], dAir[roomNo], dAir[Class])</f>
        <v>A</v>
      </c>
      <c r="Z168" s="45">
        <f t="array" ref="Z168">_xlfn.XLOOKUP(records[Method]&amp;"-"&amp;records[Class], dAirSpec[ID], dAirSpec[Spec])</f>
        <v>0</v>
      </c>
      <c r="AA168" s="45" t="str">
        <f t="array" ref="AA168">_xlfn.XLOOKUP(records[Method]&amp;"-"&amp;records[Class], dAirSpec[ID], dAirSpec[Unit])</f>
        <v>cfu/m3</v>
      </c>
      <c r="AB168" s="45">
        <f t="array" ref="AB168">if(S168="","", if(records[Method]="Active Air",_xlfn.xlookup(records[ColonyCount]&amp;records[AirSampler],feller[code],feller[Vc]),records[ColonyCount]))</f>
        <v>0</v>
      </c>
      <c r="AC168" s="60" t="b">
        <f t="shared" si="1"/>
        <v>1</v>
      </c>
      <c r="AD168" s="61" t="b">
        <v>0</v>
      </c>
      <c r="AE168" s="32" t="s">
        <v>235</v>
      </c>
      <c r="AF168" s="46"/>
      <c r="AG168" s="46"/>
      <c r="AH168" s="46"/>
      <c r="AI168" s="46"/>
      <c r="AJ168" s="46"/>
    </row>
    <row r="169" ht="22.5" customHeight="1">
      <c r="A169" s="27">
        <v>46202.0</v>
      </c>
      <c r="B169" s="34" t="str">
        <f t="array" ref="B169">TEXT(A169, "MM-YYYY")</f>
        <v>06-2026</v>
      </c>
      <c r="C169" s="39" t="s">
        <v>765</v>
      </c>
      <c r="D169" s="36" t="s">
        <v>770</v>
      </c>
      <c r="E169" s="36" t="s">
        <v>531</v>
      </c>
      <c r="F169" s="37" t="s">
        <v>48</v>
      </c>
      <c r="G169" s="29" t="b">
        <v>1</v>
      </c>
      <c r="H169" s="36" t="s">
        <v>214</v>
      </c>
      <c r="I169" s="36" t="s">
        <v>757</v>
      </c>
      <c r="J169" s="29">
        <v>3.1101125E8</v>
      </c>
      <c r="K169" s="138">
        <v>46240.0</v>
      </c>
      <c r="L169" s="37" t="s">
        <v>798</v>
      </c>
      <c r="M169" s="37" t="s">
        <v>1814</v>
      </c>
      <c r="N169" s="37" t="s">
        <v>194</v>
      </c>
      <c r="O169" s="37" t="s">
        <v>194</v>
      </c>
      <c r="P169" s="37" t="s">
        <v>392</v>
      </c>
      <c r="Q169" s="37" t="s">
        <v>1629</v>
      </c>
      <c r="R169" s="41">
        <v>46243.0</v>
      </c>
      <c r="S169" s="42">
        <v>0.0</v>
      </c>
      <c r="T169" s="44" t="s">
        <v>770</v>
      </c>
      <c r="U169" s="45" t="str">
        <f>IF(records[Type]="Room",records[roomNo],records[roomNo]&amp;"-"&amp;SUBSTITUTE(RIGHT(records[roomNo]&amp;records[Type],2),"-",""))</f>
        <v>16-1-076-L</v>
      </c>
      <c r="V169" s="47" t="str">
        <f t="array" ref="V169">_xlfn.XLOOKUP(records[ID], dAir[roomNo], dAir[roomName])</f>
        <v>FILLING 2 (Laminar)</v>
      </c>
      <c r="W169" s="47" t="str">
        <f t="array" ref="W169">_xlfn.XLOOKUP(records[ID], dAir[roomNo], dAir[building])</f>
        <v>Building 16</v>
      </c>
      <c r="X169" s="47" t="str">
        <f t="array" ref="X169">_xlfn.XLOOKUP(records[ID], dAir[roomNo], dAir[floor])</f>
        <v>Floor 1</v>
      </c>
      <c r="Y169" s="45" t="str">
        <f t="array" ref="Y169">_xlfn.XLOOKUP(records[ID], dAir[roomNo], dAir[Class])</f>
        <v>A</v>
      </c>
      <c r="Z169" s="45">
        <f t="array" ref="Z169">_xlfn.XLOOKUP(records[Method]&amp;"-"&amp;records[Class], dAirSpec[ID], dAirSpec[Spec])</f>
        <v>0</v>
      </c>
      <c r="AA169" s="45" t="str">
        <f t="array" ref="AA169">_xlfn.XLOOKUP(records[Method]&amp;"-"&amp;records[Class], dAirSpec[ID], dAirSpec[Unit])</f>
        <v>cfu/m3</v>
      </c>
      <c r="AB169" s="45">
        <f t="array" ref="AB169">if(S169="","", if(records[Method]="Active Air",_xlfn.xlookup(records[ColonyCount]&amp;records[AirSampler],feller[code],feller[Vc]),records[ColonyCount]))</f>
        <v>0</v>
      </c>
      <c r="AC169" s="60" t="b">
        <f t="shared" si="1"/>
        <v>1</v>
      </c>
      <c r="AD169" s="61" t="b">
        <v>0</v>
      </c>
      <c r="AE169" s="32" t="s">
        <v>235</v>
      </c>
      <c r="AF169" s="46"/>
      <c r="AG169" s="46"/>
      <c r="AH169" s="46"/>
      <c r="AI169" s="46"/>
      <c r="AJ169" s="46"/>
    </row>
    <row r="170" ht="22.5" customHeight="1">
      <c r="A170" s="27">
        <v>46202.0</v>
      </c>
      <c r="B170" s="34" t="str">
        <f t="array" ref="B170">TEXT(A170, "MM-YYYY")</f>
        <v>06-2026</v>
      </c>
      <c r="C170" s="39" t="s">
        <v>774</v>
      </c>
      <c r="D170" s="36" t="s">
        <v>755</v>
      </c>
      <c r="E170" s="36" t="s">
        <v>531</v>
      </c>
      <c r="F170" s="37" t="s">
        <v>48</v>
      </c>
      <c r="G170" s="29" t="b">
        <v>1</v>
      </c>
      <c r="H170" s="36" t="s">
        <v>214</v>
      </c>
      <c r="I170" s="36" t="s">
        <v>757</v>
      </c>
      <c r="J170" s="29">
        <v>3.1101125E8</v>
      </c>
      <c r="K170" s="138">
        <v>46240.0</v>
      </c>
      <c r="L170" s="37" t="s">
        <v>339</v>
      </c>
      <c r="M170" s="37" t="s">
        <v>1829</v>
      </c>
      <c r="N170" s="37" t="s">
        <v>194</v>
      </c>
      <c r="O170" s="37" t="s">
        <v>194</v>
      </c>
      <c r="P170" s="37" t="s">
        <v>392</v>
      </c>
      <c r="Q170" s="37" t="s">
        <v>1629</v>
      </c>
      <c r="R170" s="41">
        <v>46243.0</v>
      </c>
      <c r="S170" s="42">
        <v>0.0</v>
      </c>
      <c r="T170" s="44" t="s">
        <v>755</v>
      </c>
      <c r="U170" s="45" t="str">
        <f>IF(records[Type]="Room",records[roomNo],records[roomNo]&amp;"-"&amp;SUBSTITUTE(RIGHT(records[roomNo]&amp;records[Type],2),"-",""))</f>
        <v>16-1-084-M</v>
      </c>
      <c r="V170" s="47" t="str">
        <f t="array" ref="V170">_xlfn.XLOOKUP(records[ID], dAir[roomNo], dAir[roomName])</f>
        <v>FILLING 1 (Machine)</v>
      </c>
      <c r="W170" s="47" t="str">
        <f t="array" ref="W170">_xlfn.XLOOKUP(records[ID], dAir[roomNo], dAir[building])</f>
        <v>Building 16</v>
      </c>
      <c r="X170" s="47" t="str">
        <f t="array" ref="X170">_xlfn.XLOOKUP(records[ID], dAir[roomNo], dAir[floor])</f>
        <v>Floor 1</v>
      </c>
      <c r="Y170" s="45" t="str">
        <f t="array" ref="Y170">_xlfn.XLOOKUP(records[ID], dAir[roomNo], dAir[Class])</f>
        <v>A</v>
      </c>
      <c r="Z170" s="45">
        <f t="array" ref="Z170">_xlfn.XLOOKUP(records[Method]&amp;"-"&amp;records[Class], dAirSpec[ID], dAirSpec[Spec])</f>
        <v>0</v>
      </c>
      <c r="AA170" s="45" t="str">
        <f t="array" ref="AA170">_xlfn.XLOOKUP(records[Method]&amp;"-"&amp;records[Class], dAirSpec[ID], dAirSpec[Unit])</f>
        <v>cfu/m3</v>
      </c>
      <c r="AB170" s="45">
        <f t="array" ref="AB170">if(S170="","", if(records[Method]="Active Air",_xlfn.xlookup(records[ColonyCount]&amp;records[AirSampler],feller[code],feller[Vc]),records[ColonyCount]))</f>
        <v>0</v>
      </c>
      <c r="AC170" s="60" t="b">
        <f t="shared" si="1"/>
        <v>1</v>
      </c>
      <c r="AD170" s="61" t="b">
        <v>0</v>
      </c>
      <c r="AE170" s="32" t="s">
        <v>235</v>
      </c>
      <c r="AF170" s="46"/>
      <c r="AG170" s="46"/>
      <c r="AH170" s="46"/>
      <c r="AI170" s="46"/>
      <c r="AJ170" s="46"/>
    </row>
    <row r="171" ht="22.5" customHeight="1">
      <c r="A171" s="27">
        <v>46202.0</v>
      </c>
      <c r="B171" s="34" t="str">
        <f t="array" ref="B171">TEXT(A171, "MM-YYYY")</f>
        <v>06-2026</v>
      </c>
      <c r="C171" s="39" t="s">
        <v>774</v>
      </c>
      <c r="D171" s="36" t="s">
        <v>770</v>
      </c>
      <c r="E171" s="36" t="s">
        <v>531</v>
      </c>
      <c r="F171" s="37" t="s">
        <v>48</v>
      </c>
      <c r="G171" s="29" t="b">
        <v>1</v>
      </c>
      <c r="H171" s="36" t="s">
        <v>214</v>
      </c>
      <c r="I171" s="36" t="s">
        <v>757</v>
      </c>
      <c r="J171" s="29">
        <v>3.1101125E8</v>
      </c>
      <c r="K171" s="138">
        <v>46240.0</v>
      </c>
      <c r="L171" s="37" t="s">
        <v>339</v>
      </c>
      <c r="M171" s="37" t="s">
        <v>1829</v>
      </c>
      <c r="N171" s="37" t="s">
        <v>194</v>
      </c>
      <c r="O171" s="37" t="s">
        <v>194</v>
      </c>
      <c r="P171" s="37" t="s">
        <v>392</v>
      </c>
      <c r="Q171" s="37" t="s">
        <v>1629</v>
      </c>
      <c r="R171" s="41">
        <v>46243.0</v>
      </c>
      <c r="S171" s="42">
        <v>0.0</v>
      </c>
      <c r="T171" s="44" t="s">
        <v>770</v>
      </c>
      <c r="U171" s="45" t="str">
        <f>IF(records[Type]="Room",records[roomNo],records[roomNo]&amp;"-"&amp;SUBSTITUTE(RIGHT(records[roomNo]&amp;records[Type],2),"-",""))</f>
        <v>16-1-084-L</v>
      </c>
      <c r="V171" s="47" t="str">
        <f t="array" ref="V171">_xlfn.XLOOKUP(records[ID], dAir[roomNo], dAir[roomName])</f>
        <v>FILLING 1 (Laminar)</v>
      </c>
      <c r="W171" s="47" t="str">
        <f t="array" ref="W171">_xlfn.XLOOKUP(records[ID], dAir[roomNo], dAir[building])</f>
        <v>Building 16</v>
      </c>
      <c r="X171" s="47" t="str">
        <f t="array" ref="X171">_xlfn.XLOOKUP(records[ID], dAir[roomNo], dAir[floor])</f>
        <v>Floor 1</v>
      </c>
      <c r="Y171" s="45" t="str">
        <f t="array" ref="Y171">_xlfn.XLOOKUP(records[ID], dAir[roomNo], dAir[Class])</f>
        <v>A</v>
      </c>
      <c r="Z171" s="45">
        <f t="array" ref="Z171">_xlfn.XLOOKUP(records[Method]&amp;"-"&amp;records[Class], dAirSpec[ID], dAirSpec[Spec])</f>
        <v>0</v>
      </c>
      <c r="AA171" s="45" t="str">
        <f t="array" ref="AA171">_xlfn.XLOOKUP(records[Method]&amp;"-"&amp;records[Class], dAirSpec[ID], dAirSpec[Unit])</f>
        <v>cfu/m3</v>
      </c>
      <c r="AB171" s="45">
        <f t="array" ref="AB171">if(S171="","", if(records[Method]="Active Air",_xlfn.xlookup(records[ColonyCount]&amp;records[AirSampler],feller[code],feller[Vc]),records[ColonyCount]))</f>
        <v>0</v>
      </c>
      <c r="AC171" s="60" t="b">
        <f t="shared" si="1"/>
        <v>1</v>
      </c>
      <c r="AD171" s="61" t="b">
        <v>0</v>
      </c>
      <c r="AE171" s="32" t="s">
        <v>235</v>
      </c>
      <c r="AF171" s="46"/>
      <c r="AG171" s="46"/>
      <c r="AH171" s="46"/>
      <c r="AI171" s="46"/>
      <c r="AJ171" s="46"/>
    </row>
    <row r="172" ht="22.5" customHeight="1">
      <c r="A172" s="27">
        <v>46202.0</v>
      </c>
      <c r="B172" s="34" t="str">
        <f t="array" ref="B172">TEXT(A172, "MM-YYYY")</f>
        <v>06-2026</v>
      </c>
      <c r="C172" s="32" t="s">
        <v>786</v>
      </c>
      <c r="D172" s="21" t="s">
        <v>680</v>
      </c>
      <c r="E172" s="36" t="s">
        <v>531</v>
      </c>
      <c r="F172" s="37" t="s">
        <v>48</v>
      </c>
      <c r="G172" s="29" t="b">
        <v>1</v>
      </c>
      <c r="H172" s="36" t="s">
        <v>214</v>
      </c>
      <c r="I172" s="36" t="s">
        <v>757</v>
      </c>
      <c r="J172" s="29">
        <v>3.1101125E8</v>
      </c>
      <c r="K172" s="138">
        <v>46240.0</v>
      </c>
      <c r="L172" s="37" t="s">
        <v>303</v>
      </c>
      <c r="M172" s="37" t="s">
        <v>1838</v>
      </c>
      <c r="N172" s="37" t="s">
        <v>194</v>
      </c>
      <c r="O172" s="37" t="s">
        <v>194</v>
      </c>
      <c r="P172" s="37" t="s">
        <v>392</v>
      </c>
      <c r="Q172" s="37" t="s">
        <v>1629</v>
      </c>
      <c r="R172" s="41">
        <v>46243.0</v>
      </c>
      <c r="S172" s="42">
        <v>0.0</v>
      </c>
      <c r="T172" s="44" t="s">
        <v>680</v>
      </c>
      <c r="U172" s="45" t="str">
        <f>IF(records[Type]="Room",records[roomNo],records[roomNo]&amp;"-"&amp;SUBSTITUTE(RIGHT(records[roomNo]&amp;records[Type],2),"-",""))</f>
        <v>16-1-102-B</v>
      </c>
      <c r="V172" s="47" t="str">
        <f t="array" ref="V172">_xlfn.XLOOKUP(records[ID], dAir[roomNo], dAir[roomName])</f>
        <v>DISPENSING (Booth)</v>
      </c>
      <c r="W172" s="47" t="str">
        <f t="array" ref="W172">_xlfn.XLOOKUP(records[ID], dAir[roomNo], dAir[building])</f>
        <v>Building 16</v>
      </c>
      <c r="X172" s="47" t="str">
        <f t="array" ref="X172">_xlfn.XLOOKUP(records[ID], dAir[roomNo], dAir[floor])</f>
        <v>Floor 1</v>
      </c>
      <c r="Y172" s="45" t="str">
        <f t="array" ref="Y172">_xlfn.XLOOKUP(records[ID], dAir[roomNo], dAir[Class])</f>
        <v>A</v>
      </c>
      <c r="Z172" s="45">
        <f t="array" ref="Z172">_xlfn.XLOOKUP(records[Method]&amp;"-"&amp;records[Class], dAirSpec[ID], dAirSpec[Spec])</f>
        <v>0</v>
      </c>
      <c r="AA172" s="45" t="str">
        <f t="array" ref="AA172">_xlfn.XLOOKUP(records[Method]&amp;"-"&amp;records[Class], dAirSpec[ID], dAirSpec[Unit])</f>
        <v>cfu/m3</v>
      </c>
      <c r="AB172" s="45">
        <f t="array" ref="AB172">if(S172="","", if(records[Method]="Active Air",_xlfn.xlookup(records[ColonyCount]&amp;records[AirSampler],feller[code],feller[Vc]),records[ColonyCount]))</f>
        <v>0</v>
      </c>
      <c r="AC172" s="60" t="b">
        <f t="shared" si="1"/>
        <v>1</v>
      </c>
      <c r="AD172" s="61" t="b">
        <v>0</v>
      </c>
      <c r="AE172" s="32" t="s">
        <v>235</v>
      </c>
      <c r="AF172" s="46"/>
      <c r="AG172" s="46"/>
      <c r="AH172" s="46"/>
      <c r="AI172" s="46"/>
      <c r="AJ172" s="46"/>
    </row>
    <row r="173" ht="22.5" customHeight="1">
      <c r="A173" s="27">
        <v>46207.0</v>
      </c>
      <c r="B173" s="34" t="str">
        <f t="array" ref="B173">TEXT(A173, "MM-YYYY")</f>
        <v>07-2026</v>
      </c>
      <c r="C173" s="56" t="s">
        <v>795</v>
      </c>
      <c r="D173" s="36" t="s">
        <v>210</v>
      </c>
      <c r="E173" s="36" t="s">
        <v>213</v>
      </c>
      <c r="F173" s="37"/>
      <c r="G173" s="29" t="b">
        <v>0</v>
      </c>
      <c r="H173" s="36" t="s">
        <v>214</v>
      </c>
      <c r="I173" s="36"/>
      <c r="J173" s="29"/>
      <c r="K173" s="138"/>
      <c r="L173" s="37" t="s">
        <v>194</v>
      </c>
      <c r="M173" s="37" t="s">
        <v>194</v>
      </c>
      <c r="N173" s="37" t="s">
        <v>194</v>
      </c>
      <c r="O173" s="37" t="s">
        <v>194</v>
      </c>
      <c r="P173" s="37" t="s">
        <v>392</v>
      </c>
      <c r="Q173" s="37" t="s">
        <v>1629</v>
      </c>
      <c r="R173" s="41">
        <v>46243.0</v>
      </c>
      <c r="S173" s="42">
        <v>1.0</v>
      </c>
      <c r="T173" s="44"/>
      <c r="U173" s="47" t="str">
        <f>IF(records[Type]="Room",records[roomNo],records[roomNo]&amp;"-"&amp;SUBSTITUTE(RIGHT(records[roomNo]&amp;records[Type],2),"-",""))</f>
        <v>12-3-049</v>
      </c>
      <c r="V173" s="47" t="str">
        <f t="array" ref="V173">_xlfn.XLOOKUP(records[ID], dAir[roomNo], dAir[roomName])</f>
        <v>CHANGING ROOM</v>
      </c>
      <c r="W173" s="47" t="str">
        <f t="array" ref="W173">_xlfn.XLOOKUP(records[ID], dAir[roomNo], dAir[building])</f>
        <v>Building 12</v>
      </c>
      <c r="X173" s="47" t="str">
        <f t="array" ref="X173">_xlfn.XLOOKUP(records[ID], dAir[roomNo], dAir[floor])</f>
        <v>Floor 3</v>
      </c>
      <c r="Y173" s="45" t="str">
        <f t="array" ref="Y173">_xlfn.XLOOKUP(records[ID], dAir[roomNo], dAir[Class])</f>
        <v>D</v>
      </c>
      <c r="Z173" s="45">
        <f t="array" ref="Z173">_xlfn.XLOOKUP(records[Method]&amp;"-"&amp;records[Class], dAirSpec[ID], dAirSpec[Spec])</f>
        <v>100</v>
      </c>
      <c r="AA173" s="45" t="str">
        <f t="array" ref="AA173">_xlfn.XLOOKUP(records[Method]&amp;"-"&amp;records[Class], dAirSpec[ID], dAirSpec[Unit])</f>
        <v>cfu/plate</v>
      </c>
      <c r="AB173" s="58">
        <f t="array" ref="AB173">if(S173="","", if(records[Method]="Active Air",_xlfn.xlookup(records[ColonyCount]&amp;records[AirSampler],feller[code],feller[Vc]),records[ColonyCount]))</f>
        <v>1</v>
      </c>
      <c r="AC173" s="60" t="b">
        <f t="shared" si="1"/>
        <v>1</v>
      </c>
      <c r="AD173" s="61" t="b">
        <v>0</v>
      </c>
      <c r="AE173" s="32"/>
      <c r="AF173" s="46"/>
      <c r="AG173" s="46"/>
      <c r="AH173" s="46"/>
      <c r="AI173" s="46"/>
      <c r="AJ173" s="46"/>
    </row>
    <row r="174" ht="22.5" customHeight="1">
      <c r="A174" s="27">
        <v>46207.0</v>
      </c>
      <c r="B174" s="34" t="str">
        <f t="array" ref="B174">TEXT(A174, "MM-YYYY")</f>
        <v>07-2026</v>
      </c>
      <c r="C174" s="56" t="s">
        <v>802</v>
      </c>
      <c r="D174" s="36" t="s">
        <v>210</v>
      </c>
      <c r="E174" s="36" t="s">
        <v>213</v>
      </c>
      <c r="F174" s="37"/>
      <c r="G174" s="29" t="b">
        <v>0</v>
      </c>
      <c r="H174" s="36" t="s">
        <v>214</v>
      </c>
      <c r="I174" s="36"/>
      <c r="J174" s="29"/>
      <c r="K174" s="138"/>
      <c r="L174" s="37" t="s">
        <v>194</v>
      </c>
      <c r="M174" s="37" t="s">
        <v>194</v>
      </c>
      <c r="N174" s="37" t="s">
        <v>194</v>
      </c>
      <c r="O174" s="37" t="s">
        <v>194</v>
      </c>
      <c r="P174" s="37" t="s">
        <v>392</v>
      </c>
      <c r="Q174" s="37" t="s">
        <v>1629</v>
      </c>
      <c r="R174" s="41">
        <v>46243.0</v>
      </c>
      <c r="S174" s="42">
        <v>3.0</v>
      </c>
      <c r="T174" s="44"/>
      <c r="U174" s="47" t="str">
        <f>IF(records[Type]="Room",records[roomNo],records[roomNo]&amp;"-"&amp;SUBSTITUTE(RIGHT(records[roomNo]&amp;records[Type],2),"-",""))</f>
        <v>12-3-050</v>
      </c>
      <c r="V174" s="47" t="str">
        <f t="array" ref="V174">_xlfn.XLOOKUP(records[ID], dAir[roomNo], dAir[roomName])</f>
        <v>CORRIDOR</v>
      </c>
      <c r="W174" s="47" t="str">
        <f t="array" ref="W174">_xlfn.XLOOKUP(records[ID], dAir[roomNo], dAir[building])</f>
        <v>Building 12</v>
      </c>
      <c r="X174" s="47" t="str">
        <f t="array" ref="X174">_xlfn.XLOOKUP(records[ID], dAir[roomNo], dAir[floor])</f>
        <v>Floor 3</v>
      </c>
      <c r="Y174" s="45" t="str">
        <f t="array" ref="Y174">_xlfn.XLOOKUP(records[ID], dAir[roomNo], dAir[Class])</f>
        <v>D</v>
      </c>
      <c r="Z174" s="45">
        <f t="array" ref="Z174">_xlfn.XLOOKUP(records[Method]&amp;"-"&amp;records[Class], dAirSpec[ID], dAirSpec[Spec])</f>
        <v>100</v>
      </c>
      <c r="AA174" s="45" t="str">
        <f t="array" ref="AA174">_xlfn.XLOOKUP(records[Method]&amp;"-"&amp;records[Class], dAirSpec[ID], dAirSpec[Unit])</f>
        <v>cfu/plate</v>
      </c>
      <c r="AB174" s="58">
        <f t="array" ref="AB174">if(S174="","", if(records[Method]="Active Air",_xlfn.xlookup(records[ColonyCount]&amp;records[AirSampler],feller[code],feller[Vc]),records[ColonyCount]))</f>
        <v>3</v>
      </c>
      <c r="AC174" s="60" t="b">
        <f t="shared" si="1"/>
        <v>1</v>
      </c>
      <c r="AD174" s="61" t="b">
        <v>0</v>
      </c>
      <c r="AE174" s="32"/>
      <c r="AF174" s="46"/>
      <c r="AG174" s="46"/>
      <c r="AH174" s="46"/>
      <c r="AI174" s="46"/>
      <c r="AJ174" s="46"/>
    </row>
    <row r="175" ht="22.5" customHeight="1">
      <c r="A175" s="27">
        <v>46207.0</v>
      </c>
      <c r="B175" s="34" t="str">
        <f t="array" ref="B175">TEXT(A175, "MM-YYYY")</f>
        <v>07-2026</v>
      </c>
      <c r="C175" s="82" t="s">
        <v>809</v>
      </c>
      <c r="D175" s="36" t="s">
        <v>210</v>
      </c>
      <c r="E175" s="36" t="s">
        <v>213</v>
      </c>
      <c r="F175" s="37"/>
      <c r="G175" s="29" t="b">
        <v>0</v>
      </c>
      <c r="H175" s="36" t="s">
        <v>214</v>
      </c>
      <c r="I175" s="36"/>
      <c r="J175" s="29"/>
      <c r="K175" s="138"/>
      <c r="L175" s="37" t="s">
        <v>194</v>
      </c>
      <c r="M175" s="37" t="s">
        <v>194</v>
      </c>
      <c r="N175" s="37" t="s">
        <v>194</v>
      </c>
      <c r="O175" s="37" t="s">
        <v>194</v>
      </c>
      <c r="P175" s="37" t="s">
        <v>392</v>
      </c>
      <c r="Q175" s="37" t="s">
        <v>1629</v>
      </c>
      <c r="R175" s="41">
        <v>46243.0</v>
      </c>
      <c r="S175" s="42">
        <v>0.0</v>
      </c>
      <c r="T175" s="44"/>
      <c r="U175" s="83" t="str">
        <f>IF(records[Type]="Room",records[roomNo],records[roomNo]&amp;"-"&amp;SUBSTITUTE(RIGHT(records[roomNo]&amp;records[Type],2),"-",""))</f>
        <v>12-3-053</v>
      </c>
      <c r="V175" s="47" t="str">
        <f t="array" ref="V175">_xlfn.XLOOKUP(records[ID], dAir[roomNo], dAir[roomName])</f>
        <v>MLT 2</v>
      </c>
      <c r="W175" s="47" t="str">
        <f t="array" ref="W175">_xlfn.XLOOKUP(records[ID], dAir[roomNo], dAir[building])</f>
        <v>Building 12</v>
      </c>
      <c r="X175" s="47" t="str">
        <f t="array" ref="X175">_xlfn.XLOOKUP(records[ID], dAir[roomNo], dAir[floor])</f>
        <v>Floor 3</v>
      </c>
      <c r="Y175" s="45" t="str">
        <f t="array" ref="Y175">_xlfn.XLOOKUP(records[ID], dAir[roomNo], dAir[Class])</f>
        <v>D</v>
      </c>
      <c r="Z175" s="45">
        <f t="array" ref="Z175">_xlfn.XLOOKUP(records[Method]&amp;"-"&amp;records[Class], dAirSpec[ID], dAirSpec[Spec])</f>
        <v>100</v>
      </c>
      <c r="AA175" s="45" t="str">
        <f t="array" ref="AA175">_xlfn.XLOOKUP(records[Method]&amp;"-"&amp;records[Class], dAirSpec[ID], dAirSpec[Unit])</f>
        <v>cfu/plate</v>
      </c>
      <c r="AB175" s="58">
        <f t="array" ref="AB175">if(S175="","", if(records[Method]="Active Air",_xlfn.xlookup(records[ColonyCount]&amp;records[AirSampler],feller[code],feller[Vc]),records[ColonyCount]))</f>
        <v>0</v>
      </c>
      <c r="AC175" s="60" t="b">
        <f t="shared" si="1"/>
        <v>1</v>
      </c>
      <c r="AD175" s="61" t="b">
        <v>0</v>
      </c>
      <c r="AE175" s="32"/>
      <c r="AF175" s="46"/>
      <c r="AG175" s="46"/>
      <c r="AH175" s="46"/>
      <c r="AI175" s="46"/>
      <c r="AJ175" s="46"/>
    </row>
    <row r="176" ht="22.5" customHeight="1">
      <c r="A176" s="27">
        <v>46207.0</v>
      </c>
      <c r="B176" s="34" t="str">
        <f t="array" ref="B176">TEXT(A176, "MM-YYYY")</f>
        <v>07-2026</v>
      </c>
      <c r="C176" s="85" t="s">
        <v>814</v>
      </c>
      <c r="D176" s="36" t="s">
        <v>210</v>
      </c>
      <c r="E176" s="36" t="s">
        <v>531</v>
      </c>
      <c r="F176" s="37" t="s">
        <v>50</v>
      </c>
      <c r="G176" s="29" t="b">
        <v>1</v>
      </c>
      <c r="H176" s="36" t="s">
        <v>214</v>
      </c>
      <c r="I176" s="36" t="s">
        <v>534</v>
      </c>
      <c r="J176" s="137" t="s">
        <v>1792</v>
      </c>
      <c r="K176" s="145">
        <v>46472.0</v>
      </c>
      <c r="L176" s="37" t="s">
        <v>194</v>
      </c>
      <c r="M176" s="37" t="s">
        <v>194</v>
      </c>
      <c r="N176" s="37" t="s">
        <v>194</v>
      </c>
      <c r="O176" s="37" t="s">
        <v>194</v>
      </c>
      <c r="P176" s="37" t="s">
        <v>392</v>
      </c>
      <c r="Q176" s="37" t="s">
        <v>1629</v>
      </c>
      <c r="R176" s="41">
        <v>46243.0</v>
      </c>
      <c r="S176" s="42">
        <v>0.0</v>
      </c>
      <c r="T176" s="44"/>
      <c r="U176" s="83" t="str">
        <f>IF(records[Type]="Room",records[roomNo],records[roomNo]&amp;"-"&amp;SUBSTITUTE(RIGHT(records[roomNo]&amp;records[Type],2),"-",""))</f>
        <v>12-3-053-BSC</v>
      </c>
      <c r="V176" s="47" t="str">
        <f t="array" ref="V176">_xlfn.XLOOKUP(records[ID], dAir[roomNo], dAir[roomName])</f>
        <v>MLT 2</v>
      </c>
      <c r="W176" s="47" t="str">
        <f t="array" ref="W176">_xlfn.XLOOKUP(records[ID], dAir[roomNo], dAir[building])</f>
        <v>Building 12</v>
      </c>
      <c r="X176" s="47" t="str">
        <f t="array" ref="X176">_xlfn.XLOOKUP(records[ID], dAir[roomNo], dAir[floor])</f>
        <v>Floor 3</v>
      </c>
      <c r="Y176" s="45" t="str">
        <f t="array" ref="Y176">_xlfn.XLOOKUP(records[ID], dAir[roomNo], dAir[Class])</f>
        <v>A</v>
      </c>
      <c r="Z176" s="45">
        <f t="array" ref="Z176">_xlfn.XLOOKUP(records[Method]&amp;"-"&amp;records[Class], dAirSpec[ID], dAirSpec[Spec])</f>
        <v>0</v>
      </c>
      <c r="AA176" s="45" t="str">
        <f t="array" ref="AA176">_xlfn.XLOOKUP(records[Method]&amp;"-"&amp;records[Class], dAirSpec[ID], dAirSpec[Unit])</f>
        <v>cfu/m3</v>
      </c>
      <c r="AB176" s="45">
        <f t="array" ref="AB176">if(S176="","", if(records[Method]="Active Air",_xlfn.xlookup(records[ColonyCount]&amp;records[AirSampler],feller[code],feller[Vc]),records[ColonyCount]))</f>
        <v>0</v>
      </c>
      <c r="AC176" s="60" t="b">
        <f t="shared" si="1"/>
        <v>1</v>
      </c>
      <c r="AD176" s="61" t="b">
        <v>0</v>
      </c>
      <c r="AE176" s="32" t="s">
        <v>235</v>
      </c>
      <c r="AF176" s="46"/>
      <c r="AG176" s="46"/>
      <c r="AH176" s="46"/>
      <c r="AI176" s="46"/>
      <c r="AJ176" s="46"/>
    </row>
    <row r="177" ht="22.5" customHeight="1">
      <c r="A177" s="27">
        <v>46207.0</v>
      </c>
      <c r="B177" s="34" t="str">
        <f t="array" ref="B177">TEXT(A177, "MM-YYYY")</f>
        <v>07-2026</v>
      </c>
      <c r="C177" s="56" t="s">
        <v>821</v>
      </c>
      <c r="D177" s="36" t="s">
        <v>210</v>
      </c>
      <c r="E177" s="36" t="s">
        <v>213</v>
      </c>
      <c r="F177" s="37"/>
      <c r="G177" s="29" t="b">
        <v>0</v>
      </c>
      <c r="H177" s="36" t="s">
        <v>214</v>
      </c>
      <c r="I177" s="36"/>
      <c r="J177" s="29"/>
      <c r="K177" s="138"/>
      <c r="L177" s="37" t="s">
        <v>194</v>
      </c>
      <c r="M177" s="37" t="s">
        <v>194</v>
      </c>
      <c r="N177" s="37" t="s">
        <v>194</v>
      </c>
      <c r="O177" s="37" t="s">
        <v>194</v>
      </c>
      <c r="P177" s="37" t="s">
        <v>392</v>
      </c>
      <c r="Q177" s="37" t="s">
        <v>1629</v>
      </c>
      <c r="R177" s="41">
        <v>46243.0</v>
      </c>
      <c r="S177" s="42">
        <v>1.0</v>
      </c>
      <c r="T177" s="44"/>
      <c r="U177" s="47" t="str">
        <f>IF(records[Type]="Room",records[roomNo],records[roomNo]&amp;"-"&amp;SUBSTITUTE(RIGHT(records[roomNo]&amp;records[Type],2),"-",""))</f>
        <v>12-3-054</v>
      </c>
      <c r="V177" s="47" t="str">
        <f t="array" ref="V177">_xlfn.XLOOKUP(records[ID], dAir[roomNo], dAir[roomName])</f>
        <v>MLT 3</v>
      </c>
      <c r="W177" s="47" t="str">
        <f t="array" ref="W177">_xlfn.XLOOKUP(records[ID], dAir[roomNo], dAir[building])</f>
        <v>Building 12</v>
      </c>
      <c r="X177" s="47" t="str">
        <f t="array" ref="X177">_xlfn.XLOOKUP(records[ID], dAir[roomNo], dAir[floor])</f>
        <v>Floor 3</v>
      </c>
      <c r="Y177" s="45" t="str">
        <f t="array" ref="Y177">_xlfn.XLOOKUP(records[ID], dAir[roomNo], dAir[Class])</f>
        <v>D</v>
      </c>
      <c r="Z177" s="45">
        <f t="array" ref="Z177">_xlfn.XLOOKUP(records[Method]&amp;"-"&amp;records[Class], dAirSpec[ID], dAirSpec[Spec])</f>
        <v>100</v>
      </c>
      <c r="AA177" s="45" t="str">
        <f t="array" ref="AA177">_xlfn.XLOOKUP(records[Method]&amp;"-"&amp;records[Class], dAirSpec[ID], dAirSpec[Unit])</f>
        <v>cfu/plate</v>
      </c>
      <c r="AB177" s="58">
        <f t="array" ref="AB177">if(S177="","", if(records[Method]="Active Air",_xlfn.xlookup(records[ColonyCount]&amp;records[AirSampler],feller[code],feller[Vc]),records[ColonyCount]))</f>
        <v>1</v>
      </c>
      <c r="AC177" s="60" t="b">
        <f t="shared" si="1"/>
        <v>1</v>
      </c>
      <c r="AD177" s="61" t="b">
        <v>0</v>
      </c>
      <c r="AE177" s="32"/>
      <c r="AF177" s="46"/>
      <c r="AG177" s="46"/>
      <c r="AH177" s="46"/>
      <c r="AI177" s="46"/>
      <c r="AJ177" s="46"/>
    </row>
    <row r="178" ht="22.5" customHeight="1">
      <c r="A178" s="27">
        <v>46207.0</v>
      </c>
      <c r="B178" s="34" t="str">
        <f t="array" ref="B178">TEXT(A178, "MM-YYYY")</f>
        <v>07-2026</v>
      </c>
      <c r="C178" s="34" t="s">
        <v>825</v>
      </c>
      <c r="D178" s="36" t="s">
        <v>210</v>
      </c>
      <c r="E178" s="36" t="s">
        <v>531</v>
      </c>
      <c r="F178" s="37" t="s">
        <v>50</v>
      </c>
      <c r="G178" s="29" t="b">
        <v>1</v>
      </c>
      <c r="H178" s="36" t="s">
        <v>214</v>
      </c>
      <c r="I178" s="36" t="s">
        <v>534</v>
      </c>
      <c r="J178" s="137" t="s">
        <v>1792</v>
      </c>
      <c r="K178" s="145">
        <v>46472.0</v>
      </c>
      <c r="L178" s="37" t="s">
        <v>194</v>
      </c>
      <c r="M178" s="37" t="s">
        <v>194</v>
      </c>
      <c r="N178" s="37" t="s">
        <v>194</v>
      </c>
      <c r="O178" s="37" t="s">
        <v>194</v>
      </c>
      <c r="P178" s="37" t="s">
        <v>392</v>
      </c>
      <c r="Q178" s="37" t="s">
        <v>1629</v>
      </c>
      <c r="R178" s="41">
        <v>46243.0</v>
      </c>
      <c r="S178" s="42">
        <v>0.0</v>
      </c>
      <c r="T178" s="44"/>
      <c r="U178" s="47" t="str">
        <f>IF(records[Type]="Room",records[roomNo],records[roomNo]&amp;"-"&amp;SUBSTITUTE(RIGHT(records[roomNo]&amp;records[Type],2),"-",""))</f>
        <v>12-3-054-BSC</v>
      </c>
      <c r="V178" s="47" t="str">
        <f t="array" ref="V178">_xlfn.XLOOKUP(records[ID], dAir[roomNo], dAir[roomName])</f>
        <v>MLT 3</v>
      </c>
      <c r="W178" s="47" t="str">
        <f t="array" ref="W178">_xlfn.XLOOKUP(records[ID], dAir[roomNo], dAir[building])</f>
        <v>Building 12</v>
      </c>
      <c r="X178" s="47" t="str">
        <f t="array" ref="X178">_xlfn.XLOOKUP(records[ID], dAir[roomNo], dAir[floor])</f>
        <v>Floor 3</v>
      </c>
      <c r="Y178" s="45" t="str">
        <f t="array" ref="Y178">_xlfn.XLOOKUP(records[ID], dAir[roomNo], dAir[Class])</f>
        <v>A</v>
      </c>
      <c r="Z178" s="45">
        <f t="array" ref="Z178">_xlfn.XLOOKUP(records[Method]&amp;"-"&amp;records[Class], dAirSpec[ID], dAirSpec[Spec])</f>
        <v>0</v>
      </c>
      <c r="AA178" s="45" t="str">
        <f t="array" ref="AA178">_xlfn.XLOOKUP(records[Method]&amp;"-"&amp;records[Class], dAirSpec[ID], dAirSpec[Unit])</f>
        <v>cfu/m3</v>
      </c>
      <c r="AB178" s="45">
        <f t="array" ref="AB178">if(S178="","", if(records[Method]="Active Air",_xlfn.xlookup(records[ColonyCount]&amp;records[AirSampler],feller[code],feller[Vc]),records[ColonyCount]))</f>
        <v>0</v>
      </c>
      <c r="AC178" s="60" t="b">
        <f t="shared" si="1"/>
        <v>1</v>
      </c>
      <c r="AD178" s="61" t="b">
        <v>0</v>
      </c>
      <c r="AE178" s="32" t="s">
        <v>235</v>
      </c>
      <c r="AF178" s="46"/>
      <c r="AG178" s="46"/>
      <c r="AH178" s="46"/>
      <c r="AI178" s="46"/>
      <c r="AJ178" s="46"/>
    </row>
    <row r="179" ht="22.5" customHeight="1">
      <c r="A179" s="27">
        <v>46207.0</v>
      </c>
      <c r="B179" s="34" t="str">
        <f t="array" ref="B179">TEXT(A179, "MM-YYYY")</f>
        <v>07-2026</v>
      </c>
      <c r="C179" s="39" t="s">
        <v>831</v>
      </c>
      <c r="D179" s="36" t="s">
        <v>210</v>
      </c>
      <c r="E179" s="36" t="s">
        <v>213</v>
      </c>
      <c r="F179" s="37"/>
      <c r="G179" s="29" t="b">
        <v>0</v>
      </c>
      <c r="H179" s="36" t="s">
        <v>214</v>
      </c>
      <c r="I179" s="36"/>
      <c r="J179" s="29"/>
      <c r="K179" s="138"/>
      <c r="L179" s="37" t="s">
        <v>194</v>
      </c>
      <c r="M179" s="37" t="s">
        <v>194</v>
      </c>
      <c r="N179" s="37" t="s">
        <v>194</v>
      </c>
      <c r="O179" s="37" t="s">
        <v>194</v>
      </c>
      <c r="P179" s="37" t="s">
        <v>392</v>
      </c>
      <c r="Q179" s="37" t="s">
        <v>1629</v>
      </c>
      <c r="R179" s="41">
        <v>46243.0</v>
      </c>
      <c r="S179" s="42">
        <v>0.0</v>
      </c>
      <c r="T179" s="44"/>
      <c r="U179" s="45" t="str">
        <f>IF(records[Type]="Room",records[roomNo],records[roomNo]&amp;"-"&amp;SUBSTITUTE(RIGHT(records[roomNo]&amp;records[Type],2),"-",""))</f>
        <v>12-3-055</v>
      </c>
      <c r="V179" s="47" t="str">
        <f t="array" ref="V179">_xlfn.XLOOKUP(records[ID], dAir[roomNo], dAir[roomName])</f>
        <v>SPARE ROOM</v>
      </c>
      <c r="W179" s="47" t="str">
        <f t="array" ref="W179">_xlfn.XLOOKUP(records[ID], dAir[roomNo], dAir[building])</f>
        <v>Building 12</v>
      </c>
      <c r="X179" s="47" t="str">
        <f t="array" ref="X179">_xlfn.XLOOKUP(records[ID], dAir[roomNo], dAir[floor])</f>
        <v>Floor 3</v>
      </c>
      <c r="Y179" s="45" t="str">
        <f t="array" ref="Y179">_xlfn.XLOOKUP(records[ID], dAir[roomNo], dAir[Class])</f>
        <v>D</v>
      </c>
      <c r="Z179" s="45">
        <f t="array" ref="Z179">_xlfn.XLOOKUP(records[Method]&amp;"-"&amp;records[Class], dAirSpec[ID], dAirSpec[Spec])</f>
        <v>100</v>
      </c>
      <c r="AA179" s="45" t="str">
        <f t="array" ref="AA179">_xlfn.XLOOKUP(records[Method]&amp;"-"&amp;records[Class], dAirSpec[ID], dAirSpec[Unit])</f>
        <v>cfu/plate</v>
      </c>
      <c r="AB179" s="58">
        <f t="array" ref="AB179">if(S179="","", if(records[Method]="Active Air",_xlfn.xlookup(records[ColonyCount]&amp;records[AirSampler],feller[code],feller[Vc]),records[ColonyCount]))</f>
        <v>0</v>
      </c>
      <c r="AC179" s="60" t="b">
        <f t="shared" si="1"/>
        <v>1</v>
      </c>
      <c r="AD179" s="61" t="b">
        <v>0</v>
      </c>
      <c r="AE179" s="32"/>
      <c r="AF179" s="46"/>
      <c r="AG179" s="46"/>
      <c r="AH179" s="46"/>
      <c r="AI179" s="46"/>
      <c r="AJ179" s="46"/>
    </row>
    <row r="180" ht="22.5" customHeight="1">
      <c r="A180" s="27">
        <v>46207.0</v>
      </c>
      <c r="B180" s="34" t="str">
        <f t="array" ref="B180">TEXT(A180, "MM-YYYY")</f>
        <v>07-2026</v>
      </c>
      <c r="C180" s="32" t="s">
        <v>831</v>
      </c>
      <c r="D180" s="21" t="s">
        <v>1350</v>
      </c>
      <c r="E180" s="36" t="s">
        <v>213</v>
      </c>
      <c r="F180" s="37"/>
      <c r="G180" s="29" t="b">
        <v>0</v>
      </c>
      <c r="H180" s="36" t="s">
        <v>214</v>
      </c>
      <c r="I180" s="36"/>
      <c r="J180" s="29"/>
      <c r="K180" s="138"/>
      <c r="L180" s="37" t="s">
        <v>194</v>
      </c>
      <c r="M180" s="37" t="s">
        <v>194</v>
      </c>
      <c r="N180" s="37" t="s">
        <v>194</v>
      </c>
      <c r="O180" s="37" t="s">
        <v>194</v>
      </c>
      <c r="P180" s="37" t="s">
        <v>392</v>
      </c>
      <c r="Q180" s="37" t="s">
        <v>1629</v>
      </c>
      <c r="R180" s="41">
        <v>46243.0</v>
      </c>
      <c r="S180" s="42">
        <v>1.0</v>
      </c>
      <c r="T180" s="44"/>
      <c r="U180" s="45" t="str">
        <f>IF(records[Type]="Room",records[roomNo],records[roomNo]&amp;"-"&amp;SUBSTITUTE(RIGHT(records[roomNo]&amp;records[Type],2),"-",""))</f>
        <v>12-3-055-PB</v>
      </c>
      <c r="V180" s="47" t="str">
        <f t="array" ref="V180">_xlfn.XLOOKUP(records[ID], dAir[roomNo], dAir[roomName])</f>
        <v>#N/A</v>
      </c>
      <c r="W180" s="47" t="str">
        <f t="array" ref="W180">_xlfn.XLOOKUP(records[ID], dAir[roomNo], dAir[building])</f>
        <v>#N/A</v>
      </c>
      <c r="X180" s="47" t="str">
        <f t="array" ref="X180">_xlfn.XLOOKUP(records[ID], dAir[roomNo], dAir[floor])</f>
        <v>#N/A</v>
      </c>
      <c r="Y180" s="45" t="str">
        <f t="array" ref="Y180">_xlfn.XLOOKUP(records[ID], dAir[roomNo], dAir[Class])</f>
        <v>#N/A</v>
      </c>
      <c r="Z180" s="45" t="str">
        <f t="array" ref="Z180">_xlfn.XLOOKUP(records[Method]&amp;"-"&amp;records[Class], dAirSpec[ID], dAirSpec[Spec])</f>
        <v>#N/A</v>
      </c>
      <c r="AA180" s="45" t="str">
        <f t="array" ref="AA180">_xlfn.XLOOKUP(records[Method]&amp;"-"&amp;records[Class], dAirSpec[ID], dAirSpec[Unit])</f>
        <v>#N/A</v>
      </c>
      <c r="AB180" s="58">
        <f t="array" ref="AB180">if(S180="","", if(records[Method]="Active Air",_xlfn.xlookup(records[ColonyCount]&amp;records[AirSampler],feller[code],feller[Vc]),records[ColonyCount]))</f>
        <v>1</v>
      </c>
      <c r="AC180" s="60" t="str">
        <f t="shared" si="1"/>
        <v>#N/A</v>
      </c>
      <c r="AD180" s="61" t="b">
        <v>0</v>
      </c>
      <c r="AE180" s="32"/>
      <c r="AF180" s="46"/>
      <c r="AG180" s="46"/>
      <c r="AH180" s="46"/>
      <c r="AI180" s="46"/>
      <c r="AJ180" s="46"/>
    </row>
    <row r="181" ht="22.5" customHeight="1">
      <c r="A181" s="27">
        <v>46209.0</v>
      </c>
      <c r="B181" s="34" t="str">
        <f t="array" ref="B181">TEXT(A181, "MM-YYYY")</f>
        <v>07-2026</v>
      </c>
      <c r="C181" s="39" t="s">
        <v>753</v>
      </c>
      <c r="D181" s="36" t="s">
        <v>755</v>
      </c>
      <c r="E181" s="36" t="s">
        <v>531</v>
      </c>
      <c r="F181" s="37" t="s">
        <v>52</v>
      </c>
      <c r="G181" s="29" t="b">
        <v>1</v>
      </c>
      <c r="H181" s="36" t="s">
        <v>214</v>
      </c>
      <c r="I181" s="36" t="s">
        <v>757</v>
      </c>
      <c r="J181" s="29">
        <v>3.1101125E8</v>
      </c>
      <c r="K181" s="138">
        <v>46240.0</v>
      </c>
      <c r="L181" s="37" t="s">
        <v>645</v>
      </c>
      <c r="M181" s="37" t="s">
        <v>1856</v>
      </c>
      <c r="N181" s="37" t="s">
        <v>194</v>
      </c>
      <c r="O181" s="37" t="s">
        <v>194</v>
      </c>
      <c r="P181" s="37" t="s">
        <v>392</v>
      </c>
      <c r="Q181" s="37" t="s">
        <v>1629</v>
      </c>
      <c r="R181" s="41">
        <v>46243.0</v>
      </c>
      <c r="S181" s="42">
        <v>0.0</v>
      </c>
      <c r="T181" s="44" t="s">
        <v>755</v>
      </c>
      <c r="U181" s="45" t="str">
        <f>IF(records[Type]="Room",records[roomNo],records[roomNo]&amp;"-"&amp;SUBSTITUTE(RIGHT(records[roomNo]&amp;records[Type],2),"-",""))</f>
        <v>16-1-075-M</v>
      </c>
      <c r="V181" s="47" t="str">
        <f t="array" ref="V181">_xlfn.XLOOKUP(records[ID], dAir[roomNo], dAir[roomName])</f>
        <v>VIALS CAPPING (Machine)</v>
      </c>
      <c r="W181" s="47" t="str">
        <f t="array" ref="W181">_xlfn.XLOOKUP(records[ID], dAir[roomNo], dAir[building])</f>
        <v>Building 16</v>
      </c>
      <c r="X181" s="47" t="str">
        <f t="array" ref="X181">_xlfn.XLOOKUP(records[ID], dAir[roomNo], dAir[floor])</f>
        <v>Floor 1</v>
      </c>
      <c r="Y181" s="45" t="str">
        <f t="array" ref="Y181">_xlfn.XLOOKUP(records[ID], dAir[roomNo], dAir[Class])</f>
        <v>A</v>
      </c>
      <c r="Z181" s="45">
        <f t="array" ref="Z181">_xlfn.XLOOKUP(records[Method]&amp;"-"&amp;records[Class], dAirSpec[ID], dAirSpec[Spec])</f>
        <v>0</v>
      </c>
      <c r="AA181" s="45" t="str">
        <f t="array" ref="AA181">_xlfn.XLOOKUP(records[Method]&amp;"-"&amp;records[Class], dAirSpec[ID], dAirSpec[Unit])</f>
        <v>cfu/m3</v>
      </c>
      <c r="AB181" s="45">
        <f t="array" ref="AB181">if(S181="","", if(records[Method]="Active Air",_xlfn.xlookup(records[ColonyCount]&amp;records[AirSampler],feller[code],feller[Vc]),records[ColonyCount]))</f>
        <v>0</v>
      </c>
      <c r="AC181" s="60" t="b">
        <f t="shared" si="1"/>
        <v>1</v>
      </c>
      <c r="AD181" s="61" t="b">
        <v>0</v>
      </c>
      <c r="AE181" s="32" t="s">
        <v>235</v>
      </c>
      <c r="AF181" s="46"/>
      <c r="AG181" s="46"/>
      <c r="AH181" s="46"/>
      <c r="AI181" s="46"/>
      <c r="AJ181" s="46"/>
    </row>
    <row r="182" ht="22.5" customHeight="1">
      <c r="A182" s="27">
        <v>46209.0</v>
      </c>
      <c r="B182" s="34" t="str">
        <f t="array" ref="B182">TEXT(A182, "MM-YYYY")</f>
        <v>07-2026</v>
      </c>
      <c r="C182" s="39" t="s">
        <v>765</v>
      </c>
      <c r="D182" s="36" t="s">
        <v>755</v>
      </c>
      <c r="E182" s="36" t="s">
        <v>531</v>
      </c>
      <c r="F182" s="37" t="s">
        <v>52</v>
      </c>
      <c r="G182" s="29" t="b">
        <v>1</v>
      </c>
      <c r="H182" s="36" t="s">
        <v>214</v>
      </c>
      <c r="I182" s="36" t="s">
        <v>757</v>
      </c>
      <c r="J182" s="29">
        <v>3.1101125E8</v>
      </c>
      <c r="K182" s="138">
        <v>46240.0</v>
      </c>
      <c r="L182" s="37" t="s">
        <v>353</v>
      </c>
      <c r="M182" s="37" t="s">
        <v>1859</v>
      </c>
      <c r="N182" s="37" t="s">
        <v>194</v>
      </c>
      <c r="O182" s="37" t="s">
        <v>194</v>
      </c>
      <c r="P182" s="37" t="s">
        <v>392</v>
      </c>
      <c r="Q182" s="37" t="s">
        <v>1629</v>
      </c>
      <c r="R182" s="41">
        <v>46243.0</v>
      </c>
      <c r="S182" s="42">
        <v>0.0</v>
      </c>
      <c r="T182" s="44" t="s">
        <v>755</v>
      </c>
      <c r="U182" s="45" t="str">
        <f>IF(records[Type]="Room",records[roomNo],records[roomNo]&amp;"-"&amp;SUBSTITUTE(RIGHT(records[roomNo]&amp;records[Type],2),"-",""))</f>
        <v>16-1-076-M</v>
      </c>
      <c r="V182" s="47" t="str">
        <f t="array" ref="V182">_xlfn.XLOOKUP(records[ID], dAir[roomNo], dAir[roomName])</f>
        <v>FILLING 2 (Machine)</v>
      </c>
      <c r="W182" s="47" t="str">
        <f t="array" ref="W182">_xlfn.XLOOKUP(records[ID], dAir[roomNo], dAir[building])</f>
        <v>Building 16</v>
      </c>
      <c r="X182" s="47" t="str">
        <f t="array" ref="X182">_xlfn.XLOOKUP(records[ID], dAir[roomNo], dAir[floor])</f>
        <v>Floor 1</v>
      </c>
      <c r="Y182" s="45" t="str">
        <f t="array" ref="Y182">_xlfn.XLOOKUP(records[ID], dAir[roomNo], dAir[Class])</f>
        <v>A</v>
      </c>
      <c r="Z182" s="45">
        <f t="array" ref="Z182">_xlfn.XLOOKUP(records[Method]&amp;"-"&amp;records[Class], dAirSpec[ID], dAirSpec[Spec])</f>
        <v>0</v>
      </c>
      <c r="AA182" s="45" t="str">
        <f t="array" ref="AA182">_xlfn.XLOOKUP(records[Method]&amp;"-"&amp;records[Class], dAirSpec[ID], dAirSpec[Unit])</f>
        <v>cfu/m3</v>
      </c>
      <c r="AB182" s="45">
        <f t="array" ref="AB182">if(S182="","", if(records[Method]="Active Air",_xlfn.xlookup(records[ColonyCount]&amp;records[AirSampler],feller[code],feller[Vc]),records[ColonyCount]))</f>
        <v>0</v>
      </c>
      <c r="AC182" s="60" t="b">
        <f t="shared" si="1"/>
        <v>1</v>
      </c>
      <c r="AD182" s="61" t="b">
        <v>0</v>
      </c>
      <c r="AE182" s="32" t="s">
        <v>235</v>
      </c>
      <c r="AF182" s="46"/>
      <c r="AG182" s="46"/>
      <c r="AH182" s="46"/>
      <c r="AI182" s="46"/>
      <c r="AJ182" s="46"/>
    </row>
    <row r="183" ht="22.5" customHeight="1">
      <c r="A183" s="27">
        <v>46209.0</v>
      </c>
      <c r="B183" s="34" t="str">
        <f t="array" ref="B183">TEXT(A183, "MM-YYYY")</f>
        <v>07-2026</v>
      </c>
      <c r="C183" s="39" t="s">
        <v>765</v>
      </c>
      <c r="D183" s="36" t="s">
        <v>770</v>
      </c>
      <c r="E183" s="36" t="s">
        <v>531</v>
      </c>
      <c r="F183" s="37" t="s">
        <v>52</v>
      </c>
      <c r="G183" s="29" t="b">
        <v>1</v>
      </c>
      <c r="H183" s="36" t="s">
        <v>214</v>
      </c>
      <c r="I183" s="36" t="s">
        <v>757</v>
      </c>
      <c r="J183" s="29">
        <v>3.1101125E8</v>
      </c>
      <c r="K183" s="138">
        <v>46240.0</v>
      </c>
      <c r="L183" s="37" t="s">
        <v>353</v>
      </c>
      <c r="M183" s="37" t="s">
        <v>1859</v>
      </c>
      <c r="N183" s="37" t="s">
        <v>194</v>
      </c>
      <c r="O183" s="37" t="s">
        <v>194</v>
      </c>
      <c r="P183" s="37" t="s">
        <v>392</v>
      </c>
      <c r="Q183" s="37" t="s">
        <v>1629</v>
      </c>
      <c r="R183" s="41">
        <v>46243.0</v>
      </c>
      <c r="S183" s="42">
        <v>0.0</v>
      </c>
      <c r="T183" s="44" t="s">
        <v>770</v>
      </c>
      <c r="U183" s="45" t="str">
        <f>IF(records[Type]="Room",records[roomNo],records[roomNo]&amp;"-"&amp;SUBSTITUTE(RIGHT(records[roomNo]&amp;records[Type],2),"-",""))</f>
        <v>16-1-076-L</v>
      </c>
      <c r="V183" s="47" t="str">
        <f t="array" ref="V183">_xlfn.XLOOKUP(records[ID], dAir[roomNo], dAir[roomName])</f>
        <v>FILLING 2 (Laminar)</v>
      </c>
      <c r="W183" s="47" t="str">
        <f t="array" ref="W183">_xlfn.XLOOKUP(records[ID], dAir[roomNo], dAir[building])</f>
        <v>Building 16</v>
      </c>
      <c r="X183" s="47" t="str">
        <f t="array" ref="X183">_xlfn.XLOOKUP(records[ID], dAir[roomNo], dAir[floor])</f>
        <v>Floor 1</v>
      </c>
      <c r="Y183" s="45" t="str">
        <f t="array" ref="Y183">_xlfn.XLOOKUP(records[ID], dAir[roomNo], dAir[Class])</f>
        <v>A</v>
      </c>
      <c r="Z183" s="45">
        <f t="array" ref="Z183">_xlfn.XLOOKUP(records[Method]&amp;"-"&amp;records[Class], dAirSpec[ID], dAirSpec[Spec])</f>
        <v>0</v>
      </c>
      <c r="AA183" s="45" t="str">
        <f t="array" ref="AA183">_xlfn.XLOOKUP(records[Method]&amp;"-"&amp;records[Class], dAirSpec[ID], dAirSpec[Unit])</f>
        <v>cfu/m3</v>
      </c>
      <c r="AB183" s="45">
        <f t="array" ref="AB183">if(S183="","", if(records[Method]="Active Air",_xlfn.xlookup(records[ColonyCount]&amp;records[AirSampler],feller[code],feller[Vc]),records[ColonyCount]))</f>
        <v>0</v>
      </c>
      <c r="AC183" s="60" t="b">
        <f t="shared" si="1"/>
        <v>1</v>
      </c>
      <c r="AD183" s="61" t="b">
        <v>0</v>
      </c>
      <c r="AE183" s="32" t="s">
        <v>235</v>
      </c>
      <c r="AF183" s="46"/>
      <c r="AG183" s="46"/>
      <c r="AH183" s="46"/>
      <c r="AI183" s="46"/>
      <c r="AJ183" s="46"/>
    </row>
    <row r="184" ht="22.5" customHeight="1">
      <c r="A184" s="27">
        <v>46209.0</v>
      </c>
      <c r="B184" s="34" t="str">
        <f t="array" ref="B184">TEXT(A184, "MM-YYYY")</f>
        <v>07-2026</v>
      </c>
      <c r="C184" s="39" t="s">
        <v>774</v>
      </c>
      <c r="D184" s="36" t="s">
        <v>755</v>
      </c>
      <c r="E184" s="36" t="s">
        <v>531</v>
      </c>
      <c r="F184" s="37" t="s">
        <v>52</v>
      </c>
      <c r="G184" s="29" t="b">
        <v>1</v>
      </c>
      <c r="H184" s="36" t="s">
        <v>214</v>
      </c>
      <c r="I184" s="36" t="s">
        <v>757</v>
      </c>
      <c r="J184" s="29">
        <v>3.1101125E8</v>
      </c>
      <c r="K184" s="138">
        <v>46240.0</v>
      </c>
      <c r="L184" s="37" t="s">
        <v>798</v>
      </c>
      <c r="M184" s="37" t="s">
        <v>1860</v>
      </c>
      <c r="N184" s="37" t="s">
        <v>194</v>
      </c>
      <c r="O184" s="37" t="s">
        <v>194</v>
      </c>
      <c r="P184" s="37" t="s">
        <v>392</v>
      </c>
      <c r="Q184" s="37" t="s">
        <v>1629</v>
      </c>
      <c r="R184" s="41">
        <v>46243.0</v>
      </c>
      <c r="S184" s="42">
        <v>0.0</v>
      </c>
      <c r="T184" s="44" t="s">
        <v>755</v>
      </c>
      <c r="U184" s="45" t="str">
        <f>IF(records[Type]="Room",records[roomNo],records[roomNo]&amp;"-"&amp;SUBSTITUTE(RIGHT(records[roomNo]&amp;records[Type],2),"-",""))</f>
        <v>16-1-084-M</v>
      </c>
      <c r="V184" s="47" t="str">
        <f t="array" ref="V184">_xlfn.XLOOKUP(records[ID], dAir[roomNo], dAir[roomName])</f>
        <v>FILLING 1 (Machine)</v>
      </c>
      <c r="W184" s="47" t="str">
        <f t="array" ref="W184">_xlfn.XLOOKUP(records[ID], dAir[roomNo], dAir[building])</f>
        <v>Building 16</v>
      </c>
      <c r="X184" s="47" t="str">
        <f t="array" ref="X184">_xlfn.XLOOKUP(records[ID], dAir[roomNo], dAir[floor])</f>
        <v>Floor 1</v>
      </c>
      <c r="Y184" s="45" t="str">
        <f t="array" ref="Y184">_xlfn.XLOOKUP(records[ID], dAir[roomNo], dAir[Class])</f>
        <v>A</v>
      </c>
      <c r="Z184" s="45">
        <f t="array" ref="Z184">_xlfn.XLOOKUP(records[Method]&amp;"-"&amp;records[Class], dAirSpec[ID], dAirSpec[Spec])</f>
        <v>0</v>
      </c>
      <c r="AA184" s="45" t="str">
        <f t="array" ref="AA184">_xlfn.XLOOKUP(records[Method]&amp;"-"&amp;records[Class], dAirSpec[ID], dAirSpec[Unit])</f>
        <v>cfu/m3</v>
      </c>
      <c r="AB184" s="45">
        <f t="array" ref="AB184">if(S184="","", if(records[Method]="Active Air",_xlfn.xlookup(records[ColonyCount]&amp;records[AirSampler],feller[code],feller[Vc]),records[ColonyCount]))</f>
        <v>0</v>
      </c>
      <c r="AC184" s="60" t="b">
        <f t="shared" si="1"/>
        <v>1</v>
      </c>
      <c r="AD184" s="61" t="b">
        <v>0</v>
      </c>
      <c r="AE184" s="32" t="s">
        <v>235</v>
      </c>
      <c r="AF184" s="46"/>
      <c r="AG184" s="46"/>
      <c r="AH184" s="46"/>
      <c r="AI184" s="46"/>
      <c r="AJ184" s="46"/>
    </row>
    <row r="185" ht="22.5" customHeight="1">
      <c r="A185" s="27">
        <v>46209.0</v>
      </c>
      <c r="B185" s="34" t="str">
        <f t="array" ref="B185">TEXT(A185, "MM-YYYY")</f>
        <v>07-2026</v>
      </c>
      <c r="C185" s="39" t="s">
        <v>774</v>
      </c>
      <c r="D185" s="36" t="s">
        <v>770</v>
      </c>
      <c r="E185" s="36" t="s">
        <v>531</v>
      </c>
      <c r="F185" s="37" t="s">
        <v>52</v>
      </c>
      <c r="G185" s="29" t="b">
        <v>1</v>
      </c>
      <c r="H185" s="36" t="s">
        <v>214</v>
      </c>
      <c r="I185" s="36" t="s">
        <v>757</v>
      </c>
      <c r="J185" s="29">
        <v>3.1101125E8</v>
      </c>
      <c r="K185" s="138">
        <v>46240.0</v>
      </c>
      <c r="L185" s="37" t="s">
        <v>798</v>
      </c>
      <c r="M185" s="37" t="s">
        <v>1860</v>
      </c>
      <c r="N185" s="37" t="s">
        <v>194</v>
      </c>
      <c r="O185" s="37" t="s">
        <v>194</v>
      </c>
      <c r="P185" s="37" t="s">
        <v>392</v>
      </c>
      <c r="Q185" s="37" t="s">
        <v>1629</v>
      </c>
      <c r="R185" s="41">
        <v>46243.0</v>
      </c>
      <c r="S185" s="42">
        <v>0.0</v>
      </c>
      <c r="T185" s="44" t="s">
        <v>770</v>
      </c>
      <c r="U185" s="45" t="str">
        <f>IF(records[Type]="Room",records[roomNo],records[roomNo]&amp;"-"&amp;SUBSTITUTE(RIGHT(records[roomNo]&amp;records[Type],2),"-",""))</f>
        <v>16-1-084-L</v>
      </c>
      <c r="V185" s="47" t="str">
        <f t="array" ref="V185">_xlfn.XLOOKUP(records[ID], dAir[roomNo], dAir[roomName])</f>
        <v>FILLING 1 (Laminar)</v>
      </c>
      <c r="W185" s="47" t="str">
        <f t="array" ref="W185">_xlfn.XLOOKUP(records[ID], dAir[roomNo], dAir[building])</f>
        <v>Building 16</v>
      </c>
      <c r="X185" s="47" t="str">
        <f t="array" ref="X185">_xlfn.XLOOKUP(records[ID], dAir[roomNo], dAir[floor])</f>
        <v>Floor 1</v>
      </c>
      <c r="Y185" s="45" t="str">
        <f t="array" ref="Y185">_xlfn.XLOOKUP(records[ID], dAir[roomNo], dAir[Class])</f>
        <v>A</v>
      </c>
      <c r="Z185" s="45">
        <f t="array" ref="Z185">_xlfn.XLOOKUP(records[Method]&amp;"-"&amp;records[Class], dAirSpec[ID], dAirSpec[Spec])</f>
        <v>0</v>
      </c>
      <c r="AA185" s="45" t="str">
        <f t="array" ref="AA185">_xlfn.XLOOKUP(records[Method]&amp;"-"&amp;records[Class], dAirSpec[ID], dAirSpec[Unit])</f>
        <v>cfu/m3</v>
      </c>
      <c r="AB185" s="45">
        <f t="array" ref="AB185">if(S185="","", if(records[Method]="Active Air",_xlfn.xlookup(records[ColonyCount]&amp;records[AirSampler],feller[code],feller[Vc]),records[ColonyCount]))</f>
        <v>0</v>
      </c>
      <c r="AC185" s="60" t="b">
        <f t="shared" si="1"/>
        <v>1</v>
      </c>
      <c r="AD185" s="61" t="b">
        <v>0</v>
      </c>
      <c r="AE185" s="32" t="s">
        <v>235</v>
      </c>
      <c r="AF185" s="46"/>
      <c r="AG185" s="46"/>
      <c r="AH185" s="46"/>
      <c r="AI185" s="46"/>
      <c r="AJ185" s="46"/>
    </row>
    <row r="186" ht="22.5" customHeight="1">
      <c r="A186" s="27">
        <v>46209.0</v>
      </c>
      <c r="B186" s="34" t="str">
        <f t="array" ref="B186">TEXT(A186, "MM-YYYY")</f>
        <v>07-2026</v>
      </c>
      <c r="C186" s="32" t="s">
        <v>786</v>
      </c>
      <c r="D186" s="21" t="s">
        <v>680</v>
      </c>
      <c r="E186" s="36" t="s">
        <v>531</v>
      </c>
      <c r="F186" s="37" t="s">
        <v>52</v>
      </c>
      <c r="G186" s="29" t="b">
        <v>1</v>
      </c>
      <c r="H186" s="36" t="s">
        <v>214</v>
      </c>
      <c r="I186" s="36" t="s">
        <v>757</v>
      </c>
      <c r="J186" s="29">
        <v>3.1101125E8</v>
      </c>
      <c r="K186" s="138">
        <v>46240.0</v>
      </c>
      <c r="L186" s="37" t="s">
        <v>339</v>
      </c>
      <c r="M186" s="37" t="s">
        <v>952</v>
      </c>
      <c r="N186" s="37" t="s">
        <v>194</v>
      </c>
      <c r="O186" s="37" t="s">
        <v>194</v>
      </c>
      <c r="P186" s="37" t="s">
        <v>392</v>
      </c>
      <c r="Q186" s="37" t="s">
        <v>1629</v>
      </c>
      <c r="R186" s="41">
        <v>46243.0</v>
      </c>
      <c r="S186" s="42">
        <v>2.0</v>
      </c>
      <c r="T186" s="44" t="s">
        <v>680</v>
      </c>
      <c r="U186" s="45" t="str">
        <f>IF(records[Type]="Room",records[roomNo],records[roomNo]&amp;"-"&amp;SUBSTITUTE(RIGHT(records[roomNo]&amp;records[Type],2),"-",""))</f>
        <v>16-1-102-B</v>
      </c>
      <c r="V186" s="47" t="str">
        <f t="array" ref="V186">_xlfn.XLOOKUP(records[ID], dAir[roomNo], dAir[roomName])</f>
        <v>DISPENSING (Booth)</v>
      </c>
      <c r="W186" s="47" t="str">
        <f t="array" ref="W186">_xlfn.XLOOKUP(records[ID], dAir[roomNo], dAir[building])</f>
        <v>Building 16</v>
      </c>
      <c r="X186" s="47" t="str">
        <f t="array" ref="X186">_xlfn.XLOOKUP(records[ID], dAir[roomNo], dAir[floor])</f>
        <v>Floor 1</v>
      </c>
      <c r="Y186" s="45" t="str">
        <f t="array" ref="Y186">_xlfn.XLOOKUP(records[ID], dAir[roomNo], dAir[Class])</f>
        <v>A</v>
      </c>
      <c r="Z186" s="45">
        <f t="array" ref="Z186">_xlfn.XLOOKUP(records[Method]&amp;"-"&amp;records[Class], dAirSpec[ID], dAirSpec[Spec])</f>
        <v>0</v>
      </c>
      <c r="AA186" s="45" t="str">
        <f t="array" ref="AA186">_xlfn.XLOOKUP(records[Method]&amp;"-"&amp;records[Class], dAirSpec[ID], dAirSpec[Unit])</f>
        <v>cfu/m3</v>
      </c>
      <c r="AB186" s="45">
        <f t="array" ref="AB186">if(S186="","", if(records[Method]="Active Air",_xlfn.xlookup(records[ColonyCount]&amp;records[AirSampler],feller[code],feller[Vc]),records[ColonyCount]))</f>
        <v>2</v>
      </c>
      <c r="AC186" s="60" t="b">
        <f t="shared" si="1"/>
        <v>0</v>
      </c>
      <c r="AD186" s="61" t="b">
        <v>0</v>
      </c>
      <c r="AE186" s="32" t="s">
        <v>235</v>
      </c>
      <c r="AF186" s="46"/>
      <c r="AG186" s="46"/>
      <c r="AH186" s="46"/>
      <c r="AI186" s="46"/>
      <c r="AJ186" s="46"/>
    </row>
    <row r="187" ht="22.5" customHeight="1">
      <c r="A187" s="27">
        <v>46211.0</v>
      </c>
      <c r="B187" s="34" t="str">
        <f t="array" ref="B187">TEXT(A187, "MM-YYYY")</f>
        <v>07-2026</v>
      </c>
      <c r="C187" s="32" t="s">
        <v>1133</v>
      </c>
      <c r="D187" s="21" t="s">
        <v>210</v>
      </c>
      <c r="E187" s="36" t="s">
        <v>213</v>
      </c>
      <c r="F187" s="37" t="s">
        <v>54</v>
      </c>
      <c r="G187" s="29" t="b">
        <v>1</v>
      </c>
      <c r="H187" s="36" t="s">
        <v>214</v>
      </c>
      <c r="I187" s="36" t="s">
        <v>215</v>
      </c>
      <c r="J187" s="29"/>
      <c r="K187" s="138"/>
      <c r="L187" s="37" t="s">
        <v>194</v>
      </c>
      <c r="M187" s="37" t="s">
        <v>194</v>
      </c>
      <c r="N187" s="37" t="s">
        <v>194</v>
      </c>
      <c r="O187" s="37" t="s">
        <v>194</v>
      </c>
      <c r="P187" s="37" t="s">
        <v>1874</v>
      </c>
      <c r="Q187" s="37" t="s">
        <v>1875</v>
      </c>
      <c r="R187" s="41">
        <v>46264.0</v>
      </c>
      <c r="S187" s="42">
        <v>4.0</v>
      </c>
      <c r="T187" s="44"/>
      <c r="U187" s="45" t="str">
        <f>IF(records[Type]="Room",records[roomNo],records[roomNo]&amp;"-"&amp;SUBSTITUTE(RIGHT(records[roomNo]&amp;records[Type],2),"-",""))</f>
        <v>10-1-130</v>
      </c>
      <c r="V187" s="47" t="str">
        <f t="array" ref="V187">_xlfn.XLOOKUP(records[ID], dAir[roomNo], dAir[roomName])</f>
        <v>AIR LOCK</v>
      </c>
      <c r="W187" s="47" t="str">
        <f t="array" ref="W187">_xlfn.XLOOKUP(records[ID], dAir[roomNo], dAir[building])</f>
        <v>Building 10</v>
      </c>
      <c r="X187" s="47" t="str">
        <f t="array" ref="X187">_xlfn.XLOOKUP(records[ID], dAir[roomNo], dAir[floor])</f>
        <v>Floor 1</v>
      </c>
      <c r="Y187" s="45" t="str">
        <f t="array" ref="Y187">_xlfn.XLOOKUP(records[ID], dAir[roomNo], dAir[Class])</f>
        <v>D</v>
      </c>
      <c r="Z187" s="45">
        <f t="array" ref="Z187">_xlfn.XLOOKUP(records[Method]&amp;"-"&amp;records[Class], dAirSpec[ID], dAirSpec[Spec])</f>
        <v>100</v>
      </c>
      <c r="AA187" s="45" t="str">
        <f t="array" ref="AA187">_xlfn.XLOOKUP(records[Method]&amp;"-"&amp;records[Class], dAirSpec[ID], dAirSpec[Unit])</f>
        <v>cfu/plate</v>
      </c>
      <c r="AB187" s="58">
        <f t="array" ref="AB187">if(S187="","", if(records[Method]="Active Air",_xlfn.xlookup(records[ColonyCount]&amp;records[AirSampler],feller[code],feller[Vc]),records[ColonyCount]))</f>
        <v>4</v>
      </c>
      <c r="AC187" s="60" t="b">
        <f t="shared" si="1"/>
        <v>1</v>
      </c>
      <c r="AD187" s="61" t="b">
        <v>0</v>
      </c>
      <c r="AE187" s="32" t="s">
        <v>235</v>
      </c>
      <c r="AF187" s="46"/>
      <c r="AG187" s="46"/>
      <c r="AH187" s="46"/>
      <c r="AI187" s="46"/>
      <c r="AJ187" s="46"/>
    </row>
    <row r="188" ht="22.5" customHeight="1">
      <c r="A188" s="27">
        <v>46211.0</v>
      </c>
      <c r="B188" s="34" t="str">
        <f t="array" ref="B188">TEXT(A188, "MM-YYYY")</f>
        <v>07-2026</v>
      </c>
      <c r="C188" s="32" t="s">
        <v>290</v>
      </c>
      <c r="D188" s="21" t="s">
        <v>210</v>
      </c>
      <c r="E188" s="36" t="s">
        <v>213</v>
      </c>
      <c r="F188" s="37" t="s">
        <v>54</v>
      </c>
      <c r="G188" s="29" t="b">
        <v>1</v>
      </c>
      <c r="H188" s="36" t="s">
        <v>214</v>
      </c>
      <c r="I188" s="36" t="s">
        <v>215</v>
      </c>
      <c r="J188" s="29"/>
      <c r="K188" s="138"/>
      <c r="L188" s="37" t="s">
        <v>194</v>
      </c>
      <c r="M188" s="37" t="s">
        <v>194</v>
      </c>
      <c r="N188" s="37" t="s">
        <v>194</v>
      </c>
      <c r="O188" s="37" t="s">
        <v>194</v>
      </c>
      <c r="P188" s="37" t="s">
        <v>1874</v>
      </c>
      <c r="Q188" s="37" t="s">
        <v>1875</v>
      </c>
      <c r="R188" s="41">
        <v>46264.0</v>
      </c>
      <c r="S188" s="42">
        <v>3.0</v>
      </c>
      <c r="T188" s="44"/>
      <c r="U188" s="45" t="str">
        <f>IF(records[Type]="Room",records[roomNo],records[roomNo]&amp;"-"&amp;SUBSTITUTE(RIGHT(records[roomNo]&amp;records[Type],2),"-",""))</f>
        <v>10-1-031</v>
      </c>
      <c r="V188" s="47" t="str">
        <f t="array" ref="V188">_xlfn.XLOOKUP(records[ID], dAir[roomNo], dAir[roomName])</f>
        <v>BULK STAGING 1</v>
      </c>
      <c r="W188" s="47" t="str">
        <f t="array" ref="W188">_xlfn.XLOOKUP(records[ID], dAir[roomNo], dAir[building])</f>
        <v>Building 10</v>
      </c>
      <c r="X188" s="47" t="str">
        <f t="array" ref="X188">_xlfn.XLOOKUP(records[ID], dAir[roomNo], dAir[floor])</f>
        <v>Floor 1</v>
      </c>
      <c r="Y188" s="45" t="str">
        <f t="array" ref="Y188">_xlfn.XLOOKUP(records[ID], dAir[roomNo], dAir[Class])</f>
        <v>D</v>
      </c>
      <c r="Z188" s="45">
        <f t="array" ref="Z188">_xlfn.XLOOKUP(records[Method]&amp;"-"&amp;records[Class], dAirSpec[ID], dAirSpec[Spec])</f>
        <v>100</v>
      </c>
      <c r="AA188" s="45" t="str">
        <f t="array" ref="AA188">_xlfn.XLOOKUP(records[Method]&amp;"-"&amp;records[Class], dAirSpec[ID], dAirSpec[Unit])</f>
        <v>cfu/plate</v>
      </c>
      <c r="AB188" s="58">
        <f t="array" ref="AB188">if(S188="","", if(records[Method]="Active Air",_xlfn.xlookup(records[ColonyCount]&amp;records[AirSampler],feller[code],feller[Vc]),records[ColonyCount]))</f>
        <v>3</v>
      </c>
      <c r="AC188" s="60" t="b">
        <f t="shared" si="1"/>
        <v>1</v>
      </c>
      <c r="AD188" s="61" t="b">
        <v>0</v>
      </c>
      <c r="AE188" s="32" t="s">
        <v>235</v>
      </c>
      <c r="AF188" s="46"/>
      <c r="AG188" s="46"/>
      <c r="AH188" s="46"/>
      <c r="AI188" s="46"/>
      <c r="AJ188" s="46"/>
    </row>
    <row r="189" ht="22.5" customHeight="1">
      <c r="A189" s="27">
        <v>46211.0</v>
      </c>
      <c r="B189" s="34" t="str">
        <f t="array" ref="B189">TEXT(A189, "MM-YYYY")</f>
        <v>07-2026</v>
      </c>
      <c r="C189" s="32" t="s">
        <v>301</v>
      </c>
      <c r="D189" s="21" t="s">
        <v>210</v>
      </c>
      <c r="E189" s="36" t="s">
        <v>213</v>
      </c>
      <c r="F189" s="37" t="s">
        <v>54</v>
      </c>
      <c r="G189" s="29" t="b">
        <v>1</v>
      </c>
      <c r="H189" s="36" t="s">
        <v>214</v>
      </c>
      <c r="I189" s="36" t="s">
        <v>215</v>
      </c>
      <c r="J189" s="29"/>
      <c r="K189" s="138"/>
      <c r="L189" s="37" t="s">
        <v>194</v>
      </c>
      <c r="M189" s="37" t="s">
        <v>194</v>
      </c>
      <c r="N189" s="37" t="s">
        <v>194</v>
      </c>
      <c r="O189" s="37" t="s">
        <v>194</v>
      </c>
      <c r="P189" s="37" t="s">
        <v>1874</v>
      </c>
      <c r="Q189" s="37" t="s">
        <v>1875</v>
      </c>
      <c r="R189" s="41">
        <v>46264.0</v>
      </c>
      <c r="S189" s="42">
        <v>1.0</v>
      </c>
      <c r="T189" s="44"/>
      <c r="U189" s="45" t="str">
        <f>IF(records[Type]="Room",records[roomNo],records[roomNo]&amp;"-"&amp;SUBSTITUTE(RIGHT(records[roomNo]&amp;records[Type],2),"-",""))</f>
        <v>10-1-032</v>
      </c>
      <c r="V189" s="47" t="str">
        <f t="array" ref="V189">_xlfn.XLOOKUP(records[ID], dAir[roomNo], dAir[roomName])</f>
        <v>BULK STAGING 2</v>
      </c>
      <c r="W189" s="47" t="str">
        <f t="array" ref="W189">_xlfn.XLOOKUP(records[ID], dAir[roomNo], dAir[building])</f>
        <v>Building 10</v>
      </c>
      <c r="X189" s="47" t="str">
        <f t="array" ref="X189">_xlfn.XLOOKUP(records[ID], dAir[roomNo], dAir[floor])</f>
        <v>Floor 1</v>
      </c>
      <c r="Y189" s="45" t="str">
        <f t="array" ref="Y189">_xlfn.XLOOKUP(records[ID], dAir[roomNo], dAir[Class])</f>
        <v>D</v>
      </c>
      <c r="Z189" s="45">
        <f t="array" ref="Z189">_xlfn.XLOOKUP(records[Method]&amp;"-"&amp;records[Class], dAirSpec[ID], dAirSpec[Spec])</f>
        <v>100</v>
      </c>
      <c r="AA189" s="45" t="str">
        <f t="array" ref="AA189">_xlfn.XLOOKUP(records[Method]&amp;"-"&amp;records[Class], dAirSpec[ID], dAirSpec[Unit])</f>
        <v>cfu/plate</v>
      </c>
      <c r="AB189" s="58">
        <f t="array" ref="AB189">if(S189="","", if(records[Method]="Active Air",_xlfn.xlookup(records[ColonyCount]&amp;records[AirSampler],feller[code],feller[Vc]),records[ColonyCount]))</f>
        <v>1</v>
      </c>
      <c r="AC189" s="60" t="b">
        <f t="shared" si="1"/>
        <v>1</v>
      </c>
      <c r="AD189" s="61" t="b">
        <v>0</v>
      </c>
      <c r="AE189" s="32" t="s">
        <v>235</v>
      </c>
      <c r="AF189" s="46"/>
      <c r="AG189" s="46"/>
      <c r="AH189" s="46"/>
      <c r="AI189" s="46"/>
      <c r="AJ189" s="46"/>
    </row>
    <row r="190" ht="22.5" customHeight="1">
      <c r="A190" s="27">
        <v>46211.0</v>
      </c>
      <c r="B190" s="34" t="str">
        <f t="array" ref="B190">TEXT(A190, "MM-YYYY")</f>
        <v>07-2026</v>
      </c>
      <c r="C190" s="32" t="s">
        <v>313</v>
      </c>
      <c r="D190" s="21" t="s">
        <v>210</v>
      </c>
      <c r="E190" s="36" t="s">
        <v>213</v>
      </c>
      <c r="F190" s="37" t="s">
        <v>54</v>
      </c>
      <c r="G190" s="29" t="b">
        <v>1</v>
      </c>
      <c r="H190" s="36" t="s">
        <v>214</v>
      </c>
      <c r="I190" s="36" t="s">
        <v>215</v>
      </c>
      <c r="J190" s="29"/>
      <c r="K190" s="138"/>
      <c r="L190" s="37" t="s">
        <v>194</v>
      </c>
      <c r="M190" s="37" t="s">
        <v>194</v>
      </c>
      <c r="N190" s="37" t="s">
        <v>194</v>
      </c>
      <c r="O190" s="37" t="s">
        <v>194</v>
      </c>
      <c r="P190" s="37" t="s">
        <v>1874</v>
      </c>
      <c r="Q190" s="37" t="s">
        <v>1875</v>
      </c>
      <c r="R190" s="41">
        <v>46264.0</v>
      </c>
      <c r="S190" s="42">
        <v>14.0</v>
      </c>
      <c r="T190" s="44"/>
      <c r="U190" s="45" t="str">
        <f>IF(records[Type]="Room",records[roomNo],records[roomNo]&amp;"-"&amp;SUBSTITUTE(RIGHT(records[roomNo]&amp;records[Type],2),"-",""))</f>
        <v>10-1-033</v>
      </c>
      <c r="V190" s="47" t="str">
        <f t="array" ref="V190">_xlfn.XLOOKUP(records[ID], dAir[roomNo], dAir[roomName])</f>
        <v>JANITOR</v>
      </c>
      <c r="W190" s="47" t="str">
        <f t="array" ref="W190">_xlfn.XLOOKUP(records[ID], dAir[roomNo], dAir[building])</f>
        <v>Building 10</v>
      </c>
      <c r="X190" s="47" t="str">
        <f t="array" ref="X190">_xlfn.XLOOKUP(records[ID], dAir[roomNo], dAir[floor])</f>
        <v>Floor 1</v>
      </c>
      <c r="Y190" s="45" t="str">
        <f t="array" ref="Y190">_xlfn.XLOOKUP(records[ID], dAir[roomNo], dAir[Class])</f>
        <v>D</v>
      </c>
      <c r="Z190" s="45">
        <f t="array" ref="Z190">_xlfn.XLOOKUP(records[Method]&amp;"-"&amp;records[Class], dAirSpec[ID], dAirSpec[Spec])</f>
        <v>100</v>
      </c>
      <c r="AA190" s="45" t="str">
        <f t="array" ref="AA190">_xlfn.XLOOKUP(records[Method]&amp;"-"&amp;records[Class], dAirSpec[ID], dAirSpec[Unit])</f>
        <v>cfu/plate</v>
      </c>
      <c r="AB190" s="58">
        <f t="array" ref="AB190">if(S190="","", if(records[Method]="Active Air",_xlfn.xlookup(records[ColonyCount]&amp;records[AirSampler],feller[code],feller[Vc]),records[ColonyCount]))</f>
        <v>14</v>
      </c>
      <c r="AC190" s="60" t="b">
        <f t="shared" si="1"/>
        <v>1</v>
      </c>
      <c r="AD190" s="61" t="b">
        <v>0</v>
      </c>
      <c r="AE190" s="32" t="s">
        <v>235</v>
      </c>
      <c r="AF190" s="46"/>
      <c r="AG190" s="46"/>
      <c r="AH190" s="46"/>
      <c r="AI190" s="46"/>
      <c r="AJ190" s="46"/>
    </row>
    <row r="191" ht="22.5" customHeight="1">
      <c r="A191" s="27">
        <v>46211.0</v>
      </c>
      <c r="B191" s="34" t="str">
        <f t="array" ref="B191">TEXT(A191, "MM-YYYY")</f>
        <v>07-2026</v>
      </c>
      <c r="C191" s="32" t="s">
        <v>329</v>
      </c>
      <c r="D191" s="21" t="s">
        <v>210</v>
      </c>
      <c r="E191" s="36" t="s">
        <v>213</v>
      </c>
      <c r="F191" s="37" t="s">
        <v>54</v>
      </c>
      <c r="G191" s="29" t="b">
        <v>1</v>
      </c>
      <c r="H191" s="36" t="s">
        <v>214</v>
      </c>
      <c r="I191" s="36" t="s">
        <v>215</v>
      </c>
      <c r="J191" s="29"/>
      <c r="K191" s="138"/>
      <c r="L191" s="37" t="s">
        <v>194</v>
      </c>
      <c r="M191" s="37" t="s">
        <v>194</v>
      </c>
      <c r="N191" s="37" t="s">
        <v>194</v>
      </c>
      <c r="O191" s="37" t="s">
        <v>194</v>
      </c>
      <c r="P191" s="37" t="s">
        <v>1874</v>
      </c>
      <c r="Q191" s="37" t="s">
        <v>1875</v>
      </c>
      <c r="R191" s="41">
        <v>46264.0</v>
      </c>
      <c r="S191" s="42">
        <v>1.0</v>
      </c>
      <c r="T191" s="44"/>
      <c r="U191" s="45" t="str">
        <f>IF(records[Type]="Room",records[roomNo],records[roomNo]&amp;"-"&amp;SUBSTITUTE(RIGHT(records[roomNo]&amp;records[Type],2),"-",""))</f>
        <v>10-1-034</v>
      </c>
      <c r="V191" s="47" t="str">
        <f t="array" ref="V191">_xlfn.XLOOKUP(records[ID], dAir[roomNo], dAir[roomName])</f>
        <v>LINEN DRY</v>
      </c>
      <c r="W191" s="47" t="str">
        <f t="array" ref="W191">_xlfn.XLOOKUP(records[ID], dAir[roomNo], dAir[building])</f>
        <v>Building 10</v>
      </c>
      <c r="X191" s="47" t="str">
        <f t="array" ref="X191">_xlfn.XLOOKUP(records[ID], dAir[roomNo], dAir[floor])</f>
        <v>Floor 1</v>
      </c>
      <c r="Y191" s="45" t="str">
        <f t="array" ref="Y191">_xlfn.XLOOKUP(records[ID], dAir[roomNo], dAir[Class])</f>
        <v>D</v>
      </c>
      <c r="Z191" s="45">
        <f t="array" ref="Z191">_xlfn.XLOOKUP(records[Method]&amp;"-"&amp;records[Class], dAirSpec[ID], dAirSpec[Spec])</f>
        <v>100</v>
      </c>
      <c r="AA191" s="45" t="str">
        <f t="array" ref="AA191">_xlfn.XLOOKUP(records[Method]&amp;"-"&amp;records[Class], dAirSpec[ID], dAirSpec[Unit])</f>
        <v>cfu/plate</v>
      </c>
      <c r="AB191" s="58">
        <f t="array" ref="AB191">if(S191="","", if(records[Method]="Active Air",_xlfn.xlookup(records[ColonyCount]&amp;records[AirSampler],feller[code],feller[Vc]),records[ColonyCount]))</f>
        <v>1</v>
      </c>
      <c r="AC191" s="60" t="b">
        <f t="shared" si="1"/>
        <v>1</v>
      </c>
      <c r="AD191" s="61" t="b">
        <v>0</v>
      </c>
      <c r="AE191" s="32" t="s">
        <v>235</v>
      </c>
      <c r="AF191" s="46"/>
      <c r="AG191" s="46"/>
      <c r="AH191" s="46"/>
      <c r="AI191" s="46"/>
      <c r="AJ191" s="46"/>
    </row>
    <row r="192" ht="22.5" customHeight="1">
      <c r="A192" s="27">
        <v>46211.0</v>
      </c>
      <c r="B192" s="34" t="str">
        <f t="array" ref="B192">TEXT(A192, "MM-YYYY")</f>
        <v>07-2026</v>
      </c>
      <c r="C192" s="32" t="s">
        <v>338</v>
      </c>
      <c r="D192" s="21" t="s">
        <v>210</v>
      </c>
      <c r="E192" s="36" t="s">
        <v>213</v>
      </c>
      <c r="F192" s="37" t="s">
        <v>54</v>
      </c>
      <c r="G192" s="29" t="b">
        <v>1</v>
      </c>
      <c r="H192" s="36" t="s">
        <v>214</v>
      </c>
      <c r="I192" s="36" t="s">
        <v>215</v>
      </c>
      <c r="J192" s="29"/>
      <c r="K192" s="138"/>
      <c r="L192" s="37" t="s">
        <v>194</v>
      </c>
      <c r="M192" s="37" t="s">
        <v>194</v>
      </c>
      <c r="N192" s="37" t="s">
        <v>194</v>
      </c>
      <c r="O192" s="37" t="s">
        <v>194</v>
      </c>
      <c r="P192" s="37" t="s">
        <v>1874</v>
      </c>
      <c r="Q192" s="37" t="s">
        <v>1875</v>
      </c>
      <c r="R192" s="41">
        <v>46264.0</v>
      </c>
      <c r="S192" s="42">
        <v>15.0</v>
      </c>
      <c r="T192" s="44"/>
      <c r="U192" s="45" t="str">
        <f>IF(records[Type]="Room",records[roomNo],records[roomNo]&amp;"-"&amp;SUBSTITUTE(RIGHT(records[roomNo]&amp;records[Type],2),"-",""))</f>
        <v>10-1-035</v>
      </c>
      <c r="V192" s="47" t="str">
        <f t="array" ref="V192">_xlfn.XLOOKUP(records[ID], dAir[roomNo], dAir[roomName])</f>
        <v>LINEN WASHING</v>
      </c>
      <c r="W192" s="47" t="str">
        <f t="array" ref="W192">_xlfn.XLOOKUP(records[ID], dAir[roomNo], dAir[building])</f>
        <v>Building 10</v>
      </c>
      <c r="X192" s="47" t="str">
        <f t="array" ref="X192">_xlfn.XLOOKUP(records[ID], dAir[roomNo], dAir[floor])</f>
        <v>Floor 1</v>
      </c>
      <c r="Y192" s="45" t="str">
        <f t="array" ref="Y192">_xlfn.XLOOKUP(records[ID], dAir[roomNo], dAir[Class])</f>
        <v>D</v>
      </c>
      <c r="Z192" s="45">
        <f t="array" ref="Z192">_xlfn.XLOOKUP(records[Method]&amp;"-"&amp;records[Class], dAirSpec[ID], dAirSpec[Spec])</f>
        <v>100</v>
      </c>
      <c r="AA192" s="45" t="str">
        <f t="array" ref="AA192">_xlfn.XLOOKUP(records[Method]&amp;"-"&amp;records[Class], dAirSpec[ID], dAirSpec[Unit])</f>
        <v>cfu/plate</v>
      </c>
      <c r="AB192" s="58">
        <f t="array" ref="AB192">if(S192="","", if(records[Method]="Active Air",_xlfn.xlookup(records[ColonyCount]&amp;records[AirSampler],feller[code],feller[Vc]),records[ColonyCount]))</f>
        <v>15</v>
      </c>
      <c r="AC192" s="60" t="b">
        <f t="shared" si="1"/>
        <v>1</v>
      </c>
      <c r="AD192" s="61" t="b">
        <v>0</v>
      </c>
      <c r="AE192" s="32" t="s">
        <v>235</v>
      </c>
      <c r="AF192" s="46"/>
      <c r="AG192" s="46"/>
      <c r="AH192" s="46"/>
      <c r="AI192" s="46"/>
      <c r="AJ192" s="46"/>
    </row>
    <row r="193" ht="22.5" customHeight="1">
      <c r="A193" s="27">
        <v>46211.0</v>
      </c>
      <c r="B193" s="34" t="str">
        <f t="array" ref="B193">TEXT(A193, "MM-YYYY")</f>
        <v>07-2026</v>
      </c>
      <c r="C193" s="32" t="s">
        <v>352</v>
      </c>
      <c r="D193" s="21" t="s">
        <v>210</v>
      </c>
      <c r="E193" s="36" t="s">
        <v>213</v>
      </c>
      <c r="F193" s="37" t="s">
        <v>54</v>
      </c>
      <c r="G193" s="29" t="b">
        <v>1</v>
      </c>
      <c r="H193" s="36" t="s">
        <v>214</v>
      </c>
      <c r="I193" s="36" t="s">
        <v>215</v>
      </c>
      <c r="J193" s="29"/>
      <c r="K193" s="138"/>
      <c r="L193" s="37" t="s">
        <v>194</v>
      </c>
      <c r="M193" s="37" t="s">
        <v>194</v>
      </c>
      <c r="N193" s="37" t="s">
        <v>194</v>
      </c>
      <c r="O193" s="37" t="s">
        <v>194</v>
      </c>
      <c r="P193" s="37" t="s">
        <v>1874</v>
      </c>
      <c r="Q193" s="37" t="s">
        <v>1875</v>
      </c>
      <c r="R193" s="41">
        <v>46264.0</v>
      </c>
      <c r="S193" s="42">
        <v>3.0</v>
      </c>
      <c r="T193" s="44"/>
      <c r="U193" s="45" t="str">
        <f>IF(records[Type]="Room",records[roomNo],records[roomNo]&amp;"-"&amp;SUBSTITUTE(RIGHT(records[roomNo]&amp;records[Type],2),"-",""))</f>
        <v>10-1-036</v>
      </c>
      <c r="V193" s="47" t="str">
        <f t="array" ref="V193">_xlfn.XLOOKUP(records[ID], dAir[roomNo], dAir[roomName])</f>
        <v>CORRIDOR</v>
      </c>
      <c r="W193" s="47" t="str">
        <f t="array" ref="W193">_xlfn.XLOOKUP(records[ID], dAir[roomNo], dAir[building])</f>
        <v>Building 10</v>
      </c>
      <c r="X193" s="47" t="str">
        <f t="array" ref="X193">_xlfn.XLOOKUP(records[ID], dAir[roomNo], dAir[floor])</f>
        <v>Floor 1</v>
      </c>
      <c r="Y193" s="45" t="str">
        <f t="array" ref="Y193">_xlfn.XLOOKUP(records[ID], dAir[roomNo], dAir[Class])</f>
        <v>D</v>
      </c>
      <c r="Z193" s="45">
        <f t="array" ref="Z193">_xlfn.XLOOKUP(records[Method]&amp;"-"&amp;records[Class], dAirSpec[ID], dAirSpec[Spec])</f>
        <v>100</v>
      </c>
      <c r="AA193" s="45" t="str">
        <f t="array" ref="AA193">_xlfn.XLOOKUP(records[Method]&amp;"-"&amp;records[Class], dAirSpec[ID], dAirSpec[Unit])</f>
        <v>cfu/plate</v>
      </c>
      <c r="AB193" s="58">
        <f t="array" ref="AB193">if(S193="","", if(records[Method]="Active Air",_xlfn.xlookup(records[ColonyCount]&amp;records[AirSampler],feller[code],feller[Vc]),records[ColonyCount]))</f>
        <v>3</v>
      </c>
      <c r="AC193" s="60" t="b">
        <f t="shared" si="1"/>
        <v>1</v>
      </c>
      <c r="AD193" s="61" t="b">
        <v>0</v>
      </c>
      <c r="AE193" s="32" t="s">
        <v>235</v>
      </c>
      <c r="AF193" s="46"/>
      <c r="AG193" s="46"/>
      <c r="AH193" s="46"/>
      <c r="AI193" s="46"/>
      <c r="AJ193" s="46"/>
    </row>
    <row r="194" ht="22.5" customHeight="1">
      <c r="A194" s="27">
        <v>46211.0</v>
      </c>
      <c r="B194" s="34" t="str">
        <f t="array" ref="B194">TEXT(A194, "MM-YYYY")</f>
        <v>07-2026</v>
      </c>
      <c r="C194" s="32" t="s">
        <v>364</v>
      </c>
      <c r="D194" s="21" t="s">
        <v>210</v>
      </c>
      <c r="E194" s="36" t="s">
        <v>213</v>
      </c>
      <c r="F194" s="37" t="s">
        <v>54</v>
      </c>
      <c r="G194" s="29" t="b">
        <v>1</v>
      </c>
      <c r="H194" s="36" t="s">
        <v>214</v>
      </c>
      <c r="I194" s="36" t="s">
        <v>215</v>
      </c>
      <c r="J194" s="29"/>
      <c r="K194" s="138"/>
      <c r="L194" s="37" t="s">
        <v>194</v>
      </c>
      <c r="M194" s="37" t="s">
        <v>194</v>
      </c>
      <c r="N194" s="37" t="s">
        <v>194</v>
      </c>
      <c r="O194" s="37" t="s">
        <v>194</v>
      </c>
      <c r="P194" s="37" t="s">
        <v>1874</v>
      </c>
      <c r="Q194" s="37" t="s">
        <v>1875</v>
      </c>
      <c r="R194" s="41">
        <v>46264.0</v>
      </c>
      <c r="S194" s="42">
        <v>65.0</v>
      </c>
      <c r="T194" s="44"/>
      <c r="U194" s="45" t="str">
        <f>IF(records[Type]="Room",records[roomNo],records[roomNo]&amp;"-"&amp;SUBSTITUTE(RIGHT(records[roomNo]&amp;records[Type],2),"-",""))</f>
        <v>10-1-037</v>
      </c>
      <c r="V194" s="47" t="str">
        <f t="array" ref="V194">_xlfn.XLOOKUP(records[ID], dAir[roomNo], dAir[roomName])</f>
        <v>PROCESS CHANGE</v>
      </c>
      <c r="W194" s="47" t="str">
        <f t="array" ref="W194">_xlfn.XLOOKUP(records[ID], dAir[roomNo], dAir[building])</f>
        <v>Building 10</v>
      </c>
      <c r="X194" s="47" t="str">
        <f t="array" ref="X194">_xlfn.XLOOKUP(records[ID], dAir[roomNo], dAir[floor])</f>
        <v>Floor 1</v>
      </c>
      <c r="Y194" s="45" t="str">
        <f t="array" ref="Y194">_xlfn.XLOOKUP(records[ID], dAir[roomNo], dAir[Class])</f>
        <v>D</v>
      </c>
      <c r="Z194" s="45">
        <f t="array" ref="Z194">_xlfn.XLOOKUP(records[Method]&amp;"-"&amp;records[Class], dAirSpec[ID], dAirSpec[Spec])</f>
        <v>100</v>
      </c>
      <c r="AA194" s="45" t="str">
        <f t="array" ref="AA194">_xlfn.XLOOKUP(records[Method]&amp;"-"&amp;records[Class], dAirSpec[ID], dAirSpec[Unit])</f>
        <v>cfu/plate</v>
      </c>
      <c r="AB194" s="58">
        <f t="array" ref="AB194">if(S194="","", if(records[Method]="Active Air",_xlfn.xlookup(records[ColonyCount]&amp;records[AirSampler],feller[code],feller[Vc]),records[ColonyCount]))</f>
        <v>65</v>
      </c>
      <c r="AC194" s="60" t="b">
        <f t="shared" si="1"/>
        <v>1</v>
      </c>
      <c r="AD194" s="61" t="b">
        <v>0</v>
      </c>
      <c r="AE194" s="32" t="s">
        <v>235</v>
      </c>
      <c r="AF194" s="46"/>
      <c r="AG194" s="46"/>
      <c r="AH194" s="46"/>
      <c r="AI194" s="46"/>
      <c r="AJ194" s="46"/>
    </row>
    <row r="195" ht="22.5" customHeight="1">
      <c r="A195" s="27">
        <v>46211.0</v>
      </c>
      <c r="B195" s="34" t="str">
        <f t="array" ref="B195">TEXT(A195, "MM-YYYY")</f>
        <v>07-2026</v>
      </c>
      <c r="C195" s="32" t="s">
        <v>375</v>
      </c>
      <c r="D195" s="21" t="s">
        <v>210</v>
      </c>
      <c r="E195" s="36" t="s">
        <v>213</v>
      </c>
      <c r="F195" s="37" t="s">
        <v>54</v>
      </c>
      <c r="G195" s="29" t="b">
        <v>1</v>
      </c>
      <c r="H195" s="36" t="s">
        <v>214</v>
      </c>
      <c r="I195" s="36" t="s">
        <v>215</v>
      </c>
      <c r="J195" s="29"/>
      <c r="K195" s="138"/>
      <c r="L195" s="37" t="s">
        <v>194</v>
      </c>
      <c r="M195" s="37" t="s">
        <v>194</v>
      </c>
      <c r="N195" s="37" t="s">
        <v>194</v>
      </c>
      <c r="O195" s="37" t="s">
        <v>194</v>
      </c>
      <c r="P195" s="37" t="s">
        <v>1874</v>
      </c>
      <c r="Q195" s="37" t="s">
        <v>1875</v>
      </c>
      <c r="R195" s="41">
        <v>46264.0</v>
      </c>
      <c r="S195" s="42">
        <v>23.0</v>
      </c>
      <c r="T195" s="44"/>
      <c r="U195" s="45" t="str">
        <f>IF(records[Type]="Room",records[roomNo],records[roomNo]&amp;"-"&amp;SUBSTITUTE(RIGHT(records[roomNo]&amp;records[Type],2),"-",""))</f>
        <v>10-1-039</v>
      </c>
      <c r="V195" s="47" t="str">
        <f t="array" ref="V195">_xlfn.XLOOKUP(records[ID], dAir[roomNo], dAir[roomName])</f>
        <v>VISITOR PROCESS CHANGE</v>
      </c>
      <c r="W195" s="47" t="str">
        <f t="array" ref="W195">_xlfn.XLOOKUP(records[ID], dAir[roomNo], dAir[building])</f>
        <v>Building 10</v>
      </c>
      <c r="X195" s="47" t="str">
        <f t="array" ref="X195">_xlfn.XLOOKUP(records[ID], dAir[roomNo], dAir[floor])</f>
        <v>Floor 1</v>
      </c>
      <c r="Y195" s="45" t="str">
        <f t="array" ref="Y195">_xlfn.XLOOKUP(records[ID], dAir[roomNo], dAir[Class])</f>
        <v>D</v>
      </c>
      <c r="Z195" s="45">
        <f t="array" ref="Z195">_xlfn.XLOOKUP(records[Method]&amp;"-"&amp;records[Class], dAirSpec[ID], dAirSpec[Spec])</f>
        <v>100</v>
      </c>
      <c r="AA195" s="45" t="str">
        <f t="array" ref="AA195">_xlfn.XLOOKUP(records[Method]&amp;"-"&amp;records[Class], dAirSpec[ID], dAirSpec[Unit])</f>
        <v>cfu/plate</v>
      </c>
      <c r="AB195" s="58">
        <f t="array" ref="AB195">if(S195="","", if(records[Method]="Active Air",_xlfn.xlookup(records[ColonyCount]&amp;records[AirSampler],feller[code],feller[Vc]),records[ColonyCount]))</f>
        <v>23</v>
      </c>
      <c r="AC195" s="60" t="b">
        <f t="shared" si="1"/>
        <v>1</v>
      </c>
      <c r="AD195" s="61" t="b">
        <v>0</v>
      </c>
      <c r="AE195" s="32" t="s">
        <v>235</v>
      </c>
      <c r="AF195" s="46"/>
      <c r="AG195" s="46"/>
      <c r="AH195" s="46"/>
      <c r="AI195" s="46"/>
      <c r="AJ195" s="46"/>
    </row>
    <row r="196" ht="22.5" customHeight="1">
      <c r="A196" s="27">
        <v>46211.0</v>
      </c>
      <c r="B196" s="34" t="str">
        <f t="array" ref="B196">TEXT(A196, "MM-YYYY")</f>
        <v>07-2026</v>
      </c>
      <c r="C196" s="32" t="s">
        <v>388</v>
      </c>
      <c r="D196" s="21" t="s">
        <v>210</v>
      </c>
      <c r="E196" s="36" t="s">
        <v>213</v>
      </c>
      <c r="F196" s="37" t="s">
        <v>54</v>
      </c>
      <c r="G196" s="29" t="b">
        <v>1</v>
      </c>
      <c r="H196" s="36" t="s">
        <v>214</v>
      </c>
      <c r="I196" s="36" t="s">
        <v>215</v>
      </c>
      <c r="J196" s="29"/>
      <c r="K196" s="138"/>
      <c r="L196" s="37" t="s">
        <v>194</v>
      </c>
      <c r="M196" s="37" t="s">
        <v>194</v>
      </c>
      <c r="N196" s="37" t="s">
        <v>194</v>
      </c>
      <c r="O196" s="37" t="s">
        <v>194</v>
      </c>
      <c r="P196" s="37" t="s">
        <v>1874</v>
      </c>
      <c r="Q196" s="37" t="s">
        <v>1875</v>
      </c>
      <c r="R196" s="41">
        <v>46264.0</v>
      </c>
      <c r="S196" s="42">
        <v>5.0</v>
      </c>
      <c r="T196" s="44"/>
      <c r="U196" s="45" t="str">
        <f>IF(records[Type]="Room",records[roomNo],records[roomNo]&amp;"-"&amp;SUBSTITUTE(RIGHT(records[roomNo]&amp;records[Type],2),"-",""))</f>
        <v>10-1-040</v>
      </c>
      <c r="V196" s="47" t="str">
        <f t="array" ref="V196">_xlfn.XLOOKUP(records[ID], dAir[roomNo], dAir[roomName])</f>
        <v>IPQC</v>
      </c>
      <c r="W196" s="47" t="str">
        <f t="array" ref="W196">_xlfn.XLOOKUP(records[ID], dAir[roomNo], dAir[building])</f>
        <v>Building 10</v>
      </c>
      <c r="X196" s="47" t="str">
        <f t="array" ref="X196">_xlfn.XLOOKUP(records[ID], dAir[roomNo], dAir[floor])</f>
        <v>Floor 1</v>
      </c>
      <c r="Y196" s="45" t="str">
        <f t="array" ref="Y196">_xlfn.XLOOKUP(records[ID], dAir[roomNo], dAir[Class])</f>
        <v>D</v>
      </c>
      <c r="Z196" s="45">
        <f t="array" ref="Z196">_xlfn.XLOOKUP(records[Method]&amp;"-"&amp;records[Class], dAirSpec[ID], dAirSpec[Spec])</f>
        <v>100</v>
      </c>
      <c r="AA196" s="45" t="str">
        <f t="array" ref="AA196">_xlfn.XLOOKUP(records[Method]&amp;"-"&amp;records[Class], dAirSpec[ID], dAirSpec[Unit])</f>
        <v>cfu/plate</v>
      </c>
      <c r="AB196" s="58">
        <f t="array" ref="AB196">if(S196="","", if(records[Method]="Active Air",_xlfn.xlookup(records[ColonyCount]&amp;records[AirSampler],feller[code],feller[Vc]),records[ColonyCount]))</f>
        <v>5</v>
      </c>
      <c r="AC196" s="60" t="b">
        <f t="shared" si="1"/>
        <v>1</v>
      </c>
      <c r="AD196" s="61" t="b">
        <v>0</v>
      </c>
      <c r="AE196" s="32" t="s">
        <v>235</v>
      </c>
      <c r="AF196" s="46"/>
      <c r="AG196" s="46"/>
      <c r="AH196" s="46"/>
      <c r="AI196" s="46"/>
      <c r="AJ196" s="46"/>
    </row>
    <row r="197" ht="22.5" customHeight="1">
      <c r="A197" s="27">
        <v>46211.0</v>
      </c>
      <c r="B197" s="34" t="str">
        <f t="array" ref="B197">TEXT(A197, "MM-YYYY")</f>
        <v>07-2026</v>
      </c>
      <c r="C197" s="32" t="s">
        <v>398</v>
      </c>
      <c r="D197" s="21" t="s">
        <v>210</v>
      </c>
      <c r="E197" s="36" t="s">
        <v>213</v>
      </c>
      <c r="F197" s="37" t="s">
        <v>54</v>
      </c>
      <c r="G197" s="29" t="b">
        <v>1</v>
      </c>
      <c r="H197" s="36" t="s">
        <v>214</v>
      </c>
      <c r="I197" s="36" t="s">
        <v>215</v>
      </c>
      <c r="J197" s="29"/>
      <c r="K197" s="138"/>
      <c r="L197" s="37" t="s">
        <v>194</v>
      </c>
      <c r="M197" s="37" t="s">
        <v>194</v>
      </c>
      <c r="N197" s="37" t="s">
        <v>194</v>
      </c>
      <c r="O197" s="37" t="s">
        <v>194</v>
      </c>
      <c r="P197" s="37" t="s">
        <v>1874</v>
      </c>
      <c r="Q197" s="37" t="s">
        <v>1875</v>
      </c>
      <c r="R197" s="41">
        <v>46264.0</v>
      </c>
      <c r="S197" s="42">
        <v>6.0</v>
      </c>
      <c r="T197" s="44"/>
      <c r="U197" s="45" t="str">
        <f>IF(records[Type]="Room",records[roomNo],records[roomNo]&amp;"-"&amp;SUBSTITUTE(RIGHT(records[roomNo]&amp;records[Type],2),"-",""))</f>
        <v>10-1-041</v>
      </c>
      <c r="V197" s="47" t="str">
        <f t="array" ref="V197">_xlfn.XLOOKUP(records[ID], dAir[roomNo], dAir[roomName])</f>
        <v>SCRAP OUT</v>
      </c>
      <c r="W197" s="47" t="str">
        <f t="array" ref="W197">_xlfn.XLOOKUP(records[ID], dAir[roomNo], dAir[building])</f>
        <v>Building 10</v>
      </c>
      <c r="X197" s="47" t="str">
        <f t="array" ref="X197">_xlfn.XLOOKUP(records[ID], dAir[roomNo], dAir[floor])</f>
        <v>Floor 1</v>
      </c>
      <c r="Y197" s="45" t="str">
        <f t="array" ref="Y197">_xlfn.XLOOKUP(records[ID], dAir[roomNo], dAir[Class])</f>
        <v>D</v>
      </c>
      <c r="Z197" s="45">
        <f t="array" ref="Z197">_xlfn.XLOOKUP(records[Method]&amp;"-"&amp;records[Class], dAirSpec[ID], dAirSpec[Spec])</f>
        <v>100</v>
      </c>
      <c r="AA197" s="45" t="str">
        <f t="array" ref="AA197">_xlfn.XLOOKUP(records[Method]&amp;"-"&amp;records[Class], dAirSpec[ID], dAirSpec[Unit])</f>
        <v>cfu/plate</v>
      </c>
      <c r="AB197" s="58">
        <f t="array" ref="AB197">if(S197="","", if(records[Method]="Active Air",_xlfn.xlookup(records[ColonyCount]&amp;records[AirSampler],feller[code],feller[Vc]),records[ColonyCount]))</f>
        <v>6</v>
      </c>
      <c r="AC197" s="60" t="b">
        <f t="shared" si="1"/>
        <v>1</v>
      </c>
      <c r="AD197" s="61" t="b">
        <v>0</v>
      </c>
      <c r="AE197" s="32" t="s">
        <v>235</v>
      </c>
      <c r="AF197" s="46"/>
      <c r="AG197" s="46"/>
      <c r="AH197" s="46"/>
      <c r="AI197" s="46"/>
      <c r="AJ197" s="46"/>
    </row>
    <row r="198" ht="22.5" customHeight="1">
      <c r="A198" s="27">
        <v>46211.0</v>
      </c>
      <c r="B198" s="34" t="str">
        <f t="array" ref="B198">TEXT(A198, "MM-YYYY")</f>
        <v>07-2026</v>
      </c>
      <c r="C198" s="32" t="s">
        <v>406</v>
      </c>
      <c r="D198" s="21" t="s">
        <v>210</v>
      </c>
      <c r="E198" s="36" t="s">
        <v>213</v>
      </c>
      <c r="F198" s="37" t="s">
        <v>54</v>
      </c>
      <c r="G198" s="29" t="b">
        <v>1</v>
      </c>
      <c r="H198" s="36" t="s">
        <v>214</v>
      </c>
      <c r="I198" s="36" t="s">
        <v>215</v>
      </c>
      <c r="J198" s="29"/>
      <c r="K198" s="138"/>
      <c r="L198" s="37" t="s">
        <v>194</v>
      </c>
      <c r="M198" s="37" t="s">
        <v>194</v>
      </c>
      <c r="N198" s="37" t="s">
        <v>194</v>
      </c>
      <c r="O198" s="37" t="s">
        <v>194</v>
      </c>
      <c r="P198" s="37" t="s">
        <v>1874</v>
      </c>
      <c r="Q198" s="37" t="s">
        <v>1875</v>
      </c>
      <c r="R198" s="41">
        <v>46264.0</v>
      </c>
      <c r="S198" s="42">
        <v>0.0</v>
      </c>
      <c r="T198" s="44"/>
      <c r="U198" s="45" t="str">
        <f>IF(records[Type]="Room",records[roomNo],records[roomNo]&amp;"-"&amp;SUBSTITUTE(RIGHT(records[roomNo]&amp;records[Type],2),"-",""))</f>
        <v>10-1-042</v>
      </c>
      <c r="V198" s="47" t="str">
        <f t="array" ref="V198">_xlfn.XLOOKUP(records[ID], dAir[roomNo], dAir[roomName])</f>
        <v>OFFICE</v>
      </c>
      <c r="W198" s="47" t="str">
        <f t="array" ref="W198">_xlfn.XLOOKUP(records[ID], dAir[roomNo], dAir[building])</f>
        <v>Building 10</v>
      </c>
      <c r="X198" s="47" t="str">
        <f t="array" ref="X198">_xlfn.XLOOKUP(records[ID], dAir[roomNo], dAir[floor])</f>
        <v>Floor 1</v>
      </c>
      <c r="Y198" s="45" t="str">
        <f t="array" ref="Y198">_xlfn.XLOOKUP(records[ID], dAir[roomNo], dAir[Class])</f>
        <v>D</v>
      </c>
      <c r="Z198" s="45">
        <f t="array" ref="Z198">_xlfn.XLOOKUP(records[Method]&amp;"-"&amp;records[Class], dAirSpec[ID], dAirSpec[Spec])</f>
        <v>100</v>
      </c>
      <c r="AA198" s="45" t="str">
        <f t="array" ref="AA198">_xlfn.XLOOKUP(records[Method]&amp;"-"&amp;records[Class], dAirSpec[ID], dAirSpec[Unit])</f>
        <v>cfu/plate</v>
      </c>
      <c r="AB198" s="58">
        <f t="array" ref="AB198">if(S198="","", if(records[Method]="Active Air",_xlfn.xlookup(records[ColonyCount]&amp;records[AirSampler],feller[code],feller[Vc]),records[ColonyCount]))</f>
        <v>0</v>
      </c>
      <c r="AC198" s="60" t="b">
        <f t="shared" si="1"/>
        <v>1</v>
      </c>
      <c r="AD198" s="61" t="b">
        <v>0</v>
      </c>
      <c r="AE198" s="32" t="s">
        <v>235</v>
      </c>
      <c r="AF198" s="46"/>
      <c r="AG198" s="46"/>
      <c r="AH198" s="46"/>
      <c r="AI198" s="46"/>
      <c r="AJ198" s="46"/>
    </row>
    <row r="199" ht="22.5" customHeight="1">
      <c r="A199" s="27">
        <v>46211.0</v>
      </c>
      <c r="B199" s="34" t="str">
        <f t="array" ref="B199">TEXT(A199, "MM-YYYY")</f>
        <v>07-2026</v>
      </c>
      <c r="C199" s="32" t="s">
        <v>408</v>
      </c>
      <c r="D199" s="21" t="s">
        <v>210</v>
      </c>
      <c r="E199" s="36" t="s">
        <v>213</v>
      </c>
      <c r="F199" s="37" t="s">
        <v>54</v>
      </c>
      <c r="G199" s="29" t="b">
        <v>1</v>
      </c>
      <c r="H199" s="36" t="s">
        <v>214</v>
      </c>
      <c r="I199" s="36" t="s">
        <v>215</v>
      </c>
      <c r="J199" s="29"/>
      <c r="K199" s="138"/>
      <c r="L199" s="37" t="s">
        <v>194</v>
      </c>
      <c r="M199" s="37" t="s">
        <v>194</v>
      </c>
      <c r="N199" s="37" t="s">
        <v>194</v>
      </c>
      <c r="O199" s="37" t="s">
        <v>194</v>
      </c>
      <c r="P199" s="37" t="s">
        <v>1874</v>
      </c>
      <c r="Q199" s="37" t="s">
        <v>1875</v>
      </c>
      <c r="R199" s="41">
        <v>46264.0</v>
      </c>
      <c r="S199" s="42">
        <v>0.0</v>
      </c>
      <c r="T199" s="44"/>
      <c r="U199" s="45" t="str">
        <f>IF(records[Type]="Room",records[roomNo],records[roomNo]&amp;"-"&amp;SUBSTITUTE(RIGHT(records[roomNo]&amp;records[Type],2),"-",""))</f>
        <v>10-1-091</v>
      </c>
      <c r="V199" s="47" t="str">
        <f t="array" ref="V199">_xlfn.XLOOKUP(records[ID], dAir[roomNo], dAir[roomName])</f>
        <v>BOTTLE CLEANING (BOTTLE CLEANING MACHINE)</v>
      </c>
      <c r="W199" s="47" t="str">
        <f t="array" ref="W199">_xlfn.XLOOKUP(records[ID], dAir[roomNo], dAir[building])</f>
        <v>Building 10</v>
      </c>
      <c r="X199" s="47" t="str">
        <f t="array" ref="X199">_xlfn.XLOOKUP(records[ID], dAir[roomNo], dAir[floor])</f>
        <v>Floor 1</v>
      </c>
      <c r="Y199" s="45" t="str">
        <f t="array" ref="Y199">_xlfn.XLOOKUP(records[ID], dAir[roomNo], dAir[Class])</f>
        <v>D</v>
      </c>
      <c r="Z199" s="45">
        <f t="array" ref="Z199">_xlfn.XLOOKUP(records[Method]&amp;"-"&amp;records[Class], dAirSpec[ID], dAirSpec[Spec])</f>
        <v>100</v>
      </c>
      <c r="AA199" s="45" t="str">
        <f t="array" ref="AA199">_xlfn.XLOOKUP(records[Method]&amp;"-"&amp;records[Class], dAirSpec[ID], dAirSpec[Unit])</f>
        <v>cfu/plate</v>
      </c>
      <c r="AB199" s="58">
        <f t="array" ref="AB199">if(S199="","", if(records[Method]="Active Air",_xlfn.xlookup(records[ColonyCount]&amp;records[AirSampler],feller[code],feller[Vc]),records[ColonyCount]))</f>
        <v>0</v>
      </c>
      <c r="AC199" s="60" t="b">
        <f t="shared" si="1"/>
        <v>1</v>
      </c>
      <c r="AD199" s="61" t="b">
        <v>0</v>
      </c>
      <c r="AE199" s="32" t="s">
        <v>235</v>
      </c>
      <c r="AF199" s="46"/>
      <c r="AG199" s="46"/>
      <c r="AH199" s="46"/>
      <c r="AI199" s="46"/>
      <c r="AJ199" s="46"/>
    </row>
    <row r="200" ht="22.5" customHeight="1">
      <c r="A200" s="27">
        <v>46211.0</v>
      </c>
      <c r="B200" s="34" t="str">
        <f t="array" ref="B200">TEXT(A200, "MM-YYYY")</f>
        <v>07-2026</v>
      </c>
      <c r="C200" s="32" t="s">
        <v>400</v>
      </c>
      <c r="D200" s="21" t="s">
        <v>210</v>
      </c>
      <c r="E200" s="36" t="s">
        <v>213</v>
      </c>
      <c r="F200" s="37" t="s">
        <v>54</v>
      </c>
      <c r="G200" s="29" t="b">
        <v>1</v>
      </c>
      <c r="H200" s="36" t="s">
        <v>214</v>
      </c>
      <c r="I200" s="36" t="s">
        <v>215</v>
      </c>
      <c r="J200" s="29"/>
      <c r="K200" s="138"/>
      <c r="L200" s="37" t="s">
        <v>194</v>
      </c>
      <c r="M200" s="37" t="s">
        <v>194</v>
      </c>
      <c r="N200" s="37" t="s">
        <v>194</v>
      </c>
      <c r="O200" s="37" t="s">
        <v>194</v>
      </c>
      <c r="P200" s="37" t="s">
        <v>1874</v>
      </c>
      <c r="Q200" s="37" t="s">
        <v>1875</v>
      </c>
      <c r="R200" s="41">
        <v>46264.0</v>
      </c>
      <c r="S200" s="42">
        <v>0.0</v>
      </c>
      <c r="T200" s="44"/>
      <c r="U200" s="45" t="str">
        <f>IF(records[Type]="Room",records[roomNo],records[roomNo]&amp;"-"&amp;SUBSTITUTE(RIGHT(records[roomNo]&amp;records[Type],2),"-",""))</f>
        <v>10-1-092</v>
      </c>
      <c r="V200" s="47" t="str">
        <f t="array" ref="V200">_xlfn.XLOOKUP(records[ID], dAir[roomNo], dAir[roomName])</f>
        <v>POS FILLING (LOW RH) (BOTTLE FILLING MACHINE)</v>
      </c>
      <c r="W200" s="47" t="str">
        <f t="array" ref="W200">_xlfn.XLOOKUP(records[ID], dAir[roomNo], dAir[building])</f>
        <v>Building 10</v>
      </c>
      <c r="X200" s="47" t="str">
        <f t="array" ref="X200">_xlfn.XLOOKUP(records[ID], dAir[roomNo], dAir[floor])</f>
        <v>Floor 1</v>
      </c>
      <c r="Y200" s="45" t="str">
        <f t="array" ref="Y200">_xlfn.XLOOKUP(records[ID], dAir[roomNo], dAir[Class])</f>
        <v>D</v>
      </c>
      <c r="Z200" s="45">
        <f t="array" ref="Z200">_xlfn.XLOOKUP(records[Method]&amp;"-"&amp;records[Class], dAirSpec[ID], dAirSpec[Spec])</f>
        <v>100</v>
      </c>
      <c r="AA200" s="45" t="str">
        <f t="array" ref="AA200">_xlfn.XLOOKUP(records[Method]&amp;"-"&amp;records[Class], dAirSpec[ID], dAirSpec[Unit])</f>
        <v>cfu/plate</v>
      </c>
      <c r="AB200" s="58">
        <f t="array" ref="AB200">if(S200="","", if(records[Method]="Active Air",_xlfn.xlookup(records[ColonyCount]&amp;records[AirSampler],feller[code],feller[Vc]),records[ColonyCount]))</f>
        <v>0</v>
      </c>
      <c r="AC200" s="60" t="b">
        <f t="shared" si="1"/>
        <v>1</v>
      </c>
      <c r="AD200" s="61" t="b">
        <v>0</v>
      </c>
      <c r="AE200" s="32" t="s">
        <v>235</v>
      </c>
      <c r="AF200" s="46"/>
      <c r="AG200" s="46"/>
      <c r="AH200" s="46"/>
      <c r="AI200" s="46"/>
      <c r="AJ200" s="46"/>
    </row>
    <row r="201" ht="22.5" customHeight="1">
      <c r="A201" s="27">
        <v>46211.0</v>
      </c>
      <c r="B201" s="34" t="str">
        <f t="array" ref="B201">TEXT(A201, "MM-YYYY")</f>
        <v>07-2026</v>
      </c>
      <c r="C201" s="32" t="s">
        <v>308</v>
      </c>
      <c r="D201" s="21" t="s">
        <v>210</v>
      </c>
      <c r="E201" s="36" t="s">
        <v>213</v>
      </c>
      <c r="F201" s="37" t="s">
        <v>54</v>
      </c>
      <c r="G201" s="29" t="b">
        <v>1</v>
      </c>
      <c r="H201" s="36" t="s">
        <v>214</v>
      </c>
      <c r="I201" s="36" t="s">
        <v>215</v>
      </c>
      <c r="J201" s="29"/>
      <c r="K201" s="138"/>
      <c r="L201" s="37" t="s">
        <v>194</v>
      </c>
      <c r="M201" s="37" t="s">
        <v>194</v>
      </c>
      <c r="N201" s="37" t="s">
        <v>194</v>
      </c>
      <c r="O201" s="37" t="s">
        <v>194</v>
      </c>
      <c r="P201" s="37" t="s">
        <v>1874</v>
      </c>
      <c r="Q201" s="37" t="s">
        <v>1875</v>
      </c>
      <c r="R201" s="41">
        <v>46264.0</v>
      </c>
      <c r="S201" s="42">
        <v>0.0</v>
      </c>
      <c r="T201" s="44"/>
      <c r="U201" s="45" t="str">
        <f>IF(records[Type]="Room",records[roomNo],records[roomNo]&amp;"-"&amp;SUBSTITUTE(RIGHT(records[roomNo]&amp;records[Type],2),"-",""))</f>
        <v>10-1-093</v>
      </c>
      <c r="V201" s="47" t="str">
        <f t="array" ref="V201">_xlfn.XLOOKUP(records[ID], dAir[roomNo], dAir[roomName])</f>
        <v>BLISTER PACKING 1 (BLISTER PACKING MACHINE)</v>
      </c>
      <c r="W201" s="47" t="str">
        <f t="array" ref="W201">_xlfn.XLOOKUP(records[ID], dAir[roomNo], dAir[building])</f>
        <v>Building 10</v>
      </c>
      <c r="X201" s="47" t="str">
        <f t="array" ref="X201">_xlfn.XLOOKUP(records[ID], dAir[roomNo], dAir[floor])</f>
        <v>Floor 1</v>
      </c>
      <c r="Y201" s="45" t="str">
        <f t="array" ref="Y201">_xlfn.XLOOKUP(records[ID], dAir[roomNo], dAir[Class])</f>
        <v>D</v>
      </c>
      <c r="Z201" s="45">
        <f t="array" ref="Z201">_xlfn.XLOOKUP(records[Method]&amp;"-"&amp;records[Class], dAirSpec[ID], dAirSpec[Spec])</f>
        <v>100</v>
      </c>
      <c r="AA201" s="45" t="str">
        <f t="array" ref="AA201">_xlfn.XLOOKUP(records[Method]&amp;"-"&amp;records[Class], dAirSpec[ID], dAirSpec[Unit])</f>
        <v>cfu/plate</v>
      </c>
      <c r="AB201" s="58">
        <f t="array" ref="AB201">if(S201="","", if(records[Method]="Active Air",_xlfn.xlookup(records[ColonyCount]&amp;records[AirSampler],feller[code],feller[Vc]),records[ColonyCount]))</f>
        <v>0</v>
      </c>
      <c r="AC201" s="60" t="b">
        <f t="shared" si="1"/>
        <v>1</v>
      </c>
      <c r="AD201" s="61" t="b">
        <v>0</v>
      </c>
      <c r="AE201" s="32" t="s">
        <v>235</v>
      </c>
      <c r="AF201" s="46"/>
      <c r="AG201" s="46"/>
      <c r="AH201" s="46"/>
      <c r="AI201" s="46"/>
      <c r="AJ201" s="46"/>
    </row>
    <row r="202" ht="22.5" customHeight="1">
      <c r="A202" s="27">
        <v>46211.0</v>
      </c>
      <c r="B202" s="34" t="str">
        <f t="array" ref="B202">TEXT(A202, "MM-YYYY")</f>
        <v>07-2026</v>
      </c>
      <c r="C202" s="32" t="s">
        <v>322</v>
      </c>
      <c r="D202" s="21" t="s">
        <v>210</v>
      </c>
      <c r="E202" s="36" t="s">
        <v>213</v>
      </c>
      <c r="F202" s="37" t="s">
        <v>54</v>
      </c>
      <c r="G202" s="29" t="b">
        <v>1</v>
      </c>
      <c r="H202" s="36" t="s">
        <v>214</v>
      </c>
      <c r="I202" s="36" t="s">
        <v>215</v>
      </c>
      <c r="J202" s="29"/>
      <c r="K202" s="138"/>
      <c r="L202" s="37" t="s">
        <v>194</v>
      </c>
      <c r="M202" s="37" t="s">
        <v>194</v>
      </c>
      <c r="N202" s="37" t="s">
        <v>194</v>
      </c>
      <c r="O202" s="37" t="s">
        <v>194</v>
      </c>
      <c r="P202" s="37" t="s">
        <v>1874</v>
      </c>
      <c r="Q202" s="37" t="s">
        <v>1875</v>
      </c>
      <c r="R202" s="41">
        <v>46264.0</v>
      </c>
      <c r="S202" s="42">
        <v>0.0</v>
      </c>
      <c r="T202" s="44"/>
      <c r="U202" s="45" t="str">
        <f>IF(records[Type]="Room",records[roomNo],records[roomNo]&amp;"-"&amp;SUBSTITUTE(RIGHT(records[roomNo]&amp;records[Type],2),"-",""))</f>
        <v>10-1-094</v>
      </c>
      <c r="V202" s="47" t="str">
        <f t="array" ref="V202">_xlfn.XLOOKUP(records[ID], dAir[roomNo], dAir[roomName])</f>
        <v>BLISTER PACKING 2 (DRUM TIPPER)  (BLISTER PACKING MACHINE)</v>
      </c>
      <c r="W202" s="47" t="str">
        <f t="array" ref="W202">_xlfn.XLOOKUP(records[ID], dAir[roomNo], dAir[building])</f>
        <v>Building 10</v>
      </c>
      <c r="X202" s="47" t="str">
        <f t="array" ref="X202">_xlfn.XLOOKUP(records[ID], dAir[roomNo], dAir[floor])</f>
        <v>Floor 1</v>
      </c>
      <c r="Y202" s="45" t="str">
        <f t="array" ref="Y202">_xlfn.XLOOKUP(records[ID], dAir[roomNo], dAir[Class])</f>
        <v>D</v>
      </c>
      <c r="Z202" s="45">
        <f t="array" ref="Z202">_xlfn.XLOOKUP(records[Method]&amp;"-"&amp;records[Class], dAirSpec[ID], dAirSpec[Spec])</f>
        <v>100</v>
      </c>
      <c r="AA202" s="45" t="str">
        <f t="array" ref="AA202">_xlfn.XLOOKUP(records[Method]&amp;"-"&amp;records[Class], dAirSpec[ID], dAirSpec[Unit])</f>
        <v>cfu/plate</v>
      </c>
      <c r="AB202" s="58">
        <f t="array" ref="AB202">if(S202="","", if(records[Method]="Active Air",_xlfn.xlookup(records[ColonyCount]&amp;records[AirSampler],feller[code],feller[Vc]),records[ColonyCount]))</f>
        <v>0</v>
      </c>
      <c r="AC202" s="60" t="b">
        <f t="shared" si="1"/>
        <v>1</v>
      </c>
      <c r="AD202" s="61" t="b">
        <v>0</v>
      </c>
      <c r="AE202" s="32" t="s">
        <v>235</v>
      </c>
      <c r="AF202" s="46"/>
      <c r="AG202" s="46"/>
      <c r="AH202" s="46"/>
      <c r="AI202" s="46"/>
      <c r="AJ202" s="46"/>
    </row>
    <row r="203" ht="22.5" customHeight="1">
      <c r="A203" s="27">
        <v>46211.0</v>
      </c>
      <c r="B203" s="34" t="str">
        <f t="array" ref="B203">TEXT(A203, "MM-YYYY")</f>
        <v>07-2026</v>
      </c>
      <c r="C203" s="32" t="s">
        <v>340</v>
      </c>
      <c r="D203" s="21" t="s">
        <v>210</v>
      </c>
      <c r="E203" s="36" t="s">
        <v>213</v>
      </c>
      <c r="F203" s="37" t="s">
        <v>54</v>
      </c>
      <c r="G203" s="29" t="b">
        <v>1</v>
      </c>
      <c r="H203" s="36" t="s">
        <v>214</v>
      </c>
      <c r="I203" s="36" t="s">
        <v>215</v>
      </c>
      <c r="J203" s="29"/>
      <c r="K203" s="138"/>
      <c r="L203" s="37" t="s">
        <v>194</v>
      </c>
      <c r="M203" s="37" t="s">
        <v>194</v>
      </c>
      <c r="N203" s="37" t="s">
        <v>194</v>
      </c>
      <c r="O203" s="37" t="s">
        <v>194</v>
      </c>
      <c r="P203" s="37" t="s">
        <v>1874</v>
      </c>
      <c r="Q203" s="37" t="s">
        <v>1875</v>
      </c>
      <c r="R203" s="41">
        <v>46264.0</v>
      </c>
      <c r="S203" s="42">
        <v>2.0</v>
      </c>
      <c r="T203" s="44"/>
      <c r="U203" s="45" t="str">
        <f>IF(records[Type]="Room",records[roomNo],records[roomNo]&amp;"-"&amp;SUBSTITUTE(RIGHT(records[roomNo]&amp;records[Type],2),"-",""))</f>
        <v>10-1-095</v>
      </c>
      <c r="V203" s="47" t="str">
        <f t="array" ref="V203">_xlfn.XLOOKUP(records[ID], dAir[roomNo], dAir[roomName])</f>
        <v>BLISTER PACKING 3 (BLISTER PACKING MACHINE)</v>
      </c>
      <c r="W203" s="47" t="str">
        <f t="array" ref="W203">_xlfn.XLOOKUP(records[ID], dAir[roomNo], dAir[building])</f>
        <v>Building 10</v>
      </c>
      <c r="X203" s="47" t="str">
        <f t="array" ref="X203">_xlfn.XLOOKUP(records[ID], dAir[roomNo], dAir[floor])</f>
        <v>Floor 1</v>
      </c>
      <c r="Y203" s="45" t="str">
        <f t="array" ref="Y203">_xlfn.XLOOKUP(records[ID], dAir[roomNo], dAir[Class])</f>
        <v>D</v>
      </c>
      <c r="Z203" s="45">
        <f t="array" ref="Z203">_xlfn.XLOOKUP(records[Method]&amp;"-"&amp;records[Class], dAirSpec[ID], dAirSpec[Spec])</f>
        <v>100</v>
      </c>
      <c r="AA203" s="45" t="str">
        <f t="array" ref="AA203">_xlfn.XLOOKUP(records[Method]&amp;"-"&amp;records[Class], dAirSpec[ID], dAirSpec[Unit])</f>
        <v>cfu/plate</v>
      </c>
      <c r="AB203" s="58">
        <f t="array" ref="AB203">if(S203="","", if(records[Method]="Active Air",_xlfn.xlookup(records[ColonyCount]&amp;records[AirSampler],feller[code],feller[Vc]),records[ColonyCount]))</f>
        <v>2</v>
      </c>
      <c r="AC203" s="60" t="b">
        <f t="shared" si="1"/>
        <v>1</v>
      </c>
      <c r="AD203" s="61" t="b">
        <v>0</v>
      </c>
      <c r="AE203" s="32" t="s">
        <v>235</v>
      </c>
      <c r="AF203" s="46"/>
      <c r="AG203" s="46"/>
      <c r="AH203" s="46"/>
      <c r="AI203" s="46"/>
      <c r="AJ203" s="46"/>
    </row>
    <row r="204" ht="22.5" customHeight="1">
      <c r="A204" s="27">
        <v>46211.0</v>
      </c>
      <c r="B204" s="34" t="str">
        <f t="array" ref="B204">TEXT(A204, "MM-YYYY")</f>
        <v>07-2026</v>
      </c>
      <c r="C204" s="32" t="s">
        <v>348</v>
      </c>
      <c r="D204" s="21" t="s">
        <v>210</v>
      </c>
      <c r="E204" s="36" t="s">
        <v>213</v>
      </c>
      <c r="F204" s="37" t="s">
        <v>54</v>
      </c>
      <c r="G204" s="29" t="b">
        <v>1</v>
      </c>
      <c r="H204" s="36" t="s">
        <v>214</v>
      </c>
      <c r="I204" s="36" t="s">
        <v>215</v>
      </c>
      <c r="J204" s="29"/>
      <c r="K204" s="138"/>
      <c r="L204" s="37" t="s">
        <v>194</v>
      </c>
      <c r="M204" s="37" t="s">
        <v>194</v>
      </c>
      <c r="N204" s="37" t="s">
        <v>194</v>
      </c>
      <c r="O204" s="37" t="s">
        <v>194</v>
      </c>
      <c r="P204" s="37" t="s">
        <v>1874</v>
      </c>
      <c r="Q204" s="37" t="s">
        <v>1875</v>
      </c>
      <c r="R204" s="41">
        <v>46264.0</v>
      </c>
      <c r="S204" s="42">
        <v>0.0</v>
      </c>
      <c r="T204" s="44"/>
      <c r="U204" s="45" t="str">
        <f>IF(records[Type]="Room",records[roomNo],records[roomNo]&amp;"-"&amp;SUBSTITUTE(RIGHT(records[roomNo]&amp;records[Type],2),"-",""))</f>
        <v>10-1-096</v>
      </c>
      <c r="V204" s="47" t="str">
        <f t="array" ref="V204">_xlfn.XLOOKUP(records[ID], dAir[roomNo], dAir[roomName])</f>
        <v>BLISTER PACKING 4 (BLISTER PACKING MACHINE)</v>
      </c>
      <c r="W204" s="47" t="str">
        <f t="array" ref="W204">_xlfn.XLOOKUP(records[ID], dAir[roomNo], dAir[building])</f>
        <v>Building 10</v>
      </c>
      <c r="X204" s="47" t="str">
        <f t="array" ref="X204">_xlfn.XLOOKUP(records[ID], dAir[roomNo], dAir[floor])</f>
        <v>Floor 1</v>
      </c>
      <c r="Y204" s="45" t="str">
        <f t="array" ref="Y204">_xlfn.XLOOKUP(records[ID], dAir[roomNo], dAir[Class])</f>
        <v>D</v>
      </c>
      <c r="Z204" s="45">
        <f t="array" ref="Z204">_xlfn.XLOOKUP(records[Method]&amp;"-"&amp;records[Class], dAirSpec[ID], dAirSpec[Spec])</f>
        <v>100</v>
      </c>
      <c r="AA204" s="45" t="str">
        <f t="array" ref="AA204">_xlfn.XLOOKUP(records[Method]&amp;"-"&amp;records[Class], dAirSpec[ID], dAirSpec[Unit])</f>
        <v>cfu/plate</v>
      </c>
      <c r="AB204" s="58">
        <f t="array" ref="AB204">if(S204="","", if(records[Method]="Active Air",_xlfn.xlookup(records[ColonyCount]&amp;records[AirSampler],feller[code],feller[Vc]),records[ColonyCount]))</f>
        <v>0</v>
      </c>
      <c r="AC204" s="60" t="b">
        <f t="shared" si="1"/>
        <v>1</v>
      </c>
      <c r="AD204" s="61" t="b">
        <v>0</v>
      </c>
      <c r="AE204" s="32" t="s">
        <v>235</v>
      </c>
      <c r="AF204" s="46"/>
      <c r="AG204" s="46"/>
      <c r="AH204" s="46"/>
      <c r="AI204" s="46"/>
      <c r="AJ204" s="46"/>
    </row>
    <row r="205" ht="22.5" customHeight="1">
      <c r="A205" s="27">
        <v>46211.0</v>
      </c>
      <c r="B205" s="34" t="str">
        <f t="array" ref="B205">TEXT(A205, "MM-YYYY")</f>
        <v>07-2026</v>
      </c>
      <c r="C205" s="32" t="s">
        <v>357</v>
      </c>
      <c r="D205" s="21" t="s">
        <v>210</v>
      </c>
      <c r="E205" s="36" t="s">
        <v>213</v>
      </c>
      <c r="F205" s="37" t="s">
        <v>54</v>
      </c>
      <c r="G205" s="29" t="b">
        <v>1</v>
      </c>
      <c r="H205" s="36" t="s">
        <v>214</v>
      </c>
      <c r="I205" s="36" t="s">
        <v>215</v>
      </c>
      <c r="J205" s="29"/>
      <c r="K205" s="138"/>
      <c r="L205" s="37" t="s">
        <v>194</v>
      </c>
      <c r="M205" s="37" t="s">
        <v>194</v>
      </c>
      <c r="N205" s="37" t="s">
        <v>194</v>
      </c>
      <c r="O205" s="37" t="s">
        <v>194</v>
      </c>
      <c r="P205" s="37" t="s">
        <v>1874</v>
      </c>
      <c r="Q205" s="37" t="s">
        <v>1875</v>
      </c>
      <c r="R205" s="41">
        <v>46264.0</v>
      </c>
      <c r="S205" s="42">
        <v>20.0</v>
      </c>
      <c r="T205" s="44"/>
      <c r="U205" s="45" t="str">
        <f>IF(records[Type]="Room",records[roomNo],records[roomNo]&amp;"-"&amp;SUBSTITUTE(RIGHT(records[roomNo]&amp;records[Type],2),"-",""))</f>
        <v>10-1-097</v>
      </c>
      <c r="V205" s="47" t="str">
        <f t="array" ref="V205">_xlfn.XLOOKUP(records[ID], dAir[roomNo], dAir[roomName])</f>
        <v>BLISTER PACKING 5 (BLISTER PACKING MACHINE)</v>
      </c>
      <c r="W205" s="47" t="str">
        <f t="array" ref="W205">_xlfn.XLOOKUP(records[ID], dAir[roomNo], dAir[building])</f>
        <v>Building 10</v>
      </c>
      <c r="X205" s="47" t="str">
        <f t="array" ref="X205">_xlfn.XLOOKUP(records[ID], dAir[roomNo], dAir[floor])</f>
        <v>Floor 1</v>
      </c>
      <c r="Y205" s="45" t="str">
        <f t="array" ref="Y205">_xlfn.XLOOKUP(records[ID], dAir[roomNo], dAir[Class])</f>
        <v>D</v>
      </c>
      <c r="Z205" s="45">
        <f t="array" ref="Z205">_xlfn.XLOOKUP(records[Method]&amp;"-"&amp;records[Class], dAirSpec[ID], dAirSpec[Spec])</f>
        <v>100</v>
      </c>
      <c r="AA205" s="45" t="str">
        <f t="array" ref="AA205">_xlfn.XLOOKUP(records[Method]&amp;"-"&amp;records[Class], dAirSpec[ID], dAirSpec[Unit])</f>
        <v>cfu/plate</v>
      </c>
      <c r="AB205" s="58">
        <f t="array" ref="AB205">if(S205="","", if(records[Method]="Active Air",_xlfn.xlookup(records[ColonyCount]&amp;records[AirSampler],feller[code],feller[Vc]),records[ColonyCount]))</f>
        <v>20</v>
      </c>
      <c r="AC205" s="60" t="b">
        <f t="shared" si="1"/>
        <v>1</v>
      </c>
      <c r="AD205" s="61" t="b">
        <v>0</v>
      </c>
      <c r="AE205" s="32" t="s">
        <v>235</v>
      </c>
      <c r="AF205" s="46"/>
      <c r="AG205" s="46"/>
      <c r="AH205" s="46"/>
      <c r="AI205" s="46"/>
      <c r="AJ205" s="46"/>
    </row>
    <row r="206" ht="22.5" customHeight="1">
      <c r="A206" s="27">
        <v>46211.0</v>
      </c>
      <c r="B206" s="34" t="str">
        <f t="array" ref="B206">TEXT(A206, "MM-YYYY")</f>
        <v>07-2026</v>
      </c>
      <c r="C206" s="32" t="s">
        <v>370</v>
      </c>
      <c r="D206" s="21" t="s">
        <v>210</v>
      </c>
      <c r="E206" s="36" t="s">
        <v>213</v>
      </c>
      <c r="F206" s="37" t="s">
        <v>54</v>
      </c>
      <c r="G206" s="29" t="b">
        <v>1</v>
      </c>
      <c r="H206" s="36" t="s">
        <v>214</v>
      </c>
      <c r="I206" s="36" t="s">
        <v>215</v>
      </c>
      <c r="J206" s="29"/>
      <c r="K206" s="138"/>
      <c r="L206" s="37" t="s">
        <v>194</v>
      </c>
      <c r="M206" s="37" t="s">
        <v>194</v>
      </c>
      <c r="N206" s="37" t="s">
        <v>194</v>
      </c>
      <c r="O206" s="37" t="s">
        <v>194</v>
      </c>
      <c r="P206" s="37" t="s">
        <v>1874</v>
      </c>
      <c r="Q206" s="37" t="s">
        <v>1875</v>
      </c>
      <c r="R206" s="41">
        <v>46264.0</v>
      </c>
      <c r="S206" s="42">
        <v>0.0</v>
      </c>
      <c r="T206" s="44"/>
      <c r="U206" s="45" t="str">
        <f>IF(records[Type]="Room",records[roomNo],records[roomNo]&amp;"-"&amp;SUBSTITUTE(RIGHT(records[roomNo]&amp;records[Type],2),"-",""))</f>
        <v>10-1-098</v>
      </c>
      <c r="V206" s="47" t="str">
        <f t="array" ref="V206">_xlfn.XLOOKUP(records[ID], dAir[roomNo], dAir[roomName])</f>
        <v>BLISTER PACKING 6 (BLISTER PACKING MACHINE)</v>
      </c>
      <c r="W206" s="47" t="str">
        <f t="array" ref="W206">_xlfn.XLOOKUP(records[ID], dAir[roomNo], dAir[building])</f>
        <v>Building 10</v>
      </c>
      <c r="X206" s="47" t="str">
        <f t="array" ref="X206">_xlfn.XLOOKUP(records[ID], dAir[roomNo], dAir[floor])</f>
        <v>Floor 1</v>
      </c>
      <c r="Y206" s="45" t="str">
        <f t="array" ref="Y206">_xlfn.XLOOKUP(records[ID], dAir[roomNo], dAir[Class])</f>
        <v>D</v>
      </c>
      <c r="Z206" s="45">
        <f t="array" ref="Z206">_xlfn.XLOOKUP(records[Method]&amp;"-"&amp;records[Class], dAirSpec[ID], dAirSpec[Spec])</f>
        <v>100</v>
      </c>
      <c r="AA206" s="45" t="str">
        <f t="array" ref="AA206">_xlfn.XLOOKUP(records[Method]&amp;"-"&amp;records[Class], dAirSpec[ID], dAirSpec[Unit])</f>
        <v>cfu/plate</v>
      </c>
      <c r="AB206" s="58">
        <f t="array" ref="AB206">if(S206="","", if(records[Method]="Active Air",_xlfn.xlookup(records[ColonyCount]&amp;records[AirSampler],feller[code],feller[Vc]),records[ColonyCount]))</f>
        <v>0</v>
      </c>
      <c r="AC206" s="60" t="b">
        <f t="shared" si="1"/>
        <v>1</v>
      </c>
      <c r="AD206" s="61" t="b">
        <v>0</v>
      </c>
      <c r="AE206" s="32" t="s">
        <v>235</v>
      </c>
      <c r="AF206" s="46"/>
      <c r="AG206" s="46"/>
      <c r="AH206" s="46"/>
      <c r="AI206" s="46"/>
      <c r="AJ206" s="46"/>
    </row>
    <row r="207" ht="22.5" customHeight="1">
      <c r="A207" s="27">
        <v>46211.0</v>
      </c>
      <c r="B207" s="34" t="str">
        <f t="array" ref="B207">TEXT(A207, "MM-YYYY")</f>
        <v>07-2026</v>
      </c>
      <c r="C207" s="32" t="s">
        <v>374</v>
      </c>
      <c r="D207" s="21" t="s">
        <v>210</v>
      </c>
      <c r="E207" s="36" t="s">
        <v>213</v>
      </c>
      <c r="F207" s="37" t="s">
        <v>54</v>
      </c>
      <c r="G207" s="29" t="b">
        <v>1</v>
      </c>
      <c r="H207" s="36" t="s">
        <v>214</v>
      </c>
      <c r="I207" s="36" t="s">
        <v>215</v>
      </c>
      <c r="J207" s="29"/>
      <c r="K207" s="138"/>
      <c r="L207" s="37" t="s">
        <v>194</v>
      </c>
      <c r="M207" s="37" t="s">
        <v>194</v>
      </c>
      <c r="N207" s="37" t="s">
        <v>194</v>
      </c>
      <c r="O207" s="37" t="s">
        <v>194</v>
      </c>
      <c r="P207" s="37" t="s">
        <v>1874</v>
      </c>
      <c r="Q207" s="37" t="s">
        <v>1875</v>
      </c>
      <c r="R207" s="41">
        <v>46264.0</v>
      </c>
      <c r="S207" s="42">
        <v>6.0</v>
      </c>
      <c r="T207" s="44"/>
      <c r="U207" s="45" t="str">
        <f>IF(records[Type]="Room",records[roomNo],records[roomNo]&amp;"-"&amp;SUBSTITUTE(RIGHT(records[roomNo]&amp;records[Type],2),"-",""))</f>
        <v>10-1-099</v>
      </c>
      <c r="V207" s="47" t="str">
        <f t="array" ref="V207">_xlfn.XLOOKUP(records[ID], dAir[roomNo], dAir[roomName])</f>
        <v>BLISTER PACKING 4 (LOW RH) (BLISTER PACKING MACHINE)</v>
      </c>
      <c r="W207" s="47" t="str">
        <f t="array" ref="W207">_xlfn.XLOOKUP(records[ID], dAir[roomNo], dAir[building])</f>
        <v>Building 10</v>
      </c>
      <c r="X207" s="47" t="str">
        <f t="array" ref="X207">_xlfn.XLOOKUP(records[ID], dAir[roomNo], dAir[floor])</f>
        <v>Floor 1</v>
      </c>
      <c r="Y207" s="45" t="str">
        <f t="array" ref="Y207">_xlfn.XLOOKUP(records[ID], dAir[roomNo], dAir[Class])</f>
        <v>D</v>
      </c>
      <c r="Z207" s="45">
        <f t="array" ref="Z207">_xlfn.XLOOKUP(records[Method]&amp;"-"&amp;records[Class], dAirSpec[ID], dAirSpec[Spec])</f>
        <v>100</v>
      </c>
      <c r="AA207" s="45" t="str">
        <f t="array" ref="AA207">_xlfn.XLOOKUP(records[Method]&amp;"-"&amp;records[Class], dAirSpec[ID], dAirSpec[Unit])</f>
        <v>cfu/plate</v>
      </c>
      <c r="AB207" s="58">
        <f t="array" ref="AB207">if(S207="","", if(records[Method]="Active Air",_xlfn.xlookup(records[ColonyCount]&amp;records[AirSampler],feller[code],feller[Vc]),records[ColonyCount]))</f>
        <v>6</v>
      </c>
      <c r="AC207" s="60" t="b">
        <f t="shared" si="1"/>
        <v>1</v>
      </c>
      <c r="AD207" s="61" t="b">
        <v>0</v>
      </c>
      <c r="AE207" s="32" t="s">
        <v>235</v>
      </c>
      <c r="AF207" s="46"/>
      <c r="AG207" s="46"/>
      <c r="AH207" s="46"/>
      <c r="AI207" s="46"/>
      <c r="AJ207" s="46"/>
    </row>
    <row r="208" ht="22.5" customHeight="1">
      <c r="A208" s="27">
        <v>46211.0</v>
      </c>
      <c r="B208" s="34" t="str">
        <f t="array" ref="B208">TEXT(A208, "MM-YYYY")</f>
        <v>07-2026</v>
      </c>
      <c r="C208" s="32" t="s">
        <v>384</v>
      </c>
      <c r="D208" s="21" t="s">
        <v>210</v>
      </c>
      <c r="E208" s="36" t="s">
        <v>213</v>
      </c>
      <c r="F208" s="37" t="s">
        <v>54</v>
      </c>
      <c r="G208" s="29" t="b">
        <v>1</v>
      </c>
      <c r="H208" s="36" t="s">
        <v>214</v>
      </c>
      <c r="I208" s="36" t="s">
        <v>215</v>
      </c>
      <c r="J208" s="29"/>
      <c r="K208" s="138"/>
      <c r="L208" s="37" t="s">
        <v>194</v>
      </c>
      <c r="M208" s="37" t="s">
        <v>194</v>
      </c>
      <c r="N208" s="37" t="s">
        <v>194</v>
      </c>
      <c r="O208" s="37" t="s">
        <v>194</v>
      </c>
      <c r="P208" s="37" t="s">
        <v>1874</v>
      </c>
      <c r="Q208" s="37" t="s">
        <v>1875</v>
      </c>
      <c r="R208" s="41">
        <v>46264.0</v>
      </c>
      <c r="S208" s="42">
        <v>0.0</v>
      </c>
      <c r="T208" s="44"/>
      <c r="U208" s="45" t="str">
        <f>IF(records[Type]="Room",records[roomNo],records[roomNo]&amp;"-"&amp;SUBSTITUTE(RIGHT(records[roomNo]&amp;records[Type],2),"-",""))</f>
        <v>10-1-100</v>
      </c>
      <c r="V208" s="47" t="str">
        <f t="array" ref="V208">_xlfn.XLOOKUP(records[ID], dAir[roomNo], dAir[roomName])</f>
        <v>BLISTER PACKING 5 (LOW RH) (BLISTER PACKING MACHINE)</v>
      </c>
      <c r="W208" s="47" t="str">
        <f t="array" ref="W208">_xlfn.XLOOKUP(records[ID], dAir[roomNo], dAir[building])</f>
        <v>Building 10</v>
      </c>
      <c r="X208" s="47" t="str">
        <f t="array" ref="X208">_xlfn.XLOOKUP(records[ID], dAir[roomNo], dAir[floor])</f>
        <v>Floor 1</v>
      </c>
      <c r="Y208" s="45" t="str">
        <f t="array" ref="Y208">_xlfn.XLOOKUP(records[ID], dAir[roomNo], dAir[Class])</f>
        <v>D</v>
      </c>
      <c r="Z208" s="45">
        <f t="array" ref="Z208">_xlfn.XLOOKUP(records[Method]&amp;"-"&amp;records[Class], dAirSpec[ID], dAirSpec[Spec])</f>
        <v>100</v>
      </c>
      <c r="AA208" s="45" t="str">
        <f t="array" ref="AA208">_xlfn.XLOOKUP(records[Method]&amp;"-"&amp;records[Class], dAirSpec[ID], dAirSpec[Unit])</f>
        <v>cfu/plate</v>
      </c>
      <c r="AB208" s="58">
        <f t="array" ref="AB208">if(S208="","", if(records[Method]="Active Air",_xlfn.xlookup(records[ColonyCount]&amp;records[AirSampler],feller[code],feller[Vc]),records[ColonyCount]))</f>
        <v>0</v>
      </c>
      <c r="AC208" s="60" t="b">
        <f t="shared" si="1"/>
        <v>1</v>
      </c>
      <c r="AD208" s="61" t="b">
        <v>0</v>
      </c>
      <c r="AE208" s="32" t="s">
        <v>235</v>
      </c>
      <c r="AF208" s="46"/>
      <c r="AG208" s="46"/>
      <c r="AH208" s="46"/>
      <c r="AI208" s="46"/>
      <c r="AJ208" s="46"/>
    </row>
    <row r="209" ht="22.5" customHeight="1">
      <c r="A209" s="27">
        <v>46211.0</v>
      </c>
      <c r="B209" s="34" t="str">
        <f t="array" ref="B209">TEXT(A209, "MM-YYYY")</f>
        <v>07-2026</v>
      </c>
      <c r="C209" s="32" t="s">
        <v>684</v>
      </c>
      <c r="D209" s="21" t="s">
        <v>210</v>
      </c>
      <c r="E209" s="36" t="s">
        <v>213</v>
      </c>
      <c r="F209" s="37" t="s">
        <v>54</v>
      </c>
      <c r="G209" s="29" t="b">
        <v>1</v>
      </c>
      <c r="H209" s="36" t="s">
        <v>214</v>
      </c>
      <c r="I209" s="36" t="s">
        <v>215</v>
      </c>
      <c r="J209" s="29"/>
      <c r="K209" s="138"/>
      <c r="L209" s="37" t="s">
        <v>194</v>
      </c>
      <c r="M209" s="37" t="s">
        <v>194</v>
      </c>
      <c r="N209" s="37" t="s">
        <v>194</v>
      </c>
      <c r="O209" s="37" t="s">
        <v>194</v>
      </c>
      <c r="P209" s="37" t="s">
        <v>1874</v>
      </c>
      <c r="Q209" s="37" t="s">
        <v>1875</v>
      </c>
      <c r="R209" s="41">
        <v>46264.0</v>
      </c>
      <c r="S209" s="42">
        <v>76.0</v>
      </c>
      <c r="T209" s="44" t="s">
        <v>2011</v>
      </c>
      <c r="U209" s="45" t="str">
        <f>IF(records[Type]="Room",records[roomNo],records[roomNo]&amp;"-"&amp;SUBSTITUTE(RIGHT(records[roomNo]&amp;records[Type],2),"-",""))</f>
        <v>10-1-102</v>
      </c>
      <c r="V209" s="47" t="str">
        <f t="array" ref="V209">_xlfn.XLOOKUP(records[ID], dAir[roomNo], dAir[roomName])</f>
        <v>CORRIDOR</v>
      </c>
      <c r="W209" s="47" t="str">
        <f t="array" ref="W209">_xlfn.XLOOKUP(records[ID], dAir[roomNo], dAir[building])</f>
        <v>Building 10</v>
      </c>
      <c r="X209" s="47" t="str">
        <f t="array" ref="X209">_xlfn.XLOOKUP(records[ID], dAir[roomNo], dAir[floor])</f>
        <v>Floor 1</v>
      </c>
      <c r="Y209" s="45" t="str">
        <f t="array" ref="Y209">_xlfn.XLOOKUP(records[ID], dAir[roomNo], dAir[Class])</f>
        <v>D</v>
      </c>
      <c r="Z209" s="45">
        <f t="array" ref="Z209">_xlfn.XLOOKUP(records[Method]&amp;"-"&amp;records[Class], dAirSpec[ID], dAirSpec[Spec])</f>
        <v>100</v>
      </c>
      <c r="AA209" s="45" t="str">
        <f t="array" ref="AA209">_xlfn.XLOOKUP(records[Method]&amp;"-"&amp;records[Class], dAirSpec[ID], dAirSpec[Unit])</f>
        <v>cfu/plate</v>
      </c>
      <c r="AB209" s="58">
        <f t="array" ref="AB209">if(S209="","", if(records[Method]="Active Air",_xlfn.xlookup(records[ColonyCount]&amp;records[AirSampler],feller[code],feller[Vc]),records[ColonyCount]))</f>
        <v>76</v>
      </c>
      <c r="AC209" s="60" t="b">
        <f t="shared" si="1"/>
        <v>1</v>
      </c>
      <c r="AD209" s="61" t="b">
        <v>0</v>
      </c>
      <c r="AE209" s="32" t="s">
        <v>235</v>
      </c>
      <c r="AF209" s="46"/>
      <c r="AG209" s="46"/>
      <c r="AH209" s="46"/>
      <c r="AI209" s="46"/>
      <c r="AJ209" s="46"/>
    </row>
    <row r="210" ht="22.5" customHeight="1">
      <c r="A210" s="27">
        <v>46211.0</v>
      </c>
      <c r="B210" s="34" t="str">
        <f t="array" ref="B210">TEXT(A210, "MM-YYYY")</f>
        <v>07-2026</v>
      </c>
      <c r="C210" s="32" t="s">
        <v>688</v>
      </c>
      <c r="D210" s="21" t="s">
        <v>210</v>
      </c>
      <c r="E210" s="36" t="s">
        <v>213</v>
      </c>
      <c r="F210" s="37" t="s">
        <v>54</v>
      </c>
      <c r="G210" s="29" t="b">
        <v>1</v>
      </c>
      <c r="H210" s="36" t="s">
        <v>214</v>
      </c>
      <c r="I210" s="36" t="s">
        <v>215</v>
      </c>
      <c r="J210" s="29"/>
      <c r="K210" s="138"/>
      <c r="L210" s="37" t="s">
        <v>194</v>
      </c>
      <c r="M210" s="37" t="s">
        <v>194</v>
      </c>
      <c r="N210" s="37" t="s">
        <v>194</v>
      </c>
      <c r="O210" s="37" t="s">
        <v>194</v>
      </c>
      <c r="P210" s="37" t="s">
        <v>1874</v>
      </c>
      <c r="Q210" s="37" t="s">
        <v>1875</v>
      </c>
      <c r="R210" s="41">
        <v>46264.0</v>
      </c>
      <c r="S210" s="42">
        <v>0.0</v>
      </c>
      <c r="T210" s="44"/>
      <c r="U210" s="45" t="str">
        <f>IF(records[Type]="Room",records[roomNo],records[roomNo]&amp;"-"&amp;SUBSTITUTE(RIGHT(records[roomNo]&amp;records[Type],2),"-",""))</f>
        <v>10-1-106</v>
      </c>
      <c r="V210" s="47" t="str">
        <f t="array" ref="V210">_xlfn.XLOOKUP(records[ID], dAir[roomNo], dAir[roomName])</f>
        <v>PPM STAGING</v>
      </c>
      <c r="W210" s="47" t="str">
        <f t="array" ref="W210">_xlfn.XLOOKUP(records[ID], dAir[roomNo], dAir[building])</f>
        <v>Building 10</v>
      </c>
      <c r="X210" s="47" t="str">
        <f t="array" ref="X210">_xlfn.XLOOKUP(records[ID], dAir[roomNo], dAir[floor])</f>
        <v>Floor 1</v>
      </c>
      <c r="Y210" s="45" t="str">
        <f t="array" ref="Y210">_xlfn.XLOOKUP(records[ID], dAir[roomNo], dAir[Class])</f>
        <v>D</v>
      </c>
      <c r="Z210" s="45">
        <f t="array" ref="Z210">_xlfn.XLOOKUP(records[Method]&amp;"-"&amp;records[Class], dAirSpec[ID], dAirSpec[Spec])</f>
        <v>100</v>
      </c>
      <c r="AA210" s="45" t="str">
        <f t="array" ref="AA210">_xlfn.XLOOKUP(records[Method]&amp;"-"&amp;records[Class], dAirSpec[ID], dAirSpec[Unit])</f>
        <v>cfu/plate</v>
      </c>
      <c r="AB210" s="58">
        <f t="array" ref="AB210">if(S210="","", if(records[Method]="Active Air",_xlfn.xlookup(records[ColonyCount]&amp;records[AirSampler],feller[code],feller[Vc]),records[ColonyCount]))</f>
        <v>0</v>
      </c>
      <c r="AC210" s="60" t="b">
        <f t="shared" si="1"/>
        <v>1</v>
      </c>
      <c r="AD210" s="61" t="b">
        <v>0</v>
      </c>
      <c r="AE210" s="32" t="s">
        <v>235</v>
      </c>
      <c r="AF210" s="46"/>
      <c r="AG210" s="46"/>
      <c r="AH210" s="46"/>
      <c r="AI210" s="46"/>
      <c r="AJ210" s="46"/>
    </row>
    <row r="211" ht="22.5" customHeight="1">
      <c r="A211" s="27">
        <v>46211.0</v>
      </c>
      <c r="B211" s="34" t="str">
        <f t="array" ref="B211">TEXT(A211, "MM-YYYY")</f>
        <v>07-2026</v>
      </c>
      <c r="C211" s="32" t="s">
        <v>394</v>
      </c>
      <c r="D211" s="21" t="s">
        <v>210</v>
      </c>
      <c r="E211" s="36" t="s">
        <v>213</v>
      </c>
      <c r="F211" s="37" t="s">
        <v>54</v>
      </c>
      <c r="G211" s="29" t="b">
        <v>1</v>
      </c>
      <c r="H211" s="36" t="s">
        <v>214</v>
      </c>
      <c r="I211" s="36" t="s">
        <v>215</v>
      </c>
      <c r="J211" s="29"/>
      <c r="K211" s="138"/>
      <c r="L211" s="37" t="s">
        <v>194</v>
      </c>
      <c r="M211" s="37" t="s">
        <v>194</v>
      </c>
      <c r="N211" s="37" t="s">
        <v>194</v>
      </c>
      <c r="O211" s="37" t="s">
        <v>194</v>
      </c>
      <c r="P211" s="37" t="s">
        <v>1874</v>
      </c>
      <c r="Q211" s="37" t="s">
        <v>1875</v>
      </c>
      <c r="R211" s="41">
        <v>46264.0</v>
      </c>
      <c r="S211" s="42">
        <v>24.0</v>
      </c>
      <c r="T211" s="44"/>
      <c r="U211" s="45" t="str">
        <f>IF(records[Type]="Room",records[roomNo],records[roomNo]&amp;"-"&amp;SUBSTITUTE(RIGHT(records[roomNo]&amp;records[Type],2),"-",""))</f>
        <v>10-1-107</v>
      </c>
      <c r="V211" s="47" t="str">
        <f t="array" ref="V211">_xlfn.XLOOKUP(records[ID], dAir[roomNo], dAir[roomName])</f>
        <v>STRIP PACKING 1 (LOW RH) (DRUM TIPPER) &amp; (STRIP PACKING MACHINE)</v>
      </c>
      <c r="W211" s="47" t="str">
        <f t="array" ref="W211">_xlfn.XLOOKUP(records[ID], dAir[roomNo], dAir[building])</f>
        <v>Building 10</v>
      </c>
      <c r="X211" s="47" t="str">
        <f t="array" ref="X211">_xlfn.XLOOKUP(records[ID], dAir[roomNo], dAir[floor])</f>
        <v>Floor 1</v>
      </c>
      <c r="Y211" s="45" t="str">
        <f t="array" ref="Y211">_xlfn.XLOOKUP(records[ID], dAir[roomNo], dAir[Class])</f>
        <v>D</v>
      </c>
      <c r="Z211" s="45">
        <f t="array" ref="Z211">_xlfn.XLOOKUP(records[Method]&amp;"-"&amp;records[Class], dAirSpec[ID], dAirSpec[Spec])</f>
        <v>100</v>
      </c>
      <c r="AA211" s="45" t="str">
        <f t="array" ref="AA211">_xlfn.XLOOKUP(records[Method]&amp;"-"&amp;records[Class], dAirSpec[ID], dAirSpec[Unit])</f>
        <v>cfu/plate</v>
      </c>
      <c r="AB211" s="58">
        <f t="array" ref="AB211">if(S211="","", if(records[Method]="Active Air",_xlfn.xlookup(records[ColonyCount]&amp;records[AirSampler],feller[code],feller[Vc]),records[ColonyCount]))</f>
        <v>24</v>
      </c>
      <c r="AC211" s="60" t="b">
        <f t="shared" si="1"/>
        <v>1</v>
      </c>
      <c r="AD211" s="61" t="b">
        <v>0</v>
      </c>
      <c r="AE211" s="32" t="s">
        <v>235</v>
      </c>
      <c r="AF211" s="46"/>
      <c r="AG211" s="46"/>
      <c r="AH211" s="46"/>
      <c r="AI211" s="46"/>
      <c r="AJ211" s="46"/>
    </row>
    <row r="212" ht="22.5" customHeight="1">
      <c r="A212" s="27">
        <v>46211.0</v>
      </c>
      <c r="B212" s="34" t="str">
        <f t="array" ref="B212">TEXT(A212, "MM-YYYY")</f>
        <v>07-2026</v>
      </c>
      <c r="C212" s="32" t="s">
        <v>413</v>
      </c>
      <c r="D212" s="21" t="s">
        <v>210</v>
      </c>
      <c r="E212" s="36" t="s">
        <v>213</v>
      </c>
      <c r="F212" s="37" t="s">
        <v>54</v>
      </c>
      <c r="G212" s="29" t="b">
        <v>1</v>
      </c>
      <c r="H212" s="36" t="s">
        <v>214</v>
      </c>
      <c r="I212" s="36" t="s">
        <v>215</v>
      </c>
      <c r="J212" s="29"/>
      <c r="K212" s="138"/>
      <c r="L212" s="37" t="s">
        <v>194</v>
      </c>
      <c r="M212" s="37" t="s">
        <v>194</v>
      </c>
      <c r="N212" s="37" t="s">
        <v>194</v>
      </c>
      <c r="O212" s="37" t="s">
        <v>194</v>
      </c>
      <c r="P212" s="37" t="s">
        <v>1874</v>
      </c>
      <c r="Q212" s="37" t="s">
        <v>1875</v>
      </c>
      <c r="R212" s="41">
        <v>46264.0</v>
      </c>
      <c r="S212" s="42">
        <v>11.0</v>
      </c>
      <c r="T212" s="44"/>
      <c r="U212" s="45" t="str">
        <f>IF(records[Type]="Room",records[roomNo],records[roomNo]&amp;"-"&amp;SUBSTITUTE(RIGHT(records[roomNo]&amp;records[Type],2),"-",""))</f>
        <v>10-1-108</v>
      </c>
      <c r="V212" s="47" t="str">
        <f t="array" ref="V212">_xlfn.XLOOKUP(records[ID], dAir[roomNo], dAir[roomName])</f>
        <v>SACHET PACKING (LOW RH) (STRIP PACKING MACHINE)</v>
      </c>
      <c r="W212" s="47" t="str">
        <f t="array" ref="W212">_xlfn.XLOOKUP(records[ID], dAir[roomNo], dAir[building])</f>
        <v>Building 10</v>
      </c>
      <c r="X212" s="47" t="str">
        <f t="array" ref="X212">_xlfn.XLOOKUP(records[ID], dAir[roomNo], dAir[floor])</f>
        <v>Floor 1</v>
      </c>
      <c r="Y212" s="45" t="str">
        <f t="array" ref="Y212">_xlfn.XLOOKUP(records[ID], dAir[roomNo], dAir[Class])</f>
        <v>D</v>
      </c>
      <c r="Z212" s="45">
        <f t="array" ref="Z212">_xlfn.XLOOKUP(records[Method]&amp;"-"&amp;records[Class], dAirSpec[ID], dAirSpec[Spec])</f>
        <v>100</v>
      </c>
      <c r="AA212" s="45" t="str">
        <f t="array" ref="AA212">_xlfn.XLOOKUP(records[Method]&amp;"-"&amp;records[Class], dAirSpec[ID], dAirSpec[Unit])</f>
        <v>cfu/plate</v>
      </c>
      <c r="AB212" s="58">
        <f t="array" ref="AB212">if(S212="","", if(records[Method]="Active Air",_xlfn.xlookup(records[ColonyCount]&amp;records[AirSampler],feller[code],feller[Vc]),records[ColonyCount]))</f>
        <v>11</v>
      </c>
      <c r="AC212" s="60" t="b">
        <f t="shared" si="1"/>
        <v>1</v>
      </c>
      <c r="AD212" s="61" t="b">
        <v>0</v>
      </c>
      <c r="AE212" s="32" t="s">
        <v>235</v>
      </c>
      <c r="AF212" s="46"/>
      <c r="AG212" s="46"/>
      <c r="AH212" s="46"/>
      <c r="AI212" s="46"/>
      <c r="AJ212" s="46"/>
    </row>
    <row r="213" ht="22.5" customHeight="1">
      <c r="A213" s="27">
        <v>46211.0</v>
      </c>
      <c r="B213" s="34" t="str">
        <f t="array" ref="B213">TEXT(A213, "MM-YYYY")</f>
        <v>07-2026</v>
      </c>
      <c r="C213" s="32" t="s">
        <v>705</v>
      </c>
      <c r="D213" s="21" t="s">
        <v>210</v>
      </c>
      <c r="E213" s="36" t="s">
        <v>213</v>
      </c>
      <c r="F213" s="37" t="s">
        <v>54</v>
      </c>
      <c r="G213" s="29" t="b">
        <v>1</v>
      </c>
      <c r="H213" s="36" t="s">
        <v>214</v>
      </c>
      <c r="I213" s="36" t="s">
        <v>215</v>
      </c>
      <c r="J213" s="29"/>
      <c r="K213" s="138"/>
      <c r="L213" s="37" t="s">
        <v>194</v>
      </c>
      <c r="M213" s="37" t="s">
        <v>194</v>
      </c>
      <c r="N213" s="37" t="s">
        <v>194</v>
      </c>
      <c r="O213" s="37" t="s">
        <v>194</v>
      </c>
      <c r="P213" s="37" t="s">
        <v>1874</v>
      </c>
      <c r="Q213" s="37" t="s">
        <v>1875</v>
      </c>
      <c r="R213" s="41">
        <v>46264.0</v>
      </c>
      <c r="S213" s="42">
        <v>8.0</v>
      </c>
      <c r="T213" s="44"/>
      <c r="U213" s="45" t="str">
        <f>IF(records[Type]="Room",records[roomNo],records[roomNo]&amp;"-"&amp;SUBSTITUTE(RIGHT(records[roomNo]&amp;records[Type],2),"-",""))</f>
        <v>10-1-109</v>
      </c>
      <c r="V213" s="47" t="str">
        <f t="array" ref="V213">_xlfn.XLOOKUP(records[ID], dAir[roomNo], dAir[roomName])</f>
        <v>STRIP PACKING 2 (DRUM TIPPER) &amp; (STRIP PACKING MACHINE)</v>
      </c>
      <c r="W213" s="47" t="str">
        <f t="array" ref="W213">_xlfn.XLOOKUP(records[ID], dAir[roomNo], dAir[building])</f>
        <v>Building 10</v>
      </c>
      <c r="X213" s="47" t="str">
        <f t="array" ref="X213">_xlfn.XLOOKUP(records[ID], dAir[roomNo], dAir[floor])</f>
        <v>Floor 1</v>
      </c>
      <c r="Y213" s="45" t="str">
        <f t="array" ref="Y213">_xlfn.XLOOKUP(records[ID], dAir[roomNo], dAir[Class])</f>
        <v>D</v>
      </c>
      <c r="Z213" s="45">
        <f t="array" ref="Z213">_xlfn.XLOOKUP(records[Method]&amp;"-"&amp;records[Class], dAirSpec[ID], dAirSpec[Spec])</f>
        <v>100</v>
      </c>
      <c r="AA213" s="45" t="str">
        <f t="array" ref="AA213">_xlfn.XLOOKUP(records[Method]&amp;"-"&amp;records[Class], dAirSpec[ID], dAirSpec[Unit])</f>
        <v>cfu/plate</v>
      </c>
      <c r="AB213" s="58">
        <f t="array" ref="AB213">if(S213="","", if(records[Method]="Active Air",_xlfn.xlookup(records[ColonyCount]&amp;records[AirSampler],feller[code],feller[Vc]),records[ColonyCount]))</f>
        <v>8</v>
      </c>
      <c r="AC213" s="60" t="b">
        <f t="shared" si="1"/>
        <v>1</v>
      </c>
      <c r="AD213" s="61" t="b">
        <v>0</v>
      </c>
      <c r="AE213" s="32" t="s">
        <v>235</v>
      </c>
      <c r="AF213" s="46"/>
      <c r="AG213" s="46"/>
      <c r="AH213" s="46"/>
      <c r="AI213" s="46"/>
      <c r="AJ213" s="46"/>
    </row>
    <row r="214" ht="22.5" customHeight="1">
      <c r="A214" s="27">
        <v>46211.0</v>
      </c>
      <c r="B214" s="34" t="str">
        <f t="array" ref="B214">TEXT(A214, "MM-YYYY")</f>
        <v>07-2026</v>
      </c>
      <c r="C214" s="32" t="s">
        <v>443</v>
      </c>
      <c r="D214" s="21" t="s">
        <v>210</v>
      </c>
      <c r="E214" s="36" t="s">
        <v>213</v>
      </c>
      <c r="F214" s="37" t="s">
        <v>54</v>
      </c>
      <c r="G214" s="29" t="b">
        <v>1</v>
      </c>
      <c r="H214" s="36" t="s">
        <v>214</v>
      </c>
      <c r="I214" s="36" t="s">
        <v>215</v>
      </c>
      <c r="J214" s="29"/>
      <c r="K214" s="138"/>
      <c r="L214" s="37" t="s">
        <v>194</v>
      </c>
      <c r="M214" s="37" t="s">
        <v>194</v>
      </c>
      <c r="N214" s="37" t="s">
        <v>194</v>
      </c>
      <c r="O214" s="37" t="s">
        <v>194</v>
      </c>
      <c r="P214" s="37" t="s">
        <v>1874</v>
      </c>
      <c r="Q214" s="37" t="s">
        <v>1875</v>
      </c>
      <c r="R214" s="41">
        <v>46264.0</v>
      </c>
      <c r="S214" s="42">
        <v>7.0</v>
      </c>
      <c r="T214" s="44"/>
      <c r="U214" s="45" t="str">
        <f>IF(records[Type]="Room",records[roomNo],records[roomNo]&amp;"-"&amp;SUBSTITUTE(RIGHT(records[roomNo]&amp;records[Type],2),"-",""))</f>
        <v>10-1-110</v>
      </c>
      <c r="V214" s="47" t="str">
        <f t="array" ref="V214">_xlfn.XLOOKUP(records[ID], dAir[roomNo], dAir[roomName])</f>
        <v>STRIP PACKING 3 (DRUM TIPPER) &amp; (STRIP PACKING MACHINE)</v>
      </c>
      <c r="W214" s="47" t="str">
        <f t="array" ref="W214">_xlfn.XLOOKUP(records[ID], dAir[roomNo], dAir[building])</f>
        <v>Building 10</v>
      </c>
      <c r="X214" s="47" t="str">
        <f t="array" ref="X214">_xlfn.XLOOKUP(records[ID], dAir[roomNo], dAir[floor])</f>
        <v>Floor 1</v>
      </c>
      <c r="Y214" s="45" t="str">
        <f t="array" ref="Y214">_xlfn.XLOOKUP(records[ID], dAir[roomNo], dAir[Class])</f>
        <v>D</v>
      </c>
      <c r="Z214" s="45">
        <f t="array" ref="Z214">_xlfn.XLOOKUP(records[Method]&amp;"-"&amp;records[Class], dAirSpec[ID], dAirSpec[Spec])</f>
        <v>100</v>
      </c>
      <c r="AA214" s="45" t="str">
        <f t="array" ref="AA214">_xlfn.XLOOKUP(records[Method]&amp;"-"&amp;records[Class], dAirSpec[ID], dAirSpec[Unit])</f>
        <v>cfu/plate</v>
      </c>
      <c r="AB214" s="58">
        <f t="array" ref="AB214">if(S214="","", if(records[Method]="Active Air",_xlfn.xlookup(records[ColonyCount]&amp;records[AirSampler],feller[code],feller[Vc]),records[ColonyCount]))</f>
        <v>7</v>
      </c>
      <c r="AC214" s="60" t="b">
        <f t="shared" si="1"/>
        <v>1</v>
      </c>
      <c r="AD214" s="61" t="b">
        <v>0</v>
      </c>
      <c r="AE214" s="32" t="s">
        <v>235</v>
      </c>
      <c r="AF214" s="46"/>
      <c r="AG214" s="46"/>
      <c r="AH214" s="46"/>
      <c r="AI214" s="46"/>
      <c r="AJ214" s="46"/>
    </row>
    <row r="215" ht="22.5" customHeight="1">
      <c r="A215" s="27">
        <v>46211.0</v>
      </c>
      <c r="B215" s="34" t="str">
        <f t="array" ref="B215">TEXT(A215, "MM-YYYY")</f>
        <v>07-2026</v>
      </c>
      <c r="C215" s="32" t="s">
        <v>717</v>
      </c>
      <c r="D215" s="21" t="s">
        <v>210</v>
      </c>
      <c r="E215" s="36" t="s">
        <v>213</v>
      </c>
      <c r="F215" s="37" t="s">
        <v>54</v>
      </c>
      <c r="G215" s="29" t="b">
        <v>1</v>
      </c>
      <c r="H215" s="36" t="s">
        <v>214</v>
      </c>
      <c r="I215" s="36" t="s">
        <v>215</v>
      </c>
      <c r="J215" s="29"/>
      <c r="K215" s="138"/>
      <c r="L215" s="37" t="s">
        <v>194</v>
      </c>
      <c r="M215" s="37" t="s">
        <v>194</v>
      </c>
      <c r="N215" s="37" t="s">
        <v>194</v>
      </c>
      <c r="O215" s="37" t="s">
        <v>194</v>
      </c>
      <c r="P215" s="37" t="s">
        <v>1874</v>
      </c>
      <c r="Q215" s="37" t="s">
        <v>1875</v>
      </c>
      <c r="R215" s="41">
        <v>46264.0</v>
      </c>
      <c r="S215" s="42">
        <v>6.0</v>
      </c>
      <c r="T215" s="44"/>
      <c r="U215" s="45" t="str">
        <f>IF(records[Type]="Room",records[roomNo],records[roomNo]&amp;"-"&amp;SUBSTITUTE(RIGHT(records[roomNo]&amp;records[Type],2),"-",""))</f>
        <v>10-1-111</v>
      </c>
      <c r="V215" s="47" t="str">
        <f t="array" ref="V215">_xlfn.XLOOKUP(records[ID], dAir[roomNo], dAir[roomName])</f>
        <v>CORRIDOR</v>
      </c>
      <c r="W215" s="47" t="str">
        <f t="array" ref="W215">_xlfn.XLOOKUP(records[ID], dAir[roomNo], dAir[building])</f>
        <v>Building 10</v>
      </c>
      <c r="X215" s="47" t="str">
        <f t="array" ref="X215">_xlfn.XLOOKUP(records[ID], dAir[roomNo], dAir[floor])</f>
        <v>Floor 1</v>
      </c>
      <c r="Y215" s="45" t="str">
        <f t="array" ref="Y215">_xlfn.XLOOKUP(records[ID], dAir[roomNo], dAir[Class])</f>
        <v>D</v>
      </c>
      <c r="Z215" s="45">
        <f t="array" ref="Z215">_xlfn.XLOOKUP(records[Method]&amp;"-"&amp;records[Class], dAirSpec[ID], dAirSpec[Spec])</f>
        <v>100</v>
      </c>
      <c r="AA215" s="45" t="str">
        <f t="array" ref="AA215">_xlfn.XLOOKUP(records[Method]&amp;"-"&amp;records[Class], dAirSpec[ID], dAirSpec[Unit])</f>
        <v>cfu/plate</v>
      </c>
      <c r="AB215" s="58">
        <f t="array" ref="AB215">if(S215="","", if(records[Method]="Active Air",_xlfn.xlookup(records[ColonyCount]&amp;records[AirSampler],feller[code],feller[Vc]),records[ColonyCount]))</f>
        <v>6</v>
      </c>
      <c r="AC215" s="60" t="b">
        <f t="shared" si="1"/>
        <v>1</v>
      </c>
      <c r="AD215" s="61" t="b">
        <v>0</v>
      </c>
      <c r="AE215" s="32" t="s">
        <v>235</v>
      </c>
      <c r="AF215" s="46"/>
      <c r="AG215" s="46"/>
      <c r="AH215" s="46"/>
      <c r="AI215" s="46"/>
      <c r="AJ215" s="46"/>
    </row>
    <row r="216" ht="22.5" customHeight="1">
      <c r="A216" s="27">
        <v>46211.0</v>
      </c>
      <c r="B216" s="34" t="str">
        <f t="array" ref="B216">TEXT(A216, "MM-YYYY")</f>
        <v>07-2026</v>
      </c>
      <c r="C216" s="32" t="s">
        <v>721</v>
      </c>
      <c r="D216" s="21" t="s">
        <v>210</v>
      </c>
      <c r="E216" s="36" t="s">
        <v>213</v>
      </c>
      <c r="F216" s="37" t="s">
        <v>54</v>
      </c>
      <c r="G216" s="29" t="b">
        <v>1</v>
      </c>
      <c r="H216" s="36" t="s">
        <v>214</v>
      </c>
      <c r="I216" s="36" t="s">
        <v>215</v>
      </c>
      <c r="J216" s="29"/>
      <c r="K216" s="138"/>
      <c r="L216" s="37" t="s">
        <v>194</v>
      </c>
      <c r="M216" s="37" t="s">
        <v>194</v>
      </c>
      <c r="N216" s="37" t="s">
        <v>194</v>
      </c>
      <c r="O216" s="37" t="s">
        <v>194</v>
      </c>
      <c r="P216" s="37" t="s">
        <v>1874</v>
      </c>
      <c r="Q216" s="37" t="s">
        <v>1875</v>
      </c>
      <c r="R216" s="41">
        <v>46264.0</v>
      </c>
      <c r="S216" s="42">
        <v>0.0</v>
      </c>
      <c r="T216" s="44"/>
      <c r="U216" s="45" t="str">
        <f>IF(records[Type]="Room",records[roomNo],records[roomNo]&amp;"-"&amp;SUBSTITUTE(RIGHT(records[roomNo]&amp;records[Type],2),"-",""))</f>
        <v>10-1-112</v>
      </c>
      <c r="V216" s="47" t="str">
        <f t="array" ref="V216">_xlfn.XLOOKUP(records[ID], dAir[roomNo], dAir[roomName])</f>
        <v>CHANGE PARTS STORAGE</v>
      </c>
      <c r="W216" s="47" t="str">
        <f t="array" ref="W216">_xlfn.XLOOKUP(records[ID], dAir[roomNo], dAir[building])</f>
        <v>Building 10</v>
      </c>
      <c r="X216" s="47" t="str">
        <f t="array" ref="X216">_xlfn.XLOOKUP(records[ID], dAir[roomNo], dAir[floor])</f>
        <v>Floor 1</v>
      </c>
      <c r="Y216" s="45" t="str">
        <f t="array" ref="Y216">_xlfn.XLOOKUP(records[ID], dAir[roomNo], dAir[Class])</f>
        <v>D</v>
      </c>
      <c r="Z216" s="45">
        <f t="array" ref="Z216">_xlfn.XLOOKUP(records[Method]&amp;"-"&amp;records[Class], dAirSpec[ID], dAirSpec[Spec])</f>
        <v>100</v>
      </c>
      <c r="AA216" s="45" t="str">
        <f t="array" ref="AA216">_xlfn.XLOOKUP(records[Method]&amp;"-"&amp;records[Class], dAirSpec[ID], dAirSpec[Unit])</f>
        <v>cfu/plate</v>
      </c>
      <c r="AB216" s="58">
        <f t="array" ref="AB216">if(S216="","", if(records[Method]="Active Air",_xlfn.xlookup(records[ColonyCount]&amp;records[AirSampler],feller[code],feller[Vc]),records[ColonyCount]))</f>
        <v>0</v>
      </c>
      <c r="AC216" s="60" t="b">
        <f t="shared" si="1"/>
        <v>1</v>
      </c>
      <c r="AD216" s="61" t="b">
        <v>0</v>
      </c>
      <c r="AE216" s="32" t="s">
        <v>235</v>
      </c>
      <c r="AF216" s="46"/>
      <c r="AG216" s="46"/>
      <c r="AH216" s="46"/>
      <c r="AI216" s="46"/>
      <c r="AJ216" s="46"/>
    </row>
    <row r="217" ht="22.5" customHeight="1">
      <c r="A217" s="27">
        <v>46211.0</v>
      </c>
      <c r="B217" s="34" t="str">
        <f t="array" ref="B217">TEXT(A217, "MM-YYYY")</f>
        <v>07-2026</v>
      </c>
      <c r="C217" s="32" t="s">
        <v>726</v>
      </c>
      <c r="D217" s="21" t="s">
        <v>210</v>
      </c>
      <c r="E217" s="36" t="s">
        <v>213</v>
      </c>
      <c r="F217" s="37" t="s">
        <v>54</v>
      </c>
      <c r="G217" s="29" t="b">
        <v>1</v>
      </c>
      <c r="H217" s="36" t="s">
        <v>214</v>
      </c>
      <c r="I217" s="36" t="s">
        <v>215</v>
      </c>
      <c r="J217" s="29"/>
      <c r="K217" s="138"/>
      <c r="L217" s="37" t="s">
        <v>194</v>
      </c>
      <c r="M217" s="37" t="s">
        <v>194</v>
      </c>
      <c r="N217" s="37" t="s">
        <v>194</v>
      </c>
      <c r="O217" s="37" t="s">
        <v>194</v>
      </c>
      <c r="P217" s="37" t="s">
        <v>1874</v>
      </c>
      <c r="Q217" s="37" t="s">
        <v>1875</v>
      </c>
      <c r="R217" s="41">
        <v>46264.0</v>
      </c>
      <c r="S217" s="42">
        <v>0.0</v>
      </c>
      <c r="T217" s="44"/>
      <c r="U217" s="45" t="str">
        <f>IF(records[Type]="Room",records[roomNo],records[roomNo]&amp;"-"&amp;SUBSTITUTE(RIGHT(records[roomNo]&amp;records[Type],2),"-",""))</f>
        <v>10-1-113</v>
      </c>
      <c r="V217" s="47" t="str">
        <f t="array" ref="V217">_xlfn.XLOOKUP(records[ID], dAir[roomNo], dAir[roomName])</f>
        <v>CLEANED EQUIPMENT</v>
      </c>
      <c r="W217" s="47" t="str">
        <f t="array" ref="W217">_xlfn.XLOOKUP(records[ID], dAir[roomNo], dAir[building])</f>
        <v>Building 10</v>
      </c>
      <c r="X217" s="47" t="str">
        <f t="array" ref="X217">_xlfn.XLOOKUP(records[ID], dAir[roomNo], dAir[floor])</f>
        <v>Floor 1</v>
      </c>
      <c r="Y217" s="45" t="str">
        <f t="array" ref="Y217">_xlfn.XLOOKUP(records[ID], dAir[roomNo], dAir[Class])</f>
        <v>D</v>
      </c>
      <c r="Z217" s="45">
        <f t="array" ref="Z217">_xlfn.XLOOKUP(records[Method]&amp;"-"&amp;records[Class], dAirSpec[ID], dAirSpec[Spec])</f>
        <v>100</v>
      </c>
      <c r="AA217" s="45" t="str">
        <f t="array" ref="AA217">_xlfn.XLOOKUP(records[Method]&amp;"-"&amp;records[Class], dAirSpec[ID], dAirSpec[Unit])</f>
        <v>cfu/plate</v>
      </c>
      <c r="AB217" s="58">
        <f t="array" ref="AB217">if(S217="","", if(records[Method]="Active Air",_xlfn.xlookup(records[ColonyCount]&amp;records[AirSampler],feller[code],feller[Vc]),records[ColonyCount]))</f>
        <v>0</v>
      </c>
      <c r="AC217" s="60" t="b">
        <f t="shared" si="1"/>
        <v>1</v>
      </c>
      <c r="AD217" s="61" t="b">
        <v>0</v>
      </c>
      <c r="AE217" s="32" t="s">
        <v>235</v>
      </c>
      <c r="AF217" s="46"/>
      <c r="AG217" s="46"/>
      <c r="AH217" s="46"/>
      <c r="AI217" s="46"/>
      <c r="AJ217" s="46"/>
    </row>
    <row r="218" ht="22.5" customHeight="1">
      <c r="A218" s="27">
        <v>46211.0</v>
      </c>
      <c r="B218" s="34" t="str">
        <f t="array" ref="B218">TEXT(A218, "MM-YYYY")</f>
        <v>07-2026</v>
      </c>
      <c r="C218" s="32" t="s">
        <v>732</v>
      </c>
      <c r="D218" s="21" t="s">
        <v>210</v>
      </c>
      <c r="E218" s="36" t="s">
        <v>213</v>
      </c>
      <c r="F218" s="37" t="s">
        <v>54</v>
      </c>
      <c r="G218" s="29" t="b">
        <v>1</v>
      </c>
      <c r="H218" s="36" t="s">
        <v>214</v>
      </c>
      <c r="I218" s="36" t="s">
        <v>215</v>
      </c>
      <c r="J218" s="29"/>
      <c r="K218" s="138"/>
      <c r="L218" s="37" t="s">
        <v>194</v>
      </c>
      <c r="M218" s="37" t="s">
        <v>194</v>
      </c>
      <c r="N218" s="37" t="s">
        <v>194</v>
      </c>
      <c r="O218" s="37" t="s">
        <v>194</v>
      </c>
      <c r="P218" s="37" t="s">
        <v>1874</v>
      </c>
      <c r="Q218" s="37" t="s">
        <v>1875</v>
      </c>
      <c r="R218" s="41">
        <v>46264.0</v>
      </c>
      <c r="S218" s="42">
        <v>2.0</v>
      </c>
      <c r="T218" s="44"/>
      <c r="U218" s="45" t="str">
        <f>IF(records[Type]="Room",records[roomNo],records[roomNo]&amp;"-"&amp;SUBSTITUTE(RIGHT(records[roomNo]&amp;records[Type],2),"-",""))</f>
        <v>10-1-114</v>
      </c>
      <c r="V218" s="47" t="str">
        <f t="array" ref="V218">_xlfn.XLOOKUP(records[ID], dAir[roomNo], dAir[roomName])</f>
        <v>JANITOR</v>
      </c>
      <c r="W218" s="47" t="str">
        <f t="array" ref="W218">_xlfn.XLOOKUP(records[ID], dAir[roomNo], dAir[building])</f>
        <v>Building 10</v>
      </c>
      <c r="X218" s="47" t="str">
        <f t="array" ref="X218">_xlfn.XLOOKUP(records[ID], dAir[roomNo], dAir[floor])</f>
        <v>Floor 1</v>
      </c>
      <c r="Y218" s="45" t="str">
        <f t="array" ref="Y218">_xlfn.XLOOKUP(records[ID], dAir[roomNo], dAir[Class])</f>
        <v>D</v>
      </c>
      <c r="Z218" s="45">
        <f t="array" ref="Z218">_xlfn.XLOOKUP(records[Method]&amp;"-"&amp;records[Class], dAirSpec[ID], dAirSpec[Spec])</f>
        <v>100</v>
      </c>
      <c r="AA218" s="45" t="str">
        <f t="array" ref="AA218">_xlfn.XLOOKUP(records[Method]&amp;"-"&amp;records[Class], dAirSpec[ID], dAirSpec[Unit])</f>
        <v>cfu/plate</v>
      </c>
      <c r="AB218" s="58">
        <f t="array" ref="AB218">if(S218="","", if(records[Method]="Active Air",_xlfn.xlookup(records[ColonyCount]&amp;records[AirSampler],feller[code],feller[Vc]),records[ColonyCount]))</f>
        <v>2</v>
      </c>
      <c r="AC218" s="60" t="b">
        <f t="shared" si="1"/>
        <v>1</v>
      </c>
      <c r="AD218" s="61" t="b">
        <v>0</v>
      </c>
      <c r="AE218" s="32" t="s">
        <v>235</v>
      </c>
      <c r="AF218" s="46"/>
      <c r="AG218" s="46"/>
      <c r="AH218" s="46"/>
      <c r="AI218" s="46"/>
      <c r="AJ218" s="46"/>
    </row>
    <row r="219" ht="22.5" customHeight="1">
      <c r="A219" s="27">
        <v>46211.0</v>
      </c>
      <c r="B219" s="34" t="str">
        <f t="array" ref="B219">TEXT(A219, "MM-YYYY")</f>
        <v>07-2026</v>
      </c>
      <c r="C219" s="32" t="s">
        <v>739</v>
      </c>
      <c r="D219" s="21" t="s">
        <v>210</v>
      </c>
      <c r="E219" s="36" t="s">
        <v>213</v>
      </c>
      <c r="F219" s="37" t="s">
        <v>54</v>
      </c>
      <c r="G219" s="29" t="b">
        <v>1</v>
      </c>
      <c r="H219" s="36" t="s">
        <v>214</v>
      </c>
      <c r="I219" s="36" t="s">
        <v>215</v>
      </c>
      <c r="J219" s="29"/>
      <c r="K219" s="138"/>
      <c r="L219" s="37" t="s">
        <v>194</v>
      </c>
      <c r="M219" s="37" t="s">
        <v>194</v>
      </c>
      <c r="N219" s="37" t="s">
        <v>194</v>
      </c>
      <c r="O219" s="37" t="s">
        <v>194</v>
      </c>
      <c r="P219" s="37" t="s">
        <v>1874</v>
      </c>
      <c r="Q219" s="37" t="s">
        <v>1875</v>
      </c>
      <c r="R219" s="41">
        <v>46264.0</v>
      </c>
      <c r="S219" s="42">
        <v>0.0</v>
      </c>
      <c r="T219" s="44"/>
      <c r="U219" s="45" t="str">
        <f>IF(records[Type]="Room",records[roomNo],records[roomNo]&amp;"-"&amp;SUBSTITUTE(RIGHT(records[roomNo]&amp;records[Type],2),"-",""))</f>
        <v>10-1-115</v>
      </c>
      <c r="V219" s="47" t="str">
        <f t="array" ref="V219">_xlfn.XLOOKUP(records[ID], dAir[roomNo], dAir[roomName])</f>
        <v>WASHING</v>
      </c>
      <c r="W219" s="47" t="str">
        <f t="array" ref="W219">_xlfn.XLOOKUP(records[ID], dAir[roomNo], dAir[building])</f>
        <v>Building 10</v>
      </c>
      <c r="X219" s="47" t="str">
        <f t="array" ref="X219">_xlfn.XLOOKUP(records[ID], dAir[roomNo], dAir[floor])</f>
        <v>Floor 1</v>
      </c>
      <c r="Y219" s="45" t="str">
        <f t="array" ref="Y219">_xlfn.XLOOKUP(records[ID], dAir[roomNo], dAir[Class])</f>
        <v>D</v>
      </c>
      <c r="Z219" s="45">
        <f t="array" ref="Z219">_xlfn.XLOOKUP(records[Method]&amp;"-"&amp;records[Class], dAirSpec[ID], dAirSpec[Spec])</f>
        <v>100</v>
      </c>
      <c r="AA219" s="45" t="str">
        <f t="array" ref="AA219">_xlfn.XLOOKUP(records[Method]&amp;"-"&amp;records[Class], dAirSpec[ID], dAirSpec[Unit])</f>
        <v>cfu/plate</v>
      </c>
      <c r="AB219" s="58">
        <f t="array" ref="AB219">if(S219="","", if(records[Method]="Active Air",_xlfn.xlookup(records[ColonyCount]&amp;records[AirSampler],feller[code],feller[Vc]),records[ColonyCount]))</f>
        <v>0</v>
      </c>
      <c r="AC219" s="60" t="b">
        <f t="shared" si="1"/>
        <v>1</v>
      </c>
      <c r="AD219" s="61" t="b">
        <v>0</v>
      </c>
      <c r="AE219" s="32" t="s">
        <v>235</v>
      </c>
      <c r="AF219" s="46"/>
      <c r="AG219" s="46"/>
      <c r="AH219" s="46"/>
      <c r="AI219" s="46"/>
      <c r="AJ219" s="46"/>
    </row>
    <row r="220" ht="22.5" customHeight="1">
      <c r="A220" s="27">
        <v>46211.0</v>
      </c>
      <c r="B220" s="34" t="str">
        <f t="array" ref="B220">TEXT(A220, "MM-YYYY")</f>
        <v>07-2026</v>
      </c>
      <c r="C220" s="32" t="s">
        <v>747</v>
      </c>
      <c r="D220" s="21" t="s">
        <v>210</v>
      </c>
      <c r="E220" s="36" t="s">
        <v>213</v>
      </c>
      <c r="F220" s="37" t="s">
        <v>54</v>
      </c>
      <c r="G220" s="29" t="b">
        <v>1</v>
      </c>
      <c r="H220" s="36" t="s">
        <v>214</v>
      </c>
      <c r="I220" s="36" t="s">
        <v>215</v>
      </c>
      <c r="J220" s="29"/>
      <c r="K220" s="138"/>
      <c r="L220" s="37" t="s">
        <v>194</v>
      </c>
      <c r="M220" s="37" t="s">
        <v>194</v>
      </c>
      <c r="N220" s="37" t="s">
        <v>194</v>
      </c>
      <c r="O220" s="37" t="s">
        <v>194</v>
      </c>
      <c r="P220" s="37" t="s">
        <v>1874</v>
      </c>
      <c r="Q220" s="37" t="s">
        <v>1875</v>
      </c>
      <c r="R220" s="41">
        <v>46264.0</v>
      </c>
      <c r="S220" s="42">
        <v>1.0</v>
      </c>
      <c r="T220" s="44"/>
      <c r="U220" s="45" t="str">
        <f>IF(records[Type]="Room",records[roomNo],records[roomNo]&amp;"-"&amp;SUBSTITUTE(RIGHT(records[roomNo]&amp;records[Type],2),"-",""))</f>
        <v>10-1-116</v>
      </c>
      <c r="V220" s="47" t="str">
        <f t="array" ref="V220">_xlfn.XLOOKUP(records[ID], dAir[roomNo], dAir[roomName])</f>
        <v>AIRLOCK</v>
      </c>
      <c r="W220" s="47" t="str">
        <f t="array" ref="W220">_xlfn.XLOOKUP(records[ID], dAir[roomNo], dAir[building])</f>
        <v>Building 10</v>
      </c>
      <c r="X220" s="47" t="str">
        <f t="array" ref="X220">_xlfn.XLOOKUP(records[ID], dAir[roomNo], dAir[floor])</f>
        <v>Floor 1</v>
      </c>
      <c r="Y220" s="45" t="str">
        <f t="array" ref="Y220">_xlfn.XLOOKUP(records[ID], dAir[roomNo], dAir[Class])</f>
        <v>D</v>
      </c>
      <c r="Z220" s="45">
        <f t="array" ref="Z220">_xlfn.XLOOKUP(records[Method]&amp;"-"&amp;records[Class], dAirSpec[ID], dAirSpec[Spec])</f>
        <v>100</v>
      </c>
      <c r="AA220" s="45" t="str">
        <f t="array" ref="AA220">_xlfn.XLOOKUP(records[Method]&amp;"-"&amp;records[Class], dAirSpec[ID], dAirSpec[Unit])</f>
        <v>cfu/plate</v>
      </c>
      <c r="AB220" s="58">
        <f t="array" ref="AB220">if(S220="","", if(records[Method]="Active Air",_xlfn.xlookup(records[ColonyCount]&amp;records[AirSampler],feller[code],feller[Vc]),records[ColonyCount]))</f>
        <v>1</v>
      </c>
      <c r="AC220" s="60" t="b">
        <f t="shared" si="1"/>
        <v>1</v>
      </c>
      <c r="AD220" s="61" t="b">
        <v>0</v>
      </c>
      <c r="AE220" s="32" t="s">
        <v>235</v>
      </c>
      <c r="AF220" s="46"/>
      <c r="AG220" s="46"/>
      <c r="AH220" s="46"/>
      <c r="AI220" s="46"/>
      <c r="AJ220" s="46"/>
    </row>
    <row r="221" ht="22.5" customHeight="1">
      <c r="A221" s="27">
        <v>46211.0</v>
      </c>
      <c r="B221" s="34" t="str">
        <f t="array" ref="B221">TEXT(A221, "MM-YYYY")</f>
        <v>07-2026</v>
      </c>
      <c r="C221" s="32" t="s">
        <v>698</v>
      </c>
      <c r="D221" s="21" t="s">
        <v>210</v>
      </c>
      <c r="E221" s="36" t="s">
        <v>213</v>
      </c>
      <c r="F221" s="37" t="s">
        <v>54</v>
      </c>
      <c r="G221" s="29" t="b">
        <v>1</v>
      </c>
      <c r="H221" s="36" t="s">
        <v>214</v>
      </c>
      <c r="I221" s="36" t="s">
        <v>215</v>
      </c>
      <c r="J221" s="29"/>
      <c r="K221" s="138"/>
      <c r="L221" s="37" t="s">
        <v>194</v>
      </c>
      <c r="M221" s="37" t="s">
        <v>194</v>
      </c>
      <c r="N221" s="37" t="s">
        <v>194</v>
      </c>
      <c r="O221" s="37" t="s">
        <v>194</v>
      </c>
      <c r="P221" s="37" t="s">
        <v>1874</v>
      </c>
      <c r="Q221" s="37" t="s">
        <v>1875</v>
      </c>
      <c r="R221" s="41">
        <v>46264.0</v>
      </c>
      <c r="S221" s="42">
        <v>2.0</v>
      </c>
      <c r="T221" s="44"/>
      <c r="U221" s="45" t="str">
        <f>IF(records[Type]="Room",records[roomNo],records[roomNo]&amp;"-"&amp;SUBSTITUTE(RIGHT(records[roomNo]&amp;records[Type],2),"-",""))</f>
        <v>10-1-117</v>
      </c>
      <c r="V221" s="47" t="str">
        <f t="array" ref="V221">_xlfn.XLOOKUP(records[ID], dAir[roomNo], dAir[roomName])</f>
        <v>USED EQUIPMENT</v>
      </c>
      <c r="W221" s="47" t="str">
        <f t="array" ref="W221">_xlfn.XLOOKUP(records[ID], dAir[roomNo], dAir[building])</f>
        <v>Building 10</v>
      </c>
      <c r="X221" s="47" t="str">
        <f t="array" ref="X221">_xlfn.XLOOKUP(records[ID], dAir[roomNo], dAir[floor])</f>
        <v>Floor 1</v>
      </c>
      <c r="Y221" s="45" t="str">
        <f t="array" ref="Y221">_xlfn.XLOOKUP(records[ID], dAir[roomNo], dAir[Class])</f>
        <v>D</v>
      </c>
      <c r="Z221" s="45">
        <f t="array" ref="Z221">_xlfn.XLOOKUP(records[Method]&amp;"-"&amp;records[Class], dAirSpec[ID], dAirSpec[Spec])</f>
        <v>100</v>
      </c>
      <c r="AA221" s="45" t="str">
        <f t="array" ref="AA221">_xlfn.XLOOKUP(records[Method]&amp;"-"&amp;records[Class], dAirSpec[ID], dAirSpec[Unit])</f>
        <v>cfu/plate</v>
      </c>
      <c r="AB221" s="58">
        <f t="array" ref="AB221">if(S221="","", if(records[Method]="Active Air",_xlfn.xlookup(records[ColonyCount]&amp;records[AirSampler],feller[code],feller[Vc]),records[ColonyCount]))</f>
        <v>2</v>
      </c>
      <c r="AC221" s="60" t="b">
        <f t="shared" si="1"/>
        <v>1</v>
      </c>
      <c r="AD221" s="61" t="b">
        <v>0</v>
      </c>
      <c r="AE221" s="32" t="s">
        <v>235</v>
      </c>
      <c r="AF221" s="46"/>
      <c r="AG221" s="46"/>
      <c r="AH221" s="46"/>
      <c r="AI221" s="46"/>
      <c r="AJ221" s="46"/>
    </row>
    <row r="222" ht="22.5" customHeight="1">
      <c r="A222" s="27">
        <v>46211.0</v>
      </c>
      <c r="B222" s="34" t="str">
        <f t="array" ref="B222">TEXT(A222, "MM-YYYY")</f>
        <v>07-2026</v>
      </c>
      <c r="C222" s="32" t="s">
        <v>761</v>
      </c>
      <c r="D222" s="21" t="s">
        <v>210</v>
      </c>
      <c r="E222" s="36" t="s">
        <v>213</v>
      </c>
      <c r="F222" s="37" t="s">
        <v>54</v>
      </c>
      <c r="G222" s="29" t="b">
        <v>1</v>
      </c>
      <c r="H222" s="36" t="s">
        <v>214</v>
      </c>
      <c r="I222" s="36" t="s">
        <v>215</v>
      </c>
      <c r="J222" s="29"/>
      <c r="K222" s="138"/>
      <c r="L222" s="37" t="s">
        <v>194</v>
      </c>
      <c r="M222" s="37" t="s">
        <v>194</v>
      </c>
      <c r="N222" s="37" t="s">
        <v>194</v>
      </c>
      <c r="O222" s="37" t="s">
        <v>194</v>
      </c>
      <c r="P222" s="37" t="s">
        <v>1874</v>
      </c>
      <c r="Q222" s="37" t="s">
        <v>1875</v>
      </c>
      <c r="R222" s="41">
        <v>46264.0</v>
      </c>
      <c r="S222" s="42">
        <v>8.0</v>
      </c>
      <c r="T222" s="44" t="s">
        <v>2011</v>
      </c>
      <c r="U222" s="45" t="str">
        <f>IF(records[Type]="Room",records[roomNo],records[roomNo]&amp;"-"&amp;SUBSTITUTE(RIGHT(records[roomNo]&amp;records[Type],2),"-",""))</f>
        <v>10-1-119</v>
      </c>
      <c r="V222" s="47" t="str">
        <f t="array" ref="V222">_xlfn.XLOOKUP(records[ID], dAir[roomNo], dAir[roomName])</f>
        <v>CORRIDOR</v>
      </c>
      <c r="W222" s="47" t="str">
        <f t="array" ref="W222">_xlfn.XLOOKUP(records[ID], dAir[roomNo], dAir[building])</f>
        <v>Building 10</v>
      </c>
      <c r="X222" s="47" t="str">
        <f t="array" ref="X222">_xlfn.XLOOKUP(records[ID], dAir[roomNo], dAir[floor])</f>
        <v>Floor 1</v>
      </c>
      <c r="Y222" s="45" t="str">
        <f t="array" ref="Y222">_xlfn.XLOOKUP(records[ID], dAir[roomNo], dAir[Class])</f>
        <v>D</v>
      </c>
      <c r="Z222" s="45">
        <f t="array" ref="Z222">_xlfn.XLOOKUP(records[Method]&amp;"-"&amp;records[Class], dAirSpec[ID], dAirSpec[Spec])</f>
        <v>100</v>
      </c>
      <c r="AA222" s="45" t="str">
        <f t="array" ref="AA222">_xlfn.XLOOKUP(records[Method]&amp;"-"&amp;records[Class], dAirSpec[ID], dAirSpec[Unit])</f>
        <v>cfu/plate</v>
      </c>
      <c r="AB222" s="58">
        <f t="array" ref="AB222">if(S222="","", if(records[Method]="Active Air",_xlfn.xlookup(records[ColonyCount]&amp;records[AirSampler],feller[code],feller[Vc]),records[ColonyCount]))</f>
        <v>8</v>
      </c>
      <c r="AC222" s="60" t="b">
        <f t="shared" si="1"/>
        <v>1</v>
      </c>
      <c r="AD222" s="61" t="b">
        <v>0</v>
      </c>
      <c r="AE222" s="32" t="s">
        <v>235</v>
      </c>
      <c r="AF222" s="46"/>
      <c r="AG222" s="46"/>
      <c r="AH222" s="46"/>
      <c r="AI222" s="46"/>
      <c r="AJ222" s="46"/>
    </row>
    <row r="223" ht="22.5" customHeight="1">
      <c r="A223" s="27">
        <v>46211.0</v>
      </c>
      <c r="B223" s="34" t="str">
        <f t="array" ref="B223">TEXT(A223, "MM-YYYY")</f>
        <v>07-2026</v>
      </c>
      <c r="C223" s="32" t="s">
        <v>768</v>
      </c>
      <c r="D223" s="21" t="s">
        <v>210</v>
      </c>
      <c r="E223" s="36" t="s">
        <v>213</v>
      </c>
      <c r="F223" s="37" t="s">
        <v>54</v>
      </c>
      <c r="G223" s="29" t="b">
        <v>1</v>
      </c>
      <c r="H223" s="36" t="s">
        <v>214</v>
      </c>
      <c r="I223" s="36" t="s">
        <v>215</v>
      </c>
      <c r="J223" s="29"/>
      <c r="K223" s="138"/>
      <c r="L223" s="37" t="s">
        <v>194</v>
      </c>
      <c r="M223" s="37" t="s">
        <v>194</v>
      </c>
      <c r="N223" s="37" t="s">
        <v>194</v>
      </c>
      <c r="O223" s="37" t="s">
        <v>194</v>
      </c>
      <c r="P223" s="37" t="s">
        <v>1874</v>
      </c>
      <c r="Q223" s="37" t="s">
        <v>1875</v>
      </c>
      <c r="R223" s="41">
        <v>46264.0</v>
      </c>
      <c r="S223" s="42">
        <v>0.0</v>
      </c>
      <c r="T223" s="44"/>
      <c r="U223" s="45" t="str">
        <f>IF(records[Type]="Room",records[roomNo],records[roomNo]&amp;"-"&amp;SUBSTITUTE(RIGHT(records[roomNo]&amp;records[Type],2),"-",""))</f>
        <v>10-1-120</v>
      </c>
      <c r="V223" s="47" t="str">
        <f t="array" ref="V223">_xlfn.XLOOKUP(records[ID], dAir[roomNo], dAir[roomName])</f>
        <v>BULK STAGING 3</v>
      </c>
      <c r="W223" s="47" t="str">
        <f t="array" ref="W223">_xlfn.XLOOKUP(records[ID], dAir[roomNo], dAir[building])</f>
        <v>Building 10</v>
      </c>
      <c r="X223" s="47" t="str">
        <f t="array" ref="X223">_xlfn.XLOOKUP(records[ID], dAir[roomNo], dAir[floor])</f>
        <v>Floor 1</v>
      </c>
      <c r="Y223" s="45" t="str">
        <f t="array" ref="Y223">_xlfn.XLOOKUP(records[ID], dAir[roomNo], dAir[Class])</f>
        <v>D</v>
      </c>
      <c r="Z223" s="45">
        <f t="array" ref="Z223">_xlfn.XLOOKUP(records[Method]&amp;"-"&amp;records[Class], dAirSpec[ID], dAirSpec[Spec])</f>
        <v>100</v>
      </c>
      <c r="AA223" s="45" t="str">
        <f t="array" ref="AA223">_xlfn.XLOOKUP(records[Method]&amp;"-"&amp;records[Class], dAirSpec[ID], dAirSpec[Unit])</f>
        <v>cfu/plate</v>
      </c>
      <c r="AB223" s="58">
        <f t="array" ref="AB223">if(S223="","", if(records[Method]="Active Air",_xlfn.xlookup(records[ColonyCount]&amp;records[AirSampler],feller[code],feller[Vc]),records[ColonyCount]))</f>
        <v>0</v>
      </c>
      <c r="AC223" s="60" t="b">
        <f t="shared" si="1"/>
        <v>1</v>
      </c>
      <c r="AD223" s="61" t="b">
        <v>0</v>
      </c>
      <c r="AE223" s="32" t="s">
        <v>235</v>
      </c>
      <c r="AF223" s="46"/>
      <c r="AG223" s="46"/>
      <c r="AH223" s="46"/>
      <c r="AI223" s="46"/>
      <c r="AJ223" s="46"/>
    </row>
    <row r="224" ht="22.5" customHeight="1">
      <c r="A224" s="27">
        <v>46211.0</v>
      </c>
      <c r="B224" s="34" t="str">
        <f t="array" ref="B224">TEXT(A224, "MM-YYYY")</f>
        <v>07-2026</v>
      </c>
      <c r="C224" s="32" t="s">
        <v>433</v>
      </c>
      <c r="D224" s="21" t="s">
        <v>210</v>
      </c>
      <c r="E224" s="36" t="s">
        <v>213</v>
      </c>
      <c r="F224" s="37" t="s">
        <v>54</v>
      </c>
      <c r="G224" s="29" t="b">
        <v>1</v>
      </c>
      <c r="H224" s="36" t="s">
        <v>214</v>
      </c>
      <c r="I224" s="36" t="s">
        <v>215</v>
      </c>
      <c r="J224" s="29"/>
      <c r="K224" s="138"/>
      <c r="L224" s="37" t="s">
        <v>194</v>
      </c>
      <c r="M224" s="37" t="s">
        <v>194</v>
      </c>
      <c r="N224" s="37" t="s">
        <v>194</v>
      </c>
      <c r="O224" s="37" t="s">
        <v>194</v>
      </c>
      <c r="P224" s="37" t="s">
        <v>1874</v>
      </c>
      <c r="Q224" s="37" t="s">
        <v>1875</v>
      </c>
      <c r="R224" s="41">
        <v>46264.0</v>
      </c>
      <c r="S224" s="42">
        <v>0.0</v>
      </c>
      <c r="T224" s="44"/>
      <c r="U224" s="45" t="str">
        <f>IF(records[Type]="Room",records[roomNo],records[roomNo]&amp;"-"&amp;SUBSTITUTE(RIGHT(records[roomNo]&amp;records[Type],2),"-",""))</f>
        <v>10-1-121</v>
      </c>
      <c r="V224" s="47" t="str">
        <f t="array" ref="V224">_xlfn.XLOOKUP(records[ID], dAir[roomNo], dAir[roomName])</f>
        <v>TABLETS INSPECTION 1 (LOW RH) (TABLET INSPECTIONMACHINE)</v>
      </c>
      <c r="W224" s="47" t="str">
        <f t="array" ref="W224">_xlfn.XLOOKUP(records[ID], dAir[roomNo], dAir[building])</f>
        <v>Building 10</v>
      </c>
      <c r="X224" s="47" t="str">
        <f t="array" ref="X224">_xlfn.XLOOKUP(records[ID], dAir[roomNo], dAir[floor])</f>
        <v>Floor 1</v>
      </c>
      <c r="Y224" s="45" t="str">
        <f t="array" ref="Y224">_xlfn.XLOOKUP(records[ID], dAir[roomNo], dAir[Class])</f>
        <v>D</v>
      </c>
      <c r="Z224" s="45">
        <f t="array" ref="Z224">_xlfn.XLOOKUP(records[Method]&amp;"-"&amp;records[Class], dAirSpec[ID], dAirSpec[Spec])</f>
        <v>100</v>
      </c>
      <c r="AA224" s="45" t="str">
        <f t="array" ref="AA224">_xlfn.XLOOKUP(records[Method]&amp;"-"&amp;records[Class], dAirSpec[ID], dAirSpec[Unit])</f>
        <v>cfu/plate</v>
      </c>
      <c r="AB224" s="58">
        <f t="array" ref="AB224">if(S224="","", if(records[Method]="Active Air",_xlfn.xlookup(records[ColonyCount]&amp;records[AirSampler],feller[code],feller[Vc]),records[ColonyCount]))</f>
        <v>0</v>
      </c>
      <c r="AC224" s="60" t="b">
        <f t="shared" si="1"/>
        <v>1</v>
      </c>
      <c r="AD224" s="61" t="b">
        <v>0</v>
      </c>
      <c r="AE224" s="32" t="s">
        <v>235</v>
      </c>
      <c r="AF224" s="46"/>
      <c r="AG224" s="46"/>
      <c r="AH224" s="46"/>
      <c r="AI224" s="46"/>
      <c r="AJ224" s="46"/>
    </row>
    <row r="225" ht="22.5" customHeight="1">
      <c r="A225" s="27">
        <v>46211.0</v>
      </c>
      <c r="B225" s="34" t="str">
        <f t="array" ref="B225">TEXT(A225, "MM-YYYY")</f>
        <v>07-2026</v>
      </c>
      <c r="C225" s="32" t="s">
        <v>422</v>
      </c>
      <c r="D225" s="21" t="s">
        <v>210</v>
      </c>
      <c r="E225" s="36" t="s">
        <v>213</v>
      </c>
      <c r="F225" s="37" t="s">
        <v>54</v>
      </c>
      <c r="G225" s="29" t="b">
        <v>1</v>
      </c>
      <c r="H225" s="36" t="s">
        <v>214</v>
      </c>
      <c r="I225" s="36" t="s">
        <v>215</v>
      </c>
      <c r="J225" s="29"/>
      <c r="K225" s="138"/>
      <c r="L225" s="37" t="s">
        <v>194</v>
      </c>
      <c r="M225" s="37" t="s">
        <v>194</v>
      </c>
      <c r="N225" s="37" t="s">
        <v>194</v>
      </c>
      <c r="O225" s="37" t="s">
        <v>194</v>
      </c>
      <c r="P225" s="37" t="s">
        <v>1874</v>
      </c>
      <c r="Q225" s="37" t="s">
        <v>1875</v>
      </c>
      <c r="R225" s="41">
        <v>46264.0</v>
      </c>
      <c r="S225" s="42">
        <v>0.0</v>
      </c>
      <c r="T225" s="44"/>
      <c r="U225" s="45" t="str">
        <f>IF(records[Type]="Room",records[roomNo],records[roomNo]&amp;"-"&amp;SUBSTITUTE(RIGHT(records[roomNo]&amp;records[Type],2),"-",""))</f>
        <v>10-1-122</v>
      </c>
      <c r="V225" s="47" t="str">
        <f t="array" ref="V225">_xlfn.XLOOKUP(records[ID], dAir[roomNo], dAir[roomName])</f>
        <v>TABLETS INSPECTION 2 (TABLET INSPECTION MACHINE)</v>
      </c>
      <c r="W225" s="47" t="str">
        <f t="array" ref="W225">_xlfn.XLOOKUP(records[ID], dAir[roomNo], dAir[building])</f>
        <v>Building 10</v>
      </c>
      <c r="X225" s="47" t="str">
        <f t="array" ref="X225">_xlfn.XLOOKUP(records[ID], dAir[roomNo], dAir[floor])</f>
        <v>Floor 1</v>
      </c>
      <c r="Y225" s="45" t="str">
        <f t="array" ref="Y225">_xlfn.XLOOKUP(records[ID], dAir[roomNo], dAir[Class])</f>
        <v>D</v>
      </c>
      <c r="Z225" s="45">
        <f t="array" ref="Z225">_xlfn.XLOOKUP(records[Method]&amp;"-"&amp;records[Class], dAirSpec[ID], dAirSpec[Spec])</f>
        <v>100</v>
      </c>
      <c r="AA225" s="45" t="str">
        <f t="array" ref="AA225">_xlfn.XLOOKUP(records[Method]&amp;"-"&amp;records[Class], dAirSpec[ID], dAirSpec[Unit])</f>
        <v>cfu/plate</v>
      </c>
      <c r="AB225" s="58">
        <f t="array" ref="AB225">if(S225="","", if(records[Method]="Active Air",_xlfn.xlookup(records[ColonyCount]&amp;records[AirSampler],feller[code],feller[Vc]),records[ColonyCount]))</f>
        <v>0</v>
      </c>
      <c r="AC225" s="60" t="b">
        <f t="shared" si="1"/>
        <v>1</v>
      </c>
      <c r="AD225" s="61" t="b">
        <v>0</v>
      </c>
      <c r="AE225" s="32" t="s">
        <v>235</v>
      </c>
      <c r="AF225" s="46"/>
      <c r="AG225" s="46"/>
      <c r="AH225" s="46"/>
      <c r="AI225" s="46"/>
      <c r="AJ225" s="46"/>
    </row>
    <row r="226" ht="22.5" customHeight="1">
      <c r="A226" s="27">
        <v>46211.0</v>
      </c>
      <c r="B226" s="34" t="str">
        <f t="array" ref="B226">TEXT(A226, "MM-YYYY")</f>
        <v>07-2026</v>
      </c>
      <c r="C226" s="32" t="s">
        <v>794</v>
      </c>
      <c r="D226" s="21" t="s">
        <v>210</v>
      </c>
      <c r="E226" s="36" t="s">
        <v>213</v>
      </c>
      <c r="F226" s="37" t="s">
        <v>54</v>
      </c>
      <c r="G226" s="29" t="b">
        <v>1</v>
      </c>
      <c r="H226" s="36" t="s">
        <v>214</v>
      </c>
      <c r="I226" s="36" t="s">
        <v>215</v>
      </c>
      <c r="J226" s="29"/>
      <c r="K226" s="138"/>
      <c r="L226" s="37" t="s">
        <v>194</v>
      </c>
      <c r="M226" s="37" t="s">
        <v>194</v>
      </c>
      <c r="N226" s="37" t="s">
        <v>194</v>
      </c>
      <c r="O226" s="37" t="s">
        <v>194</v>
      </c>
      <c r="P226" s="37" t="s">
        <v>1874</v>
      </c>
      <c r="Q226" s="37" t="s">
        <v>1875</v>
      </c>
      <c r="R226" s="41">
        <v>46264.0</v>
      </c>
      <c r="S226" s="42">
        <v>5.0</v>
      </c>
      <c r="T226" s="44"/>
      <c r="U226" s="45" t="str">
        <f>IF(records[Type]="Room",records[roomNo],records[roomNo]&amp;"-"&amp;SUBSTITUTE(RIGHT(records[roomNo]&amp;records[Type],2),"-",""))</f>
        <v>10-1-123</v>
      </c>
      <c r="V226" s="47" t="str">
        <f t="array" ref="V226">_xlfn.XLOOKUP(records[ID], dAir[roomNo], dAir[roomName])</f>
        <v>AIR LOCK</v>
      </c>
      <c r="W226" s="47" t="str">
        <f t="array" ref="W226">_xlfn.XLOOKUP(records[ID], dAir[roomNo], dAir[building])</f>
        <v>Building 10</v>
      </c>
      <c r="X226" s="47" t="str">
        <f t="array" ref="X226">_xlfn.XLOOKUP(records[ID], dAir[roomNo], dAir[floor])</f>
        <v>Floor 1</v>
      </c>
      <c r="Y226" s="45" t="str">
        <f t="array" ref="Y226">_xlfn.XLOOKUP(records[ID], dAir[roomNo], dAir[Class])</f>
        <v>D</v>
      </c>
      <c r="Z226" s="45">
        <f t="array" ref="Z226">_xlfn.XLOOKUP(records[Method]&amp;"-"&amp;records[Class], dAirSpec[ID], dAirSpec[Spec])</f>
        <v>100</v>
      </c>
      <c r="AA226" s="45" t="str">
        <f t="array" ref="AA226">_xlfn.XLOOKUP(records[Method]&amp;"-"&amp;records[Class], dAirSpec[ID], dAirSpec[Unit])</f>
        <v>cfu/plate</v>
      </c>
      <c r="AB226" s="58">
        <f t="array" ref="AB226">if(S226="","", if(records[Method]="Active Air",_xlfn.xlookup(records[ColonyCount]&amp;records[AirSampler],feller[code],feller[Vc]),records[ColonyCount]))</f>
        <v>5</v>
      </c>
      <c r="AC226" s="60" t="b">
        <f t="shared" si="1"/>
        <v>1</v>
      </c>
      <c r="AD226" s="61" t="b">
        <v>0</v>
      </c>
      <c r="AE226" s="32" t="s">
        <v>235</v>
      </c>
      <c r="AF226" s="46"/>
      <c r="AG226" s="46"/>
      <c r="AH226" s="46"/>
      <c r="AI226" s="46"/>
      <c r="AJ226" s="46"/>
    </row>
    <row r="227" ht="22.5" customHeight="1">
      <c r="A227" s="27">
        <v>46211.0</v>
      </c>
      <c r="B227" s="34" t="str">
        <f t="array" ref="B227">TEXT(A227, "MM-YYYY")</f>
        <v>07-2026</v>
      </c>
      <c r="C227" s="32" t="s">
        <v>801</v>
      </c>
      <c r="D227" s="21" t="s">
        <v>210</v>
      </c>
      <c r="E227" s="36" t="s">
        <v>213</v>
      </c>
      <c r="F227" s="37" t="s">
        <v>54</v>
      </c>
      <c r="G227" s="29" t="b">
        <v>1</v>
      </c>
      <c r="H227" s="36" t="s">
        <v>214</v>
      </c>
      <c r="I227" s="36" t="s">
        <v>215</v>
      </c>
      <c r="J227" s="29"/>
      <c r="K227" s="138"/>
      <c r="L227" s="37" t="s">
        <v>194</v>
      </c>
      <c r="M227" s="37" t="s">
        <v>194</v>
      </c>
      <c r="N227" s="37" t="s">
        <v>194</v>
      </c>
      <c r="O227" s="37" t="s">
        <v>194</v>
      </c>
      <c r="P227" s="37" t="s">
        <v>1874</v>
      </c>
      <c r="Q227" s="37" t="s">
        <v>1875</v>
      </c>
      <c r="R227" s="41">
        <v>46264.0</v>
      </c>
      <c r="S227" s="42">
        <v>0.0</v>
      </c>
      <c r="T227" s="44"/>
      <c r="U227" s="45" t="str">
        <f>IF(records[Type]="Room",records[roomNo],records[roomNo]&amp;"-"&amp;SUBSTITUTE(RIGHT(records[roomNo]&amp;records[Type],2),"-",""))</f>
        <v>10-1-124</v>
      </c>
      <c r="V227" s="47" t="str">
        <f t="array" ref="V227">_xlfn.XLOOKUP(records[ID], dAir[roomNo], dAir[roomName])</f>
        <v>AIR LOCK</v>
      </c>
      <c r="W227" s="47" t="str">
        <f t="array" ref="W227">_xlfn.XLOOKUP(records[ID], dAir[roomNo], dAir[building])</f>
        <v>Building 10</v>
      </c>
      <c r="X227" s="47" t="str">
        <f t="array" ref="X227">_xlfn.XLOOKUP(records[ID], dAir[roomNo], dAir[floor])</f>
        <v>Floor 1</v>
      </c>
      <c r="Y227" s="45" t="str">
        <f t="array" ref="Y227">_xlfn.XLOOKUP(records[ID], dAir[roomNo], dAir[Class])</f>
        <v>D</v>
      </c>
      <c r="Z227" s="45">
        <f t="array" ref="Z227">_xlfn.XLOOKUP(records[Method]&amp;"-"&amp;records[Class], dAirSpec[ID], dAirSpec[Spec])</f>
        <v>100</v>
      </c>
      <c r="AA227" s="45" t="str">
        <f t="array" ref="AA227">_xlfn.XLOOKUP(records[Method]&amp;"-"&amp;records[Class], dAirSpec[ID], dAirSpec[Unit])</f>
        <v>cfu/plate</v>
      </c>
      <c r="AB227" s="58">
        <f t="array" ref="AB227">if(S227="","", if(records[Method]="Active Air",_xlfn.xlookup(records[ColonyCount]&amp;records[AirSampler],feller[code],feller[Vc]),records[ColonyCount]))</f>
        <v>0</v>
      </c>
      <c r="AC227" s="60" t="b">
        <f t="shared" si="1"/>
        <v>1</v>
      </c>
      <c r="AD227" s="61" t="b">
        <v>0</v>
      </c>
      <c r="AE227" s="32" t="s">
        <v>235</v>
      </c>
      <c r="AF227" s="46"/>
      <c r="AG227" s="46"/>
      <c r="AH227" s="46"/>
      <c r="AI227" s="46"/>
      <c r="AJ227" s="46"/>
    </row>
    <row r="228" ht="22.5" customHeight="1">
      <c r="A228" s="27">
        <v>46211.0</v>
      </c>
      <c r="B228" s="34" t="str">
        <f t="array" ref="B228">TEXT(A228, "MM-YYYY")</f>
        <v>07-2026</v>
      </c>
      <c r="C228" s="32" t="s">
        <v>808</v>
      </c>
      <c r="D228" s="21" t="s">
        <v>210</v>
      </c>
      <c r="E228" s="36" t="s">
        <v>213</v>
      </c>
      <c r="F228" s="37" t="s">
        <v>54</v>
      </c>
      <c r="G228" s="29" t="b">
        <v>1</v>
      </c>
      <c r="H228" s="36" t="s">
        <v>214</v>
      </c>
      <c r="I228" s="36" t="s">
        <v>215</v>
      </c>
      <c r="J228" s="29"/>
      <c r="K228" s="138"/>
      <c r="L228" s="37" t="s">
        <v>194</v>
      </c>
      <c r="M228" s="37" t="s">
        <v>194</v>
      </c>
      <c r="N228" s="37" t="s">
        <v>194</v>
      </c>
      <c r="O228" s="37" t="s">
        <v>194</v>
      </c>
      <c r="P228" s="37" t="s">
        <v>1874</v>
      </c>
      <c r="Q228" s="37" t="s">
        <v>1875</v>
      </c>
      <c r="R228" s="41">
        <v>46264.0</v>
      </c>
      <c r="S228" s="42">
        <v>5.0</v>
      </c>
      <c r="T228" s="44"/>
      <c r="U228" s="45" t="str">
        <f>IF(records[Type]="Room",records[roomNo],records[roomNo]&amp;"-"&amp;SUBSTITUTE(RIGHT(records[roomNo]&amp;records[Type],2),"-",""))</f>
        <v>10-1-125</v>
      </c>
      <c r="V228" s="47" t="str">
        <f t="array" ref="V228">_xlfn.XLOOKUP(records[ID], dAir[roomNo], dAir[roomName])</f>
        <v>PPM STAGNG</v>
      </c>
      <c r="W228" s="47" t="str">
        <f t="array" ref="W228">_xlfn.XLOOKUP(records[ID], dAir[roomNo], dAir[building])</f>
        <v>Building 10</v>
      </c>
      <c r="X228" s="47" t="str">
        <f t="array" ref="X228">_xlfn.XLOOKUP(records[ID], dAir[roomNo], dAir[floor])</f>
        <v>Floor 1</v>
      </c>
      <c r="Y228" s="45" t="str">
        <f t="array" ref="Y228">_xlfn.XLOOKUP(records[ID], dAir[roomNo], dAir[Class])</f>
        <v>D</v>
      </c>
      <c r="Z228" s="45">
        <f t="array" ref="Z228">_xlfn.XLOOKUP(records[Method]&amp;"-"&amp;records[Class], dAirSpec[ID], dAirSpec[Spec])</f>
        <v>100</v>
      </c>
      <c r="AA228" s="45" t="str">
        <f t="array" ref="AA228">_xlfn.XLOOKUP(records[Method]&amp;"-"&amp;records[Class], dAirSpec[ID], dAirSpec[Unit])</f>
        <v>cfu/plate</v>
      </c>
      <c r="AB228" s="58">
        <f t="array" ref="AB228">if(S228="","", if(records[Method]="Active Air",_xlfn.xlookup(records[ColonyCount]&amp;records[AirSampler],feller[code],feller[Vc]),records[ColonyCount]))</f>
        <v>5</v>
      </c>
      <c r="AC228" s="60" t="b">
        <f t="shared" si="1"/>
        <v>1</v>
      </c>
      <c r="AD228" s="61" t="b">
        <v>0</v>
      </c>
      <c r="AE228" s="32" t="s">
        <v>235</v>
      </c>
      <c r="AF228" s="46"/>
      <c r="AG228" s="46"/>
      <c r="AH228" s="46"/>
      <c r="AI228" s="46"/>
      <c r="AJ228" s="46"/>
    </row>
    <row r="229" ht="22.5" customHeight="1">
      <c r="A229" s="27">
        <v>46211.0</v>
      </c>
      <c r="B229" s="34" t="str">
        <f t="array" ref="B229">TEXT(A229, "MM-YYYY")</f>
        <v>07-2026</v>
      </c>
      <c r="C229" s="32" t="s">
        <v>720</v>
      </c>
      <c r="D229" s="21" t="s">
        <v>210</v>
      </c>
      <c r="E229" s="36" t="s">
        <v>213</v>
      </c>
      <c r="F229" s="37" t="s">
        <v>54</v>
      </c>
      <c r="G229" s="29" t="b">
        <v>1</v>
      </c>
      <c r="H229" s="36" t="s">
        <v>214</v>
      </c>
      <c r="I229" s="36" t="s">
        <v>215</v>
      </c>
      <c r="J229" s="29"/>
      <c r="K229" s="138"/>
      <c r="L229" s="37" t="s">
        <v>194</v>
      </c>
      <c r="M229" s="37" t="s">
        <v>194</v>
      </c>
      <c r="N229" s="37" t="s">
        <v>194</v>
      </c>
      <c r="O229" s="37" t="s">
        <v>194</v>
      </c>
      <c r="P229" s="37" t="s">
        <v>1874</v>
      </c>
      <c r="Q229" s="37" t="s">
        <v>1875</v>
      </c>
      <c r="R229" s="41">
        <v>46264.0</v>
      </c>
      <c r="S229" s="42">
        <v>10.0</v>
      </c>
      <c r="T229" s="44"/>
      <c r="U229" s="45" t="str">
        <f>IF(records[Type]="Room",records[roomNo],records[roomNo]&amp;"-"&amp;SUBSTITUTE(RIGHT(records[roomNo]&amp;records[Type],2),"-",""))</f>
        <v>10-1-126</v>
      </c>
      <c r="V229" s="47" t="str">
        <f t="array" ref="V229">_xlfn.XLOOKUP(records[ID], dAir[roomNo], dAir[roomName])</f>
        <v>BOTTLE CLEANING (BOTTLE CLEANING MACHINE)</v>
      </c>
      <c r="W229" s="47" t="str">
        <f t="array" ref="W229">_xlfn.XLOOKUP(records[ID], dAir[roomNo], dAir[building])</f>
        <v>Building 10</v>
      </c>
      <c r="X229" s="47" t="str">
        <f t="array" ref="X229">_xlfn.XLOOKUP(records[ID], dAir[roomNo], dAir[floor])</f>
        <v>Floor 1</v>
      </c>
      <c r="Y229" s="45" t="str">
        <f t="array" ref="Y229">_xlfn.XLOOKUP(records[ID], dAir[roomNo], dAir[Class])</f>
        <v>D</v>
      </c>
      <c r="Z229" s="45">
        <f t="array" ref="Z229">_xlfn.XLOOKUP(records[Method]&amp;"-"&amp;records[Class], dAirSpec[ID], dAirSpec[Spec])</f>
        <v>100</v>
      </c>
      <c r="AA229" s="45" t="str">
        <f t="array" ref="AA229">_xlfn.XLOOKUP(records[Method]&amp;"-"&amp;records[Class], dAirSpec[ID], dAirSpec[Unit])</f>
        <v>cfu/plate</v>
      </c>
      <c r="AB229" s="58">
        <f t="array" ref="AB229">if(S229="","", if(records[Method]="Active Air",_xlfn.xlookup(records[ColonyCount]&amp;records[AirSampler],feller[code],feller[Vc]),records[ColonyCount]))</f>
        <v>10</v>
      </c>
      <c r="AC229" s="60" t="b">
        <f t="shared" si="1"/>
        <v>1</v>
      </c>
      <c r="AD229" s="61" t="b">
        <v>0</v>
      </c>
      <c r="AE229" s="32" t="s">
        <v>235</v>
      </c>
      <c r="AF229" s="46"/>
      <c r="AG229" s="46"/>
      <c r="AH229" s="46"/>
      <c r="AI229" s="46"/>
      <c r="AJ229" s="46"/>
    </row>
    <row r="230" ht="22.5" customHeight="1">
      <c r="A230" s="27">
        <v>46211.0</v>
      </c>
      <c r="B230" s="34" t="str">
        <f t="array" ref="B230">TEXT(A230, "MM-YYYY")</f>
        <v>07-2026</v>
      </c>
      <c r="C230" s="32" t="s">
        <v>824</v>
      </c>
      <c r="D230" s="21" t="s">
        <v>210</v>
      </c>
      <c r="E230" s="36" t="s">
        <v>213</v>
      </c>
      <c r="F230" s="37" t="s">
        <v>54</v>
      </c>
      <c r="G230" s="29" t="b">
        <v>1</v>
      </c>
      <c r="H230" s="36" t="s">
        <v>214</v>
      </c>
      <c r="I230" s="36" t="s">
        <v>215</v>
      </c>
      <c r="J230" s="29"/>
      <c r="K230" s="138"/>
      <c r="L230" s="37" t="s">
        <v>194</v>
      </c>
      <c r="M230" s="37" t="s">
        <v>194</v>
      </c>
      <c r="N230" s="37" t="s">
        <v>194</v>
      </c>
      <c r="O230" s="37" t="s">
        <v>194</v>
      </c>
      <c r="P230" s="37" t="s">
        <v>1874</v>
      </c>
      <c r="Q230" s="37" t="s">
        <v>1875</v>
      </c>
      <c r="R230" s="41">
        <v>46264.0</v>
      </c>
      <c r="S230" s="42">
        <v>7.0</v>
      </c>
      <c r="T230" s="44"/>
      <c r="U230" s="45" t="str">
        <f>IF(records[Type]="Room",records[roomNo],records[roomNo]&amp;"-"&amp;SUBSTITUTE(RIGHT(records[roomNo]&amp;records[Type],2),"-",""))</f>
        <v>10-1-128</v>
      </c>
      <c r="V230" s="47" t="str">
        <f t="array" ref="V230">_xlfn.XLOOKUP(records[ID], dAir[roomNo], dAir[roomName])</f>
        <v>MAL</v>
      </c>
      <c r="W230" s="47" t="str">
        <f t="array" ref="W230">_xlfn.XLOOKUP(records[ID], dAir[roomNo], dAir[building])</f>
        <v>Building 10</v>
      </c>
      <c r="X230" s="47" t="str">
        <f t="array" ref="X230">_xlfn.XLOOKUP(records[ID], dAir[roomNo], dAir[floor])</f>
        <v>Floor 1</v>
      </c>
      <c r="Y230" s="45" t="str">
        <f t="array" ref="Y230">_xlfn.XLOOKUP(records[ID], dAir[roomNo], dAir[Class])</f>
        <v>D</v>
      </c>
      <c r="Z230" s="45">
        <f t="array" ref="Z230">_xlfn.XLOOKUP(records[Method]&amp;"-"&amp;records[Class], dAirSpec[ID], dAirSpec[Spec])</f>
        <v>100</v>
      </c>
      <c r="AA230" s="45" t="str">
        <f t="array" ref="AA230">_xlfn.XLOOKUP(records[Method]&amp;"-"&amp;records[Class], dAirSpec[ID], dAirSpec[Unit])</f>
        <v>cfu/plate</v>
      </c>
      <c r="AB230" s="58">
        <f t="array" ref="AB230">if(S230="","", if(records[Method]="Active Air",_xlfn.xlookup(records[ColonyCount]&amp;records[AirSampler],feller[code],feller[Vc]),records[ColonyCount]))</f>
        <v>7</v>
      </c>
      <c r="AC230" s="60" t="b">
        <f t="shared" si="1"/>
        <v>1</v>
      </c>
      <c r="AD230" s="61" t="b">
        <v>0</v>
      </c>
      <c r="AE230" s="32" t="s">
        <v>235</v>
      </c>
      <c r="AF230" s="46"/>
      <c r="AG230" s="46"/>
      <c r="AH230" s="46"/>
      <c r="AI230" s="46"/>
      <c r="AJ230" s="46"/>
    </row>
    <row r="231" ht="22.5" customHeight="1">
      <c r="A231" s="27">
        <v>46211.0</v>
      </c>
      <c r="B231" s="34" t="str">
        <f t="array" ref="B231">TEXT(A231, "MM-YYYY")</f>
        <v>07-2026</v>
      </c>
      <c r="C231" s="32" t="s">
        <v>828</v>
      </c>
      <c r="D231" s="21" t="s">
        <v>210</v>
      </c>
      <c r="E231" s="36" t="s">
        <v>213</v>
      </c>
      <c r="F231" s="37" t="s">
        <v>54</v>
      </c>
      <c r="G231" s="29" t="b">
        <v>1</v>
      </c>
      <c r="H231" s="36" t="s">
        <v>214</v>
      </c>
      <c r="I231" s="36" t="s">
        <v>215</v>
      </c>
      <c r="J231" s="29"/>
      <c r="K231" s="138"/>
      <c r="L231" s="37" t="s">
        <v>194</v>
      </c>
      <c r="M231" s="37" t="s">
        <v>194</v>
      </c>
      <c r="N231" s="37" t="s">
        <v>194</v>
      </c>
      <c r="O231" s="37" t="s">
        <v>194</v>
      </c>
      <c r="P231" s="37" t="s">
        <v>1874</v>
      </c>
      <c r="Q231" s="37" t="s">
        <v>1875</v>
      </c>
      <c r="R231" s="41">
        <v>46264.0</v>
      </c>
      <c r="S231" s="42">
        <v>9.0</v>
      </c>
      <c r="T231" s="44" t="s">
        <v>2150</v>
      </c>
      <c r="U231" s="45" t="str">
        <f>IF(records[Type]="Room",records[roomNo],records[roomNo]&amp;"-"&amp;SUBSTITUTE(RIGHT(records[roomNo]&amp;records[Type],2),"-",""))</f>
        <v>10-1-129</v>
      </c>
      <c r="V231" s="47" t="str">
        <f t="array" ref="V231">_xlfn.XLOOKUP(records[ID], dAir[roomNo], dAir[roomName])</f>
        <v>CORRIDOR</v>
      </c>
      <c r="W231" s="47" t="str">
        <f t="array" ref="W231">_xlfn.XLOOKUP(records[ID], dAir[roomNo], dAir[building])</f>
        <v>Building 10</v>
      </c>
      <c r="X231" s="47" t="str">
        <f t="array" ref="X231">_xlfn.XLOOKUP(records[ID], dAir[roomNo], dAir[floor])</f>
        <v>Floor 1</v>
      </c>
      <c r="Y231" s="45" t="str">
        <f t="array" ref="Y231">_xlfn.XLOOKUP(records[ID], dAir[roomNo], dAir[Class])</f>
        <v>D</v>
      </c>
      <c r="Z231" s="45">
        <f t="array" ref="Z231">_xlfn.XLOOKUP(records[Method]&amp;"-"&amp;records[Class], dAirSpec[ID], dAirSpec[Spec])</f>
        <v>100</v>
      </c>
      <c r="AA231" s="45" t="str">
        <f t="array" ref="AA231">_xlfn.XLOOKUP(records[Method]&amp;"-"&amp;records[Class], dAirSpec[ID], dAirSpec[Unit])</f>
        <v>cfu/plate</v>
      </c>
      <c r="AB231" s="58">
        <f t="array" ref="AB231">if(S231="","", if(records[Method]="Active Air",_xlfn.xlookup(records[ColonyCount]&amp;records[AirSampler],feller[code],feller[Vc]),records[ColonyCount]))</f>
        <v>9</v>
      </c>
      <c r="AC231" s="60" t="b">
        <f t="shared" si="1"/>
        <v>1</v>
      </c>
      <c r="AD231" s="61" t="b">
        <v>0</v>
      </c>
      <c r="AE231" s="32" t="s">
        <v>235</v>
      </c>
      <c r="AF231" s="46"/>
      <c r="AG231" s="46"/>
      <c r="AH231" s="46"/>
      <c r="AI231" s="46"/>
      <c r="AJ231" s="46"/>
    </row>
    <row r="232" ht="22.5" customHeight="1">
      <c r="A232" s="27">
        <v>46213.0</v>
      </c>
      <c r="B232" s="34" t="str">
        <f t="array" ref="B232">TEXT(A232, "MM-YYYY")</f>
        <v>07-2026</v>
      </c>
      <c r="C232" s="32" t="s">
        <v>417</v>
      </c>
      <c r="D232" s="21" t="s">
        <v>210</v>
      </c>
      <c r="E232" s="36" t="s">
        <v>213</v>
      </c>
      <c r="F232" s="37" t="s">
        <v>56</v>
      </c>
      <c r="G232" s="29" t="b">
        <v>1</v>
      </c>
      <c r="H232" s="36" t="s">
        <v>214</v>
      </c>
      <c r="I232" s="36" t="s">
        <v>215</v>
      </c>
      <c r="J232" s="29"/>
      <c r="K232" s="138"/>
      <c r="L232" s="37" t="s">
        <v>194</v>
      </c>
      <c r="M232" s="37" t="s">
        <v>194</v>
      </c>
      <c r="N232" s="37" t="s">
        <v>194</v>
      </c>
      <c r="O232" s="37" t="s">
        <v>194</v>
      </c>
      <c r="P232" s="37" t="s">
        <v>1874</v>
      </c>
      <c r="Q232" s="37" t="s">
        <v>1875</v>
      </c>
      <c r="R232" s="41">
        <v>46264.0</v>
      </c>
      <c r="S232" s="42">
        <v>52.0</v>
      </c>
      <c r="T232" s="44"/>
      <c r="U232" s="45" t="str">
        <f>IF(records[Type]="Room",records[roomNo],records[roomNo]&amp;"-"&amp;SUBSTITUTE(RIGHT(records[roomNo]&amp;records[Type],2),"-",""))</f>
        <v>10-1-043</v>
      </c>
      <c r="V232" s="47" t="str">
        <f t="array" ref="V232">_xlfn.XLOOKUP(records[ID], dAir[roomNo], dAir[roomName])</f>
        <v>PROCESS CHANGE-P</v>
      </c>
      <c r="W232" s="47" t="str">
        <f t="array" ref="W232">_xlfn.XLOOKUP(records[ID], dAir[roomNo], dAir[building])</f>
        <v>Building 10</v>
      </c>
      <c r="X232" s="47" t="str">
        <f t="array" ref="X232">_xlfn.XLOOKUP(records[ID], dAir[roomNo], dAir[floor])</f>
        <v>Floor 1</v>
      </c>
      <c r="Y232" s="45" t="str">
        <f t="array" ref="Y232">_xlfn.XLOOKUP(records[ID], dAir[roomNo], dAir[Class])</f>
        <v>D</v>
      </c>
      <c r="Z232" s="45">
        <f t="array" ref="Z232">_xlfn.XLOOKUP(records[Method]&amp;"-"&amp;records[Class], dAirSpec[ID], dAirSpec[Spec])</f>
        <v>100</v>
      </c>
      <c r="AA232" s="45" t="str">
        <f t="array" ref="AA232">_xlfn.XLOOKUP(records[Method]&amp;"-"&amp;records[Class], dAirSpec[ID], dAirSpec[Unit])</f>
        <v>cfu/plate</v>
      </c>
      <c r="AB232" s="58">
        <f t="array" ref="AB232">if(S232="","", if(records[Method]="Active Air",_xlfn.xlookup(records[ColonyCount]&amp;records[AirSampler],feller[code],feller[Vc]),records[ColonyCount]))</f>
        <v>52</v>
      </c>
      <c r="AC232" s="60" t="b">
        <f t="shared" si="1"/>
        <v>1</v>
      </c>
      <c r="AD232" s="61" t="b">
        <v>0</v>
      </c>
      <c r="AE232" s="32" t="s">
        <v>235</v>
      </c>
      <c r="AF232" s="46"/>
      <c r="AG232" s="46"/>
      <c r="AH232" s="46"/>
      <c r="AI232" s="46"/>
      <c r="AJ232" s="46"/>
    </row>
    <row r="233" ht="22.5" customHeight="1">
      <c r="A233" s="27">
        <v>46213.0</v>
      </c>
      <c r="B233" s="34" t="str">
        <f t="array" ref="B233">TEXT(A233, "MM-YYYY")</f>
        <v>07-2026</v>
      </c>
      <c r="C233" s="32" t="s">
        <v>427</v>
      </c>
      <c r="D233" s="21" t="s">
        <v>210</v>
      </c>
      <c r="E233" s="36" t="s">
        <v>213</v>
      </c>
      <c r="F233" s="37" t="s">
        <v>56</v>
      </c>
      <c r="G233" s="29" t="b">
        <v>1</v>
      </c>
      <c r="H233" s="36" t="s">
        <v>214</v>
      </c>
      <c r="I233" s="36" t="s">
        <v>215</v>
      </c>
      <c r="J233" s="29"/>
      <c r="K233" s="138"/>
      <c r="L233" s="37" t="s">
        <v>194</v>
      </c>
      <c r="M233" s="37" t="s">
        <v>194</v>
      </c>
      <c r="N233" s="37" t="s">
        <v>194</v>
      </c>
      <c r="O233" s="37" t="s">
        <v>194</v>
      </c>
      <c r="P233" s="37" t="s">
        <v>1874</v>
      </c>
      <c r="Q233" s="37" t="s">
        <v>1875</v>
      </c>
      <c r="R233" s="41">
        <v>46264.0</v>
      </c>
      <c r="S233" s="42">
        <v>2.0</v>
      </c>
      <c r="T233" s="44"/>
      <c r="U233" s="45" t="str">
        <f>IF(records[Type]="Room",records[roomNo],records[roomNo]&amp;"-"&amp;SUBSTITUTE(RIGHT(records[roomNo]&amp;records[Type],2),"-",""))</f>
        <v>10-1-044</v>
      </c>
      <c r="V233" s="47" t="str">
        <f t="array" ref="V233">_xlfn.XLOOKUP(records[ID], dAir[roomNo], dAir[roomName])</f>
        <v>LINEN WASHING-P</v>
      </c>
      <c r="W233" s="47" t="str">
        <f t="array" ref="W233">_xlfn.XLOOKUP(records[ID], dAir[roomNo], dAir[building])</f>
        <v>Building 10</v>
      </c>
      <c r="X233" s="47" t="str">
        <f t="array" ref="X233">_xlfn.XLOOKUP(records[ID], dAir[roomNo], dAir[floor])</f>
        <v>Floor 1</v>
      </c>
      <c r="Y233" s="45" t="str">
        <f t="array" ref="Y233">_xlfn.XLOOKUP(records[ID], dAir[roomNo], dAir[Class])</f>
        <v>D</v>
      </c>
      <c r="Z233" s="45">
        <f t="array" ref="Z233">_xlfn.XLOOKUP(records[Method]&amp;"-"&amp;records[Class], dAirSpec[ID], dAirSpec[Spec])</f>
        <v>100</v>
      </c>
      <c r="AA233" s="45" t="str">
        <f t="array" ref="AA233">_xlfn.XLOOKUP(records[Method]&amp;"-"&amp;records[Class], dAirSpec[ID], dAirSpec[Unit])</f>
        <v>cfu/plate</v>
      </c>
      <c r="AB233" s="58">
        <f t="array" ref="AB233">if(S233="","", if(records[Method]="Active Air",_xlfn.xlookup(records[ColonyCount]&amp;records[AirSampler],feller[code],feller[Vc]),records[ColonyCount]))</f>
        <v>2</v>
      </c>
      <c r="AC233" s="60" t="b">
        <f t="shared" si="1"/>
        <v>1</v>
      </c>
      <c r="AD233" s="61" t="b">
        <v>0</v>
      </c>
      <c r="AE233" s="32" t="s">
        <v>235</v>
      </c>
      <c r="AF233" s="46"/>
      <c r="AG233" s="46"/>
      <c r="AH233" s="46"/>
      <c r="AI233" s="46"/>
      <c r="AJ233" s="46"/>
    </row>
    <row r="234" ht="22.5" customHeight="1">
      <c r="A234" s="27">
        <v>46213.0</v>
      </c>
      <c r="B234" s="34" t="str">
        <f t="array" ref="B234">TEXT(A234, "MM-YYYY")</f>
        <v>07-2026</v>
      </c>
      <c r="C234" s="32" t="s">
        <v>438</v>
      </c>
      <c r="D234" s="21" t="s">
        <v>210</v>
      </c>
      <c r="E234" s="36" t="s">
        <v>213</v>
      </c>
      <c r="F234" s="37" t="s">
        <v>56</v>
      </c>
      <c r="G234" s="29" t="b">
        <v>1</v>
      </c>
      <c r="H234" s="36" t="s">
        <v>214</v>
      </c>
      <c r="I234" s="36" t="s">
        <v>215</v>
      </c>
      <c r="J234" s="29"/>
      <c r="K234" s="138"/>
      <c r="L234" s="37" t="s">
        <v>194</v>
      </c>
      <c r="M234" s="37" t="s">
        <v>194</v>
      </c>
      <c r="N234" s="37" t="s">
        <v>194</v>
      </c>
      <c r="O234" s="37" t="s">
        <v>194</v>
      </c>
      <c r="P234" s="37" t="s">
        <v>1874</v>
      </c>
      <c r="Q234" s="37" t="s">
        <v>1875</v>
      </c>
      <c r="R234" s="41">
        <v>46264.0</v>
      </c>
      <c r="S234" s="42">
        <v>0.0</v>
      </c>
      <c r="T234" s="44"/>
      <c r="U234" s="45" t="str">
        <f>IF(records[Type]="Room",records[roomNo],records[roomNo]&amp;"-"&amp;SUBSTITUTE(RIGHT(records[roomNo]&amp;records[Type],2),"-",""))</f>
        <v>10-1-045</v>
      </c>
      <c r="V234" s="47" t="str">
        <f t="array" ref="V234">_xlfn.XLOOKUP(records[ID], dAir[roomNo], dAir[roomName])</f>
        <v>LINEN DRY-P</v>
      </c>
      <c r="W234" s="47" t="str">
        <f t="array" ref="W234">_xlfn.XLOOKUP(records[ID], dAir[roomNo], dAir[building])</f>
        <v>Building 10</v>
      </c>
      <c r="X234" s="47" t="str">
        <f t="array" ref="X234">_xlfn.XLOOKUP(records[ID], dAir[roomNo], dAir[floor])</f>
        <v>Floor 1</v>
      </c>
      <c r="Y234" s="45" t="str">
        <f t="array" ref="Y234">_xlfn.XLOOKUP(records[ID], dAir[roomNo], dAir[Class])</f>
        <v>D</v>
      </c>
      <c r="Z234" s="45">
        <f t="array" ref="Z234">_xlfn.XLOOKUP(records[Method]&amp;"-"&amp;records[Class], dAirSpec[ID], dAirSpec[Spec])</f>
        <v>100</v>
      </c>
      <c r="AA234" s="45" t="str">
        <f t="array" ref="AA234">_xlfn.XLOOKUP(records[Method]&amp;"-"&amp;records[Class], dAirSpec[ID], dAirSpec[Unit])</f>
        <v>cfu/plate</v>
      </c>
      <c r="AB234" s="58">
        <f t="array" ref="AB234">if(S234="","", if(records[Method]="Active Air",_xlfn.xlookup(records[ColonyCount]&amp;records[AirSampler],feller[code],feller[Vc]),records[ColonyCount]))</f>
        <v>0</v>
      </c>
      <c r="AC234" s="60" t="b">
        <f t="shared" si="1"/>
        <v>1</v>
      </c>
      <c r="AD234" s="61" t="b">
        <v>0</v>
      </c>
      <c r="AE234" s="32" t="s">
        <v>235</v>
      </c>
      <c r="AF234" s="46"/>
      <c r="AG234" s="46"/>
      <c r="AH234" s="46"/>
      <c r="AI234" s="46"/>
      <c r="AJ234" s="46"/>
    </row>
    <row r="235" ht="22.5" customHeight="1">
      <c r="A235" s="27">
        <v>46213.0</v>
      </c>
      <c r="B235" s="34" t="str">
        <f t="array" ref="B235">TEXT(A235, "MM-YYYY")</f>
        <v>07-2026</v>
      </c>
      <c r="C235" s="32" t="s">
        <v>448</v>
      </c>
      <c r="D235" s="21" t="s">
        <v>210</v>
      </c>
      <c r="E235" s="36" t="s">
        <v>213</v>
      </c>
      <c r="F235" s="37" t="s">
        <v>56</v>
      </c>
      <c r="G235" s="29" t="b">
        <v>1</v>
      </c>
      <c r="H235" s="36" t="s">
        <v>214</v>
      </c>
      <c r="I235" s="36" t="s">
        <v>215</v>
      </c>
      <c r="J235" s="29"/>
      <c r="K235" s="138"/>
      <c r="L235" s="37" t="s">
        <v>194</v>
      </c>
      <c r="M235" s="37" t="s">
        <v>194</v>
      </c>
      <c r="N235" s="37" t="s">
        <v>194</v>
      </c>
      <c r="O235" s="37" t="s">
        <v>194</v>
      </c>
      <c r="P235" s="37" t="s">
        <v>1874</v>
      </c>
      <c r="Q235" s="37" t="s">
        <v>1875</v>
      </c>
      <c r="R235" s="41">
        <v>46264.0</v>
      </c>
      <c r="S235" s="42">
        <v>1.0</v>
      </c>
      <c r="T235" s="44"/>
      <c r="U235" s="45" t="str">
        <f>IF(records[Type]="Room",records[roomNo],records[roomNo]&amp;"-"&amp;SUBSTITUTE(RIGHT(records[roomNo]&amp;records[Type],2),"-",""))</f>
        <v>10-1-046</v>
      </c>
      <c r="V235" s="47" t="str">
        <f t="array" ref="V235">_xlfn.XLOOKUP(records[ID], dAir[roomNo], dAir[roomName])</f>
        <v>CORRIDOR-P</v>
      </c>
      <c r="W235" s="47" t="str">
        <f t="array" ref="W235">_xlfn.XLOOKUP(records[ID], dAir[roomNo], dAir[building])</f>
        <v>Building 10</v>
      </c>
      <c r="X235" s="47" t="str">
        <f t="array" ref="X235">_xlfn.XLOOKUP(records[ID], dAir[roomNo], dAir[floor])</f>
        <v>Floor 1</v>
      </c>
      <c r="Y235" s="45" t="str">
        <f t="array" ref="Y235">_xlfn.XLOOKUP(records[ID], dAir[roomNo], dAir[Class])</f>
        <v>D</v>
      </c>
      <c r="Z235" s="45">
        <f t="array" ref="Z235">_xlfn.XLOOKUP(records[Method]&amp;"-"&amp;records[Class], dAirSpec[ID], dAirSpec[Spec])</f>
        <v>100</v>
      </c>
      <c r="AA235" s="45" t="str">
        <f t="array" ref="AA235">_xlfn.XLOOKUP(records[Method]&amp;"-"&amp;records[Class], dAirSpec[ID], dAirSpec[Unit])</f>
        <v>cfu/plate</v>
      </c>
      <c r="AB235" s="58">
        <f t="array" ref="AB235">if(S235="","", if(records[Method]="Active Air",_xlfn.xlookup(records[ColonyCount]&amp;records[AirSampler],feller[code],feller[Vc]),records[ColonyCount]))</f>
        <v>1</v>
      </c>
      <c r="AC235" s="60" t="b">
        <f t="shared" si="1"/>
        <v>1</v>
      </c>
      <c r="AD235" s="61" t="b">
        <v>0</v>
      </c>
      <c r="AE235" s="32" t="s">
        <v>235</v>
      </c>
      <c r="AF235" s="46"/>
      <c r="AG235" s="46"/>
      <c r="AH235" s="46"/>
      <c r="AI235" s="46"/>
      <c r="AJ235" s="46"/>
    </row>
    <row r="236" ht="22.5" customHeight="1">
      <c r="A236" s="27">
        <v>46213.0</v>
      </c>
      <c r="B236" s="34" t="str">
        <f t="array" ref="B236">TEXT(A236, "MM-YYYY")</f>
        <v>07-2026</v>
      </c>
      <c r="C236" s="32" t="s">
        <v>454</v>
      </c>
      <c r="D236" s="21" t="s">
        <v>210</v>
      </c>
      <c r="E236" s="36" t="s">
        <v>213</v>
      </c>
      <c r="F236" s="37" t="s">
        <v>56</v>
      </c>
      <c r="G236" s="29" t="b">
        <v>1</v>
      </c>
      <c r="H236" s="36" t="s">
        <v>214</v>
      </c>
      <c r="I236" s="36" t="s">
        <v>215</v>
      </c>
      <c r="J236" s="29"/>
      <c r="K236" s="138"/>
      <c r="L236" s="37" t="s">
        <v>194</v>
      </c>
      <c r="M236" s="37" t="s">
        <v>194</v>
      </c>
      <c r="N236" s="37" t="s">
        <v>194</v>
      </c>
      <c r="O236" s="37" t="s">
        <v>194</v>
      </c>
      <c r="P236" s="37" t="s">
        <v>1874</v>
      </c>
      <c r="Q236" s="37" t="s">
        <v>1875</v>
      </c>
      <c r="R236" s="41">
        <v>46264.0</v>
      </c>
      <c r="S236" s="42">
        <v>127.0</v>
      </c>
      <c r="T236" s="44"/>
      <c r="U236" s="45" t="str">
        <f>IF(records[Type]="Room",records[roomNo],records[roomNo]&amp;"-"&amp;SUBSTITUTE(RIGHT(records[roomNo]&amp;records[Type],2),"-",""))</f>
        <v>10-1-047</v>
      </c>
      <c r="V236" s="47" t="str">
        <f t="array" ref="V236">_xlfn.XLOOKUP(records[ID], dAir[roomNo], dAir[roomName])</f>
        <v>PROCESS CHANGE EXIT-P</v>
      </c>
      <c r="W236" s="47" t="str">
        <f t="array" ref="W236">_xlfn.XLOOKUP(records[ID], dAir[roomNo], dAir[building])</f>
        <v>Building 10</v>
      </c>
      <c r="X236" s="47" t="str">
        <f t="array" ref="X236">_xlfn.XLOOKUP(records[ID], dAir[roomNo], dAir[floor])</f>
        <v>Floor 1</v>
      </c>
      <c r="Y236" s="45" t="str">
        <f t="array" ref="Y236">_xlfn.XLOOKUP(records[ID], dAir[roomNo], dAir[Class])</f>
        <v>D</v>
      </c>
      <c r="Z236" s="45">
        <f t="array" ref="Z236">_xlfn.XLOOKUP(records[Method]&amp;"-"&amp;records[Class], dAirSpec[ID], dAirSpec[Spec])</f>
        <v>100</v>
      </c>
      <c r="AA236" s="45" t="str">
        <f t="array" ref="AA236">_xlfn.XLOOKUP(records[Method]&amp;"-"&amp;records[Class], dAirSpec[ID], dAirSpec[Unit])</f>
        <v>cfu/plate</v>
      </c>
      <c r="AB236" s="58">
        <f t="array" ref="AB236">if(S236="","", if(records[Method]="Active Air",_xlfn.xlookup(records[ColonyCount]&amp;records[AirSampler],feller[code],feller[Vc]),records[ColonyCount]))</f>
        <v>127</v>
      </c>
      <c r="AC236" s="60" t="b">
        <f t="shared" si="1"/>
        <v>0</v>
      </c>
      <c r="AD236" s="61" t="b">
        <v>0</v>
      </c>
      <c r="AE236" s="32" t="s">
        <v>235</v>
      </c>
      <c r="AF236" s="46"/>
      <c r="AG236" s="46"/>
      <c r="AH236" s="46"/>
      <c r="AI236" s="46"/>
      <c r="AJ236" s="46"/>
    </row>
    <row r="237" ht="22.5" customHeight="1">
      <c r="A237" s="27">
        <v>46213.0</v>
      </c>
      <c r="B237" s="34" t="str">
        <f t="array" ref="B237">TEXT(A237, "MM-YYYY")</f>
        <v>07-2026</v>
      </c>
      <c r="C237" s="32" t="s">
        <v>461</v>
      </c>
      <c r="D237" s="21" t="s">
        <v>210</v>
      </c>
      <c r="E237" s="36" t="s">
        <v>213</v>
      </c>
      <c r="F237" s="37" t="s">
        <v>56</v>
      </c>
      <c r="G237" s="29" t="b">
        <v>1</v>
      </c>
      <c r="H237" s="36" t="s">
        <v>214</v>
      </c>
      <c r="I237" s="36" t="s">
        <v>215</v>
      </c>
      <c r="J237" s="29"/>
      <c r="K237" s="138"/>
      <c r="L237" s="37" t="s">
        <v>194</v>
      </c>
      <c r="M237" s="37" t="s">
        <v>194</v>
      </c>
      <c r="N237" s="37" t="s">
        <v>194</v>
      </c>
      <c r="O237" s="37" t="s">
        <v>194</v>
      </c>
      <c r="P237" s="37" t="s">
        <v>1874</v>
      </c>
      <c r="Q237" s="37" t="s">
        <v>1875</v>
      </c>
      <c r="R237" s="41">
        <v>46264.0</v>
      </c>
      <c r="S237" s="42">
        <v>1.0</v>
      </c>
      <c r="T237" s="44"/>
      <c r="U237" s="45" t="str">
        <f>IF(records[Type]="Room",records[roomNo],records[roomNo]&amp;"-"&amp;SUBSTITUTE(RIGHT(records[roomNo]&amp;records[Type],2),"-",""))</f>
        <v>10-1-049</v>
      </c>
      <c r="V237" s="47" t="str">
        <f t="array" ref="V237">_xlfn.XLOOKUP(records[ID], dAir[roomNo], dAir[roomName])</f>
        <v>AIR LOCK-P</v>
      </c>
      <c r="W237" s="47" t="str">
        <f t="array" ref="W237">_xlfn.XLOOKUP(records[ID], dAir[roomNo], dAir[building])</f>
        <v>Building 10</v>
      </c>
      <c r="X237" s="47" t="str">
        <f t="array" ref="X237">_xlfn.XLOOKUP(records[ID], dAir[roomNo], dAir[floor])</f>
        <v>Floor 1</v>
      </c>
      <c r="Y237" s="45" t="str">
        <f t="array" ref="Y237">_xlfn.XLOOKUP(records[ID], dAir[roomNo], dAir[Class])</f>
        <v>D</v>
      </c>
      <c r="Z237" s="45">
        <f t="array" ref="Z237">_xlfn.XLOOKUP(records[Method]&amp;"-"&amp;records[Class], dAirSpec[ID], dAirSpec[Spec])</f>
        <v>100</v>
      </c>
      <c r="AA237" s="45" t="str">
        <f t="array" ref="AA237">_xlfn.XLOOKUP(records[Method]&amp;"-"&amp;records[Class], dAirSpec[ID], dAirSpec[Unit])</f>
        <v>cfu/plate</v>
      </c>
      <c r="AB237" s="58">
        <f t="array" ref="AB237">if(S237="","", if(records[Method]="Active Air",_xlfn.xlookup(records[ColonyCount]&amp;records[AirSampler],feller[code],feller[Vc]),records[ColonyCount]))</f>
        <v>1</v>
      </c>
      <c r="AC237" s="60" t="b">
        <f t="shared" si="1"/>
        <v>1</v>
      </c>
      <c r="AD237" s="61" t="b">
        <v>0</v>
      </c>
      <c r="AE237" s="32" t="s">
        <v>235</v>
      </c>
      <c r="AF237" s="46"/>
      <c r="AG237" s="46"/>
      <c r="AH237" s="46"/>
      <c r="AI237" s="46"/>
      <c r="AJ237" s="46"/>
    </row>
    <row r="238" ht="22.5" customHeight="1">
      <c r="A238" s="27">
        <v>46213.0</v>
      </c>
      <c r="B238" s="34" t="str">
        <f t="array" ref="B238">TEXT(A238, "MM-YYYY")</f>
        <v>07-2026</v>
      </c>
      <c r="C238" s="32" t="s">
        <v>468</v>
      </c>
      <c r="D238" s="21" t="s">
        <v>210</v>
      </c>
      <c r="E238" s="36" t="s">
        <v>213</v>
      </c>
      <c r="F238" s="37" t="s">
        <v>56</v>
      </c>
      <c r="G238" s="29" t="b">
        <v>1</v>
      </c>
      <c r="H238" s="36" t="s">
        <v>214</v>
      </c>
      <c r="I238" s="36" t="s">
        <v>215</v>
      </c>
      <c r="J238" s="29"/>
      <c r="K238" s="138"/>
      <c r="L238" s="37" t="s">
        <v>194</v>
      </c>
      <c r="M238" s="37" t="s">
        <v>194</v>
      </c>
      <c r="N238" s="37" t="s">
        <v>194</v>
      </c>
      <c r="O238" s="37" t="s">
        <v>194</v>
      </c>
      <c r="P238" s="37" t="s">
        <v>1874</v>
      </c>
      <c r="Q238" s="37" t="s">
        <v>1875</v>
      </c>
      <c r="R238" s="41">
        <v>46264.0</v>
      </c>
      <c r="S238" s="42">
        <v>3.0</v>
      </c>
      <c r="T238" s="44"/>
      <c r="U238" s="45" t="str">
        <f>IF(records[Type]="Room",records[roomNo],records[roomNo]&amp;"-"&amp;SUBSTITUTE(RIGHT(records[roomNo]&amp;records[Type],2),"-",""))</f>
        <v>10-1-050</v>
      </c>
      <c r="V238" s="47" t="str">
        <f t="array" ref="V238">_xlfn.XLOOKUP(records[ID], dAir[roomNo], dAir[roomName])</f>
        <v>SCRAP OUT-P</v>
      </c>
      <c r="W238" s="47" t="str">
        <f t="array" ref="W238">_xlfn.XLOOKUP(records[ID], dAir[roomNo], dAir[building])</f>
        <v>Building 10</v>
      </c>
      <c r="X238" s="47" t="str">
        <f t="array" ref="X238">_xlfn.XLOOKUP(records[ID], dAir[roomNo], dAir[floor])</f>
        <v>Floor 1</v>
      </c>
      <c r="Y238" s="45" t="str">
        <f t="array" ref="Y238">_xlfn.XLOOKUP(records[ID], dAir[roomNo], dAir[Class])</f>
        <v>D</v>
      </c>
      <c r="Z238" s="45">
        <f t="array" ref="Z238">_xlfn.XLOOKUP(records[Method]&amp;"-"&amp;records[Class], dAirSpec[ID], dAirSpec[Spec])</f>
        <v>100</v>
      </c>
      <c r="AA238" s="45" t="str">
        <f t="array" ref="AA238">_xlfn.XLOOKUP(records[Method]&amp;"-"&amp;records[Class], dAirSpec[ID], dAirSpec[Unit])</f>
        <v>cfu/plate</v>
      </c>
      <c r="AB238" s="58">
        <f t="array" ref="AB238">if(S238="","", if(records[Method]="Active Air",_xlfn.xlookup(records[ColonyCount]&amp;records[AirSampler],feller[code],feller[Vc]),records[ColonyCount]))</f>
        <v>3</v>
      </c>
      <c r="AC238" s="60" t="b">
        <f t="shared" si="1"/>
        <v>1</v>
      </c>
      <c r="AD238" s="61" t="b">
        <v>0</v>
      </c>
      <c r="AE238" s="32" t="s">
        <v>235</v>
      </c>
      <c r="AF238" s="46"/>
      <c r="AG238" s="46"/>
      <c r="AH238" s="46"/>
      <c r="AI238" s="46"/>
      <c r="AJ238" s="46"/>
    </row>
    <row r="239" ht="22.5" customHeight="1">
      <c r="A239" s="27">
        <v>46213.0</v>
      </c>
      <c r="B239" s="34" t="str">
        <f t="array" ref="B239">TEXT(A239, "MM-YYYY")</f>
        <v>07-2026</v>
      </c>
      <c r="C239" s="32" t="s">
        <v>476</v>
      </c>
      <c r="D239" s="21" t="s">
        <v>210</v>
      </c>
      <c r="E239" s="36" t="s">
        <v>213</v>
      </c>
      <c r="F239" s="37" t="s">
        <v>56</v>
      </c>
      <c r="G239" s="29" t="b">
        <v>1</v>
      </c>
      <c r="H239" s="36" t="s">
        <v>214</v>
      </c>
      <c r="I239" s="36" t="s">
        <v>215</v>
      </c>
      <c r="J239" s="29"/>
      <c r="K239" s="138"/>
      <c r="L239" s="37" t="s">
        <v>194</v>
      </c>
      <c r="M239" s="37" t="s">
        <v>194</v>
      </c>
      <c r="N239" s="37" t="s">
        <v>194</v>
      </c>
      <c r="O239" s="37" t="s">
        <v>194</v>
      </c>
      <c r="P239" s="37" t="s">
        <v>1874</v>
      </c>
      <c r="Q239" s="37" t="s">
        <v>1875</v>
      </c>
      <c r="R239" s="41">
        <v>46264.0</v>
      </c>
      <c r="S239" s="42">
        <v>4.0</v>
      </c>
      <c r="T239" s="44"/>
      <c r="U239" s="45" t="str">
        <f>IF(records[Type]="Room",records[roomNo],records[roomNo]&amp;"-"&amp;SUBSTITUTE(RIGHT(records[roomNo]&amp;records[Type],2),"-",""))</f>
        <v>10-1-051</v>
      </c>
      <c r="V239" s="47" t="str">
        <f t="array" ref="V239">_xlfn.XLOOKUP(records[ID], dAir[roomNo], dAir[roomName])</f>
        <v>MAL-P</v>
      </c>
      <c r="W239" s="47" t="str">
        <f t="array" ref="W239">_xlfn.XLOOKUP(records[ID], dAir[roomNo], dAir[building])</f>
        <v>Building 10</v>
      </c>
      <c r="X239" s="47" t="str">
        <f t="array" ref="X239">_xlfn.XLOOKUP(records[ID], dAir[roomNo], dAir[floor])</f>
        <v>Floor 1</v>
      </c>
      <c r="Y239" s="45" t="str">
        <f t="array" ref="Y239">_xlfn.XLOOKUP(records[ID], dAir[roomNo], dAir[Class])</f>
        <v>D</v>
      </c>
      <c r="Z239" s="45">
        <f t="array" ref="Z239">_xlfn.XLOOKUP(records[Method]&amp;"-"&amp;records[Class], dAirSpec[ID], dAirSpec[Spec])</f>
        <v>100</v>
      </c>
      <c r="AA239" s="45" t="str">
        <f t="array" ref="AA239">_xlfn.XLOOKUP(records[Method]&amp;"-"&amp;records[Class], dAirSpec[ID], dAirSpec[Unit])</f>
        <v>cfu/plate</v>
      </c>
      <c r="AB239" s="58">
        <f t="array" ref="AB239">if(S239="","", if(records[Method]="Active Air",_xlfn.xlookup(records[ColonyCount]&amp;records[AirSampler],feller[code],feller[Vc]),records[ColonyCount]))</f>
        <v>4</v>
      </c>
      <c r="AC239" s="60" t="b">
        <f t="shared" si="1"/>
        <v>1</v>
      </c>
      <c r="AD239" s="61" t="b">
        <v>0</v>
      </c>
      <c r="AE239" s="32" t="s">
        <v>235</v>
      </c>
      <c r="AF239" s="46"/>
      <c r="AG239" s="46"/>
      <c r="AH239" s="46"/>
      <c r="AI239" s="46"/>
      <c r="AJ239" s="46"/>
    </row>
    <row r="240" ht="22.5" customHeight="1">
      <c r="A240" s="27">
        <v>46213.0</v>
      </c>
      <c r="B240" s="34" t="str">
        <f t="array" ref="B240">TEXT(A240, "MM-YYYY")</f>
        <v>07-2026</v>
      </c>
      <c r="C240" s="32" t="s">
        <v>482</v>
      </c>
      <c r="D240" s="21" t="s">
        <v>210</v>
      </c>
      <c r="E240" s="36" t="s">
        <v>213</v>
      </c>
      <c r="F240" s="37" t="s">
        <v>56</v>
      </c>
      <c r="G240" s="29" t="b">
        <v>1</v>
      </c>
      <c r="H240" s="36" t="s">
        <v>214</v>
      </c>
      <c r="I240" s="36" t="s">
        <v>215</v>
      </c>
      <c r="J240" s="29"/>
      <c r="K240" s="138"/>
      <c r="L240" s="37" t="s">
        <v>194</v>
      </c>
      <c r="M240" s="37" t="s">
        <v>194</v>
      </c>
      <c r="N240" s="37" t="s">
        <v>194</v>
      </c>
      <c r="O240" s="37" t="s">
        <v>194</v>
      </c>
      <c r="P240" s="37" t="s">
        <v>1874</v>
      </c>
      <c r="Q240" s="37" t="s">
        <v>1875</v>
      </c>
      <c r="R240" s="41">
        <v>46264.0</v>
      </c>
      <c r="S240" s="42">
        <v>14.0</v>
      </c>
      <c r="T240" s="44"/>
      <c r="U240" s="45" t="str">
        <f>IF(records[Type]="Room",records[roomNo],records[roomNo]&amp;"-"&amp;SUBSTITUTE(RIGHT(records[roomNo]&amp;records[Type],2),"-",""))</f>
        <v>10-1-052</v>
      </c>
      <c r="V240" s="47" t="str">
        <f t="array" ref="V240">_xlfn.XLOOKUP(records[ID], dAir[roomNo], dAir[roomName])</f>
        <v>CORRIDOR-P</v>
      </c>
      <c r="W240" s="47" t="str">
        <f t="array" ref="W240">_xlfn.XLOOKUP(records[ID], dAir[roomNo], dAir[building])</f>
        <v>Building 10</v>
      </c>
      <c r="X240" s="47" t="str">
        <f t="array" ref="X240">_xlfn.XLOOKUP(records[ID], dAir[roomNo], dAir[floor])</f>
        <v>Floor 1</v>
      </c>
      <c r="Y240" s="45" t="str">
        <f t="array" ref="Y240">_xlfn.XLOOKUP(records[ID], dAir[roomNo], dAir[Class])</f>
        <v>D</v>
      </c>
      <c r="Z240" s="45">
        <f t="array" ref="Z240">_xlfn.XLOOKUP(records[Method]&amp;"-"&amp;records[Class], dAirSpec[ID], dAirSpec[Spec])</f>
        <v>100</v>
      </c>
      <c r="AA240" s="45" t="str">
        <f t="array" ref="AA240">_xlfn.XLOOKUP(records[Method]&amp;"-"&amp;records[Class], dAirSpec[ID], dAirSpec[Unit])</f>
        <v>cfu/plate</v>
      </c>
      <c r="AB240" s="58">
        <f t="array" ref="AB240">if(S240="","", if(records[Method]="Active Air",_xlfn.xlookup(records[ColonyCount]&amp;records[AirSampler],feller[code],feller[Vc]),records[ColonyCount]))</f>
        <v>14</v>
      </c>
      <c r="AC240" s="60" t="b">
        <f t="shared" si="1"/>
        <v>1</v>
      </c>
      <c r="AD240" s="61" t="b">
        <v>0</v>
      </c>
      <c r="AE240" s="32" t="s">
        <v>235</v>
      </c>
      <c r="AF240" s="46"/>
      <c r="AG240" s="46"/>
      <c r="AH240" s="46"/>
      <c r="AI240" s="46"/>
      <c r="AJ240" s="46"/>
    </row>
    <row r="241" ht="22.5" customHeight="1">
      <c r="A241" s="27">
        <v>46213.0</v>
      </c>
      <c r="B241" s="34" t="str">
        <f t="array" ref="B241">TEXT(A241, "MM-YYYY")</f>
        <v>07-2026</v>
      </c>
      <c r="C241" s="32" t="s">
        <v>489</v>
      </c>
      <c r="D241" s="21" t="s">
        <v>210</v>
      </c>
      <c r="E241" s="36" t="s">
        <v>213</v>
      </c>
      <c r="F241" s="37" t="s">
        <v>56</v>
      </c>
      <c r="G241" s="29" t="b">
        <v>1</v>
      </c>
      <c r="H241" s="36" t="s">
        <v>214</v>
      </c>
      <c r="I241" s="36" t="s">
        <v>215</v>
      </c>
      <c r="J241" s="29"/>
      <c r="K241" s="138"/>
      <c r="L241" s="37" t="s">
        <v>194</v>
      </c>
      <c r="M241" s="37" t="s">
        <v>194</v>
      </c>
      <c r="N241" s="37" t="s">
        <v>194</v>
      </c>
      <c r="O241" s="37" t="s">
        <v>194</v>
      </c>
      <c r="P241" s="37" t="s">
        <v>1874</v>
      </c>
      <c r="Q241" s="37" t="s">
        <v>1875</v>
      </c>
      <c r="R241" s="41">
        <v>46264.0</v>
      </c>
      <c r="S241" s="42">
        <v>40.0</v>
      </c>
      <c r="T241" s="44"/>
      <c r="U241" s="45" t="str">
        <f>IF(records[Type]="Room",records[roomNo],records[roomNo]&amp;"-"&amp;SUBSTITUTE(RIGHT(records[roomNo]&amp;records[Type],2),"-",""))</f>
        <v>10-1-053</v>
      </c>
      <c r="V241" s="47" t="str">
        <f t="array" ref="V241">_xlfn.XLOOKUP(records[ID], dAir[roomNo], dAir[roomName])</f>
        <v>OFFICE-P</v>
      </c>
      <c r="W241" s="47" t="str">
        <f t="array" ref="W241">_xlfn.XLOOKUP(records[ID], dAir[roomNo], dAir[building])</f>
        <v>Building 10</v>
      </c>
      <c r="X241" s="47" t="str">
        <f t="array" ref="X241">_xlfn.XLOOKUP(records[ID], dAir[roomNo], dAir[floor])</f>
        <v>Floor 1</v>
      </c>
      <c r="Y241" s="45" t="str">
        <f t="array" ref="Y241">_xlfn.XLOOKUP(records[ID], dAir[roomNo], dAir[Class])</f>
        <v>D</v>
      </c>
      <c r="Z241" s="45">
        <f t="array" ref="Z241">_xlfn.XLOOKUP(records[Method]&amp;"-"&amp;records[Class], dAirSpec[ID], dAirSpec[Spec])</f>
        <v>100</v>
      </c>
      <c r="AA241" s="45" t="str">
        <f t="array" ref="AA241">_xlfn.XLOOKUP(records[Method]&amp;"-"&amp;records[Class], dAirSpec[ID], dAirSpec[Unit])</f>
        <v>cfu/plate</v>
      </c>
      <c r="AB241" s="58">
        <f t="array" ref="AB241">if(S241="","", if(records[Method]="Active Air",_xlfn.xlookup(records[ColonyCount]&amp;records[AirSampler],feller[code],feller[Vc]),records[ColonyCount]))</f>
        <v>40</v>
      </c>
      <c r="AC241" s="60" t="b">
        <f t="shared" si="1"/>
        <v>1</v>
      </c>
      <c r="AD241" s="61" t="b">
        <v>0</v>
      </c>
      <c r="AE241" s="32" t="s">
        <v>235</v>
      </c>
      <c r="AF241" s="46"/>
      <c r="AG241" s="46"/>
      <c r="AH241" s="46"/>
      <c r="AI241" s="46"/>
      <c r="AJ241" s="46"/>
    </row>
    <row r="242" ht="22.5" customHeight="1">
      <c r="A242" s="27">
        <v>46213.0</v>
      </c>
      <c r="B242" s="34" t="str">
        <f t="array" ref="B242">TEXT(A242, "MM-YYYY")</f>
        <v>07-2026</v>
      </c>
      <c r="C242" s="32" t="s">
        <v>502</v>
      </c>
      <c r="D242" s="21" t="s">
        <v>210</v>
      </c>
      <c r="E242" s="36" t="s">
        <v>213</v>
      </c>
      <c r="F242" s="37" t="s">
        <v>56</v>
      </c>
      <c r="G242" s="29" t="b">
        <v>1</v>
      </c>
      <c r="H242" s="36" t="s">
        <v>214</v>
      </c>
      <c r="I242" s="36" t="s">
        <v>215</v>
      </c>
      <c r="J242" s="29"/>
      <c r="K242" s="138"/>
      <c r="L242" s="37" t="s">
        <v>194</v>
      </c>
      <c r="M242" s="37" t="s">
        <v>194</v>
      </c>
      <c r="N242" s="37" t="s">
        <v>194</v>
      </c>
      <c r="O242" s="37" t="s">
        <v>194</v>
      </c>
      <c r="P242" s="37" t="s">
        <v>1874</v>
      </c>
      <c r="Q242" s="37" t="s">
        <v>1875</v>
      </c>
      <c r="R242" s="41">
        <v>46264.0</v>
      </c>
      <c r="S242" s="42">
        <v>7.0</v>
      </c>
      <c r="T242" s="44"/>
      <c r="U242" s="45" t="str">
        <f>IF(records[Type]="Room",records[roomNo],records[roomNo]&amp;"-"&amp;SUBSTITUTE(RIGHT(records[roomNo]&amp;records[Type],2),"-",""))</f>
        <v>10-1-054</v>
      </c>
      <c r="V242" s="47" t="str">
        <f t="array" ref="V242">_xlfn.XLOOKUP(records[ID], dAir[roomNo], dAir[roomName])</f>
        <v>IPQC-P</v>
      </c>
      <c r="W242" s="47" t="str">
        <f t="array" ref="W242">_xlfn.XLOOKUP(records[ID], dAir[roomNo], dAir[building])</f>
        <v>Building 10</v>
      </c>
      <c r="X242" s="47" t="str">
        <f t="array" ref="X242">_xlfn.XLOOKUP(records[ID], dAir[roomNo], dAir[floor])</f>
        <v>Floor 1</v>
      </c>
      <c r="Y242" s="45" t="str">
        <f t="array" ref="Y242">_xlfn.XLOOKUP(records[ID], dAir[roomNo], dAir[Class])</f>
        <v>D</v>
      </c>
      <c r="Z242" s="45">
        <f t="array" ref="Z242">_xlfn.XLOOKUP(records[Method]&amp;"-"&amp;records[Class], dAirSpec[ID], dAirSpec[Spec])</f>
        <v>100</v>
      </c>
      <c r="AA242" s="45" t="str">
        <f t="array" ref="AA242">_xlfn.XLOOKUP(records[Method]&amp;"-"&amp;records[Class], dAirSpec[ID], dAirSpec[Unit])</f>
        <v>cfu/plate</v>
      </c>
      <c r="AB242" s="58">
        <f t="array" ref="AB242">if(S242="","", if(records[Method]="Active Air",_xlfn.xlookup(records[ColonyCount]&amp;records[AirSampler],feller[code],feller[Vc]),records[ColonyCount]))</f>
        <v>7</v>
      </c>
      <c r="AC242" s="60" t="b">
        <f t="shared" si="1"/>
        <v>1</v>
      </c>
      <c r="AD242" s="61" t="b">
        <v>0</v>
      </c>
      <c r="AE242" s="32" t="s">
        <v>235</v>
      </c>
      <c r="AF242" s="46"/>
      <c r="AG242" s="46"/>
      <c r="AH242" s="46"/>
      <c r="AI242" s="46"/>
      <c r="AJ242" s="46"/>
    </row>
    <row r="243" ht="22.5" customHeight="1">
      <c r="A243" s="27">
        <v>46213.0</v>
      </c>
      <c r="B243" s="34" t="str">
        <f t="array" ref="B243">TEXT(A243, "MM-YYYY")</f>
        <v>07-2026</v>
      </c>
      <c r="C243" s="32" t="s">
        <v>512</v>
      </c>
      <c r="D243" s="21" t="s">
        <v>210</v>
      </c>
      <c r="E243" s="36" t="s">
        <v>213</v>
      </c>
      <c r="F243" s="37" t="s">
        <v>56</v>
      </c>
      <c r="G243" s="29" t="b">
        <v>1</v>
      </c>
      <c r="H243" s="36" t="s">
        <v>214</v>
      </c>
      <c r="I243" s="36" t="s">
        <v>215</v>
      </c>
      <c r="J243" s="29"/>
      <c r="K243" s="138"/>
      <c r="L243" s="37" t="s">
        <v>194</v>
      </c>
      <c r="M243" s="37" t="s">
        <v>194</v>
      </c>
      <c r="N243" s="37" t="s">
        <v>194</v>
      </c>
      <c r="O243" s="37" t="s">
        <v>194</v>
      </c>
      <c r="P243" s="37" t="s">
        <v>1874</v>
      </c>
      <c r="Q243" s="37" t="s">
        <v>1875</v>
      </c>
      <c r="R243" s="41">
        <v>46264.0</v>
      </c>
      <c r="S243" s="42">
        <v>19.0</v>
      </c>
      <c r="T243" s="44"/>
      <c r="U243" s="45" t="str">
        <f>IF(records[Type]="Room",records[roomNo],records[roomNo]&amp;"-"&amp;SUBSTITUTE(RIGHT(records[roomNo]&amp;records[Type],2),"-",""))</f>
        <v>10-1-055</v>
      </c>
      <c r="V243" s="47" t="str">
        <f t="array" ref="V243">_xlfn.XLOOKUP(records[ID], dAir[roomNo], dAir[roomName])</f>
        <v>USED EQUIPMENT-P</v>
      </c>
      <c r="W243" s="47" t="str">
        <f t="array" ref="W243">_xlfn.XLOOKUP(records[ID], dAir[roomNo], dAir[building])</f>
        <v>Building 10</v>
      </c>
      <c r="X243" s="47" t="str">
        <f t="array" ref="X243">_xlfn.XLOOKUP(records[ID], dAir[roomNo], dAir[floor])</f>
        <v>Floor 1</v>
      </c>
      <c r="Y243" s="45" t="str">
        <f t="array" ref="Y243">_xlfn.XLOOKUP(records[ID], dAir[roomNo], dAir[Class])</f>
        <v>D</v>
      </c>
      <c r="Z243" s="45">
        <f t="array" ref="Z243">_xlfn.XLOOKUP(records[Method]&amp;"-"&amp;records[Class], dAirSpec[ID], dAirSpec[Spec])</f>
        <v>100</v>
      </c>
      <c r="AA243" s="45" t="str">
        <f t="array" ref="AA243">_xlfn.XLOOKUP(records[Method]&amp;"-"&amp;records[Class], dAirSpec[ID], dAirSpec[Unit])</f>
        <v>cfu/plate</v>
      </c>
      <c r="AB243" s="58">
        <f t="array" ref="AB243">if(S243="","", if(records[Method]="Active Air",_xlfn.xlookup(records[ColonyCount]&amp;records[AirSampler],feller[code],feller[Vc]),records[ColonyCount]))</f>
        <v>19</v>
      </c>
      <c r="AC243" s="60" t="b">
        <f t="shared" si="1"/>
        <v>1</v>
      </c>
      <c r="AD243" s="61" t="b">
        <v>0</v>
      </c>
      <c r="AE243" s="32" t="s">
        <v>235</v>
      </c>
      <c r="AF243" s="46"/>
      <c r="AG243" s="46"/>
      <c r="AH243" s="46"/>
      <c r="AI243" s="46"/>
      <c r="AJ243" s="46"/>
    </row>
    <row r="244" ht="22.5" customHeight="1">
      <c r="A244" s="27">
        <v>46213.0</v>
      </c>
      <c r="B244" s="34" t="str">
        <f t="array" ref="B244">TEXT(A244, "MM-YYYY")</f>
        <v>07-2026</v>
      </c>
      <c r="C244" s="32" t="s">
        <v>521</v>
      </c>
      <c r="D244" s="21" t="s">
        <v>210</v>
      </c>
      <c r="E244" s="36" t="s">
        <v>213</v>
      </c>
      <c r="F244" s="37" t="s">
        <v>56</v>
      </c>
      <c r="G244" s="29" t="b">
        <v>1</v>
      </c>
      <c r="H244" s="36" t="s">
        <v>214</v>
      </c>
      <c r="I244" s="36" t="s">
        <v>215</v>
      </c>
      <c r="J244" s="29"/>
      <c r="K244" s="138"/>
      <c r="L244" s="37" t="s">
        <v>194</v>
      </c>
      <c r="M244" s="37" t="s">
        <v>194</v>
      </c>
      <c r="N244" s="37" t="s">
        <v>194</v>
      </c>
      <c r="O244" s="37" t="s">
        <v>194</v>
      </c>
      <c r="P244" s="37" t="s">
        <v>1874</v>
      </c>
      <c r="Q244" s="37" t="s">
        <v>1875</v>
      </c>
      <c r="R244" s="41">
        <v>46264.0</v>
      </c>
      <c r="S244" s="42">
        <v>0.0</v>
      </c>
      <c r="T244" s="44"/>
      <c r="U244" s="45" t="str">
        <f>IF(records[Type]="Room",records[roomNo],records[roomNo]&amp;"-"&amp;SUBSTITUTE(RIGHT(records[roomNo]&amp;records[Type],2),"-",""))</f>
        <v>10-1-056</v>
      </c>
      <c r="V244" s="47" t="str">
        <f t="array" ref="V244">_xlfn.XLOOKUP(records[ID], dAir[roomNo], dAir[roomName])</f>
        <v>PPM STAGING-P</v>
      </c>
      <c r="W244" s="47" t="str">
        <f t="array" ref="W244">_xlfn.XLOOKUP(records[ID], dAir[roomNo], dAir[building])</f>
        <v>Building 10</v>
      </c>
      <c r="X244" s="47" t="str">
        <f t="array" ref="X244">_xlfn.XLOOKUP(records[ID], dAir[roomNo], dAir[floor])</f>
        <v>Floor 1</v>
      </c>
      <c r="Y244" s="45" t="str">
        <f t="array" ref="Y244">_xlfn.XLOOKUP(records[ID], dAir[roomNo], dAir[Class])</f>
        <v>D</v>
      </c>
      <c r="Z244" s="45">
        <f t="array" ref="Z244">_xlfn.XLOOKUP(records[Method]&amp;"-"&amp;records[Class], dAirSpec[ID], dAirSpec[Spec])</f>
        <v>100</v>
      </c>
      <c r="AA244" s="45" t="str">
        <f t="array" ref="AA244">_xlfn.XLOOKUP(records[Method]&amp;"-"&amp;records[Class], dAirSpec[ID], dAirSpec[Unit])</f>
        <v>cfu/plate</v>
      </c>
      <c r="AB244" s="58">
        <f t="array" ref="AB244">if(S244="","", if(records[Method]="Active Air",_xlfn.xlookup(records[ColonyCount]&amp;records[AirSampler],feller[code],feller[Vc]),records[ColonyCount]))</f>
        <v>0</v>
      </c>
      <c r="AC244" s="60" t="b">
        <f t="shared" si="1"/>
        <v>1</v>
      </c>
      <c r="AD244" s="61" t="b">
        <v>0</v>
      </c>
      <c r="AE244" s="32" t="s">
        <v>235</v>
      </c>
      <c r="AF244" s="46"/>
      <c r="AG244" s="46"/>
      <c r="AH244" s="46"/>
      <c r="AI244" s="46"/>
      <c r="AJ244" s="46"/>
    </row>
    <row r="245" ht="22.5" customHeight="1">
      <c r="A245" s="27">
        <v>46213.0</v>
      </c>
      <c r="B245" s="34" t="str">
        <f t="array" ref="B245">TEXT(A245, "MM-YYYY")</f>
        <v>07-2026</v>
      </c>
      <c r="C245" s="32" t="s">
        <v>529</v>
      </c>
      <c r="D245" s="21" t="s">
        <v>210</v>
      </c>
      <c r="E245" s="36" t="s">
        <v>213</v>
      </c>
      <c r="F245" s="37" t="s">
        <v>56</v>
      </c>
      <c r="G245" s="29" t="b">
        <v>1</v>
      </c>
      <c r="H245" s="36" t="s">
        <v>214</v>
      </c>
      <c r="I245" s="36" t="s">
        <v>215</v>
      </c>
      <c r="J245" s="29"/>
      <c r="K245" s="138"/>
      <c r="L245" s="37" t="s">
        <v>194</v>
      </c>
      <c r="M245" s="37" t="s">
        <v>194</v>
      </c>
      <c r="N245" s="37" t="s">
        <v>194</v>
      </c>
      <c r="O245" s="37" t="s">
        <v>194</v>
      </c>
      <c r="P245" s="37" t="s">
        <v>1874</v>
      </c>
      <c r="Q245" s="37" t="s">
        <v>1875</v>
      </c>
      <c r="R245" s="41">
        <v>46264.0</v>
      </c>
      <c r="S245" s="42">
        <v>23.0</v>
      </c>
      <c r="T245" s="44"/>
      <c r="U245" s="45" t="str">
        <f>IF(records[Type]="Room",records[roomNo],records[roomNo]&amp;"-"&amp;SUBSTITUTE(RIGHT(records[roomNo]&amp;records[Type],2),"-",""))</f>
        <v>10-1-057</v>
      </c>
      <c r="V245" s="47" t="str">
        <f t="array" ref="V245">_xlfn.XLOOKUP(records[ID], dAir[roomNo], dAir[roomName])</f>
        <v>WASHING-P</v>
      </c>
      <c r="W245" s="47" t="str">
        <f t="array" ref="W245">_xlfn.XLOOKUP(records[ID], dAir[roomNo], dAir[building])</f>
        <v>Building 10</v>
      </c>
      <c r="X245" s="47" t="str">
        <f t="array" ref="X245">_xlfn.XLOOKUP(records[ID], dAir[roomNo], dAir[floor])</f>
        <v>Floor 1</v>
      </c>
      <c r="Y245" s="45" t="str">
        <f t="array" ref="Y245">_xlfn.XLOOKUP(records[ID], dAir[roomNo], dAir[Class])</f>
        <v>D</v>
      </c>
      <c r="Z245" s="45">
        <f t="array" ref="Z245">_xlfn.XLOOKUP(records[Method]&amp;"-"&amp;records[Class], dAirSpec[ID], dAirSpec[Spec])</f>
        <v>100</v>
      </c>
      <c r="AA245" s="45" t="str">
        <f t="array" ref="AA245">_xlfn.XLOOKUP(records[Method]&amp;"-"&amp;records[Class], dAirSpec[ID], dAirSpec[Unit])</f>
        <v>cfu/plate</v>
      </c>
      <c r="AB245" s="58">
        <f t="array" ref="AB245">if(S245="","", if(records[Method]="Active Air",_xlfn.xlookup(records[ColonyCount]&amp;records[AirSampler],feller[code],feller[Vc]),records[ColonyCount]))</f>
        <v>23</v>
      </c>
      <c r="AC245" s="60" t="b">
        <f t="shared" si="1"/>
        <v>1</v>
      </c>
      <c r="AD245" s="61" t="b">
        <v>0</v>
      </c>
      <c r="AE245" s="32" t="s">
        <v>235</v>
      </c>
      <c r="AF245" s="46"/>
      <c r="AG245" s="46"/>
      <c r="AH245" s="46"/>
      <c r="AI245" s="46"/>
      <c r="AJ245" s="46"/>
    </row>
    <row r="246" ht="22.5" customHeight="1">
      <c r="A246" s="27">
        <v>46213.0</v>
      </c>
      <c r="B246" s="34" t="str">
        <f t="array" ref="B246">TEXT(A246, "MM-YYYY")</f>
        <v>07-2026</v>
      </c>
      <c r="C246" s="32" t="s">
        <v>542</v>
      </c>
      <c r="D246" s="21" t="s">
        <v>210</v>
      </c>
      <c r="E246" s="36" t="s">
        <v>213</v>
      </c>
      <c r="F246" s="37" t="s">
        <v>56</v>
      </c>
      <c r="G246" s="29" t="b">
        <v>1</v>
      </c>
      <c r="H246" s="36" t="s">
        <v>214</v>
      </c>
      <c r="I246" s="36" t="s">
        <v>215</v>
      </c>
      <c r="J246" s="29"/>
      <c r="K246" s="138"/>
      <c r="L246" s="37" t="s">
        <v>194</v>
      </c>
      <c r="M246" s="37" t="s">
        <v>194</v>
      </c>
      <c r="N246" s="37" t="s">
        <v>194</v>
      </c>
      <c r="O246" s="37" t="s">
        <v>194</v>
      </c>
      <c r="P246" s="37" t="s">
        <v>1874</v>
      </c>
      <c r="Q246" s="37" t="s">
        <v>1875</v>
      </c>
      <c r="R246" s="41">
        <v>46264.0</v>
      </c>
      <c r="S246" s="42">
        <v>3.0</v>
      </c>
      <c r="T246" s="44"/>
      <c r="U246" s="45" t="str">
        <f>IF(records[Type]="Room",records[roomNo],records[roomNo]&amp;"-"&amp;SUBSTITUTE(RIGHT(records[roomNo]&amp;records[Type],2),"-",""))</f>
        <v>10-1-058</v>
      </c>
      <c r="V246" s="47" t="str">
        <f t="array" ref="V246">_xlfn.XLOOKUP(records[ID], dAir[roomNo], dAir[roomName])</f>
        <v>JANITOR-P</v>
      </c>
      <c r="W246" s="47" t="str">
        <f t="array" ref="W246">_xlfn.XLOOKUP(records[ID], dAir[roomNo], dAir[building])</f>
        <v>Building 10</v>
      </c>
      <c r="X246" s="47" t="str">
        <f t="array" ref="X246">_xlfn.XLOOKUP(records[ID], dAir[roomNo], dAir[floor])</f>
        <v>Floor 1</v>
      </c>
      <c r="Y246" s="45" t="str">
        <f t="array" ref="Y246">_xlfn.XLOOKUP(records[ID], dAir[roomNo], dAir[Class])</f>
        <v>D</v>
      </c>
      <c r="Z246" s="45">
        <f t="array" ref="Z246">_xlfn.XLOOKUP(records[Method]&amp;"-"&amp;records[Class], dAirSpec[ID], dAirSpec[Spec])</f>
        <v>100</v>
      </c>
      <c r="AA246" s="45" t="str">
        <f t="array" ref="AA246">_xlfn.XLOOKUP(records[Method]&amp;"-"&amp;records[Class], dAirSpec[ID], dAirSpec[Unit])</f>
        <v>cfu/plate</v>
      </c>
      <c r="AB246" s="58">
        <f t="array" ref="AB246">if(S246="","", if(records[Method]="Active Air",_xlfn.xlookup(records[ColonyCount]&amp;records[AirSampler],feller[code],feller[Vc]),records[ColonyCount]))</f>
        <v>3</v>
      </c>
      <c r="AC246" s="60" t="b">
        <f t="shared" si="1"/>
        <v>1</v>
      </c>
      <c r="AD246" s="61" t="b">
        <v>0</v>
      </c>
      <c r="AE246" s="32" t="s">
        <v>235</v>
      </c>
      <c r="AF246" s="46"/>
      <c r="AG246" s="46"/>
      <c r="AH246" s="46"/>
      <c r="AI246" s="46"/>
      <c r="AJ246" s="46"/>
    </row>
    <row r="247" ht="22.5" customHeight="1">
      <c r="A247" s="27">
        <v>46213.0</v>
      </c>
      <c r="B247" s="34" t="str">
        <f t="array" ref="B247">TEXT(A247, "MM-YYYY")</f>
        <v>07-2026</v>
      </c>
      <c r="C247" s="32" t="s">
        <v>549</v>
      </c>
      <c r="D247" s="21" t="s">
        <v>210</v>
      </c>
      <c r="E247" s="36" t="s">
        <v>213</v>
      </c>
      <c r="F247" s="37" t="s">
        <v>56</v>
      </c>
      <c r="G247" s="29" t="b">
        <v>1</v>
      </c>
      <c r="H247" s="36" t="s">
        <v>214</v>
      </c>
      <c r="I247" s="36" t="s">
        <v>215</v>
      </c>
      <c r="J247" s="29"/>
      <c r="K247" s="138"/>
      <c r="L247" s="37" t="s">
        <v>194</v>
      </c>
      <c r="M247" s="37" t="s">
        <v>194</v>
      </c>
      <c r="N247" s="37" t="s">
        <v>194</v>
      </c>
      <c r="O247" s="37" t="s">
        <v>194</v>
      </c>
      <c r="P247" s="37" t="s">
        <v>1874</v>
      </c>
      <c r="Q247" s="37" t="s">
        <v>1875</v>
      </c>
      <c r="R247" s="41">
        <v>46264.0</v>
      </c>
      <c r="S247" s="42">
        <v>12.0</v>
      </c>
      <c r="T247" s="44"/>
      <c r="U247" s="45" t="str">
        <f>IF(records[Type]="Room",records[roomNo],records[roomNo]&amp;"-"&amp;SUBSTITUTE(RIGHT(records[roomNo]&amp;records[Type],2),"-",""))</f>
        <v>10-1-059</v>
      </c>
      <c r="V247" s="47" t="str">
        <f t="array" ref="V247">_xlfn.XLOOKUP(records[ID], dAir[roomNo], dAir[roomName])</f>
        <v>CORRIDOR-P</v>
      </c>
      <c r="W247" s="47" t="str">
        <f t="array" ref="W247">_xlfn.XLOOKUP(records[ID], dAir[roomNo], dAir[building])</f>
        <v>Building 10</v>
      </c>
      <c r="X247" s="47" t="str">
        <f t="array" ref="X247">_xlfn.XLOOKUP(records[ID], dAir[roomNo], dAir[floor])</f>
        <v>Floor 1</v>
      </c>
      <c r="Y247" s="45" t="str">
        <f t="array" ref="Y247">_xlfn.XLOOKUP(records[ID], dAir[roomNo], dAir[Class])</f>
        <v>D</v>
      </c>
      <c r="Z247" s="45">
        <f t="array" ref="Z247">_xlfn.XLOOKUP(records[Method]&amp;"-"&amp;records[Class], dAirSpec[ID], dAirSpec[Spec])</f>
        <v>100</v>
      </c>
      <c r="AA247" s="45" t="str">
        <f t="array" ref="AA247">_xlfn.XLOOKUP(records[Method]&amp;"-"&amp;records[Class], dAirSpec[ID], dAirSpec[Unit])</f>
        <v>cfu/plate</v>
      </c>
      <c r="AB247" s="58">
        <f t="array" ref="AB247">if(S247="","", if(records[Method]="Active Air",_xlfn.xlookup(records[ColonyCount]&amp;records[AirSampler],feller[code],feller[Vc]),records[ColonyCount]))</f>
        <v>12</v>
      </c>
      <c r="AC247" s="60" t="b">
        <f t="shared" si="1"/>
        <v>1</v>
      </c>
      <c r="AD247" s="61" t="b">
        <v>0</v>
      </c>
      <c r="AE247" s="32" t="s">
        <v>235</v>
      </c>
      <c r="AF247" s="46"/>
      <c r="AG247" s="46"/>
      <c r="AH247" s="46"/>
      <c r="AI247" s="46"/>
      <c r="AJ247" s="46"/>
    </row>
    <row r="248" ht="22.5" customHeight="1">
      <c r="A248" s="27">
        <v>46213.0</v>
      </c>
      <c r="B248" s="34" t="str">
        <f t="array" ref="B248">TEXT(A248, "MM-YYYY")</f>
        <v>07-2026</v>
      </c>
      <c r="C248" s="32" t="s">
        <v>555</v>
      </c>
      <c r="D248" s="21" t="s">
        <v>210</v>
      </c>
      <c r="E248" s="36" t="s">
        <v>213</v>
      </c>
      <c r="F248" s="37" t="s">
        <v>56</v>
      </c>
      <c r="G248" s="29" t="b">
        <v>1</v>
      </c>
      <c r="H248" s="36" t="s">
        <v>214</v>
      </c>
      <c r="I248" s="36" t="s">
        <v>215</v>
      </c>
      <c r="J248" s="29"/>
      <c r="K248" s="138"/>
      <c r="L248" s="37" t="s">
        <v>194</v>
      </c>
      <c r="M248" s="37" t="s">
        <v>194</v>
      </c>
      <c r="N248" s="37" t="s">
        <v>194</v>
      </c>
      <c r="O248" s="37" t="s">
        <v>194</v>
      </c>
      <c r="P248" s="37" t="s">
        <v>1874</v>
      </c>
      <c r="Q248" s="37" t="s">
        <v>1875</v>
      </c>
      <c r="R248" s="41">
        <v>46264.0</v>
      </c>
      <c r="S248" s="42">
        <v>17.0</v>
      </c>
      <c r="T248" s="44"/>
      <c r="U248" s="45" t="str">
        <f>IF(records[Type]="Room",records[roomNo],records[roomNo]&amp;"-"&amp;SUBSTITUTE(RIGHT(records[roomNo]&amp;records[Type],2),"-",""))</f>
        <v>10-1-060</v>
      </c>
      <c r="V248" s="47" t="str">
        <f t="array" ref="V248">_xlfn.XLOOKUP(records[ID], dAir[roomNo], dAir[roomName])</f>
        <v>BOTTLE CLEANING-P</v>
      </c>
      <c r="W248" s="47" t="str">
        <f t="array" ref="W248">_xlfn.XLOOKUP(records[ID], dAir[roomNo], dAir[building])</f>
        <v>Building 10</v>
      </c>
      <c r="X248" s="47" t="str">
        <f t="array" ref="X248">_xlfn.XLOOKUP(records[ID], dAir[roomNo], dAir[floor])</f>
        <v>Floor 1</v>
      </c>
      <c r="Y248" s="45" t="str">
        <f t="array" ref="Y248">_xlfn.XLOOKUP(records[ID], dAir[roomNo], dAir[Class])</f>
        <v>D</v>
      </c>
      <c r="Z248" s="45">
        <f t="array" ref="Z248">_xlfn.XLOOKUP(records[Method]&amp;"-"&amp;records[Class], dAirSpec[ID], dAirSpec[Spec])</f>
        <v>100</v>
      </c>
      <c r="AA248" s="45" t="str">
        <f t="array" ref="AA248">_xlfn.XLOOKUP(records[Method]&amp;"-"&amp;records[Class], dAirSpec[ID], dAirSpec[Unit])</f>
        <v>cfu/plate</v>
      </c>
      <c r="AB248" s="58">
        <f t="array" ref="AB248">if(S248="","", if(records[Method]="Active Air",_xlfn.xlookup(records[ColonyCount]&amp;records[AirSampler],feller[code],feller[Vc]),records[ColonyCount]))</f>
        <v>17</v>
      </c>
      <c r="AC248" s="60" t="b">
        <f t="shared" si="1"/>
        <v>1</v>
      </c>
      <c r="AD248" s="61" t="b">
        <v>0</v>
      </c>
      <c r="AE248" s="32" t="s">
        <v>235</v>
      </c>
      <c r="AF248" s="46"/>
      <c r="AG248" s="46"/>
      <c r="AH248" s="46"/>
      <c r="AI248" s="46"/>
      <c r="AJ248" s="46"/>
    </row>
    <row r="249" ht="22.5" customHeight="1">
      <c r="A249" s="27">
        <v>46213.0</v>
      </c>
      <c r="B249" s="34" t="str">
        <f t="array" ref="B249">TEXT(A249, "MM-YYYY")</f>
        <v>07-2026</v>
      </c>
      <c r="C249" s="32" t="s">
        <v>560</v>
      </c>
      <c r="D249" s="21" t="s">
        <v>210</v>
      </c>
      <c r="E249" s="36" t="s">
        <v>213</v>
      </c>
      <c r="F249" s="37" t="s">
        <v>56</v>
      </c>
      <c r="G249" s="29" t="b">
        <v>1</v>
      </c>
      <c r="H249" s="36" t="s">
        <v>214</v>
      </c>
      <c r="I249" s="36" t="s">
        <v>215</v>
      </c>
      <c r="J249" s="29"/>
      <c r="K249" s="138"/>
      <c r="L249" s="37" t="s">
        <v>194</v>
      </c>
      <c r="M249" s="37" t="s">
        <v>194</v>
      </c>
      <c r="N249" s="37" t="s">
        <v>194</v>
      </c>
      <c r="O249" s="37" t="s">
        <v>194</v>
      </c>
      <c r="P249" s="37" t="s">
        <v>1874</v>
      </c>
      <c r="Q249" s="37" t="s">
        <v>1875</v>
      </c>
      <c r="R249" s="41">
        <v>46264.0</v>
      </c>
      <c r="S249" s="42">
        <v>0.0</v>
      </c>
      <c r="T249" s="44"/>
      <c r="U249" s="45" t="str">
        <f>IF(records[Type]="Room",records[roomNo],records[roomNo]&amp;"-"&amp;SUBSTITUTE(RIGHT(records[roomNo]&amp;records[Type],2),"-",""))</f>
        <v>10-1-061</v>
      </c>
      <c r="V249" s="47" t="str">
        <f t="array" ref="V249">_xlfn.XLOOKUP(records[ID], dAir[roomNo], dAir[roomName])</f>
        <v>CLEANED EQUIPMENT-P</v>
      </c>
      <c r="W249" s="47" t="str">
        <f t="array" ref="W249">_xlfn.XLOOKUP(records[ID], dAir[roomNo], dAir[building])</f>
        <v>Building 10</v>
      </c>
      <c r="X249" s="47" t="str">
        <f t="array" ref="X249">_xlfn.XLOOKUP(records[ID], dAir[roomNo], dAir[floor])</f>
        <v>Floor 1</v>
      </c>
      <c r="Y249" s="45" t="str">
        <f t="array" ref="Y249">_xlfn.XLOOKUP(records[ID], dAir[roomNo], dAir[Class])</f>
        <v>D</v>
      </c>
      <c r="Z249" s="45">
        <f t="array" ref="Z249">_xlfn.XLOOKUP(records[Method]&amp;"-"&amp;records[Class], dAirSpec[ID], dAirSpec[Spec])</f>
        <v>100</v>
      </c>
      <c r="AA249" s="45" t="str">
        <f t="array" ref="AA249">_xlfn.XLOOKUP(records[Method]&amp;"-"&amp;records[Class], dAirSpec[ID], dAirSpec[Unit])</f>
        <v>cfu/plate</v>
      </c>
      <c r="AB249" s="58">
        <f t="array" ref="AB249">if(S249="","", if(records[Method]="Active Air",_xlfn.xlookup(records[ColonyCount]&amp;records[AirSampler],feller[code],feller[Vc]),records[ColonyCount]))</f>
        <v>0</v>
      </c>
      <c r="AC249" s="60" t="b">
        <f t="shared" si="1"/>
        <v>1</v>
      </c>
      <c r="AD249" s="61" t="b">
        <v>0</v>
      </c>
      <c r="AE249" s="32" t="s">
        <v>235</v>
      </c>
      <c r="AF249" s="46"/>
      <c r="AG249" s="46"/>
      <c r="AH249" s="46"/>
      <c r="AI249" s="46"/>
      <c r="AJ249" s="46"/>
    </row>
    <row r="250" ht="22.5" customHeight="1">
      <c r="A250" s="27">
        <v>46213.0</v>
      </c>
      <c r="B250" s="34" t="str">
        <f t="array" ref="B250">TEXT(A250, "MM-YYYY")</f>
        <v>07-2026</v>
      </c>
      <c r="C250" s="32" t="s">
        <v>568</v>
      </c>
      <c r="D250" s="21" t="s">
        <v>210</v>
      </c>
      <c r="E250" s="36" t="s">
        <v>213</v>
      </c>
      <c r="F250" s="37" t="s">
        <v>56</v>
      </c>
      <c r="G250" s="29" t="b">
        <v>1</v>
      </c>
      <c r="H250" s="36" t="s">
        <v>214</v>
      </c>
      <c r="I250" s="36" t="s">
        <v>215</v>
      </c>
      <c r="J250" s="29"/>
      <c r="K250" s="138"/>
      <c r="L250" s="37" t="s">
        <v>194</v>
      </c>
      <c r="M250" s="37" t="s">
        <v>194</v>
      </c>
      <c r="N250" s="37" t="s">
        <v>194</v>
      </c>
      <c r="O250" s="37" t="s">
        <v>194</v>
      </c>
      <c r="P250" s="37" t="s">
        <v>1874</v>
      </c>
      <c r="Q250" s="37" t="s">
        <v>1875</v>
      </c>
      <c r="R250" s="41">
        <v>46264.0</v>
      </c>
      <c r="S250" s="42">
        <v>1.0</v>
      </c>
      <c r="T250" s="44"/>
      <c r="U250" s="45" t="str">
        <f>IF(records[Type]="Room",records[roomNo],records[roomNo]&amp;"-"&amp;SUBSTITUTE(RIGHT(records[roomNo]&amp;records[Type],2),"-",""))</f>
        <v>10-1-062</v>
      </c>
      <c r="V250" s="47" t="str">
        <f t="array" ref="V250">_xlfn.XLOOKUP(records[ID], dAir[roomNo], dAir[roomName])</f>
        <v>BULK STAGING-P</v>
      </c>
      <c r="W250" s="47" t="str">
        <f t="array" ref="W250">_xlfn.XLOOKUP(records[ID], dAir[roomNo], dAir[building])</f>
        <v>Building 10</v>
      </c>
      <c r="X250" s="47" t="str">
        <f t="array" ref="X250">_xlfn.XLOOKUP(records[ID], dAir[roomNo], dAir[floor])</f>
        <v>Floor 1</v>
      </c>
      <c r="Y250" s="45" t="str">
        <f t="array" ref="Y250">_xlfn.XLOOKUP(records[ID], dAir[roomNo], dAir[Class])</f>
        <v>D</v>
      </c>
      <c r="Z250" s="45">
        <f t="array" ref="Z250">_xlfn.XLOOKUP(records[Method]&amp;"-"&amp;records[Class], dAirSpec[ID], dAirSpec[Spec])</f>
        <v>100</v>
      </c>
      <c r="AA250" s="45" t="str">
        <f t="array" ref="AA250">_xlfn.XLOOKUP(records[Method]&amp;"-"&amp;records[Class], dAirSpec[ID], dAirSpec[Unit])</f>
        <v>cfu/plate</v>
      </c>
      <c r="AB250" s="58">
        <f t="array" ref="AB250">if(S250="","", if(records[Method]="Active Air",_xlfn.xlookup(records[ColonyCount]&amp;records[AirSampler],feller[code],feller[Vc]),records[ColonyCount]))</f>
        <v>1</v>
      </c>
      <c r="AC250" s="60" t="b">
        <f t="shared" si="1"/>
        <v>1</v>
      </c>
      <c r="AD250" s="61" t="b">
        <v>0</v>
      </c>
      <c r="AE250" s="32" t="s">
        <v>235</v>
      </c>
      <c r="AF250" s="46"/>
      <c r="AG250" s="46"/>
      <c r="AH250" s="46"/>
      <c r="AI250" s="46"/>
      <c r="AJ250" s="46"/>
    </row>
    <row r="251" ht="22.5" customHeight="1">
      <c r="A251" s="27">
        <v>46213.0</v>
      </c>
      <c r="B251" s="34" t="str">
        <f t="array" ref="B251">TEXT(A251, "MM-YYYY")</f>
        <v>07-2026</v>
      </c>
      <c r="C251" s="32" t="s">
        <v>577</v>
      </c>
      <c r="D251" s="21" t="s">
        <v>210</v>
      </c>
      <c r="E251" s="36" t="s">
        <v>213</v>
      </c>
      <c r="F251" s="37" t="s">
        <v>56</v>
      </c>
      <c r="G251" s="29" t="b">
        <v>1</v>
      </c>
      <c r="H251" s="36" t="s">
        <v>214</v>
      </c>
      <c r="I251" s="36" t="s">
        <v>215</v>
      </c>
      <c r="J251" s="29"/>
      <c r="K251" s="138"/>
      <c r="L251" s="37" t="s">
        <v>194</v>
      </c>
      <c r="M251" s="37" t="s">
        <v>194</v>
      </c>
      <c r="N251" s="37" t="s">
        <v>194</v>
      </c>
      <c r="O251" s="37" t="s">
        <v>194</v>
      </c>
      <c r="P251" s="37" t="s">
        <v>1874</v>
      </c>
      <c r="Q251" s="37" t="s">
        <v>1875</v>
      </c>
      <c r="R251" s="41">
        <v>46264.0</v>
      </c>
      <c r="S251" s="42">
        <v>8.0</v>
      </c>
      <c r="T251" s="44"/>
      <c r="U251" s="45" t="str">
        <f>IF(records[Type]="Room",records[roomNo],records[roomNo]&amp;"-"&amp;SUBSTITUTE(RIGHT(records[roomNo]&amp;records[Type],2),"-",""))</f>
        <v>10-1-063</v>
      </c>
      <c r="V251" s="47" t="str">
        <f t="array" ref="V251">_xlfn.XLOOKUP(records[ID], dAir[roomNo], dAir[roomName])</f>
        <v>AIR LOCK-P</v>
      </c>
      <c r="W251" s="47" t="str">
        <f t="array" ref="W251">_xlfn.XLOOKUP(records[ID], dAir[roomNo], dAir[building])</f>
        <v>Building 10</v>
      </c>
      <c r="X251" s="47" t="str">
        <f t="array" ref="X251">_xlfn.XLOOKUP(records[ID], dAir[roomNo], dAir[floor])</f>
        <v>Floor 1</v>
      </c>
      <c r="Y251" s="45" t="str">
        <f t="array" ref="Y251">_xlfn.XLOOKUP(records[ID], dAir[roomNo], dAir[Class])</f>
        <v>D</v>
      </c>
      <c r="Z251" s="45">
        <f t="array" ref="Z251">_xlfn.XLOOKUP(records[Method]&amp;"-"&amp;records[Class], dAirSpec[ID], dAirSpec[Spec])</f>
        <v>100</v>
      </c>
      <c r="AA251" s="45" t="str">
        <f t="array" ref="AA251">_xlfn.XLOOKUP(records[Method]&amp;"-"&amp;records[Class], dAirSpec[ID], dAirSpec[Unit])</f>
        <v>cfu/plate</v>
      </c>
      <c r="AB251" s="58">
        <f t="array" ref="AB251">if(S251="","", if(records[Method]="Active Air",_xlfn.xlookup(records[ColonyCount]&amp;records[AirSampler],feller[code],feller[Vc]),records[ColonyCount]))</f>
        <v>8</v>
      </c>
      <c r="AC251" s="60" t="b">
        <f t="shared" si="1"/>
        <v>1</v>
      </c>
      <c r="AD251" s="61" t="b">
        <v>0</v>
      </c>
      <c r="AE251" s="32" t="s">
        <v>235</v>
      </c>
      <c r="AF251" s="46"/>
      <c r="AG251" s="46"/>
      <c r="AH251" s="46"/>
      <c r="AI251" s="46"/>
      <c r="AJ251" s="46"/>
    </row>
    <row r="252" ht="22.5" customHeight="1">
      <c r="A252" s="27">
        <v>46213.0</v>
      </c>
      <c r="B252" s="34" t="str">
        <f t="array" ref="B252">TEXT(A252, "MM-YYYY")</f>
        <v>07-2026</v>
      </c>
      <c r="C252" s="32" t="s">
        <v>582</v>
      </c>
      <c r="D252" s="21" t="s">
        <v>210</v>
      </c>
      <c r="E252" s="36" t="s">
        <v>213</v>
      </c>
      <c r="F252" s="37" t="s">
        <v>56</v>
      </c>
      <c r="G252" s="29" t="b">
        <v>1</v>
      </c>
      <c r="H252" s="36" t="s">
        <v>214</v>
      </c>
      <c r="I252" s="36" t="s">
        <v>215</v>
      </c>
      <c r="J252" s="29"/>
      <c r="K252" s="138"/>
      <c r="L252" s="37" t="s">
        <v>194</v>
      </c>
      <c r="M252" s="37" t="s">
        <v>194</v>
      </c>
      <c r="N252" s="37" t="s">
        <v>194</v>
      </c>
      <c r="O252" s="37" t="s">
        <v>194</v>
      </c>
      <c r="P252" s="37" t="s">
        <v>1874</v>
      </c>
      <c r="Q252" s="37" t="s">
        <v>1875</v>
      </c>
      <c r="R252" s="41">
        <v>46264.0</v>
      </c>
      <c r="S252" s="42">
        <v>3.0</v>
      </c>
      <c r="T252" s="44"/>
      <c r="U252" s="45" t="str">
        <f>IF(records[Type]="Room",records[roomNo],records[roomNo]&amp;"-"&amp;SUBSTITUTE(RIGHT(records[roomNo]&amp;records[Type],2),"-",""))</f>
        <v>10-1-064</v>
      </c>
      <c r="V252" s="47" t="str">
        <f t="array" ref="V252">_xlfn.XLOOKUP(records[ID], dAir[roomNo], dAir[roomName])</f>
        <v>CORRIDOR-P</v>
      </c>
      <c r="W252" s="47" t="str">
        <f t="array" ref="W252">_xlfn.XLOOKUP(records[ID], dAir[roomNo], dAir[building])</f>
        <v>Building 10</v>
      </c>
      <c r="X252" s="47" t="str">
        <f t="array" ref="X252">_xlfn.XLOOKUP(records[ID], dAir[roomNo], dAir[floor])</f>
        <v>Floor 1</v>
      </c>
      <c r="Y252" s="45" t="str">
        <f t="array" ref="Y252">_xlfn.XLOOKUP(records[ID], dAir[roomNo], dAir[Class])</f>
        <v>D</v>
      </c>
      <c r="Z252" s="45">
        <f t="array" ref="Z252">_xlfn.XLOOKUP(records[Method]&amp;"-"&amp;records[Class], dAirSpec[ID], dAirSpec[Spec])</f>
        <v>100</v>
      </c>
      <c r="AA252" s="45" t="str">
        <f t="array" ref="AA252">_xlfn.XLOOKUP(records[Method]&amp;"-"&amp;records[Class], dAirSpec[ID], dAirSpec[Unit])</f>
        <v>cfu/plate</v>
      </c>
      <c r="AB252" s="58">
        <f t="array" ref="AB252">if(S252="","", if(records[Method]="Active Air",_xlfn.xlookup(records[ColonyCount]&amp;records[AirSampler],feller[code],feller[Vc]),records[ColonyCount]))</f>
        <v>3</v>
      </c>
      <c r="AC252" s="60" t="b">
        <f t="shared" si="1"/>
        <v>1</v>
      </c>
      <c r="AD252" s="61" t="b">
        <v>0</v>
      </c>
      <c r="AE252" s="32" t="s">
        <v>235</v>
      </c>
      <c r="AF252" s="46"/>
      <c r="AG252" s="46"/>
      <c r="AH252" s="46"/>
      <c r="AI252" s="46"/>
      <c r="AJ252" s="46"/>
    </row>
    <row r="253" ht="22.5" customHeight="1">
      <c r="A253" s="27">
        <v>46213.0</v>
      </c>
      <c r="B253" s="34" t="str">
        <f t="array" ref="B253">TEXT(A253, "MM-YYYY")</f>
        <v>07-2026</v>
      </c>
      <c r="C253" s="32" t="s">
        <v>589</v>
      </c>
      <c r="D253" s="21" t="s">
        <v>210</v>
      </c>
      <c r="E253" s="36" t="s">
        <v>213</v>
      </c>
      <c r="F253" s="37" t="s">
        <v>56</v>
      </c>
      <c r="G253" s="29" t="b">
        <v>1</v>
      </c>
      <c r="H253" s="36" t="s">
        <v>214</v>
      </c>
      <c r="I253" s="36" t="s">
        <v>215</v>
      </c>
      <c r="J253" s="29"/>
      <c r="K253" s="138"/>
      <c r="L253" s="37" t="s">
        <v>194</v>
      </c>
      <c r="M253" s="37" t="s">
        <v>194</v>
      </c>
      <c r="N253" s="37" t="s">
        <v>194</v>
      </c>
      <c r="O253" s="37" t="s">
        <v>194</v>
      </c>
      <c r="P253" s="37" t="s">
        <v>1874</v>
      </c>
      <c r="Q253" s="37" t="s">
        <v>1875</v>
      </c>
      <c r="R253" s="41">
        <v>46264.0</v>
      </c>
      <c r="S253" s="42">
        <v>7.0</v>
      </c>
      <c r="T253" s="44"/>
      <c r="U253" s="45" t="str">
        <f>IF(records[Type]="Room",records[roomNo],records[roomNo]&amp;"-"&amp;SUBSTITUTE(RIGHT(records[roomNo]&amp;records[Type],2),"-",""))</f>
        <v>10-1-065</v>
      </c>
      <c r="V253" s="47" t="str">
        <f t="array" ref="V253">_xlfn.XLOOKUP(records[ID], dAir[roomNo], dAir[roomName])</f>
        <v>BOTTLE FILLING-P (LOW RH) (BOTTLE FILLING LINE)</v>
      </c>
      <c r="W253" s="47" t="str">
        <f t="array" ref="W253">_xlfn.XLOOKUP(records[ID], dAir[roomNo], dAir[building])</f>
        <v>Building 10</v>
      </c>
      <c r="X253" s="47" t="str">
        <f t="array" ref="X253">_xlfn.XLOOKUP(records[ID], dAir[roomNo], dAir[floor])</f>
        <v>Floor 1</v>
      </c>
      <c r="Y253" s="45" t="str">
        <f t="array" ref="Y253">_xlfn.XLOOKUP(records[ID], dAir[roomNo], dAir[Class])</f>
        <v>D</v>
      </c>
      <c r="Z253" s="45">
        <f t="array" ref="Z253">_xlfn.XLOOKUP(records[Method]&amp;"-"&amp;records[Class], dAirSpec[ID], dAirSpec[Spec])</f>
        <v>100</v>
      </c>
      <c r="AA253" s="45" t="str">
        <f t="array" ref="AA253">_xlfn.XLOOKUP(records[Method]&amp;"-"&amp;records[Class], dAirSpec[ID], dAirSpec[Unit])</f>
        <v>cfu/plate</v>
      </c>
      <c r="AB253" s="58">
        <f t="array" ref="AB253">if(S253="","", if(records[Method]="Active Air",_xlfn.xlookup(records[ColonyCount]&amp;records[AirSampler],feller[code],feller[Vc]),records[ColonyCount]))</f>
        <v>7</v>
      </c>
      <c r="AC253" s="60" t="b">
        <f t="shared" si="1"/>
        <v>1</v>
      </c>
      <c r="AD253" s="61" t="b">
        <v>0</v>
      </c>
      <c r="AE253" s="32" t="s">
        <v>235</v>
      </c>
      <c r="AF253" s="46"/>
      <c r="AG253" s="46"/>
      <c r="AH253" s="46"/>
      <c r="AI253" s="46"/>
      <c r="AJ253" s="46"/>
    </row>
    <row r="254" ht="22.5" customHeight="1">
      <c r="A254" s="27">
        <v>46213.0</v>
      </c>
      <c r="B254" s="34" t="str">
        <f t="array" ref="B254">TEXT(A254, "MM-YYYY")</f>
        <v>07-2026</v>
      </c>
      <c r="C254" s="32" t="s">
        <v>598</v>
      </c>
      <c r="D254" s="21" t="s">
        <v>210</v>
      </c>
      <c r="E254" s="36" t="s">
        <v>213</v>
      </c>
      <c r="F254" s="37" t="s">
        <v>56</v>
      </c>
      <c r="G254" s="29" t="b">
        <v>1</v>
      </c>
      <c r="H254" s="36" t="s">
        <v>214</v>
      </c>
      <c r="I254" s="36" t="s">
        <v>215</v>
      </c>
      <c r="J254" s="29"/>
      <c r="K254" s="138"/>
      <c r="L254" s="37" t="s">
        <v>194</v>
      </c>
      <c r="M254" s="37" t="s">
        <v>194</v>
      </c>
      <c r="N254" s="37" t="s">
        <v>194</v>
      </c>
      <c r="O254" s="37" t="s">
        <v>194</v>
      </c>
      <c r="P254" s="37" t="s">
        <v>1874</v>
      </c>
      <c r="Q254" s="37" t="s">
        <v>1875</v>
      </c>
      <c r="R254" s="41">
        <v>46264.0</v>
      </c>
      <c r="S254" s="42">
        <v>1.0</v>
      </c>
      <c r="T254" s="44"/>
      <c r="U254" s="45" t="str">
        <f>IF(records[Type]="Room",records[roomNo],records[roomNo]&amp;"-"&amp;SUBSTITUTE(RIGHT(records[roomNo]&amp;records[Type],2),"-",""))</f>
        <v>10-1-067</v>
      </c>
      <c r="V254" s="47" t="str">
        <f t="array" ref="V254">_xlfn.XLOOKUP(records[ID], dAir[roomNo], dAir[roomName])</f>
        <v>BLISTER PACKING-P (LOW RH) (BLISTER PACKING MACHINE)</v>
      </c>
      <c r="W254" s="47" t="str">
        <f t="array" ref="W254">_xlfn.XLOOKUP(records[ID], dAir[roomNo], dAir[building])</f>
        <v>Building 10</v>
      </c>
      <c r="X254" s="47" t="str">
        <f t="array" ref="X254">_xlfn.XLOOKUP(records[ID], dAir[roomNo], dAir[floor])</f>
        <v>Floor 1</v>
      </c>
      <c r="Y254" s="45" t="str">
        <f t="array" ref="Y254">_xlfn.XLOOKUP(records[ID], dAir[roomNo], dAir[Class])</f>
        <v>D</v>
      </c>
      <c r="Z254" s="45">
        <f t="array" ref="Z254">_xlfn.XLOOKUP(records[Method]&amp;"-"&amp;records[Class], dAirSpec[ID], dAirSpec[Spec])</f>
        <v>100</v>
      </c>
      <c r="AA254" s="45" t="str">
        <f t="array" ref="AA254">_xlfn.XLOOKUP(records[Method]&amp;"-"&amp;records[Class], dAirSpec[ID], dAirSpec[Unit])</f>
        <v>cfu/plate</v>
      </c>
      <c r="AB254" s="58">
        <f t="array" ref="AB254">if(S254="","", if(records[Method]="Active Air",_xlfn.xlookup(records[ColonyCount]&amp;records[AirSampler],feller[code],feller[Vc]),records[ColonyCount]))</f>
        <v>1</v>
      </c>
      <c r="AC254" s="60" t="b">
        <f t="shared" si="1"/>
        <v>1</v>
      </c>
      <c r="AD254" s="61" t="b">
        <v>0</v>
      </c>
      <c r="AE254" s="32" t="s">
        <v>235</v>
      </c>
      <c r="AF254" s="46"/>
      <c r="AG254" s="46"/>
      <c r="AH254" s="46"/>
      <c r="AI254" s="46"/>
      <c r="AJ254" s="46"/>
    </row>
    <row r="255" ht="22.5" customHeight="1">
      <c r="A255" s="27">
        <v>46213.0</v>
      </c>
      <c r="B255" s="34" t="str">
        <f t="array" ref="B255">TEXT(A255, "MM-YYYY")</f>
        <v>07-2026</v>
      </c>
      <c r="C255" s="32" t="s">
        <v>607</v>
      </c>
      <c r="D255" s="21" t="s">
        <v>210</v>
      </c>
      <c r="E255" s="36" t="s">
        <v>213</v>
      </c>
      <c r="F255" s="37" t="s">
        <v>56</v>
      </c>
      <c r="G255" s="29" t="b">
        <v>1</v>
      </c>
      <c r="H255" s="36" t="s">
        <v>214</v>
      </c>
      <c r="I255" s="36" t="s">
        <v>215</v>
      </c>
      <c r="J255" s="29"/>
      <c r="K255" s="138"/>
      <c r="L255" s="37" t="s">
        <v>194</v>
      </c>
      <c r="M255" s="37" t="s">
        <v>194</v>
      </c>
      <c r="N255" s="37" t="s">
        <v>194</v>
      </c>
      <c r="O255" s="37" t="s">
        <v>194</v>
      </c>
      <c r="P255" s="37" t="s">
        <v>1874</v>
      </c>
      <c r="Q255" s="37" t="s">
        <v>1875</v>
      </c>
      <c r="R255" s="41">
        <v>46264.0</v>
      </c>
      <c r="S255" s="42">
        <v>6.0</v>
      </c>
      <c r="T255" s="44"/>
      <c r="U255" s="45" t="str">
        <f>IF(records[Type]="Room",records[roomNo],records[roomNo]&amp;"-"&amp;SUBSTITUTE(RIGHT(records[roomNo]&amp;records[Type],2),"-",""))</f>
        <v>10-1-068</v>
      </c>
      <c r="V255" s="47" t="str">
        <f t="array" ref="V255">_xlfn.XLOOKUP(records[ID], dAir[roomNo], dAir[roomName])</f>
        <v>STRIP PACKING-P (LOW RH) (DRUM TIPPER) &amp; (STRIP PACKING MACHINE)</v>
      </c>
      <c r="W255" s="47" t="str">
        <f t="array" ref="W255">_xlfn.XLOOKUP(records[ID], dAir[roomNo], dAir[building])</f>
        <v>Building 10</v>
      </c>
      <c r="X255" s="47" t="str">
        <f t="array" ref="X255">_xlfn.XLOOKUP(records[ID], dAir[roomNo], dAir[floor])</f>
        <v>Floor 1</v>
      </c>
      <c r="Y255" s="45" t="str">
        <f t="array" ref="Y255">_xlfn.XLOOKUP(records[ID], dAir[roomNo], dAir[Class])</f>
        <v>D</v>
      </c>
      <c r="Z255" s="45">
        <f t="array" ref="Z255">_xlfn.XLOOKUP(records[Method]&amp;"-"&amp;records[Class], dAirSpec[ID], dAirSpec[Spec])</f>
        <v>100</v>
      </c>
      <c r="AA255" s="45" t="str">
        <f t="array" ref="AA255">_xlfn.XLOOKUP(records[Method]&amp;"-"&amp;records[Class], dAirSpec[ID], dAirSpec[Unit])</f>
        <v>cfu/plate</v>
      </c>
      <c r="AB255" s="58">
        <f t="array" ref="AB255">if(S255="","", if(records[Method]="Active Air",_xlfn.xlookup(records[ColonyCount]&amp;records[AirSampler],feller[code],feller[Vc]),records[ColonyCount]))</f>
        <v>6</v>
      </c>
      <c r="AC255" s="60" t="b">
        <f t="shared" si="1"/>
        <v>1</v>
      </c>
      <c r="AD255" s="61" t="b">
        <v>0</v>
      </c>
      <c r="AE255" s="32" t="s">
        <v>235</v>
      </c>
      <c r="AF255" s="46"/>
      <c r="AG255" s="46"/>
      <c r="AH255" s="46"/>
      <c r="AI255" s="46"/>
      <c r="AJ255" s="46"/>
    </row>
    <row r="256" ht="22.5" customHeight="1">
      <c r="A256" s="27">
        <v>46215.0</v>
      </c>
      <c r="B256" s="34" t="str">
        <f t="array" ref="B256">TEXT(A256, "MM-YYYY")</f>
        <v>07-2026</v>
      </c>
      <c r="C256" s="20" t="s">
        <v>840</v>
      </c>
      <c r="D256" s="21" t="s">
        <v>210</v>
      </c>
      <c r="E256" s="36" t="s">
        <v>531</v>
      </c>
      <c r="F256" s="37" t="s">
        <v>58</v>
      </c>
      <c r="G256" s="29" t="b">
        <v>1</v>
      </c>
      <c r="H256" s="36" t="s">
        <v>214</v>
      </c>
      <c r="I256" s="36" t="s">
        <v>534</v>
      </c>
      <c r="J256" s="29"/>
      <c r="K256" s="138"/>
      <c r="L256" s="37" t="s">
        <v>194</v>
      </c>
      <c r="M256" s="37" t="s">
        <v>194</v>
      </c>
      <c r="N256" s="37" t="s">
        <v>194</v>
      </c>
      <c r="O256" s="37" t="s">
        <v>194</v>
      </c>
      <c r="P256" s="37" t="s">
        <v>1874</v>
      </c>
      <c r="Q256" s="37" t="s">
        <v>1875</v>
      </c>
      <c r="R256" s="41">
        <v>46264.0</v>
      </c>
      <c r="S256" s="42">
        <v>6.0</v>
      </c>
      <c r="T256" s="44" t="s">
        <v>194</v>
      </c>
      <c r="U256" s="47" t="str">
        <f>IF(records[Type]="Room",records[roomNo],records[roomNo]&amp;"-"&amp;SUBSTITUTE(RIGHT(records[roomNo]&amp;records[Type],2),"-",""))</f>
        <v>16-1-069</v>
      </c>
      <c r="V256" s="47" t="str">
        <f t="array" ref="V256">_xlfn.XLOOKUP(records[ID], dAir[roomNo], dAir[roomName])</f>
        <v>MEN PAL</v>
      </c>
      <c r="W256" s="47" t="str">
        <f t="array" ref="W256">_xlfn.XLOOKUP(records[ID], dAir[roomNo], dAir[building])</f>
        <v>Building 16</v>
      </c>
      <c r="X256" s="47" t="str">
        <f t="array" ref="X256">_xlfn.XLOOKUP(records[ID], dAir[roomNo], dAir[floor])</f>
        <v>Floor 1</v>
      </c>
      <c r="Y256" s="45" t="str">
        <f t="array" ref="Y256">_xlfn.XLOOKUP(records[ID], dAir[roomNo], dAir[Class])</f>
        <v>D</v>
      </c>
      <c r="Z256" s="45">
        <f t="array" ref="Z256">_xlfn.XLOOKUP(records[Method]&amp;"-"&amp;records[Class], dAirSpec[ID], dAirSpec[Spec])</f>
        <v>200</v>
      </c>
      <c r="AA256" s="45" t="str">
        <f t="array" ref="AA256">_xlfn.XLOOKUP(records[Method]&amp;"-"&amp;records[Class], dAirSpec[ID], dAirSpec[Unit])</f>
        <v>cfu/m3</v>
      </c>
      <c r="AB256" s="45">
        <f t="array" ref="AB256">if(S256="","", if(records[Method]="Active Air",_xlfn.xlookup(records[ColonyCount]&amp;records[AirSampler],feller[code],feller[Vc]),records[ColonyCount]))</f>
        <v>6</v>
      </c>
      <c r="AC256" s="60" t="b">
        <f t="shared" si="1"/>
        <v>1</v>
      </c>
      <c r="AD256" s="61" t="b">
        <v>0</v>
      </c>
      <c r="AE256" s="32" t="s">
        <v>235</v>
      </c>
      <c r="AF256" s="46"/>
      <c r="AG256" s="46"/>
      <c r="AH256" s="46"/>
      <c r="AI256" s="46"/>
      <c r="AJ256" s="46"/>
    </row>
    <row r="257" ht="22.5" customHeight="1">
      <c r="A257" s="27">
        <v>46215.0</v>
      </c>
      <c r="B257" s="34" t="str">
        <f t="array" ref="B257">TEXT(A257, "MM-YYYY")</f>
        <v>07-2026</v>
      </c>
      <c r="C257" s="39" t="s">
        <v>845</v>
      </c>
      <c r="D257" s="36" t="s">
        <v>210</v>
      </c>
      <c r="E257" s="36" t="s">
        <v>531</v>
      </c>
      <c r="F257" s="37" t="s">
        <v>58</v>
      </c>
      <c r="G257" s="29" t="b">
        <v>1</v>
      </c>
      <c r="H257" s="36" t="s">
        <v>214</v>
      </c>
      <c r="I257" s="36" t="s">
        <v>534</v>
      </c>
      <c r="J257" s="29"/>
      <c r="K257" s="138"/>
      <c r="L257" s="37" t="s">
        <v>194</v>
      </c>
      <c r="M257" s="37" t="s">
        <v>194</v>
      </c>
      <c r="N257" s="37" t="s">
        <v>194</v>
      </c>
      <c r="O257" s="37" t="s">
        <v>194</v>
      </c>
      <c r="P257" s="37" t="s">
        <v>1874</v>
      </c>
      <c r="Q257" s="37" t="s">
        <v>1875</v>
      </c>
      <c r="R257" s="41">
        <v>46264.0</v>
      </c>
      <c r="S257" s="42">
        <v>8.0</v>
      </c>
      <c r="T257" s="44" t="s">
        <v>194</v>
      </c>
      <c r="U257" s="45" t="str">
        <f>IF(records[Type]="Room",records[roomNo],records[roomNo]&amp;"-"&amp;SUBSTITUTE(RIGHT(records[roomNo]&amp;records[Type],2),"-",""))</f>
        <v>16-1-070</v>
      </c>
      <c r="V257" s="47" t="str">
        <f t="array" ref="V257">_xlfn.XLOOKUP(records[ID], dAir[roomNo], dAir[roomName])</f>
        <v>MEN PROCESS CHANGE</v>
      </c>
      <c r="W257" s="47" t="str">
        <f t="array" ref="W257">_xlfn.XLOOKUP(records[ID], dAir[roomNo], dAir[building])</f>
        <v>Building 16</v>
      </c>
      <c r="X257" s="47" t="str">
        <f t="array" ref="X257">_xlfn.XLOOKUP(records[ID], dAir[roomNo], dAir[floor])</f>
        <v>Floor 1</v>
      </c>
      <c r="Y257" s="45" t="str">
        <f t="array" ref="Y257">_xlfn.XLOOKUP(records[ID], dAir[roomNo], dAir[Class])</f>
        <v>C</v>
      </c>
      <c r="Z257" s="45">
        <f t="array" ref="Z257">_xlfn.XLOOKUP(records[Method]&amp;"-"&amp;records[Class], dAirSpec[ID], dAirSpec[Spec])</f>
        <v>100</v>
      </c>
      <c r="AA257" s="45" t="str">
        <f t="array" ref="AA257">_xlfn.XLOOKUP(records[Method]&amp;"-"&amp;records[Class], dAirSpec[ID], dAirSpec[Unit])</f>
        <v>cfu/m3</v>
      </c>
      <c r="AB257" s="45">
        <f t="array" ref="AB257">if(S257="","", if(records[Method]="Active Air",_xlfn.xlookup(records[ColonyCount]&amp;records[AirSampler],feller[code],feller[Vc]),records[ColonyCount]))</f>
        <v>8</v>
      </c>
      <c r="AC257" s="60" t="b">
        <f t="shared" si="1"/>
        <v>1</v>
      </c>
      <c r="AD257" s="61" t="b">
        <v>0</v>
      </c>
      <c r="AE257" s="32" t="s">
        <v>235</v>
      </c>
      <c r="AF257" s="46"/>
      <c r="AG257" s="46"/>
      <c r="AH257" s="46"/>
      <c r="AI257" s="46"/>
      <c r="AJ257" s="46"/>
    </row>
    <row r="258" ht="22.5" customHeight="1">
      <c r="A258" s="27">
        <v>46215.0</v>
      </c>
      <c r="B258" s="34" t="str">
        <f t="array" ref="B258">TEXT(A258, "MM-YYYY")</f>
        <v>07-2026</v>
      </c>
      <c r="C258" s="39" t="s">
        <v>857</v>
      </c>
      <c r="D258" s="36" t="s">
        <v>210</v>
      </c>
      <c r="E258" s="36" t="s">
        <v>531</v>
      </c>
      <c r="F258" s="37" t="s">
        <v>58</v>
      </c>
      <c r="G258" s="29" t="b">
        <v>1</v>
      </c>
      <c r="H258" s="36" t="s">
        <v>214</v>
      </c>
      <c r="I258" s="36" t="s">
        <v>534</v>
      </c>
      <c r="J258" s="29"/>
      <c r="K258" s="138"/>
      <c r="L258" s="37" t="s">
        <v>194</v>
      </c>
      <c r="M258" s="37" t="s">
        <v>194</v>
      </c>
      <c r="N258" s="37" t="s">
        <v>194</v>
      </c>
      <c r="O258" s="37" t="s">
        <v>194</v>
      </c>
      <c r="P258" s="37" t="s">
        <v>1874</v>
      </c>
      <c r="Q258" s="37" t="s">
        <v>1875</v>
      </c>
      <c r="R258" s="41">
        <v>46264.0</v>
      </c>
      <c r="S258" s="42">
        <v>5.0</v>
      </c>
      <c r="T258" s="44" t="s">
        <v>194</v>
      </c>
      <c r="U258" s="45" t="str">
        <f>IF(records[Type]="Room",records[roomNo],records[roomNo]&amp;"-"&amp;SUBSTITUTE(RIGHT(records[roomNo]&amp;records[Type],2),"-",""))</f>
        <v>16-1-071</v>
      </c>
      <c r="V258" s="47" t="str">
        <f t="array" ref="V258">_xlfn.XLOOKUP(records[ID], dAir[roomNo], dAir[roomName])</f>
        <v>WOMEN PAL</v>
      </c>
      <c r="W258" s="47" t="str">
        <f t="array" ref="W258">_xlfn.XLOOKUP(records[ID], dAir[roomNo], dAir[building])</f>
        <v>Building 16</v>
      </c>
      <c r="X258" s="47" t="str">
        <f t="array" ref="X258">_xlfn.XLOOKUP(records[ID], dAir[roomNo], dAir[floor])</f>
        <v>Floor 1</v>
      </c>
      <c r="Y258" s="45" t="str">
        <f t="array" ref="Y258">_xlfn.XLOOKUP(records[ID], dAir[roomNo], dAir[Class])</f>
        <v>D</v>
      </c>
      <c r="Z258" s="45">
        <f t="array" ref="Z258">_xlfn.XLOOKUP(records[Method]&amp;"-"&amp;records[Class], dAirSpec[ID], dAirSpec[Spec])</f>
        <v>200</v>
      </c>
      <c r="AA258" s="45" t="str">
        <f t="array" ref="AA258">_xlfn.XLOOKUP(records[Method]&amp;"-"&amp;records[Class], dAirSpec[ID], dAirSpec[Unit])</f>
        <v>cfu/m3</v>
      </c>
      <c r="AB258" s="45">
        <f t="array" ref="AB258">if(S258="","", if(records[Method]="Active Air",_xlfn.xlookup(records[ColonyCount]&amp;records[AirSampler],feller[code],feller[Vc]),records[ColonyCount]))</f>
        <v>5</v>
      </c>
      <c r="AC258" s="60" t="b">
        <f t="shared" si="1"/>
        <v>1</v>
      </c>
      <c r="AD258" s="61" t="b">
        <v>0</v>
      </c>
      <c r="AE258" s="32" t="s">
        <v>235</v>
      </c>
      <c r="AF258" s="46"/>
      <c r="AG258" s="46"/>
      <c r="AH258" s="46"/>
      <c r="AI258" s="46"/>
      <c r="AJ258" s="46"/>
    </row>
    <row r="259" ht="22.5" customHeight="1">
      <c r="A259" s="27">
        <v>46215.0</v>
      </c>
      <c r="B259" s="34" t="str">
        <f t="array" ref="B259">TEXT(A259, "MM-YYYY")</f>
        <v>07-2026</v>
      </c>
      <c r="C259" s="39" t="s">
        <v>878</v>
      </c>
      <c r="D259" s="36" t="s">
        <v>210</v>
      </c>
      <c r="E259" s="36" t="s">
        <v>531</v>
      </c>
      <c r="F259" s="37" t="s">
        <v>58</v>
      </c>
      <c r="G259" s="29" t="b">
        <v>1</v>
      </c>
      <c r="H259" s="36" t="s">
        <v>214</v>
      </c>
      <c r="I259" s="36" t="s">
        <v>534</v>
      </c>
      <c r="J259" s="29"/>
      <c r="K259" s="138"/>
      <c r="L259" s="37" t="s">
        <v>194</v>
      </c>
      <c r="M259" s="37" t="s">
        <v>194</v>
      </c>
      <c r="N259" s="37" t="s">
        <v>194</v>
      </c>
      <c r="O259" s="37" t="s">
        <v>194</v>
      </c>
      <c r="P259" s="37" t="s">
        <v>1874</v>
      </c>
      <c r="Q259" s="37" t="s">
        <v>1875</v>
      </c>
      <c r="R259" s="41">
        <v>46264.0</v>
      </c>
      <c r="S259" s="42">
        <v>9.0</v>
      </c>
      <c r="T259" s="44" t="s">
        <v>194</v>
      </c>
      <c r="U259" s="45" t="str">
        <f>IF(records[Type]="Room",records[roomNo],records[roomNo]&amp;"-"&amp;SUBSTITUTE(RIGHT(records[roomNo]&amp;records[Type],2),"-",""))</f>
        <v>16-1-072</v>
      </c>
      <c r="V259" s="47" t="str">
        <f t="array" ref="V259">_xlfn.XLOOKUP(records[ID], dAir[roomNo], dAir[roomName])</f>
        <v>WOMEN PROCESS CHANGE</v>
      </c>
      <c r="W259" s="47" t="str">
        <f t="array" ref="W259">_xlfn.XLOOKUP(records[ID], dAir[roomNo], dAir[building])</f>
        <v>Building 16</v>
      </c>
      <c r="X259" s="47" t="str">
        <f t="array" ref="X259">_xlfn.XLOOKUP(records[ID], dAir[roomNo], dAir[floor])</f>
        <v>Floor 1</v>
      </c>
      <c r="Y259" s="45" t="str">
        <f t="array" ref="Y259">_xlfn.XLOOKUP(records[ID], dAir[roomNo], dAir[Class])</f>
        <v>C</v>
      </c>
      <c r="Z259" s="45">
        <f t="array" ref="Z259">_xlfn.XLOOKUP(records[Method]&amp;"-"&amp;records[Class], dAirSpec[ID], dAirSpec[Spec])</f>
        <v>100</v>
      </c>
      <c r="AA259" s="45" t="str">
        <f t="array" ref="AA259">_xlfn.XLOOKUP(records[Method]&amp;"-"&amp;records[Class], dAirSpec[ID], dAirSpec[Unit])</f>
        <v>cfu/m3</v>
      </c>
      <c r="AB259" s="45">
        <f t="array" ref="AB259">if(S259="","", if(records[Method]="Active Air",_xlfn.xlookup(records[ColonyCount]&amp;records[AirSampler],feller[code],feller[Vc]),records[ColonyCount]))</f>
        <v>9</v>
      </c>
      <c r="AC259" s="60" t="b">
        <f t="shared" si="1"/>
        <v>1</v>
      </c>
      <c r="AD259" s="61" t="b">
        <v>0</v>
      </c>
      <c r="AE259" s="32" t="s">
        <v>235</v>
      </c>
      <c r="AF259" s="46"/>
      <c r="AG259" s="46"/>
      <c r="AH259" s="46"/>
      <c r="AI259" s="46"/>
      <c r="AJ259" s="46"/>
    </row>
    <row r="260" ht="22.5" customHeight="1">
      <c r="A260" s="27">
        <v>46215.0</v>
      </c>
      <c r="B260" s="34" t="str">
        <f t="array" ref="B260">TEXT(A260, "MM-YYYY")</f>
        <v>07-2026</v>
      </c>
      <c r="C260" s="39" t="s">
        <v>898</v>
      </c>
      <c r="D260" s="36" t="s">
        <v>210</v>
      </c>
      <c r="E260" s="36" t="s">
        <v>531</v>
      </c>
      <c r="F260" s="37" t="s">
        <v>58</v>
      </c>
      <c r="G260" s="29" t="b">
        <v>1</v>
      </c>
      <c r="H260" s="36" t="s">
        <v>214</v>
      </c>
      <c r="I260" s="36" t="s">
        <v>534</v>
      </c>
      <c r="J260" s="29"/>
      <c r="K260" s="138"/>
      <c r="L260" s="37" t="s">
        <v>194</v>
      </c>
      <c r="M260" s="37" t="s">
        <v>194</v>
      </c>
      <c r="N260" s="37" t="s">
        <v>194</v>
      </c>
      <c r="O260" s="37" t="s">
        <v>194</v>
      </c>
      <c r="P260" s="37" t="s">
        <v>1874</v>
      </c>
      <c r="Q260" s="37" t="s">
        <v>1875</v>
      </c>
      <c r="R260" s="41">
        <v>46264.0</v>
      </c>
      <c r="S260" s="42">
        <v>137.0</v>
      </c>
      <c r="T260" s="29" t="s">
        <v>902</v>
      </c>
      <c r="U260" s="45" t="str">
        <f>IF(records[Type]="Room",records[roomNo],records[roomNo]&amp;"-"&amp;SUBSTITUTE(RIGHT(records[roomNo]&amp;records[Type],2),"-",""))</f>
        <v>16-1-073</v>
      </c>
      <c r="V260" s="47" t="str">
        <f t="array" ref="V260">_xlfn.XLOOKUP(records[ID], dAir[roomNo], dAir[roomName])</f>
        <v>CORRIDOR</v>
      </c>
      <c r="W260" s="47" t="str">
        <f t="array" ref="W260">_xlfn.XLOOKUP(records[ID], dAir[roomNo], dAir[building])</f>
        <v>Building 16</v>
      </c>
      <c r="X260" s="47" t="str">
        <f t="array" ref="X260">_xlfn.XLOOKUP(records[ID], dAir[roomNo], dAir[floor])</f>
        <v>Floor 1</v>
      </c>
      <c r="Y260" s="45" t="str">
        <f t="array" ref="Y260">_xlfn.XLOOKUP(records[ID], dAir[roomNo], dAir[Class])</f>
        <v>C</v>
      </c>
      <c r="Z260" s="45">
        <f t="array" ref="Z260">_xlfn.XLOOKUP(records[Method]&amp;"-"&amp;records[Class], dAirSpec[ID], dAirSpec[Spec])</f>
        <v>100</v>
      </c>
      <c r="AA260" s="45" t="str">
        <f t="array" ref="AA260">_xlfn.XLOOKUP(records[Method]&amp;"-"&amp;records[Class], dAirSpec[ID], dAirSpec[Unit])</f>
        <v>cfu/m3</v>
      </c>
      <c r="AB260" s="45">
        <f t="array" ref="AB260">if(S260="","", if(records[Method]="Active Air",_xlfn.xlookup(records[ColonyCount]&amp;records[AirSampler],feller[code],feller[Vc]),records[ColonyCount]))</f>
        <v>214</v>
      </c>
      <c r="AC260" s="60" t="b">
        <f t="shared" si="1"/>
        <v>0</v>
      </c>
      <c r="AD260" s="61" t="b">
        <v>0</v>
      </c>
      <c r="AE260" s="32" t="s">
        <v>235</v>
      </c>
      <c r="AF260" s="46"/>
      <c r="AG260" s="46"/>
      <c r="AH260" s="46"/>
      <c r="AI260" s="46"/>
      <c r="AJ260" s="46"/>
    </row>
    <row r="261" ht="22.5" customHeight="1">
      <c r="A261" s="27">
        <v>46215.0</v>
      </c>
      <c r="B261" s="34" t="str">
        <f t="array" ref="B261">TEXT(A261, "MM-YYYY")</f>
        <v>07-2026</v>
      </c>
      <c r="C261" s="39" t="s">
        <v>919</v>
      </c>
      <c r="D261" s="36" t="s">
        <v>210</v>
      </c>
      <c r="E261" s="36" t="s">
        <v>531</v>
      </c>
      <c r="F261" s="37" t="s">
        <v>58</v>
      </c>
      <c r="G261" s="29" t="b">
        <v>1</v>
      </c>
      <c r="H261" s="36" t="s">
        <v>214</v>
      </c>
      <c r="I261" s="36" t="s">
        <v>757</v>
      </c>
      <c r="J261" s="39">
        <v>3.1101125E8</v>
      </c>
      <c r="K261" s="40">
        <v>46240.0</v>
      </c>
      <c r="L261" s="37" t="s">
        <v>194</v>
      </c>
      <c r="M261" s="37" t="s">
        <v>194</v>
      </c>
      <c r="N261" s="37" t="s">
        <v>194</v>
      </c>
      <c r="O261" s="37" t="s">
        <v>194</v>
      </c>
      <c r="P261" s="37" t="s">
        <v>1874</v>
      </c>
      <c r="Q261" s="37" t="s">
        <v>1875</v>
      </c>
      <c r="R261" s="41">
        <v>46264.0</v>
      </c>
      <c r="S261" s="42">
        <v>132.0</v>
      </c>
      <c r="T261" s="44" t="s">
        <v>194</v>
      </c>
      <c r="U261" s="45" t="str">
        <f>IF(records[Type]="Room",records[roomNo],records[roomNo]&amp;"-"&amp;SUBSTITUTE(RIGHT(records[roomNo]&amp;records[Type],2),"-",""))</f>
        <v>16-1-074</v>
      </c>
      <c r="V261" s="47" t="str">
        <f t="array" ref="V261">_xlfn.XLOOKUP(records[ID], dAir[roomNo], dAir[roomName])</f>
        <v>AIRLOCK</v>
      </c>
      <c r="W261" s="47" t="str">
        <f t="array" ref="W261">_xlfn.XLOOKUP(records[ID], dAir[roomNo], dAir[building])</f>
        <v>Building 16</v>
      </c>
      <c r="X261" s="47" t="str">
        <f t="array" ref="X261">_xlfn.XLOOKUP(records[ID], dAir[roomNo], dAir[floor])</f>
        <v>Floor 1</v>
      </c>
      <c r="Y261" s="45" t="str">
        <f t="array" ref="Y261">_xlfn.XLOOKUP(records[ID], dAir[roomNo], dAir[Class])</f>
        <v>C</v>
      </c>
      <c r="Z261" s="45">
        <f t="array" ref="Z261">_xlfn.XLOOKUP(records[Method]&amp;"-"&amp;records[Class], dAirSpec[ID], dAirSpec[Spec])</f>
        <v>100</v>
      </c>
      <c r="AA261" s="45" t="str">
        <f t="array" ref="AA261">_xlfn.XLOOKUP(records[Method]&amp;"-"&amp;records[Class], dAirSpec[ID], dAirSpec[Unit])</f>
        <v>cfu/m3</v>
      </c>
      <c r="AB261" s="45">
        <f t="array" ref="AB261">if(S261="","", if(records[Method]="Active Air",_xlfn.xlookup(records[ColonyCount]&amp;records[AirSampler],feller[code],feller[Vc]),records[ColonyCount]))</f>
        <v>174</v>
      </c>
      <c r="AC261" s="60" t="b">
        <f t="shared" si="1"/>
        <v>0</v>
      </c>
      <c r="AD261" s="61" t="b">
        <v>0</v>
      </c>
      <c r="AE261" s="32" t="s">
        <v>235</v>
      </c>
      <c r="AF261" s="46"/>
      <c r="AG261" s="46"/>
      <c r="AH261" s="46"/>
      <c r="AI261" s="46"/>
      <c r="AJ261" s="46"/>
    </row>
    <row r="262" ht="22.5" customHeight="1">
      <c r="A262" s="27">
        <v>46215.0</v>
      </c>
      <c r="B262" s="34" t="str">
        <f t="array" ref="B262">TEXT(A262, "MM-YYYY")</f>
        <v>07-2026</v>
      </c>
      <c r="C262" s="39" t="s">
        <v>753</v>
      </c>
      <c r="D262" s="36" t="s">
        <v>210</v>
      </c>
      <c r="E262" s="36" t="s">
        <v>531</v>
      </c>
      <c r="F262" s="37" t="s">
        <v>58</v>
      </c>
      <c r="G262" s="29" t="b">
        <v>1</v>
      </c>
      <c r="H262" s="36" t="s">
        <v>214</v>
      </c>
      <c r="I262" s="36" t="s">
        <v>757</v>
      </c>
      <c r="J262" s="39">
        <v>3.1101125E8</v>
      </c>
      <c r="K262" s="40">
        <v>46240.0</v>
      </c>
      <c r="L262" s="37" t="s">
        <v>194</v>
      </c>
      <c r="M262" s="37" t="s">
        <v>194</v>
      </c>
      <c r="N262" s="37" t="s">
        <v>194</v>
      </c>
      <c r="O262" s="37" t="s">
        <v>194</v>
      </c>
      <c r="P262" s="37" t="s">
        <v>1874</v>
      </c>
      <c r="Q262" s="37" t="s">
        <v>1875</v>
      </c>
      <c r="R262" s="41">
        <v>46264.0</v>
      </c>
      <c r="S262" s="42">
        <v>112.0</v>
      </c>
      <c r="T262" s="44" t="s">
        <v>194</v>
      </c>
      <c r="U262" s="45" t="str">
        <f>IF(records[Type]="Room",records[roomNo],records[roomNo]&amp;"-"&amp;SUBSTITUTE(RIGHT(records[roomNo]&amp;records[Type],2),"-",""))</f>
        <v>16-1-075</v>
      </c>
      <c r="V262" s="47" t="str">
        <f t="array" ref="V262">_xlfn.XLOOKUP(records[ID], dAir[roomNo], dAir[roomName])</f>
        <v>VIALS CAPPING</v>
      </c>
      <c r="W262" s="47" t="str">
        <f t="array" ref="W262">_xlfn.XLOOKUP(records[ID], dAir[roomNo], dAir[building])</f>
        <v>Building 16</v>
      </c>
      <c r="X262" s="47" t="str">
        <f t="array" ref="X262">_xlfn.XLOOKUP(records[ID], dAir[roomNo], dAir[floor])</f>
        <v>Floor 1</v>
      </c>
      <c r="Y262" s="45" t="str">
        <f t="array" ref="Y262">_xlfn.XLOOKUP(records[ID], dAir[roomNo], dAir[Class])</f>
        <v>C</v>
      </c>
      <c r="Z262" s="45">
        <f t="array" ref="Z262">_xlfn.XLOOKUP(records[Method]&amp;"-"&amp;records[Class], dAirSpec[ID], dAirSpec[Spec])</f>
        <v>100</v>
      </c>
      <c r="AA262" s="45" t="str">
        <f t="array" ref="AA262">_xlfn.XLOOKUP(records[Method]&amp;"-"&amp;records[Class], dAirSpec[ID], dAirSpec[Unit])</f>
        <v>cfu/m3</v>
      </c>
      <c r="AB262" s="45">
        <f t="array" ref="AB262">if(S262="","", if(records[Method]="Active Air",_xlfn.xlookup(records[ColonyCount]&amp;records[AirSampler],feller[code],feller[Vc]),records[ColonyCount]))</f>
        <v>140</v>
      </c>
      <c r="AC262" s="60" t="b">
        <f t="shared" si="1"/>
        <v>0</v>
      </c>
      <c r="AD262" s="61" t="b">
        <v>0</v>
      </c>
      <c r="AE262" s="32" t="s">
        <v>235</v>
      </c>
      <c r="AF262" s="46"/>
      <c r="AG262" s="46"/>
      <c r="AH262" s="46"/>
      <c r="AI262" s="46"/>
      <c r="AJ262" s="46"/>
    </row>
    <row r="263" ht="22.5" customHeight="1">
      <c r="A263" s="27">
        <v>46215.0</v>
      </c>
      <c r="B263" s="34" t="str">
        <f t="array" ref="B263">TEXT(A263, "MM-YYYY")</f>
        <v>07-2026</v>
      </c>
      <c r="C263" s="39" t="s">
        <v>753</v>
      </c>
      <c r="D263" s="36" t="s">
        <v>755</v>
      </c>
      <c r="E263" s="36" t="s">
        <v>531</v>
      </c>
      <c r="F263" s="37" t="s">
        <v>58</v>
      </c>
      <c r="G263" s="29" t="b">
        <v>1</v>
      </c>
      <c r="H263" s="36" t="s">
        <v>214</v>
      </c>
      <c r="I263" s="36" t="s">
        <v>757</v>
      </c>
      <c r="J263" s="39">
        <v>3.1101125E8</v>
      </c>
      <c r="K263" s="40">
        <v>46240.0</v>
      </c>
      <c r="L263" s="37" t="s">
        <v>194</v>
      </c>
      <c r="M263" s="37" t="s">
        <v>194</v>
      </c>
      <c r="N263" s="37" t="s">
        <v>194</v>
      </c>
      <c r="O263" s="37" t="s">
        <v>194</v>
      </c>
      <c r="P263" s="37" t="s">
        <v>1874</v>
      </c>
      <c r="Q263" s="37" t="s">
        <v>1875</v>
      </c>
      <c r="R263" s="41">
        <v>46264.0</v>
      </c>
      <c r="S263" s="42">
        <v>0.0</v>
      </c>
      <c r="T263" s="44" t="s">
        <v>755</v>
      </c>
      <c r="U263" s="45" t="str">
        <f>IF(records[Type]="Room",records[roomNo],records[roomNo]&amp;"-"&amp;SUBSTITUTE(RIGHT(records[roomNo]&amp;records[Type],2),"-",""))</f>
        <v>16-1-075-M</v>
      </c>
      <c r="V263" s="47" t="str">
        <f t="array" ref="V263">_xlfn.XLOOKUP(records[ID], dAir[roomNo], dAir[roomName])</f>
        <v>VIALS CAPPING (Machine)</v>
      </c>
      <c r="W263" s="47" t="str">
        <f t="array" ref="W263">_xlfn.XLOOKUP(records[ID], dAir[roomNo], dAir[building])</f>
        <v>Building 16</v>
      </c>
      <c r="X263" s="47" t="str">
        <f t="array" ref="X263">_xlfn.XLOOKUP(records[ID], dAir[roomNo], dAir[floor])</f>
        <v>Floor 1</v>
      </c>
      <c r="Y263" s="45" t="str">
        <f t="array" ref="Y263">_xlfn.XLOOKUP(records[ID], dAir[roomNo], dAir[Class])</f>
        <v>A</v>
      </c>
      <c r="Z263" s="45">
        <f t="array" ref="Z263">_xlfn.XLOOKUP(records[Method]&amp;"-"&amp;records[Class], dAirSpec[ID], dAirSpec[Spec])</f>
        <v>0</v>
      </c>
      <c r="AA263" s="45" t="str">
        <f t="array" ref="AA263">_xlfn.XLOOKUP(records[Method]&amp;"-"&amp;records[Class], dAirSpec[ID], dAirSpec[Unit])</f>
        <v>cfu/m3</v>
      </c>
      <c r="AB263" s="45">
        <f t="array" ref="AB263">if(S263="","", if(records[Method]="Active Air",_xlfn.xlookup(records[ColonyCount]&amp;records[AirSampler],feller[code],feller[Vc]),records[ColonyCount]))</f>
        <v>0</v>
      </c>
      <c r="AC263" s="60" t="b">
        <f t="shared" si="1"/>
        <v>1</v>
      </c>
      <c r="AD263" s="61" t="b">
        <v>0</v>
      </c>
      <c r="AE263" s="32" t="s">
        <v>235</v>
      </c>
      <c r="AF263" s="46"/>
      <c r="AG263" s="46"/>
      <c r="AH263" s="46"/>
      <c r="AI263" s="46"/>
      <c r="AJ263" s="46"/>
    </row>
    <row r="264" ht="22.5" customHeight="1">
      <c r="A264" s="27">
        <v>46215.0</v>
      </c>
      <c r="B264" s="34" t="str">
        <f t="array" ref="B264">TEXT(A264, "MM-YYYY")</f>
        <v>07-2026</v>
      </c>
      <c r="C264" s="39" t="s">
        <v>765</v>
      </c>
      <c r="D264" s="36" t="s">
        <v>755</v>
      </c>
      <c r="E264" s="36" t="s">
        <v>531</v>
      </c>
      <c r="F264" s="37" t="s">
        <v>58</v>
      </c>
      <c r="G264" s="29" t="b">
        <v>1</v>
      </c>
      <c r="H264" s="36" t="s">
        <v>214</v>
      </c>
      <c r="I264" s="36" t="s">
        <v>757</v>
      </c>
      <c r="J264" s="39">
        <v>3.1101125E8</v>
      </c>
      <c r="K264" s="40">
        <v>46240.0</v>
      </c>
      <c r="L264" s="37" t="s">
        <v>194</v>
      </c>
      <c r="M264" s="37" t="s">
        <v>194</v>
      </c>
      <c r="N264" s="37" t="s">
        <v>194</v>
      </c>
      <c r="O264" s="37" t="s">
        <v>194</v>
      </c>
      <c r="P264" s="37" t="s">
        <v>1874</v>
      </c>
      <c r="Q264" s="37" t="s">
        <v>1875</v>
      </c>
      <c r="R264" s="41">
        <v>46264.0</v>
      </c>
      <c r="S264" s="42">
        <v>0.0</v>
      </c>
      <c r="T264" s="44" t="s">
        <v>755</v>
      </c>
      <c r="U264" s="45" t="str">
        <f>IF(records[Type]="Room",records[roomNo],records[roomNo]&amp;"-"&amp;SUBSTITUTE(RIGHT(records[roomNo]&amp;records[Type],2),"-",""))</f>
        <v>16-1-076-M</v>
      </c>
      <c r="V264" s="47" t="str">
        <f t="array" ref="V264">_xlfn.XLOOKUP(records[ID], dAir[roomNo], dAir[roomName])</f>
        <v>FILLING 2 (Machine)</v>
      </c>
      <c r="W264" s="47" t="str">
        <f t="array" ref="W264">_xlfn.XLOOKUP(records[ID], dAir[roomNo], dAir[building])</f>
        <v>Building 16</v>
      </c>
      <c r="X264" s="47" t="str">
        <f t="array" ref="X264">_xlfn.XLOOKUP(records[ID], dAir[roomNo], dAir[floor])</f>
        <v>Floor 1</v>
      </c>
      <c r="Y264" s="45" t="str">
        <f t="array" ref="Y264">_xlfn.XLOOKUP(records[ID], dAir[roomNo], dAir[Class])</f>
        <v>A</v>
      </c>
      <c r="Z264" s="45">
        <f t="array" ref="Z264">_xlfn.XLOOKUP(records[Method]&amp;"-"&amp;records[Class], dAirSpec[ID], dAirSpec[Spec])</f>
        <v>0</v>
      </c>
      <c r="AA264" s="45" t="str">
        <f t="array" ref="AA264">_xlfn.XLOOKUP(records[Method]&amp;"-"&amp;records[Class], dAirSpec[ID], dAirSpec[Unit])</f>
        <v>cfu/m3</v>
      </c>
      <c r="AB264" s="45">
        <f t="array" ref="AB264">if(S264="","", if(records[Method]="Active Air",_xlfn.xlookup(records[ColonyCount]&amp;records[AirSampler],feller[code],feller[Vc]),records[ColonyCount]))</f>
        <v>0</v>
      </c>
      <c r="AC264" s="60" t="b">
        <f t="shared" si="1"/>
        <v>1</v>
      </c>
      <c r="AD264" s="61" t="b">
        <v>0</v>
      </c>
      <c r="AE264" s="32" t="s">
        <v>235</v>
      </c>
      <c r="AF264" s="46"/>
      <c r="AG264" s="46"/>
      <c r="AH264" s="46"/>
      <c r="AI264" s="46"/>
      <c r="AJ264" s="46"/>
    </row>
    <row r="265" ht="22.5" customHeight="1">
      <c r="A265" s="27">
        <v>46215.0</v>
      </c>
      <c r="B265" s="34" t="str">
        <f t="array" ref="B265">TEXT(A265, "MM-YYYY")</f>
        <v>07-2026</v>
      </c>
      <c r="C265" s="39" t="s">
        <v>765</v>
      </c>
      <c r="D265" s="36" t="s">
        <v>770</v>
      </c>
      <c r="E265" s="36" t="s">
        <v>531</v>
      </c>
      <c r="F265" s="37" t="s">
        <v>58</v>
      </c>
      <c r="G265" s="29" t="b">
        <v>1</v>
      </c>
      <c r="H265" s="36" t="s">
        <v>214</v>
      </c>
      <c r="I265" s="36" t="s">
        <v>757</v>
      </c>
      <c r="J265" s="39">
        <v>3.1101125E8</v>
      </c>
      <c r="K265" s="40">
        <v>46240.0</v>
      </c>
      <c r="L265" s="37" t="s">
        <v>194</v>
      </c>
      <c r="M265" s="37" t="s">
        <v>194</v>
      </c>
      <c r="N265" s="37" t="s">
        <v>194</v>
      </c>
      <c r="O265" s="37" t="s">
        <v>194</v>
      </c>
      <c r="P265" s="37" t="s">
        <v>1874</v>
      </c>
      <c r="Q265" s="37" t="s">
        <v>1875</v>
      </c>
      <c r="R265" s="41">
        <v>46264.0</v>
      </c>
      <c r="S265" s="42">
        <v>0.0</v>
      </c>
      <c r="T265" s="44" t="s">
        <v>770</v>
      </c>
      <c r="U265" s="45" t="str">
        <f>IF(records[Type]="Room",records[roomNo],records[roomNo]&amp;"-"&amp;SUBSTITUTE(RIGHT(records[roomNo]&amp;records[Type],2),"-",""))</f>
        <v>16-1-076-L</v>
      </c>
      <c r="V265" s="47" t="str">
        <f t="array" ref="V265">_xlfn.XLOOKUP(records[ID], dAir[roomNo], dAir[roomName])</f>
        <v>FILLING 2 (Laminar)</v>
      </c>
      <c r="W265" s="47" t="str">
        <f t="array" ref="W265">_xlfn.XLOOKUP(records[ID], dAir[roomNo], dAir[building])</f>
        <v>Building 16</v>
      </c>
      <c r="X265" s="47" t="str">
        <f t="array" ref="X265">_xlfn.XLOOKUP(records[ID], dAir[roomNo], dAir[floor])</f>
        <v>Floor 1</v>
      </c>
      <c r="Y265" s="45" t="str">
        <f t="array" ref="Y265">_xlfn.XLOOKUP(records[ID], dAir[roomNo], dAir[Class])</f>
        <v>A</v>
      </c>
      <c r="Z265" s="45">
        <f t="array" ref="Z265">_xlfn.XLOOKUP(records[Method]&amp;"-"&amp;records[Class], dAirSpec[ID], dAirSpec[Spec])</f>
        <v>0</v>
      </c>
      <c r="AA265" s="45" t="str">
        <f t="array" ref="AA265">_xlfn.XLOOKUP(records[Method]&amp;"-"&amp;records[Class], dAirSpec[ID], dAirSpec[Unit])</f>
        <v>cfu/m3</v>
      </c>
      <c r="AB265" s="45">
        <f t="array" ref="AB265">if(S265="","", if(records[Method]="Active Air",_xlfn.xlookup(records[ColonyCount]&amp;records[AirSampler],feller[code],feller[Vc]),records[ColonyCount]))</f>
        <v>0</v>
      </c>
      <c r="AC265" s="60" t="b">
        <f t="shared" si="1"/>
        <v>1</v>
      </c>
      <c r="AD265" s="61" t="b">
        <v>0</v>
      </c>
      <c r="AE265" s="32" t="s">
        <v>235</v>
      </c>
      <c r="AF265" s="46"/>
      <c r="AG265" s="46"/>
      <c r="AH265" s="46"/>
      <c r="AI265" s="46"/>
      <c r="AJ265" s="46"/>
    </row>
    <row r="266" ht="22.5" customHeight="1">
      <c r="A266" s="27">
        <v>46215.0</v>
      </c>
      <c r="B266" s="34" t="str">
        <f t="array" ref="B266">TEXT(A266, "MM-YYYY")</f>
        <v>07-2026</v>
      </c>
      <c r="C266" s="39" t="s">
        <v>765</v>
      </c>
      <c r="D266" s="36" t="s">
        <v>210</v>
      </c>
      <c r="E266" s="36" t="s">
        <v>531</v>
      </c>
      <c r="F266" s="37" t="s">
        <v>58</v>
      </c>
      <c r="G266" s="29" t="b">
        <v>1</v>
      </c>
      <c r="H266" s="36" t="s">
        <v>214</v>
      </c>
      <c r="I266" s="36" t="s">
        <v>757</v>
      </c>
      <c r="J266" s="39">
        <v>3.1101125E8</v>
      </c>
      <c r="K266" s="40">
        <v>46240.0</v>
      </c>
      <c r="L266" s="37" t="s">
        <v>194</v>
      </c>
      <c r="M266" s="37" t="s">
        <v>194</v>
      </c>
      <c r="N266" s="37" t="s">
        <v>194</v>
      </c>
      <c r="O266" s="37" t="s">
        <v>194</v>
      </c>
      <c r="P266" s="37" t="s">
        <v>1874</v>
      </c>
      <c r="Q266" s="37" t="s">
        <v>1875</v>
      </c>
      <c r="R266" s="41">
        <v>46264.0</v>
      </c>
      <c r="S266" s="42">
        <v>0.0</v>
      </c>
      <c r="T266" s="44" t="s">
        <v>194</v>
      </c>
      <c r="U266" s="45" t="str">
        <f>IF(records[Type]="Room",records[roomNo],records[roomNo]&amp;"-"&amp;SUBSTITUTE(RIGHT(records[roomNo]&amp;records[Type],2),"-",""))</f>
        <v>16-1-076</v>
      </c>
      <c r="V266" s="47" t="str">
        <f t="array" ref="V266">_xlfn.XLOOKUP(records[ID], dAir[roomNo], dAir[roomName])</f>
        <v>FILLING 2</v>
      </c>
      <c r="W266" s="47" t="str">
        <f t="array" ref="W266">_xlfn.XLOOKUP(records[ID], dAir[roomNo], dAir[building])</f>
        <v>Building 16</v>
      </c>
      <c r="X266" s="47" t="str">
        <f t="array" ref="X266">_xlfn.XLOOKUP(records[ID], dAir[roomNo], dAir[floor])</f>
        <v>Floor 1</v>
      </c>
      <c r="Y266" s="45" t="str">
        <f t="array" ref="Y266">_xlfn.XLOOKUP(records[ID], dAir[roomNo], dAir[Class])</f>
        <v>C</v>
      </c>
      <c r="Z266" s="45">
        <f t="array" ref="Z266">_xlfn.XLOOKUP(records[Method]&amp;"-"&amp;records[Class], dAirSpec[ID], dAirSpec[Spec])</f>
        <v>100</v>
      </c>
      <c r="AA266" s="45" t="str">
        <f t="array" ref="AA266">_xlfn.XLOOKUP(records[Method]&amp;"-"&amp;records[Class], dAirSpec[ID], dAirSpec[Unit])</f>
        <v>cfu/m3</v>
      </c>
      <c r="AB266" s="45">
        <f t="array" ref="AB266">if(S266="","", if(records[Method]="Active Air",_xlfn.xlookup(records[ColonyCount]&amp;records[AirSampler],feller[code],feller[Vc]),records[ColonyCount]))</f>
        <v>0</v>
      </c>
      <c r="AC266" s="60" t="b">
        <f t="shared" si="1"/>
        <v>1</v>
      </c>
      <c r="AD266" s="61" t="b">
        <v>0</v>
      </c>
      <c r="AE266" s="32" t="s">
        <v>235</v>
      </c>
      <c r="AF266" s="46"/>
      <c r="AG266" s="46"/>
      <c r="AH266" s="46"/>
      <c r="AI266" s="46"/>
      <c r="AJ266" s="46"/>
    </row>
    <row r="267" ht="22.5" customHeight="1">
      <c r="A267" s="27">
        <v>46215.0</v>
      </c>
      <c r="B267" s="34" t="str">
        <f t="array" ref="B267">TEXT(A267, "MM-YYYY")</f>
        <v>07-2026</v>
      </c>
      <c r="C267" s="39" t="s">
        <v>729</v>
      </c>
      <c r="D267" s="36" t="s">
        <v>210</v>
      </c>
      <c r="E267" s="36" t="s">
        <v>531</v>
      </c>
      <c r="F267" s="37" t="s">
        <v>58</v>
      </c>
      <c r="G267" s="29" t="b">
        <v>1</v>
      </c>
      <c r="H267" s="36" t="s">
        <v>214</v>
      </c>
      <c r="I267" s="36" t="s">
        <v>203</v>
      </c>
      <c r="J267" s="29"/>
      <c r="K267" s="138"/>
      <c r="L267" s="37" t="s">
        <v>194</v>
      </c>
      <c r="M267" s="37" t="s">
        <v>194</v>
      </c>
      <c r="N267" s="37" t="s">
        <v>194</v>
      </c>
      <c r="O267" s="37" t="s">
        <v>194</v>
      </c>
      <c r="P267" s="37" t="s">
        <v>1874</v>
      </c>
      <c r="Q267" s="37" t="s">
        <v>1875</v>
      </c>
      <c r="R267" s="41">
        <v>46264.0</v>
      </c>
      <c r="S267" s="42">
        <v>5.0</v>
      </c>
      <c r="T267" s="44" t="s">
        <v>194</v>
      </c>
      <c r="U267" s="45" t="str">
        <f>IF(records[Type]="Room",records[roomNo],records[roomNo]&amp;"-"&amp;SUBSTITUTE(RIGHT(records[roomNo]&amp;records[Type],2),"-",""))</f>
        <v>16-1-077</v>
      </c>
      <c r="V267" s="47" t="str">
        <f t="array" ref="V267">_xlfn.XLOOKUP(records[ID], dAir[roomNo], dAir[roomName])</f>
        <v>FILTRATION 2</v>
      </c>
      <c r="W267" s="47" t="str">
        <f t="array" ref="W267">_xlfn.XLOOKUP(records[ID], dAir[roomNo], dAir[building])</f>
        <v>Building 16</v>
      </c>
      <c r="X267" s="47" t="str">
        <f t="array" ref="X267">_xlfn.XLOOKUP(records[ID], dAir[roomNo], dAir[floor])</f>
        <v>Floor 1</v>
      </c>
      <c r="Y267" s="45" t="str">
        <f t="array" ref="Y267">_xlfn.XLOOKUP(records[ID], dAir[roomNo], dAir[Class])</f>
        <v>C</v>
      </c>
      <c r="Z267" s="45">
        <f t="array" ref="Z267">_xlfn.XLOOKUP(records[Method]&amp;"-"&amp;records[Class], dAirSpec[ID], dAirSpec[Spec])</f>
        <v>100</v>
      </c>
      <c r="AA267" s="45" t="str">
        <f t="array" ref="AA267">_xlfn.XLOOKUP(records[Method]&amp;"-"&amp;records[Class], dAirSpec[ID], dAirSpec[Unit])</f>
        <v>cfu/m3</v>
      </c>
      <c r="AB267" s="45">
        <f t="array" ref="AB267">if(S267="","", if(records[Method]="Active Air",_xlfn.xlookup(records[ColonyCount]&amp;records[AirSampler],feller[code],feller[Vc]),records[ColonyCount]))</f>
        <v>5</v>
      </c>
      <c r="AC267" s="60" t="b">
        <f t="shared" si="1"/>
        <v>1</v>
      </c>
      <c r="AD267" s="61" t="b">
        <v>0</v>
      </c>
      <c r="AE267" s="32" t="s">
        <v>235</v>
      </c>
      <c r="AF267" s="46"/>
      <c r="AG267" s="46"/>
      <c r="AH267" s="46"/>
      <c r="AI267" s="46"/>
      <c r="AJ267" s="46"/>
    </row>
    <row r="268" ht="22.5" customHeight="1">
      <c r="A268" s="27">
        <v>46215.0</v>
      </c>
      <c r="B268" s="34" t="str">
        <f t="array" ref="B268">TEXT(A268, "MM-YYYY")</f>
        <v>07-2026</v>
      </c>
      <c r="C268" s="39" t="s">
        <v>1041</v>
      </c>
      <c r="D268" s="36" t="s">
        <v>210</v>
      </c>
      <c r="E268" s="36" t="s">
        <v>531</v>
      </c>
      <c r="F268" s="37" t="s">
        <v>58</v>
      </c>
      <c r="G268" s="29" t="b">
        <v>1</v>
      </c>
      <c r="H268" s="36" t="s">
        <v>214</v>
      </c>
      <c r="I268" s="36" t="s">
        <v>534</v>
      </c>
      <c r="J268" s="29"/>
      <c r="K268" s="138"/>
      <c r="L268" s="37" t="s">
        <v>194</v>
      </c>
      <c r="M268" s="37" t="s">
        <v>194</v>
      </c>
      <c r="N268" s="37" t="s">
        <v>194</v>
      </c>
      <c r="O268" s="37" t="s">
        <v>194</v>
      </c>
      <c r="P268" s="37" t="s">
        <v>1874</v>
      </c>
      <c r="Q268" s="37" t="s">
        <v>1875</v>
      </c>
      <c r="R268" s="41">
        <v>46264.0</v>
      </c>
      <c r="S268" s="42">
        <v>29.0</v>
      </c>
      <c r="T268" s="29" t="s">
        <v>1043</v>
      </c>
      <c r="U268" s="45" t="str">
        <f>IF(records[Type]="Room",records[roomNo],records[roomNo]&amp;"-"&amp;SUBSTITUTE(RIGHT(records[roomNo]&amp;records[Type],2),"-",""))</f>
        <v>16-1-078</v>
      </c>
      <c r="V268" s="47" t="str">
        <f t="array" ref="V268">_xlfn.XLOOKUP(records[ID], dAir[roomNo], dAir[roomName])</f>
        <v>PASSAGE</v>
      </c>
      <c r="W268" s="47" t="str">
        <f t="array" ref="W268">_xlfn.XLOOKUP(records[ID], dAir[roomNo], dAir[building])</f>
        <v>Building 16</v>
      </c>
      <c r="X268" s="47" t="str">
        <f t="array" ref="X268">_xlfn.XLOOKUP(records[ID], dAir[roomNo], dAir[floor])</f>
        <v>Floor 1</v>
      </c>
      <c r="Y268" s="45" t="str">
        <f t="array" ref="Y268">_xlfn.XLOOKUP(records[ID], dAir[roomNo], dAir[Class])</f>
        <v>C</v>
      </c>
      <c r="Z268" s="45">
        <f t="array" ref="Z268">_xlfn.XLOOKUP(records[Method]&amp;"-"&amp;records[Class], dAirSpec[ID], dAirSpec[Spec])</f>
        <v>100</v>
      </c>
      <c r="AA268" s="45" t="str">
        <f t="array" ref="AA268">_xlfn.XLOOKUP(records[Method]&amp;"-"&amp;records[Class], dAirSpec[ID], dAirSpec[Unit])</f>
        <v>cfu/m3</v>
      </c>
      <c r="AB268" s="45">
        <f t="array" ref="AB268">if(S268="","", if(records[Method]="Active Air",_xlfn.xlookup(records[ColonyCount]&amp;records[AirSampler],feller[code],feller[Vc]),records[ColonyCount]))</f>
        <v>31</v>
      </c>
      <c r="AC268" s="60" t="b">
        <f t="shared" si="1"/>
        <v>1</v>
      </c>
      <c r="AD268" s="61" t="b">
        <v>0</v>
      </c>
      <c r="AE268" s="32" t="s">
        <v>235</v>
      </c>
      <c r="AF268" s="46"/>
      <c r="AG268" s="46"/>
      <c r="AH268" s="46"/>
      <c r="AI268" s="46"/>
      <c r="AJ268" s="46"/>
    </row>
    <row r="269" ht="22.5" customHeight="1">
      <c r="A269" s="27">
        <v>46215.0</v>
      </c>
      <c r="B269" s="34" t="str">
        <f t="array" ref="B269">TEXT(A269, "MM-YYYY")</f>
        <v>07-2026</v>
      </c>
      <c r="C269" s="39" t="s">
        <v>1047</v>
      </c>
      <c r="D269" s="36" t="s">
        <v>210</v>
      </c>
      <c r="E269" s="36" t="s">
        <v>531</v>
      </c>
      <c r="F269" s="37" t="s">
        <v>58</v>
      </c>
      <c r="G269" s="29" t="b">
        <v>1</v>
      </c>
      <c r="H269" s="36" t="s">
        <v>214</v>
      </c>
      <c r="I269" s="36" t="s">
        <v>203</v>
      </c>
      <c r="J269" s="29"/>
      <c r="K269" s="138"/>
      <c r="L269" s="37" t="s">
        <v>194</v>
      </c>
      <c r="M269" s="37" t="s">
        <v>194</v>
      </c>
      <c r="N269" s="37" t="s">
        <v>194</v>
      </c>
      <c r="O269" s="37" t="s">
        <v>194</v>
      </c>
      <c r="P269" s="37" t="s">
        <v>1874</v>
      </c>
      <c r="Q269" s="37" t="s">
        <v>1875</v>
      </c>
      <c r="R269" s="41">
        <v>46264.0</v>
      </c>
      <c r="S269" s="42">
        <v>3.0</v>
      </c>
      <c r="T269" s="44" t="s">
        <v>194</v>
      </c>
      <c r="U269" s="45" t="str">
        <f>IF(records[Type]="Room",records[roomNo],records[roomNo]&amp;"-"&amp;SUBSTITUTE(RIGHT(records[roomNo]&amp;records[Type],2),"-",""))</f>
        <v>16-1-079</v>
      </c>
      <c r="V269" s="47" t="str">
        <f t="array" ref="V269">_xlfn.XLOOKUP(records[ID], dAir[roomNo], dAir[roomName])</f>
        <v>COOLING ZONE</v>
      </c>
      <c r="W269" s="47" t="str">
        <f t="array" ref="W269">_xlfn.XLOOKUP(records[ID], dAir[roomNo], dAir[building])</f>
        <v>Building 16</v>
      </c>
      <c r="X269" s="47" t="str">
        <f t="array" ref="X269">_xlfn.XLOOKUP(records[ID], dAir[roomNo], dAir[floor])</f>
        <v>Floor 1</v>
      </c>
      <c r="Y269" s="45" t="str">
        <f t="array" ref="Y269">_xlfn.XLOOKUP(records[ID], dAir[roomNo], dAir[Class])</f>
        <v>C</v>
      </c>
      <c r="Z269" s="45">
        <f t="array" ref="Z269">_xlfn.XLOOKUP(records[Method]&amp;"-"&amp;records[Class], dAirSpec[ID], dAirSpec[Spec])</f>
        <v>100</v>
      </c>
      <c r="AA269" s="45" t="str">
        <f t="array" ref="AA269">_xlfn.XLOOKUP(records[Method]&amp;"-"&amp;records[Class], dAirSpec[ID], dAirSpec[Unit])</f>
        <v>cfu/m3</v>
      </c>
      <c r="AB269" s="45">
        <f t="array" ref="AB269">if(S269="","", if(records[Method]="Active Air",_xlfn.xlookup(records[ColonyCount]&amp;records[AirSampler],feller[code],feller[Vc]),records[ColonyCount]))</f>
        <v>3</v>
      </c>
      <c r="AC269" s="60" t="b">
        <f t="shared" si="1"/>
        <v>1</v>
      </c>
      <c r="AD269" s="61" t="b">
        <v>0</v>
      </c>
      <c r="AE269" s="32" t="s">
        <v>235</v>
      </c>
      <c r="AF269" s="46"/>
      <c r="AG269" s="46"/>
      <c r="AH269" s="46"/>
      <c r="AI269" s="46"/>
      <c r="AJ269" s="46"/>
    </row>
    <row r="270" ht="22.5" customHeight="1">
      <c r="A270" s="27">
        <v>46215.0</v>
      </c>
      <c r="B270" s="34" t="str">
        <f t="array" ref="B270">TEXT(A270, "MM-YYYY")</f>
        <v>07-2026</v>
      </c>
      <c r="C270" s="39" t="s">
        <v>1052</v>
      </c>
      <c r="D270" s="36" t="s">
        <v>210</v>
      </c>
      <c r="E270" s="36" t="s">
        <v>531</v>
      </c>
      <c r="F270" s="37" t="s">
        <v>58</v>
      </c>
      <c r="G270" s="29" t="b">
        <v>1</v>
      </c>
      <c r="H270" s="36" t="s">
        <v>214</v>
      </c>
      <c r="I270" s="36" t="s">
        <v>534</v>
      </c>
      <c r="J270" s="29"/>
      <c r="K270" s="138"/>
      <c r="L270" s="37" t="s">
        <v>194</v>
      </c>
      <c r="M270" s="37" t="s">
        <v>194</v>
      </c>
      <c r="N270" s="37" t="s">
        <v>194</v>
      </c>
      <c r="O270" s="37" t="s">
        <v>194</v>
      </c>
      <c r="P270" s="37" t="s">
        <v>1874</v>
      </c>
      <c r="Q270" s="37" t="s">
        <v>1875</v>
      </c>
      <c r="R270" s="41">
        <v>46264.0</v>
      </c>
      <c r="S270" s="42">
        <v>19.0</v>
      </c>
      <c r="T270" s="44" t="s">
        <v>194</v>
      </c>
      <c r="U270" s="45" t="str">
        <f>IF(records[Type]="Room",records[roomNo],records[roomNo]&amp;"-"&amp;SUBSTITUTE(RIGHT(records[roomNo]&amp;records[Type],2),"-",""))</f>
        <v>16-1-080</v>
      </c>
      <c r="V270" s="47" t="str">
        <f t="array" ref="V270">_xlfn.XLOOKUP(records[ID], dAir[roomNo], dAir[roomName])</f>
        <v>TOOL STORAGE</v>
      </c>
      <c r="W270" s="47" t="str">
        <f t="array" ref="W270">_xlfn.XLOOKUP(records[ID], dAir[roomNo], dAir[building])</f>
        <v>Building 16</v>
      </c>
      <c r="X270" s="47" t="str">
        <f t="array" ref="X270">_xlfn.XLOOKUP(records[ID], dAir[roomNo], dAir[floor])</f>
        <v>Floor 1</v>
      </c>
      <c r="Y270" s="45" t="str">
        <f t="array" ref="Y270">_xlfn.XLOOKUP(records[ID], dAir[roomNo], dAir[Class])</f>
        <v>C</v>
      </c>
      <c r="Z270" s="45">
        <f t="array" ref="Z270">_xlfn.XLOOKUP(records[Method]&amp;"-"&amp;records[Class], dAirSpec[ID], dAirSpec[Spec])</f>
        <v>100</v>
      </c>
      <c r="AA270" s="45" t="str">
        <f t="array" ref="AA270">_xlfn.XLOOKUP(records[Method]&amp;"-"&amp;records[Class], dAirSpec[ID], dAirSpec[Unit])</f>
        <v>cfu/m3</v>
      </c>
      <c r="AB270" s="45">
        <f t="array" ref="AB270">if(S270="","", if(records[Method]="Active Air",_xlfn.xlookup(records[ColonyCount]&amp;records[AirSampler],feller[code],feller[Vc]),records[ColonyCount]))</f>
        <v>20</v>
      </c>
      <c r="AC270" s="60" t="b">
        <f t="shared" si="1"/>
        <v>1</v>
      </c>
      <c r="AD270" s="61" t="b">
        <v>0</v>
      </c>
      <c r="AE270" s="32" t="s">
        <v>235</v>
      </c>
      <c r="AF270" s="46"/>
      <c r="AG270" s="46"/>
      <c r="AH270" s="46"/>
      <c r="AI270" s="46"/>
      <c r="AJ270" s="46"/>
    </row>
    <row r="271" ht="22.5" customHeight="1">
      <c r="A271" s="27">
        <v>46215.0</v>
      </c>
      <c r="B271" s="34" t="str">
        <f t="array" ref="B271">TEXT(A271, "MM-YYYY")</f>
        <v>07-2026</v>
      </c>
      <c r="C271" s="39" t="s">
        <v>1068</v>
      </c>
      <c r="D271" s="36" t="s">
        <v>210</v>
      </c>
      <c r="E271" s="36" t="s">
        <v>531</v>
      </c>
      <c r="F271" s="37" t="s">
        <v>58</v>
      </c>
      <c r="G271" s="29" t="b">
        <v>1</v>
      </c>
      <c r="H271" s="36" t="s">
        <v>214</v>
      </c>
      <c r="I271" s="36" t="s">
        <v>203</v>
      </c>
      <c r="J271" s="29"/>
      <c r="K271" s="138"/>
      <c r="L271" s="37" t="s">
        <v>194</v>
      </c>
      <c r="M271" s="37" t="s">
        <v>194</v>
      </c>
      <c r="N271" s="37" t="s">
        <v>194</v>
      </c>
      <c r="O271" s="37" t="s">
        <v>194</v>
      </c>
      <c r="P271" s="37" t="s">
        <v>1874</v>
      </c>
      <c r="Q271" s="37" t="s">
        <v>1875</v>
      </c>
      <c r="R271" s="41">
        <v>46264.0</v>
      </c>
      <c r="S271" s="42">
        <v>31.0</v>
      </c>
      <c r="T271" s="44" t="s">
        <v>194</v>
      </c>
      <c r="U271" s="45" t="str">
        <f>IF(records[Type]="Room",records[roomNo],records[roomNo]&amp;"-"&amp;SUBSTITUTE(RIGHT(records[roomNo]&amp;records[Type],2),"-",""))</f>
        <v>16-1-081</v>
      </c>
      <c r="V271" s="47" t="str">
        <f t="array" ref="V271">_xlfn.XLOOKUP(records[ID], dAir[roomNo], dAir[roomName])</f>
        <v>AIRLOCK</v>
      </c>
      <c r="W271" s="47" t="str">
        <f t="array" ref="W271">_xlfn.XLOOKUP(records[ID], dAir[roomNo], dAir[building])</f>
        <v>Building 16</v>
      </c>
      <c r="X271" s="47" t="str">
        <f t="array" ref="X271">_xlfn.XLOOKUP(records[ID], dAir[roomNo], dAir[floor])</f>
        <v>Floor 1</v>
      </c>
      <c r="Y271" s="45" t="str">
        <f t="array" ref="Y271">_xlfn.XLOOKUP(records[ID], dAir[roomNo], dAir[Class])</f>
        <v>C</v>
      </c>
      <c r="Z271" s="45">
        <f t="array" ref="Z271">_xlfn.XLOOKUP(records[Method]&amp;"-"&amp;records[Class], dAirSpec[ID], dAirSpec[Spec])</f>
        <v>100</v>
      </c>
      <c r="AA271" s="45" t="str">
        <f t="array" ref="AA271">_xlfn.XLOOKUP(records[Method]&amp;"-"&amp;records[Class], dAirSpec[ID], dAirSpec[Unit])</f>
        <v>cfu/m3</v>
      </c>
      <c r="AB271" s="45">
        <f t="array" ref="AB271">if(S271="","", if(records[Method]="Active Air",_xlfn.xlookup(records[ColonyCount]&amp;records[AirSampler],feller[code],feller[Vc]),records[ColonyCount]))</f>
        <v>31</v>
      </c>
      <c r="AC271" s="60" t="b">
        <f t="shared" si="1"/>
        <v>1</v>
      </c>
      <c r="AD271" s="61" t="b">
        <v>0</v>
      </c>
      <c r="AE271" s="32" t="s">
        <v>235</v>
      </c>
      <c r="AF271" s="46"/>
      <c r="AG271" s="46"/>
      <c r="AH271" s="46"/>
      <c r="AI271" s="46"/>
      <c r="AJ271" s="46"/>
    </row>
    <row r="272" ht="22.5" customHeight="1">
      <c r="A272" s="27">
        <v>46215.0</v>
      </c>
      <c r="B272" s="34" t="str">
        <f t="array" ref="B272">TEXT(A272, "MM-YYYY")</f>
        <v>07-2026</v>
      </c>
      <c r="C272" s="39" t="s">
        <v>736</v>
      </c>
      <c r="D272" s="36" t="s">
        <v>210</v>
      </c>
      <c r="E272" s="36" t="s">
        <v>531</v>
      </c>
      <c r="F272" s="37" t="s">
        <v>58</v>
      </c>
      <c r="G272" s="29" t="b">
        <v>1</v>
      </c>
      <c r="H272" s="36" t="s">
        <v>214</v>
      </c>
      <c r="I272" s="36" t="s">
        <v>203</v>
      </c>
      <c r="J272" s="29"/>
      <c r="K272" s="138"/>
      <c r="L272" s="37" t="s">
        <v>194</v>
      </c>
      <c r="M272" s="37" t="s">
        <v>194</v>
      </c>
      <c r="N272" s="37" t="s">
        <v>194</v>
      </c>
      <c r="O272" s="37" t="s">
        <v>194</v>
      </c>
      <c r="P272" s="37" t="s">
        <v>1874</v>
      </c>
      <c r="Q272" s="37" t="s">
        <v>1875</v>
      </c>
      <c r="R272" s="41">
        <v>46264.0</v>
      </c>
      <c r="S272" s="42">
        <v>25.0</v>
      </c>
      <c r="T272" s="44" t="s">
        <v>194</v>
      </c>
      <c r="U272" s="45" t="str">
        <f>IF(records[Type]="Room",records[roomNo],records[roomNo]&amp;"-"&amp;SUBSTITUTE(RIGHT(records[roomNo]&amp;records[Type],2),"-",""))</f>
        <v>16-1-082</v>
      </c>
      <c r="V272" s="47" t="str">
        <f t="array" ref="V272">_xlfn.XLOOKUP(records[ID], dAir[roomNo], dAir[roomName])</f>
        <v>WASHING</v>
      </c>
      <c r="W272" s="47" t="str">
        <f t="array" ref="W272">_xlfn.XLOOKUP(records[ID], dAir[roomNo], dAir[building])</f>
        <v>Building 16</v>
      </c>
      <c r="X272" s="47" t="str">
        <f t="array" ref="X272">_xlfn.XLOOKUP(records[ID], dAir[roomNo], dAir[floor])</f>
        <v>Floor 1</v>
      </c>
      <c r="Y272" s="45" t="str">
        <f t="array" ref="Y272">_xlfn.XLOOKUP(records[ID], dAir[roomNo], dAir[Class])</f>
        <v>C</v>
      </c>
      <c r="Z272" s="45">
        <f t="array" ref="Z272">_xlfn.XLOOKUP(records[Method]&amp;"-"&amp;records[Class], dAirSpec[ID], dAirSpec[Spec])</f>
        <v>100</v>
      </c>
      <c r="AA272" s="45" t="str">
        <f t="array" ref="AA272">_xlfn.XLOOKUP(records[Method]&amp;"-"&amp;records[Class], dAirSpec[ID], dAirSpec[Unit])</f>
        <v>cfu/m3</v>
      </c>
      <c r="AB272" s="45">
        <f t="array" ref="AB272">if(S272="","", if(records[Method]="Active Air",_xlfn.xlookup(records[ColonyCount]&amp;records[AirSampler],feller[code],feller[Vc]),records[ColonyCount]))</f>
        <v>25</v>
      </c>
      <c r="AC272" s="60" t="b">
        <f t="shared" si="1"/>
        <v>1</v>
      </c>
      <c r="AD272" s="61" t="b">
        <v>0</v>
      </c>
      <c r="AE272" s="32" t="s">
        <v>235</v>
      </c>
      <c r="AF272" s="46"/>
      <c r="AG272" s="46"/>
      <c r="AH272" s="46"/>
      <c r="AI272" s="46"/>
      <c r="AJ272" s="46"/>
    </row>
    <row r="273" ht="22.5" customHeight="1">
      <c r="A273" s="27">
        <v>46215.0</v>
      </c>
      <c r="B273" s="34" t="str">
        <f t="array" ref="B273">TEXT(A273, "MM-YYYY")</f>
        <v>07-2026</v>
      </c>
      <c r="C273" s="39" t="s">
        <v>740</v>
      </c>
      <c r="D273" s="36" t="s">
        <v>210</v>
      </c>
      <c r="E273" s="36" t="s">
        <v>531</v>
      </c>
      <c r="F273" s="37" t="s">
        <v>58</v>
      </c>
      <c r="G273" s="29" t="b">
        <v>1</v>
      </c>
      <c r="H273" s="36" t="s">
        <v>214</v>
      </c>
      <c r="I273" s="36" t="s">
        <v>534</v>
      </c>
      <c r="J273" s="29"/>
      <c r="K273" s="138"/>
      <c r="L273" s="37" t="s">
        <v>194</v>
      </c>
      <c r="M273" s="37" t="s">
        <v>194</v>
      </c>
      <c r="N273" s="37" t="s">
        <v>194</v>
      </c>
      <c r="O273" s="37" t="s">
        <v>194</v>
      </c>
      <c r="P273" s="37" t="s">
        <v>1874</v>
      </c>
      <c r="Q273" s="37" t="s">
        <v>1875</v>
      </c>
      <c r="R273" s="41">
        <v>46264.0</v>
      </c>
      <c r="S273" s="42">
        <v>3.0</v>
      </c>
      <c r="T273" s="44" t="s">
        <v>194</v>
      </c>
      <c r="U273" s="45" t="str">
        <f>IF(records[Type]="Room",records[roomNo],records[roomNo]&amp;"-"&amp;SUBSTITUTE(RIGHT(records[roomNo]&amp;records[Type],2),"-",""))</f>
        <v>16-1-083</v>
      </c>
      <c r="V273" s="47" t="str">
        <f t="array" ref="V273">_xlfn.XLOOKUP(records[ID], dAir[roomNo], dAir[roomName])</f>
        <v>FILTRATION 1</v>
      </c>
      <c r="W273" s="47" t="str">
        <f t="array" ref="W273">_xlfn.XLOOKUP(records[ID], dAir[roomNo], dAir[building])</f>
        <v>Building 16</v>
      </c>
      <c r="X273" s="47" t="str">
        <f t="array" ref="X273">_xlfn.XLOOKUP(records[ID], dAir[roomNo], dAir[floor])</f>
        <v>Floor 1</v>
      </c>
      <c r="Y273" s="45" t="str">
        <f t="array" ref="Y273">_xlfn.XLOOKUP(records[ID], dAir[roomNo], dAir[Class])</f>
        <v>C</v>
      </c>
      <c r="Z273" s="45">
        <f t="array" ref="Z273">_xlfn.XLOOKUP(records[Method]&amp;"-"&amp;records[Class], dAirSpec[ID], dAirSpec[Spec])</f>
        <v>100</v>
      </c>
      <c r="AA273" s="45" t="str">
        <f t="array" ref="AA273">_xlfn.XLOOKUP(records[Method]&amp;"-"&amp;records[Class], dAirSpec[ID], dAirSpec[Unit])</f>
        <v>cfu/m3</v>
      </c>
      <c r="AB273" s="45">
        <f t="array" ref="AB273">if(S273="","", if(records[Method]="Active Air",_xlfn.xlookup(records[ColonyCount]&amp;records[AirSampler],feller[code],feller[Vc]),records[ColonyCount]))</f>
        <v>3</v>
      </c>
      <c r="AC273" s="60" t="b">
        <f t="shared" si="1"/>
        <v>1</v>
      </c>
      <c r="AD273" s="61" t="b">
        <v>0</v>
      </c>
      <c r="AE273" s="32" t="s">
        <v>235</v>
      </c>
      <c r="AF273" s="46"/>
      <c r="AG273" s="46"/>
      <c r="AH273" s="46"/>
      <c r="AI273" s="46"/>
      <c r="AJ273" s="46"/>
    </row>
    <row r="274" ht="22.5" customHeight="1">
      <c r="A274" s="27">
        <v>46215.0</v>
      </c>
      <c r="B274" s="34" t="str">
        <f t="array" ref="B274">TEXT(A274, "MM-YYYY")</f>
        <v>07-2026</v>
      </c>
      <c r="C274" s="39" t="s">
        <v>774</v>
      </c>
      <c r="D274" s="36" t="s">
        <v>755</v>
      </c>
      <c r="E274" s="36" t="s">
        <v>531</v>
      </c>
      <c r="F274" s="37" t="s">
        <v>58</v>
      </c>
      <c r="G274" s="29" t="b">
        <v>1</v>
      </c>
      <c r="H274" s="36" t="s">
        <v>214</v>
      </c>
      <c r="I274" s="36" t="s">
        <v>757</v>
      </c>
      <c r="J274" s="39">
        <v>3.1101125E8</v>
      </c>
      <c r="K274" s="40">
        <v>46240.0</v>
      </c>
      <c r="L274" s="37" t="s">
        <v>194</v>
      </c>
      <c r="M274" s="37" t="s">
        <v>194</v>
      </c>
      <c r="N274" s="37" t="s">
        <v>194</v>
      </c>
      <c r="O274" s="37" t="s">
        <v>194</v>
      </c>
      <c r="P274" s="37" t="s">
        <v>1874</v>
      </c>
      <c r="Q274" s="37" t="s">
        <v>1875</v>
      </c>
      <c r="R274" s="41">
        <v>46264.0</v>
      </c>
      <c r="S274" s="42">
        <v>0.0</v>
      </c>
      <c r="T274" s="44" t="s">
        <v>755</v>
      </c>
      <c r="U274" s="45" t="str">
        <f>IF(records[Type]="Room",records[roomNo],records[roomNo]&amp;"-"&amp;SUBSTITUTE(RIGHT(records[roomNo]&amp;records[Type],2),"-",""))</f>
        <v>16-1-084-M</v>
      </c>
      <c r="V274" s="47" t="str">
        <f t="array" ref="V274">_xlfn.XLOOKUP(records[ID], dAir[roomNo], dAir[roomName])</f>
        <v>FILLING 1 (Machine)</v>
      </c>
      <c r="W274" s="47" t="str">
        <f t="array" ref="W274">_xlfn.XLOOKUP(records[ID], dAir[roomNo], dAir[building])</f>
        <v>Building 16</v>
      </c>
      <c r="X274" s="47" t="str">
        <f t="array" ref="X274">_xlfn.XLOOKUP(records[ID], dAir[roomNo], dAir[floor])</f>
        <v>Floor 1</v>
      </c>
      <c r="Y274" s="45" t="str">
        <f t="array" ref="Y274">_xlfn.XLOOKUP(records[ID], dAir[roomNo], dAir[Class])</f>
        <v>A</v>
      </c>
      <c r="Z274" s="45">
        <f t="array" ref="Z274">_xlfn.XLOOKUP(records[Method]&amp;"-"&amp;records[Class], dAirSpec[ID], dAirSpec[Spec])</f>
        <v>0</v>
      </c>
      <c r="AA274" s="45" t="str">
        <f t="array" ref="AA274">_xlfn.XLOOKUP(records[Method]&amp;"-"&amp;records[Class], dAirSpec[ID], dAirSpec[Unit])</f>
        <v>cfu/m3</v>
      </c>
      <c r="AB274" s="45">
        <f t="array" ref="AB274">if(S274="","", if(records[Method]="Active Air",_xlfn.xlookup(records[ColonyCount]&amp;records[AirSampler],feller[code],feller[Vc]),records[ColonyCount]))</f>
        <v>0</v>
      </c>
      <c r="AC274" s="60" t="b">
        <f t="shared" si="1"/>
        <v>1</v>
      </c>
      <c r="AD274" s="61" t="b">
        <v>0</v>
      </c>
      <c r="AE274" s="32" t="s">
        <v>235</v>
      </c>
      <c r="AF274" s="46"/>
      <c r="AG274" s="46"/>
      <c r="AH274" s="46"/>
      <c r="AI274" s="46"/>
      <c r="AJ274" s="46"/>
    </row>
    <row r="275" ht="22.5" customHeight="1">
      <c r="A275" s="27">
        <v>46215.0</v>
      </c>
      <c r="B275" s="34" t="str">
        <f t="array" ref="B275">TEXT(A275, "MM-YYYY")</f>
        <v>07-2026</v>
      </c>
      <c r="C275" s="39" t="s">
        <v>774</v>
      </c>
      <c r="D275" s="36" t="s">
        <v>770</v>
      </c>
      <c r="E275" s="36" t="s">
        <v>531</v>
      </c>
      <c r="F275" s="37" t="s">
        <v>58</v>
      </c>
      <c r="G275" s="29" t="b">
        <v>1</v>
      </c>
      <c r="H275" s="36" t="s">
        <v>214</v>
      </c>
      <c r="I275" s="36" t="s">
        <v>757</v>
      </c>
      <c r="J275" s="39">
        <v>3.1101125E8</v>
      </c>
      <c r="K275" s="40">
        <v>46240.0</v>
      </c>
      <c r="L275" s="37" t="s">
        <v>194</v>
      </c>
      <c r="M275" s="37" t="s">
        <v>194</v>
      </c>
      <c r="N275" s="37" t="s">
        <v>194</v>
      </c>
      <c r="O275" s="37" t="s">
        <v>194</v>
      </c>
      <c r="P275" s="37" t="s">
        <v>1874</v>
      </c>
      <c r="Q275" s="37" t="s">
        <v>1875</v>
      </c>
      <c r="R275" s="41">
        <v>46264.0</v>
      </c>
      <c r="S275" s="42">
        <v>0.0</v>
      </c>
      <c r="T275" s="44" t="s">
        <v>770</v>
      </c>
      <c r="U275" s="45" t="str">
        <f>IF(records[Type]="Room",records[roomNo],records[roomNo]&amp;"-"&amp;SUBSTITUTE(RIGHT(records[roomNo]&amp;records[Type],2),"-",""))</f>
        <v>16-1-084-L</v>
      </c>
      <c r="V275" s="47" t="str">
        <f t="array" ref="V275">_xlfn.XLOOKUP(records[ID], dAir[roomNo], dAir[roomName])</f>
        <v>FILLING 1 (Laminar)</v>
      </c>
      <c r="W275" s="47" t="str">
        <f t="array" ref="W275">_xlfn.XLOOKUP(records[ID], dAir[roomNo], dAir[building])</f>
        <v>Building 16</v>
      </c>
      <c r="X275" s="47" t="str">
        <f t="array" ref="X275">_xlfn.XLOOKUP(records[ID], dAir[roomNo], dAir[floor])</f>
        <v>Floor 1</v>
      </c>
      <c r="Y275" s="45" t="str">
        <f t="array" ref="Y275">_xlfn.XLOOKUP(records[ID], dAir[roomNo], dAir[Class])</f>
        <v>A</v>
      </c>
      <c r="Z275" s="45">
        <f t="array" ref="Z275">_xlfn.XLOOKUP(records[Method]&amp;"-"&amp;records[Class], dAirSpec[ID], dAirSpec[Spec])</f>
        <v>0</v>
      </c>
      <c r="AA275" s="45" t="str">
        <f t="array" ref="AA275">_xlfn.XLOOKUP(records[Method]&amp;"-"&amp;records[Class], dAirSpec[ID], dAirSpec[Unit])</f>
        <v>cfu/m3</v>
      </c>
      <c r="AB275" s="45">
        <f t="array" ref="AB275">if(S275="","", if(records[Method]="Active Air",_xlfn.xlookup(records[ColonyCount]&amp;records[AirSampler],feller[code],feller[Vc]),records[ColonyCount]))</f>
        <v>0</v>
      </c>
      <c r="AC275" s="60" t="b">
        <f t="shared" si="1"/>
        <v>1</v>
      </c>
      <c r="AD275" s="61" t="b">
        <v>0</v>
      </c>
      <c r="AE275" s="32" t="s">
        <v>235</v>
      </c>
      <c r="AF275" s="46"/>
      <c r="AG275" s="46"/>
      <c r="AH275" s="46"/>
      <c r="AI275" s="46"/>
      <c r="AJ275" s="46"/>
    </row>
    <row r="276" ht="22.5" customHeight="1">
      <c r="A276" s="27">
        <v>46215.0</v>
      </c>
      <c r="B276" s="34" t="str">
        <f t="array" ref="B276">TEXT(A276, "MM-YYYY")</f>
        <v>07-2026</v>
      </c>
      <c r="C276" s="39" t="s">
        <v>774</v>
      </c>
      <c r="D276" s="36" t="s">
        <v>210</v>
      </c>
      <c r="E276" s="36" t="s">
        <v>531</v>
      </c>
      <c r="F276" s="37" t="s">
        <v>58</v>
      </c>
      <c r="G276" s="29" t="b">
        <v>1</v>
      </c>
      <c r="H276" s="36" t="s">
        <v>214</v>
      </c>
      <c r="I276" s="36" t="s">
        <v>757</v>
      </c>
      <c r="J276" s="39">
        <v>3.1101125E8</v>
      </c>
      <c r="K276" s="40">
        <v>46240.0</v>
      </c>
      <c r="L276" s="37" t="s">
        <v>194</v>
      </c>
      <c r="M276" s="37" t="s">
        <v>194</v>
      </c>
      <c r="N276" s="37" t="s">
        <v>194</v>
      </c>
      <c r="O276" s="37" t="s">
        <v>194</v>
      </c>
      <c r="P276" s="37" t="s">
        <v>1874</v>
      </c>
      <c r="Q276" s="37" t="s">
        <v>1875</v>
      </c>
      <c r="R276" s="41">
        <v>46264.0</v>
      </c>
      <c r="S276" s="42">
        <v>29.0</v>
      </c>
      <c r="T276" s="44" t="s">
        <v>194</v>
      </c>
      <c r="U276" s="45" t="str">
        <f>IF(records[Type]="Room",records[roomNo],records[roomNo]&amp;"-"&amp;SUBSTITUTE(RIGHT(records[roomNo]&amp;records[Type],2),"-",""))</f>
        <v>16-1-084</v>
      </c>
      <c r="V276" s="47" t="str">
        <f t="array" ref="V276">_xlfn.XLOOKUP(records[ID], dAir[roomNo], dAir[roomName])</f>
        <v>FILLING 1</v>
      </c>
      <c r="W276" s="47" t="str">
        <f t="array" ref="W276">_xlfn.XLOOKUP(records[ID], dAir[roomNo], dAir[building])</f>
        <v>Building 16</v>
      </c>
      <c r="X276" s="47" t="str">
        <f t="array" ref="X276">_xlfn.XLOOKUP(records[ID], dAir[roomNo], dAir[floor])</f>
        <v>Floor 1</v>
      </c>
      <c r="Y276" s="45" t="str">
        <f t="array" ref="Y276">_xlfn.XLOOKUP(records[ID], dAir[roomNo], dAir[Class])</f>
        <v>C</v>
      </c>
      <c r="Z276" s="45">
        <f t="array" ref="Z276">_xlfn.XLOOKUP(records[Method]&amp;"-"&amp;records[Class], dAirSpec[ID], dAirSpec[Spec])</f>
        <v>100</v>
      </c>
      <c r="AA276" s="45" t="str">
        <f t="array" ref="AA276">_xlfn.XLOOKUP(records[Method]&amp;"-"&amp;records[Class], dAirSpec[ID], dAirSpec[Unit])</f>
        <v>cfu/m3</v>
      </c>
      <c r="AB276" s="45">
        <f t="array" ref="AB276">if(S276="","", if(records[Method]="Active Air",_xlfn.xlookup(records[ColonyCount]&amp;records[AirSampler],feller[code],feller[Vc]),records[ColonyCount]))</f>
        <v>30</v>
      </c>
      <c r="AC276" s="60" t="b">
        <f t="shared" si="1"/>
        <v>1</v>
      </c>
      <c r="AD276" s="61" t="b">
        <v>0</v>
      </c>
      <c r="AE276" s="32" t="s">
        <v>235</v>
      </c>
      <c r="AF276" s="46"/>
      <c r="AG276" s="46"/>
      <c r="AH276" s="46"/>
      <c r="AI276" s="46"/>
      <c r="AJ276" s="46"/>
    </row>
    <row r="277" ht="22.5" customHeight="1">
      <c r="A277" s="27">
        <v>46215.0</v>
      </c>
      <c r="B277" s="34" t="str">
        <f t="array" ref="B277">TEXT(A277, "MM-YYYY")</f>
        <v>07-2026</v>
      </c>
      <c r="C277" s="39" t="s">
        <v>1162</v>
      </c>
      <c r="D277" s="36" t="s">
        <v>210</v>
      </c>
      <c r="E277" s="36" t="s">
        <v>531</v>
      </c>
      <c r="F277" s="37" t="s">
        <v>58</v>
      </c>
      <c r="G277" s="29" t="b">
        <v>1</v>
      </c>
      <c r="H277" s="36" t="s">
        <v>214</v>
      </c>
      <c r="I277" s="36" t="s">
        <v>534</v>
      </c>
      <c r="J277" s="29"/>
      <c r="K277" s="138"/>
      <c r="L277" s="37" t="s">
        <v>194</v>
      </c>
      <c r="M277" s="37" t="s">
        <v>194</v>
      </c>
      <c r="N277" s="37" t="s">
        <v>194</v>
      </c>
      <c r="O277" s="37" t="s">
        <v>194</v>
      </c>
      <c r="P277" s="37" t="s">
        <v>1874</v>
      </c>
      <c r="Q277" s="37" t="s">
        <v>1875</v>
      </c>
      <c r="R277" s="41">
        <v>46264.0</v>
      </c>
      <c r="S277" s="42">
        <v>5.0</v>
      </c>
      <c r="T277" s="44" t="s">
        <v>194</v>
      </c>
      <c r="U277" s="45" t="str">
        <f>IF(records[Type]="Room",records[roomNo],records[roomNo]&amp;"-"&amp;SUBSTITUTE(RIGHT(records[roomNo]&amp;records[Type],2),"-",""))</f>
        <v>16-1-085</v>
      </c>
      <c r="V277" s="47" t="str">
        <f t="array" ref="V277">_xlfn.XLOOKUP(records[ID], dAir[roomNo], dAir[roomName])</f>
        <v>IPQC</v>
      </c>
      <c r="W277" s="47" t="str">
        <f t="array" ref="W277">_xlfn.XLOOKUP(records[ID], dAir[roomNo], dAir[building])</f>
        <v>Building 16</v>
      </c>
      <c r="X277" s="47" t="str">
        <f t="array" ref="X277">_xlfn.XLOOKUP(records[ID], dAir[roomNo], dAir[floor])</f>
        <v>Floor 1</v>
      </c>
      <c r="Y277" s="45" t="str">
        <f t="array" ref="Y277">_xlfn.XLOOKUP(records[ID], dAir[roomNo], dAir[Class])</f>
        <v>C</v>
      </c>
      <c r="Z277" s="45">
        <f t="array" ref="Z277">_xlfn.XLOOKUP(records[Method]&amp;"-"&amp;records[Class], dAirSpec[ID], dAirSpec[Spec])</f>
        <v>100</v>
      </c>
      <c r="AA277" s="45" t="str">
        <f t="array" ref="AA277">_xlfn.XLOOKUP(records[Method]&amp;"-"&amp;records[Class], dAirSpec[ID], dAirSpec[Unit])</f>
        <v>cfu/m3</v>
      </c>
      <c r="AB277" s="45">
        <f t="array" ref="AB277">if(S277="","", if(records[Method]="Active Air",_xlfn.xlookup(records[ColonyCount]&amp;records[AirSampler],feller[code],feller[Vc]),records[ColonyCount]))</f>
        <v>5</v>
      </c>
      <c r="AC277" s="60" t="b">
        <f t="shared" si="1"/>
        <v>1</v>
      </c>
      <c r="AD277" s="61" t="b">
        <v>0</v>
      </c>
      <c r="AE277" s="32" t="s">
        <v>235</v>
      </c>
      <c r="AF277" s="46"/>
      <c r="AG277" s="46"/>
      <c r="AH277" s="46"/>
      <c r="AI277" s="46"/>
      <c r="AJ277" s="46"/>
    </row>
    <row r="278" ht="22.5" customHeight="1">
      <c r="A278" s="27">
        <v>46215.0</v>
      </c>
      <c r="B278" s="34" t="str">
        <f t="array" ref="B278">TEXT(A278, "MM-YYYY")</f>
        <v>07-2026</v>
      </c>
      <c r="C278" s="39" t="s">
        <v>1174</v>
      </c>
      <c r="D278" s="36" t="s">
        <v>210</v>
      </c>
      <c r="E278" s="36" t="s">
        <v>531</v>
      </c>
      <c r="F278" s="37" t="s">
        <v>58</v>
      </c>
      <c r="G278" s="29" t="b">
        <v>1</v>
      </c>
      <c r="H278" s="36" t="s">
        <v>214</v>
      </c>
      <c r="I278" s="36" t="s">
        <v>534</v>
      </c>
      <c r="J278" s="29"/>
      <c r="K278" s="138"/>
      <c r="L278" s="37" t="s">
        <v>194</v>
      </c>
      <c r="M278" s="37" t="s">
        <v>194</v>
      </c>
      <c r="N278" s="37" t="s">
        <v>194</v>
      </c>
      <c r="O278" s="37" t="s">
        <v>194</v>
      </c>
      <c r="P278" s="37" t="s">
        <v>1874</v>
      </c>
      <c r="Q278" s="37" t="s">
        <v>1875</v>
      </c>
      <c r="R278" s="41">
        <v>46264.0</v>
      </c>
      <c r="S278" s="42">
        <v>4.0</v>
      </c>
      <c r="T278" s="44" t="s">
        <v>194</v>
      </c>
      <c r="U278" s="45" t="str">
        <f>IF(records[Type]="Room",records[roomNo],records[roomNo]&amp;"-"&amp;SUBSTITUTE(RIGHT(records[roomNo]&amp;records[Type],2),"-",""))</f>
        <v>16-1-086</v>
      </c>
      <c r="V278" s="47" t="str">
        <f t="array" ref="V278">_xlfn.XLOOKUP(records[ID], dAir[roomNo], dAir[roomName])</f>
        <v>CLEANED EQUIPMENT</v>
      </c>
      <c r="W278" s="47" t="str">
        <f t="array" ref="W278">_xlfn.XLOOKUP(records[ID], dAir[roomNo], dAir[building])</f>
        <v>Building 16</v>
      </c>
      <c r="X278" s="47" t="str">
        <f t="array" ref="X278">_xlfn.XLOOKUP(records[ID], dAir[roomNo], dAir[floor])</f>
        <v>Floor 1</v>
      </c>
      <c r="Y278" s="45" t="str">
        <f t="array" ref="Y278">_xlfn.XLOOKUP(records[ID], dAir[roomNo], dAir[Class])</f>
        <v>C</v>
      </c>
      <c r="Z278" s="45">
        <f t="array" ref="Z278">_xlfn.XLOOKUP(records[Method]&amp;"-"&amp;records[Class], dAirSpec[ID], dAirSpec[Spec])</f>
        <v>100</v>
      </c>
      <c r="AA278" s="45" t="str">
        <f t="array" ref="AA278">_xlfn.XLOOKUP(records[Method]&amp;"-"&amp;records[Class], dAirSpec[ID], dAirSpec[Unit])</f>
        <v>cfu/m3</v>
      </c>
      <c r="AB278" s="45">
        <f t="array" ref="AB278">if(S278="","", if(records[Method]="Active Air",_xlfn.xlookup(records[ColonyCount]&amp;records[AirSampler],feller[code],feller[Vc]),records[ColonyCount]))</f>
        <v>4</v>
      </c>
      <c r="AC278" s="60" t="b">
        <f t="shared" si="1"/>
        <v>1</v>
      </c>
      <c r="AD278" s="61" t="b">
        <v>0</v>
      </c>
      <c r="AE278" s="32" t="s">
        <v>235</v>
      </c>
      <c r="AF278" s="46"/>
      <c r="AG278" s="46"/>
      <c r="AH278" s="46"/>
      <c r="AI278" s="46"/>
      <c r="AJ278" s="46"/>
    </row>
    <row r="279" ht="22.5" customHeight="1">
      <c r="A279" s="27">
        <v>46215.0</v>
      </c>
      <c r="B279" s="34" t="str">
        <f t="array" ref="B279">TEXT(A279, "MM-YYYY")</f>
        <v>07-2026</v>
      </c>
      <c r="C279" s="39" t="s">
        <v>1194</v>
      </c>
      <c r="D279" s="36" t="s">
        <v>210</v>
      </c>
      <c r="E279" s="36" t="s">
        <v>531</v>
      </c>
      <c r="F279" s="37" t="s">
        <v>58</v>
      </c>
      <c r="G279" s="29" t="b">
        <v>1</v>
      </c>
      <c r="H279" s="36" t="s">
        <v>214</v>
      </c>
      <c r="I279" s="36" t="s">
        <v>534</v>
      </c>
      <c r="J279" s="29"/>
      <c r="K279" s="138"/>
      <c r="L279" s="37" t="s">
        <v>194</v>
      </c>
      <c r="M279" s="37" t="s">
        <v>194</v>
      </c>
      <c r="N279" s="37" t="s">
        <v>194</v>
      </c>
      <c r="O279" s="37" t="s">
        <v>194</v>
      </c>
      <c r="P279" s="37" t="s">
        <v>1874</v>
      </c>
      <c r="Q279" s="37" t="s">
        <v>1875</v>
      </c>
      <c r="R279" s="41">
        <v>46264.0</v>
      </c>
      <c r="S279" s="42">
        <v>3.0</v>
      </c>
      <c r="T279" s="44" t="s">
        <v>194</v>
      </c>
      <c r="U279" s="45" t="str">
        <f>IF(records[Type]="Room",records[roomNo],records[roomNo]&amp;"-"&amp;SUBSTITUTE(RIGHT(records[roomNo]&amp;records[Type],2),"-",""))</f>
        <v>16-1-087</v>
      </c>
      <c r="V279" s="47" t="str">
        <f t="array" ref="V279">_xlfn.XLOOKUP(records[ID], dAir[roomNo], dAir[roomName])</f>
        <v>MEN PAL</v>
      </c>
      <c r="W279" s="47" t="str">
        <f t="array" ref="W279">_xlfn.XLOOKUP(records[ID], dAir[roomNo], dAir[building])</f>
        <v>Building 16</v>
      </c>
      <c r="X279" s="47" t="str">
        <f t="array" ref="X279">_xlfn.XLOOKUP(records[ID], dAir[roomNo], dAir[floor])</f>
        <v>Floor 1</v>
      </c>
      <c r="Y279" s="45" t="str">
        <f t="array" ref="Y279">_xlfn.XLOOKUP(records[ID], dAir[roomNo], dAir[Class])</f>
        <v>D</v>
      </c>
      <c r="Z279" s="45">
        <f t="array" ref="Z279">_xlfn.XLOOKUP(records[Method]&amp;"-"&amp;records[Class], dAirSpec[ID], dAirSpec[Spec])</f>
        <v>200</v>
      </c>
      <c r="AA279" s="45" t="str">
        <f t="array" ref="AA279">_xlfn.XLOOKUP(records[Method]&amp;"-"&amp;records[Class], dAirSpec[ID], dAirSpec[Unit])</f>
        <v>cfu/m3</v>
      </c>
      <c r="AB279" s="45">
        <f t="array" ref="AB279">if(S279="","", if(records[Method]="Active Air",_xlfn.xlookup(records[ColonyCount]&amp;records[AirSampler],feller[code],feller[Vc]),records[ColonyCount]))</f>
        <v>3</v>
      </c>
      <c r="AC279" s="60" t="b">
        <f t="shared" si="1"/>
        <v>1</v>
      </c>
      <c r="AD279" s="61" t="b">
        <v>0</v>
      </c>
      <c r="AE279" s="32" t="s">
        <v>235</v>
      </c>
      <c r="AF279" s="46"/>
      <c r="AG279" s="46"/>
      <c r="AH279" s="46"/>
      <c r="AI279" s="46"/>
      <c r="AJ279" s="46"/>
    </row>
    <row r="280" ht="22.5" customHeight="1">
      <c r="A280" s="27">
        <v>46215.0</v>
      </c>
      <c r="B280" s="34" t="str">
        <f t="array" ref="B280">TEXT(A280, "MM-YYYY")</f>
        <v>07-2026</v>
      </c>
      <c r="C280" s="39" t="s">
        <v>1226</v>
      </c>
      <c r="D280" s="36" t="s">
        <v>210</v>
      </c>
      <c r="E280" s="36" t="s">
        <v>531</v>
      </c>
      <c r="F280" s="37" t="s">
        <v>58</v>
      </c>
      <c r="G280" s="29" t="b">
        <v>1</v>
      </c>
      <c r="H280" s="36" t="s">
        <v>214</v>
      </c>
      <c r="I280" s="36" t="s">
        <v>534</v>
      </c>
      <c r="J280" s="29"/>
      <c r="K280" s="138"/>
      <c r="L280" s="37" t="s">
        <v>194</v>
      </c>
      <c r="M280" s="37" t="s">
        <v>194</v>
      </c>
      <c r="N280" s="37" t="s">
        <v>194</v>
      </c>
      <c r="O280" s="37" t="s">
        <v>194</v>
      </c>
      <c r="P280" s="37" t="s">
        <v>1874</v>
      </c>
      <c r="Q280" s="37" t="s">
        <v>1875</v>
      </c>
      <c r="R280" s="41">
        <v>46264.0</v>
      </c>
      <c r="S280" s="42">
        <v>6.0</v>
      </c>
      <c r="T280" s="44" t="s">
        <v>194</v>
      </c>
      <c r="U280" s="45" t="str">
        <f>IF(records[Type]="Room",records[roomNo],records[roomNo]&amp;"-"&amp;SUBSTITUTE(RIGHT(records[roomNo]&amp;records[Type],2),"-",""))</f>
        <v>16-1-088</v>
      </c>
      <c r="V280" s="47" t="str">
        <f t="array" ref="V280">_xlfn.XLOOKUP(records[ID], dAir[roomNo], dAir[roomName])</f>
        <v>MEN PROCESS CHANGE</v>
      </c>
      <c r="W280" s="47" t="str">
        <f t="array" ref="W280">_xlfn.XLOOKUP(records[ID], dAir[roomNo], dAir[building])</f>
        <v>Building 16</v>
      </c>
      <c r="X280" s="47" t="str">
        <f t="array" ref="X280">_xlfn.XLOOKUP(records[ID], dAir[roomNo], dAir[floor])</f>
        <v>Floor 1</v>
      </c>
      <c r="Y280" s="45" t="str">
        <f t="array" ref="Y280">_xlfn.XLOOKUP(records[ID], dAir[roomNo], dAir[Class])</f>
        <v>C</v>
      </c>
      <c r="Z280" s="45">
        <f t="array" ref="Z280">_xlfn.XLOOKUP(records[Method]&amp;"-"&amp;records[Class], dAirSpec[ID], dAirSpec[Spec])</f>
        <v>100</v>
      </c>
      <c r="AA280" s="45" t="str">
        <f t="array" ref="AA280">_xlfn.XLOOKUP(records[Method]&amp;"-"&amp;records[Class], dAirSpec[ID], dAirSpec[Unit])</f>
        <v>cfu/m3</v>
      </c>
      <c r="AB280" s="45">
        <f t="array" ref="AB280">if(S280="","", if(records[Method]="Active Air",_xlfn.xlookup(records[ColonyCount]&amp;records[AirSampler],feller[code],feller[Vc]),records[ColonyCount]))</f>
        <v>6</v>
      </c>
      <c r="AC280" s="60" t="b">
        <f t="shared" si="1"/>
        <v>1</v>
      </c>
      <c r="AD280" s="61" t="b">
        <v>0</v>
      </c>
      <c r="AE280" s="32" t="s">
        <v>235</v>
      </c>
      <c r="AF280" s="46"/>
      <c r="AG280" s="46"/>
      <c r="AH280" s="46"/>
      <c r="AI280" s="46"/>
      <c r="AJ280" s="46"/>
    </row>
    <row r="281" ht="22.5" customHeight="1">
      <c r="A281" s="27">
        <v>46215.0</v>
      </c>
      <c r="B281" s="34" t="str">
        <f t="array" ref="B281">TEXT(A281, "MM-YYYY")</f>
        <v>07-2026</v>
      </c>
      <c r="C281" s="39" t="s">
        <v>1250</v>
      </c>
      <c r="D281" s="36" t="s">
        <v>210</v>
      </c>
      <c r="E281" s="36" t="s">
        <v>531</v>
      </c>
      <c r="F281" s="37" t="s">
        <v>58</v>
      </c>
      <c r="G281" s="29" t="b">
        <v>1</v>
      </c>
      <c r="H281" s="36" t="s">
        <v>214</v>
      </c>
      <c r="I281" s="36" t="s">
        <v>534</v>
      </c>
      <c r="J281" s="29"/>
      <c r="K281" s="138"/>
      <c r="L281" s="37" t="s">
        <v>194</v>
      </c>
      <c r="M281" s="37" t="s">
        <v>194</v>
      </c>
      <c r="N281" s="37" t="s">
        <v>194</v>
      </c>
      <c r="O281" s="37" t="s">
        <v>194</v>
      </c>
      <c r="P281" s="37" t="s">
        <v>1874</v>
      </c>
      <c r="Q281" s="37" t="s">
        <v>1875</v>
      </c>
      <c r="R281" s="41">
        <v>46264.0</v>
      </c>
      <c r="S281" s="42">
        <v>4.0</v>
      </c>
      <c r="T281" s="44" t="s">
        <v>194</v>
      </c>
      <c r="U281" s="45" t="str">
        <f>IF(records[Type]="Room",records[roomNo],records[roomNo]&amp;"-"&amp;SUBSTITUTE(RIGHT(records[roomNo]&amp;records[Type],2),"-",""))</f>
        <v>16-1-089</v>
      </c>
      <c r="V281" s="47" t="str">
        <f t="array" ref="V281">_xlfn.XLOOKUP(records[ID], dAir[roomNo], dAir[roomName])</f>
        <v>WOMEN PAL</v>
      </c>
      <c r="W281" s="47" t="str">
        <f t="array" ref="W281">_xlfn.XLOOKUP(records[ID], dAir[roomNo], dAir[building])</f>
        <v>Building 16</v>
      </c>
      <c r="X281" s="47" t="str">
        <f t="array" ref="X281">_xlfn.XLOOKUP(records[ID], dAir[roomNo], dAir[floor])</f>
        <v>Floor 1</v>
      </c>
      <c r="Y281" s="45" t="str">
        <f t="array" ref="Y281">_xlfn.XLOOKUP(records[ID], dAir[roomNo], dAir[Class])</f>
        <v>D</v>
      </c>
      <c r="Z281" s="45">
        <f t="array" ref="Z281">_xlfn.XLOOKUP(records[Method]&amp;"-"&amp;records[Class], dAirSpec[ID], dAirSpec[Spec])</f>
        <v>200</v>
      </c>
      <c r="AA281" s="45" t="str">
        <f t="array" ref="AA281">_xlfn.XLOOKUP(records[Method]&amp;"-"&amp;records[Class], dAirSpec[ID], dAirSpec[Unit])</f>
        <v>cfu/m3</v>
      </c>
      <c r="AB281" s="45">
        <f t="array" ref="AB281">if(S281="","", if(records[Method]="Active Air",_xlfn.xlookup(records[ColonyCount]&amp;records[AirSampler],feller[code],feller[Vc]),records[ColonyCount]))</f>
        <v>4</v>
      </c>
      <c r="AC281" s="60" t="b">
        <f t="shared" si="1"/>
        <v>1</v>
      </c>
      <c r="AD281" s="61" t="b">
        <v>0</v>
      </c>
      <c r="AE281" s="32" t="s">
        <v>235</v>
      </c>
      <c r="AF281" s="46"/>
      <c r="AG281" s="46"/>
      <c r="AH281" s="46"/>
      <c r="AI281" s="46"/>
      <c r="AJ281" s="46"/>
    </row>
    <row r="282" ht="22.5" customHeight="1">
      <c r="A282" s="27">
        <v>46215.0</v>
      </c>
      <c r="B282" s="34" t="str">
        <f t="array" ref="B282">TEXT(A282, "MM-YYYY")</f>
        <v>07-2026</v>
      </c>
      <c r="C282" s="39" t="s">
        <v>1273</v>
      </c>
      <c r="D282" s="36" t="s">
        <v>210</v>
      </c>
      <c r="E282" s="36" t="s">
        <v>531</v>
      </c>
      <c r="F282" s="37" t="s">
        <v>58</v>
      </c>
      <c r="G282" s="29" t="b">
        <v>1</v>
      </c>
      <c r="H282" s="36" t="s">
        <v>214</v>
      </c>
      <c r="I282" s="36" t="s">
        <v>534</v>
      </c>
      <c r="J282" s="29"/>
      <c r="K282" s="138"/>
      <c r="L282" s="37" t="s">
        <v>194</v>
      </c>
      <c r="M282" s="37" t="s">
        <v>194</v>
      </c>
      <c r="N282" s="37" t="s">
        <v>194</v>
      </c>
      <c r="O282" s="37" t="s">
        <v>194</v>
      </c>
      <c r="P282" s="37" t="s">
        <v>1874</v>
      </c>
      <c r="Q282" s="37" t="s">
        <v>1875</v>
      </c>
      <c r="R282" s="41">
        <v>46264.0</v>
      </c>
      <c r="S282" s="42">
        <v>3.0</v>
      </c>
      <c r="T282" s="44" t="s">
        <v>194</v>
      </c>
      <c r="U282" s="45" t="str">
        <f>IF(records[Type]="Room",records[roomNo],records[roomNo]&amp;"-"&amp;SUBSTITUTE(RIGHT(records[roomNo]&amp;records[Type],2),"-",""))</f>
        <v>16-1-090</v>
      </c>
      <c r="V282" s="47" t="str">
        <f t="array" ref="V282">_xlfn.XLOOKUP(records[ID], dAir[roomNo], dAir[roomName])</f>
        <v>WOMEN PROCESS CHANGE</v>
      </c>
      <c r="W282" s="47" t="str">
        <f t="array" ref="W282">_xlfn.XLOOKUP(records[ID], dAir[roomNo], dAir[building])</f>
        <v>Building 16</v>
      </c>
      <c r="X282" s="47" t="str">
        <f t="array" ref="X282">_xlfn.XLOOKUP(records[ID], dAir[roomNo], dAir[floor])</f>
        <v>Floor 1</v>
      </c>
      <c r="Y282" s="45" t="str">
        <f t="array" ref="Y282">_xlfn.XLOOKUP(records[ID], dAir[roomNo], dAir[Class])</f>
        <v>C</v>
      </c>
      <c r="Z282" s="45">
        <f t="array" ref="Z282">_xlfn.XLOOKUP(records[Method]&amp;"-"&amp;records[Class], dAirSpec[ID], dAirSpec[Spec])</f>
        <v>100</v>
      </c>
      <c r="AA282" s="45" t="str">
        <f t="array" ref="AA282">_xlfn.XLOOKUP(records[Method]&amp;"-"&amp;records[Class], dAirSpec[ID], dAirSpec[Unit])</f>
        <v>cfu/m3</v>
      </c>
      <c r="AB282" s="45">
        <f t="array" ref="AB282">if(S282="","", if(records[Method]="Active Air",_xlfn.xlookup(records[ColonyCount]&amp;records[AirSampler],feller[code],feller[Vc]),records[ColonyCount]))</f>
        <v>3</v>
      </c>
      <c r="AC282" s="60" t="b">
        <f t="shared" si="1"/>
        <v>1</v>
      </c>
      <c r="AD282" s="61" t="b">
        <v>0</v>
      </c>
      <c r="AE282" s="32" t="s">
        <v>235</v>
      </c>
      <c r="AF282" s="46"/>
      <c r="AG282" s="46"/>
      <c r="AH282" s="46"/>
      <c r="AI282" s="46"/>
      <c r="AJ282" s="46"/>
    </row>
    <row r="283" ht="22.5" customHeight="1">
      <c r="A283" s="27">
        <v>46215.0</v>
      </c>
      <c r="B283" s="34" t="str">
        <f t="array" ref="B283">TEXT(A283, "MM-YYYY")</f>
        <v>07-2026</v>
      </c>
      <c r="C283" s="39" t="s">
        <v>1311</v>
      </c>
      <c r="D283" s="36" t="s">
        <v>210</v>
      </c>
      <c r="E283" s="36" t="s">
        <v>531</v>
      </c>
      <c r="F283" s="37" t="s">
        <v>58</v>
      </c>
      <c r="G283" s="29" t="b">
        <v>1</v>
      </c>
      <c r="H283" s="36" t="s">
        <v>214</v>
      </c>
      <c r="I283" s="36" t="s">
        <v>534</v>
      </c>
      <c r="J283" s="29"/>
      <c r="K283" s="138"/>
      <c r="L283" s="37" t="s">
        <v>194</v>
      </c>
      <c r="M283" s="37" t="s">
        <v>194</v>
      </c>
      <c r="N283" s="37" t="s">
        <v>194</v>
      </c>
      <c r="O283" s="37" t="s">
        <v>194</v>
      </c>
      <c r="P283" s="37" t="s">
        <v>1874</v>
      </c>
      <c r="Q283" s="37" t="s">
        <v>1875</v>
      </c>
      <c r="R283" s="41">
        <v>46264.0</v>
      </c>
      <c r="S283" s="42">
        <v>6.0</v>
      </c>
      <c r="T283" s="29" t="s">
        <v>1318</v>
      </c>
      <c r="U283" s="45" t="str">
        <f>IF(records[Type]="Room",records[roomNo],records[roomNo]&amp;"-"&amp;SUBSTITUTE(RIGHT(records[roomNo]&amp;records[Type],2),"-",""))</f>
        <v>16-1-091</v>
      </c>
      <c r="V283" s="47" t="str">
        <f t="array" ref="V283">_xlfn.XLOOKUP(records[ID], dAir[roomNo], dAir[roomName])</f>
        <v>CORRIDOR</v>
      </c>
      <c r="W283" s="47" t="str">
        <f t="array" ref="W283">_xlfn.XLOOKUP(records[ID], dAir[roomNo], dAir[building])</f>
        <v>Building 16</v>
      </c>
      <c r="X283" s="47" t="str">
        <f t="array" ref="X283">_xlfn.XLOOKUP(records[ID], dAir[roomNo], dAir[floor])</f>
        <v>Floor 1</v>
      </c>
      <c r="Y283" s="45" t="str">
        <f t="array" ref="Y283">_xlfn.XLOOKUP(records[ID], dAir[roomNo], dAir[Class])</f>
        <v>C</v>
      </c>
      <c r="Z283" s="45">
        <f t="array" ref="Z283">_xlfn.XLOOKUP(records[Method]&amp;"-"&amp;records[Class], dAirSpec[ID], dAirSpec[Spec])</f>
        <v>100</v>
      </c>
      <c r="AA283" s="45" t="str">
        <f t="array" ref="AA283">_xlfn.XLOOKUP(records[Method]&amp;"-"&amp;records[Class], dAirSpec[ID], dAirSpec[Unit])</f>
        <v>cfu/m3</v>
      </c>
      <c r="AB283" s="45">
        <f t="array" ref="AB283">if(S283="","", if(records[Method]="Active Air",_xlfn.xlookup(records[ColonyCount]&amp;records[AirSampler],feller[code],feller[Vc]),records[ColonyCount]))</f>
        <v>6</v>
      </c>
      <c r="AC283" s="60" t="b">
        <f t="shared" si="1"/>
        <v>1</v>
      </c>
      <c r="AD283" s="61" t="b">
        <v>0</v>
      </c>
      <c r="AE283" s="32" t="s">
        <v>235</v>
      </c>
      <c r="AF283" s="46"/>
      <c r="AG283" s="46"/>
      <c r="AH283" s="46"/>
      <c r="AI283" s="46"/>
      <c r="AJ283" s="46"/>
    </row>
    <row r="284" ht="22.5" customHeight="1">
      <c r="A284" s="27">
        <v>46215.0</v>
      </c>
      <c r="B284" s="34" t="str">
        <f t="array" ref="B284">TEXT(A284, "MM-YYYY")</f>
        <v>07-2026</v>
      </c>
      <c r="C284" s="39" t="s">
        <v>1311</v>
      </c>
      <c r="D284" s="36" t="s">
        <v>1350</v>
      </c>
      <c r="E284" s="36" t="s">
        <v>531</v>
      </c>
      <c r="F284" s="37" t="s">
        <v>58</v>
      </c>
      <c r="G284" s="29" t="b">
        <v>1</v>
      </c>
      <c r="H284" s="36" t="s">
        <v>214</v>
      </c>
      <c r="I284" s="36" t="s">
        <v>203</v>
      </c>
      <c r="J284" s="29"/>
      <c r="K284" s="138"/>
      <c r="L284" s="37" t="s">
        <v>194</v>
      </c>
      <c r="M284" s="37" t="s">
        <v>194</v>
      </c>
      <c r="N284" s="37" t="s">
        <v>194</v>
      </c>
      <c r="O284" s="37" t="s">
        <v>194</v>
      </c>
      <c r="P284" s="37" t="s">
        <v>1874</v>
      </c>
      <c r="Q284" s="37" t="s">
        <v>1875</v>
      </c>
      <c r="R284" s="41">
        <v>46264.0</v>
      </c>
      <c r="S284" s="42">
        <v>24.0</v>
      </c>
      <c r="T284" s="29" t="s">
        <v>1354</v>
      </c>
      <c r="U284" s="45" t="str">
        <f>IF(records[Type]="Room",records[roomNo],records[roomNo]&amp;"-"&amp;SUBSTITUTE(RIGHT(records[roomNo]&amp;records[Type],2),"-",""))</f>
        <v>16-1-091-PB</v>
      </c>
      <c r="V284" s="47" t="str">
        <f t="array" ref="V284">_xlfn.XLOOKUP(records[ID], dAir[roomNo], dAir[roomName])</f>
        <v>CORRIDOR (Passbox)</v>
      </c>
      <c r="W284" s="47" t="str">
        <f t="array" ref="W284">_xlfn.XLOOKUP(records[ID], dAir[roomNo], dAir[building])</f>
        <v>Building 16</v>
      </c>
      <c r="X284" s="47" t="str">
        <f t="array" ref="X284">_xlfn.XLOOKUP(records[ID], dAir[roomNo], dAir[floor])</f>
        <v>Floor 1</v>
      </c>
      <c r="Y284" s="45" t="str">
        <f t="array" ref="Y284">_xlfn.XLOOKUP(records[ID], dAir[roomNo], dAir[Class])</f>
        <v>C</v>
      </c>
      <c r="Z284" s="45">
        <f t="array" ref="Z284">_xlfn.XLOOKUP(records[Method]&amp;"-"&amp;records[Class], dAirSpec[ID], dAirSpec[Spec])</f>
        <v>100</v>
      </c>
      <c r="AA284" s="45" t="str">
        <f t="array" ref="AA284">_xlfn.XLOOKUP(records[Method]&amp;"-"&amp;records[Class], dAirSpec[ID], dAirSpec[Unit])</f>
        <v>cfu/m3</v>
      </c>
      <c r="AB284" s="45">
        <f t="array" ref="AB284">if(S284="","", if(records[Method]="Active Air",_xlfn.xlookup(records[ColonyCount]&amp;records[AirSampler],feller[code],feller[Vc]),records[ColonyCount]))</f>
        <v>24</v>
      </c>
      <c r="AC284" s="60" t="b">
        <f t="shared" si="1"/>
        <v>1</v>
      </c>
      <c r="AD284" s="61" t="b">
        <v>0</v>
      </c>
      <c r="AE284" s="32" t="s">
        <v>235</v>
      </c>
      <c r="AF284" s="46"/>
      <c r="AG284" s="46"/>
      <c r="AH284" s="46"/>
      <c r="AI284" s="46"/>
      <c r="AJ284" s="46"/>
    </row>
    <row r="285" ht="22.5" customHeight="1">
      <c r="A285" s="27">
        <v>46215.0</v>
      </c>
      <c r="B285" s="34" t="str">
        <f t="array" ref="B285">TEXT(A285, "MM-YYYY")</f>
        <v>07-2026</v>
      </c>
      <c r="C285" s="39" t="s">
        <v>1041</v>
      </c>
      <c r="D285" s="36" t="s">
        <v>1350</v>
      </c>
      <c r="E285" s="36" t="s">
        <v>531</v>
      </c>
      <c r="F285" s="37" t="s">
        <v>58</v>
      </c>
      <c r="G285" s="29" t="b">
        <v>1</v>
      </c>
      <c r="H285" s="36" t="s">
        <v>214</v>
      </c>
      <c r="I285" s="36" t="s">
        <v>534</v>
      </c>
      <c r="J285" s="29"/>
      <c r="K285" s="138"/>
      <c r="L285" s="37" t="s">
        <v>194</v>
      </c>
      <c r="M285" s="37" t="s">
        <v>194</v>
      </c>
      <c r="N285" s="37" t="s">
        <v>194</v>
      </c>
      <c r="O285" s="37" t="s">
        <v>194</v>
      </c>
      <c r="P285" s="37" t="s">
        <v>1874</v>
      </c>
      <c r="Q285" s="37" t="s">
        <v>1875</v>
      </c>
      <c r="R285" s="41">
        <v>46264.0</v>
      </c>
      <c r="S285" s="42">
        <v>4.0</v>
      </c>
      <c r="T285" s="29" t="s">
        <v>1862</v>
      </c>
      <c r="U285" s="45" t="str">
        <f>IF(records[Type]="Room",records[roomNo],records[roomNo]&amp;"-"&amp;SUBSTITUTE(RIGHT(records[roomNo]&amp;records[Type],2),"-",""))</f>
        <v>16-1-078-PB</v>
      </c>
      <c r="V285" s="47" t="str">
        <f t="array" ref="V285">_xlfn.XLOOKUP(records[ID], dAir[roomNo], dAir[roomName])</f>
        <v>PASSAGE (Passbox)</v>
      </c>
      <c r="W285" s="47" t="str">
        <f t="array" ref="W285">_xlfn.XLOOKUP(records[ID], dAir[roomNo], dAir[building])</f>
        <v>Building 16</v>
      </c>
      <c r="X285" s="47" t="str">
        <f t="array" ref="X285">_xlfn.XLOOKUP(records[ID], dAir[roomNo], dAir[floor])</f>
        <v>Floor 1</v>
      </c>
      <c r="Y285" s="45" t="str">
        <f t="array" ref="Y285">_xlfn.XLOOKUP(records[ID], dAir[roomNo], dAir[Class])</f>
        <v>C</v>
      </c>
      <c r="Z285" s="45">
        <f t="array" ref="Z285">_xlfn.XLOOKUP(records[Method]&amp;"-"&amp;records[Class], dAirSpec[ID], dAirSpec[Spec])</f>
        <v>100</v>
      </c>
      <c r="AA285" s="45" t="str">
        <f t="array" ref="AA285">_xlfn.XLOOKUP(records[Method]&amp;"-"&amp;records[Class], dAirSpec[ID], dAirSpec[Unit])</f>
        <v>cfu/m3</v>
      </c>
      <c r="AB285" s="45">
        <f t="array" ref="AB285">if(S285="","", if(records[Method]="Active Air",_xlfn.xlookup(records[ColonyCount]&amp;records[AirSampler],feller[code],feller[Vc]),records[ColonyCount]))</f>
        <v>4</v>
      </c>
      <c r="AC285" s="60" t="b">
        <f t="shared" si="1"/>
        <v>1</v>
      </c>
      <c r="AD285" s="61" t="b">
        <v>0</v>
      </c>
      <c r="AE285" s="32" t="s">
        <v>235</v>
      </c>
      <c r="AF285" s="46"/>
      <c r="AG285" s="46"/>
      <c r="AH285" s="46"/>
      <c r="AI285" s="46"/>
      <c r="AJ285" s="46"/>
    </row>
    <row r="286" ht="22.5" customHeight="1">
      <c r="A286" s="27">
        <v>46215.0</v>
      </c>
      <c r="B286" s="34" t="str">
        <f t="array" ref="B286">TEXT(A286, "MM-YYYY")</f>
        <v>07-2026</v>
      </c>
      <c r="C286" s="39" t="s">
        <v>1311</v>
      </c>
      <c r="D286" s="36" t="s">
        <v>210</v>
      </c>
      <c r="E286" s="36" t="s">
        <v>531</v>
      </c>
      <c r="F286" s="37" t="s">
        <v>58</v>
      </c>
      <c r="G286" s="29" t="b">
        <v>1</v>
      </c>
      <c r="H286" s="36" t="s">
        <v>214</v>
      </c>
      <c r="I286" s="36" t="s">
        <v>203</v>
      </c>
      <c r="J286" s="29"/>
      <c r="K286" s="138"/>
      <c r="L286" s="37" t="s">
        <v>194</v>
      </c>
      <c r="M286" s="37" t="s">
        <v>194</v>
      </c>
      <c r="N286" s="37" t="s">
        <v>194</v>
      </c>
      <c r="O286" s="37" t="s">
        <v>194</v>
      </c>
      <c r="P286" s="37" t="s">
        <v>1874</v>
      </c>
      <c r="Q286" s="37" t="s">
        <v>1875</v>
      </c>
      <c r="R286" s="41">
        <v>46264.0</v>
      </c>
      <c r="S286" s="42">
        <v>19.0</v>
      </c>
      <c r="T286" s="29" t="s">
        <v>1403</v>
      </c>
      <c r="U286" s="45" t="str">
        <f>IF(records[Type]="Room",records[roomNo],records[roomNo]&amp;"-"&amp;SUBSTITUTE(RIGHT(records[roomNo]&amp;records[Type],2),"-",""))</f>
        <v>16-1-091</v>
      </c>
      <c r="V286" s="47" t="str">
        <f t="array" ref="V286">_xlfn.XLOOKUP(records[ID], dAir[roomNo], dAir[roomName])</f>
        <v>CORRIDOR</v>
      </c>
      <c r="W286" s="47" t="str">
        <f t="array" ref="W286">_xlfn.XLOOKUP(records[ID], dAir[roomNo], dAir[building])</f>
        <v>Building 16</v>
      </c>
      <c r="X286" s="47" t="str">
        <f t="array" ref="X286">_xlfn.XLOOKUP(records[ID], dAir[roomNo], dAir[floor])</f>
        <v>Floor 1</v>
      </c>
      <c r="Y286" s="45" t="str">
        <f t="array" ref="Y286">_xlfn.XLOOKUP(records[ID], dAir[roomNo], dAir[Class])</f>
        <v>C</v>
      </c>
      <c r="Z286" s="45">
        <f t="array" ref="Z286">_xlfn.XLOOKUP(records[Method]&amp;"-"&amp;records[Class], dAirSpec[ID], dAirSpec[Spec])</f>
        <v>100</v>
      </c>
      <c r="AA286" s="45" t="str">
        <f t="array" ref="AA286">_xlfn.XLOOKUP(records[Method]&amp;"-"&amp;records[Class], dAirSpec[ID], dAirSpec[Unit])</f>
        <v>cfu/m3</v>
      </c>
      <c r="AB286" s="45">
        <f t="array" ref="AB286">if(S286="","", if(records[Method]="Active Air",_xlfn.xlookup(records[ColonyCount]&amp;records[AirSampler],feller[code],feller[Vc]),records[ColonyCount]))</f>
        <v>19</v>
      </c>
      <c r="AC286" s="60" t="b">
        <f t="shared" si="1"/>
        <v>1</v>
      </c>
      <c r="AD286" s="61" t="b">
        <v>0</v>
      </c>
      <c r="AE286" s="32" t="s">
        <v>235</v>
      </c>
      <c r="AF286" s="46"/>
      <c r="AG286" s="46"/>
      <c r="AH286" s="46"/>
      <c r="AI286" s="46"/>
      <c r="AJ286" s="46"/>
    </row>
    <row r="287" ht="22.5" customHeight="1">
      <c r="A287" s="27">
        <v>46215.0</v>
      </c>
      <c r="B287" s="34" t="str">
        <f t="array" ref="B287">TEXT(A287, "MM-YYYY")</f>
        <v>07-2026</v>
      </c>
      <c r="C287" s="39" t="s">
        <v>1412</v>
      </c>
      <c r="D287" s="36" t="s">
        <v>210</v>
      </c>
      <c r="E287" s="36" t="s">
        <v>531</v>
      </c>
      <c r="F287" s="37" t="s">
        <v>58</v>
      </c>
      <c r="G287" s="29" t="b">
        <v>1</v>
      </c>
      <c r="H287" s="36" t="s">
        <v>214</v>
      </c>
      <c r="I287" s="36" t="s">
        <v>203</v>
      </c>
      <c r="J287" s="29"/>
      <c r="K287" s="138"/>
      <c r="L287" s="37" t="s">
        <v>194</v>
      </c>
      <c r="M287" s="37" t="s">
        <v>194</v>
      </c>
      <c r="N287" s="37" t="s">
        <v>194</v>
      </c>
      <c r="O287" s="37" t="s">
        <v>194</v>
      </c>
      <c r="P287" s="37" t="s">
        <v>1874</v>
      </c>
      <c r="Q287" s="37" t="s">
        <v>1875</v>
      </c>
      <c r="R287" s="41">
        <v>46264.0</v>
      </c>
      <c r="S287" s="42">
        <v>5.0</v>
      </c>
      <c r="T287" s="44" t="s">
        <v>194</v>
      </c>
      <c r="U287" s="45" t="str">
        <f>IF(records[Type]="Room",records[roomNo],records[roomNo]&amp;"-"&amp;SUBSTITUTE(RIGHT(records[roomNo]&amp;records[Type],2),"-",""))</f>
        <v>16-1-092</v>
      </c>
      <c r="V287" s="47" t="str">
        <f t="array" ref="V287">_xlfn.XLOOKUP(records[ID], dAir[roomNo], dAir[roomName])</f>
        <v>LINEN WASHING</v>
      </c>
      <c r="W287" s="47" t="str">
        <f t="array" ref="W287">_xlfn.XLOOKUP(records[ID], dAir[roomNo], dAir[building])</f>
        <v>Building 16</v>
      </c>
      <c r="X287" s="47" t="str">
        <f t="array" ref="X287">_xlfn.XLOOKUP(records[ID], dAir[roomNo], dAir[floor])</f>
        <v>Floor 1</v>
      </c>
      <c r="Y287" s="45" t="str">
        <f t="array" ref="Y287">_xlfn.XLOOKUP(records[ID], dAir[roomNo], dAir[Class])</f>
        <v>C</v>
      </c>
      <c r="Z287" s="45">
        <f t="array" ref="Z287">_xlfn.XLOOKUP(records[Method]&amp;"-"&amp;records[Class], dAirSpec[ID], dAirSpec[Spec])</f>
        <v>100</v>
      </c>
      <c r="AA287" s="45" t="str">
        <f t="array" ref="AA287">_xlfn.XLOOKUP(records[Method]&amp;"-"&amp;records[Class], dAirSpec[ID], dAirSpec[Unit])</f>
        <v>cfu/m3</v>
      </c>
      <c r="AB287" s="45">
        <f t="array" ref="AB287">if(S287="","", if(records[Method]="Active Air",_xlfn.xlookup(records[ColonyCount]&amp;records[AirSampler],feller[code],feller[Vc]),records[ColonyCount]))</f>
        <v>5</v>
      </c>
      <c r="AC287" s="60" t="b">
        <f t="shared" si="1"/>
        <v>1</v>
      </c>
      <c r="AD287" s="61" t="b">
        <v>0</v>
      </c>
      <c r="AE287" s="32" t="s">
        <v>235</v>
      </c>
      <c r="AF287" s="46"/>
      <c r="AG287" s="46"/>
      <c r="AH287" s="46"/>
      <c r="AI287" s="46"/>
      <c r="AJ287" s="46"/>
    </row>
    <row r="288" ht="22.5" customHeight="1">
      <c r="A288" s="27">
        <v>46215.0</v>
      </c>
      <c r="B288" s="34" t="str">
        <f t="array" ref="B288">TEXT(A288, "MM-YYYY")</f>
        <v>07-2026</v>
      </c>
      <c r="C288" s="39" t="s">
        <v>1417</v>
      </c>
      <c r="D288" s="36" t="s">
        <v>210</v>
      </c>
      <c r="E288" s="36" t="s">
        <v>531</v>
      </c>
      <c r="F288" s="37" t="s">
        <v>58</v>
      </c>
      <c r="G288" s="29" t="b">
        <v>1</v>
      </c>
      <c r="H288" s="36" t="s">
        <v>214</v>
      </c>
      <c r="I288" s="36" t="s">
        <v>534</v>
      </c>
      <c r="J288" s="29"/>
      <c r="K288" s="138"/>
      <c r="L288" s="37" t="s">
        <v>194</v>
      </c>
      <c r="M288" s="37" t="s">
        <v>194</v>
      </c>
      <c r="N288" s="37" t="s">
        <v>194</v>
      </c>
      <c r="O288" s="37" t="s">
        <v>194</v>
      </c>
      <c r="P288" s="37" t="s">
        <v>1874</v>
      </c>
      <c r="Q288" s="37" t="s">
        <v>1875</v>
      </c>
      <c r="R288" s="41">
        <v>46264.0</v>
      </c>
      <c r="S288" s="42">
        <v>4.0</v>
      </c>
      <c r="T288" s="44" t="s">
        <v>194</v>
      </c>
      <c r="U288" s="45" t="str">
        <f>IF(records[Type]="Room",records[roomNo],records[roomNo]&amp;"-"&amp;SUBSTITUTE(RIGHT(records[roomNo]&amp;records[Type],2),"-",""))</f>
        <v>16-1-093</v>
      </c>
      <c r="V288" s="47" t="str">
        <f t="array" ref="V288">_xlfn.XLOOKUP(records[ID], dAir[roomNo], dAir[roomName])</f>
        <v>LINEN DRY</v>
      </c>
      <c r="W288" s="47" t="str">
        <f t="array" ref="W288">_xlfn.XLOOKUP(records[ID], dAir[roomNo], dAir[building])</f>
        <v>Building 16</v>
      </c>
      <c r="X288" s="47" t="str">
        <f t="array" ref="X288">_xlfn.XLOOKUP(records[ID], dAir[roomNo], dAir[floor])</f>
        <v>Floor 1</v>
      </c>
      <c r="Y288" s="45" t="str">
        <f t="array" ref="Y288">_xlfn.XLOOKUP(records[ID], dAir[roomNo], dAir[Class])</f>
        <v>C</v>
      </c>
      <c r="Z288" s="45">
        <f t="array" ref="Z288">_xlfn.XLOOKUP(records[Method]&amp;"-"&amp;records[Class], dAirSpec[ID], dAirSpec[Spec])</f>
        <v>100</v>
      </c>
      <c r="AA288" s="45" t="str">
        <f t="array" ref="AA288">_xlfn.XLOOKUP(records[Method]&amp;"-"&amp;records[Class], dAirSpec[ID], dAirSpec[Unit])</f>
        <v>cfu/m3</v>
      </c>
      <c r="AB288" s="45">
        <f t="array" ref="AB288">if(S288="","", if(records[Method]="Active Air",_xlfn.xlookup(records[ColonyCount]&amp;records[AirSampler],feller[code],feller[Vc]),records[ColonyCount]))</f>
        <v>4</v>
      </c>
      <c r="AC288" s="60" t="b">
        <f t="shared" si="1"/>
        <v>1</v>
      </c>
      <c r="AD288" s="61" t="b">
        <v>0</v>
      </c>
      <c r="AE288" s="32" t="s">
        <v>235</v>
      </c>
      <c r="AF288" s="46"/>
      <c r="AG288" s="46"/>
      <c r="AH288" s="46"/>
      <c r="AI288" s="46"/>
      <c r="AJ288" s="46"/>
    </row>
    <row r="289" ht="22.5" customHeight="1">
      <c r="A289" s="27">
        <v>46215.0</v>
      </c>
      <c r="B289" s="34" t="str">
        <f t="array" ref="B289">TEXT(A289, "MM-YYYY")</f>
        <v>07-2026</v>
      </c>
      <c r="C289" s="39" t="s">
        <v>1421</v>
      </c>
      <c r="D289" s="36" t="s">
        <v>210</v>
      </c>
      <c r="E289" s="36" t="s">
        <v>531</v>
      </c>
      <c r="F289" s="37" t="s">
        <v>58</v>
      </c>
      <c r="G289" s="29" t="b">
        <v>1</v>
      </c>
      <c r="H289" s="36" t="s">
        <v>214</v>
      </c>
      <c r="I289" s="36" t="s">
        <v>534</v>
      </c>
      <c r="J289" s="29"/>
      <c r="K289" s="138"/>
      <c r="L289" s="37" t="s">
        <v>194</v>
      </c>
      <c r="M289" s="37" t="s">
        <v>194</v>
      </c>
      <c r="N289" s="37" t="s">
        <v>194</v>
      </c>
      <c r="O289" s="37" t="s">
        <v>194</v>
      </c>
      <c r="P289" s="37" t="s">
        <v>1874</v>
      </c>
      <c r="Q289" s="37" t="s">
        <v>1875</v>
      </c>
      <c r="R289" s="41">
        <v>46264.0</v>
      </c>
      <c r="S289" s="42">
        <v>9.0</v>
      </c>
      <c r="T289" s="44" t="s">
        <v>194</v>
      </c>
      <c r="U289" s="45" t="str">
        <f>IF(records[Type]="Room",records[roomNo],records[roomNo]&amp;"-"&amp;SUBSTITUTE(RIGHT(records[roomNo]&amp;records[Type],2),"-",""))</f>
        <v>16-1-094</v>
      </c>
      <c r="V289" s="47" t="str">
        <f t="array" ref="V289">_xlfn.XLOOKUP(records[ID], dAir[roomNo], dAir[roomName])</f>
        <v>LINEN STORAGE</v>
      </c>
      <c r="W289" s="47" t="str">
        <f t="array" ref="W289">_xlfn.XLOOKUP(records[ID], dAir[roomNo], dAir[building])</f>
        <v>Building 16</v>
      </c>
      <c r="X289" s="47" t="str">
        <f t="array" ref="X289">_xlfn.XLOOKUP(records[ID], dAir[roomNo], dAir[floor])</f>
        <v>Floor 1</v>
      </c>
      <c r="Y289" s="45" t="str">
        <f t="array" ref="Y289">_xlfn.XLOOKUP(records[ID], dAir[roomNo], dAir[Class])</f>
        <v>C</v>
      </c>
      <c r="Z289" s="45">
        <f t="array" ref="Z289">_xlfn.XLOOKUP(records[Method]&amp;"-"&amp;records[Class], dAirSpec[ID], dAirSpec[Spec])</f>
        <v>100</v>
      </c>
      <c r="AA289" s="45" t="str">
        <f t="array" ref="AA289">_xlfn.XLOOKUP(records[Method]&amp;"-"&amp;records[Class], dAirSpec[ID], dAirSpec[Unit])</f>
        <v>cfu/m3</v>
      </c>
      <c r="AB289" s="45">
        <f t="array" ref="AB289">if(S289="","", if(records[Method]="Active Air",_xlfn.xlookup(records[ColonyCount]&amp;records[AirSampler],feller[code],feller[Vc]),records[ColonyCount]))</f>
        <v>9</v>
      </c>
      <c r="AC289" s="60" t="b">
        <f t="shared" si="1"/>
        <v>1</v>
      </c>
      <c r="AD289" s="61" t="b">
        <v>0</v>
      </c>
      <c r="AE289" s="32" t="s">
        <v>235</v>
      </c>
      <c r="AF289" s="46"/>
      <c r="AG289" s="46"/>
      <c r="AH289" s="46"/>
      <c r="AI289" s="46"/>
      <c r="AJ289" s="46"/>
    </row>
    <row r="290" ht="22.5" customHeight="1">
      <c r="A290" s="27">
        <v>46215.0</v>
      </c>
      <c r="B290" s="34" t="str">
        <f t="array" ref="B290">TEXT(A290, "MM-YYYY")</f>
        <v>07-2026</v>
      </c>
      <c r="C290" s="39" t="s">
        <v>1431</v>
      </c>
      <c r="D290" s="36" t="s">
        <v>210</v>
      </c>
      <c r="E290" s="36" t="s">
        <v>531</v>
      </c>
      <c r="F290" s="37" t="s">
        <v>58</v>
      </c>
      <c r="G290" s="29" t="b">
        <v>1</v>
      </c>
      <c r="H290" s="36" t="s">
        <v>214</v>
      </c>
      <c r="I290" s="36" t="s">
        <v>534</v>
      </c>
      <c r="J290" s="29"/>
      <c r="K290" s="138"/>
      <c r="L290" s="37" t="s">
        <v>194</v>
      </c>
      <c r="M290" s="37" t="s">
        <v>194</v>
      </c>
      <c r="N290" s="37" t="s">
        <v>194</v>
      </c>
      <c r="O290" s="37" t="s">
        <v>194</v>
      </c>
      <c r="P290" s="37" t="s">
        <v>1874</v>
      </c>
      <c r="Q290" s="37" t="s">
        <v>1875</v>
      </c>
      <c r="R290" s="41">
        <v>46264.0</v>
      </c>
      <c r="S290" s="42">
        <v>2.0</v>
      </c>
      <c r="T290" s="44" t="s">
        <v>194</v>
      </c>
      <c r="U290" s="45" t="str">
        <f>IF(records[Type]="Room",records[roomNo],records[roomNo]&amp;"-"&amp;SUBSTITUTE(RIGHT(records[roomNo]&amp;records[Type],2),"-",""))</f>
        <v>16-1-095</v>
      </c>
      <c r="V290" s="47" t="str">
        <f t="array" ref="V290">_xlfn.XLOOKUP(records[ID], dAir[roomNo], dAir[roomName])</f>
        <v>JANITOR</v>
      </c>
      <c r="W290" s="47" t="str">
        <f t="array" ref="W290">_xlfn.XLOOKUP(records[ID], dAir[roomNo], dAir[building])</f>
        <v>Building 16</v>
      </c>
      <c r="X290" s="47" t="str">
        <f t="array" ref="X290">_xlfn.XLOOKUP(records[ID], dAir[roomNo], dAir[floor])</f>
        <v>Floor 1</v>
      </c>
      <c r="Y290" s="45" t="str">
        <f t="array" ref="Y290">_xlfn.XLOOKUP(records[ID], dAir[roomNo], dAir[Class])</f>
        <v>C</v>
      </c>
      <c r="Z290" s="45">
        <f t="array" ref="Z290">_xlfn.XLOOKUP(records[Method]&amp;"-"&amp;records[Class], dAirSpec[ID], dAirSpec[Spec])</f>
        <v>100</v>
      </c>
      <c r="AA290" s="45" t="str">
        <f t="array" ref="AA290">_xlfn.XLOOKUP(records[Method]&amp;"-"&amp;records[Class], dAirSpec[ID], dAirSpec[Unit])</f>
        <v>cfu/m3</v>
      </c>
      <c r="AB290" s="45">
        <f t="array" ref="AB290">if(S290="","", if(records[Method]="Active Air",_xlfn.xlookup(records[ColonyCount]&amp;records[AirSampler],feller[code],feller[Vc]),records[ColonyCount]))</f>
        <v>2</v>
      </c>
      <c r="AC290" s="60" t="b">
        <f t="shared" si="1"/>
        <v>1</v>
      </c>
      <c r="AD290" s="61" t="b">
        <v>0</v>
      </c>
      <c r="AE290" s="32" t="s">
        <v>235</v>
      </c>
      <c r="AF290" s="46"/>
      <c r="AG290" s="46"/>
      <c r="AH290" s="46"/>
      <c r="AI290" s="46"/>
      <c r="AJ290" s="46"/>
    </row>
    <row r="291" ht="22.5" customHeight="1">
      <c r="A291" s="27">
        <v>46215.0</v>
      </c>
      <c r="B291" s="34" t="str">
        <f t="array" ref="B291">TEXT(A291, "MM-YYYY")</f>
        <v>07-2026</v>
      </c>
      <c r="C291" s="39" t="s">
        <v>745</v>
      </c>
      <c r="D291" s="36" t="s">
        <v>210</v>
      </c>
      <c r="E291" s="36" t="s">
        <v>531</v>
      </c>
      <c r="F291" s="37" t="s">
        <v>58</v>
      </c>
      <c r="G291" s="29" t="b">
        <v>1</v>
      </c>
      <c r="H291" s="36" t="s">
        <v>214</v>
      </c>
      <c r="I291" s="36" t="s">
        <v>534</v>
      </c>
      <c r="J291" s="29"/>
      <c r="K291" s="138"/>
      <c r="L291" s="37" t="s">
        <v>194</v>
      </c>
      <c r="M291" s="37" t="s">
        <v>194</v>
      </c>
      <c r="N291" s="37" t="s">
        <v>194</v>
      </c>
      <c r="O291" s="37" t="s">
        <v>194</v>
      </c>
      <c r="P291" s="37" t="s">
        <v>1874</v>
      </c>
      <c r="Q291" s="37" t="s">
        <v>1875</v>
      </c>
      <c r="R291" s="41">
        <v>46264.0</v>
      </c>
      <c r="S291" s="42">
        <v>0.0</v>
      </c>
      <c r="T291" s="44" t="s">
        <v>194</v>
      </c>
      <c r="U291" s="45" t="str">
        <f>IF(records[Type]="Room",records[roomNo],records[roomNo]&amp;"-"&amp;SUBSTITUTE(RIGHT(records[roomNo]&amp;records[Type],2),"-",""))</f>
        <v>16-1-096</v>
      </c>
      <c r="V291" s="47" t="str">
        <f t="array" ref="V291">_xlfn.XLOOKUP(records[ID], dAir[roomNo], dAir[roomName])</f>
        <v>WASHING / TUNNEL 2</v>
      </c>
      <c r="W291" s="47" t="str">
        <f t="array" ref="W291">_xlfn.XLOOKUP(records[ID], dAir[roomNo], dAir[building])</f>
        <v>Building 16</v>
      </c>
      <c r="X291" s="47" t="str">
        <f t="array" ref="X291">_xlfn.XLOOKUP(records[ID], dAir[roomNo], dAir[floor])</f>
        <v>Floor 1</v>
      </c>
      <c r="Y291" s="45" t="str">
        <f t="array" ref="Y291">_xlfn.XLOOKUP(records[ID], dAir[roomNo], dAir[Class])</f>
        <v>C</v>
      </c>
      <c r="Z291" s="45">
        <f t="array" ref="Z291">_xlfn.XLOOKUP(records[Method]&amp;"-"&amp;records[Class], dAirSpec[ID], dAirSpec[Spec])</f>
        <v>100</v>
      </c>
      <c r="AA291" s="45" t="str">
        <f t="array" ref="AA291">_xlfn.XLOOKUP(records[Method]&amp;"-"&amp;records[Class], dAirSpec[ID], dAirSpec[Unit])</f>
        <v>cfu/m3</v>
      </c>
      <c r="AB291" s="45">
        <f t="array" ref="AB291">if(S291="","", if(records[Method]="Active Air",_xlfn.xlookup(records[ColonyCount]&amp;records[AirSampler],feller[code],feller[Vc]),records[ColonyCount]))</f>
        <v>0</v>
      </c>
      <c r="AC291" s="60" t="b">
        <f t="shared" si="1"/>
        <v>1</v>
      </c>
      <c r="AD291" s="61" t="b">
        <v>0</v>
      </c>
      <c r="AE291" s="32" t="s">
        <v>235</v>
      </c>
      <c r="AF291" s="46"/>
      <c r="AG291" s="46"/>
      <c r="AH291" s="46"/>
      <c r="AI291" s="46"/>
      <c r="AJ291" s="46"/>
    </row>
    <row r="292" ht="22.5" customHeight="1">
      <c r="A292" s="27">
        <v>46215.0</v>
      </c>
      <c r="B292" s="34" t="str">
        <f t="array" ref="B292">TEXT(A292, "MM-YYYY")</f>
        <v>07-2026</v>
      </c>
      <c r="C292" s="39" t="s">
        <v>1471</v>
      </c>
      <c r="D292" s="36" t="s">
        <v>210</v>
      </c>
      <c r="E292" s="36" t="s">
        <v>531</v>
      </c>
      <c r="F292" s="37" t="s">
        <v>58</v>
      </c>
      <c r="G292" s="29" t="b">
        <v>1</v>
      </c>
      <c r="H292" s="36" t="s">
        <v>214</v>
      </c>
      <c r="I292" s="36" t="s">
        <v>534</v>
      </c>
      <c r="J292" s="29"/>
      <c r="K292" s="138"/>
      <c r="L292" s="37" t="s">
        <v>194</v>
      </c>
      <c r="M292" s="37" t="s">
        <v>194</v>
      </c>
      <c r="N292" s="37" t="s">
        <v>194</v>
      </c>
      <c r="O292" s="37" t="s">
        <v>194</v>
      </c>
      <c r="P292" s="37" t="s">
        <v>1874</v>
      </c>
      <c r="Q292" s="37" t="s">
        <v>1875</v>
      </c>
      <c r="R292" s="41">
        <v>46264.0</v>
      </c>
      <c r="S292" s="42">
        <v>1.0</v>
      </c>
      <c r="T292" s="44" t="s">
        <v>194</v>
      </c>
      <c r="U292" s="45" t="str">
        <f>IF(records[Type]="Room",records[roomNo],records[roomNo]&amp;"-"&amp;SUBSTITUTE(RIGHT(records[roomNo]&amp;records[Type],2),"-",""))</f>
        <v>16-1-097</v>
      </c>
      <c r="V292" s="47" t="str">
        <f t="array" ref="V292">_xlfn.XLOOKUP(records[ID], dAir[roomNo], dAir[roomName])</f>
        <v>VIALS INTERNAL STAGING</v>
      </c>
      <c r="W292" s="47" t="str">
        <f t="array" ref="W292">_xlfn.XLOOKUP(records[ID], dAir[roomNo], dAir[building])</f>
        <v>Building 16</v>
      </c>
      <c r="X292" s="47" t="str">
        <f t="array" ref="X292">_xlfn.XLOOKUP(records[ID], dAir[roomNo], dAir[floor])</f>
        <v>Floor 1</v>
      </c>
      <c r="Y292" s="45" t="str">
        <f t="array" ref="Y292">_xlfn.XLOOKUP(records[ID], dAir[roomNo], dAir[Class])</f>
        <v>C</v>
      </c>
      <c r="Z292" s="45">
        <f t="array" ref="Z292">_xlfn.XLOOKUP(records[Method]&amp;"-"&amp;records[Class], dAirSpec[ID], dAirSpec[Spec])</f>
        <v>100</v>
      </c>
      <c r="AA292" s="45" t="str">
        <f t="array" ref="AA292">_xlfn.XLOOKUP(records[Method]&amp;"-"&amp;records[Class], dAirSpec[ID], dAirSpec[Unit])</f>
        <v>cfu/m3</v>
      </c>
      <c r="AB292" s="45">
        <f t="array" ref="AB292">if(S292="","", if(records[Method]="Active Air",_xlfn.xlookup(records[ColonyCount]&amp;records[AirSampler],feller[code],feller[Vc]),records[ColonyCount]))</f>
        <v>1</v>
      </c>
      <c r="AC292" s="60" t="b">
        <f t="shared" si="1"/>
        <v>1</v>
      </c>
      <c r="AD292" s="61" t="b">
        <v>0</v>
      </c>
      <c r="AE292" s="32" t="s">
        <v>235</v>
      </c>
      <c r="AF292" s="46"/>
      <c r="AG292" s="46"/>
      <c r="AH292" s="46"/>
      <c r="AI292" s="46"/>
      <c r="AJ292" s="46"/>
    </row>
    <row r="293" ht="22.5" customHeight="1">
      <c r="A293" s="27">
        <v>46215.0</v>
      </c>
      <c r="B293" s="34" t="str">
        <f t="array" ref="B293">TEXT(A293, "MM-YYYY")</f>
        <v>07-2026</v>
      </c>
      <c r="C293" s="39" t="s">
        <v>1471</v>
      </c>
      <c r="D293" s="36" t="s">
        <v>1350</v>
      </c>
      <c r="E293" s="36" t="s">
        <v>531</v>
      </c>
      <c r="F293" s="37" t="s">
        <v>58</v>
      </c>
      <c r="G293" s="29" t="b">
        <v>1</v>
      </c>
      <c r="H293" s="36" t="s">
        <v>214</v>
      </c>
      <c r="I293" s="36" t="s">
        <v>534</v>
      </c>
      <c r="J293" s="29"/>
      <c r="K293" s="138"/>
      <c r="L293" s="37" t="s">
        <v>194</v>
      </c>
      <c r="M293" s="37" t="s">
        <v>194</v>
      </c>
      <c r="N293" s="37" t="s">
        <v>194</v>
      </c>
      <c r="O293" s="37" t="s">
        <v>194</v>
      </c>
      <c r="P293" s="37" t="s">
        <v>1874</v>
      </c>
      <c r="Q293" s="37" t="s">
        <v>1875</v>
      </c>
      <c r="R293" s="41">
        <v>46264.0</v>
      </c>
      <c r="S293" s="42">
        <v>0.0</v>
      </c>
      <c r="T293" s="44" t="s">
        <v>1483</v>
      </c>
      <c r="U293" s="45" t="str">
        <f>IF(records[Type]="Room",records[roomNo],records[roomNo]&amp;"-"&amp;SUBSTITUTE(RIGHT(records[roomNo]&amp;records[Type],2),"-",""))</f>
        <v>16-1-097-PB</v>
      </c>
      <c r="V293" s="47" t="str">
        <f t="array" ref="V293">_xlfn.XLOOKUP(records[ID], dAir[roomNo], dAir[roomName])</f>
        <v>VIALS INTERNAL STAGING (Passbox)</v>
      </c>
      <c r="W293" s="47" t="str">
        <f t="array" ref="W293">_xlfn.XLOOKUP(records[ID], dAir[roomNo], dAir[building])</f>
        <v>Building 16</v>
      </c>
      <c r="X293" s="47" t="str">
        <f t="array" ref="X293">_xlfn.XLOOKUP(records[ID], dAir[roomNo], dAir[floor])</f>
        <v>Floor 1</v>
      </c>
      <c r="Y293" s="45" t="str">
        <f t="array" ref="Y293">_xlfn.XLOOKUP(records[ID], dAir[roomNo], dAir[Class])</f>
        <v>C</v>
      </c>
      <c r="Z293" s="45">
        <f t="array" ref="Z293">_xlfn.XLOOKUP(records[Method]&amp;"-"&amp;records[Class], dAirSpec[ID], dAirSpec[Spec])</f>
        <v>100</v>
      </c>
      <c r="AA293" s="45" t="str">
        <f t="array" ref="AA293">_xlfn.XLOOKUP(records[Method]&amp;"-"&amp;records[Class], dAirSpec[ID], dAirSpec[Unit])</f>
        <v>cfu/m3</v>
      </c>
      <c r="AB293" s="45">
        <f t="array" ref="AB293">if(S293="","", if(records[Method]="Active Air",_xlfn.xlookup(records[ColonyCount]&amp;records[AirSampler],feller[code],feller[Vc]),records[ColonyCount]))</f>
        <v>0</v>
      </c>
      <c r="AC293" s="60" t="b">
        <f t="shared" si="1"/>
        <v>1</v>
      </c>
      <c r="AD293" s="61" t="b">
        <v>0</v>
      </c>
      <c r="AE293" s="32" t="s">
        <v>235</v>
      </c>
      <c r="AF293" s="46"/>
      <c r="AG293" s="46"/>
      <c r="AH293" s="46"/>
      <c r="AI293" s="46"/>
      <c r="AJ293" s="46"/>
    </row>
    <row r="294" ht="22.5" customHeight="1">
      <c r="A294" s="27">
        <v>46215.0</v>
      </c>
      <c r="B294" s="34" t="str">
        <f t="array" ref="B294">TEXT(A294, "MM-YYYY")</f>
        <v>07-2026</v>
      </c>
      <c r="C294" s="39" t="s">
        <v>749</v>
      </c>
      <c r="D294" s="36" t="s">
        <v>210</v>
      </c>
      <c r="E294" s="36" t="s">
        <v>531</v>
      </c>
      <c r="F294" s="37" t="s">
        <v>58</v>
      </c>
      <c r="G294" s="29" t="b">
        <v>1</v>
      </c>
      <c r="H294" s="36" t="s">
        <v>214</v>
      </c>
      <c r="I294" s="36" t="s">
        <v>534</v>
      </c>
      <c r="J294" s="29"/>
      <c r="K294" s="138"/>
      <c r="L294" s="37" t="s">
        <v>194</v>
      </c>
      <c r="M294" s="37" t="s">
        <v>194</v>
      </c>
      <c r="N294" s="37" t="s">
        <v>194</v>
      </c>
      <c r="O294" s="37" t="s">
        <v>194</v>
      </c>
      <c r="P294" s="37" t="s">
        <v>1874</v>
      </c>
      <c r="Q294" s="37" t="s">
        <v>1875</v>
      </c>
      <c r="R294" s="41">
        <v>46264.0</v>
      </c>
      <c r="S294" s="42">
        <v>1.0</v>
      </c>
      <c r="T294" s="44" t="s">
        <v>194</v>
      </c>
      <c r="U294" s="45" t="str">
        <f>IF(records[Type]="Room",records[roomNo],records[roomNo]&amp;"-"&amp;SUBSTITUTE(RIGHT(records[roomNo]&amp;records[Type],2),"-",""))</f>
        <v>16-1-098</v>
      </c>
      <c r="V294" s="47" t="str">
        <f t="array" ref="V294">_xlfn.XLOOKUP(records[ID], dAir[roomNo], dAir[roomName])</f>
        <v>CIP/SIP</v>
      </c>
      <c r="W294" s="47" t="str">
        <f t="array" ref="W294">_xlfn.XLOOKUP(records[ID], dAir[roomNo], dAir[building])</f>
        <v>Building 16</v>
      </c>
      <c r="X294" s="47" t="str">
        <f t="array" ref="X294">_xlfn.XLOOKUP(records[ID], dAir[roomNo], dAir[floor])</f>
        <v>Floor 1</v>
      </c>
      <c r="Y294" s="45" t="str">
        <f t="array" ref="Y294">_xlfn.XLOOKUP(records[ID], dAir[roomNo], dAir[Class])</f>
        <v>C</v>
      </c>
      <c r="Z294" s="45">
        <f t="array" ref="Z294">_xlfn.XLOOKUP(records[Method]&amp;"-"&amp;records[Class], dAirSpec[ID], dAirSpec[Spec])</f>
        <v>100</v>
      </c>
      <c r="AA294" s="45" t="str">
        <f t="array" ref="AA294">_xlfn.XLOOKUP(records[Method]&amp;"-"&amp;records[Class], dAirSpec[ID], dAirSpec[Unit])</f>
        <v>cfu/m3</v>
      </c>
      <c r="AB294" s="45">
        <f t="array" ref="AB294">if(S294="","", if(records[Method]="Active Air",_xlfn.xlookup(records[ColonyCount]&amp;records[AirSampler],feller[code],feller[Vc]),records[ColonyCount]))</f>
        <v>1</v>
      </c>
      <c r="AC294" s="60" t="b">
        <f t="shared" si="1"/>
        <v>1</v>
      </c>
      <c r="AD294" s="61" t="b">
        <v>0</v>
      </c>
      <c r="AE294" s="32" t="s">
        <v>235</v>
      </c>
      <c r="AF294" s="46"/>
      <c r="AG294" s="46"/>
      <c r="AH294" s="46"/>
      <c r="AI294" s="46"/>
      <c r="AJ294" s="46"/>
    </row>
    <row r="295" ht="22.5" customHeight="1">
      <c r="A295" s="27">
        <v>46215.0</v>
      </c>
      <c r="B295" s="34" t="str">
        <f t="array" ref="B295">TEXT(A295, "MM-YYYY")</f>
        <v>07-2026</v>
      </c>
      <c r="C295" s="39" t="s">
        <v>1484</v>
      </c>
      <c r="D295" s="36" t="s">
        <v>210</v>
      </c>
      <c r="E295" s="36" t="s">
        <v>531</v>
      </c>
      <c r="F295" s="37" t="s">
        <v>58</v>
      </c>
      <c r="G295" s="29" t="b">
        <v>1</v>
      </c>
      <c r="H295" s="36" t="s">
        <v>214</v>
      </c>
      <c r="I295" s="36" t="s">
        <v>203</v>
      </c>
      <c r="J295" s="29"/>
      <c r="K295" s="138"/>
      <c r="L295" s="37" t="s">
        <v>194</v>
      </c>
      <c r="M295" s="37" t="s">
        <v>194</v>
      </c>
      <c r="N295" s="37" t="s">
        <v>194</v>
      </c>
      <c r="O295" s="37" t="s">
        <v>194</v>
      </c>
      <c r="P295" s="37" t="s">
        <v>1874</v>
      </c>
      <c r="Q295" s="37" t="s">
        <v>1875</v>
      </c>
      <c r="R295" s="41">
        <v>46264.0</v>
      </c>
      <c r="S295" s="42">
        <v>8.0</v>
      </c>
      <c r="T295" s="44" t="s">
        <v>194</v>
      </c>
      <c r="U295" s="45" t="str">
        <f>IF(records[Type]="Room",records[roomNo],records[roomNo]&amp;"-"&amp;SUBSTITUTE(RIGHT(records[roomNo]&amp;records[Type],2),"-",""))</f>
        <v>16-1-099</v>
      </c>
      <c r="V295" s="47" t="str">
        <f t="array" ref="V295">_xlfn.XLOOKUP(records[ID], dAir[roomNo], dAir[roomName])</f>
        <v>MAL</v>
      </c>
      <c r="W295" s="47" t="str">
        <f t="array" ref="W295">_xlfn.XLOOKUP(records[ID], dAir[roomNo], dAir[building])</f>
        <v>Building 16</v>
      </c>
      <c r="X295" s="47" t="str">
        <f t="array" ref="X295">_xlfn.XLOOKUP(records[ID], dAir[roomNo], dAir[floor])</f>
        <v>Floor 1</v>
      </c>
      <c r="Y295" s="45" t="str">
        <f t="array" ref="Y295">_xlfn.XLOOKUP(records[ID], dAir[roomNo], dAir[Class])</f>
        <v>C</v>
      </c>
      <c r="Z295" s="45">
        <f t="array" ref="Z295">_xlfn.XLOOKUP(records[Method]&amp;"-"&amp;records[Class], dAirSpec[ID], dAirSpec[Spec])</f>
        <v>100</v>
      </c>
      <c r="AA295" s="45" t="str">
        <f t="array" ref="AA295">_xlfn.XLOOKUP(records[Method]&amp;"-"&amp;records[Class], dAirSpec[ID], dAirSpec[Unit])</f>
        <v>cfu/m3</v>
      </c>
      <c r="AB295" s="45">
        <f t="array" ref="AB295">if(S295="","", if(records[Method]="Active Air",_xlfn.xlookup(records[ColonyCount]&amp;records[AirSampler],feller[code],feller[Vc]),records[ColonyCount]))</f>
        <v>8</v>
      </c>
      <c r="AC295" s="60" t="b">
        <f t="shared" si="1"/>
        <v>1</v>
      </c>
      <c r="AD295" s="61" t="b">
        <v>0</v>
      </c>
      <c r="AE295" s="32" t="s">
        <v>235</v>
      </c>
      <c r="AF295" s="46"/>
      <c r="AG295" s="46"/>
      <c r="AH295" s="46"/>
      <c r="AI295" s="46"/>
      <c r="AJ295" s="46"/>
    </row>
    <row r="296" ht="22.5" customHeight="1">
      <c r="A296" s="27">
        <v>46215.0</v>
      </c>
      <c r="B296" s="34" t="str">
        <f t="array" ref="B296">TEXT(A296, "MM-YYYY")</f>
        <v>07-2026</v>
      </c>
      <c r="C296" s="39" t="s">
        <v>1485</v>
      </c>
      <c r="D296" s="36" t="s">
        <v>210</v>
      </c>
      <c r="E296" s="36" t="s">
        <v>531</v>
      </c>
      <c r="F296" s="37" t="s">
        <v>58</v>
      </c>
      <c r="G296" s="29" t="b">
        <v>1</v>
      </c>
      <c r="H296" s="36" t="s">
        <v>214</v>
      </c>
      <c r="I296" s="36" t="s">
        <v>203</v>
      </c>
      <c r="J296" s="29"/>
      <c r="K296" s="138"/>
      <c r="L296" s="37" t="s">
        <v>194</v>
      </c>
      <c r="M296" s="37" t="s">
        <v>194</v>
      </c>
      <c r="N296" s="37" t="s">
        <v>194</v>
      </c>
      <c r="O296" s="37" t="s">
        <v>194</v>
      </c>
      <c r="P296" s="37" t="s">
        <v>1874</v>
      </c>
      <c r="Q296" s="37" t="s">
        <v>1875</v>
      </c>
      <c r="R296" s="41">
        <v>46264.0</v>
      </c>
      <c r="S296" s="42">
        <v>3.0</v>
      </c>
      <c r="T296" s="44" t="s">
        <v>194</v>
      </c>
      <c r="U296" s="45" t="str">
        <f>IF(records[Type]="Room",records[roomNo],records[roomNo]&amp;"-"&amp;SUBSTITUTE(RIGHT(records[roomNo]&amp;records[Type],2),"-",""))</f>
        <v>16-1-100</v>
      </c>
      <c r="V296" s="47" t="str">
        <f t="array" ref="V296">_xlfn.XLOOKUP(records[ID], dAir[roomNo], dAir[roomName])</f>
        <v>MAL</v>
      </c>
      <c r="W296" s="47" t="str">
        <f t="array" ref="W296">_xlfn.XLOOKUP(records[ID], dAir[roomNo], dAir[building])</f>
        <v>Building 16</v>
      </c>
      <c r="X296" s="47" t="str">
        <f t="array" ref="X296">_xlfn.XLOOKUP(records[ID], dAir[roomNo], dAir[floor])</f>
        <v>Floor 1</v>
      </c>
      <c r="Y296" s="45" t="str">
        <f t="array" ref="Y296">_xlfn.XLOOKUP(records[ID], dAir[roomNo], dAir[Class])</f>
        <v>D</v>
      </c>
      <c r="Z296" s="45">
        <f t="array" ref="Z296">_xlfn.XLOOKUP(records[Method]&amp;"-"&amp;records[Class], dAirSpec[ID], dAirSpec[Spec])</f>
        <v>200</v>
      </c>
      <c r="AA296" s="45" t="str">
        <f t="array" ref="AA296">_xlfn.XLOOKUP(records[Method]&amp;"-"&amp;records[Class], dAirSpec[ID], dAirSpec[Unit])</f>
        <v>cfu/m3</v>
      </c>
      <c r="AB296" s="45">
        <f t="array" ref="AB296">if(S296="","", if(records[Method]="Active Air",_xlfn.xlookup(records[ColonyCount]&amp;records[AirSampler],feller[code],feller[Vc]),records[ColonyCount]))</f>
        <v>3</v>
      </c>
      <c r="AC296" s="60" t="b">
        <f t="shared" si="1"/>
        <v>1</v>
      </c>
      <c r="AD296" s="61" t="b">
        <v>0</v>
      </c>
      <c r="AE296" s="32" t="s">
        <v>235</v>
      </c>
      <c r="AF296" s="46"/>
      <c r="AG296" s="46"/>
      <c r="AH296" s="46"/>
      <c r="AI296" s="46"/>
      <c r="AJ296" s="46"/>
    </row>
    <row r="297" ht="22.5" customHeight="1">
      <c r="A297" s="27">
        <v>46215.0</v>
      </c>
      <c r="B297" s="34" t="str">
        <f t="array" ref="B297">TEXT(A297, "MM-YYYY")</f>
        <v>07-2026</v>
      </c>
      <c r="C297" s="39" t="s">
        <v>1486</v>
      </c>
      <c r="D297" s="36" t="s">
        <v>210</v>
      </c>
      <c r="E297" s="36" t="s">
        <v>531</v>
      </c>
      <c r="F297" s="37" t="s">
        <v>58</v>
      </c>
      <c r="G297" s="29" t="b">
        <v>1</v>
      </c>
      <c r="H297" s="36" t="s">
        <v>214</v>
      </c>
      <c r="I297" s="36" t="s">
        <v>534</v>
      </c>
      <c r="J297" s="29"/>
      <c r="K297" s="138"/>
      <c r="L297" s="37" t="s">
        <v>194</v>
      </c>
      <c r="M297" s="37" t="s">
        <v>194</v>
      </c>
      <c r="N297" s="37" t="s">
        <v>194</v>
      </c>
      <c r="O297" s="37" t="s">
        <v>194</v>
      </c>
      <c r="P297" s="37" t="s">
        <v>1874</v>
      </c>
      <c r="Q297" s="37" t="s">
        <v>1875</v>
      </c>
      <c r="R297" s="41">
        <v>46264.0</v>
      </c>
      <c r="S297" s="42">
        <v>5.0</v>
      </c>
      <c r="T297" s="44" t="s">
        <v>194</v>
      </c>
      <c r="U297" s="45" t="str">
        <f>IF(records[Type]="Room",records[roomNo],records[roomNo]&amp;"-"&amp;SUBSTITUTE(RIGHT(records[roomNo]&amp;records[Type],2),"-",""))</f>
        <v>16-1-101</v>
      </c>
      <c r="V297" s="47" t="str">
        <f t="array" ref="V297">_xlfn.XLOOKUP(records[ID], dAir[roomNo], dAir[roomName])</f>
        <v>AIRLOCK</v>
      </c>
      <c r="W297" s="47" t="str">
        <f t="array" ref="W297">_xlfn.XLOOKUP(records[ID], dAir[roomNo], dAir[building])</f>
        <v>Building 16</v>
      </c>
      <c r="X297" s="47" t="str">
        <f t="array" ref="X297">_xlfn.XLOOKUP(records[ID], dAir[roomNo], dAir[floor])</f>
        <v>Floor 1</v>
      </c>
      <c r="Y297" s="45" t="str">
        <f t="array" ref="Y297">_xlfn.XLOOKUP(records[ID], dAir[roomNo], dAir[Class])</f>
        <v>C</v>
      </c>
      <c r="Z297" s="45">
        <f t="array" ref="Z297">_xlfn.XLOOKUP(records[Method]&amp;"-"&amp;records[Class], dAirSpec[ID], dAirSpec[Spec])</f>
        <v>100</v>
      </c>
      <c r="AA297" s="45" t="str">
        <f t="array" ref="AA297">_xlfn.XLOOKUP(records[Method]&amp;"-"&amp;records[Class], dAirSpec[ID], dAirSpec[Unit])</f>
        <v>cfu/m3</v>
      </c>
      <c r="AB297" s="45">
        <f t="array" ref="AB297">if(S297="","", if(records[Method]="Active Air",_xlfn.xlookup(records[ColonyCount]&amp;records[AirSampler],feller[code],feller[Vc]),records[ColonyCount]))</f>
        <v>5</v>
      </c>
      <c r="AC297" s="60" t="b">
        <f t="shared" si="1"/>
        <v>1</v>
      </c>
      <c r="AD297" s="61" t="b">
        <v>0</v>
      </c>
      <c r="AE297" s="32" t="s">
        <v>235</v>
      </c>
      <c r="AF297" s="46"/>
      <c r="AG297" s="46"/>
      <c r="AH297" s="46"/>
      <c r="AI297" s="46"/>
      <c r="AJ297" s="46"/>
    </row>
    <row r="298" ht="22.5" customHeight="1">
      <c r="A298" s="27">
        <v>46215.0</v>
      </c>
      <c r="B298" s="34" t="str">
        <f t="array" ref="B298">TEXT(A298, "MM-YYYY")</f>
        <v>07-2026</v>
      </c>
      <c r="C298" s="39" t="s">
        <v>1486</v>
      </c>
      <c r="D298" s="36" t="s">
        <v>1350</v>
      </c>
      <c r="E298" s="36" t="s">
        <v>531</v>
      </c>
      <c r="F298" s="37" t="s">
        <v>58</v>
      </c>
      <c r="G298" s="29" t="b">
        <v>1</v>
      </c>
      <c r="H298" s="36" t="s">
        <v>214</v>
      </c>
      <c r="I298" s="36" t="s">
        <v>534</v>
      </c>
      <c r="J298" s="29"/>
      <c r="K298" s="138"/>
      <c r="L298" s="37" t="s">
        <v>194</v>
      </c>
      <c r="M298" s="37" t="s">
        <v>194</v>
      </c>
      <c r="N298" s="37" t="s">
        <v>194</v>
      </c>
      <c r="O298" s="37" t="s">
        <v>194</v>
      </c>
      <c r="P298" s="37" t="s">
        <v>1874</v>
      </c>
      <c r="Q298" s="37" t="s">
        <v>1875</v>
      </c>
      <c r="R298" s="41">
        <v>46264.0</v>
      </c>
      <c r="S298" s="42">
        <v>33.0</v>
      </c>
      <c r="T298" s="44" t="s">
        <v>1483</v>
      </c>
      <c r="U298" s="45" t="str">
        <f>IF(records[Type]="Room",records[roomNo],records[roomNo]&amp;"-"&amp;SUBSTITUTE(RIGHT(records[roomNo]&amp;records[Type],2),"-",""))</f>
        <v>16-1-101-PB</v>
      </c>
      <c r="V298" s="47" t="str">
        <f t="array" ref="V298">_xlfn.XLOOKUP(records[ID], dAir[roomNo], dAir[roomName])</f>
        <v>AIRLOCK (Passbox)</v>
      </c>
      <c r="W298" s="47" t="str">
        <f t="array" ref="W298">_xlfn.XLOOKUP(records[ID], dAir[roomNo], dAir[building])</f>
        <v>Building 16</v>
      </c>
      <c r="X298" s="47" t="str">
        <f t="array" ref="X298">_xlfn.XLOOKUP(records[ID], dAir[roomNo], dAir[floor])</f>
        <v>Floor 1</v>
      </c>
      <c r="Y298" s="45" t="str">
        <f t="array" ref="Y298">_xlfn.XLOOKUP(records[ID], dAir[roomNo], dAir[Class])</f>
        <v>C</v>
      </c>
      <c r="Z298" s="45">
        <f t="array" ref="Z298">_xlfn.XLOOKUP(records[Method]&amp;"-"&amp;records[Class], dAirSpec[ID], dAirSpec[Spec])</f>
        <v>100</v>
      </c>
      <c r="AA298" s="45" t="str">
        <f t="array" ref="AA298">_xlfn.XLOOKUP(records[Method]&amp;"-"&amp;records[Class], dAirSpec[ID], dAirSpec[Unit])</f>
        <v>cfu/m3</v>
      </c>
      <c r="AB298" s="45">
        <f t="array" ref="AB298">if(S298="","", if(records[Method]="Active Air",_xlfn.xlookup(records[ColonyCount]&amp;records[AirSampler],feller[code],feller[Vc]),records[ColonyCount]))</f>
        <v>36</v>
      </c>
      <c r="AC298" s="60" t="b">
        <f t="shared" si="1"/>
        <v>1</v>
      </c>
      <c r="AD298" s="61" t="b">
        <v>0</v>
      </c>
      <c r="AE298" s="32" t="s">
        <v>235</v>
      </c>
      <c r="AF298" s="46"/>
      <c r="AG298" s="46"/>
      <c r="AH298" s="46"/>
      <c r="AI298" s="46"/>
      <c r="AJ298" s="46"/>
    </row>
    <row r="299" ht="22.5" customHeight="1">
      <c r="A299" s="27">
        <v>46215.0</v>
      </c>
      <c r="B299" s="34" t="str">
        <f t="array" ref="B299">TEXT(A299, "MM-YYYY")</f>
        <v>07-2026</v>
      </c>
      <c r="C299" s="32" t="s">
        <v>786</v>
      </c>
      <c r="D299" s="21" t="s">
        <v>680</v>
      </c>
      <c r="E299" s="36" t="s">
        <v>531</v>
      </c>
      <c r="F299" s="37" t="s">
        <v>58</v>
      </c>
      <c r="G299" s="29" t="b">
        <v>1</v>
      </c>
      <c r="H299" s="36" t="s">
        <v>214</v>
      </c>
      <c r="I299" s="36" t="s">
        <v>757</v>
      </c>
      <c r="J299" s="39">
        <v>3.1101125E8</v>
      </c>
      <c r="K299" s="40">
        <v>46240.0</v>
      </c>
      <c r="L299" s="37" t="s">
        <v>194</v>
      </c>
      <c r="M299" s="37" t="s">
        <v>194</v>
      </c>
      <c r="N299" s="37" t="s">
        <v>194</v>
      </c>
      <c r="O299" s="37" t="s">
        <v>194</v>
      </c>
      <c r="P299" s="37" t="s">
        <v>1874</v>
      </c>
      <c r="Q299" s="37" t="s">
        <v>1875</v>
      </c>
      <c r="R299" s="41">
        <v>46264.0</v>
      </c>
      <c r="S299" s="42">
        <v>4.0</v>
      </c>
      <c r="T299" s="44" t="s">
        <v>680</v>
      </c>
      <c r="U299" s="45" t="str">
        <f>IF(records[Type]="Room",records[roomNo],records[roomNo]&amp;"-"&amp;SUBSTITUTE(RIGHT(records[roomNo]&amp;records[Type],2),"-",""))</f>
        <v>16-1-102-B</v>
      </c>
      <c r="V299" s="47" t="str">
        <f t="array" ref="V299">_xlfn.XLOOKUP(records[ID], dAir[roomNo], dAir[roomName])</f>
        <v>DISPENSING (Booth)</v>
      </c>
      <c r="W299" s="47" t="str">
        <f t="array" ref="W299">_xlfn.XLOOKUP(records[ID], dAir[roomNo], dAir[building])</f>
        <v>Building 16</v>
      </c>
      <c r="X299" s="47" t="str">
        <f t="array" ref="X299">_xlfn.XLOOKUP(records[ID], dAir[roomNo], dAir[floor])</f>
        <v>Floor 1</v>
      </c>
      <c r="Y299" s="45" t="str">
        <f t="array" ref="Y299">_xlfn.XLOOKUP(records[ID], dAir[roomNo], dAir[Class])</f>
        <v>A</v>
      </c>
      <c r="Z299" s="45">
        <f t="array" ref="Z299">_xlfn.XLOOKUP(records[Method]&amp;"-"&amp;records[Class], dAirSpec[ID], dAirSpec[Spec])</f>
        <v>0</v>
      </c>
      <c r="AA299" s="45" t="str">
        <f t="array" ref="AA299">_xlfn.XLOOKUP(records[Method]&amp;"-"&amp;records[Class], dAirSpec[ID], dAirSpec[Unit])</f>
        <v>cfu/m3</v>
      </c>
      <c r="AB299" s="45">
        <f t="array" ref="AB299">if(S299="","", if(records[Method]="Active Air",_xlfn.xlookup(records[ColonyCount]&amp;records[AirSampler],feller[code],feller[Vc]),records[ColonyCount]))</f>
        <v>4</v>
      </c>
      <c r="AC299" s="60" t="b">
        <f t="shared" si="1"/>
        <v>0</v>
      </c>
      <c r="AD299" s="61" t="b">
        <v>0</v>
      </c>
      <c r="AE299" s="32" t="s">
        <v>235</v>
      </c>
      <c r="AF299" s="46"/>
      <c r="AG299" s="46"/>
      <c r="AH299" s="46"/>
      <c r="AI299" s="46"/>
      <c r="AJ299" s="46"/>
    </row>
    <row r="300" ht="22.5" customHeight="1">
      <c r="A300" s="27">
        <v>46215.0</v>
      </c>
      <c r="B300" s="34" t="str">
        <f t="array" ref="B300">TEXT(A300, "MM-YYYY")</f>
        <v>07-2026</v>
      </c>
      <c r="C300" s="39" t="s">
        <v>786</v>
      </c>
      <c r="D300" s="36" t="s">
        <v>210</v>
      </c>
      <c r="E300" s="36" t="s">
        <v>531</v>
      </c>
      <c r="F300" s="37" t="s">
        <v>58</v>
      </c>
      <c r="G300" s="29" t="b">
        <v>1</v>
      </c>
      <c r="H300" s="36" t="s">
        <v>214</v>
      </c>
      <c r="I300" s="36" t="s">
        <v>757</v>
      </c>
      <c r="J300" s="39">
        <v>3.1101125E8</v>
      </c>
      <c r="K300" s="40">
        <v>46240.0</v>
      </c>
      <c r="L300" s="37" t="s">
        <v>194</v>
      </c>
      <c r="M300" s="37" t="s">
        <v>194</v>
      </c>
      <c r="N300" s="37" t="s">
        <v>194</v>
      </c>
      <c r="O300" s="37" t="s">
        <v>194</v>
      </c>
      <c r="P300" s="37" t="s">
        <v>1874</v>
      </c>
      <c r="Q300" s="37" t="s">
        <v>1875</v>
      </c>
      <c r="R300" s="41">
        <v>46264.0</v>
      </c>
      <c r="S300" s="42">
        <v>198.0</v>
      </c>
      <c r="T300" s="44" t="s">
        <v>194</v>
      </c>
      <c r="U300" s="45" t="str">
        <f>IF(records[Type]="Room",records[roomNo],records[roomNo]&amp;"-"&amp;SUBSTITUTE(RIGHT(records[roomNo]&amp;records[Type],2),"-",""))</f>
        <v>16-1-102</v>
      </c>
      <c r="V300" s="47" t="str">
        <f t="array" ref="V300">_xlfn.XLOOKUP(records[ID], dAir[roomNo], dAir[roomName])</f>
        <v>DISPENSING</v>
      </c>
      <c r="W300" s="47" t="str">
        <f t="array" ref="W300">_xlfn.XLOOKUP(records[ID], dAir[roomNo], dAir[building])</f>
        <v>Building 16</v>
      </c>
      <c r="X300" s="47" t="str">
        <f t="array" ref="X300">_xlfn.XLOOKUP(records[ID], dAir[roomNo], dAir[floor])</f>
        <v>Floor 1</v>
      </c>
      <c r="Y300" s="45" t="str">
        <f t="array" ref="Y300">_xlfn.XLOOKUP(records[ID], dAir[roomNo], dAir[Class])</f>
        <v>C</v>
      </c>
      <c r="Z300" s="45">
        <f t="array" ref="Z300">_xlfn.XLOOKUP(records[Method]&amp;"-"&amp;records[Class], dAirSpec[ID], dAirSpec[Spec])</f>
        <v>100</v>
      </c>
      <c r="AA300" s="45" t="str">
        <f t="array" ref="AA300">_xlfn.XLOOKUP(records[Method]&amp;"-"&amp;records[Class], dAirSpec[ID], dAirSpec[Unit])</f>
        <v>cfu/m3</v>
      </c>
      <c r="AB300" s="45">
        <f t="array" ref="AB300">if(S300="","", if(records[Method]="Active Air",_xlfn.xlookup(records[ColonyCount]&amp;records[AirSampler],feller[code],feller[Vc]),records[ColonyCount]))</f>
        <v>323</v>
      </c>
      <c r="AC300" s="60" t="b">
        <f t="shared" si="1"/>
        <v>0</v>
      </c>
      <c r="AD300" s="61" t="b">
        <v>0</v>
      </c>
      <c r="AE300" s="32" t="s">
        <v>235</v>
      </c>
      <c r="AF300" s="46"/>
      <c r="AG300" s="46"/>
      <c r="AH300" s="46"/>
      <c r="AI300" s="46"/>
      <c r="AJ300" s="46"/>
    </row>
    <row r="301" ht="22.5" customHeight="1">
      <c r="A301" s="27">
        <v>46215.0</v>
      </c>
      <c r="B301" s="34" t="str">
        <f t="array" ref="B301">TEXT(A301, "MM-YYYY")</f>
        <v>07-2026</v>
      </c>
      <c r="C301" s="39" t="s">
        <v>1492</v>
      </c>
      <c r="D301" s="36" t="s">
        <v>210</v>
      </c>
      <c r="E301" s="36" t="s">
        <v>531</v>
      </c>
      <c r="F301" s="37" t="s">
        <v>58</v>
      </c>
      <c r="G301" s="29" t="b">
        <v>1</v>
      </c>
      <c r="H301" s="36" t="s">
        <v>214</v>
      </c>
      <c r="I301" s="36" t="s">
        <v>534</v>
      </c>
      <c r="J301" s="29"/>
      <c r="K301" s="138"/>
      <c r="L301" s="37" t="s">
        <v>194</v>
      </c>
      <c r="M301" s="37" t="s">
        <v>194</v>
      </c>
      <c r="N301" s="37" t="s">
        <v>194</v>
      </c>
      <c r="O301" s="37" t="s">
        <v>194</v>
      </c>
      <c r="P301" s="37" t="s">
        <v>1874</v>
      </c>
      <c r="Q301" s="37" t="s">
        <v>1875</v>
      </c>
      <c r="R301" s="41">
        <v>46264.0</v>
      </c>
      <c r="S301" s="42">
        <v>4.0</v>
      </c>
      <c r="T301" s="44" t="s">
        <v>194</v>
      </c>
      <c r="U301" s="45" t="str">
        <f>IF(records[Type]="Room",records[roomNo],records[roomNo]&amp;"-"&amp;SUBSTITUTE(RIGHT(records[roomNo]&amp;records[Type],2),"-",""))</f>
        <v>16-1-103</v>
      </c>
      <c r="V301" s="47" t="str">
        <f t="array" ref="V301">_xlfn.XLOOKUP(records[ID], dAir[roomNo], dAir[roomName])</f>
        <v>DISPENSED MATERIAL STAGING</v>
      </c>
      <c r="W301" s="47" t="str">
        <f t="array" ref="W301">_xlfn.XLOOKUP(records[ID], dAir[roomNo], dAir[building])</f>
        <v>Building 16</v>
      </c>
      <c r="X301" s="47" t="str">
        <f t="array" ref="X301">_xlfn.XLOOKUP(records[ID], dAir[roomNo], dAir[floor])</f>
        <v>Floor 1</v>
      </c>
      <c r="Y301" s="45" t="str">
        <f t="array" ref="Y301">_xlfn.XLOOKUP(records[ID], dAir[roomNo], dAir[Class])</f>
        <v>C</v>
      </c>
      <c r="Z301" s="45">
        <f t="array" ref="Z301">_xlfn.XLOOKUP(records[Method]&amp;"-"&amp;records[Class], dAirSpec[ID], dAirSpec[Spec])</f>
        <v>100</v>
      </c>
      <c r="AA301" s="45" t="str">
        <f t="array" ref="AA301">_xlfn.XLOOKUP(records[Method]&amp;"-"&amp;records[Class], dAirSpec[ID], dAirSpec[Unit])</f>
        <v>cfu/m3</v>
      </c>
      <c r="AB301" s="45">
        <f t="array" ref="AB301">if(S301="","", if(records[Method]="Active Air",_xlfn.xlookup(records[ColonyCount]&amp;records[AirSampler],feller[code],feller[Vc]),records[ColonyCount]))</f>
        <v>4</v>
      </c>
      <c r="AC301" s="60" t="b">
        <f t="shared" si="1"/>
        <v>1</v>
      </c>
      <c r="AD301" s="61" t="b">
        <v>0</v>
      </c>
      <c r="AE301" s="32" t="s">
        <v>235</v>
      </c>
      <c r="AF301" s="46"/>
      <c r="AG301" s="46"/>
      <c r="AH301" s="46"/>
      <c r="AI301" s="46"/>
      <c r="AJ301" s="46"/>
    </row>
    <row r="302" ht="22.5" customHeight="1">
      <c r="A302" s="27">
        <v>46215.0</v>
      </c>
      <c r="B302" s="34" t="str">
        <f t="array" ref="B302">TEXT(A302, "MM-YYYY")</f>
        <v>07-2026</v>
      </c>
      <c r="C302" s="39" t="s">
        <v>1493</v>
      </c>
      <c r="D302" s="36" t="s">
        <v>210</v>
      </c>
      <c r="E302" s="36" t="s">
        <v>531</v>
      </c>
      <c r="F302" s="37" t="s">
        <v>58</v>
      </c>
      <c r="G302" s="29" t="b">
        <v>1</v>
      </c>
      <c r="H302" s="36" t="s">
        <v>214</v>
      </c>
      <c r="I302" s="36" t="s">
        <v>203</v>
      </c>
      <c r="J302" s="29"/>
      <c r="K302" s="138"/>
      <c r="L302" s="37" t="s">
        <v>194</v>
      </c>
      <c r="M302" s="37" t="s">
        <v>194</v>
      </c>
      <c r="N302" s="37" t="s">
        <v>194</v>
      </c>
      <c r="O302" s="37" t="s">
        <v>194</v>
      </c>
      <c r="P302" s="37" t="s">
        <v>1874</v>
      </c>
      <c r="Q302" s="37" t="s">
        <v>1875</v>
      </c>
      <c r="R302" s="41">
        <v>46264.0</v>
      </c>
      <c r="S302" s="42">
        <v>16.0</v>
      </c>
      <c r="T302" s="44" t="s">
        <v>194</v>
      </c>
      <c r="U302" s="45" t="str">
        <f>IF(records[Type]="Room",records[roomNo],records[roomNo]&amp;"-"&amp;SUBSTITUTE(RIGHT(records[roomNo]&amp;records[Type],2),"-",""))</f>
        <v>16-1-104</v>
      </c>
      <c r="V302" s="47" t="str">
        <f t="array" ref="V302">_xlfn.XLOOKUP(records[ID], dAir[roomNo], dAir[roomName])</f>
        <v>AMPOULES INTERNAL STAGING</v>
      </c>
      <c r="W302" s="47" t="str">
        <f t="array" ref="W302">_xlfn.XLOOKUP(records[ID], dAir[roomNo], dAir[building])</f>
        <v>Building 16</v>
      </c>
      <c r="X302" s="47" t="str">
        <f t="array" ref="X302">_xlfn.XLOOKUP(records[ID], dAir[roomNo], dAir[floor])</f>
        <v>Floor 1</v>
      </c>
      <c r="Y302" s="45" t="str">
        <f t="array" ref="Y302">_xlfn.XLOOKUP(records[ID], dAir[roomNo], dAir[Class])</f>
        <v>C</v>
      </c>
      <c r="Z302" s="45">
        <f t="array" ref="Z302">_xlfn.XLOOKUP(records[Method]&amp;"-"&amp;records[Class], dAirSpec[ID], dAirSpec[Spec])</f>
        <v>100</v>
      </c>
      <c r="AA302" s="45" t="str">
        <f t="array" ref="AA302">_xlfn.XLOOKUP(records[Method]&amp;"-"&amp;records[Class], dAirSpec[ID], dAirSpec[Unit])</f>
        <v>cfu/m3</v>
      </c>
      <c r="AB302" s="45">
        <f t="array" ref="AB302">if(S302="","", if(records[Method]="Active Air",_xlfn.xlookup(records[ColonyCount]&amp;records[AirSampler],feller[code],feller[Vc]),records[ColonyCount]))</f>
        <v>16</v>
      </c>
      <c r="AC302" s="60" t="b">
        <f t="shared" si="1"/>
        <v>1</v>
      </c>
      <c r="AD302" s="61" t="b">
        <v>0</v>
      </c>
      <c r="AE302" s="32" t="s">
        <v>235</v>
      </c>
      <c r="AF302" s="46"/>
      <c r="AG302" s="46"/>
      <c r="AH302" s="46"/>
      <c r="AI302" s="46"/>
      <c r="AJ302" s="46"/>
    </row>
    <row r="303" ht="22.5" customHeight="1">
      <c r="A303" s="27">
        <v>46215.0</v>
      </c>
      <c r="B303" s="34" t="str">
        <f t="array" ref="B303">TEXT(A303, "MM-YYYY")</f>
        <v>07-2026</v>
      </c>
      <c r="C303" s="39" t="s">
        <v>1493</v>
      </c>
      <c r="D303" s="36" t="s">
        <v>1350</v>
      </c>
      <c r="E303" s="36" t="s">
        <v>531</v>
      </c>
      <c r="F303" s="37" t="s">
        <v>58</v>
      </c>
      <c r="G303" s="29" t="b">
        <v>1</v>
      </c>
      <c r="H303" s="36" t="s">
        <v>214</v>
      </c>
      <c r="I303" s="36" t="s">
        <v>203</v>
      </c>
      <c r="J303" s="29"/>
      <c r="K303" s="138"/>
      <c r="L303" s="37" t="s">
        <v>194</v>
      </c>
      <c r="M303" s="37" t="s">
        <v>194</v>
      </c>
      <c r="N303" s="37" t="s">
        <v>194</v>
      </c>
      <c r="O303" s="37" t="s">
        <v>194</v>
      </c>
      <c r="P303" s="37" t="s">
        <v>1874</v>
      </c>
      <c r="Q303" s="37" t="s">
        <v>1875</v>
      </c>
      <c r="R303" s="41">
        <v>46264.0</v>
      </c>
      <c r="S303" s="42">
        <v>3.0</v>
      </c>
      <c r="T303" s="44" t="s">
        <v>1483</v>
      </c>
      <c r="U303" s="45" t="str">
        <f>IF(records[Type]="Room",records[roomNo],records[roomNo]&amp;"-"&amp;SUBSTITUTE(RIGHT(records[roomNo]&amp;records[Type],2),"-",""))</f>
        <v>16-1-104-PB</v>
      </c>
      <c r="V303" s="47" t="str">
        <f t="array" ref="V303">_xlfn.XLOOKUP(records[ID], dAir[roomNo], dAir[roomName])</f>
        <v>AMPOULES INTERNAL STAGING (Passbox)</v>
      </c>
      <c r="W303" s="47" t="str">
        <f t="array" ref="W303">_xlfn.XLOOKUP(records[ID], dAir[roomNo], dAir[building])</f>
        <v>Building 16</v>
      </c>
      <c r="X303" s="47" t="str">
        <f t="array" ref="X303">_xlfn.XLOOKUP(records[ID], dAir[roomNo], dAir[floor])</f>
        <v>Floor 1</v>
      </c>
      <c r="Y303" s="45" t="str">
        <f t="array" ref="Y303">_xlfn.XLOOKUP(records[ID], dAir[roomNo], dAir[Class])</f>
        <v>C</v>
      </c>
      <c r="Z303" s="45">
        <f t="array" ref="Z303">_xlfn.XLOOKUP(records[Method]&amp;"-"&amp;records[Class], dAirSpec[ID], dAirSpec[Spec])</f>
        <v>100</v>
      </c>
      <c r="AA303" s="45" t="str">
        <f t="array" ref="AA303">_xlfn.XLOOKUP(records[Method]&amp;"-"&amp;records[Class], dAirSpec[ID], dAirSpec[Unit])</f>
        <v>cfu/m3</v>
      </c>
      <c r="AB303" s="45">
        <f t="array" ref="AB303">if(S303="","", if(records[Method]="Active Air",_xlfn.xlookup(records[ColonyCount]&amp;records[AirSampler],feller[code],feller[Vc]),records[ColonyCount]))</f>
        <v>3</v>
      </c>
      <c r="AC303" s="60" t="b">
        <f t="shared" si="1"/>
        <v>1</v>
      </c>
      <c r="AD303" s="61" t="b">
        <v>0</v>
      </c>
      <c r="AE303" s="32" t="s">
        <v>235</v>
      </c>
      <c r="AF303" s="46"/>
      <c r="AG303" s="46"/>
      <c r="AH303" s="46"/>
      <c r="AI303" s="46"/>
      <c r="AJ303" s="46"/>
    </row>
    <row r="304" ht="22.5" customHeight="1">
      <c r="A304" s="27">
        <v>46215.0</v>
      </c>
      <c r="B304" s="34" t="str">
        <f t="array" ref="B304">TEXT(A304, "MM-YYYY")</f>
        <v>07-2026</v>
      </c>
      <c r="C304" s="39" t="s">
        <v>754</v>
      </c>
      <c r="D304" s="36" t="s">
        <v>210</v>
      </c>
      <c r="E304" s="36" t="s">
        <v>531</v>
      </c>
      <c r="F304" s="37" t="s">
        <v>58</v>
      </c>
      <c r="G304" s="29" t="b">
        <v>1</v>
      </c>
      <c r="H304" s="36" t="s">
        <v>214</v>
      </c>
      <c r="I304" s="36" t="s">
        <v>534</v>
      </c>
      <c r="J304" s="29"/>
      <c r="K304" s="138"/>
      <c r="L304" s="37" t="s">
        <v>194</v>
      </c>
      <c r="M304" s="37" t="s">
        <v>194</v>
      </c>
      <c r="N304" s="37" t="s">
        <v>194</v>
      </c>
      <c r="O304" s="37" t="s">
        <v>194</v>
      </c>
      <c r="P304" s="37" t="s">
        <v>1874</v>
      </c>
      <c r="Q304" s="37" t="s">
        <v>1875</v>
      </c>
      <c r="R304" s="41">
        <v>46264.0</v>
      </c>
      <c r="S304" s="42">
        <v>1.0</v>
      </c>
      <c r="T304" s="44" t="s">
        <v>194</v>
      </c>
      <c r="U304" s="45" t="str">
        <f>IF(records[Type]="Room",records[roomNo],records[roomNo]&amp;"-"&amp;SUBSTITUTE(RIGHT(records[roomNo]&amp;records[Type],2),"-",""))</f>
        <v>16-1-105</v>
      </c>
      <c r="V304" s="47" t="str">
        <f t="array" ref="V304">_xlfn.XLOOKUP(records[ID], dAir[roomNo], dAir[roomName])</f>
        <v>WASHING / TUNNEL 1</v>
      </c>
      <c r="W304" s="47" t="str">
        <f t="array" ref="W304">_xlfn.XLOOKUP(records[ID], dAir[roomNo], dAir[building])</f>
        <v>Building 16</v>
      </c>
      <c r="X304" s="47" t="str">
        <f t="array" ref="X304">_xlfn.XLOOKUP(records[ID], dAir[roomNo], dAir[floor])</f>
        <v>Floor 1</v>
      </c>
      <c r="Y304" s="45" t="str">
        <f t="array" ref="Y304">_xlfn.XLOOKUP(records[ID], dAir[roomNo], dAir[Class])</f>
        <v>C</v>
      </c>
      <c r="Z304" s="45">
        <f t="array" ref="Z304">_xlfn.XLOOKUP(records[Method]&amp;"-"&amp;records[Class], dAirSpec[ID], dAirSpec[Spec])</f>
        <v>100</v>
      </c>
      <c r="AA304" s="45" t="str">
        <f t="array" ref="AA304">_xlfn.XLOOKUP(records[Method]&amp;"-"&amp;records[Class], dAirSpec[ID], dAirSpec[Unit])</f>
        <v>cfu/m3</v>
      </c>
      <c r="AB304" s="45">
        <f t="array" ref="AB304">if(S304="","", if(records[Method]="Active Air",_xlfn.xlookup(records[ColonyCount]&amp;records[AirSampler],feller[code],feller[Vc]),records[ColonyCount]))</f>
        <v>1</v>
      </c>
      <c r="AC304" s="60" t="b">
        <f t="shared" si="1"/>
        <v>1</v>
      </c>
      <c r="AD304" s="61" t="b">
        <v>0</v>
      </c>
      <c r="AE304" s="32" t="s">
        <v>235</v>
      </c>
      <c r="AF304" s="46"/>
      <c r="AG304" s="46"/>
      <c r="AH304" s="46"/>
      <c r="AI304" s="46"/>
      <c r="AJ304" s="46"/>
    </row>
    <row r="305" ht="22.5" customHeight="1">
      <c r="A305" s="27">
        <v>46215.0</v>
      </c>
      <c r="B305" s="34" t="str">
        <f t="array" ref="B305">TEXT(A305, "MM-YYYY")</f>
        <v>07-2026</v>
      </c>
      <c r="C305" s="39" t="s">
        <v>1498</v>
      </c>
      <c r="D305" s="36" t="s">
        <v>210</v>
      </c>
      <c r="E305" s="36" t="s">
        <v>531</v>
      </c>
      <c r="F305" s="37" t="s">
        <v>58</v>
      </c>
      <c r="G305" s="29" t="b">
        <v>1</v>
      </c>
      <c r="H305" s="36" t="s">
        <v>214</v>
      </c>
      <c r="I305" s="36" t="s">
        <v>534</v>
      </c>
      <c r="J305" s="29"/>
      <c r="K305" s="138"/>
      <c r="L305" s="37" t="s">
        <v>194</v>
      </c>
      <c r="M305" s="37" t="s">
        <v>194</v>
      </c>
      <c r="N305" s="37" t="s">
        <v>194</v>
      </c>
      <c r="O305" s="37" t="s">
        <v>194</v>
      </c>
      <c r="P305" s="37" t="s">
        <v>1874</v>
      </c>
      <c r="Q305" s="37" t="s">
        <v>1875</v>
      </c>
      <c r="R305" s="41">
        <v>46264.0</v>
      </c>
      <c r="S305" s="42">
        <v>0.0</v>
      </c>
      <c r="T305" s="44" t="s">
        <v>194</v>
      </c>
      <c r="U305" s="45" t="str">
        <f>IF(records[Type]="Room",records[roomNo],records[roomNo]&amp;"-"&amp;SUBSTITUTE(RIGHT(records[roomNo]&amp;records[Type],2),"-",""))</f>
        <v>16-1-106</v>
      </c>
      <c r="V305" s="47" t="str">
        <f t="array" ref="V305">_xlfn.XLOOKUP(records[ID], dAir[roomNo], dAir[roomName])</f>
        <v>AIRLOCK</v>
      </c>
      <c r="W305" s="47" t="str">
        <f t="array" ref="W305">_xlfn.XLOOKUP(records[ID], dAir[roomNo], dAir[building])</f>
        <v>Building 16</v>
      </c>
      <c r="X305" s="47" t="str">
        <f t="array" ref="X305">_xlfn.XLOOKUP(records[ID], dAir[roomNo], dAir[floor])</f>
        <v>Floor 1</v>
      </c>
      <c r="Y305" s="45" t="str">
        <f t="array" ref="Y305">_xlfn.XLOOKUP(records[ID], dAir[roomNo], dAir[Class])</f>
        <v>C</v>
      </c>
      <c r="Z305" s="45">
        <f t="array" ref="Z305">_xlfn.XLOOKUP(records[Method]&amp;"-"&amp;records[Class], dAirSpec[ID], dAirSpec[Spec])</f>
        <v>100</v>
      </c>
      <c r="AA305" s="45" t="str">
        <f t="array" ref="AA305">_xlfn.XLOOKUP(records[Method]&amp;"-"&amp;records[Class], dAirSpec[ID], dAirSpec[Unit])</f>
        <v>cfu/m3</v>
      </c>
      <c r="AB305" s="45">
        <f t="array" ref="AB305">if(S305="","", if(records[Method]="Active Air",_xlfn.xlookup(records[ColonyCount]&amp;records[AirSampler],feller[code],feller[Vc]),records[ColonyCount]))</f>
        <v>0</v>
      </c>
      <c r="AC305" s="60" t="b">
        <f t="shared" si="1"/>
        <v>1</v>
      </c>
      <c r="AD305" s="61" t="b">
        <v>0</v>
      </c>
      <c r="AE305" s="32" t="s">
        <v>235</v>
      </c>
      <c r="AF305" s="46"/>
      <c r="AG305" s="46"/>
      <c r="AH305" s="46"/>
      <c r="AI305" s="46"/>
      <c r="AJ305" s="46"/>
    </row>
    <row r="306" ht="22.5" customHeight="1">
      <c r="A306" s="27">
        <v>46215.0</v>
      </c>
      <c r="B306" s="34" t="str">
        <f t="array" ref="B306">TEXT(A306, "MM-YYYY")</f>
        <v>07-2026</v>
      </c>
      <c r="C306" s="39" t="s">
        <v>763</v>
      </c>
      <c r="D306" s="36" t="s">
        <v>210</v>
      </c>
      <c r="E306" s="36" t="s">
        <v>531</v>
      </c>
      <c r="F306" s="37" t="s">
        <v>58</v>
      </c>
      <c r="G306" s="29" t="b">
        <v>1</v>
      </c>
      <c r="H306" s="36" t="s">
        <v>214</v>
      </c>
      <c r="I306" s="36" t="s">
        <v>534</v>
      </c>
      <c r="J306" s="29"/>
      <c r="K306" s="138"/>
      <c r="L306" s="37" t="s">
        <v>194</v>
      </c>
      <c r="M306" s="37" t="s">
        <v>194</v>
      </c>
      <c r="N306" s="37" t="s">
        <v>194</v>
      </c>
      <c r="O306" s="37" t="s">
        <v>194</v>
      </c>
      <c r="P306" s="37" t="s">
        <v>1874</v>
      </c>
      <c r="Q306" s="37" t="s">
        <v>1875</v>
      </c>
      <c r="R306" s="41">
        <v>46264.0</v>
      </c>
      <c r="S306" s="42">
        <v>0.0</v>
      </c>
      <c r="T306" s="44" t="s">
        <v>194</v>
      </c>
      <c r="U306" s="45" t="str">
        <f>IF(records[Type]="Room",records[roomNo],records[roomNo]&amp;"-"&amp;SUBSTITUTE(RIGHT(records[roomNo]&amp;records[Type],2),"-",""))</f>
        <v>16-1-107</v>
      </c>
      <c r="V306" s="47" t="str">
        <f t="array" ref="V306">_xlfn.XLOOKUP(records[ID], dAir[roomNo], dAir[roomName])</f>
        <v>COMPOUNDING 1</v>
      </c>
      <c r="W306" s="47" t="str">
        <f t="array" ref="W306">_xlfn.XLOOKUP(records[ID], dAir[roomNo], dAir[building])</f>
        <v>Building 16</v>
      </c>
      <c r="X306" s="47" t="str">
        <f t="array" ref="X306">_xlfn.XLOOKUP(records[ID], dAir[roomNo], dAir[floor])</f>
        <v>Floor 1</v>
      </c>
      <c r="Y306" s="45" t="str">
        <f t="array" ref="Y306">_xlfn.XLOOKUP(records[ID], dAir[roomNo], dAir[Class])</f>
        <v>C</v>
      </c>
      <c r="Z306" s="45">
        <f t="array" ref="Z306">_xlfn.XLOOKUP(records[Method]&amp;"-"&amp;records[Class], dAirSpec[ID], dAirSpec[Spec])</f>
        <v>100</v>
      </c>
      <c r="AA306" s="45" t="str">
        <f t="array" ref="AA306">_xlfn.XLOOKUP(records[Method]&amp;"-"&amp;records[Class], dAirSpec[ID], dAirSpec[Unit])</f>
        <v>cfu/m3</v>
      </c>
      <c r="AB306" s="45">
        <f t="array" ref="AB306">if(S306="","", if(records[Method]="Active Air",_xlfn.xlookup(records[ColonyCount]&amp;records[AirSampler],feller[code],feller[Vc]),records[ColonyCount]))</f>
        <v>0</v>
      </c>
      <c r="AC306" s="60" t="b">
        <f t="shared" si="1"/>
        <v>1</v>
      </c>
      <c r="AD306" s="61" t="b">
        <v>0</v>
      </c>
      <c r="AE306" s="32" t="s">
        <v>235</v>
      </c>
      <c r="AF306" s="46"/>
      <c r="AG306" s="46"/>
      <c r="AH306" s="46"/>
      <c r="AI306" s="46"/>
      <c r="AJ306" s="46"/>
    </row>
    <row r="307" ht="22.5" customHeight="1">
      <c r="A307" s="27">
        <v>46215.0</v>
      </c>
      <c r="B307" s="34" t="str">
        <f t="array" ref="B307">TEXT(A307, "MM-YYYY")</f>
        <v>07-2026</v>
      </c>
      <c r="C307" s="39" t="s">
        <v>1499</v>
      </c>
      <c r="D307" s="36" t="s">
        <v>210</v>
      </c>
      <c r="E307" s="36" t="s">
        <v>531</v>
      </c>
      <c r="F307" s="37" t="s">
        <v>58</v>
      </c>
      <c r="G307" s="29" t="b">
        <v>1</v>
      </c>
      <c r="H307" s="36" t="s">
        <v>214</v>
      </c>
      <c r="I307" s="36" t="s">
        <v>534</v>
      </c>
      <c r="J307" s="29"/>
      <c r="K307" s="138"/>
      <c r="L307" s="37" t="s">
        <v>194</v>
      </c>
      <c r="M307" s="37" t="s">
        <v>194</v>
      </c>
      <c r="N307" s="37" t="s">
        <v>194</v>
      </c>
      <c r="O307" s="37" t="s">
        <v>194</v>
      </c>
      <c r="P307" s="37" t="s">
        <v>1874</v>
      </c>
      <c r="Q307" s="37" t="s">
        <v>1875</v>
      </c>
      <c r="R307" s="41">
        <v>46264.0</v>
      </c>
      <c r="S307" s="42">
        <v>1.0</v>
      </c>
      <c r="T307" s="44" t="s">
        <v>194</v>
      </c>
      <c r="U307" s="45" t="str">
        <f>IF(records[Type]="Room",records[roomNo],records[roomNo]&amp;"-"&amp;SUBSTITUTE(RIGHT(records[roomNo]&amp;records[Type],2),"-",""))</f>
        <v>16-1-108</v>
      </c>
      <c r="V307" s="47" t="str">
        <f t="array" ref="V307">_xlfn.XLOOKUP(records[ID], dAir[roomNo], dAir[roomName])</f>
        <v>CLEANED EQUIPMENT</v>
      </c>
      <c r="W307" s="47" t="str">
        <f t="array" ref="W307">_xlfn.XLOOKUP(records[ID], dAir[roomNo], dAir[building])</f>
        <v>Building 16</v>
      </c>
      <c r="X307" s="47" t="str">
        <f t="array" ref="X307">_xlfn.XLOOKUP(records[ID], dAir[roomNo], dAir[floor])</f>
        <v>Floor 1</v>
      </c>
      <c r="Y307" s="45" t="str">
        <f t="array" ref="Y307">_xlfn.XLOOKUP(records[ID], dAir[roomNo], dAir[Class])</f>
        <v>C</v>
      </c>
      <c r="Z307" s="45">
        <f t="array" ref="Z307">_xlfn.XLOOKUP(records[Method]&amp;"-"&amp;records[Class], dAirSpec[ID], dAirSpec[Spec])</f>
        <v>100</v>
      </c>
      <c r="AA307" s="45" t="str">
        <f t="array" ref="AA307">_xlfn.XLOOKUP(records[Method]&amp;"-"&amp;records[Class], dAirSpec[ID], dAirSpec[Unit])</f>
        <v>cfu/m3</v>
      </c>
      <c r="AB307" s="45">
        <f t="array" ref="AB307">if(S307="","", if(records[Method]="Active Air",_xlfn.xlookup(records[ColonyCount]&amp;records[AirSampler],feller[code],feller[Vc]),records[ColonyCount]))</f>
        <v>1</v>
      </c>
      <c r="AC307" s="60" t="b">
        <f t="shared" si="1"/>
        <v>1</v>
      </c>
      <c r="AD307" s="61" t="b">
        <v>0</v>
      </c>
      <c r="AE307" s="32" t="s">
        <v>235</v>
      </c>
      <c r="AF307" s="46"/>
      <c r="AG307" s="46"/>
      <c r="AH307" s="46"/>
      <c r="AI307" s="46"/>
      <c r="AJ307" s="46"/>
    </row>
    <row r="308" ht="22.5" customHeight="1">
      <c r="A308" s="27">
        <v>46215.0</v>
      </c>
      <c r="B308" s="34" t="str">
        <f t="array" ref="B308">TEXT(A308, "MM-YYYY")</f>
        <v>07-2026</v>
      </c>
      <c r="C308" s="39" t="s">
        <v>769</v>
      </c>
      <c r="D308" s="36" t="s">
        <v>210</v>
      </c>
      <c r="E308" s="36" t="s">
        <v>531</v>
      </c>
      <c r="F308" s="37" t="s">
        <v>58</v>
      </c>
      <c r="G308" s="29" t="b">
        <v>1</v>
      </c>
      <c r="H308" s="36" t="s">
        <v>214</v>
      </c>
      <c r="I308" s="36" t="s">
        <v>203</v>
      </c>
      <c r="J308" s="29"/>
      <c r="K308" s="138"/>
      <c r="L308" s="37" t="s">
        <v>194</v>
      </c>
      <c r="M308" s="37" t="s">
        <v>194</v>
      </c>
      <c r="N308" s="37" t="s">
        <v>194</v>
      </c>
      <c r="O308" s="37" t="s">
        <v>194</v>
      </c>
      <c r="P308" s="37" t="s">
        <v>1874</v>
      </c>
      <c r="Q308" s="37" t="s">
        <v>1875</v>
      </c>
      <c r="R308" s="41">
        <v>46264.0</v>
      </c>
      <c r="S308" s="42">
        <v>0.0</v>
      </c>
      <c r="T308" s="44" t="s">
        <v>194</v>
      </c>
      <c r="U308" s="45" t="str">
        <f>IF(records[Type]="Room",records[roomNo],records[roomNo]&amp;"-"&amp;SUBSTITUTE(RIGHT(records[roomNo]&amp;records[Type],2),"-",""))</f>
        <v>16-1-109</v>
      </c>
      <c r="V308" s="47" t="str">
        <f t="array" ref="V308">_xlfn.XLOOKUP(records[ID], dAir[roomNo], dAir[roomName])</f>
        <v>DRYING</v>
      </c>
      <c r="W308" s="47" t="str">
        <f t="array" ref="W308">_xlfn.XLOOKUP(records[ID], dAir[roomNo], dAir[building])</f>
        <v>Building 16</v>
      </c>
      <c r="X308" s="47" t="str">
        <f t="array" ref="X308">_xlfn.XLOOKUP(records[ID], dAir[roomNo], dAir[floor])</f>
        <v>Floor 1</v>
      </c>
      <c r="Y308" s="45" t="str">
        <f t="array" ref="Y308">_xlfn.XLOOKUP(records[ID], dAir[roomNo], dAir[Class])</f>
        <v>C</v>
      </c>
      <c r="Z308" s="45">
        <f t="array" ref="Z308">_xlfn.XLOOKUP(records[Method]&amp;"-"&amp;records[Class], dAirSpec[ID], dAirSpec[Spec])</f>
        <v>100</v>
      </c>
      <c r="AA308" s="45" t="str">
        <f t="array" ref="AA308">_xlfn.XLOOKUP(records[Method]&amp;"-"&amp;records[Class], dAirSpec[ID], dAirSpec[Unit])</f>
        <v>cfu/m3</v>
      </c>
      <c r="AB308" s="45">
        <f t="array" ref="AB308">if(S308="","", if(records[Method]="Active Air",_xlfn.xlookup(records[ColonyCount]&amp;records[AirSampler],feller[code],feller[Vc]),records[ColonyCount]))</f>
        <v>0</v>
      </c>
      <c r="AC308" s="60" t="b">
        <f t="shared" si="1"/>
        <v>1</v>
      </c>
      <c r="AD308" s="61" t="b">
        <v>0</v>
      </c>
      <c r="AE308" s="32" t="s">
        <v>235</v>
      </c>
      <c r="AF308" s="46"/>
      <c r="AG308" s="46"/>
      <c r="AH308" s="46"/>
      <c r="AI308" s="46"/>
      <c r="AJ308" s="46"/>
    </row>
    <row r="309" ht="22.5" customHeight="1">
      <c r="A309" s="27">
        <v>46215.0</v>
      </c>
      <c r="B309" s="34" t="str">
        <f t="array" ref="B309">TEXT(A309, "MM-YYYY")</f>
        <v>07-2026</v>
      </c>
      <c r="C309" s="39" t="s">
        <v>1024</v>
      </c>
      <c r="D309" s="36" t="s">
        <v>210</v>
      </c>
      <c r="E309" s="36" t="s">
        <v>531</v>
      </c>
      <c r="F309" s="37" t="s">
        <v>58</v>
      </c>
      <c r="G309" s="29" t="b">
        <v>1</v>
      </c>
      <c r="H309" s="36" t="s">
        <v>214</v>
      </c>
      <c r="I309" s="36" t="s">
        <v>534</v>
      </c>
      <c r="J309" s="29"/>
      <c r="K309" s="138"/>
      <c r="L309" s="37" t="s">
        <v>194</v>
      </c>
      <c r="M309" s="37" t="s">
        <v>194</v>
      </c>
      <c r="N309" s="37" t="s">
        <v>194</v>
      </c>
      <c r="O309" s="37" t="s">
        <v>194</v>
      </c>
      <c r="P309" s="37" t="s">
        <v>1874</v>
      </c>
      <c r="Q309" s="37" t="s">
        <v>1875</v>
      </c>
      <c r="R309" s="41">
        <v>46264.0</v>
      </c>
      <c r="S309" s="42">
        <v>2.0</v>
      </c>
      <c r="T309" s="44" t="s">
        <v>194</v>
      </c>
      <c r="U309" s="45" t="str">
        <f>IF(records[Type]="Room",records[roomNo],records[roomNo]&amp;"-"&amp;SUBSTITUTE(RIGHT(records[roomNo]&amp;records[Type],2),"-",""))</f>
        <v>16-1-110</v>
      </c>
      <c r="V309" s="47" t="str">
        <f t="array" ref="V309">_xlfn.XLOOKUP(records[ID], dAir[roomNo], dAir[roomName])</f>
        <v>DISINFECTANT PREPARATION</v>
      </c>
      <c r="W309" s="47" t="str">
        <f t="array" ref="W309">_xlfn.XLOOKUP(records[ID], dAir[roomNo], dAir[building])</f>
        <v>Building 16</v>
      </c>
      <c r="X309" s="47" t="str">
        <f t="array" ref="X309">_xlfn.XLOOKUP(records[ID], dAir[roomNo], dAir[floor])</f>
        <v>Floor 1</v>
      </c>
      <c r="Y309" s="45" t="str">
        <f t="array" ref="Y309">_xlfn.XLOOKUP(records[ID], dAir[roomNo], dAir[Class])</f>
        <v>C</v>
      </c>
      <c r="Z309" s="45">
        <f t="array" ref="Z309">_xlfn.XLOOKUP(records[Method]&amp;"-"&amp;records[Class], dAirSpec[ID], dAirSpec[Spec])</f>
        <v>100</v>
      </c>
      <c r="AA309" s="45" t="str">
        <f t="array" ref="AA309">_xlfn.XLOOKUP(records[Method]&amp;"-"&amp;records[Class], dAirSpec[ID], dAirSpec[Unit])</f>
        <v>cfu/m3</v>
      </c>
      <c r="AB309" s="45">
        <f t="array" ref="AB309">if(S309="","", if(records[Method]="Active Air",_xlfn.xlookup(records[ColonyCount]&amp;records[AirSampler],feller[code],feller[Vc]),records[ColonyCount]))</f>
        <v>2</v>
      </c>
      <c r="AC309" s="60" t="b">
        <f t="shared" si="1"/>
        <v>1</v>
      </c>
      <c r="AD309" s="61" t="b">
        <v>0</v>
      </c>
      <c r="AE309" s="32" t="s">
        <v>235</v>
      </c>
      <c r="AF309" s="46"/>
      <c r="AG309" s="46"/>
      <c r="AH309" s="46"/>
      <c r="AI309" s="46"/>
      <c r="AJ309" s="46"/>
    </row>
    <row r="310" ht="22.5" customHeight="1">
      <c r="A310" s="27">
        <v>46215.0</v>
      </c>
      <c r="B310" s="34" t="str">
        <f t="array" ref="B310">TEXT(A310, "MM-YYYY")</f>
        <v>07-2026</v>
      </c>
      <c r="C310" s="39" t="s">
        <v>1500</v>
      </c>
      <c r="D310" s="36" t="s">
        <v>210</v>
      </c>
      <c r="E310" s="36" t="s">
        <v>531</v>
      </c>
      <c r="F310" s="37" t="s">
        <v>58</v>
      </c>
      <c r="G310" s="29" t="b">
        <v>1</v>
      </c>
      <c r="H310" s="36" t="s">
        <v>214</v>
      </c>
      <c r="I310" s="36" t="s">
        <v>534</v>
      </c>
      <c r="J310" s="29"/>
      <c r="K310" s="138"/>
      <c r="L310" s="37" t="s">
        <v>194</v>
      </c>
      <c r="M310" s="37" t="s">
        <v>194</v>
      </c>
      <c r="N310" s="37" t="s">
        <v>194</v>
      </c>
      <c r="O310" s="37" t="s">
        <v>194</v>
      </c>
      <c r="P310" s="37" t="s">
        <v>1874</v>
      </c>
      <c r="Q310" s="37" t="s">
        <v>1875</v>
      </c>
      <c r="R310" s="41">
        <v>46264.0</v>
      </c>
      <c r="S310" s="42">
        <v>3.0</v>
      </c>
      <c r="T310" s="44" t="s">
        <v>194</v>
      </c>
      <c r="U310" s="45" t="str">
        <f>IF(records[Type]="Room",records[roomNo],records[roomNo]&amp;"-"&amp;SUBSTITUTE(RIGHT(records[roomNo]&amp;records[Type],2),"-",""))</f>
        <v>16-1-111</v>
      </c>
      <c r="V310" s="47" t="str">
        <f t="array" ref="V310">_xlfn.XLOOKUP(records[ID], dAir[roomNo], dAir[roomName])</f>
        <v>COMPONENT PREPARATION</v>
      </c>
      <c r="W310" s="47" t="str">
        <f t="array" ref="W310">_xlfn.XLOOKUP(records[ID], dAir[roomNo], dAir[building])</f>
        <v>Building 16</v>
      </c>
      <c r="X310" s="47" t="str">
        <f t="array" ref="X310">_xlfn.XLOOKUP(records[ID], dAir[roomNo], dAir[floor])</f>
        <v>Floor 1</v>
      </c>
      <c r="Y310" s="45" t="str">
        <f t="array" ref="Y310">_xlfn.XLOOKUP(records[ID], dAir[roomNo], dAir[Class])</f>
        <v>C</v>
      </c>
      <c r="Z310" s="45">
        <f t="array" ref="Z310">_xlfn.XLOOKUP(records[Method]&amp;"-"&amp;records[Class], dAirSpec[ID], dAirSpec[Spec])</f>
        <v>100</v>
      </c>
      <c r="AA310" s="45" t="str">
        <f t="array" ref="AA310">_xlfn.XLOOKUP(records[Method]&amp;"-"&amp;records[Class], dAirSpec[ID], dAirSpec[Unit])</f>
        <v>cfu/m3</v>
      </c>
      <c r="AB310" s="45">
        <f t="array" ref="AB310">if(S310="","", if(records[Method]="Active Air",_xlfn.xlookup(records[ColonyCount]&amp;records[AirSampler],feller[code],feller[Vc]),records[ColonyCount]))</f>
        <v>3</v>
      </c>
      <c r="AC310" s="60" t="b">
        <f t="shared" si="1"/>
        <v>1</v>
      </c>
      <c r="AD310" s="61" t="b">
        <v>0</v>
      </c>
      <c r="AE310" s="32" t="s">
        <v>235</v>
      </c>
      <c r="AF310" s="46"/>
      <c r="AG310" s="46"/>
      <c r="AH310" s="46"/>
      <c r="AI310" s="46"/>
      <c r="AJ310" s="46"/>
    </row>
    <row r="311" ht="22.5" customHeight="1">
      <c r="A311" s="27">
        <v>46215.0</v>
      </c>
      <c r="B311" s="34" t="str">
        <f t="array" ref="B311">TEXT(A311, "MM-YYYY")</f>
        <v>07-2026</v>
      </c>
      <c r="C311" s="39" t="s">
        <v>1502</v>
      </c>
      <c r="D311" s="36" t="s">
        <v>210</v>
      </c>
      <c r="E311" s="36" t="s">
        <v>531</v>
      </c>
      <c r="F311" s="37" t="s">
        <v>58</v>
      </c>
      <c r="G311" s="29" t="b">
        <v>1</v>
      </c>
      <c r="H311" s="36" t="s">
        <v>214</v>
      </c>
      <c r="I311" s="36" t="s">
        <v>534</v>
      </c>
      <c r="J311" s="29"/>
      <c r="K311" s="138"/>
      <c r="L311" s="37" t="s">
        <v>194</v>
      </c>
      <c r="M311" s="37" t="s">
        <v>194</v>
      </c>
      <c r="N311" s="37" t="s">
        <v>194</v>
      </c>
      <c r="O311" s="37" t="s">
        <v>194</v>
      </c>
      <c r="P311" s="37" t="s">
        <v>1874</v>
      </c>
      <c r="Q311" s="37" t="s">
        <v>1875</v>
      </c>
      <c r="R311" s="41">
        <v>46264.0</v>
      </c>
      <c r="S311" s="42">
        <v>12.0</v>
      </c>
      <c r="T311" s="29" t="s">
        <v>1043</v>
      </c>
      <c r="U311" s="45" t="str">
        <f>IF(records[Type]="Room",records[roomNo],records[roomNo]&amp;"-"&amp;SUBSTITUTE(RIGHT(records[roomNo]&amp;records[Type],2),"-",""))</f>
        <v>16-1-112</v>
      </c>
      <c r="V311" s="47" t="str">
        <f t="array" ref="V311">_xlfn.XLOOKUP(records[ID], dAir[roomNo], dAir[roomName])</f>
        <v>PASSAGE</v>
      </c>
      <c r="W311" s="47" t="str">
        <f t="array" ref="W311">_xlfn.XLOOKUP(records[ID], dAir[roomNo], dAir[building])</f>
        <v>Building 16</v>
      </c>
      <c r="X311" s="47" t="str">
        <f t="array" ref="X311">_xlfn.XLOOKUP(records[ID], dAir[roomNo], dAir[floor])</f>
        <v>Floor 1</v>
      </c>
      <c r="Y311" s="45" t="str">
        <f t="array" ref="Y311">_xlfn.XLOOKUP(records[ID], dAir[roomNo], dAir[Class])</f>
        <v>C</v>
      </c>
      <c r="Z311" s="45">
        <f t="array" ref="Z311">_xlfn.XLOOKUP(records[Method]&amp;"-"&amp;records[Class], dAirSpec[ID], dAirSpec[Spec])</f>
        <v>100</v>
      </c>
      <c r="AA311" s="45" t="str">
        <f t="array" ref="AA311">_xlfn.XLOOKUP(records[Method]&amp;"-"&amp;records[Class], dAirSpec[ID], dAirSpec[Unit])</f>
        <v>cfu/m3</v>
      </c>
      <c r="AB311" s="45">
        <f t="array" ref="AB311">if(S311="","", if(records[Method]="Active Air",_xlfn.xlookup(records[ColonyCount]&amp;records[AirSampler],feller[code],feller[Vc]),records[ColonyCount]))</f>
        <v>12</v>
      </c>
      <c r="AC311" s="60" t="b">
        <f t="shared" si="1"/>
        <v>1</v>
      </c>
      <c r="AD311" s="61" t="b">
        <v>0</v>
      </c>
      <c r="AE311" s="32" t="s">
        <v>235</v>
      </c>
      <c r="AF311" s="46"/>
      <c r="AG311" s="46"/>
      <c r="AH311" s="46"/>
      <c r="AI311" s="46"/>
      <c r="AJ311" s="46"/>
    </row>
    <row r="312" ht="22.5" customHeight="1">
      <c r="A312" s="27">
        <v>46215.0</v>
      </c>
      <c r="B312" s="34" t="str">
        <f t="array" ref="B312">TEXT(A312, "MM-YYYY")</f>
        <v>07-2026</v>
      </c>
      <c r="C312" s="39" t="s">
        <v>1503</v>
      </c>
      <c r="D312" s="36" t="s">
        <v>210</v>
      </c>
      <c r="E312" s="36" t="s">
        <v>531</v>
      </c>
      <c r="F312" s="37" t="s">
        <v>58</v>
      </c>
      <c r="G312" s="29" t="b">
        <v>1</v>
      </c>
      <c r="H312" s="36" t="s">
        <v>214</v>
      </c>
      <c r="I312" s="36" t="s">
        <v>534</v>
      </c>
      <c r="J312" s="29"/>
      <c r="K312" s="138"/>
      <c r="L312" s="37" t="s">
        <v>194</v>
      </c>
      <c r="M312" s="37" t="s">
        <v>194</v>
      </c>
      <c r="N312" s="37" t="s">
        <v>194</v>
      </c>
      <c r="O312" s="37" t="s">
        <v>194</v>
      </c>
      <c r="P312" s="37" t="s">
        <v>1874</v>
      </c>
      <c r="Q312" s="37" t="s">
        <v>1875</v>
      </c>
      <c r="R312" s="41">
        <v>46264.0</v>
      </c>
      <c r="S312" s="42">
        <v>0.0</v>
      </c>
      <c r="T312" s="44" t="s">
        <v>194</v>
      </c>
      <c r="U312" s="45" t="str">
        <f>IF(records[Type]="Room",records[roomNo],records[roomNo]&amp;"-"&amp;SUBSTITUTE(RIGHT(records[roomNo]&amp;records[Type],2),"-",""))</f>
        <v>16-1-113</v>
      </c>
      <c r="V312" s="47" t="str">
        <f t="array" ref="V312">_xlfn.XLOOKUP(records[ID], dAir[roomNo], dAir[roomName])</f>
        <v>AIRLOCK</v>
      </c>
      <c r="W312" s="47" t="str">
        <f t="array" ref="W312">_xlfn.XLOOKUP(records[ID], dAir[roomNo], dAir[building])</f>
        <v>Building 16</v>
      </c>
      <c r="X312" s="47" t="str">
        <f t="array" ref="X312">_xlfn.XLOOKUP(records[ID], dAir[roomNo], dAir[floor])</f>
        <v>Floor 1</v>
      </c>
      <c r="Y312" s="45" t="str">
        <f t="array" ref="Y312">_xlfn.XLOOKUP(records[ID], dAir[roomNo], dAir[Class])</f>
        <v>C</v>
      </c>
      <c r="Z312" s="45">
        <f t="array" ref="Z312">_xlfn.XLOOKUP(records[Method]&amp;"-"&amp;records[Class], dAirSpec[ID], dAirSpec[Spec])</f>
        <v>100</v>
      </c>
      <c r="AA312" s="45" t="str">
        <f t="array" ref="AA312">_xlfn.XLOOKUP(records[Method]&amp;"-"&amp;records[Class], dAirSpec[ID], dAirSpec[Unit])</f>
        <v>cfu/m3</v>
      </c>
      <c r="AB312" s="45">
        <f t="array" ref="AB312">if(S312="","", if(records[Method]="Active Air",_xlfn.xlookup(records[ColonyCount]&amp;records[AirSampler],feller[code],feller[Vc]),records[ColonyCount]))</f>
        <v>0</v>
      </c>
      <c r="AC312" s="60" t="b">
        <f t="shared" si="1"/>
        <v>1</v>
      </c>
      <c r="AD312" s="61" t="b">
        <v>0</v>
      </c>
      <c r="AE312" s="32" t="s">
        <v>235</v>
      </c>
      <c r="AF312" s="46"/>
      <c r="AG312" s="46"/>
      <c r="AH312" s="46"/>
      <c r="AI312" s="46"/>
      <c r="AJ312" s="46"/>
    </row>
    <row r="313" ht="22.5" customHeight="1">
      <c r="A313" s="27">
        <v>46215.0</v>
      </c>
      <c r="B313" s="34" t="str">
        <f t="array" ref="B313">TEXT(A313, "MM-YYYY")</f>
        <v>07-2026</v>
      </c>
      <c r="C313" s="39" t="s">
        <v>776</v>
      </c>
      <c r="D313" s="36" t="s">
        <v>210</v>
      </c>
      <c r="E313" s="36" t="s">
        <v>531</v>
      </c>
      <c r="F313" s="37" t="s">
        <v>58</v>
      </c>
      <c r="G313" s="29" t="b">
        <v>1</v>
      </c>
      <c r="H313" s="36" t="s">
        <v>214</v>
      </c>
      <c r="I313" s="36" t="s">
        <v>534</v>
      </c>
      <c r="J313" s="29"/>
      <c r="K313" s="138"/>
      <c r="L313" s="37" t="s">
        <v>194</v>
      </c>
      <c r="M313" s="37" t="s">
        <v>194</v>
      </c>
      <c r="N313" s="37" t="s">
        <v>194</v>
      </c>
      <c r="O313" s="37" t="s">
        <v>194</v>
      </c>
      <c r="P313" s="37" t="s">
        <v>1874</v>
      </c>
      <c r="Q313" s="37" t="s">
        <v>1875</v>
      </c>
      <c r="R313" s="41">
        <v>46264.0</v>
      </c>
      <c r="S313" s="42">
        <v>0.0</v>
      </c>
      <c r="T313" s="44" t="s">
        <v>194</v>
      </c>
      <c r="U313" s="45" t="str">
        <f>IF(records[Type]="Room",records[roomNo],records[roomNo]&amp;"-"&amp;SUBSTITUTE(RIGHT(records[roomNo]&amp;records[Type],2),"-",""))</f>
        <v>16-1-114</v>
      </c>
      <c r="V313" s="47" t="str">
        <f t="array" ref="V313">_xlfn.XLOOKUP(records[ID], dAir[roomNo], dAir[roomName])</f>
        <v>COMPOUNDING 2</v>
      </c>
      <c r="W313" s="47" t="str">
        <f t="array" ref="W313">_xlfn.XLOOKUP(records[ID], dAir[roomNo], dAir[building])</f>
        <v>Building 16</v>
      </c>
      <c r="X313" s="47" t="str">
        <f t="array" ref="X313">_xlfn.XLOOKUP(records[ID], dAir[roomNo], dAir[floor])</f>
        <v>Floor 1</v>
      </c>
      <c r="Y313" s="45" t="str">
        <f t="array" ref="Y313">_xlfn.XLOOKUP(records[ID], dAir[roomNo], dAir[Class])</f>
        <v>C</v>
      </c>
      <c r="Z313" s="45">
        <f t="array" ref="Z313">_xlfn.XLOOKUP(records[Method]&amp;"-"&amp;records[Class], dAirSpec[ID], dAirSpec[Spec])</f>
        <v>100</v>
      </c>
      <c r="AA313" s="45" t="str">
        <f t="array" ref="AA313">_xlfn.XLOOKUP(records[Method]&amp;"-"&amp;records[Class], dAirSpec[ID], dAirSpec[Unit])</f>
        <v>cfu/m3</v>
      </c>
      <c r="AB313" s="45">
        <f t="array" ref="AB313">if(S313="","", if(records[Method]="Active Air",_xlfn.xlookup(records[ColonyCount]&amp;records[AirSampler],feller[code],feller[Vc]),records[ColonyCount]))</f>
        <v>0</v>
      </c>
      <c r="AC313" s="60" t="b">
        <f t="shared" si="1"/>
        <v>1</v>
      </c>
      <c r="AD313" s="61" t="b">
        <v>0</v>
      </c>
      <c r="AE313" s="32" t="s">
        <v>235</v>
      </c>
      <c r="AF313" s="46"/>
      <c r="AG313" s="46"/>
      <c r="AH313" s="46"/>
      <c r="AI313" s="46"/>
      <c r="AJ313" s="46"/>
    </row>
    <row r="314" ht="22.5" customHeight="1">
      <c r="A314" s="27">
        <v>46215.0</v>
      </c>
      <c r="B314" s="34" t="str">
        <f t="array" ref="B314">TEXT(A314, "MM-YYYY")</f>
        <v>07-2026</v>
      </c>
      <c r="C314" s="39" t="s">
        <v>1504</v>
      </c>
      <c r="D314" s="36" t="s">
        <v>210</v>
      </c>
      <c r="E314" s="36" t="s">
        <v>531</v>
      </c>
      <c r="F314" s="37" t="s">
        <v>58</v>
      </c>
      <c r="G314" s="29" t="b">
        <v>1</v>
      </c>
      <c r="H314" s="36" t="s">
        <v>214</v>
      </c>
      <c r="I314" s="36" t="s">
        <v>203</v>
      </c>
      <c r="J314" s="29"/>
      <c r="K314" s="138"/>
      <c r="L314" s="37" t="s">
        <v>194</v>
      </c>
      <c r="M314" s="37" t="s">
        <v>194</v>
      </c>
      <c r="N314" s="37" t="s">
        <v>194</v>
      </c>
      <c r="O314" s="37" t="s">
        <v>194</v>
      </c>
      <c r="P314" s="37" t="s">
        <v>1874</v>
      </c>
      <c r="Q314" s="37" t="s">
        <v>1875</v>
      </c>
      <c r="R314" s="41">
        <v>46264.0</v>
      </c>
      <c r="S314" s="42">
        <v>4.0</v>
      </c>
      <c r="T314" s="44" t="s">
        <v>194</v>
      </c>
      <c r="U314" s="45" t="str">
        <f>IF(records[Type]="Room",records[roomNo],records[roomNo]&amp;"-"&amp;SUBSTITUTE(RIGHT(records[roomNo]&amp;records[Type],2),"-",""))</f>
        <v>16-1-124</v>
      </c>
      <c r="V314" s="47" t="str">
        <f t="array" ref="V314">_xlfn.XLOOKUP(records[ID], dAir[roomNo], dAir[roomName])</f>
        <v>CORRIDOR</v>
      </c>
      <c r="W314" s="47" t="str">
        <f t="array" ref="W314">_xlfn.XLOOKUP(records[ID], dAir[roomNo], dAir[building])</f>
        <v>Building 16</v>
      </c>
      <c r="X314" s="47" t="str">
        <f t="array" ref="X314">_xlfn.XLOOKUP(records[ID], dAir[roomNo], dAir[floor])</f>
        <v>Floor 1</v>
      </c>
      <c r="Y314" s="45" t="str">
        <f t="array" ref="Y314">_xlfn.XLOOKUP(records[ID], dAir[roomNo], dAir[Class])</f>
        <v>C</v>
      </c>
      <c r="Z314" s="45">
        <f t="array" ref="Z314">_xlfn.XLOOKUP(records[Method]&amp;"-"&amp;records[Class], dAirSpec[ID], dAirSpec[Spec])</f>
        <v>100</v>
      </c>
      <c r="AA314" s="45" t="str">
        <f t="array" ref="AA314">_xlfn.XLOOKUP(records[Method]&amp;"-"&amp;records[Class], dAirSpec[ID], dAirSpec[Unit])</f>
        <v>cfu/m3</v>
      </c>
      <c r="AB314" s="45">
        <f t="array" ref="AB314">if(S314="","", if(records[Method]="Active Air",_xlfn.xlookup(records[ColonyCount]&amp;records[AirSampler],feller[code],feller[Vc]),records[ColonyCount]))</f>
        <v>4</v>
      </c>
      <c r="AC314" s="60" t="b">
        <f t="shared" si="1"/>
        <v>1</v>
      </c>
      <c r="AD314" s="61" t="b">
        <v>0</v>
      </c>
      <c r="AE314" s="32" t="s">
        <v>235</v>
      </c>
      <c r="AF314" s="46"/>
      <c r="AG314" s="46"/>
      <c r="AH314" s="46"/>
      <c r="AI314" s="46"/>
      <c r="AJ314" s="46"/>
    </row>
    <row r="315" ht="22.5" customHeight="1">
      <c r="A315" s="27">
        <v>46215.0</v>
      </c>
      <c r="B315" s="34" t="str">
        <f t="array" ref="B315">TEXT(A315, "MM-YYYY")</f>
        <v>07-2026</v>
      </c>
      <c r="C315" s="39" t="s">
        <v>1505</v>
      </c>
      <c r="D315" s="36" t="s">
        <v>210</v>
      </c>
      <c r="E315" s="36" t="s">
        <v>531</v>
      </c>
      <c r="F315" s="37" t="s">
        <v>58</v>
      </c>
      <c r="G315" s="29" t="b">
        <v>1</v>
      </c>
      <c r="H315" s="36" t="s">
        <v>214</v>
      </c>
      <c r="I315" s="36" t="s">
        <v>534</v>
      </c>
      <c r="J315" s="29"/>
      <c r="K315" s="138"/>
      <c r="L315" s="37" t="s">
        <v>194</v>
      </c>
      <c r="M315" s="37" t="s">
        <v>194</v>
      </c>
      <c r="N315" s="37" t="s">
        <v>194</v>
      </c>
      <c r="O315" s="37" t="s">
        <v>194</v>
      </c>
      <c r="P315" s="37" t="s">
        <v>1874</v>
      </c>
      <c r="Q315" s="37" t="s">
        <v>1875</v>
      </c>
      <c r="R315" s="41">
        <v>46264.0</v>
      </c>
      <c r="S315" s="42">
        <v>10.0</v>
      </c>
      <c r="T315" s="44" t="s">
        <v>194</v>
      </c>
      <c r="U315" s="45" t="str">
        <f>IF(records[Type]="Room",records[roomNo],records[roomNo]&amp;"-"&amp;SUBSTITUTE(RIGHT(records[roomNo]&amp;records[Type],2),"-",""))</f>
        <v>16-1-125</v>
      </c>
      <c r="V315" s="47" t="str">
        <f t="array" ref="V315">_xlfn.XLOOKUP(records[ID], dAir[roomNo], dAir[roomName])</f>
        <v>CORRIDOR</v>
      </c>
      <c r="W315" s="47" t="str">
        <f t="array" ref="W315">_xlfn.XLOOKUP(records[ID], dAir[roomNo], dAir[building])</f>
        <v>Building 16</v>
      </c>
      <c r="X315" s="47" t="str">
        <f t="array" ref="X315">_xlfn.XLOOKUP(records[ID], dAir[roomNo], dAir[floor])</f>
        <v>Floor 1</v>
      </c>
      <c r="Y315" s="45" t="str">
        <f t="array" ref="Y315">_xlfn.XLOOKUP(records[ID], dAir[roomNo], dAir[Class])</f>
        <v>C</v>
      </c>
      <c r="Z315" s="45">
        <f t="array" ref="Z315">_xlfn.XLOOKUP(records[Method]&amp;"-"&amp;records[Class], dAirSpec[ID], dAirSpec[Spec])</f>
        <v>100</v>
      </c>
      <c r="AA315" s="45" t="str">
        <f t="array" ref="AA315">_xlfn.XLOOKUP(records[Method]&amp;"-"&amp;records[Class], dAirSpec[ID], dAirSpec[Unit])</f>
        <v>cfu/m3</v>
      </c>
      <c r="AB315" s="45">
        <f t="array" ref="AB315">if(S315="","", if(records[Method]="Active Air",_xlfn.xlookup(records[ColonyCount]&amp;records[AirSampler],feller[code],feller[Vc]),records[ColonyCount]))</f>
        <v>10</v>
      </c>
      <c r="AC315" s="60" t="b">
        <f t="shared" si="1"/>
        <v>1</v>
      </c>
      <c r="AD315" s="61" t="b">
        <v>0</v>
      </c>
      <c r="AE315" s="32" t="s">
        <v>235</v>
      </c>
      <c r="AF315" s="46"/>
      <c r="AG315" s="46"/>
      <c r="AH315" s="46"/>
      <c r="AI315" s="46"/>
      <c r="AJ315" s="46"/>
    </row>
    <row r="316" ht="22.5" customHeight="1">
      <c r="A316" s="27">
        <v>46215.0</v>
      </c>
      <c r="B316" s="34" t="str">
        <f t="array" ref="B316">TEXT(A316, "MM-YYYY")</f>
        <v>07-2026</v>
      </c>
      <c r="C316" s="56" t="s">
        <v>795</v>
      </c>
      <c r="D316" s="36" t="s">
        <v>210</v>
      </c>
      <c r="E316" s="36" t="s">
        <v>213</v>
      </c>
      <c r="F316" s="37"/>
      <c r="G316" s="29" t="b">
        <v>0</v>
      </c>
      <c r="H316" s="36" t="s">
        <v>214</v>
      </c>
      <c r="I316" s="36"/>
      <c r="J316" s="29"/>
      <c r="K316" s="138"/>
      <c r="L316" s="37" t="s">
        <v>194</v>
      </c>
      <c r="M316" s="37" t="s">
        <v>194</v>
      </c>
      <c r="N316" s="37" t="s">
        <v>194</v>
      </c>
      <c r="O316" s="37" t="s">
        <v>194</v>
      </c>
      <c r="P316" s="37" t="s">
        <v>1874</v>
      </c>
      <c r="Q316" s="37" t="s">
        <v>1875</v>
      </c>
      <c r="R316" s="41">
        <v>46264.0</v>
      </c>
      <c r="S316" s="42">
        <v>6.0</v>
      </c>
      <c r="T316" s="44" t="s">
        <v>194</v>
      </c>
      <c r="U316" s="47" t="str">
        <f>IF(records[Type]="Room",records[roomNo],records[roomNo]&amp;"-"&amp;SUBSTITUTE(RIGHT(records[roomNo]&amp;records[Type],2),"-",""))</f>
        <v>12-3-049</v>
      </c>
      <c r="V316" s="47" t="str">
        <f t="array" ref="V316">_xlfn.XLOOKUP(records[ID], dAir[roomNo], dAir[roomName])</f>
        <v>CHANGING ROOM</v>
      </c>
      <c r="W316" s="47" t="str">
        <f t="array" ref="W316">_xlfn.XLOOKUP(records[ID], dAir[roomNo], dAir[building])</f>
        <v>Building 12</v>
      </c>
      <c r="X316" s="47" t="str">
        <f t="array" ref="X316">_xlfn.XLOOKUP(records[ID], dAir[roomNo], dAir[floor])</f>
        <v>Floor 3</v>
      </c>
      <c r="Y316" s="45" t="str">
        <f t="array" ref="Y316">_xlfn.XLOOKUP(records[ID], dAir[roomNo], dAir[Class])</f>
        <v>D</v>
      </c>
      <c r="Z316" s="45">
        <f t="array" ref="Z316">_xlfn.XLOOKUP(records[Method]&amp;"-"&amp;records[Class], dAirSpec[ID], dAirSpec[Spec])</f>
        <v>100</v>
      </c>
      <c r="AA316" s="45" t="str">
        <f t="array" ref="AA316">_xlfn.XLOOKUP(records[Method]&amp;"-"&amp;records[Class], dAirSpec[ID], dAirSpec[Unit])</f>
        <v>cfu/plate</v>
      </c>
      <c r="AB316" s="58">
        <f t="array" ref="AB316">if(S316="","", if(records[Method]="Active Air",_xlfn.xlookup(records[ColonyCount]&amp;records[AirSampler],feller[code],feller[Vc]),records[ColonyCount]))</f>
        <v>6</v>
      </c>
      <c r="AC316" s="60" t="b">
        <f t="shared" si="1"/>
        <v>1</v>
      </c>
      <c r="AD316" s="61" t="b">
        <v>0</v>
      </c>
      <c r="AE316" s="32" t="s">
        <v>280</v>
      </c>
      <c r="AF316" s="46"/>
      <c r="AG316" s="46"/>
      <c r="AH316" s="46"/>
      <c r="AI316" s="46"/>
      <c r="AJ316" s="46"/>
    </row>
    <row r="317" ht="22.5" customHeight="1">
      <c r="A317" s="27">
        <v>46215.0</v>
      </c>
      <c r="B317" s="34" t="str">
        <f t="array" ref="B317">TEXT(A317, "MM-YYYY")</f>
        <v>07-2026</v>
      </c>
      <c r="C317" s="56" t="s">
        <v>802</v>
      </c>
      <c r="D317" s="36" t="s">
        <v>210</v>
      </c>
      <c r="E317" s="36" t="s">
        <v>213</v>
      </c>
      <c r="F317" s="37"/>
      <c r="G317" s="29" t="b">
        <v>0</v>
      </c>
      <c r="H317" s="36" t="s">
        <v>214</v>
      </c>
      <c r="I317" s="36"/>
      <c r="J317" s="29"/>
      <c r="K317" s="138"/>
      <c r="L317" s="37" t="s">
        <v>194</v>
      </c>
      <c r="M317" s="37" t="s">
        <v>194</v>
      </c>
      <c r="N317" s="37" t="s">
        <v>194</v>
      </c>
      <c r="O317" s="37" t="s">
        <v>194</v>
      </c>
      <c r="P317" s="37" t="s">
        <v>1874</v>
      </c>
      <c r="Q317" s="37" t="s">
        <v>1875</v>
      </c>
      <c r="R317" s="41">
        <v>46264.0</v>
      </c>
      <c r="S317" s="42">
        <v>6.0</v>
      </c>
      <c r="T317" s="44" t="s">
        <v>194</v>
      </c>
      <c r="U317" s="47" t="str">
        <f>IF(records[Type]="Room",records[roomNo],records[roomNo]&amp;"-"&amp;SUBSTITUTE(RIGHT(records[roomNo]&amp;records[Type],2),"-",""))</f>
        <v>12-3-050</v>
      </c>
      <c r="V317" s="47" t="str">
        <f t="array" ref="V317">_xlfn.XLOOKUP(records[ID], dAir[roomNo], dAir[roomName])</f>
        <v>CORRIDOR</v>
      </c>
      <c r="W317" s="47" t="str">
        <f t="array" ref="W317">_xlfn.XLOOKUP(records[ID], dAir[roomNo], dAir[building])</f>
        <v>Building 12</v>
      </c>
      <c r="X317" s="47" t="str">
        <f t="array" ref="X317">_xlfn.XLOOKUP(records[ID], dAir[roomNo], dAir[floor])</f>
        <v>Floor 3</v>
      </c>
      <c r="Y317" s="45" t="str">
        <f t="array" ref="Y317">_xlfn.XLOOKUP(records[ID], dAir[roomNo], dAir[Class])</f>
        <v>D</v>
      </c>
      <c r="Z317" s="45">
        <f t="array" ref="Z317">_xlfn.XLOOKUP(records[Method]&amp;"-"&amp;records[Class], dAirSpec[ID], dAirSpec[Spec])</f>
        <v>100</v>
      </c>
      <c r="AA317" s="45" t="str">
        <f t="array" ref="AA317">_xlfn.XLOOKUP(records[Method]&amp;"-"&amp;records[Class], dAirSpec[ID], dAirSpec[Unit])</f>
        <v>cfu/plate</v>
      </c>
      <c r="AB317" s="58">
        <f t="array" ref="AB317">if(S317="","", if(records[Method]="Active Air",_xlfn.xlookup(records[ColonyCount]&amp;records[AirSampler],feller[code],feller[Vc]),records[ColonyCount]))</f>
        <v>6</v>
      </c>
      <c r="AC317" s="60" t="b">
        <f t="shared" si="1"/>
        <v>1</v>
      </c>
      <c r="AD317" s="61" t="b">
        <v>0</v>
      </c>
      <c r="AE317" s="32" t="s">
        <v>280</v>
      </c>
      <c r="AF317" s="46"/>
      <c r="AG317" s="46"/>
      <c r="AH317" s="46"/>
      <c r="AI317" s="46"/>
      <c r="AJ317" s="46"/>
    </row>
    <row r="318" ht="22.5" customHeight="1">
      <c r="A318" s="27">
        <v>46215.0</v>
      </c>
      <c r="B318" s="34" t="str">
        <f t="array" ref="B318">TEXT(A318, "MM-YYYY")</f>
        <v>07-2026</v>
      </c>
      <c r="C318" s="82" t="s">
        <v>809</v>
      </c>
      <c r="D318" s="36" t="s">
        <v>210</v>
      </c>
      <c r="E318" s="36" t="s">
        <v>213</v>
      </c>
      <c r="F318" s="37"/>
      <c r="G318" s="29" t="b">
        <v>0</v>
      </c>
      <c r="H318" s="36" t="s">
        <v>214</v>
      </c>
      <c r="I318" s="36"/>
      <c r="J318" s="29"/>
      <c r="K318" s="138"/>
      <c r="L318" s="37" t="s">
        <v>194</v>
      </c>
      <c r="M318" s="37" t="s">
        <v>194</v>
      </c>
      <c r="N318" s="37" t="s">
        <v>194</v>
      </c>
      <c r="O318" s="37" t="s">
        <v>194</v>
      </c>
      <c r="P318" s="37" t="s">
        <v>1874</v>
      </c>
      <c r="Q318" s="37" t="s">
        <v>1875</v>
      </c>
      <c r="R318" s="41">
        <v>46264.0</v>
      </c>
      <c r="S318" s="42">
        <v>0.0</v>
      </c>
      <c r="T318" s="44" t="s">
        <v>194</v>
      </c>
      <c r="U318" s="83" t="str">
        <f>IF(records[Type]="Room",records[roomNo],records[roomNo]&amp;"-"&amp;SUBSTITUTE(RIGHT(records[roomNo]&amp;records[Type],2),"-",""))</f>
        <v>12-3-053</v>
      </c>
      <c r="V318" s="47" t="str">
        <f t="array" ref="V318">_xlfn.XLOOKUP(records[ID], dAir[roomNo], dAir[roomName])</f>
        <v>MLT 2</v>
      </c>
      <c r="W318" s="47" t="str">
        <f t="array" ref="W318">_xlfn.XLOOKUP(records[ID], dAir[roomNo], dAir[building])</f>
        <v>Building 12</v>
      </c>
      <c r="X318" s="47" t="str">
        <f t="array" ref="X318">_xlfn.XLOOKUP(records[ID], dAir[roomNo], dAir[floor])</f>
        <v>Floor 3</v>
      </c>
      <c r="Y318" s="45" t="str">
        <f t="array" ref="Y318">_xlfn.XLOOKUP(records[ID], dAir[roomNo], dAir[Class])</f>
        <v>D</v>
      </c>
      <c r="Z318" s="45">
        <f t="array" ref="Z318">_xlfn.XLOOKUP(records[Method]&amp;"-"&amp;records[Class], dAirSpec[ID], dAirSpec[Spec])</f>
        <v>100</v>
      </c>
      <c r="AA318" s="45" t="str">
        <f t="array" ref="AA318">_xlfn.XLOOKUP(records[Method]&amp;"-"&amp;records[Class], dAirSpec[ID], dAirSpec[Unit])</f>
        <v>cfu/plate</v>
      </c>
      <c r="AB318" s="58">
        <f t="array" ref="AB318">if(S318="","", if(records[Method]="Active Air",_xlfn.xlookup(records[ColonyCount]&amp;records[AirSampler],feller[code],feller[Vc]),records[ColonyCount]))</f>
        <v>0</v>
      </c>
      <c r="AC318" s="60" t="b">
        <f t="shared" si="1"/>
        <v>1</v>
      </c>
      <c r="AD318" s="61" t="b">
        <v>0</v>
      </c>
      <c r="AE318" s="32" t="s">
        <v>280</v>
      </c>
      <c r="AF318" s="46"/>
      <c r="AG318" s="46"/>
      <c r="AH318" s="46"/>
      <c r="AI318" s="46"/>
      <c r="AJ318" s="46"/>
    </row>
    <row r="319" ht="22.5" customHeight="1">
      <c r="A319" s="27">
        <v>46215.0</v>
      </c>
      <c r="B319" s="34" t="str">
        <f t="array" ref="B319">TEXT(A319, "MM-YYYY")</f>
        <v>07-2026</v>
      </c>
      <c r="C319" s="85" t="s">
        <v>814</v>
      </c>
      <c r="D319" s="36" t="s">
        <v>210</v>
      </c>
      <c r="E319" s="36" t="s">
        <v>531</v>
      </c>
      <c r="F319" s="37" t="s">
        <v>61</v>
      </c>
      <c r="G319" s="29" t="b">
        <v>1</v>
      </c>
      <c r="H319" s="36" t="s">
        <v>214</v>
      </c>
      <c r="I319" s="36" t="s">
        <v>534</v>
      </c>
      <c r="J319" s="29" t="s">
        <v>1769</v>
      </c>
      <c r="K319" s="138">
        <v>46055.0</v>
      </c>
      <c r="L319" s="37" t="s">
        <v>194</v>
      </c>
      <c r="M319" s="37" t="s">
        <v>194</v>
      </c>
      <c r="N319" s="37" t="s">
        <v>194</v>
      </c>
      <c r="O319" s="37" t="s">
        <v>194</v>
      </c>
      <c r="P319" s="37" t="s">
        <v>1874</v>
      </c>
      <c r="Q319" s="37" t="s">
        <v>1875</v>
      </c>
      <c r="R319" s="41">
        <v>46264.0</v>
      </c>
      <c r="S319" s="42">
        <v>0.0</v>
      </c>
      <c r="T319" s="44" t="s">
        <v>194</v>
      </c>
      <c r="U319" s="83" t="str">
        <f>IF(records[Type]="Room",records[roomNo],records[roomNo]&amp;"-"&amp;SUBSTITUTE(RIGHT(records[roomNo]&amp;records[Type],2),"-",""))</f>
        <v>12-3-053-BSC</v>
      </c>
      <c r="V319" s="47" t="str">
        <f t="array" ref="V319">_xlfn.XLOOKUP(records[ID], dAir[roomNo], dAir[roomName])</f>
        <v>MLT 2</v>
      </c>
      <c r="W319" s="47" t="str">
        <f t="array" ref="W319">_xlfn.XLOOKUP(records[ID], dAir[roomNo], dAir[building])</f>
        <v>Building 12</v>
      </c>
      <c r="X319" s="47" t="str">
        <f t="array" ref="X319">_xlfn.XLOOKUP(records[ID], dAir[roomNo], dAir[floor])</f>
        <v>Floor 3</v>
      </c>
      <c r="Y319" s="45" t="str">
        <f t="array" ref="Y319">_xlfn.XLOOKUP(records[ID], dAir[roomNo], dAir[Class])</f>
        <v>A</v>
      </c>
      <c r="Z319" s="45">
        <f t="array" ref="Z319">_xlfn.XLOOKUP(records[Method]&amp;"-"&amp;records[Class], dAirSpec[ID], dAirSpec[Spec])</f>
        <v>0</v>
      </c>
      <c r="AA319" s="45" t="str">
        <f t="array" ref="AA319">_xlfn.XLOOKUP(records[Method]&amp;"-"&amp;records[Class], dAirSpec[ID], dAirSpec[Unit])</f>
        <v>cfu/m3</v>
      </c>
      <c r="AB319" s="45">
        <f t="array" ref="AB319">if(S319="","", if(records[Method]="Active Air",_xlfn.xlookup(records[ColonyCount]&amp;records[AirSampler],feller[code],feller[Vc]),records[ColonyCount]))</f>
        <v>0</v>
      </c>
      <c r="AC319" s="60" t="b">
        <f t="shared" si="1"/>
        <v>1</v>
      </c>
      <c r="AD319" s="61" t="b">
        <v>0</v>
      </c>
      <c r="AE319" s="32" t="s">
        <v>235</v>
      </c>
      <c r="AF319" s="46"/>
      <c r="AG319" s="46"/>
      <c r="AH319" s="46"/>
      <c r="AI319" s="46"/>
      <c r="AJ319" s="46"/>
    </row>
    <row r="320" ht="22.5" customHeight="1">
      <c r="A320" s="27">
        <v>46215.0</v>
      </c>
      <c r="B320" s="34" t="str">
        <f t="array" ref="B320">TEXT(A320, "MM-YYYY")</f>
        <v>07-2026</v>
      </c>
      <c r="C320" s="56" t="s">
        <v>821</v>
      </c>
      <c r="D320" s="36" t="s">
        <v>210</v>
      </c>
      <c r="E320" s="36" t="s">
        <v>213</v>
      </c>
      <c r="F320" s="37"/>
      <c r="G320" s="29" t="b">
        <v>0</v>
      </c>
      <c r="H320" s="36" t="s">
        <v>214</v>
      </c>
      <c r="I320" s="36"/>
      <c r="J320" s="29"/>
      <c r="K320" s="138"/>
      <c r="L320" s="37" t="s">
        <v>194</v>
      </c>
      <c r="M320" s="37" t="s">
        <v>194</v>
      </c>
      <c r="N320" s="37" t="s">
        <v>194</v>
      </c>
      <c r="O320" s="37" t="s">
        <v>194</v>
      </c>
      <c r="P320" s="37" t="s">
        <v>1874</v>
      </c>
      <c r="Q320" s="37" t="s">
        <v>1875</v>
      </c>
      <c r="R320" s="41">
        <v>46264.0</v>
      </c>
      <c r="S320" s="42">
        <v>6.0</v>
      </c>
      <c r="T320" s="44" t="s">
        <v>194</v>
      </c>
      <c r="U320" s="47" t="str">
        <f>IF(records[Type]="Room",records[roomNo],records[roomNo]&amp;"-"&amp;SUBSTITUTE(RIGHT(records[roomNo]&amp;records[Type],2),"-",""))</f>
        <v>12-3-054</v>
      </c>
      <c r="V320" s="47" t="str">
        <f t="array" ref="V320">_xlfn.XLOOKUP(records[ID], dAir[roomNo], dAir[roomName])</f>
        <v>MLT 3</v>
      </c>
      <c r="W320" s="47" t="str">
        <f t="array" ref="W320">_xlfn.XLOOKUP(records[ID], dAir[roomNo], dAir[building])</f>
        <v>Building 12</v>
      </c>
      <c r="X320" s="47" t="str">
        <f t="array" ref="X320">_xlfn.XLOOKUP(records[ID], dAir[roomNo], dAir[floor])</f>
        <v>Floor 3</v>
      </c>
      <c r="Y320" s="45" t="str">
        <f t="array" ref="Y320">_xlfn.XLOOKUP(records[ID], dAir[roomNo], dAir[Class])</f>
        <v>D</v>
      </c>
      <c r="Z320" s="45">
        <f t="array" ref="Z320">_xlfn.XLOOKUP(records[Method]&amp;"-"&amp;records[Class], dAirSpec[ID], dAirSpec[Spec])</f>
        <v>100</v>
      </c>
      <c r="AA320" s="45" t="str">
        <f t="array" ref="AA320">_xlfn.XLOOKUP(records[Method]&amp;"-"&amp;records[Class], dAirSpec[ID], dAirSpec[Unit])</f>
        <v>cfu/plate</v>
      </c>
      <c r="AB320" s="58">
        <f t="array" ref="AB320">if(S320="","", if(records[Method]="Active Air",_xlfn.xlookup(records[ColonyCount]&amp;records[AirSampler],feller[code],feller[Vc]),records[ColonyCount]))</f>
        <v>6</v>
      </c>
      <c r="AC320" s="60" t="b">
        <f t="shared" si="1"/>
        <v>1</v>
      </c>
      <c r="AD320" s="61" t="b">
        <v>0</v>
      </c>
      <c r="AE320" s="32" t="s">
        <v>280</v>
      </c>
      <c r="AF320" s="46"/>
      <c r="AG320" s="46"/>
      <c r="AH320" s="46"/>
      <c r="AI320" s="46"/>
      <c r="AJ320" s="46"/>
    </row>
    <row r="321" ht="22.5" customHeight="1">
      <c r="A321" s="27">
        <v>46215.0</v>
      </c>
      <c r="B321" s="34" t="str">
        <f t="array" ref="B321">TEXT(A321, "MM-YYYY")</f>
        <v>07-2026</v>
      </c>
      <c r="C321" s="34" t="s">
        <v>825</v>
      </c>
      <c r="D321" s="36" t="s">
        <v>210</v>
      </c>
      <c r="E321" s="36" t="s">
        <v>531</v>
      </c>
      <c r="F321" s="37" t="s">
        <v>61</v>
      </c>
      <c r="G321" s="29" t="b">
        <v>1</v>
      </c>
      <c r="H321" s="36" t="s">
        <v>214</v>
      </c>
      <c r="I321" s="36" t="s">
        <v>534</v>
      </c>
      <c r="J321" s="185" t="s">
        <v>1792</v>
      </c>
      <c r="K321" s="186">
        <v>46472.0</v>
      </c>
      <c r="L321" s="37" t="s">
        <v>194</v>
      </c>
      <c r="M321" s="37" t="s">
        <v>194</v>
      </c>
      <c r="N321" s="37" t="s">
        <v>194</v>
      </c>
      <c r="O321" s="37" t="s">
        <v>194</v>
      </c>
      <c r="P321" s="37" t="s">
        <v>1874</v>
      </c>
      <c r="Q321" s="37" t="s">
        <v>1875</v>
      </c>
      <c r="R321" s="41">
        <v>46264.0</v>
      </c>
      <c r="S321" s="42">
        <v>0.0</v>
      </c>
      <c r="T321" s="44" t="s">
        <v>194</v>
      </c>
      <c r="U321" s="47" t="str">
        <f>IF(records[Type]="Room",records[roomNo],records[roomNo]&amp;"-"&amp;SUBSTITUTE(RIGHT(records[roomNo]&amp;records[Type],2),"-",""))</f>
        <v>12-3-054-BSC</v>
      </c>
      <c r="V321" s="47" t="str">
        <f t="array" ref="V321">_xlfn.XLOOKUP(records[ID], dAir[roomNo], dAir[roomName])</f>
        <v>MLT 3</v>
      </c>
      <c r="W321" s="47" t="str">
        <f t="array" ref="W321">_xlfn.XLOOKUP(records[ID], dAir[roomNo], dAir[building])</f>
        <v>Building 12</v>
      </c>
      <c r="X321" s="47" t="str">
        <f t="array" ref="X321">_xlfn.XLOOKUP(records[ID], dAir[roomNo], dAir[floor])</f>
        <v>Floor 3</v>
      </c>
      <c r="Y321" s="45" t="str">
        <f t="array" ref="Y321">_xlfn.XLOOKUP(records[ID], dAir[roomNo], dAir[Class])</f>
        <v>A</v>
      </c>
      <c r="Z321" s="45">
        <f t="array" ref="Z321">_xlfn.XLOOKUP(records[Method]&amp;"-"&amp;records[Class], dAirSpec[ID], dAirSpec[Spec])</f>
        <v>0</v>
      </c>
      <c r="AA321" s="45" t="str">
        <f t="array" ref="AA321">_xlfn.XLOOKUP(records[Method]&amp;"-"&amp;records[Class], dAirSpec[ID], dAirSpec[Unit])</f>
        <v>cfu/m3</v>
      </c>
      <c r="AB321" s="45">
        <f t="array" ref="AB321">if(S321="","", if(records[Method]="Active Air",_xlfn.xlookup(records[ColonyCount]&amp;records[AirSampler],feller[code],feller[Vc]),records[ColonyCount]))</f>
        <v>0</v>
      </c>
      <c r="AC321" s="60" t="b">
        <f t="shared" si="1"/>
        <v>1</v>
      </c>
      <c r="AD321" s="61" t="b">
        <v>0</v>
      </c>
      <c r="AE321" s="32" t="s">
        <v>235</v>
      </c>
      <c r="AF321" s="46"/>
      <c r="AG321" s="46"/>
      <c r="AH321" s="46"/>
      <c r="AI321" s="46"/>
      <c r="AJ321" s="46"/>
    </row>
    <row r="322" ht="22.5" customHeight="1">
      <c r="A322" s="27">
        <v>46215.0</v>
      </c>
      <c r="B322" s="34" t="str">
        <f t="array" ref="B322">TEXT(A322, "MM-YYYY")</f>
        <v>07-2026</v>
      </c>
      <c r="C322" s="39" t="s">
        <v>831</v>
      </c>
      <c r="D322" s="36" t="s">
        <v>210</v>
      </c>
      <c r="E322" s="36" t="s">
        <v>213</v>
      </c>
      <c r="F322" s="37"/>
      <c r="G322" s="29" t="b">
        <v>0</v>
      </c>
      <c r="H322" s="36" t="s">
        <v>214</v>
      </c>
      <c r="I322" s="36"/>
      <c r="J322" s="29"/>
      <c r="K322" s="138"/>
      <c r="L322" s="37" t="s">
        <v>194</v>
      </c>
      <c r="M322" s="37" t="s">
        <v>194</v>
      </c>
      <c r="N322" s="37" t="s">
        <v>194</v>
      </c>
      <c r="O322" s="37" t="s">
        <v>194</v>
      </c>
      <c r="P322" s="37" t="s">
        <v>1874</v>
      </c>
      <c r="Q322" s="37" t="s">
        <v>1875</v>
      </c>
      <c r="R322" s="41">
        <v>46264.0</v>
      </c>
      <c r="S322" s="42">
        <v>1.0</v>
      </c>
      <c r="T322" s="44" t="s">
        <v>194</v>
      </c>
      <c r="U322" s="45" t="str">
        <f>IF(records[Type]="Room",records[roomNo],records[roomNo]&amp;"-"&amp;SUBSTITUTE(RIGHT(records[roomNo]&amp;records[Type],2),"-",""))</f>
        <v>12-3-055</v>
      </c>
      <c r="V322" s="47" t="str">
        <f t="array" ref="V322">_xlfn.XLOOKUP(records[ID], dAir[roomNo], dAir[roomName])</f>
        <v>SPARE ROOM</v>
      </c>
      <c r="W322" s="47" t="str">
        <f t="array" ref="W322">_xlfn.XLOOKUP(records[ID], dAir[roomNo], dAir[building])</f>
        <v>Building 12</v>
      </c>
      <c r="X322" s="47" t="str">
        <f t="array" ref="X322">_xlfn.XLOOKUP(records[ID], dAir[roomNo], dAir[floor])</f>
        <v>Floor 3</v>
      </c>
      <c r="Y322" s="45" t="str">
        <f t="array" ref="Y322">_xlfn.XLOOKUP(records[ID], dAir[roomNo], dAir[Class])</f>
        <v>D</v>
      </c>
      <c r="Z322" s="45">
        <f t="array" ref="Z322">_xlfn.XLOOKUP(records[Method]&amp;"-"&amp;records[Class], dAirSpec[ID], dAirSpec[Spec])</f>
        <v>100</v>
      </c>
      <c r="AA322" s="45" t="str">
        <f t="array" ref="AA322">_xlfn.XLOOKUP(records[Method]&amp;"-"&amp;records[Class], dAirSpec[ID], dAirSpec[Unit])</f>
        <v>cfu/plate</v>
      </c>
      <c r="AB322" s="58">
        <f t="array" ref="AB322">if(S322="","", if(records[Method]="Active Air",_xlfn.xlookup(records[ColonyCount]&amp;records[AirSampler],feller[code],feller[Vc]),records[ColonyCount]))</f>
        <v>1</v>
      </c>
      <c r="AC322" s="60" t="b">
        <f t="shared" si="1"/>
        <v>1</v>
      </c>
      <c r="AD322" s="61" t="b">
        <v>0</v>
      </c>
      <c r="AE322" s="32" t="s">
        <v>280</v>
      </c>
      <c r="AF322" s="46"/>
      <c r="AG322" s="46"/>
      <c r="AH322" s="46"/>
      <c r="AI322" s="46"/>
      <c r="AJ322" s="46"/>
    </row>
    <row r="323" ht="22.5" customHeight="1">
      <c r="A323" s="27">
        <v>46215.0</v>
      </c>
      <c r="B323" s="34" t="str">
        <f t="array" ref="B323">TEXT(A323, "MM-YYYY")</f>
        <v>07-2026</v>
      </c>
      <c r="C323" s="32" t="s">
        <v>831</v>
      </c>
      <c r="D323" s="21" t="s">
        <v>1350</v>
      </c>
      <c r="E323" s="36" t="s">
        <v>213</v>
      </c>
      <c r="F323" s="37"/>
      <c r="G323" s="29" t="b">
        <v>0</v>
      </c>
      <c r="H323" s="36" t="s">
        <v>214</v>
      </c>
      <c r="I323" s="36"/>
      <c r="J323" s="29"/>
      <c r="K323" s="138"/>
      <c r="L323" s="37" t="s">
        <v>194</v>
      </c>
      <c r="M323" s="37" t="s">
        <v>194</v>
      </c>
      <c r="N323" s="37" t="s">
        <v>194</v>
      </c>
      <c r="O323" s="37" t="s">
        <v>194</v>
      </c>
      <c r="P323" s="37" t="s">
        <v>1874</v>
      </c>
      <c r="Q323" s="37" t="s">
        <v>1875</v>
      </c>
      <c r="R323" s="41">
        <v>46264.0</v>
      </c>
      <c r="S323" s="42">
        <v>1.0</v>
      </c>
      <c r="T323" s="44" t="s">
        <v>194</v>
      </c>
      <c r="U323" s="45" t="str">
        <f>IF(records[Type]="Room",records[roomNo],records[roomNo]&amp;"-"&amp;SUBSTITUTE(RIGHT(records[roomNo]&amp;records[Type],2),"-",""))</f>
        <v>12-3-055-PB</v>
      </c>
      <c r="V323" s="47" t="str">
        <f t="array" ref="V323">_xlfn.XLOOKUP(records[ID], dAir[roomNo], dAir[roomName])</f>
        <v>#N/A</v>
      </c>
      <c r="W323" s="47" t="str">
        <f t="array" ref="W323">_xlfn.XLOOKUP(records[ID], dAir[roomNo], dAir[building])</f>
        <v>#N/A</v>
      </c>
      <c r="X323" s="47" t="str">
        <f t="array" ref="X323">_xlfn.XLOOKUP(records[ID], dAir[roomNo], dAir[floor])</f>
        <v>#N/A</v>
      </c>
      <c r="Y323" s="45" t="str">
        <f t="array" ref="Y323">_xlfn.XLOOKUP(records[ID], dAir[roomNo], dAir[Class])</f>
        <v>#N/A</v>
      </c>
      <c r="Z323" s="45" t="str">
        <f t="array" ref="Z323">_xlfn.XLOOKUP(records[Method]&amp;"-"&amp;records[Class], dAirSpec[ID], dAirSpec[Spec])</f>
        <v>#N/A</v>
      </c>
      <c r="AA323" s="45" t="str">
        <f t="array" ref="AA323">_xlfn.XLOOKUP(records[Method]&amp;"-"&amp;records[Class], dAirSpec[ID], dAirSpec[Unit])</f>
        <v>#N/A</v>
      </c>
      <c r="AB323" s="58">
        <f t="array" ref="AB323">if(S323="","", if(records[Method]="Active Air",_xlfn.xlookup(records[ColonyCount]&amp;records[AirSampler],feller[code],feller[Vc]),records[ColonyCount]))</f>
        <v>1</v>
      </c>
      <c r="AC323" s="60" t="str">
        <f t="shared" si="1"/>
        <v>#N/A</v>
      </c>
      <c r="AD323" s="61" t="b">
        <v>0</v>
      </c>
      <c r="AE323" s="32" t="s">
        <v>280</v>
      </c>
      <c r="AF323" s="46"/>
      <c r="AG323" s="46"/>
      <c r="AH323" s="46"/>
      <c r="AI323" s="46"/>
      <c r="AJ323" s="46"/>
    </row>
    <row r="324" ht="22.5" customHeight="1">
      <c r="A324" s="27">
        <v>46217.0</v>
      </c>
      <c r="B324" s="34" t="str">
        <f t="array" ref="B324">TEXT(A324, "MM-YYYY")</f>
        <v>07-2026</v>
      </c>
      <c r="C324" s="32" t="s">
        <v>454</v>
      </c>
      <c r="D324" s="21" t="s">
        <v>210</v>
      </c>
      <c r="E324" s="36" t="s">
        <v>531</v>
      </c>
      <c r="F324" s="37" t="s">
        <v>71</v>
      </c>
      <c r="G324" s="29" t="b">
        <v>1</v>
      </c>
      <c r="H324" s="36" t="s">
        <v>2240</v>
      </c>
      <c r="I324" s="36" t="s">
        <v>534</v>
      </c>
      <c r="J324" s="29"/>
      <c r="K324" s="138"/>
      <c r="L324" s="37" t="s">
        <v>194</v>
      </c>
      <c r="M324" s="37" t="s">
        <v>194</v>
      </c>
      <c r="N324" s="37" t="s">
        <v>194</v>
      </c>
      <c r="O324" s="37" t="s">
        <v>194</v>
      </c>
      <c r="P324" s="37" t="s">
        <v>1874</v>
      </c>
      <c r="Q324" s="37" t="s">
        <v>1875</v>
      </c>
      <c r="R324" s="41">
        <v>46264.0</v>
      </c>
      <c r="S324" s="42">
        <v>40.0</v>
      </c>
      <c r="T324" s="44" t="s">
        <v>194</v>
      </c>
      <c r="U324" s="45" t="str">
        <f>IF(records[Type]="Room",records[roomNo],records[roomNo]&amp;"-"&amp;SUBSTITUTE(RIGHT(records[roomNo]&amp;records[Type],2),"-",""))</f>
        <v>10-1-047</v>
      </c>
      <c r="V324" s="47" t="str">
        <f t="array" ref="V324">_xlfn.XLOOKUP(records[ID], dAir[roomNo], dAir[roomName])</f>
        <v>PROCESS CHANGE EXIT-P</v>
      </c>
      <c r="W324" s="47" t="str">
        <f t="array" ref="W324">_xlfn.XLOOKUP(records[ID], dAir[roomNo], dAir[building])</f>
        <v>Building 10</v>
      </c>
      <c r="X324" s="47" t="str">
        <f t="array" ref="X324">_xlfn.XLOOKUP(records[ID], dAir[roomNo], dAir[floor])</f>
        <v>Floor 1</v>
      </c>
      <c r="Y324" s="45" t="str">
        <f t="array" ref="Y324">_xlfn.XLOOKUP(records[ID], dAir[roomNo], dAir[Class])</f>
        <v>D</v>
      </c>
      <c r="Z324" s="45">
        <f t="array" ref="Z324">_xlfn.XLOOKUP(records[Method]&amp;"-"&amp;records[Class], dAirSpec[ID], dAirSpec[Spec])</f>
        <v>200</v>
      </c>
      <c r="AA324" s="45" t="str">
        <f t="array" ref="AA324">_xlfn.XLOOKUP(records[Method]&amp;"-"&amp;records[Class], dAirSpec[ID], dAirSpec[Unit])</f>
        <v>cfu/m3</v>
      </c>
      <c r="AB324" s="45">
        <f t="array" ref="AB324">if(S324="","", if(records[Method]="Active Air",_xlfn.xlookup(records[ColonyCount]&amp;records[AirSampler],feller[code],feller[Vc]),records[ColonyCount]))</f>
        <v>44</v>
      </c>
      <c r="AC324" s="60" t="b">
        <f t="shared" si="1"/>
        <v>1</v>
      </c>
      <c r="AD324" s="61" t="b">
        <v>0</v>
      </c>
      <c r="AE324" s="32" t="s">
        <v>235</v>
      </c>
      <c r="AF324" s="46"/>
      <c r="AG324" s="46"/>
      <c r="AH324" s="46"/>
      <c r="AI324" s="46"/>
      <c r="AJ324" s="46"/>
    </row>
    <row r="325" ht="22.5" customHeight="1">
      <c r="A325" s="27">
        <v>46218.0</v>
      </c>
      <c r="B325" s="34" t="str">
        <f t="array" ref="B325">TEXT(A325, "MM-YYYY")</f>
        <v>07-2026</v>
      </c>
      <c r="C325" s="20" t="s">
        <v>1315</v>
      </c>
      <c r="D325" s="21" t="s">
        <v>210</v>
      </c>
      <c r="E325" s="36" t="s">
        <v>213</v>
      </c>
      <c r="F325" s="37" t="s">
        <v>63</v>
      </c>
      <c r="G325" s="29" t="b">
        <v>1</v>
      </c>
      <c r="H325" s="36" t="s">
        <v>214</v>
      </c>
      <c r="I325" s="36" t="s">
        <v>215</v>
      </c>
      <c r="J325" s="29"/>
      <c r="K325" s="138"/>
      <c r="L325" s="187" t="s">
        <v>194</v>
      </c>
      <c r="M325" s="187" t="s">
        <v>194</v>
      </c>
      <c r="N325" s="187" t="s">
        <v>194</v>
      </c>
      <c r="O325" s="187" t="s">
        <v>194</v>
      </c>
      <c r="P325" s="187" t="s">
        <v>2271</v>
      </c>
      <c r="Q325" s="187" t="s">
        <v>2272</v>
      </c>
      <c r="R325" s="188">
        <v>46271.0</v>
      </c>
      <c r="S325" s="42">
        <v>2.0</v>
      </c>
      <c r="T325" s="44"/>
      <c r="U325" s="47" t="str">
        <f>IF(records[Type]="Room",records[roomNo],records[roomNo]&amp;"-"&amp;SUBSTITUTE(RIGHT(records[roomNo]&amp;records[Type],2),"-",""))</f>
        <v>11-1-012</v>
      </c>
      <c r="V325" s="47" t="str">
        <f t="array" ref="V325">_xlfn.XLOOKUP(records[ID], dAir[roomNo], dAir[roomName])</f>
        <v>MAL 2</v>
      </c>
      <c r="W325" s="47" t="str">
        <f t="array" ref="W325">_xlfn.XLOOKUP(records[ID], dAir[roomNo], dAir[building])</f>
        <v>Building 11</v>
      </c>
      <c r="X325" s="47" t="str">
        <f t="array" ref="X325">_xlfn.XLOOKUP(records[ID], dAir[roomNo], dAir[floor])</f>
        <v>Floor 1</v>
      </c>
      <c r="Y325" s="45" t="str">
        <f t="array" ref="Y325">_xlfn.XLOOKUP(records[ID], dAir[roomNo], dAir[Class])</f>
        <v>D</v>
      </c>
      <c r="Z325" s="45">
        <f t="array" ref="Z325">_xlfn.XLOOKUP(records[Method]&amp;"-"&amp;records[Class], dAirSpec[ID], dAirSpec[Spec])</f>
        <v>100</v>
      </c>
      <c r="AA325" s="45" t="str">
        <f t="array" ref="AA325">_xlfn.XLOOKUP(records[Method]&amp;"-"&amp;records[Class], dAirSpec[ID], dAirSpec[Unit])</f>
        <v>cfu/plate</v>
      </c>
      <c r="AB325" s="58">
        <f t="array" ref="AB325">if(S325="","", if(records[Method]="Active Air",_xlfn.xlookup(records[ColonyCount]&amp;records[AirSampler],feller[code],feller[Vc]),records[ColonyCount]))</f>
        <v>2</v>
      </c>
      <c r="AC325" s="60" t="b">
        <f t="shared" si="1"/>
        <v>1</v>
      </c>
      <c r="AD325" s="61" t="b">
        <v>0</v>
      </c>
      <c r="AE325" s="32" t="s">
        <v>235</v>
      </c>
      <c r="AF325" s="46"/>
      <c r="AG325" s="46"/>
      <c r="AH325" s="46"/>
      <c r="AI325" s="46"/>
      <c r="AJ325" s="46"/>
    </row>
    <row r="326" ht="22.5" customHeight="1">
      <c r="A326" s="27">
        <v>46218.0</v>
      </c>
      <c r="B326" s="34" t="str">
        <f t="array" ref="B326">TEXT(A326, "MM-YYYY")</f>
        <v>07-2026</v>
      </c>
      <c r="C326" s="20" t="s">
        <v>1319</v>
      </c>
      <c r="D326" s="21" t="s">
        <v>210</v>
      </c>
      <c r="E326" s="36" t="s">
        <v>213</v>
      </c>
      <c r="F326" s="37" t="s">
        <v>63</v>
      </c>
      <c r="G326" s="29" t="b">
        <v>1</v>
      </c>
      <c r="H326" s="36" t="s">
        <v>214</v>
      </c>
      <c r="I326" s="36" t="s">
        <v>215</v>
      </c>
      <c r="J326" s="29"/>
      <c r="K326" s="138"/>
      <c r="L326" s="187" t="s">
        <v>194</v>
      </c>
      <c r="M326" s="187" t="s">
        <v>194</v>
      </c>
      <c r="N326" s="187" t="s">
        <v>194</v>
      </c>
      <c r="O326" s="187" t="s">
        <v>194</v>
      </c>
      <c r="P326" s="187" t="s">
        <v>2271</v>
      </c>
      <c r="Q326" s="187" t="s">
        <v>2272</v>
      </c>
      <c r="R326" s="188">
        <v>46271.0</v>
      </c>
      <c r="S326" s="42">
        <v>20.0</v>
      </c>
      <c r="T326" s="44"/>
      <c r="U326" s="47" t="str">
        <f>IF(records[Type]="Room",records[roomNo],records[roomNo]&amp;"-"&amp;SUBSTITUTE(RIGHT(records[roomNo]&amp;records[Type],2),"-",""))</f>
        <v>11-1-013</v>
      </c>
      <c r="V326" s="47" t="str">
        <f t="array" ref="V326">_xlfn.XLOOKUP(records[ID], dAir[roomNo], dAir[roomName])</f>
        <v>PAL 2</v>
      </c>
      <c r="W326" s="47" t="str">
        <f t="array" ref="W326">_xlfn.XLOOKUP(records[ID], dAir[roomNo], dAir[building])</f>
        <v>Building 11</v>
      </c>
      <c r="X326" s="47" t="str">
        <f t="array" ref="X326">_xlfn.XLOOKUP(records[ID], dAir[roomNo], dAir[floor])</f>
        <v>Floor 1</v>
      </c>
      <c r="Y326" s="45" t="str">
        <f t="array" ref="Y326">_xlfn.XLOOKUP(records[ID], dAir[roomNo], dAir[Class])</f>
        <v>D</v>
      </c>
      <c r="Z326" s="45">
        <f t="array" ref="Z326">_xlfn.XLOOKUP(records[Method]&amp;"-"&amp;records[Class], dAirSpec[ID], dAirSpec[Spec])</f>
        <v>100</v>
      </c>
      <c r="AA326" s="45" t="str">
        <f t="array" ref="AA326">_xlfn.XLOOKUP(records[Method]&amp;"-"&amp;records[Class], dAirSpec[ID], dAirSpec[Unit])</f>
        <v>cfu/plate</v>
      </c>
      <c r="AB326" s="58">
        <f t="array" ref="AB326">if(S326="","", if(records[Method]="Active Air",_xlfn.xlookup(records[ColonyCount]&amp;records[AirSampler],feller[code],feller[Vc]),records[ColonyCount]))</f>
        <v>20</v>
      </c>
      <c r="AC326" s="60" t="b">
        <f t="shared" si="1"/>
        <v>1</v>
      </c>
      <c r="AD326" s="61" t="b">
        <v>0</v>
      </c>
      <c r="AE326" s="32" t="s">
        <v>235</v>
      </c>
      <c r="AF326" s="46"/>
      <c r="AG326" s="46"/>
      <c r="AH326" s="46"/>
      <c r="AI326" s="46"/>
      <c r="AJ326" s="46"/>
    </row>
    <row r="327" ht="22.5" customHeight="1">
      <c r="A327" s="27">
        <v>46218.0</v>
      </c>
      <c r="B327" s="34" t="str">
        <f t="array" ref="B327">TEXT(A327, "MM-YYYY")</f>
        <v>07-2026</v>
      </c>
      <c r="C327" s="20" t="s">
        <v>1321</v>
      </c>
      <c r="D327" s="21" t="s">
        <v>210</v>
      </c>
      <c r="E327" s="36" t="s">
        <v>213</v>
      </c>
      <c r="F327" s="37" t="s">
        <v>63</v>
      </c>
      <c r="G327" s="29" t="b">
        <v>1</v>
      </c>
      <c r="H327" s="36" t="s">
        <v>214</v>
      </c>
      <c r="I327" s="36" t="s">
        <v>215</v>
      </c>
      <c r="J327" s="29"/>
      <c r="K327" s="138"/>
      <c r="L327" s="187" t="s">
        <v>194</v>
      </c>
      <c r="M327" s="187" t="s">
        <v>194</v>
      </c>
      <c r="N327" s="187" t="s">
        <v>194</v>
      </c>
      <c r="O327" s="187" t="s">
        <v>194</v>
      </c>
      <c r="P327" s="187" t="s">
        <v>2271</v>
      </c>
      <c r="Q327" s="187" t="s">
        <v>2272</v>
      </c>
      <c r="R327" s="188">
        <v>46271.0</v>
      </c>
      <c r="S327" s="42">
        <v>2.0</v>
      </c>
      <c r="T327" s="44"/>
      <c r="U327" s="47" t="str">
        <f>IF(records[Type]="Room",records[roomNo],records[roomNo]&amp;"-"&amp;SUBSTITUTE(RIGHT(records[roomNo]&amp;records[Type],2),"-",""))</f>
        <v>11-1-014</v>
      </c>
      <c r="V327" s="47" t="str">
        <f t="array" ref="V327">_xlfn.XLOOKUP(records[ID], dAir[roomNo], dAir[roomName])</f>
        <v>PPM SAMPLING</v>
      </c>
      <c r="W327" s="47" t="str">
        <f t="array" ref="W327">_xlfn.XLOOKUP(records[ID], dAir[roomNo], dAir[building])</f>
        <v>Building 11</v>
      </c>
      <c r="X327" s="47" t="str">
        <f t="array" ref="X327">_xlfn.XLOOKUP(records[ID], dAir[roomNo], dAir[floor])</f>
        <v>Floor 1</v>
      </c>
      <c r="Y327" s="45" t="str">
        <f t="array" ref="Y327">_xlfn.XLOOKUP(records[ID], dAir[roomNo], dAir[Class])</f>
        <v>D</v>
      </c>
      <c r="Z327" s="45">
        <f t="array" ref="Z327">_xlfn.XLOOKUP(records[Method]&amp;"-"&amp;records[Class], dAirSpec[ID], dAirSpec[Spec])</f>
        <v>100</v>
      </c>
      <c r="AA327" s="45" t="str">
        <f t="array" ref="AA327">_xlfn.XLOOKUP(records[Method]&amp;"-"&amp;records[Class], dAirSpec[ID], dAirSpec[Unit])</f>
        <v>cfu/plate</v>
      </c>
      <c r="AB327" s="58">
        <f t="array" ref="AB327">if(S327="","", if(records[Method]="Active Air",_xlfn.xlookup(records[ColonyCount]&amp;records[AirSampler],feller[code],feller[Vc]),records[ColonyCount]))</f>
        <v>2</v>
      </c>
      <c r="AC327" s="60" t="b">
        <f t="shared" si="1"/>
        <v>1</v>
      </c>
      <c r="AD327" s="61" t="b">
        <v>0</v>
      </c>
      <c r="AE327" s="32" t="s">
        <v>235</v>
      </c>
      <c r="AF327" s="46"/>
      <c r="AG327" s="46"/>
      <c r="AH327" s="46"/>
      <c r="AI327" s="46"/>
      <c r="AJ327" s="46"/>
    </row>
    <row r="328" ht="22.5" customHeight="1">
      <c r="A328" s="27">
        <v>46218.0</v>
      </c>
      <c r="B328" s="34" t="str">
        <f t="array" ref="B328">TEXT(A328, "MM-YYYY")</f>
        <v>07-2026</v>
      </c>
      <c r="C328" s="20" t="s">
        <v>1321</v>
      </c>
      <c r="D328" s="21" t="s">
        <v>680</v>
      </c>
      <c r="E328" s="36" t="s">
        <v>213</v>
      </c>
      <c r="F328" s="37" t="s">
        <v>63</v>
      </c>
      <c r="G328" s="29" t="b">
        <v>1</v>
      </c>
      <c r="H328" s="36" t="s">
        <v>214</v>
      </c>
      <c r="I328" s="36" t="s">
        <v>215</v>
      </c>
      <c r="J328" s="29"/>
      <c r="K328" s="138"/>
      <c r="L328" s="187" t="s">
        <v>194</v>
      </c>
      <c r="M328" s="187" t="s">
        <v>194</v>
      </c>
      <c r="N328" s="187" t="s">
        <v>194</v>
      </c>
      <c r="O328" s="187" t="s">
        <v>194</v>
      </c>
      <c r="P328" s="187" t="s">
        <v>2271</v>
      </c>
      <c r="Q328" s="187" t="s">
        <v>2272</v>
      </c>
      <c r="R328" s="188">
        <v>46271.0</v>
      </c>
      <c r="S328" s="42">
        <v>0.0</v>
      </c>
      <c r="T328" s="44" t="s">
        <v>2235</v>
      </c>
      <c r="U328" s="45" t="str">
        <f>IF(records[Type]="Room",records[roomNo],records[roomNo]&amp;"-"&amp;SUBSTITUTE(RIGHT(records[roomNo]&amp;records[Type],2),"-",""))</f>
        <v>11-1-014-B</v>
      </c>
      <c r="V328" s="47" t="str">
        <f t="array" ref="V328">_xlfn.XLOOKUP(records[ID], dAir[roomNo], dAir[roomName])</f>
        <v>PPM SAMPLING (Booth)</v>
      </c>
      <c r="W328" s="47" t="str">
        <f t="array" ref="W328">_xlfn.XLOOKUP(records[ID], dAir[roomNo], dAir[building])</f>
        <v>Building 11</v>
      </c>
      <c r="X328" s="47" t="str">
        <f t="array" ref="X328">_xlfn.XLOOKUP(records[ID], dAir[roomNo], dAir[floor])</f>
        <v>Floor 1</v>
      </c>
      <c r="Y328" s="45" t="str">
        <f t="array" ref="Y328">_xlfn.XLOOKUP(records[ID], dAir[roomNo], dAir[Class])</f>
        <v>D</v>
      </c>
      <c r="Z328" s="45">
        <f t="array" ref="Z328">_xlfn.XLOOKUP(records[Method]&amp;"-"&amp;records[Class], dAirSpec[ID], dAirSpec[Spec])</f>
        <v>100</v>
      </c>
      <c r="AA328" s="45" t="str">
        <f t="array" ref="AA328">_xlfn.XLOOKUP(records[Method]&amp;"-"&amp;records[Class], dAirSpec[ID], dAirSpec[Unit])</f>
        <v>cfu/plate</v>
      </c>
      <c r="AB328" s="58">
        <f t="array" ref="AB328">if(S328="","", if(records[Method]="Active Air",_xlfn.xlookup(records[ColonyCount]&amp;records[AirSampler],feller[code],feller[Vc]),records[ColonyCount]))</f>
        <v>0</v>
      </c>
      <c r="AC328" s="60" t="b">
        <f t="shared" si="1"/>
        <v>1</v>
      </c>
      <c r="AD328" s="61" t="b">
        <v>0</v>
      </c>
      <c r="AE328" s="32" t="s">
        <v>235</v>
      </c>
      <c r="AF328" s="46"/>
      <c r="AG328" s="46"/>
      <c r="AH328" s="46"/>
      <c r="AI328" s="46"/>
      <c r="AJ328" s="46"/>
    </row>
    <row r="329" ht="22.5" customHeight="1">
      <c r="A329" s="27">
        <v>46218.0</v>
      </c>
      <c r="B329" s="34" t="str">
        <f t="array" ref="B329">TEXT(A329, "MM-YYYY")</f>
        <v>07-2026</v>
      </c>
      <c r="C329" s="20" t="s">
        <v>1325</v>
      </c>
      <c r="D329" s="21" t="s">
        <v>210</v>
      </c>
      <c r="E329" s="36" t="s">
        <v>213</v>
      </c>
      <c r="F329" s="37" t="s">
        <v>63</v>
      </c>
      <c r="G329" s="29" t="b">
        <v>1</v>
      </c>
      <c r="H329" s="36" t="s">
        <v>214</v>
      </c>
      <c r="I329" s="36" t="s">
        <v>215</v>
      </c>
      <c r="J329" s="29"/>
      <c r="K329" s="138"/>
      <c r="L329" s="187" t="s">
        <v>194</v>
      </c>
      <c r="M329" s="187" t="s">
        <v>194</v>
      </c>
      <c r="N329" s="187" t="s">
        <v>194</v>
      </c>
      <c r="O329" s="187" t="s">
        <v>194</v>
      </c>
      <c r="P329" s="187" t="s">
        <v>2271</v>
      </c>
      <c r="Q329" s="187" t="s">
        <v>2272</v>
      </c>
      <c r="R329" s="188">
        <v>46271.0</v>
      </c>
      <c r="S329" s="42">
        <v>33.0</v>
      </c>
      <c r="T329" s="44"/>
      <c r="U329" s="47" t="str">
        <f>IF(records[Type]="Room",records[roomNo],records[roomNo]&amp;"-"&amp;SUBSTITUTE(RIGHT(records[roomNo]&amp;records[Type],2),"-",""))</f>
        <v>11-1-015</v>
      </c>
      <c r="V329" s="47" t="str">
        <f t="array" ref="V329">_xlfn.XLOOKUP(records[ID], dAir[roomNo], dAir[roomName])</f>
        <v>PAL-1</v>
      </c>
      <c r="W329" s="47" t="str">
        <f t="array" ref="W329">_xlfn.XLOOKUP(records[ID], dAir[roomNo], dAir[building])</f>
        <v>Building 11</v>
      </c>
      <c r="X329" s="47" t="str">
        <f t="array" ref="X329">_xlfn.XLOOKUP(records[ID], dAir[roomNo], dAir[floor])</f>
        <v>Floor 1</v>
      </c>
      <c r="Y329" s="45" t="str">
        <f t="array" ref="Y329">_xlfn.XLOOKUP(records[ID], dAir[roomNo], dAir[Class])</f>
        <v>D</v>
      </c>
      <c r="Z329" s="45">
        <f t="array" ref="Z329">_xlfn.XLOOKUP(records[Method]&amp;"-"&amp;records[Class], dAirSpec[ID], dAirSpec[Spec])</f>
        <v>100</v>
      </c>
      <c r="AA329" s="45" t="str">
        <f t="array" ref="AA329">_xlfn.XLOOKUP(records[Method]&amp;"-"&amp;records[Class], dAirSpec[ID], dAirSpec[Unit])</f>
        <v>cfu/plate</v>
      </c>
      <c r="AB329" s="58">
        <f t="array" ref="AB329">if(S329="","", if(records[Method]="Active Air",_xlfn.xlookup(records[ColonyCount]&amp;records[AirSampler],feller[code],feller[Vc]),records[ColonyCount]))</f>
        <v>33</v>
      </c>
      <c r="AC329" s="60" t="b">
        <f t="shared" si="1"/>
        <v>1</v>
      </c>
      <c r="AD329" s="61" t="b">
        <v>0</v>
      </c>
      <c r="AE329" s="32" t="s">
        <v>235</v>
      </c>
      <c r="AF329" s="46"/>
      <c r="AG329" s="46"/>
      <c r="AH329" s="46"/>
      <c r="AI329" s="46"/>
      <c r="AJ329" s="46"/>
    </row>
    <row r="330" ht="22.5" customHeight="1">
      <c r="A330" s="27">
        <v>46218.0</v>
      </c>
      <c r="B330" s="34" t="str">
        <f t="array" ref="B330">TEXT(A330, "MM-YYYY")</f>
        <v>07-2026</v>
      </c>
      <c r="C330" s="20" t="s">
        <v>1327</v>
      </c>
      <c r="D330" s="21" t="s">
        <v>210</v>
      </c>
      <c r="E330" s="36" t="s">
        <v>213</v>
      </c>
      <c r="F330" s="37" t="s">
        <v>63</v>
      </c>
      <c r="G330" s="29" t="b">
        <v>1</v>
      </c>
      <c r="H330" s="36" t="s">
        <v>214</v>
      </c>
      <c r="I330" s="36" t="s">
        <v>215</v>
      </c>
      <c r="J330" s="29"/>
      <c r="K330" s="138"/>
      <c r="L330" s="187" t="s">
        <v>194</v>
      </c>
      <c r="M330" s="187" t="s">
        <v>194</v>
      </c>
      <c r="N330" s="187" t="s">
        <v>194</v>
      </c>
      <c r="O330" s="187" t="s">
        <v>194</v>
      </c>
      <c r="P330" s="187" t="s">
        <v>2271</v>
      </c>
      <c r="Q330" s="187" t="s">
        <v>2272</v>
      </c>
      <c r="R330" s="188">
        <v>46271.0</v>
      </c>
      <c r="S330" s="42">
        <v>0.0</v>
      </c>
      <c r="T330" s="44"/>
      <c r="U330" s="47" t="str">
        <f>IF(records[Type]="Room",records[roomNo],records[roomNo]&amp;"-"&amp;SUBSTITUTE(RIGHT(records[roomNo]&amp;records[Type],2),"-",""))</f>
        <v>11-1-016</v>
      </c>
      <c r="V330" s="47" t="str">
        <f t="array" ref="V330">_xlfn.XLOOKUP(records[ID], dAir[roomNo], dAir[roomName])</f>
        <v>CORRIDOR</v>
      </c>
      <c r="W330" s="47" t="str">
        <f t="array" ref="W330">_xlfn.XLOOKUP(records[ID], dAir[roomNo], dAir[building])</f>
        <v>Building 11</v>
      </c>
      <c r="X330" s="47" t="str">
        <f t="array" ref="X330">_xlfn.XLOOKUP(records[ID], dAir[roomNo], dAir[floor])</f>
        <v>Floor 1</v>
      </c>
      <c r="Y330" s="45" t="str">
        <f t="array" ref="Y330">_xlfn.XLOOKUP(records[ID], dAir[roomNo], dAir[Class])</f>
        <v>D</v>
      </c>
      <c r="Z330" s="45">
        <f t="array" ref="Z330">_xlfn.XLOOKUP(records[Method]&amp;"-"&amp;records[Class], dAirSpec[ID], dAirSpec[Spec])</f>
        <v>100</v>
      </c>
      <c r="AA330" s="45" t="str">
        <f t="array" ref="AA330">_xlfn.XLOOKUP(records[Method]&amp;"-"&amp;records[Class], dAirSpec[ID], dAirSpec[Unit])</f>
        <v>cfu/plate</v>
      </c>
      <c r="AB330" s="58">
        <f t="array" ref="AB330">if(S330="","", if(records[Method]="Active Air",_xlfn.xlookup(records[ColonyCount]&amp;records[AirSampler],feller[code],feller[Vc]),records[ColonyCount]))</f>
        <v>0</v>
      </c>
      <c r="AC330" s="60" t="b">
        <f t="shared" si="1"/>
        <v>1</v>
      </c>
      <c r="AD330" s="61" t="b">
        <v>0</v>
      </c>
      <c r="AE330" s="32" t="s">
        <v>235</v>
      </c>
      <c r="AF330" s="46"/>
      <c r="AG330" s="46"/>
      <c r="AH330" s="46"/>
      <c r="AI330" s="46"/>
      <c r="AJ330" s="46"/>
    </row>
    <row r="331" ht="22.5" customHeight="1">
      <c r="A331" s="27">
        <v>46218.0</v>
      </c>
      <c r="B331" s="34" t="str">
        <f t="array" ref="B331">TEXT(A331, "MM-YYYY")</f>
        <v>07-2026</v>
      </c>
      <c r="C331" s="20" t="s">
        <v>1328</v>
      </c>
      <c r="D331" s="21" t="s">
        <v>210</v>
      </c>
      <c r="E331" s="36" t="s">
        <v>213</v>
      </c>
      <c r="F331" s="37" t="s">
        <v>63</v>
      </c>
      <c r="G331" s="29" t="b">
        <v>1</v>
      </c>
      <c r="H331" s="36" t="s">
        <v>214</v>
      </c>
      <c r="I331" s="36" t="s">
        <v>215</v>
      </c>
      <c r="J331" s="29"/>
      <c r="K331" s="138"/>
      <c r="L331" s="187" t="s">
        <v>194</v>
      </c>
      <c r="M331" s="187" t="s">
        <v>194</v>
      </c>
      <c r="N331" s="187" t="s">
        <v>194</v>
      </c>
      <c r="O331" s="187" t="s">
        <v>194</v>
      </c>
      <c r="P331" s="187" t="s">
        <v>2271</v>
      </c>
      <c r="Q331" s="187" t="s">
        <v>2272</v>
      </c>
      <c r="R331" s="188">
        <v>46271.0</v>
      </c>
      <c r="S331" s="42">
        <v>0.0</v>
      </c>
      <c r="T331" s="44"/>
      <c r="U331" s="47" t="str">
        <f>IF(records[Type]="Room",records[roomNo],records[roomNo]&amp;"-"&amp;SUBSTITUTE(RIGHT(records[roomNo]&amp;records[Type],2),"-",""))</f>
        <v>11-1-017</v>
      </c>
      <c r="V331" s="47" t="str">
        <f t="array" ref="V331">_xlfn.XLOOKUP(records[ID], dAir[roomNo], dAir[roomName])</f>
        <v>SAMPLING 1-P</v>
      </c>
      <c r="W331" s="47" t="str">
        <f t="array" ref="W331">_xlfn.XLOOKUP(records[ID], dAir[roomNo], dAir[building])</f>
        <v>Building 11</v>
      </c>
      <c r="X331" s="47" t="str">
        <f t="array" ref="X331">_xlfn.XLOOKUP(records[ID], dAir[roomNo], dAir[floor])</f>
        <v>Floor 1</v>
      </c>
      <c r="Y331" s="45" t="str">
        <f t="array" ref="Y331">_xlfn.XLOOKUP(records[ID], dAir[roomNo], dAir[Class])</f>
        <v>D</v>
      </c>
      <c r="Z331" s="45">
        <f t="array" ref="Z331">_xlfn.XLOOKUP(records[Method]&amp;"-"&amp;records[Class], dAirSpec[ID], dAirSpec[Spec])</f>
        <v>100</v>
      </c>
      <c r="AA331" s="45" t="str">
        <f t="array" ref="AA331">_xlfn.XLOOKUP(records[Method]&amp;"-"&amp;records[Class], dAirSpec[ID], dAirSpec[Unit])</f>
        <v>cfu/plate</v>
      </c>
      <c r="AB331" s="58">
        <f t="array" ref="AB331">if(S331="","", if(records[Method]="Active Air",_xlfn.xlookup(records[ColonyCount]&amp;records[AirSampler],feller[code],feller[Vc]),records[ColonyCount]))</f>
        <v>0</v>
      </c>
      <c r="AC331" s="60" t="b">
        <f t="shared" si="1"/>
        <v>1</v>
      </c>
      <c r="AD331" s="61" t="b">
        <v>0</v>
      </c>
      <c r="AE331" s="32" t="s">
        <v>235</v>
      </c>
      <c r="AF331" s="46"/>
      <c r="AG331" s="46"/>
      <c r="AH331" s="46"/>
      <c r="AI331" s="46"/>
      <c r="AJ331" s="46"/>
    </row>
    <row r="332" ht="22.5" customHeight="1">
      <c r="A332" s="27">
        <v>46218.0</v>
      </c>
      <c r="B332" s="34" t="str">
        <f t="array" ref="B332">TEXT(A332, "MM-YYYY")</f>
        <v>07-2026</v>
      </c>
      <c r="C332" s="20" t="s">
        <v>1330</v>
      </c>
      <c r="D332" s="21" t="s">
        <v>210</v>
      </c>
      <c r="E332" s="36" t="s">
        <v>213</v>
      </c>
      <c r="F332" s="37" t="s">
        <v>63</v>
      </c>
      <c r="G332" s="29" t="b">
        <v>1</v>
      </c>
      <c r="H332" s="36" t="s">
        <v>214</v>
      </c>
      <c r="I332" s="36" t="s">
        <v>215</v>
      </c>
      <c r="J332" s="29"/>
      <c r="K332" s="138"/>
      <c r="L332" s="187" t="s">
        <v>194</v>
      </c>
      <c r="M332" s="187" t="s">
        <v>194</v>
      </c>
      <c r="N332" s="187" t="s">
        <v>194</v>
      </c>
      <c r="O332" s="187" t="s">
        <v>194</v>
      </c>
      <c r="P332" s="187" t="s">
        <v>2271</v>
      </c>
      <c r="Q332" s="187" t="s">
        <v>2272</v>
      </c>
      <c r="R332" s="188">
        <v>46271.0</v>
      </c>
      <c r="S332" s="42">
        <v>1.0</v>
      </c>
      <c r="T332" s="44"/>
      <c r="U332" s="47" t="str">
        <f>IF(records[Type]="Room",records[roomNo],records[roomNo]&amp;"-"&amp;SUBSTITUTE(RIGHT(records[roomNo]&amp;records[Type],2),"-",""))</f>
        <v>11-1-018</v>
      </c>
      <c r="V332" s="47" t="str">
        <f t="array" ref="V332">_xlfn.XLOOKUP(records[ID], dAir[roomNo], dAir[roomName])</f>
        <v>SAMPLING 2 (LOW RH)</v>
      </c>
      <c r="W332" s="47" t="str">
        <f t="array" ref="W332">_xlfn.XLOOKUP(records[ID], dAir[roomNo], dAir[building])</f>
        <v>Building 11</v>
      </c>
      <c r="X332" s="47" t="str">
        <f t="array" ref="X332">_xlfn.XLOOKUP(records[ID], dAir[roomNo], dAir[floor])</f>
        <v>Floor 1</v>
      </c>
      <c r="Y332" s="45" t="str">
        <f t="array" ref="Y332">_xlfn.XLOOKUP(records[ID], dAir[roomNo], dAir[Class])</f>
        <v>D</v>
      </c>
      <c r="Z332" s="45">
        <f t="array" ref="Z332">_xlfn.XLOOKUP(records[Method]&amp;"-"&amp;records[Class], dAirSpec[ID], dAirSpec[Spec])</f>
        <v>100</v>
      </c>
      <c r="AA332" s="45" t="str">
        <f t="array" ref="AA332">_xlfn.XLOOKUP(records[Method]&amp;"-"&amp;records[Class], dAirSpec[ID], dAirSpec[Unit])</f>
        <v>cfu/plate</v>
      </c>
      <c r="AB332" s="58">
        <f t="array" ref="AB332">if(S332="","", if(records[Method]="Active Air",_xlfn.xlookup(records[ColonyCount]&amp;records[AirSampler],feller[code],feller[Vc]),records[ColonyCount]))</f>
        <v>1</v>
      </c>
      <c r="AC332" s="60" t="b">
        <f t="shared" si="1"/>
        <v>1</v>
      </c>
      <c r="AD332" s="61" t="b">
        <v>0</v>
      </c>
      <c r="AE332" s="32" t="s">
        <v>235</v>
      </c>
      <c r="AF332" s="46"/>
      <c r="AG332" s="46"/>
      <c r="AH332" s="46"/>
      <c r="AI332" s="46"/>
      <c r="AJ332" s="46"/>
    </row>
    <row r="333" ht="22.5" customHeight="1">
      <c r="A333" s="27">
        <v>46218.0</v>
      </c>
      <c r="B333" s="34" t="str">
        <f t="array" ref="B333">TEXT(A333, "MM-YYYY")</f>
        <v>07-2026</v>
      </c>
      <c r="C333" s="20" t="s">
        <v>1330</v>
      </c>
      <c r="D333" s="21" t="s">
        <v>680</v>
      </c>
      <c r="E333" s="36" t="s">
        <v>213</v>
      </c>
      <c r="F333" s="37" t="s">
        <v>63</v>
      </c>
      <c r="G333" s="29" t="b">
        <v>1</v>
      </c>
      <c r="H333" s="36" t="s">
        <v>214</v>
      </c>
      <c r="I333" s="36" t="s">
        <v>215</v>
      </c>
      <c r="J333" s="29"/>
      <c r="K333" s="138"/>
      <c r="L333" s="187" t="s">
        <v>194</v>
      </c>
      <c r="M333" s="187" t="s">
        <v>194</v>
      </c>
      <c r="N333" s="187" t="s">
        <v>194</v>
      </c>
      <c r="O333" s="187" t="s">
        <v>194</v>
      </c>
      <c r="P333" s="187" t="s">
        <v>2271</v>
      </c>
      <c r="Q333" s="187" t="s">
        <v>2272</v>
      </c>
      <c r="R333" s="188">
        <v>46271.0</v>
      </c>
      <c r="S333" s="42">
        <v>0.0</v>
      </c>
      <c r="T333" s="44" t="s">
        <v>2235</v>
      </c>
      <c r="U333" s="45" t="str">
        <f>IF(records[Type]="Room",records[roomNo],records[roomNo]&amp;"-"&amp;SUBSTITUTE(RIGHT(records[roomNo]&amp;records[Type],2),"-",""))</f>
        <v>11-1-018-B</v>
      </c>
      <c r="V333" s="47" t="str">
        <f t="array" ref="V333">_xlfn.XLOOKUP(records[ID], dAir[roomNo], dAir[roomName])</f>
        <v>SAMPLING 2 (LOW RH) (Booth)</v>
      </c>
      <c r="W333" s="47" t="str">
        <f t="array" ref="W333">_xlfn.XLOOKUP(records[ID], dAir[roomNo], dAir[building])</f>
        <v>Building 11</v>
      </c>
      <c r="X333" s="47" t="str">
        <f t="array" ref="X333">_xlfn.XLOOKUP(records[ID], dAir[roomNo], dAir[floor])</f>
        <v>Floor 1</v>
      </c>
      <c r="Y333" s="45" t="str">
        <f t="array" ref="Y333">_xlfn.XLOOKUP(records[ID], dAir[roomNo], dAir[Class])</f>
        <v>D</v>
      </c>
      <c r="Z333" s="45">
        <f t="array" ref="Z333">_xlfn.XLOOKUP(records[Method]&amp;"-"&amp;records[Class], dAirSpec[ID], dAirSpec[Spec])</f>
        <v>100</v>
      </c>
      <c r="AA333" s="45" t="str">
        <f t="array" ref="AA333">_xlfn.XLOOKUP(records[Method]&amp;"-"&amp;records[Class], dAirSpec[ID], dAirSpec[Unit])</f>
        <v>cfu/plate</v>
      </c>
      <c r="AB333" s="58">
        <f t="array" ref="AB333">if(S333="","", if(records[Method]="Active Air",_xlfn.xlookup(records[ColonyCount]&amp;records[AirSampler],feller[code],feller[Vc]),records[ColonyCount]))</f>
        <v>0</v>
      </c>
      <c r="AC333" s="60" t="b">
        <f t="shared" si="1"/>
        <v>1</v>
      </c>
      <c r="AD333" s="61" t="b">
        <v>0</v>
      </c>
      <c r="AE333" s="32" t="s">
        <v>235</v>
      </c>
      <c r="AF333" s="46"/>
      <c r="AG333" s="46"/>
      <c r="AH333" s="46"/>
      <c r="AI333" s="46"/>
      <c r="AJ333" s="46"/>
    </row>
    <row r="334" ht="22.5" customHeight="1">
      <c r="A334" s="27">
        <v>46218.0</v>
      </c>
      <c r="B334" s="34" t="str">
        <f t="array" ref="B334">TEXT(A334, "MM-YYYY")</f>
        <v>07-2026</v>
      </c>
      <c r="C334" s="20" t="s">
        <v>1335</v>
      </c>
      <c r="D334" s="21" t="s">
        <v>210</v>
      </c>
      <c r="E334" s="36" t="s">
        <v>213</v>
      </c>
      <c r="F334" s="37" t="s">
        <v>63</v>
      </c>
      <c r="G334" s="29" t="b">
        <v>1</v>
      </c>
      <c r="H334" s="36" t="s">
        <v>214</v>
      </c>
      <c r="I334" s="36" t="s">
        <v>215</v>
      </c>
      <c r="J334" s="29"/>
      <c r="K334" s="138"/>
      <c r="L334" s="187" t="s">
        <v>194</v>
      </c>
      <c r="M334" s="187" t="s">
        <v>194</v>
      </c>
      <c r="N334" s="187" t="s">
        <v>194</v>
      </c>
      <c r="O334" s="187" t="s">
        <v>194</v>
      </c>
      <c r="P334" s="187" t="s">
        <v>2271</v>
      </c>
      <c r="Q334" s="187" t="s">
        <v>2272</v>
      </c>
      <c r="R334" s="188">
        <v>46271.0</v>
      </c>
      <c r="S334" s="42">
        <v>0.0</v>
      </c>
      <c r="T334" s="44"/>
      <c r="U334" s="47" t="str">
        <f>IF(records[Type]="Room",records[roomNo],records[roomNo]&amp;"-"&amp;SUBSTITUTE(RIGHT(records[roomNo]&amp;records[Type],2),"-",""))</f>
        <v>11-1-019</v>
      </c>
      <c r="V334" s="47" t="str">
        <f t="array" ref="V334">_xlfn.XLOOKUP(records[ID], dAir[roomNo], dAir[roomName])</f>
        <v>MAL 1</v>
      </c>
      <c r="W334" s="47" t="str">
        <f t="array" ref="W334">_xlfn.XLOOKUP(records[ID], dAir[roomNo], dAir[building])</f>
        <v>Building 11</v>
      </c>
      <c r="X334" s="47" t="str">
        <f t="array" ref="X334">_xlfn.XLOOKUP(records[ID], dAir[roomNo], dAir[floor])</f>
        <v>Floor 1</v>
      </c>
      <c r="Y334" s="45" t="str">
        <f t="array" ref="Y334">_xlfn.XLOOKUP(records[ID], dAir[roomNo], dAir[Class])</f>
        <v>D</v>
      </c>
      <c r="Z334" s="45">
        <f t="array" ref="Z334">_xlfn.XLOOKUP(records[Method]&amp;"-"&amp;records[Class], dAirSpec[ID], dAirSpec[Spec])</f>
        <v>100</v>
      </c>
      <c r="AA334" s="45" t="str">
        <f t="array" ref="AA334">_xlfn.XLOOKUP(records[Method]&amp;"-"&amp;records[Class], dAirSpec[ID], dAirSpec[Unit])</f>
        <v>cfu/plate</v>
      </c>
      <c r="AB334" s="58">
        <f t="array" ref="AB334">if(S334="","", if(records[Method]="Active Air",_xlfn.xlookup(records[ColonyCount]&amp;records[AirSampler],feller[code],feller[Vc]),records[ColonyCount]))</f>
        <v>0</v>
      </c>
      <c r="AC334" s="60" t="b">
        <f t="shared" si="1"/>
        <v>1</v>
      </c>
      <c r="AD334" s="61" t="b">
        <v>0</v>
      </c>
      <c r="AE334" s="32" t="s">
        <v>235</v>
      </c>
      <c r="AF334" s="46"/>
      <c r="AG334" s="46"/>
      <c r="AH334" s="46"/>
      <c r="AI334" s="46"/>
      <c r="AJ334" s="46"/>
    </row>
    <row r="335" ht="22.5" customHeight="1">
      <c r="A335" s="27">
        <v>46218.0</v>
      </c>
      <c r="B335" s="34" t="str">
        <f t="array" ref="B335">TEXT(A335, "MM-YYYY")</f>
        <v>07-2026</v>
      </c>
      <c r="C335" s="20" t="s">
        <v>1337</v>
      </c>
      <c r="D335" s="21" t="s">
        <v>210</v>
      </c>
      <c r="E335" s="36" t="s">
        <v>531</v>
      </c>
      <c r="F335" s="37" t="s">
        <v>63</v>
      </c>
      <c r="G335" s="29" t="b">
        <v>1</v>
      </c>
      <c r="H335" s="36" t="s">
        <v>214</v>
      </c>
      <c r="I335" s="36" t="s">
        <v>534</v>
      </c>
      <c r="J335" s="29"/>
      <c r="K335" s="138"/>
      <c r="L335" s="187" t="s">
        <v>194</v>
      </c>
      <c r="M335" s="187" t="s">
        <v>194</v>
      </c>
      <c r="N335" s="187" t="s">
        <v>194</v>
      </c>
      <c r="O335" s="187" t="s">
        <v>194</v>
      </c>
      <c r="P335" s="187" t="s">
        <v>2271</v>
      </c>
      <c r="Q335" s="187" t="s">
        <v>2272</v>
      </c>
      <c r="R335" s="188">
        <v>46271.0</v>
      </c>
      <c r="S335" s="42">
        <v>1.0</v>
      </c>
      <c r="T335" s="44"/>
      <c r="U335" s="47" t="str">
        <f>IF(records[Type]="Room",records[roomNo],records[roomNo]&amp;"-"&amp;SUBSTITUTE(RIGHT(records[roomNo]&amp;records[Type],2),"-",""))</f>
        <v>11-1-020</v>
      </c>
      <c r="V335" s="47" t="str">
        <f t="array" ref="V335">_xlfn.XLOOKUP(records[ID], dAir[roomNo], dAir[roomName])</f>
        <v>CHANGING ROOM</v>
      </c>
      <c r="W335" s="47" t="str">
        <f t="array" ref="W335">_xlfn.XLOOKUP(records[ID], dAir[roomNo], dAir[building])</f>
        <v>Building 11</v>
      </c>
      <c r="X335" s="47" t="str">
        <f t="array" ref="X335">_xlfn.XLOOKUP(records[ID], dAir[roomNo], dAir[floor])</f>
        <v>Floor 1</v>
      </c>
      <c r="Y335" s="45" t="str">
        <f t="array" ref="Y335">_xlfn.XLOOKUP(records[ID], dAir[roomNo], dAir[Class])</f>
        <v>C</v>
      </c>
      <c r="Z335" s="45">
        <f t="array" ref="Z335">_xlfn.XLOOKUP(records[Method]&amp;"-"&amp;records[Class], dAirSpec[ID], dAirSpec[Spec])</f>
        <v>100</v>
      </c>
      <c r="AA335" s="45" t="str">
        <f t="array" ref="AA335">_xlfn.XLOOKUP(records[Method]&amp;"-"&amp;records[Class], dAirSpec[ID], dAirSpec[Unit])</f>
        <v>cfu/m3</v>
      </c>
      <c r="AB335" s="45">
        <f t="array" ref="AB335">if(S335="","", if(records[Method]="Active Air",_xlfn.xlookup(records[ColonyCount]&amp;records[AirSampler],feller[code],feller[Vc]),records[ColonyCount]))</f>
        <v>1</v>
      </c>
      <c r="AC335" s="60" t="b">
        <f t="shared" si="1"/>
        <v>1</v>
      </c>
      <c r="AD335" s="61" t="b">
        <v>0</v>
      </c>
      <c r="AE335" s="32" t="s">
        <v>235</v>
      </c>
      <c r="AF335" s="46"/>
      <c r="AG335" s="46"/>
      <c r="AH335" s="46"/>
      <c r="AI335" s="46"/>
      <c r="AJ335" s="46"/>
    </row>
    <row r="336" ht="22.5" customHeight="1">
      <c r="A336" s="27">
        <v>46218.0</v>
      </c>
      <c r="B336" s="34" t="str">
        <f t="array" ref="B336">TEXT(A336, "MM-YYYY")</f>
        <v>07-2026</v>
      </c>
      <c r="C336" s="20" t="s">
        <v>1339</v>
      </c>
      <c r="D336" s="21" t="s">
        <v>210</v>
      </c>
      <c r="E336" s="36" t="s">
        <v>531</v>
      </c>
      <c r="F336" s="37" t="s">
        <v>63</v>
      </c>
      <c r="G336" s="29" t="b">
        <v>1</v>
      </c>
      <c r="H336" s="36" t="s">
        <v>214</v>
      </c>
      <c r="I336" s="36" t="s">
        <v>534</v>
      </c>
      <c r="J336" s="29"/>
      <c r="K336" s="138"/>
      <c r="L336" s="187" t="s">
        <v>194</v>
      </c>
      <c r="M336" s="187" t="s">
        <v>194</v>
      </c>
      <c r="N336" s="187" t="s">
        <v>194</v>
      </c>
      <c r="O336" s="187" t="s">
        <v>194</v>
      </c>
      <c r="P336" s="187" t="s">
        <v>2271</v>
      </c>
      <c r="Q336" s="187" t="s">
        <v>2272</v>
      </c>
      <c r="R336" s="188">
        <v>46271.0</v>
      </c>
      <c r="S336" s="42">
        <v>23.0</v>
      </c>
      <c r="T336" s="44"/>
      <c r="U336" s="47" t="str">
        <f>IF(records[Type]="Room",records[roomNo],records[roomNo]&amp;"-"&amp;SUBSTITUTE(RIGHT(records[roomNo]&amp;records[Type],2),"-",""))</f>
        <v>11-1-021</v>
      </c>
      <c r="V336" s="47" t="str">
        <f t="array" ref="V336">_xlfn.XLOOKUP(records[ID], dAir[roomNo], dAir[roomName])</f>
        <v>AIRLOCK</v>
      </c>
      <c r="W336" s="47" t="str">
        <f t="array" ref="W336">_xlfn.XLOOKUP(records[ID], dAir[roomNo], dAir[building])</f>
        <v>Building 11</v>
      </c>
      <c r="X336" s="47" t="str">
        <f t="array" ref="X336">_xlfn.XLOOKUP(records[ID], dAir[roomNo], dAir[floor])</f>
        <v>Floor 1</v>
      </c>
      <c r="Y336" s="45" t="str">
        <f t="array" ref="Y336">_xlfn.XLOOKUP(records[ID], dAir[roomNo], dAir[Class])</f>
        <v>C</v>
      </c>
      <c r="Z336" s="45">
        <f t="array" ref="Z336">_xlfn.XLOOKUP(records[Method]&amp;"-"&amp;records[Class], dAirSpec[ID], dAirSpec[Spec])</f>
        <v>100</v>
      </c>
      <c r="AA336" s="45" t="str">
        <f t="array" ref="AA336">_xlfn.XLOOKUP(records[Method]&amp;"-"&amp;records[Class], dAirSpec[ID], dAirSpec[Unit])</f>
        <v>cfu/m3</v>
      </c>
      <c r="AB336" s="45">
        <f t="array" ref="AB336">if(S336="","", if(records[Method]="Active Air",_xlfn.xlookup(records[ColonyCount]&amp;records[AirSampler],feller[code],feller[Vc]),records[ColonyCount]))</f>
        <v>24</v>
      </c>
      <c r="AC336" s="60" t="b">
        <f t="shared" si="1"/>
        <v>1</v>
      </c>
      <c r="AD336" s="61" t="b">
        <v>0</v>
      </c>
      <c r="AE336" s="32" t="s">
        <v>235</v>
      </c>
      <c r="AF336" s="46"/>
      <c r="AG336" s="46"/>
      <c r="AH336" s="46"/>
      <c r="AI336" s="46"/>
      <c r="AJ336" s="46"/>
    </row>
    <row r="337" ht="22.5" customHeight="1">
      <c r="A337" s="27">
        <v>46218.0</v>
      </c>
      <c r="B337" s="34" t="str">
        <f t="array" ref="B337">TEXT(A337, "MM-YYYY")</f>
        <v>07-2026</v>
      </c>
      <c r="C337" s="20" t="s">
        <v>1339</v>
      </c>
      <c r="D337" s="21" t="s">
        <v>1350</v>
      </c>
      <c r="E337" s="36" t="s">
        <v>531</v>
      </c>
      <c r="F337" s="37" t="s">
        <v>63</v>
      </c>
      <c r="G337" s="29" t="b">
        <v>1</v>
      </c>
      <c r="H337" s="36" t="s">
        <v>214</v>
      </c>
      <c r="I337" s="36" t="s">
        <v>534</v>
      </c>
      <c r="J337" s="29"/>
      <c r="K337" s="138"/>
      <c r="L337" s="187" t="s">
        <v>194</v>
      </c>
      <c r="M337" s="187" t="s">
        <v>194</v>
      </c>
      <c r="N337" s="187" t="s">
        <v>194</v>
      </c>
      <c r="O337" s="187" t="s">
        <v>194</v>
      </c>
      <c r="P337" s="187" t="s">
        <v>2271</v>
      </c>
      <c r="Q337" s="187" t="s">
        <v>2272</v>
      </c>
      <c r="R337" s="188">
        <v>46271.0</v>
      </c>
      <c r="S337" s="42">
        <v>3.0</v>
      </c>
      <c r="T337" s="44" t="s">
        <v>1483</v>
      </c>
      <c r="U337" s="45" t="str">
        <f>IF(records[Type]="Room",records[roomNo],records[roomNo]&amp;"-"&amp;SUBSTITUTE(RIGHT(records[roomNo]&amp;records[Type],2),"-",""))</f>
        <v>11-1-021-PB</v>
      </c>
      <c r="V337" s="47" t="str">
        <f t="array" ref="V337">_xlfn.XLOOKUP(records[ID], dAir[roomNo], dAir[roomName])</f>
        <v>AIRLOCK  (Passbox)</v>
      </c>
      <c r="W337" s="47" t="str">
        <f t="array" ref="W337">_xlfn.XLOOKUP(records[ID], dAir[roomNo], dAir[building])</f>
        <v>Building 11</v>
      </c>
      <c r="X337" s="47" t="str">
        <f t="array" ref="X337">_xlfn.XLOOKUP(records[ID], dAir[roomNo], dAir[floor])</f>
        <v>Floor 1</v>
      </c>
      <c r="Y337" s="45" t="str">
        <f t="array" ref="Y337">_xlfn.XLOOKUP(records[ID], dAir[roomNo], dAir[Class])</f>
        <v>C</v>
      </c>
      <c r="Z337" s="45">
        <f t="array" ref="Z337">_xlfn.XLOOKUP(records[Method]&amp;"-"&amp;records[Class], dAirSpec[ID], dAirSpec[Spec])</f>
        <v>100</v>
      </c>
      <c r="AA337" s="45" t="str">
        <f t="array" ref="AA337">_xlfn.XLOOKUP(records[Method]&amp;"-"&amp;records[Class], dAirSpec[ID], dAirSpec[Unit])</f>
        <v>cfu/m3</v>
      </c>
      <c r="AB337" s="45">
        <f t="array" ref="AB337">if(S337="","", if(records[Method]="Active Air",_xlfn.xlookup(records[ColonyCount]&amp;records[AirSampler],feller[code],feller[Vc]),records[ColonyCount]))</f>
        <v>3</v>
      </c>
      <c r="AC337" s="60" t="b">
        <f t="shared" si="1"/>
        <v>1</v>
      </c>
      <c r="AD337" s="61" t="b">
        <v>0</v>
      </c>
      <c r="AE337" s="32" t="s">
        <v>235</v>
      </c>
      <c r="AF337" s="46"/>
      <c r="AG337" s="46"/>
      <c r="AH337" s="46"/>
      <c r="AI337" s="46"/>
      <c r="AJ337" s="46"/>
    </row>
    <row r="338" ht="22.5" customHeight="1">
      <c r="A338" s="27">
        <v>46218.0</v>
      </c>
      <c r="B338" s="34" t="str">
        <f t="array" ref="B338">TEXT(A338, "MM-YYYY")</f>
        <v>07-2026</v>
      </c>
      <c r="C338" s="20" t="s">
        <v>1342</v>
      </c>
      <c r="D338" s="21" t="s">
        <v>210</v>
      </c>
      <c r="E338" s="36" t="s">
        <v>531</v>
      </c>
      <c r="F338" s="37" t="s">
        <v>63</v>
      </c>
      <c r="G338" s="29" t="b">
        <v>1</v>
      </c>
      <c r="H338" s="36" t="s">
        <v>214</v>
      </c>
      <c r="I338" s="36" t="s">
        <v>534</v>
      </c>
      <c r="J338" s="29"/>
      <c r="K338" s="138"/>
      <c r="L338" s="187" t="s">
        <v>194</v>
      </c>
      <c r="M338" s="187" t="s">
        <v>194</v>
      </c>
      <c r="N338" s="187" t="s">
        <v>194</v>
      </c>
      <c r="O338" s="187" t="s">
        <v>194</v>
      </c>
      <c r="P338" s="187" t="s">
        <v>2271</v>
      </c>
      <c r="Q338" s="187" t="s">
        <v>2272</v>
      </c>
      <c r="R338" s="188">
        <v>46271.0</v>
      </c>
      <c r="S338" s="42">
        <v>6.0</v>
      </c>
      <c r="T338" s="44"/>
      <c r="U338" s="47" t="str">
        <f>IF(records[Type]="Room",records[roomNo],records[roomNo]&amp;"-"&amp;SUBSTITUTE(RIGHT(records[roomNo]&amp;records[Type],2),"-",""))</f>
        <v>11-1-022</v>
      </c>
      <c r="V338" s="47" t="str">
        <f t="array" ref="V338">_xlfn.XLOOKUP(records[ID], dAir[roomNo], dAir[roomName])</f>
        <v>SAMPLING 4</v>
      </c>
      <c r="W338" s="47" t="str">
        <f t="array" ref="W338">_xlfn.XLOOKUP(records[ID], dAir[roomNo], dAir[building])</f>
        <v>Building 11</v>
      </c>
      <c r="X338" s="47" t="str">
        <f t="array" ref="X338">_xlfn.XLOOKUP(records[ID], dAir[roomNo], dAir[floor])</f>
        <v>Floor 1</v>
      </c>
      <c r="Y338" s="45" t="str">
        <f t="array" ref="Y338">_xlfn.XLOOKUP(records[ID], dAir[roomNo], dAir[Class])</f>
        <v>C</v>
      </c>
      <c r="Z338" s="45">
        <f t="array" ref="Z338">_xlfn.XLOOKUP(records[Method]&amp;"-"&amp;records[Class], dAirSpec[ID], dAirSpec[Spec])</f>
        <v>100</v>
      </c>
      <c r="AA338" s="45" t="str">
        <f t="array" ref="AA338">_xlfn.XLOOKUP(records[Method]&amp;"-"&amp;records[Class], dAirSpec[ID], dAirSpec[Unit])</f>
        <v>cfu/m3</v>
      </c>
      <c r="AB338" s="45">
        <f t="array" ref="AB338">if(S338="","", if(records[Method]="Active Air",_xlfn.xlookup(records[ColonyCount]&amp;records[AirSampler],feller[code],feller[Vc]),records[ColonyCount]))</f>
        <v>6</v>
      </c>
      <c r="AC338" s="60" t="b">
        <f t="shared" si="1"/>
        <v>1</v>
      </c>
      <c r="AD338" s="61" t="b">
        <v>0</v>
      </c>
      <c r="AE338" s="32" t="s">
        <v>235</v>
      </c>
      <c r="AF338" s="46"/>
      <c r="AG338" s="46"/>
      <c r="AH338" s="46"/>
      <c r="AI338" s="46"/>
      <c r="AJ338" s="46"/>
    </row>
    <row r="339" ht="22.5" customHeight="1">
      <c r="A339" s="27">
        <v>46218.0</v>
      </c>
      <c r="B339" s="34" t="str">
        <f t="array" ref="B339">TEXT(A339, "MM-YYYY")</f>
        <v>07-2026</v>
      </c>
      <c r="C339" s="20" t="s">
        <v>1342</v>
      </c>
      <c r="D339" s="21" t="s">
        <v>680</v>
      </c>
      <c r="E339" s="36" t="s">
        <v>531</v>
      </c>
      <c r="F339" s="37" t="s">
        <v>63</v>
      </c>
      <c r="G339" s="29" t="b">
        <v>1</v>
      </c>
      <c r="H339" s="36" t="s">
        <v>214</v>
      </c>
      <c r="I339" s="36" t="s">
        <v>534</v>
      </c>
      <c r="J339" s="29"/>
      <c r="K339" s="138"/>
      <c r="L339" s="187" t="s">
        <v>194</v>
      </c>
      <c r="M339" s="187" t="s">
        <v>194</v>
      </c>
      <c r="N339" s="187" t="s">
        <v>194</v>
      </c>
      <c r="O339" s="187" t="s">
        <v>194</v>
      </c>
      <c r="P339" s="187" t="s">
        <v>2271</v>
      </c>
      <c r="Q339" s="187" t="s">
        <v>2272</v>
      </c>
      <c r="R339" s="188">
        <v>46271.0</v>
      </c>
      <c r="S339" s="42">
        <v>2.0</v>
      </c>
      <c r="T339" s="44" t="s">
        <v>2235</v>
      </c>
      <c r="U339" s="45" t="str">
        <f>IF(records[Type]="Room",records[roomNo],records[roomNo]&amp;"-"&amp;SUBSTITUTE(RIGHT(records[roomNo]&amp;records[Type],2),"-",""))</f>
        <v>11-1-022-B</v>
      </c>
      <c r="V339" s="47" t="str">
        <f t="array" ref="V339">_xlfn.XLOOKUP(records[ID], dAir[roomNo], dAir[roomName])</f>
        <v>SAMPLING 4 (Booth)</v>
      </c>
      <c r="W339" s="47" t="str">
        <f t="array" ref="W339">_xlfn.XLOOKUP(records[ID], dAir[roomNo], dAir[building])</f>
        <v>Building 11</v>
      </c>
      <c r="X339" s="47" t="str">
        <f t="array" ref="X339">_xlfn.XLOOKUP(records[ID], dAir[roomNo], dAir[floor])</f>
        <v>Floor 1</v>
      </c>
      <c r="Y339" s="45" t="str">
        <f t="array" ref="Y339">_xlfn.XLOOKUP(records[ID], dAir[roomNo], dAir[Class])</f>
        <v>C</v>
      </c>
      <c r="Z339" s="45">
        <f t="array" ref="Z339">_xlfn.XLOOKUP(records[Method]&amp;"-"&amp;records[Class], dAirSpec[ID], dAirSpec[Spec])</f>
        <v>100</v>
      </c>
      <c r="AA339" s="45" t="str">
        <f t="array" ref="AA339">_xlfn.XLOOKUP(records[Method]&amp;"-"&amp;records[Class], dAirSpec[ID], dAirSpec[Unit])</f>
        <v>cfu/m3</v>
      </c>
      <c r="AB339" s="45">
        <f t="array" ref="AB339">if(S339="","", if(records[Method]="Active Air",_xlfn.xlookup(records[ColonyCount]&amp;records[AirSampler],feller[code],feller[Vc]),records[ColonyCount]))</f>
        <v>2</v>
      </c>
      <c r="AC339" s="60" t="b">
        <f t="shared" si="1"/>
        <v>1</v>
      </c>
      <c r="AD339" s="61" t="b">
        <v>0</v>
      </c>
      <c r="AE339" s="32" t="s">
        <v>235</v>
      </c>
      <c r="AF339" s="46"/>
      <c r="AG339" s="46"/>
      <c r="AH339" s="46"/>
      <c r="AI339" s="46"/>
      <c r="AJ339" s="46"/>
    </row>
    <row r="340" ht="22.5" customHeight="1">
      <c r="A340" s="27">
        <v>46218.0</v>
      </c>
      <c r="B340" s="34" t="str">
        <f t="array" ref="B340">TEXT(A340, "MM-YYYY")</f>
        <v>07-2026</v>
      </c>
      <c r="C340" s="20" t="s">
        <v>1346</v>
      </c>
      <c r="D340" s="21" t="s">
        <v>210</v>
      </c>
      <c r="E340" s="36" t="s">
        <v>213</v>
      </c>
      <c r="F340" s="37" t="s">
        <v>63</v>
      </c>
      <c r="G340" s="29" t="b">
        <v>1</v>
      </c>
      <c r="H340" s="36" t="s">
        <v>214</v>
      </c>
      <c r="I340" s="36" t="s">
        <v>215</v>
      </c>
      <c r="J340" s="29"/>
      <c r="K340" s="138"/>
      <c r="L340" s="187" t="s">
        <v>194</v>
      </c>
      <c r="M340" s="187" t="s">
        <v>194</v>
      </c>
      <c r="N340" s="187" t="s">
        <v>194</v>
      </c>
      <c r="O340" s="187" t="s">
        <v>194</v>
      </c>
      <c r="P340" s="187" t="s">
        <v>2271</v>
      </c>
      <c r="Q340" s="187" t="s">
        <v>2272</v>
      </c>
      <c r="R340" s="188">
        <v>46271.0</v>
      </c>
      <c r="S340" s="42">
        <v>0.0</v>
      </c>
      <c r="T340" s="44"/>
      <c r="U340" s="47" t="str">
        <f>IF(records[Type]="Room",records[roomNo],records[roomNo]&amp;"-"&amp;SUBSTITUTE(RIGHT(records[roomNo]&amp;records[Type],2),"-",""))</f>
        <v>11-1-023</v>
      </c>
      <c r="V340" s="47" t="str">
        <f t="array" ref="V340">_xlfn.XLOOKUP(records[ID], dAir[roomNo], dAir[roomName])</f>
        <v>SAMPLING 3</v>
      </c>
      <c r="W340" s="47" t="str">
        <f t="array" ref="W340">_xlfn.XLOOKUP(records[ID], dAir[roomNo], dAir[building])</f>
        <v>Building 11</v>
      </c>
      <c r="X340" s="47" t="str">
        <f t="array" ref="X340">_xlfn.XLOOKUP(records[ID], dAir[roomNo], dAir[floor])</f>
        <v>Floor 1</v>
      </c>
      <c r="Y340" s="45" t="str">
        <f t="array" ref="Y340">_xlfn.XLOOKUP(records[ID], dAir[roomNo], dAir[Class])</f>
        <v>D</v>
      </c>
      <c r="Z340" s="45">
        <f t="array" ref="Z340">_xlfn.XLOOKUP(records[Method]&amp;"-"&amp;records[Class], dAirSpec[ID], dAirSpec[Spec])</f>
        <v>100</v>
      </c>
      <c r="AA340" s="45" t="str">
        <f t="array" ref="AA340">_xlfn.XLOOKUP(records[Method]&amp;"-"&amp;records[Class], dAirSpec[ID], dAirSpec[Unit])</f>
        <v>cfu/plate</v>
      </c>
      <c r="AB340" s="58">
        <f t="array" ref="AB340">if(S340="","", if(records[Method]="Active Air",_xlfn.xlookup(records[ColonyCount]&amp;records[AirSampler],feller[code],feller[Vc]),records[ColonyCount]))</f>
        <v>0</v>
      </c>
      <c r="AC340" s="60" t="b">
        <f t="shared" si="1"/>
        <v>1</v>
      </c>
      <c r="AD340" s="61" t="b">
        <v>0</v>
      </c>
      <c r="AE340" s="32" t="s">
        <v>235</v>
      </c>
      <c r="AF340" s="46"/>
      <c r="AG340" s="46"/>
      <c r="AH340" s="46"/>
      <c r="AI340" s="46"/>
      <c r="AJ340" s="46"/>
    </row>
    <row r="341" ht="22.5" customHeight="1">
      <c r="A341" s="27">
        <v>46218.0</v>
      </c>
      <c r="B341" s="34" t="str">
        <f t="array" ref="B341">TEXT(A341, "MM-YYYY")</f>
        <v>07-2026</v>
      </c>
      <c r="C341" s="20" t="s">
        <v>1346</v>
      </c>
      <c r="D341" s="21" t="s">
        <v>680</v>
      </c>
      <c r="E341" s="36" t="s">
        <v>213</v>
      </c>
      <c r="F341" s="37" t="s">
        <v>63</v>
      </c>
      <c r="G341" s="29" t="b">
        <v>1</v>
      </c>
      <c r="H341" s="36" t="s">
        <v>214</v>
      </c>
      <c r="I341" s="36" t="s">
        <v>215</v>
      </c>
      <c r="J341" s="29"/>
      <c r="K341" s="138"/>
      <c r="L341" s="187" t="s">
        <v>194</v>
      </c>
      <c r="M341" s="187" t="s">
        <v>194</v>
      </c>
      <c r="N341" s="187" t="s">
        <v>194</v>
      </c>
      <c r="O341" s="187" t="s">
        <v>194</v>
      </c>
      <c r="P341" s="187" t="s">
        <v>2271</v>
      </c>
      <c r="Q341" s="187" t="s">
        <v>2272</v>
      </c>
      <c r="R341" s="188">
        <v>46271.0</v>
      </c>
      <c r="S341" s="42">
        <v>0.0</v>
      </c>
      <c r="T341" s="44" t="s">
        <v>2235</v>
      </c>
      <c r="U341" s="45" t="str">
        <f>IF(records[Type]="Room",records[roomNo],records[roomNo]&amp;"-"&amp;SUBSTITUTE(RIGHT(records[roomNo]&amp;records[Type],2),"-",""))</f>
        <v>11-1-023-B</v>
      </c>
      <c r="V341" s="47" t="str">
        <f t="array" ref="V341">_xlfn.XLOOKUP(records[ID], dAir[roomNo], dAir[roomName])</f>
        <v>SAMPLING 3 (Booth)</v>
      </c>
      <c r="W341" s="47" t="str">
        <f t="array" ref="W341">_xlfn.XLOOKUP(records[ID], dAir[roomNo], dAir[building])</f>
        <v>Building 11</v>
      </c>
      <c r="X341" s="47" t="str">
        <f t="array" ref="X341">_xlfn.XLOOKUP(records[ID], dAir[roomNo], dAir[floor])</f>
        <v>Floor 1</v>
      </c>
      <c r="Y341" s="45" t="str">
        <f t="array" ref="Y341">_xlfn.XLOOKUP(records[ID], dAir[roomNo], dAir[Class])</f>
        <v>D</v>
      </c>
      <c r="Z341" s="45">
        <f t="array" ref="Z341">_xlfn.XLOOKUP(records[Method]&amp;"-"&amp;records[Class], dAirSpec[ID], dAirSpec[Spec])</f>
        <v>100</v>
      </c>
      <c r="AA341" s="45" t="str">
        <f t="array" ref="AA341">_xlfn.XLOOKUP(records[Method]&amp;"-"&amp;records[Class], dAirSpec[ID], dAirSpec[Unit])</f>
        <v>cfu/plate</v>
      </c>
      <c r="AB341" s="58">
        <f t="array" ref="AB341">if(S341="","", if(records[Method]="Active Air",_xlfn.xlookup(records[ColonyCount]&amp;records[AirSampler],feller[code],feller[Vc]),records[ColonyCount]))</f>
        <v>0</v>
      </c>
      <c r="AC341" s="60" t="b">
        <f t="shared" si="1"/>
        <v>1</v>
      </c>
      <c r="AD341" s="61" t="b">
        <v>0</v>
      </c>
      <c r="AE341" s="32" t="s">
        <v>235</v>
      </c>
      <c r="AF341" s="46"/>
      <c r="AG341" s="46"/>
      <c r="AH341" s="46"/>
      <c r="AI341" s="46"/>
      <c r="AJ341" s="46"/>
    </row>
    <row r="342" ht="22.5" customHeight="1">
      <c r="A342" s="27">
        <v>46218.0</v>
      </c>
      <c r="B342" s="34" t="str">
        <f t="array" ref="B342">TEXT(A342, "MM-YYYY")</f>
        <v>07-2026</v>
      </c>
      <c r="C342" s="20" t="s">
        <v>1351</v>
      </c>
      <c r="D342" s="21" t="s">
        <v>210</v>
      </c>
      <c r="E342" s="36" t="s">
        <v>213</v>
      </c>
      <c r="F342" s="37" t="s">
        <v>63</v>
      </c>
      <c r="G342" s="29" t="b">
        <v>1</v>
      </c>
      <c r="H342" s="36" t="s">
        <v>214</v>
      </c>
      <c r="I342" s="36" t="s">
        <v>215</v>
      </c>
      <c r="J342" s="29"/>
      <c r="K342" s="138"/>
      <c r="L342" s="187" t="s">
        <v>194</v>
      </c>
      <c r="M342" s="187" t="s">
        <v>194</v>
      </c>
      <c r="N342" s="187" t="s">
        <v>194</v>
      </c>
      <c r="O342" s="187" t="s">
        <v>194</v>
      </c>
      <c r="P342" s="187" t="s">
        <v>2271</v>
      </c>
      <c r="Q342" s="187" t="s">
        <v>2272</v>
      </c>
      <c r="R342" s="188">
        <v>46271.0</v>
      </c>
      <c r="S342" s="42">
        <v>0.0</v>
      </c>
      <c r="T342" s="44"/>
      <c r="U342" s="47" t="str">
        <f>IF(records[Type]="Room",records[roomNo],records[roomNo]&amp;"-"&amp;SUBSTITUTE(RIGHT(records[roomNo]&amp;records[Type],2),"-",""))</f>
        <v>11-1-024</v>
      </c>
      <c r="V342" s="47" t="str">
        <f t="array" ref="V342">_xlfn.XLOOKUP(records[ID], dAir[roomNo], dAir[roomName])</f>
        <v>CORRIDOR</v>
      </c>
      <c r="W342" s="47" t="str">
        <f t="array" ref="W342">_xlfn.XLOOKUP(records[ID], dAir[roomNo], dAir[building])</f>
        <v>Building 11</v>
      </c>
      <c r="X342" s="47" t="str">
        <f t="array" ref="X342">_xlfn.XLOOKUP(records[ID], dAir[roomNo], dAir[floor])</f>
        <v>Floor 1</v>
      </c>
      <c r="Y342" s="45" t="str">
        <f t="array" ref="Y342">_xlfn.XLOOKUP(records[ID], dAir[roomNo], dAir[Class])</f>
        <v>D</v>
      </c>
      <c r="Z342" s="45">
        <f t="array" ref="Z342">_xlfn.XLOOKUP(records[Method]&amp;"-"&amp;records[Class], dAirSpec[ID], dAirSpec[Spec])</f>
        <v>100</v>
      </c>
      <c r="AA342" s="45" t="str">
        <f t="array" ref="AA342">_xlfn.XLOOKUP(records[Method]&amp;"-"&amp;records[Class], dAirSpec[ID], dAirSpec[Unit])</f>
        <v>cfu/plate</v>
      </c>
      <c r="AB342" s="58">
        <f t="array" ref="AB342">if(S342="","", if(records[Method]="Active Air",_xlfn.xlookup(records[ColonyCount]&amp;records[AirSampler],feller[code],feller[Vc]),records[ColonyCount]))</f>
        <v>0</v>
      </c>
      <c r="AC342" s="60" t="b">
        <f t="shared" si="1"/>
        <v>1</v>
      </c>
      <c r="AD342" s="61" t="b">
        <v>0</v>
      </c>
      <c r="AE342" s="32" t="s">
        <v>235</v>
      </c>
      <c r="AF342" s="46"/>
      <c r="AG342" s="46"/>
      <c r="AH342" s="46"/>
      <c r="AI342" s="46"/>
      <c r="AJ342" s="46"/>
    </row>
    <row r="343" ht="22.5" customHeight="1">
      <c r="A343" s="27">
        <v>46218.0</v>
      </c>
      <c r="B343" s="34" t="str">
        <f t="array" ref="B343">TEXT(A343, "MM-YYYY")</f>
        <v>07-2026</v>
      </c>
      <c r="C343" s="20" t="s">
        <v>1352</v>
      </c>
      <c r="D343" s="21" t="s">
        <v>210</v>
      </c>
      <c r="E343" s="36" t="s">
        <v>213</v>
      </c>
      <c r="F343" s="37" t="s">
        <v>63</v>
      </c>
      <c r="G343" s="29" t="b">
        <v>1</v>
      </c>
      <c r="H343" s="36" t="s">
        <v>214</v>
      </c>
      <c r="I343" s="36" t="s">
        <v>215</v>
      </c>
      <c r="J343" s="29"/>
      <c r="K343" s="138"/>
      <c r="L343" s="187" t="s">
        <v>194</v>
      </c>
      <c r="M343" s="187" t="s">
        <v>194</v>
      </c>
      <c r="N343" s="187" t="s">
        <v>194</v>
      </c>
      <c r="O343" s="187" t="s">
        <v>194</v>
      </c>
      <c r="P343" s="187" t="s">
        <v>2271</v>
      </c>
      <c r="Q343" s="187" t="s">
        <v>2272</v>
      </c>
      <c r="R343" s="188">
        <v>46271.0</v>
      </c>
      <c r="S343" s="42">
        <v>2.0</v>
      </c>
      <c r="T343" s="44"/>
      <c r="U343" s="47" t="str">
        <f>IF(records[Type]="Room",records[roomNo],records[roomNo]&amp;"-"&amp;SUBSTITUTE(RIGHT(records[roomNo]&amp;records[Type],2),"-",""))</f>
        <v>11-1-025</v>
      </c>
      <c r="V343" s="47" t="str">
        <f t="array" ref="V343">_xlfn.XLOOKUP(records[ID], dAir[roomNo], dAir[roomName])</f>
        <v>JANITOR ROOM</v>
      </c>
      <c r="W343" s="47" t="str">
        <f t="array" ref="W343">_xlfn.XLOOKUP(records[ID], dAir[roomNo], dAir[building])</f>
        <v>Building 11</v>
      </c>
      <c r="X343" s="47" t="str">
        <f t="array" ref="X343">_xlfn.XLOOKUP(records[ID], dAir[roomNo], dAir[floor])</f>
        <v>Floor 1</v>
      </c>
      <c r="Y343" s="45" t="str">
        <f t="array" ref="Y343">_xlfn.XLOOKUP(records[ID], dAir[roomNo], dAir[Class])</f>
        <v>D</v>
      </c>
      <c r="Z343" s="45">
        <f t="array" ref="Z343">_xlfn.XLOOKUP(records[Method]&amp;"-"&amp;records[Class], dAirSpec[ID], dAirSpec[Spec])</f>
        <v>100</v>
      </c>
      <c r="AA343" s="45" t="str">
        <f t="array" ref="AA343">_xlfn.XLOOKUP(records[Method]&amp;"-"&amp;records[Class], dAirSpec[ID], dAirSpec[Unit])</f>
        <v>cfu/plate</v>
      </c>
      <c r="AB343" s="58">
        <f t="array" ref="AB343">if(S343="","", if(records[Method]="Active Air",_xlfn.xlookup(records[ColonyCount]&amp;records[AirSampler],feller[code],feller[Vc]),records[ColonyCount]))</f>
        <v>2</v>
      </c>
      <c r="AC343" s="60" t="b">
        <f t="shared" si="1"/>
        <v>1</v>
      </c>
      <c r="AD343" s="61" t="b">
        <v>0</v>
      </c>
      <c r="AE343" s="32" t="s">
        <v>235</v>
      </c>
      <c r="AF343" s="46"/>
      <c r="AG343" s="46"/>
      <c r="AH343" s="46"/>
      <c r="AI343" s="46"/>
      <c r="AJ343" s="46"/>
    </row>
    <row r="344" ht="22.5" customHeight="1">
      <c r="A344" s="27">
        <v>46218.0</v>
      </c>
      <c r="B344" s="34" t="str">
        <f t="array" ref="B344">TEXT(A344, "MM-YYYY")</f>
        <v>07-2026</v>
      </c>
      <c r="C344" s="20" t="s">
        <v>1355</v>
      </c>
      <c r="D344" s="21" t="s">
        <v>210</v>
      </c>
      <c r="E344" s="36" t="s">
        <v>213</v>
      </c>
      <c r="F344" s="37" t="s">
        <v>63</v>
      </c>
      <c r="G344" s="29" t="b">
        <v>1</v>
      </c>
      <c r="H344" s="36" t="s">
        <v>214</v>
      </c>
      <c r="I344" s="36" t="s">
        <v>215</v>
      </c>
      <c r="J344" s="29"/>
      <c r="K344" s="138"/>
      <c r="L344" s="187" t="s">
        <v>194</v>
      </c>
      <c r="M344" s="187" t="s">
        <v>194</v>
      </c>
      <c r="N344" s="187" t="s">
        <v>194</v>
      </c>
      <c r="O344" s="187" t="s">
        <v>194</v>
      </c>
      <c r="P344" s="187" t="s">
        <v>2271</v>
      </c>
      <c r="Q344" s="187" t="s">
        <v>2272</v>
      </c>
      <c r="R344" s="188">
        <v>46271.0</v>
      </c>
      <c r="S344" s="42">
        <v>0.0</v>
      </c>
      <c r="T344" s="44"/>
      <c r="U344" s="47" t="str">
        <f>IF(records[Type]="Room",records[roomNo],records[roomNo]&amp;"-"&amp;SUBSTITUTE(RIGHT(records[roomNo]&amp;records[Type],2),"-",""))</f>
        <v>11-1-026</v>
      </c>
      <c r="V344" s="47" t="str">
        <f t="array" ref="V344">_xlfn.XLOOKUP(records[ID], dAir[roomNo], dAir[roomName])</f>
        <v>STORAGE</v>
      </c>
      <c r="W344" s="47" t="str">
        <f t="array" ref="W344">_xlfn.XLOOKUP(records[ID], dAir[roomNo], dAir[building])</f>
        <v>Building 11</v>
      </c>
      <c r="X344" s="47" t="str">
        <f t="array" ref="X344">_xlfn.XLOOKUP(records[ID], dAir[roomNo], dAir[floor])</f>
        <v>Floor 1</v>
      </c>
      <c r="Y344" s="45" t="str">
        <f t="array" ref="Y344">_xlfn.XLOOKUP(records[ID], dAir[roomNo], dAir[Class])</f>
        <v>D</v>
      </c>
      <c r="Z344" s="45">
        <f t="array" ref="Z344">_xlfn.XLOOKUP(records[Method]&amp;"-"&amp;records[Class], dAirSpec[ID], dAirSpec[Spec])</f>
        <v>100</v>
      </c>
      <c r="AA344" s="45" t="str">
        <f t="array" ref="AA344">_xlfn.XLOOKUP(records[Method]&amp;"-"&amp;records[Class], dAirSpec[ID], dAirSpec[Unit])</f>
        <v>cfu/plate</v>
      </c>
      <c r="AB344" s="58">
        <f t="array" ref="AB344">if(S344="","", if(records[Method]="Active Air",_xlfn.xlookup(records[ColonyCount]&amp;records[AirSampler],feller[code],feller[Vc]),records[ColonyCount]))</f>
        <v>0</v>
      </c>
      <c r="AC344" s="60" t="b">
        <f t="shared" si="1"/>
        <v>1</v>
      </c>
      <c r="AD344" s="61" t="b">
        <v>0</v>
      </c>
      <c r="AE344" s="32" t="s">
        <v>235</v>
      </c>
      <c r="AF344" s="46"/>
      <c r="AG344" s="46"/>
      <c r="AH344" s="46"/>
      <c r="AI344" s="46"/>
      <c r="AJ344" s="46"/>
    </row>
    <row r="345" ht="22.5" customHeight="1">
      <c r="A345" s="27">
        <v>46218.0</v>
      </c>
      <c r="B345" s="34" t="str">
        <f t="array" ref="B345">TEXT(A345, "MM-YYYY")</f>
        <v>07-2026</v>
      </c>
      <c r="C345" s="20" t="s">
        <v>1358</v>
      </c>
      <c r="D345" s="21" t="s">
        <v>210</v>
      </c>
      <c r="E345" s="36" t="s">
        <v>213</v>
      </c>
      <c r="F345" s="37" t="s">
        <v>63</v>
      </c>
      <c r="G345" s="29" t="b">
        <v>1</v>
      </c>
      <c r="H345" s="36" t="s">
        <v>214</v>
      </c>
      <c r="I345" s="36" t="s">
        <v>215</v>
      </c>
      <c r="J345" s="29"/>
      <c r="K345" s="138"/>
      <c r="L345" s="187" t="s">
        <v>194</v>
      </c>
      <c r="M345" s="187" t="s">
        <v>194</v>
      </c>
      <c r="N345" s="187" t="s">
        <v>194</v>
      </c>
      <c r="O345" s="187" t="s">
        <v>194</v>
      </c>
      <c r="P345" s="187" t="s">
        <v>2271</v>
      </c>
      <c r="Q345" s="187" t="s">
        <v>2272</v>
      </c>
      <c r="R345" s="188">
        <v>46271.0</v>
      </c>
      <c r="S345" s="42">
        <v>0.0</v>
      </c>
      <c r="T345" s="44"/>
      <c r="U345" s="47" t="str">
        <f>IF(records[Type]="Room",records[roomNo],records[roomNo]&amp;"-"&amp;SUBSTITUTE(RIGHT(records[roomNo]&amp;records[Type],2),"-",""))</f>
        <v>11-1-027</v>
      </c>
      <c r="V345" s="47" t="str">
        <f t="array" ref="V345">_xlfn.XLOOKUP(records[ID], dAir[roomNo], dAir[roomName])</f>
        <v>DRYING</v>
      </c>
      <c r="W345" s="47" t="str">
        <f t="array" ref="W345">_xlfn.XLOOKUP(records[ID], dAir[roomNo], dAir[building])</f>
        <v>Building 11</v>
      </c>
      <c r="X345" s="47" t="str">
        <f t="array" ref="X345">_xlfn.XLOOKUP(records[ID], dAir[roomNo], dAir[floor])</f>
        <v>Floor 1</v>
      </c>
      <c r="Y345" s="45" t="str">
        <f t="array" ref="Y345">_xlfn.XLOOKUP(records[ID], dAir[roomNo], dAir[Class])</f>
        <v>D</v>
      </c>
      <c r="Z345" s="45">
        <f t="array" ref="Z345">_xlfn.XLOOKUP(records[Method]&amp;"-"&amp;records[Class], dAirSpec[ID], dAirSpec[Spec])</f>
        <v>100</v>
      </c>
      <c r="AA345" s="45" t="str">
        <f t="array" ref="AA345">_xlfn.XLOOKUP(records[Method]&amp;"-"&amp;records[Class], dAirSpec[ID], dAirSpec[Unit])</f>
        <v>cfu/plate</v>
      </c>
      <c r="AB345" s="58">
        <f t="array" ref="AB345">if(S345="","", if(records[Method]="Active Air",_xlfn.xlookup(records[ColonyCount]&amp;records[AirSampler],feller[code],feller[Vc]),records[ColonyCount]))</f>
        <v>0</v>
      </c>
      <c r="AC345" s="60" t="b">
        <f t="shared" si="1"/>
        <v>1</v>
      </c>
      <c r="AD345" s="61" t="b">
        <v>0</v>
      </c>
      <c r="AE345" s="32" t="s">
        <v>235</v>
      </c>
      <c r="AF345" s="46"/>
      <c r="AG345" s="46"/>
      <c r="AH345" s="46"/>
      <c r="AI345" s="46"/>
      <c r="AJ345" s="46"/>
    </row>
    <row r="346" ht="22.5" customHeight="1">
      <c r="A346" s="27">
        <v>46218.0</v>
      </c>
      <c r="B346" s="34" t="str">
        <f t="array" ref="B346">TEXT(A346, "MM-YYYY")</f>
        <v>07-2026</v>
      </c>
      <c r="C346" s="20" t="s">
        <v>1359</v>
      </c>
      <c r="D346" s="21" t="s">
        <v>210</v>
      </c>
      <c r="E346" s="36" t="s">
        <v>213</v>
      </c>
      <c r="F346" s="37" t="s">
        <v>63</v>
      </c>
      <c r="G346" s="29" t="b">
        <v>1</v>
      </c>
      <c r="H346" s="36" t="s">
        <v>214</v>
      </c>
      <c r="I346" s="36" t="s">
        <v>215</v>
      </c>
      <c r="J346" s="29"/>
      <c r="K346" s="138"/>
      <c r="L346" s="187" t="s">
        <v>194</v>
      </c>
      <c r="M346" s="187" t="s">
        <v>194</v>
      </c>
      <c r="N346" s="187" t="s">
        <v>194</v>
      </c>
      <c r="O346" s="187" t="s">
        <v>194</v>
      </c>
      <c r="P346" s="187" t="s">
        <v>2271</v>
      </c>
      <c r="Q346" s="187" t="s">
        <v>2272</v>
      </c>
      <c r="R346" s="188">
        <v>46271.0</v>
      </c>
      <c r="S346" s="42">
        <v>2.0</v>
      </c>
      <c r="T346" s="44"/>
      <c r="U346" s="47" t="str">
        <f>IF(records[Type]="Room",records[roomNo],records[roomNo]&amp;"-"&amp;SUBSTITUTE(RIGHT(records[roomNo]&amp;records[Type],2),"-",""))</f>
        <v>11-1-028</v>
      </c>
      <c r="V346" s="47" t="str">
        <f t="array" ref="V346">_xlfn.XLOOKUP(records[ID], dAir[roomNo], dAir[roomName])</f>
        <v>WASHING</v>
      </c>
      <c r="W346" s="47" t="str">
        <f t="array" ref="W346">_xlfn.XLOOKUP(records[ID], dAir[roomNo], dAir[building])</f>
        <v>Building 11</v>
      </c>
      <c r="X346" s="47" t="str">
        <f t="array" ref="X346">_xlfn.XLOOKUP(records[ID], dAir[roomNo], dAir[floor])</f>
        <v>Floor 1</v>
      </c>
      <c r="Y346" s="45" t="str">
        <f t="array" ref="Y346">_xlfn.XLOOKUP(records[ID], dAir[roomNo], dAir[Class])</f>
        <v>D</v>
      </c>
      <c r="Z346" s="45">
        <f t="array" ref="Z346">_xlfn.XLOOKUP(records[Method]&amp;"-"&amp;records[Class], dAirSpec[ID], dAirSpec[Spec])</f>
        <v>100</v>
      </c>
      <c r="AA346" s="45" t="str">
        <f t="array" ref="AA346">_xlfn.XLOOKUP(records[Method]&amp;"-"&amp;records[Class], dAirSpec[ID], dAirSpec[Unit])</f>
        <v>cfu/plate</v>
      </c>
      <c r="AB346" s="58">
        <f t="array" ref="AB346">if(S346="","", if(records[Method]="Active Air",_xlfn.xlookup(records[ColonyCount]&amp;records[AirSampler],feller[code],feller[Vc]),records[ColonyCount]))</f>
        <v>2</v>
      </c>
      <c r="AC346" s="60" t="b">
        <f t="shared" si="1"/>
        <v>1</v>
      </c>
      <c r="AD346" s="61" t="b">
        <v>0</v>
      </c>
      <c r="AE346" s="32" t="s">
        <v>235</v>
      </c>
      <c r="AF346" s="46"/>
      <c r="AG346" s="46"/>
      <c r="AH346" s="46"/>
      <c r="AI346" s="46"/>
      <c r="AJ346" s="46"/>
    </row>
    <row r="347" ht="22.5" customHeight="1">
      <c r="A347" s="27">
        <v>46222.0</v>
      </c>
      <c r="B347" s="34" t="str">
        <f t="array" ref="B347">TEXT(A347, "MM-YYYY")</f>
        <v>07-2026</v>
      </c>
      <c r="C347" s="20" t="s">
        <v>1134</v>
      </c>
      <c r="D347" s="199" t="s">
        <v>210</v>
      </c>
      <c r="E347" s="36" t="s">
        <v>213</v>
      </c>
      <c r="F347" s="37" t="s">
        <v>65</v>
      </c>
      <c r="G347" s="29" t="b">
        <v>1</v>
      </c>
      <c r="H347" s="36" t="s">
        <v>214</v>
      </c>
      <c r="I347" s="36" t="s">
        <v>215</v>
      </c>
      <c r="J347" s="29"/>
      <c r="K347" s="138"/>
      <c r="L347" s="37" t="s">
        <v>194</v>
      </c>
      <c r="M347" s="37" t="s">
        <v>194</v>
      </c>
      <c r="N347" s="37" t="s">
        <v>194</v>
      </c>
      <c r="O347" s="37" t="s">
        <v>194</v>
      </c>
      <c r="P347" s="37" t="s">
        <v>2271</v>
      </c>
      <c r="Q347" s="37" t="s">
        <v>2272</v>
      </c>
      <c r="R347" s="41">
        <v>46271.0</v>
      </c>
      <c r="S347" s="42">
        <v>5.0</v>
      </c>
      <c r="T347" s="44"/>
      <c r="U347" s="47" t="str">
        <f>IF(records[Type]="Room",records[roomNo],records[roomNo]&amp;"-"&amp;SUBSTITUTE(RIGHT(records[roomNo]&amp;records[Type],2),"-",""))</f>
        <v>10-3-040</v>
      </c>
      <c r="V347" s="47" t="str">
        <f t="array" ref="V347">_xlfn.XLOOKUP(records[ID], dAir[roomNo], dAir[roomName])</f>
        <v>PROCESS CHANGE</v>
      </c>
      <c r="W347" s="47" t="str">
        <f t="array" ref="W347">_xlfn.XLOOKUP(records[ID], dAir[roomNo], dAir[building])</f>
        <v>Building 10</v>
      </c>
      <c r="X347" s="47" t="str">
        <f t="array" ref="X347">_xlfn.XLOOKUP(records[ID], dAir[roomNo], dAir[floor])</f>
        <v>Floor 3</v>
      </c>
      <c r="Y347" s="45" t="str">
        <f t="array" ref="Y347">_xlfn.XLOOKUP(records[ID], dAir[roomNo], dAir[Class])</f>
        <v>D</v>
      </c>
      <c r="Z347" s="45">
        <f t="array" ref="Z347">_xlfn.XLOOKUP(records[Method]&amp;"-"&amp;records[Class], dAirSpec[ID], dAirSpec[Spec])</f>
        <v>100</v>
      </c>
      <c r="AA347" s="45" t="str">
        <f t="array" ref="AA347">_xlfn.XLOOKUP(records[Method]&amp;"-"&amp;records[Class], dAirSpec[ID], dAirSpec[Unit])</f>
        <v>cfu/plate</v>
      </c>
      <c r="AB347" s="58">
        <f t="array" ref="AB347">if(S347="","", if(records[Method]="Active Air",_xlfn.xlookup(records[ColonyCount]&amp;records[AirSampler],feller[code],feller[Vc]),records[ColonyCount]))</f>
        <v>5</v>
      </c>
      <c r="AC347" s="60" t="b">
        <f t="shared" si="1"/>
        <v>1</v>
      </c>
      <c r="AD347" s="61" t="b">
        <v>0</v>
      </c>
      <c r="AE347" s="32" t="s">
        <v>235</v>
      </c>
      <c r="AF347" s="46"/>
      <c r="AG347" s="46"/>
      <c r="AH347" s="46"/>
      <c r="AI347" s="46"/>
      <c r="AJ347" s="46"/>
    </row>
    <row r="348" ht="22.5" customHeight="1">
      <c r="A348" s="27">
        <v>46222.0</v>
      </c>
      <c r="B348" s="34" t="str">
        <f t="array" ref="B348">TEXT(A348, "MM-YYYY")</f>
        <v>07-2026</v>
      </c>
      <c r="C348" s="20" t="s">
        <v>1136</v>
      </c>
      <c r="D348" s="199" t="s">
        <v>210</v>
      </c>
      <c r="E348" s="36" t="s">
        <v>213</v>
      </c>
      <c r="F348" s="37" t="s">
        <v>65</v>
      </c>
      <c r="G348" s="29" t="b">
        <v>1</v>
      </c>
      <c r="H348" s="36" t="s">
        <v>214</v>
      </c>
      <c r="I348" s="36" t="s">
        <v>215</v>
      </c>
      <c r="J348" s="29"/>
      <c r="K348" s="138"/>
      <c r="L348" s="37" t="s">
        <v>194</v>
      </c>
      <c r="M348" s="37" t="s">
        <v>194</v>
      </c>
      <c r="N348" s="37" t="s">
        <v>194</v>
      </c>
      <c r="O348" s="37" t="s">
        <v>194</v>
      </c>
      <c r="P348" s="37" t="s">
        <v>2271</v>
      </c>
      <c r="Q348" s="37" t="s">
        <v>2272</v>
      </c>
      <c r="R348" s="41">
        <v>46271.0</v>
      </c>
      <c r="S348" s="42">
        <v>11.0</v>
      </c>
      <c r="T348" s="44"/>
      <c r="U348" s="47" t="str">
        <f>IF(records[Type]="Room",records[roomNo],records[roomNo]&amp;"-"&amp;SUBSTITUTE(RIGHT(records[roomNo]&amp;records[Type],2),"-",""))</f>
        <v>10-3-041</v>
      </c>
      <c r="V348" s="47" t="str">
        <f t="array" ref="V348">_xlfn.XLOOKUP(records[ID], dAir[roomNo], dAir[roomName])</f>
        <v>VISITOR PROCESS CHANGE</v>
      </c>
      <c r="W348" s="47" t="str">
        <f t="array" ref="W348">_xlfn.XLOOKUP(records[ID], dAir[roomNo], dAir[building])</f>
        <v>Building 10</v>
      </c>
      <c r="X348" s="47" t="str">
        <f t="array" ref="X348">_xlfn.XLOOKUP(records[ID], dAir[roomNo], dAir[floor])</f>
        <v>Floor 3</v>
      </c>
      <c r="Y348" s="45" t="str">
        <f t="array" ref="Y348">_xlfn.XLOOKUP(records[ID], dAir[roomNo], dAir[Class])</f>
        <v>D</v>
      </c>
      <c r="Z348" s="45">
        <f t="array" ref="Z348">_xlfn.XLOOKUP(records[Method]&amp;"-"&amp;records[Class], dAirSpec[ID], dAirSpec[Spec])</f>
        <v>100</v>
      </c>
      <c r="AA348" s="45" t="str">
        <f t="array" ref="AA348">_xlfn.XLOOKUP(records[Method]&amp;"-"&amp;records[Class], dAirSpec[ID], dAirSpec[Unit])</f>
        <v>cfu/plate</v>
      </c>
      <c r="AB348" s="58">
        <f t="array" ref="AB348">if(S348="","", if(records[Method]="Active Air",_xlfn.xlookup(records[ColonyCount]&amp;records[AirSampler],feller[code],feller[Vc]),records[ColonyCount]))</f>
        <v>11</v>
      </c>
      <c r="AC348" s="60" t="b">
        <f t="shared" si="1"/>
        <v>1</v>
      </c>
      <c r="AD348" s="61" t="b">
        <v>0</v>
      </c>
      <c r="AE348" s="32" t="s">
        <v>235</v>
      </c>
      <c r="AF348" s="46"/>
      <c r="AG348" s="46"/>
      <c r="AH348" s="46"/>
      <c r="AI348" s="46"/>
      <c r="AJ348" s="46"/>
    </row>
    <row r="349" ht="22.5" customHeight="1">
      <c r="A349" s="27">
        <v>46222.0</v>
      </c>
      <c r="B349" s="34" t="str">
        <f t="array" ref="B349">TEXT(A349, "MM-YYYY")</f>
        <v>07-2026</v>
      </c>
      <c r="C349" s="20" t="s">
        <v>1137</v>
      </c>
      <c r="D349" s="199" t="s">
        <v>210</v>
      </c>
      <c r="E349" s="36" t="s">
        <v>213</v>
      </c>
      <c r="F349" s="37" t="s">
        <v>65</v>
      </c>
      <c r="G349" s="29" t="b">
        <v>1</v>
      </c>
      <c r="H349" s="36" t="s">
        <v>214</v>
      </c>
      <c r="I349" s="36" t="s">
        <v>215</v>
      </c>
      <c r="J349" s="29"/>
      <c r="K349" s="138"/>
      <c r="L349" s="37" t="s">
        <v>194</v>
      </c>
      <c r="M349" s="37" t="s">
        <v>194</v>
      </c>
      <c r="N349" s="37" t="s">
        <v>194</v>
      </c>
      <c r="O349" s="37" t="s">
        <v>194</v>
      </c>
      <c r="P349" s="37" t="s">
        <v>2271</v>
      </c>
      <c r="Q349" s="37" t="s">
        <v>2272</v>
      </c>
      <c r="R349" s="41">
        <v>46271.0</v>
      </c>
      <c r="S349" s="42">
        <v>1.0</v>
      </c>
      <c r="T349" s="44" t="s">
        <v>2289</v>
      </c>
      <c r="U349" s="47" t="str">
        <f>IF(records[Type]="Room",records[roomNo],records[roomNo]&amp;"-"&amp;SUBSTITUTE(RIGHT(records[roomNo]&amp;records[Type],2),"-",""))</f>
        <v>10-3-042</v>
      </c>
      <c r="V349" s="47" t="str">
        <f t="array" ref="V349">_xlfn.XLOOKUP(records[ID], dAir[roomNo], dAir[roomName])</f>
        <v>CORRIDOR</v>
      </c>
      <c r="W349" s="47" t="str">
        <f t="array" ref="W349">_xlfn.XLOOKUP(records[ID], dAir[roomNo], dAir[building])</f>
        <v>Building 10</v>
      </c>
      <c r="X349" s="47" t="str">
        <f t="array" ref="X349">_xlfn.XLOOKUP(records[ID], dAir[roomNo], dAir[floor])</f>
        <v>Floor 3</v>
      </c>
      <c r="Y349" s="45" t="str">
        <f t="array" ref="Y349">_xlfn.XLOOKUP(records[ID], dAir[roomNo], dAir[Class])</f>
        <v>D</v>
      </c>
      <c r="Z349" s="45">
        <f t="array" ref="Z349">_xlfn.XLOOKUP(records[Method]&amp;"-"&amp;records[Class], dAirSpec[ID], dAirSpec[Spec])</f>
        <v>100</v>
      </c>
      <c r="AA349" s="45" t="str">
        <f t="array" ref="AA349">_xlfn.XLOOKUP(records[Method]&amp;"-"&amp;records[Class], dAirSpec[ID], dAirSpec[Unit])</f>
        <v>cfu/plate</v>
      </c>
      <c r="AB349" s="58">
        <f t="array" ref="AB349">if(S349="","", if(records[Method]="Active Air",_xlfn.xlookup(records[ColonyCount]&amp;records[AirSampler],feller[code],feller[Vc]),records[ColonyCount]))</f>
        <v>1</v>
      </c>
      <c r="AC349" s="60" t="b">
        <f t="shared" si="1"/>
        <v>1</v>
      </c>
      <c r="AD349" s="61" t="b">
        <v>0</v>
      </c>
      <c r="AE349" s="32" t="s">
        <v>235</v>
      </c>
      <c r="AF349" s="46"/>
      <c r="AG349" s="46"/>
      <c r="AH349" s="46"/>
      <c r="AI349" s="46"/>
      <c r="AJ349" s="46"/>
    </row>
    <row r="350" ht="22.5" customHeight="1">
      <c r="A350" s="27">
        <v>46222.0</v>
      </c>
      <c r="B350" s="34" t="str">
        <f t="array" ref="B350">TEXT(A350, "MM-YYYY")</f>
        <v>07-2026</v>
      </c>
      <c r="C350" s="20" t="s">
        <v>1139</v>
      </c>
      <c r="D350" s="199" t="s">
        <v>210</v>
      </c>
      <c r="E350" s="36" t="s">
        <v>213</v>
      </c>
      <c r="F350" s="37" t="s">
        <v>65</v>
      </c>
      <c r="G350" s="29" t="b">
        <v>1</v>
      </c>
      <c r="H350" s="36" t="s">
        <v>214</v>
      </c>
      <c r="I350" s="36" t="s">
        <v>215</v>
      </c>
      <c r="J350" s="29"/>
      <c r="K350" s="138"/>
      <c r="L350" s="37" t="s">
        <v>194</v>
      </c>
      <c r="M350" s="37" t="s">
        <v>194</v>
      </c>
      <c r="N350" s="37" t="s">
        <v>194</v>
      </c>
      <c r="O350" s="37" t="s">
        <v>194</v>
      </c>
      <c r="P350" s="37" t="s">
        <v>2271</v>
      </c>
      <c r="Q350" s="37" t="s">
        <v>2272</v>
      </c>
      <c r="R350" s="41">
        <v>46271.0</v>
      </c>
      <c r="S350" s="42">
        <v>0.0</v>
      </c>
      <c r="T350" s="44"/>
      <c r="U350" s="47" t="str">
        <f>IF(records[Type]="Room",records[roomNo],records[roomNo]&amp;"-"&amp;SUBSTITUTE(RIGHT(records[roomNo]&amp;records[Type],2),"-",""))</f>
        <v>10-3-043</v>
      </c>
      <c r="V350" s="47" t="str">
        <f t="array" ref="V350">_xlfn.XLOOKUP(records[ID], dAir[roomNo], dAir[roomName])</f>
        <v>AIRLOCK</v>
      </c>
      <c r="W350" s="47" t="str">
        <f t="array" ref="W350">_xlfn.XLOOKUP(records[ID], dAir[roomNo], dAir[building])</f>
        <v>Building 10</v>
      </c>
      <c r="X350" s="47" t="str">
        <f t="array" ref="X350">_xlfn.XLOOKUP(records[ID], dAir[roomNo], dAir[floor])</f>
        <v>Floor 3</v>
      </c>
      <c r="Y350" s="45" t="str">
        <f t="array" ref="Y350">_xlfn.XLOOKUP(records[ID], dAir[roomNo], dAir[Class])</f>
        <v>D</v>
      </c>
      <c r="Z350" s="45">
        <f t="array" ref="Z350">_xlfn.XLOOKUP(records[Method]&amp;"-"&amp;records[Class], dAirSpec[ID], dAirSpec[Spec])</f>
        <v>100</v>
      </c>
      <c r="AA350" s="45" t="str">
        <f t="array" ref="AA350">_xlfn.XLOOKUP(records[Method]&amp;"-"&amp;records[Class], dAirSpec[ID], dAirSpec[Unit])</f>
        <v>cfu/plate</v>
      </c>
      <c r="AB350" s="58">
        <f t="array" ref="AB350">if(S350="","", if(records[Method]="Active Air",_xlfn.xlookup(records[ColonyCount]&amp;records[AirSampler],feller[code],feller[Vc]),records[ColonyCount]))</f>
        <v>0</v>
      </c>
      <c r="AC350" s="60" t="b">
        <f t="shared" si="1"/>
        <v>1</v>
      </c>
      <c r="AD350" s="61" t="b">
        <v>0</v>
      </c>
      <c r="AE350" s="32" t="s">
        <v>235</v>
      </c>
      <c r="AF350" s="46"/>
      <c r="AG350" s="46"/>
      <c r="AH350" s="46"/>
      <c r="AI350" s="46"/>
      <c r="AJ350" s="46"/>
    </row>
    <row r="351" ht="22.5" customHeight="1">
      <c r="A351" s="27">
        <v>46222.0</v>
      </c>
      <c r="B351" s="34" t="str">
        <f t="array" ref="B351">TEXT(A351, "MM-YYYY")</f>
        <v>07-2026</v>
      </c>
      <c r="C351" s="20" t="s">
        <v>1140</v>
      </c>
      <c r="D351" s="21" t="s">
        <v>210</v>
      </c>
      <c r="E351" s="36" t="s">
        <v>213</v>
      </c>
      <c r="F351" s="37" t="s">
        <v>65</v>
      </c>
      <c r="G351" s="29" t="b">
        <v>1</v>
      </c>
      <c r="H351" s="36" t="s">
        <v>214</v>
      </c>
      <c r="I351" s="36" t="s">
        <v>215</v>
      </c>
      <c r="J351" s="29"/>
      <c r="K351" s="138"/>
      <c r="L351" s="37" t="s">
        <v>194</v>
      </c>
      <c r="M351" s="37" t="s">
        <v>194</v>
      </c>
      <c r="N351" s="37" t="s">
        <v>194</v>
      </c>
      <c r="O351" s="37" t="s">
        <v>194</v>
      </c>
      <c r="P351" s="37" t="s">
        <v>2271</v>
      </c>
      <c r="Q351" s="37" t="s">
        <v>2272</v>
      </c>
      <c r="R351" s="41">
        <v>46271.0</v>
      </c>
      <c r="S351" s="42">
        <v>1.0</v>
      </c>
      <c r="T351" s="44"/>
      <c r="U351" s="47" t="str">
        <f>IF(records[Type]="Room",records[roomNo],records[roomNo]&amp;"-"&amp;SUBSTITUTE(RIGHT(records[roomNo]&amp;records[Type],2),"-",""))</f>
        <v>10-3-044</v>
      </c>
      <c r="V351" s="47" t="str">
        <f t="array" ref="V351">_xlfn.XLOOKUP(records[ID], dAir[roomNo], dAir[roomName])</f>
        <v>LINEN STORAGE</v>
      </c>
      <c r="W351" s="47" t="str">
        <f t="array" ref="W351">_xlfn.XLOOKUP(records[ID], dAir[roomNo], dAir[building])</f>
        <v>Building 10</v>
      </c>
      <c r="X351" s="47" t="str">
        <f t="array" ref="X351">_xlfn.XLOOKUP(records[ID], dAir[roomNo], dAir[floor])</f>
        <v>Floor 3</v>
      </c>
      <c r="Y351" s="45" t="str">
        <f t="array" ref="Y351">_xlfn.XLOOKUP(records[ID], dAir[roomNo], dAir[Class])</f>
        <v>D</v>
      </c>
      <c r="Z351" s="45">
        <f t="array" ref="Z351">_xlfn.XLOOKUP(records[Method]&amp;"-"&amp;records[Class], dAirSpec[ID], dAirSpec[Spec])</f>
        <v>100</v>
      </c>
      <c r="AA351" s="45" t="str">
        <f t="array" ref="AA351">_xlfn.XLOOKUP(records[Method]&amp;"-"&amp;records[Class], dAirSpec[ID], dAirSpec[Unit])</f>
        <v>cfu/plate</v>
      </c>
      <c r="AB351" s="58">
        <f t="array" ref="AB351">if(S351="","", if(records[Method]="Active Air",_xlfn.xlookup(records[ColonyCount]&amp;records[AirSampler],feller[code],feller[Vc]),records[ColonyCount]))</f>
        <v>1</v>
      </c>
      <c r="AC351" s="60" t="b">
        <f t="shared" si="1"/>
        <v>1</v>
      </c>
      <c r="AD351" s="61" t="b">
        <v>0</v>
      </c>
      <c r="AE351" s="32" t="s">
        <v>235</v>
      </c>
      <c r="AF351" s="46"/>
      <c r="AG351" s="46"/>
      <c r="AH351" s="46"/>
      <c r="AI351" s="46"/>
      <c r="AJ351" s="46"/>
    </row>
    <row r="352" ht="22.5" customHeight="1">
      <c r="A352" s="27">
        <v>46222.0</v>
      </c>
      <c r="B352" s="34" t="str">
        <f t="array" ref="B352">TEXT(A352, "MM-YYYY")</f>
        <v>07-2026</v>
      </c>
      <c r="C352" s="20" t="s">
        <v>1142</v>
      </c>
      <c r="D352" s="21" t="s">
        <v>210</v>
      </c>
      <c r="E352" s="36" t="s">
        <v>213</v>
      </c>
      <c r="F352" s="37" t="s">
        <v>65</v>
      </c>
      <c r="G352" s="29" t="b">
        <v>1</v>
      </c>
      <c r="H352" s="36" t="s">
        <v>214</v>
      </c>
      <c r="I352" s="36" t="s">
        <v>215</v>
      </c>
      <c r="J352" s="29"/>
      <c r="K352" s="138"/>
      <c r="L352" s="37" t="s">
        <v>194</v>
      </c>
      <c r="M352" s="37" t="s">
        <v>194</v>
      </c>
      <c r="N352" s="37" t="s">
        <v>194</v>
      </c>
      <c r="O352" s="37" t="s">
        <v>194</v>
      </c>
      <c r="P352" s="37" t="s">
        <v>2271</v>
      </c>
      <c r="Q352" s="37" t="s">
        <v>2272</v>
      </c>
      <c r="R352" s="41">
        <v>46271.0</v>
      </c>
      <c r="S352" s="42">
        <v>0.0</v>
      </c>
      <c r="T352" s="44"/>
      <c r="U352" s="47" t="str">
        <f>IF(records[Type]="Room",records[roomNo],records[roomNo]&amp;"-"&amp;SUBSTITUTE(RIGHT(records[roomNo]&amp;records[Type],2),"-",""))</f>
        <v>10-3-045</v>
      </c>
      <c r="V352" s="47" t="str">
        <f t="array" ref="V352">_xlfn.XLOOKUP(records[ID], dAir[roomNo], dAir[roomName])</f>
        <v>LINEN WASHING</v>
      </c>
      <c r="W352" s="47" t="str">
        <f t="array" ref="W352">_xlfn.XLOOKUP(records[ID], dAir[roomNo], dAir[building])</f>
        <v>Building 10</v>
      </c>
      <c r="X352" s="47" t="str">
        <f t="array" ref="X352">_xlfn.XLOOKUP(records[ID], dAir[roomNo], dAir[floor])</f>
        <v>Floor 3</v>
      </c>
      <c r="Y352" s="45" t="str">
        <f t="array" ref="Y352">_xlfn.XLOOKUP(records[ID], dAir[roomNo], dAir[Class])</f>
        <v>D</v>
      </c>
      <c r="Z352" s="45">
        <f t="array" ref="Z352">_xlfn.XLOOKUP(records[Method]&amp;"-"&amp;records[Class], dAirSpec[ID], dAirSpec[Spec])</f>
        <v>100</v>
      </c>
      <c r="AA352" s="45" t="str">
        <f t="array" ref="AA352">_xlfn.XLOOKUP(records[Method]&amp;"-"&amp;records[Class], dAirSpec[ID], dAirSpec[Unit])</f>
        <v>cfu/plate</v>
      </c>
      <c r="AB352" s="58">
        <f t="array" ref="AB352">if(S352="","", if(records[Method]="Active Air",_xlfn.xlookup(records[ColonyCount]&amp;records[AirSampler],feller[code],feller[Vc]),records[ColonyCount]))</f>
        <v>0</v>
      </c>
      <c r="AC352" s="60" t="b">
        <f t="shared" si="1"/>
        <v>1</v>
      </c>
      <c r="AD352" s="61" t="b">
        <v>0</v>
      </c>
      <c r="AE352" s="32" t="s">
        <v>235</v>
      </c>
      <c r="AF352" s="46"/>
      <c r="AG352" s="46"/>
      <c r="AH352" s="46"/>
      <c r="AI352" s="46"/>
      <c r="AJ352" s="46"/>
    </row>
    <row r="353" ht="22.5" customHeight="1">
      <c r="A353" s="27">
        <v>46222.0</v>
      </c>
      <c r="B353" s="34" t="str">
        <f t="array" ref="B353">TEXT(A353, "MM-YYYY")</f>
        <v>07-2026</v>
      </c>
      <c r="C353" s="20" t="s">
        <v>1143</v>
      </c>
      <c r="D353" s="21" t="s">
        <v>210</v>
      </c>
      <c r="E353" s="36" t="s">
        <v>213</v>
      </c>
      <c r="F353" s="37" t="s">
        <v>65</v>
      </c>
      <c r="G353" s="29" t="b">
        <v>1</v>
      </c>
      <c r="H353" s="36" t="s">
        <v>214</v>
      </c>
      <c r="I353" s="36" t="s">
        <v>215</v>
      </c>
      <c r="J353" s="29"/>
      <c r="K353" s="138"/>
      <c r="L353" s="37" t="s">
        <v>194</v>
      </c>
      <c r="M353" s="37" t="s">
        <v>194</v>
      </c>
      <c r="N353" s="37" t="s">
        <v>194</v>
      </c>
      <c r="O353" s="37" t="s">
        <v>194</v>
      </c>
      <c r="P353" s="37" t="s">
        <v>2271</v>
      </c>
      <c r="Q353" s="37" t="s">
        <v>2272</v>
      </c>
      <c r="R353" s="41">
        <v>46271.0</v>
      </c>
      <c r="S353" s="42">
        <v>0.0</v>
      </c>
      <c r="T353" s="44"/>
      <c r="U353" s="47" t="str">
        <f>IF(records[Type]="Room",records[roomNo],records[roomNo]&amp;"-"&amp;SUBSTITUTE(RIGHT(records[roomNo]&amp;records[Type],2),"-",""))</f>
        <v>10-3-046</v>
      </c>
      <c r="V353" s="47" t="str">
        <f t="array" ref="V353">_xlfn.XLOOKUP(records[ID], dAir[roomNo], dAir[roomName])</f>
        <v>SCRAP OUT</v>
      </c>
      <c r="W353" s="47" t="str">
        <f t="array" ref="W353">_xlfn.XLOOKUP(records[ID], dAir[roomNo], dAir[building])</f>
        <v>Building 10</v>
      </c>
      <c r="X353" s="47" t="str">
        <f t="array" ref="X353">_xlfn.XLOOKUP(records[ID], dAir[roomNo], dAir[floor])</f>
        <v>Floor 3</v>
      </c>
      <c r="Y353" s="45" t="str">
        <f t="array" ref="Y353">_xlfn.XLOOKUP(records[ID], dAir[roomNo], dAir[Class])</f>
        <v>D</v>
      </c>
      <c r="Z353" s="45">
        <f t="array" ref="Z353">_xlfn.XLOOKUP(records[Method]&amp;"-"&amp;records[Class], dAirSpec[ID], dAirSpec[Spec])</f>
        <v>100</v>
      </c>
      <c r="AA353" s="45" t="str">
        <f t="array" ref="AA353">_xlfn.XLOOKUP(records[Method]&amp;"-"&amp;records[Class], dAirSpec[ID], dAirSpec[Unit])</f>
        <v>cfu/plate</v>
      </c>
      <c r="AB353" s="58">
        <f t="array" ref="AB353">if(S353="","", if(records[Method]="Active Air",_xlfn.xlookup(records[ColonyCount]&amp;records[AirSampler],feller[code],feller[Vc]),records[ColonyCount]))</f>
        <v>0</v>
      </c>
      <c r="AC353" s="60" t="b">
        <f t="shared" si="1"/>
        <v>1</v>
      </c>
      <c r="AD353" s="61" t="b">
        <v>0</v>
      </c>
      <c r="AE353" s="32" t="s">
        <v>235</v>
      </c>
      <c r="AF353" s="46"/>
      <c r="AG353" s="46"/>
      <c r="AH353" s="46"/>
      <c r="AI353" s="46"/>
      <c r="AJ353" s="46"/>
    </row>
    <row r="354" ht="22.5" customHeight="1">
      <c r="A354" s="27">
        <v>46222.0</v>
      </c>
      <c r="B354" s="34" t="str">
        <f t="array" ref="B354">TEXT(A354, "MM-YYYY")</f>
        <v>07-2026</v>
      </c>
      <c r="C354" s="20" t="s">
        <v>1144</v>
      </c>
      <c r="D354" s="21" t="s">
        <v>210</v>
      </c>
      <c r="E354" s="36" t="s">
        <v>213</v>
      </c>
      <c r="F354" s="37" t="s">
        <v>65</v>
      </c>
      <c r="G354" s="29" t="b">
        <v>1</v>
      </c>
      <c r="H354" s="36" t="s">
        <v>214</v>
      </c>
      <c r="I354" s="36" t="s">
        <v>215</v>
      </c>
      <c r="J354" s="29"/>
      <c r="K354" s="138"/>
      <c r="L354" s="37" t="s">
        <v>194</v>
      </c>
      <c r="M354" s="37" t="s">
        <v>194</v>
      </c>
      <c r="N354" s="37" t="s">
        <v>194</v>
      </c>
      <c r="O354" s="37" t="s">
        <v>194</v>
      </c>
      <c r="P354" s="37" t="s">
        <v>2271</v>
      </c>
      <c r="Q354" s="37" t="s">
        <v>2272</v>
      </c>
      <c r="R354" s="41">
        <v>46271.0</v>
      </c>
      <c r="S354" s="42">
        <v>0.0</v>
      </c>
      <c r="T354" s="44" t="s">
        <v>2011</v>
      </c>
      <c r="U354" s="47" t="str">
        <f>IF(records[Type]="Room",records[roomNo],records[roomNo]&amp;"-"&amp;SUBSTITUTE(RIGHT(records[roomNo]&amp;records[Type],2),"-",""))</f>
        <v>10-3-047</v>
      </c>
      <c r="V354" s="47" t="str">
        <f t="array" ref="V354">_xlfn.XLOOKUP(records[ID], dAir[roomNo], dAir[roomName])</f>
        <v>CORRIDOR</v>
      </c>
      <c r="W354" s="47" t="str">
        <f t="array" ref="W354">_xlfn.XLOOKUP(records[ID], dAir[roomNo], dAir[building])</f>
        <v>Building 10</v>
      </c>
      <c r="X354" s="47" t="str">
        <f t="array" ref="X354">_xlfn.XLOOKUP(records[ID], dAir[roomNo], dAir[floor])</f>
        <v>Floor 3</v>
      </c>
      <c r="Y354" s="45" t="str">
        <f t="array" ref="Y354">_xlfn.XLOOKUP(records[ID], dAir[roomNo], dAir[Class])</f>
        <v>D</v>
      </c>
      <c r="Z354" s="45">
        <f t="array" ref="Z354">_xlfn.XLOOKUP(records[Method]&amp;"-"&amp;records[Class], dAirSpec[ID], dAirSpec[Spec])</f>
        <v>100</v>
      </c>
      <c r="AA354" s="45" t="str">
        <f t="array" ref="AA354">_xlfn.XLOOKUP(records[Method]&amp;"-"&amp;records[Class], dAirSpec[ID], dAirSpec[Unit])</f>
        <v>cfu/plate</v>
      </c>
      <c r="AB354" s="58">
        <f t="array" ref="AB354">if(S354="","", if(records[Method]="Active Air",_xlfn.xlookup(records[ColonyCount]&amp;records[AirSampler],feller[code],feller[Vc]),records[ColonyCount]))</f>
        <v>0</v>
      </c>
      <c r="AC354" s="60" t="b">
        <f t="shared" si="1"/>
        <v>1</v>
      </c>
      <c r="AD354" s="61" t="b">
        <v>0</v>
      </c>
      <c r="AE354" s="32" t="s">
        <v>235</v>
      </c>
      <c r="AF354" s="46"/>
      <c r="AG354" s="46"/>
      <c r="AH354" s="46"/>
      <c r="AI354" s="46"/>
      <c r="AJ354" s="46"/>
    </row>
    <row r="355" ht="22.5" customHeight="1">
      <c r="A355" s="27">
        <v>46222.0</v>
      </c>
      <c r="B355" s="34" t="str">
        <f t="array" ref="B355">TEXT(A355, "MM-YYYY")</f>
        <v>07-2026</v>
      </c>
      <c r="C355" s="20" t="s">
        <v>1145</v>
      </c>
      <c r="D355" s="21" t="s">
        <v>210</v>
      </c>
      <c r="E355" s="36" t="s">
        <v>213</v>
      </c>
      <c r="F355" s="37" t="s">
        <v>65</v>
      </c>
      <c r="G355" s="29" t="b">
        <v>1</v>
      </c>
      <c r="H355" s="36" t="s">
        <v>214</v>
      </c>
      <c r="I355" s="36" t="s">
        <v>215</v>
      </c>
      <c r="J355" s="29"/>
      <c r="K355" s="138"/>
      <c r="L355" s="37" t="s">
        <v>194</v>
      </c>
      <c r="M355" s="37" t="s">
        <v>194</v>
      </c>
      <c r="N355" s="37" t="s">
        <v>194</v>
      </c>
      <c r="O355" s="37" t="s">
        <v>194</v>
      </c>
      <c r="P355" s="37" t="s">
        <v>2271</v>
      </c>
      <c r="Q355" s="37" t="s">
        <v>2272</v>
      </c>
      <c r="R355" s="41">
        <v>46271.0</v>
      </c>
      <c r="S355" s="42">
        <v>0.0</v>
      </c>
      <c r="T355" s="44"/>
      <c r="U355" s="47" t="str">
        <f>IF(records[Type]="Room",records[roomNo],records[roomNo]&amp;"-"&amp;SUBSTITUTE(RIGHT(records[roomNo]&amp;records[Type],2),"-",""))</f>
        <v>10-3-048</v>
      </c>
      <c r="V355" s="47" t="str">
        <f t="array" ref="V355">_xlfn.XLOOKUP(records[ID], dAir[roomNo], dAir[roomName])</f>
        <v>BULK STAGING 4</v>
      </c>
      <c r="W355" s="47" t="str">
        <f t="array" ref="W355">_xlfn.XLOOKUP(records[ID], dAir[roomNo], dAir[building])</f>
        <v>Building 10</v>
      </c>
      <c r="X355" s="47" t="str">
        <f t="array" ref="X355">_xlfn.XLOOKUP(records[ID], dAir[roomNo], dAir[floor])</f>
        <v>Floor 3</v>
      </c>
      <c r="Y355" s="45" t="str">
        <f t="array" ref="Y355">_xlfn.XLOOKUP(records[ID], dAir[roomNo], dAir[Class])</f>
        <v>D</v>
      </c>
      <c r="Z355" s="45">
        <f t="array" ref="Z355">_xlfn.XLOOKUP(records[Method]&amp;"-"&amp;records[Class], dAirSpec[ID], dAirSpec[Spec])</f>
        <v>100</v>
      </c>
      <c r="AA355" s="45" t="str">
        <f t="array" ref="AA355">_xlfn.XLOOKUP(records[Method]&amp;"-"&amp;records[Class], dAirSpec[ID], dAirSpec[Unit])</f>
        <v>cfu/plate</v>
      </c>
      <c r="AB355" s="58">
        <f t="array" ref="AB355">if(S355="","", if(records[Method]="Active Air",_xlfn.xlookup(records[ColonyCount]&amp;records[AirSampler],feller[code],feller[Vc]),records[ColonyCount]))</f>
        <v>0</v>
      </c>
      <c r="AC355" s="60" t="b">
        <f t="shared" si="1"/>
        <v>1</v>
      </c>
      <c r="AD355" s="61" t="b">
        <v>0</v>
      </c>
      <c r="AE355" s="32" t="s">
        <v>235</v>
      </c>
      <c r="AF355" s="46"/>
      <c r="AG355" s="46"/>
      <c r="AH355" s="46"/>
      <c r="AI355" s="46"/>
      <c r="AJ355" s="46"/>
    </row>
    <row r="356" ht="22.5" customHeight="1">
      <c r="A356" s="27">
        <v>46222.0</v>
      </c>
      <c r="B356" s="34" t="str">
        <f t="array" ref="B356">TEXT(A356, "MM-YYYY")</f>
        <v>07-2026</v>
      </c>
      <c r="C356" s="20" t="s">
        <v>1147</v>
      </c>
      <c r="D356" s="21" t="s">
        <v>210</v>
      </c>
      <c r="E356" s="36" t="s">
        <v>213</v>
      </c>
      <c r="F356" s="37" t="s">
        <v>65</v>
      </c>
      <c r="G356" s="29" t="b">
        <v>1</v>
      </c>
      <c r="H356" s="36" t="s">
        <v>214</v>
      </c>
      <c r="I356" s="36" t="s">
        <v>215</v>
      </c>
      <c r="J356" s="29"/>
      <c r="K356" s="138"/>
      <c r="L356" s="37" t="s">
        <v>194</v>
      </c>
      <c r="M356" s="37" t="s">
        <v>194</v>
      </c>
      <c r="N356" s="37" t="s">
        <v>194</v>
      </c>
      <c r="O356" s="37" t="s">
        <v>194</v>
      </c>
      <c r="P356" s="37" t="s">
        <v>2271</v>
      </c>
      <c r="Q356" s="37" t="s">
        <v>2272</v>
      </c>
      <c r="R356" s="41">
        <v>46271.0</v>
      </c>
      <c r="S356" s="42">
        <v>6.0</v>
      </c>
      <c r="T356" s="44"/>
      <c r="U356" s="47" t="str">
        <f>IF(records[Type]="Room",records[roomNo],records[roomNo]&amp;"-"&amp;SUBSTITUTE(RIGHT(records[roomNo]&amp;records[Type],2),"-",""))</f>
        <v>10-3-049</v>
      </c>
      <c r="V356" s="47" t="str">
        <f t="array" ref="V356">_xlfn.XLOOKUP(records[ID], dAir[roomNo], dAir[roomName])</f>
        <v>AIRLOCK</v>
      </c>
      <c r="W356" s="47" t="str">
        <f t="array" ref="W356">_xlfn.XLOOKUP(records[ID], dAir[roomNo], dAir[building])</f>
        <v>Building 10</v>
      </c>
      <c r="X356" s="47" t="str">
        <f t="array" ref="X356">_xlfn.XLOOKUP(records[ID], dAir[roomNo], dAir[floor])</f>
        <v>Floor 3</v>
      </c>
      <c r="Y356" s="45" t="str">
        <f t="array" ref="Y356">_xlfn.XLOOKUP(records[ID], dAir[roomNo], dAir[Class])</f>
        <v>D</v>
      </c>
      <c r="Z356" s="45">
        <f t="array" ref="Z356">_xlfn.XLOOKUP(records[Method]&amp;"-"&amp;records[Class], dAirSpec[ID], dAirSpec[Spec])</f>
        <v>100</v>
      </c>
      <c r="AA356" s="45" t="str">
        <f t="array" ref="AA356">_xlfn.XLOOKUP(records[Method]&amp;"-"&amp;records[Class], dAirSpec[ID], dAirSpec[Unit])</f>
        <v>cfu/plate</v>
      </c>
      <c r="AB356" s="58">
        <f t="array" ref="AB356">if(S356="","", if(records[Method]="Active Air",_xlfn.xlookup(records[ColonyCount]&amp;records[AirSampler],feller[code],feller[Vc]),records[ColonyCount]))</f>
        <v>6</v>
      </c>
      <c r="AC356" s="60" t="b">
        <f t="shared" si="1"/>
        <v>1</v>
      </c>
      <c r="AD356" s="61" t="b">
        <v>0</v>
      </c>
      <c r="AE356" s="32" t="s">
        <v>235</v>
      </c>
      <c r="AF356" s="46"/>
      <c r="AG356" s="46"/>
      <c r="AH356" s="46"/>
      <c r="AI356" s="46"/>
      <c r="AJ356" s="46"/>
    </row>
    <row r="357" ht="22.5" customHeight="1">
      <c r="A357" s="27">
        <v>46222.0</v>
      </c>
      <c r="B357" s="34" t="str">
        <f t="array" ref="B357">TEXT(A357, "MM-YYYY")</f>
        <v>07-2026</v>
      </c>
      <c r="C357" s="20" t="s">
        <v>173</v>
      </c>
      <c r="D357" s="21" t="s">
        <v>210</v>
      </c>
      <c r="E357" s="36" t="s">
        <v>213</v>
      </c>
      <c r="F357" s="37" t="s">
        <v>65</v>
      </c>
      <c r="G357" s="29" t="b">
        <v>1</v>
      </c>
      <c r="H357" s="36" t="s">
        <v>214</v>
      </c>
      <c r="I357" s="36" t="s">
        <v>215</v>
      </c>
      <c r="J357" s="29"/>
      <c r="K357" s="138"/>
      <c r="L357" s="37" t="s">
        <v>194</v>
      </c>
      <c r="M357" s="37" t="s">
        <v>194</v>
      </c>
      <c r="N357" s="37" t="s">
        <v>194</v>
      </c>
      <c r="O357" s="37" t="s">
        <v>194</v>
      </c>
      <c r="P357" s="37" t="s">
        <v>2271</v>
      </c>
      <c r="Q357" s="37" t="s">
        <v>2272</v>
      </c>
      <c r="R357" s="41">
        <v>46271.0</v>
      </c>
      <c r="S357" s="42">
        <v>3.0</v>
      </c>
      <c r="T357" s="44"/>
      <c r="U357" s="47" t="str">
        <f>IF(records[Type]="Room",records[roomNo],records[roomNo]&amp;"-"&amp;SUBSTITUTE(RIGHT(records[roomNo]&amp;records[Type],2),"-",""))</f>
        <v>10-3-050</v>
      </c>
      <c r="V357" s="47" t="str">
        <f t="array" ref="V357">_xlfn.XLOOKUP(records[ID], dAir[roomNo], dAir[roomName])</f>
        <v>TABLETS INSPECTION 1  (TABLET INSPECTION MACHINE) &amp; (DRUM TIPPER)</v>
      </c>
      <c r="W357" s="47" t="str">
        <f t="array" ref="W357">_xlfn.XLOOKUP(records[ID], dAir[roomNo], dAir[building])</f>
        <v>Building 10</v>
      </c>
      <c r="X357" s="47" t="str">
        <f t="array" ref="X357">_xlfn.XLOOKUP(records[ID], dAir[roomNo], dAir[floor])</f>
        <v>Floor 3</v>
      </c>
      <c r="Y357" s="45" t="str">
        <f t="array" ref="Y357">_xlfn.XLOOKUP(records[ID], dAir[roomNo], dAir[Class])</f>
        <v>D</v>
      </c>
      <c r="Z357" s="45">
        <f t="array" ref="Z357">_xlfn.XLOOKUP(records[Method]&amp;"-"&amp;records[Class], dAirSpec[ID], dAirSpec[Spec])</f>
        <v>100</v>
      </c>
      <c r="AA357" s="45" t="str">
        <f t="array" ref="AA357">_xlfn.XLOOKUP(records[Method]&amp;"-"&amp;records[Class], dAirSpec[ID], dAirSpec[Unit])</f>
        <v>cfu/plate</v>
      </c>
      <c r="AB357" s="58">
        <f t="array" ref="AB357">if(S357="","", if(records[Method]="Active Air",_xlfn.xlookup(records[ColonyCount]&amp;records[AirSampler],feller[code],feller[Vc]),records[ColonyCount]))</f>
        <v>3</v>
      </c>
      <c r="AC357" s="60" t="b">
        <f t="shared" si="1"/>
        <v>1</v>
      </c>
      <c r="AD357" s="61" t="b">
        <v>0</v>
      </c>
      <c r="AE357" s="32" t="s">
        <v>235</v>
      </c>
      <c r="AF357" s="46"/>
      <c r="AG357" s="46"/>
      <c r="AH357" s="46"/>
      <c r="AI357" s="46"/>
      <c r="AJ357" s="46"/>
    </row>
    <row r="358" ht="22.5" customHeight="1">
      <c r="A358" s="27">
        <v>46222.0</v>
      </c>
      <c r="B358" s="34" t="str">
        <f t="array" ref="B358">TEXT(A358, "MM-YYYY")</f>
        <v>07-2026</v>
      </c>
      <c r="C358" s="20" t="s">
        <v>1149</v>
      </c>
      <c r="D358" s="21" t="s">
        <v>210</v>
      </c>
      <c r="E358" s="36" t="s">
        <v>213</v>
      </c>
      <c r="F358" s="37" t="s">
        <v>65</v>
      </c>
      <c r="G358" s="29" t="b">
        <v>1</v>
      </c>
      <c r="H358" s="36" t="s">
        <v>214</v>
      </c>
      <c r="I358" s="36" t="s">
        <v>215</v>
      </c>
      <c r="J358" s="29"/>
      <c r="K358" s="138"/>
      <c r="L358" s="37" t="s">
        <v>194</v>
      </c>
      <c r="M358" s="37" t="s">
        <v>194</v>
      </c>
      <c r="N358" s="37" t="s">
        <v>194</v>
      </c>
      <c r="O358" s="37" t="s">
        <v>194</v>
      </c>
      <c r="P358" s="37" t="s">
        <v>2271</v>
      </c>
      <c r="Q358" s="37" t="s">
        <v>2272</v>
      </c>
      <c r="R358" s="41">
        <v>46271.0</v>
      </c>
      <c r="S358" s="42">
        <v>3.0</v>
      </c>
      <c r="T358" s="44"/>
      <c r="U358" s="47" t="str">
        <f>IF(records[Type]="Room",records[roomNo],records[roomNo]&amp;"-"&amp;SUBSTITUTE(RIGHT(records[roomNo]&amp;records[Type],2),"-",""))</f>
        <v>10-3-051</v>
      </c>
      <c r="V358" s="47" t="str">
        <f t="array" ref="V358">_xlfn.XLOOKUP(records[ID], dAir[roomNo], dAir[roomName])</f>
        <v>AIRLOCK</v>
      </c>
      <c r="W358" s="47" t="str">
        <f t="array" ref="W358">_xlfn.XLOOKUP(records[ID], dAir[roomNo], dAir[building])</f>
        <v>Building 10</v>
      </c>
      <c r="X358" s="47" t="str">
        <f t="array" ref="X358">_xlfn.XLOOKUP(records[ID], dAir[roomNo], dAir[floor])</f>
        <v>Floor 3</v>
      </c>
      <c r="Y358" s="45" t="str">
        <f t="array" ref="Y358">_xlfn.XLOOKUP(records[ID], dAir[roomNo], dAir[Class])</f>
        <v>D</v>
      </c>
      <c r="Z358" s="45">
        <f t="array" ref="Z358">_xlfn.XLOOKUP(records[Method]&amp;"-"&amp;records[Class], dAirSpec[ID], dAirSpec[Spec])</f>
        <v>100</v>
      </c>
      <c r="AA358" s="45" t="str">
        <f t="array" ref="AA358">_xlfn.XLOOKUP(records[Method]&amp;"-"&amp;records[Class], dAirSpec[ID], dAirSpec[Unit])</f>
        <v>cfu/plate</v>
      </c>
      <c r="AB358" s="58">
        <f t="array" ref="AB358">if(S358="","", if(records[Method]="Active Air",_xlfn.xlookup(records[ColonyCount]&amp;records[AirSampler],feller[code],feller[Vc]),records[ColonyCount]))</f>
        <v>3</v>
      </c>
      <c r="AC358" s="60" t="b">
        <f t="shared" si="1"/>
        <v>1</v>
      </c>
      <c r="AD358" s="61" t="b">
        <v>0</v>
      </c>
      <c r="AE358" s="32" t="s">
        <v>235</v>
      </c>
      <c r="AF358" s="46"/>
      <c r="AG358" s="46"/>
      <c r="AH358" s="46"/>
      <c r="AI358" s="46"/>
      <c r="AJ358" s="46"/>
    </row>
    <row r="359" ht="22.5" customHeight="1">
      <c r="A359" s="27">
        <v>46222.0</v>
      </c>
      <c r="B359" s="34" t="str">
        <f t="array" ref="B359">TEXT(A359, "MM-YYYY")</f>
        <v>07-2026</v>
      </c>
      <c r="C359" s="20" t="s">
        <v>179</v>
      </c>
      <c r="D359" s="21" t="s">
        <v>210</v>
      </c>
      <c r="E359" s="36" t="s">
        <v>213</v>
      </c>
      <c r="F359" s="37" t="s">
        <v>65</v>
      </c>
      <c r="G359" s="29" t="b">
        <v>1</v>
      </c>
      <c r="H359" s="36" t="s">
        <v>214</v>
      </c>
      <c r="I359" s="36" t="s">
        <v>215</v>
      </c>
      <c r="J359" s="29"/>
      <c r="K359" s="138"/>
      <c r="L359" s="37" t="s">
        <v>194</v>
      </c>
      <c r="M359" s="37" t="s">
        <v>194</v>
      </c>
      <c r="N359" s="37" t="s">
        <v>194</v>
      </c>
      <c r="O359" s="37" t="s">
        <v>194</v>
      </c>
      <c r="P359" s="37" t="s">
        <v>2271</v>
      </c>
      <c r="Q359" s="37" t="s">
        <v>2272</v>
      </c>
      <c r="R359" s="41">
        <v>46271.0</v>
      </c>
      <c r="S359" s="42">
        <v>3.0</v>
      </c>
      <c r="T359" s="44"/>
      <c r="U359" s="47" t="str">
        <f>IF(records[Type]="Room",records[roomNo],records[roomNo]&amp;"-"&amp;SUBSTITUTE(RIGHT(records[roomNo]&amp;records[Type],2),"-",""))</f>
        <v>10-3-052</v>
      </c>
      <c r="V359" s="47" t="str">
        <f t="array" ref="V359">_xlfn.XLOOKUP(records[ID], dAir[roomNo], dAir[roomName])</f>
        <v>TABLETS INSPECTION 2  (TABLET INSPECTION MACHINE) &amp; (DRUM TIPPER)</v>
      </c>
      <c r="W359" s="47" t="str">
        <f t="array" ref="W359">_xlfn.XLOOKUP(records[ID], dAir[roomNo], dAir[building])</f>
        <v>Building 10</v>
      </c>
      <c r="X359" s="47" t="str">
        <f t="array" ref="X359">_xlfn.XLOOKUP(records[ID], dAir[roomNo], dAir[floor])</f>
        <v>Floor 3</v>
      </c>
      <c r="Y359" s="45" t="str">
        <f t="array" ref="Y359">_xlfn.XLOOKUP(records[ID], dAir[roomNo], dAir[Class])</f>
        <v>D</v>
      </c>
      <c r="Z359" s="45">
        <f t="array" ref="Z359">_xlfn.XLOOKUP(records[Method]&amp;"-"&amp;records[Class], dAirSpec[ID], dAirSpec[Spec])</f>
        <v>100</v>
      </c>
      <c r="AA359" s="45" t="str">
        <f t="array" ref="AA359">_xlfn.XLOOKUP(records[Method]&amp;"-"&amp;records[Class], dAirSpec[ID], dAirSpec[Unit])</f>
        <v>cfu/plate</v>
      </c>
      <c r="AB359" s="58">
        <f t="array" ref="AB359">if(S359="","", if(records[Method]="Active Air",_xlfn.xlookup(records[ColonyCount]&amp;records[AirSampler],feller[code],feller[Vc]),records[ColonyCount]))</f>
        <v>3</v>
      </c>
      <c r="AC359" s="60" t="b">
        <f t="shared" si="1"/>
        <v>1</v>
      </c>
      <c r="AD359" s="61" t="b">
        <v>0</v>
      </c>
      <c r="AE359" s="32" t="s">
        <v>235</v>
      </c>
      <c r="AF359" s="46"/>
      <c r="AG359" s="46"/>
      <c r="AH359" s="46"/>
      <c r="AI359" s="46"/>
      <c r="AJ359" s="46"/>
    </row>
    <row r="360" ht="22.5" customHeight="1">
      <c r="A360" s="27">
        <v>46222.0</v>
      </c>
      <c r="B360" s="34" t="str">
        <f t="array" ref="B360">TEXT(A360, "MM-YYYY")</f>
        <v>07-2026</v>
      </c>
      <c r="C360" s="20" t="s">
        <v>1151</v>
      </c>
      <c r="D360" s="21" t="s">
        <v>210</v>
      </c>
      <c r="E360" s="36" t="s">
        <v>213</v>
      </c>
      <c r="F360" s="37" t="s">
        <v>65</v>
      </c>
      <c r="G360" s="29" t="b">
        <v>1</v>
      </c>
      <c r="H360" s="36" t="s">
        <v>214</v>
      </c>
      <c r="I360" s="36" t="s">
        <v>215</v>
      </c>
      <c r="J360" s="29"/>
      <c r="K360" s="138"/>
      <c r="L360" s="37" t="s">
        <v>194</v>
      </c>
      <c r="M360" s="37" t="s">
        <v>194</v>
      </c>
      <c r="N360" s="37" t="s">
        <v>194</v>
      </c>
      <c r="O360" s="37" t="s">
        <v>194</v>
      </c>
      <c r="P360" s="37" t="s">
        <v>2271</v>
      </c>
      <c r="Q360" s="37" t="s">
        <v>2272</v>
      </c>
      <c r="R360" s="41">
        <v>46271.0</v>
      </c>
      <c r="S360" s="42">
        <v>0.0</v>
      </c>
      <c r="T360" s="44"/>
      <c r="U360" s="47" t="str">
        <f>IF(records[Type]="Room",records[roomNo],records[roomNo]&amp;"-"&amp;SUBSTITUTE(RIGHT(records[roomNo]&amp;records[Type],2),"-",""))</f>
        <v>10-3-053</v>
      </c>
      <c r="V360" s="47" t="str">
        <f t="array" ref="V360">_xlfn.XLOOKUP(records[ID], dAir[roomNo], dAir[roomName])</f>
        <v>BULK STAGING 3</v>
      </c>
      <c r="W360" s="47" t="str">
        <f t="array" ref="W360">_xlfn.XLOOKUP(records[ID], dAir[roomNo], dAir[building])</f>
        <v>Building 10</v>
      </c>
      <c r="X360" s="47" t="str">
        <f t="array" ref="X360">_xlfn.XLOOKUP(records[ID], dAir[roomNo], dAir[floor])</f>
        <v>Floor 3</v>
      </c>
      <c r="Y360" s="45" t="str">
        <f t="array" ref="Y360">_xlfn.XLOOKUP(records[ID], dAir[roomNo], dAir[Class])</f>
        <v>D</v>
      </c>
      <c r="Z360" s="45">
        <f t="array" ref="Z360">_xlfn.XLOOKUP(records[Method]&amp;"-"&amp;records[Class], dAirSpec[ID], dAirSpec[Spec])</f>
        <v>100</v>
      </c>
      <c r="AA360" s="45" t="str">
        <f t="array" ref="AA360">_xlfn.XLOOKUP(records[Method]&amp;"-"&amp;records[Class], dAirSpec[ID], dAirSpec[Unit])</f>
        <v>cfu/plate</v>
      </c>
      <c r="AB360" s="58">
        <f t="array" ref="AB360">if(S360="","", if(records[Method]="Active Air",_xlfn.xlookup(records[ColonyCount]&amp;records[AirSampler],feller[code],feller[Vc]),records[ColonyCount]))</f>
        <v>0</v>
      </c>
      <c r="AC360" s="60" t="b">
        <f t="shared" si="1"/>
        <v>1</v>
      </c>
      <c r="AD360" s="61" t="b">
        <v>0</v>
      </c>
      <c r="AE360" s="32" t="s">
        <v>235</v>
      </c>
      <c r="AF360" s="46"/>
      <c r="AG360" s="46"/>
      <c r="AH360" s="46"/>
      <c r="AI360" s="46"/>
      <c r="AJ360" s="46"/>
    </row>
    <row r="361" ht="22.5" customHeight="1">
      <c r="A361" s="27">
        <v>46222.0</v>
      </c>
      <c r="B361" s="34" t="str">
        <f t="array" ref="B361">TEXT(A361, "MM-YYYY")</f>
        <v>07-2026</v>
      </c>
      <c r="C361" s="20" t="s">
        <v>1152</v>
      </c>
      <c r="D361" s="21" t="s">
        <v>210</v>
      </c>
      <c r="E361" s="36" t="s">
        <v>213</v>
      </c>
      <c r="F361" s="37" t="s">
        <v>65</v>
      </c>
      <c r="G361" s="29" t="b">
        <v>1</v>
      </c>
      <c r="H361" s="36" t="s">
        <v>214</v>
      </c>
      <c r="I361" s="36" t="s">
        <v>215</v>
      </c>
      <c r="J361" s="29"/>
      <c r="K361" s="138"/>
      <c r="L361" s="37" t="s">
        <v>194</v>
      </c>
      <c r="M361" s="37" t="s">
        <v>194</v>
      </c>
      <c r="N361" s="37" t="s">
        <v>194</v>
      </c>
      <c r="O361" s="37" t="s">
        <v>194</v>
      </c>
      <c r="P361" s="37" t="s">
        <v>2271</v>
      </c>
      <c r="Q361" s="37" t="s">
        <v>2272</v>
      </c>
      <c r="R361" s="41">
        <v>46271.0</v>
      </c>
      <c r="S361" s="42">
        <v>0.0</v>
      </c>
      <c r="T361" s="44"/>
      <c r="U361" s="47" t="str">
        <f>IF(records[Type]="Room",records[roomNo],records[roomNo]&amp;"-"&amp;SUBSTITUTE(RIGHT(records[roomNo]&amp;records[Type],2),"-",""))</f>
        <v>10-3-054</v>
      </c>
      <c r="V361" s="47" t="str">
        <f t="array" ref="V361">_xlfn.XLOOKUP(records[ID], dAir[roomNo], dAir[roomName])</f>
        <v>AIRLOCK</v>
      </c>
      <c r="W361" s="47" t="str">
        <f t="array" ref="W361">_xlfn.XLOOKUP(records[ID], dAir[roomNo], dAir[building])</f>
        <v>Building 10</v>
      </c>
      <c r="X361" s="47" t="str">
        <f t="array" ref="X361">_xlfn.XLOOKUP(records[ID], dAir[roomNo], dAir[floor])</f>
        <v>Floor 3</v>
      </c>
      <c r="Y361" s="45" t="str">
        <f t="array" ref="Y361">_xlfn.XLOOKUP(records[ID], dAir[roomNo], dAir[Class])</f>
        <v>D</v>
      </c>
      <c r="Z361" s="45">
        <f t="array" ref="Z361">_xlfn.XLOOKUP(records[Method]&amp;"-"&amp;records[Class], dAirSpec[ID], dAirSpec[Spec])</f>
        <v>100</v>
      </c>
      <c r="AA361" s="45" t="str">
        <f t="array" ref="AA361">_xlfn.XLOOKUP(records[Method]&amp;"-"&amp;records[Class], dAirSpec[ID], dAirSpec[Unit])</f>
        <v>cfu/plate</v>
      </c>
      <c r="AB361" s="58">
        <f t="array" ref="AB361">if(S361="","", if(records[Method]="Active Air",_xlfn.xlookup(records[ColonyCount]&amp;records[AirSampler],feller[code],feller[Vc]),records[ColonyCount]))</f>
        <v>0</v>
      </c>
      <c r="AC361" s="60" t="b">
        <f t="shared" si="1"/>
        <v>1</v>
      </c>
      <c r="AD361" s="61" t="b">
        <v>0</v>
      </c>
      <c r="AE361" s="32" t="s">
        <v>235</v>
      </c>
      <c r="AF361" s="46"/>
      <c r="AG361" s="46"/>
      <c r="AH361" s="46"/>
      <c r="AI361" s="46"/>
      <c r="AJ361" s="46"/>
    </row>
    <row r="362" ht="22.5" customHeight="1">
      <c r="A362" s="27">
        <v>46222.0</v>
      </c>
      <c r="B362" s="34" t="str">
        <f t="array" ref="B362">TEXT(A362, "MM-YYYY")</f>
        <v>07-2026</v>
      </c>
      <c r="C362" s="20" t="s">
        <v>1153</v>
      </c>
      <c r="D362" s="21" t="s">
        <v>210</v>
      </c>
      <c r="E362" s="36" t="s">
        <v>213</v>
      </c>
      <c r="F362" s="37" t="s">
        <v>65</v>
      </c>
      <c r="G362" s="29" t="b">
        <v>1</v>
      </c>
      <c r="H362" s="36" t="s">
        <v>214</v>
      </c>
      <c r="I362" s="36" t="s">
        <v>215</v>
      </c>
      <c r="J362" s="29"/>
      <c r="K362" s="138"/>
      <c r="L362" s="37" t="s">
        <v>194</v>
      </c>
      <c r="M362" s="37" t="s">
        <v>194</v>
      </c>
      <c r="N362" s="37" t="s">
        <v>194</v>
      </c>
      <c r="O362" s="37" t="s">
        <v>194</v>
      </c>
      <c r="P362" s="37" t="s">
        <v>2271</v>
      </c>
      <c r="Q362" s="37" t="s">
        <v>2272</v>
      </c>
      <c r="R362" s="41">
        <v>46271.0</v>
      </c>
      <c r="S362" s="42">
        <v>0.0</v>
      </c>
      <c r="T362" s="44" t="s">
        <v>2011</v>
      </c>
      <c r="U362" s="47" t="str">
        <f>IF(records[Type]="Room",records[roomNo],records[roomNo]&amp;"-"&amp;SUBSTITUTE(RIGHT(records[roomNo]&amp;records[Type],2),"-",""))</f>
        <v>10-3-055</v>
      </c>
      <c r="V362" s="47" t="str">
        <f t="array" ref="V362">_xlfn.XLOOKUP(records[ID], dAir[roomNo], dAir[roomName])</f>
        <v>CORRIDOR</v>
      </c>
      <c r="W362" s="47" t="str">
        <f t="array" ref="W362">_xlfn.XLOOKUP(records[ID], dAir[roomNo], dAir[building])</f>
        <v>Building 10</v>
      </c>
      <c r="X362" s="47" t="str">
        <f t="array" ref="X362">_xlfn.XLOOKUP(records[ID], dAir[roomNo], dAir[floor])</f>
        <v>Floor 3</v>
      </c>
      <c r="Y362" s="45" t="str">
        <f t="array" ref="Y362">_xlfn.XLOOKUP(records[ID], dAir[roomNo], dAir[Class])</f>
        <v>D</v>
      </c>
      <c r="Z362" s="45">
        <f t="array" ref="Z362">_xlfn.XLOOKUP(records[Method]&amp;"-"&amp;records[Class], dAirSpec[ID], dAirSpec[Spec])</f>
        <v>100</v>
      </c>
      <c r="AA362" s="45" t="str">
        <f t="array" ref="AA362">_xlfn.XLOOKUP(records[Method]&amp;"-"&amp;records[Class], dAirSpec[ID], dAirSpec[Unit])</f>
        <v>cfu/plate</v>
      </c>
      <c r="AB362" s="58">
        <f t="array" ref="AB362">if(S362="","", if(records[Method]="Active Air",_xlfn.xlookup(records[ColonyCount]&amp;records[AirSampler],feller[code],feller[Vc]),records[ColonyCount]))</f>
        <v>0</v>
      </c>
      <c r="AC362" s="60" t="b">
        <f t="shared" si="1"/>
        <v>1</v>
      </c>
      <c r="AD362" s="61" t="b">
        <v>0</v>
      </c>
      <c r="AE362" s="32" t="s">
        <v>235</v>
      </c>
      <c r="AF362" s="46"/>
      <c r="AG362" s="46"/>
      <c r="AH362" s="46"/>
      <c r="AI362" s="46"/>
      <c r="AJ362" s="46"/>
    </row>
    <row r="363" ht="22.5" customHeight="1">
      <c r="A363" s="27">
        <v>46222.0</v>
      </c>
      <c r="B363" s="34" t="str">
        <f t="array" ref="B363">TEXT(A363, "MM-YYYY")</f>
        <v>07-2026</v>
      </c>
      <c r="C363" s="20" t="s">
        <v>1154</v>
      </c>
      <c r="D363" s="21" t="s">
        <v>210</v>
      </c>
      <c r="E363" s="36" t="s">
        <v>213</v>
      </c>
      <c r="F363" s="37" t="s">
        <v>65</v>
      </c>
      <c r="G363" s="29" t="b">
        <v>1</v>
      </c>
      <c r="H363" s="36" t="s">
        <v>214</v>
      </c>
      <c r="I363" s="36" t="s">
        <v>215</v>
      </c>
      <c r="J363" s="29"/>
      <c r="K363" s="138"/>
      <c r="L363" s="37" t="s">
        <v>194</v>
      </c>
      <c r="M363" s="37" t="s">
        <v>194</v>
      </c>
      <c r="N363" s="37" t="s">
        <v>194</v>
      </c>
      <c r="O363" s="37" t="s">
        <v>194</v>
      </c>
      <c r="P363" s="37" t="s">
        <v>2271</v>
      </c>
      <c r="Q363" s="37" t="s">
        <v>2272</v>
      </c>
      <c r="R363" s="41">
        <v>46271.0</v>
      </c>
      <c r="S363" s="42">
        <v>0.0</v>
      </c>
      <c r="T363" s="44"/>
      <c r="U363" s="47" t="str">
        <f>IF(records[Type]="Room",records[roomNo],records[roomNo]&amp;"-"&amp;SUBSTITUTE(RIGHT(records[roomNo]&amp;records[Type],2),"-",""))</f>
        <v>10-3-056</v>
      </c>
      <c r="V363" s="47" t="str">
        <f t="array" ref="V363">_xlfn.XLOOKUP(records[ID], dAir[roomNo], dAir[roomName])</f>
        <v>AIRLOCK</v>
      </c>
      <c r="W363" s="47" t="str">
        <f t="array" ref="W363">_xlfn.XLOOKUP(records[ID], dAir[roomNo], dAir[building])</f>
        <v>Building 10</v>
      </c>
      <c r="X363" s="47" t="str">
        <f t="array" ref="X363">_xlfn.XLOOKUP(records[ID], dAir[roomNo], dAir[floor])</f>
        <v>Floor 3</v>
      </c>
      <c r="Y363" s="45" t="str">
        <f t="array" ref="Y363">_xlfn.XLOOKUP(records[ID], dAir[roomNo], dAir[Class])</f>
        <v>D</v>
      </c>
      <c r="Z363" s="45">
        <f t="array" ref="Z363">_xlfn.XLOOKUP(records[Method]&amp;"-"&amp;records[Class], dAirSpec[ID], dAirSpec[Spec])</f>
        <v>100</v>
      </c>
      <c r="AA363" s="45" t="str">
        <f t="array" ref="AA363">_xlfn.XLOOKUP(records[Method]&amp;"-"&amp;records[Class], dAirSpec[ID], dAirSpec[Unit])</f>
        <v>cfu/plate</v>
      </c>
      <c r="AB363" s="58">
        <f t="array" ref="AB363">if(S363="","", if(records[Method]="Active Air",_xlfn.xlookup(records[ColonyCount]&amp;records[AirSampler],feller[code],feller[Vc]),records[ColonyCount]))</f>
        <v>0</v>
      </c>
      <c r="AC363" s="60" t="b">
        <f t="shared" si="1"/>
        <v>1</v>
      </c>
      <c r="AD363" s="61" t="b">
        <v>0</v>
      </c>
      <c r="AE363" s="32" t="s">
        <v>235</v>
      </c>
      <c r="AF363" s="46"/>
      <c r="AG363" s="46"/>
      <c r="AH363" s="46"/>
      <c r="AI363" s="46"/>
      <c r="AJ363" s="46"/>
    </row>
    <row r="364" ht="22.5" customHeight="1">
      <c r="A364" s="27">
        <v>46222.0</v>
      </c>
      <c r="B364" s="34" t="str">
        <f t="array" ref="B364">TEXT(A364, "MM-YYYY")</f>
        <v>07-2026</v>
      </c>
      <c r="C364" s="20" t="s">
        <v>1155</v>
      </c>
      <c r="D364" s="21" t="s">
        <v>210</v>
      </c>
      <c r="E364" s="36" t="s">
        <v>213</v>
      </c>
      <c r="F364" s="37" t="s">
        <v>65</v>
      </c>
      <c r="G364" s="29" t="b">
        <v>1</v>
      </c>
      <c r="H364" s="36" t="s">
        <v>214</v>
      </c>
      <c r="I364" s="36" t="s">
        <v>215</v>
      </c>
      <c r="J364" s="29"/>
      <c r="K364" s="138"/>
      <c r="L364" s="37" t="s">
        <v>194</v>
      </c>
      <c r="M364" s="37" t="s">
        <v>194</v>
      </c>
      <c r="N364" s="37" t="s">
        <v>194</v>
      </c>
      <c r="O364" s="37" t="s">
        <v>194</v>
      </c>
      <c r="P364" s="37" t="s">
        <v>2271</v>
      </c>
      <c r="Q364" s="37" t="s">
        <v>2272</v>
      </c>
      <c r="R364" s="41">
        <v>46271.0</v>
      </c>
      <c r="S364" s="42">
        <v>0.0</v>
      </c>
      <c r="T364" s="44" t="s">
        <v>2011</v>
      </c>
      <c r="U364" s="47" t="str">
        <f>IF(records[Type]="Room",records[roomNo],records[roomNo]&amp;"-"&amp;SUBSTITUTE(RIGHT(records[roomNo]&amp;records[Type],2),"-",""))</f>
        <v>10-3-057</v>
      </c>
      <c r="V364" s="47" t="str">
        <f t="array" ref="V364">_xlfn.XLOOKUP(records[ID], dAir[roomNo], dAir[roomName])</f>
        <v>CORRIDOR</v>
      </c>
      <c r="W364" s="47" t="str">
        <f t="array" ref="W364">_xlfn.XLOOKUP(records[ID], dAir[roomNo], dAir[building])</f>
        <v>Building 10</v>
      </c>
      <c r="X364" s="47" t="str">
        <f t="array" ref="X364">_xlfn.XLOOKUP(records[ID], dAir[roomNo], dAir[floor])</f>
        <v>Floor 3</v>
      </c>
      <c r="Y364" s="45" t="str">
        <f t="array" ref="Y364">_xlfn.XLOOKUP(records[ID], dAir[roomNo], dAir[Class])</f>
        <v>D</v>
      </c>
      <c r="Z364" s="45">
        <f t="array" ref="Z364">_xlfn.XLOOKUP(records[Method]&amp;"-"&amp;records[Class], dAirSpec[ID], dAirSpec[Spec])</f>
        <v>100</v>
      </c>
      <c r="AA364" s="45" t="str">
        <f t="array" ref="AA364">_xlfn.XLOOKUP(records[Method]&amp;"-"&amp;records[Class], dAirSpec[ID], dAirSpec[Unit])</f>
        <v>cfu/plate</v>
      </c>
      <c r="AB364" s="58">
        <f t="array" ref="AB364">if(S364="","", if(records[Method]="Active Air",_xlfn.xlookup(records[ColonyCount]&amp;records[AirSampler],feller[code],feller[Vc]),records[ColonyCount]))</f>
        <v>0</v>
      </c>
      <c r="AC364" s="60" t="b">
        <f t="shared" si="1"/>
        <v>1</v>
      </c>
      <c r="AD364" s="61" t="b">
        <v>0</v>
      </c>
      <c r="AE364" s="32" t="s">
        <v>235</v>
      </c>
      <c r="AF364" s="46"/>
      <c r="AG364" s="46"/>
      <c r="AH364" s="46"/>
      <c r="AI364" s="46"/>
      <c r="AJ364" s="46"/>
    </row>
    <row r="365" ht="22.5" customHeight="1">
      <c r="A365" s="27">
        <v>46222.0</v>
      </c>
      <c r="B365" s="34" t="str">
        <f t="array" ref="B365">TEXT(A365, "MM-YYYY")</f>
        <v>07-2026</v>
      </c>
      <c r="C365" s="20" t="s">
        <v>463</v>
      </c>
      <c r="D365" s="21" t="s">
        <v>210</v>
      </c>
      <c r="E365" s="36" t="s">
        <v>213</v>
      </c>
      <c r="F365" s="37" t="s">
        <v>65</v>
      </c>
      <c r="G365" s="29" t="b">
        <v>1</v>
      </c>
      <c r="H365" s="36" t="s">
        <v>214</v>
      </c>
      <c r="I365" s="36" t="s">
        <v>215</v>
      </c>
      <c r="J365" s="29"/>
      <c r="K365" s="138"/>
      <c r="L365" s="37" t="s">
        <v>194</v>
      </c>
      <c r="M365" s="37" t="s">
        <v>194</v>
      </c>
      <c r="N365" s="37" t="s">
        <v>194</v>
      </c>
      <c r="O365" s="37" t="s">
        <v>194</v>
      </c>
      <c r="P365" s="37" t="s">
        <v>2271</v>
      </c>
      <c r="Q365" s="37" t="s">
        <v>2272</v>
      </c>
      <c r="R365" s="41">
        <v>46271.0</v>
      </c>
      <c r="S365" s="42">
        <v>9.0</v>
      </c>
      <c r="T365" s="44"/>
      <c r="U365" s="47" t="str">
        <f>IF(records[Type]="Room",records[roomNo],records[roomNo]&amp;"-"&amp;SUBSTITUTE(RIGHT(records[roomNo]&amp;records[Type],2),"-",""))</f>
        <v>10-3-058</v>
      </c>
      <c r="V365" s="47" t="str">
        <f t="array" ref="V365">_xlfn.XLOOKUP(records[ID], dAir[roomNo], dAir[roomName])</f>
        <v>COATING 1</v>
      </c>
      <c r="W365" s="47" t="str">
        <f t="array" ref="W365">_xlfn.XLOOKUP(records[ID], dAir[roomNo], dAir[building])</f>
        <v>Building 10</v>
      </c>
      <c r="X365" s="47" t="str">
        <f t="array" ref="X365">_xlfn.XLOOKUP(records[ID], dAir[roomNo], dAir[floor])</f>
        <v>Floor 3</v>
      </c>
      <c r="Y365" s="45" t="str">
        <f t="array" ref="Y365">_xlfn.XLOOKUP(records[ID], dAir[roomNo], dAir[Class])</f>
        <v>D</v>
      </c>
      <c r="Z365" s="45">
        <f t="array" ref="Z365">_xlfn.XLOOKUP(records[Method]&amp;"-"&amp;records[Class], dAirSpec[ID], dAirSpec[Spec])</f>
        <v>100</v>
      </c>
      <c r="AA365" s="45" t="str">
        <f t="array" ref="AA365">_xlfn.XLOOKUP(records[Method]&amp;"-"&amp;records[Class], dAirSpec[ID], dAirSpec[Unit])</f>
        <v>cfu/plate</v>
      </c>
      <c r="AB365" s="58">
        <f t="array" ref="AB365">if(S365="","", if(records[Method]="Active Air",_xlfn.xlookup(records[ColonyCount]&amp;records[AirSampler],feller[code],feller[Vc]),records[ColonyCount]))</f>
        <v>9</v>
      </c>
      <c r="AC365" s="60" t="b">
        <f t="shared" si="1"/>
        <v>1</v>
      </c>
      <c r="AD365" s="61" t="b">
        <v>0</v>
      </c>
      <c r="AE365" s="32" t="s">
        <v>235</v>
      </c>
      <c r="AF365" s="46"/>
      <c r="AG365" s="46"/>
      <c r="AH365" s="46"/>
      <c r="AI365" s="46"/>
      <c r="AJ365" s="46"/>
    </row>
    <row r="366" ht="22.5" customHeight="1">
      <c r="A366" s="27">
        <v>46222.0</v>
      </c>
      <c r="B366" s="34" t="str">
        <f t="array" ref="B366">TEXT(A366, "MM-YYYY")</f>
        <v>07-2026</v>
      </c>
      <c r="C366" s="20" t="s">
        <v>471</v>
      </c>
      <c r="D366" s="21" t="s">
        <v>210</v>
      </c>
      <c r="E366" s="36" t="s">
        <v>213</v>
      </c>
      <c r="F366" s="37" t="s">
        <v>65</v>
      </c>
      <c r="G366" s="29" t="b">
        <v>1</v>
      </c>
      <c r="H366" s="36" t="s">
        <v>214</v>
      </c>
      <c r="I366" s="36" t="s">
        <v>215</v>
      </c>
      <c r="J366" s="29"/>
      <c r="K366" s="138"/>
      <c r="L366" s="37" t="s">
        <v>194</v>
      </c>
      <c r="M366" s="37" t="s">
        <v>194</v>
      </c>
      <c r="N366" s="37" t="s">
        <v>194</v>
      </c>
      <c r="O366" s="37" t="s">
        <v>194</v>
      </c>
      <c r="P366" s="37" t="s">
        <v>2271</v>
      </c>
      <c r="Q366" s="37" t="s">
        <v>2272</v>
      </c>
      <c r="R366" s="41">
        <v>46271.0</v>
      </c>
      <c r="S366" s="42">
        <v>0.0</v>
      </c>
      <c r="T366" s="44"/>
      <c r="U366" s="47" t="str">
        <f>IF(records[Type]="Room",records[roomNo],records[roomNo]&amp;"-"&amp;SUBSTITUTE(RIGHT(records[roomNo]&amp;records[Type],2),"-",""))</f>
        <v>10-3-059</v>
      </c>
      <c r="V366" s="47" t="str">
        <f t="array" ref="V366">_xlfn.XLOOKUP(records[ID], dAir[roomNo], dAir[roomName])</f>
        <v>COATING SOLUTION PREPARATION 1  (SOLUTION PREPARATION TANK)</v>
      </c>
      <c r="W366" s="47" t="str">
        <f t="array" ref="W366">_xlfn.XLOOKUP(records[ID], dAir[roomNo], dAir[building])</f>
        <v>Building 10</v>
      </c>
      <c r="X366" s="47" t="str">
        <f t="array" ref="X366">_xlfn.XLOOKUP(records[ID], dAir[roomNo], dAir[floor])</f>
        <v>Floor 3</v>
      </c>
      <c r="Y366" s="45" t="str">
        <f t="array" ref="Y366">_xlfn.XLOOKUP(records[ID], dAir[roomNo], dAir[Class])</f>
        <v>D</v>
      </c>
      <c r="Z366" s="45">
        <f t="array" ref="Z366">_xlfn.XLOOKUP(records[Method]&amp;"-"&amp;records[Class], dAirSpec[ID], dAirSpec[Spec])</f>
        <v>100</v>
      </c>
      <c r="AA366" s="45" t="str">
        <f t="array" ref="AA366">_xlfn.XLOOKUP(records[Method]&amp;"-"&amp;records[Class], dAirSpec[ID], dAirSpec[Unit])</f>
        <v>cfu/plate</v>
      </c>
      <c r="AB366" s="58">
        <f t="array" ref="AB366">if(S366="","", if(records[Method]="Active Air",_xlfn.xlookup(records[ColonyCount]&amp;records[AirSampler],feller[code],feller[Vc]),records[ColonyCount]))</f>
        <v>0</v>
      </c>
      <c r="AC366" s="60" t="b">
        <f t="shared" si="1"/>
        <v>1</v>
      </c>
      <c r="AD366" s="61" t="b">
        <v>0</v>
      </c>
      <c r="AE366" s="32" t="s">
        <v>235</v>
      </c>
      <c r="AF366" s="46"/>
      <c r="AG366" s="46"/>
      <c r="AH366" s="46"/>
      <c r="AI366" s="46"/>
      <c r="AJ366" s="46"/>
    </row>
    <row r="367" ht="22.5" customHeight="1">
      <c r="A367" s="27">
        <v>46222.0</v>
      </c>
      <c r="B367" s="34" t="str">
        <f t="array" ref="B367">TEXT(A367, "MM-YYYY")</f>
        <v>07-2026</v>
      </c>
      <c r="C367" s="20" t="s">
        <v>187</v>
      </c>
      <c r="D367" s="21" t="s">
        <v>210</v>
      </c>
      <c r="E367" s="36" t="s">
        <v>213</v>
      </c>
      <c r="F367" s="37" t="s">
        <v>65</v>
      </c>
      <c r="G367" s="29" t="b">
        <v>1</v>
      </c>
      <c r="H367" s="36" t="s">
        <v>214</v>
      </c>
      <c r="I367" s="36" t="s">
        <v>215</v>
      </c>
      <c r="J367" s="29"/>
      <c r="K367" s="138"/>
      <c r="L367" s="37" t="s">
        <v>194</v>
      </c>
      <c r="M367" s="37" t="s">
        <v>194</v>
      </c>
      <c r="N367" s="37" t="s">
        <v>194</v>
      </c>
      <c r="O367" s="37" t="s">
        <v>194</v>
      </c>
      <c r="P367" s="37" t="s">
        <v>2271</v>
      </c>
      <c r="Q367" s="37" t="s">
        <v>2272</v>
      </c>
      <c r="R367" s="41">
        <v>46271.0</v>
      </c>
      <c r="S367" s="42">
        <v>1.0</v>
      </c>
      <c r="T367" s="44"/>
      <c r="U367" s="47" t="str">
        <f>IF(records[Type]="Room",records[roomNo],records[roomNo]&amp;"-"&amp;SUBSTITUTE(RIGHT(records[roomNo]&amp;records[Type],2),"-",""))</f>
        <v>10-3-060</v>
      </c>
      <c r="V367" s="47" t="str">
        <f t="array" ref="V367">_xlfn.XLOOKUP(records[ID], dAir[roomNo], dAir[roomName])</f>
        <v>COATING SOLUTION PREPARATION 2  (SOLUTION PREPARATION TANK)</v>
      </c>
      <c r="W367" s="47" t="str">
        <f t="array" ref="W367">_xlfn.XLOOKUP(records[ID], dAir[roomNo], dAir[building])</f>
        <v>Building 10</v>
      </c>
      <c r="X367" s="47" t="str">
        <f t="array" ref="X367">_xlfn.XLOOKUP(records[ID], dAir[roomNo], dAir[floor])</f>
        <v>Floor 3</v>
      </c>
      <c r="Y367" s="45" t="str">
        <f t="array" ref="Y367">_xlfn.XLOOKUP(records[ID], dAir[roomNo], dAir[Class])</f>
        <v>D</v>
      </c>
      <c r="Z367" s="45">
        <f t="array" ref="Z367">_xlfn.XLOOKUP(records[Method]&amp;"-"&amp;records[Class], dAirSpec[ID], dAirSpec[Spec])</f>
        <v>100</v>
      </c>
      <c r="AA367" s="45" t="str">
        <f t="array" ref="AA367">_xlfn.XLOOKUP(records[Method]&amp;"-"&amp;records[Class], dAirSpec[ID], dAirSpec[Unit])</f>
        <v>cfu/plate</v>
      </c>
      <c r="AB367" s="58">
        <f t="array" ref="AB367">if(S367="","", if(records[Method]="Active Air",_xlfn.xlookup(records[ColonyCount]&amp;records[AirSampler],feller[code],feller[Vc]),records[ColonyCount]))</f>
        <v>1</v>
      </c>
      <c r="AC367" s="60" t="b">
        <f t="shared" si="1"/>
        <v>1</v>
      </c>
      <c r="AD367" s="61" t="b">
        <v>0</v>
      </c>
      <c r="AE367" s="32" t="s">
        <v>235</v>
      </c>
      <c r="AF367" s="46"/>
      <c r="AG367" s="46"/>
      <c r="AH367" s="46"/>
      <c r="AI367" s="46"/>
      <c r="AJ367" s="46"/>
    </row>
    <row r="368" ht="22.5" customHeight="1">
      <c r="A368" s="27">
        <v>46222.0</v>
      </c>
      <c r="B368" s="34" t="str">
        <f t="array" ref="B368">TEXT(A368, "MM-YYYY")</f>
        <v>07-2026</v>
      </c>
      <c r="C368" s="20" t="s">
        <v>249</v>
      </c>
      <c r="D368" s="21" t="s">
        <v>210</v>
      </c>
      <c r="E368" s="36" t="s">
        <v>213</v>
      </c>
      <c r="F368" s="37" t="s">
        <v>65</v>
      </c>
      <c r="G368" s="29" t="b">
        <v>1</v>
      </c>
      <c r="H368" s="36" t="s">
        <v>214</v>
      </c>
      <c r="I368" s="36" t="s">
        <v>215</v>
      </c>
      <c r="J368" s="29"/>
      <c r="K368" s="138"/>
      <c r="L368" s="37" t="s">
        <v>194</v>
      </c>
      <c r="M368" s="37" t="s">
        <v>194</v>
      </c>
      <c r="N368" s="37" t="s">
        <v>194</v>
      </c>
      <c r="O368" s="37" t="s">
        <v>194</v>
      </c>
      <c r="P368" s="37" t="s">
        <v>2271</v>
      </c>
      <c r="Q368" s="37" t="s">
        <v>2272</v>
      </c>
      <c r="R368" s="41">
        <v>46271.0</v>
      </c>
      <c r="S368" s="42">
        <v>0.0</v>
      </c>
      <c r="T368" s="44"/>
      <c r="U368" s="47" t="str">
        <f>IF(records[Type]="Room",records[roomNo],records[roomNo]&amp;"-"&amp;SUBSTITUTE(RIGHT(records[roomNo]&amp;records[Type],2),"-",""))</f>
        <v>10-3-061</v>
      </c>
      <c r="V368" s="47" t="str">
        <f t="array" ref="V368">_xlfn.XLOOKUP(records[ID], dAir[roomNo], dAir[roomName])</f>
        <v>COATING 2</v>
      </c>
      <c r="W368" s="47" t="str">
        <f t="array" ref="W368">_xlfn.XLOOKUP(records[ID], dAir[roomNo], dAir[building])</f>
        <v>Building 10</v>
      </c>
      <c r="X368" s="47" t="str">
        <f t="array" ref="X368">_xlfn.XLOOKUP(records[ID], dAir[roomNo], dAir[floor])</f>
        <v>Floor 3</v>
      </c>
      <c r="Y368" s="45" t="str">
        <f t="array" ref="Y368">_xlfn.XLOOKUP(records[ID], dAir[roomNo], dAir[Class])</f>
        <v>D</v>
      </c>
      <c r="Z368" s="45">
        <f t="array" ref="Z368">_xlfn.XLOOKUP(records[Method]&amp;"-"&amp;records[Class], dAirSpec[ID], dAirSpec[Spec])</f>
        <v>100</v>
      </c>
      <c r="AA368" s="45" t="str">
        <f t="array" ref="AA368">_xlfn.XLOOKUP(records[Method]&amp;"-"&amp;records[Class], dAirSpec[ID], dAirSpec[Unit])</f>
        <v>cfu/plate</v>
      </c>
      <c r="AB368" s="58">
        <f t="array" ref="AB368">if(S368="","", if(records[Method]="Active Air",_xlfn.xlookup(records[ColonyCount]&amp;records[AirSampler],feller[code],feller[Vc]),records[ColonyCount]))</f>
        <v>0</v>
      </c>
      <c r="AC368" s="60" t="b">
        <f t="shared" si="1"/>
        <v>1</v>
      </c>
      <c r="AD368" s="61" t="b">
        <v>0</v>
      </c>
      <c r="AE368" s="32" t="s">
        <v>235</v>
      </c>
      <c r="AF368" s="46"/>
      <c r="AG368" s="46"/>
      <c r="AH368" s="46"/>
      <c r="AI368" s="46"/>
      <c r="AJ368" s="46"/>
    </row>
    <row r="369" ht="22.5" customHeight="1">
      <c r="A369" s="27">
        <v>46222.0</v>
      </c>
      <c r="B369" s="34" t="str">
        <f t="array" ref="B369">TEXT(A369, "MM-YYYY")</f>
        <v>07-2026</v>
      </c>
      <c r="C369" s="20" t="s">
        <v>492</v>
      </c>
      <c r="D369" s="21" t="s">
        <v>210</v>
      </c>
      <c r="E369" s="36" t="s">
        <v>213</v>
      </c>
      <c r="F369" s="37" t="s">
        <v>65</v>
      </c>
      <c r="G369" s="29" t="b">
        <v>1</v>
      </c>
      <c r="H369" s="36" t="s">
        <v>214</v>
      </c>
      <c r="I369" s="36" t="s">
        <v>215</v>
      </c>
      <c r="J369" s="29"/>
      <c r="K369" s="138"/>
      <c r="L369" s="37" t="s">
        <v>194</v>
      </c>
      <c r="M369" s="37" t="s">
        <v>194</v>
      </c>
      <c r="N369" s="37" t="s">
        <v>194</v>
      </c>
      <c r="O369" s="37" t="s">
        <v>194</v>
      </c>
      <c r="P369" s="37" t="s">
        <v>2271</v>
      </c>
      <c r="Q369" s="37" t="s">
        <v>2272</v>
      </c>
      <c r="R369" s="41">
        <v>46271.0</v>
      </c>
      <c r="S369" s="42">
        <v>3.0</v>
      </c>
      <c r="T369" s="44"/>
      <c r="U369" s="47" t="str">
        <f>IF(records[Type]="Room",records[roomNo],records[roomNo]&amp;"-"&amp;SUBSTITUTE(RIGHT(records[roomNo]&amp;records[Type],2),"-",""))</f>
        <v>10-3-062</v>
      </c>
      <c r="V369" s="47" t="str">
        <f t="array" ref="V369">_xlfn.XLOOKUP(records[ID], dAir[roomNo], dAir[roomName])</f>
        <v>COATING 3</v>
      </c>
      <c r="W369" s="47" t="str">
        <f t="array" ref="W369">_xlfn.XLOOKUP(records[ID], dAir[roomNo], dAir[building])</f>
        <v>Building 10</v>
      </c>
      <c r="X369" s="47" t="str">
        <f t="array" ref="X369">_xlfn.XLOOKUP(records[ID], dAir[roomNo], dAir[floor])</f>
        <v>Floor 3</v>
      </c>
      <c r="Y369" s="45" t="str">
        <f t="array" ref="Y369">_xlfn.XLOOKUP(records[ID], dAir[roomNo], dAir[Class])</f>
        <v>D</v>
      </c>
      <c r="Z369" s="45">
        <f t="array" ref="Z369">_xlfn.XLOOKUP(records[Method]&amp;"-"&amp;records[Class], dAirSpec[ID], dAirSpec[Spec])</f>
        <v>100</v>
      </c>
      <c r="AA369" s="45" t="str">
        <f t="array" ref="AA369">_xlfn.XLOOKUP(records[Method]&amp;"-"&amp;records[Class], dAirSpec[ID], dAirSpec[Unit])</f>
        <v>cfu/plate</v>
      </c>
      <c r="AB369" s="58">
        <f t="array" ref="AB369">if(S369="","", if(records[Method]="Active Air",_xlfn.xlookup(records[ColonyCount]&amp;records[AirSampler],feller[code],feller[Vc]),records[ColonyCount]))</f>
        <v>3</v>
      </c>
      <c r="AC369" s="60" t="b">
        <f t="shared" si="1"/>
        <v>1</v>
      </c>
      <c r="AD369" s="61" t="b">
        <v>0</v>
      </c>
      <c r="AE369" s="32" t="s">
        <v>235</v>
      </c>
      <c r="AF369" s="46"/>
      <c r="AG369" s="46"/>
      <c r="AH369" s="46"/>
      <c r="AI369" s="46"/>
      <c r="AJ369" s="46"/>
    </row>
    <row r="370" ht="22.5" customHeight="1">
      <c r="A370" s="27">
        <v>46222.0</v>
      </c>
      <c r="B370" s="34" t="str">
        <f t="array" ref="B370">TEXT(A370, "MM-YYYY")</f>
        <v>07-2026</v>
      </c>
      <c r="C370" s="20" t="s">
        <v>498</v>
      </c>
      <c r="D370" s="21" t="s">
        <v>210</v>
      </c>
      <c r="E370" s="36" t="s">
        <v>213</v>
      </c>
      <c r="F370" s="37" t="s">
        <v>65</v>
      </c>
      <c r="G370" s="29" t="b">
        <v>1</v>
      </c>
      <c r="H370" s="36" t="s">
        <v>214</v>
      </c>
      <c r="I370" s="36" t="s">
        <v>215</v>
      </c>
      <c r="J370" s="29"/>
      <c r="K370" s="138"/>
      <c r="L370" s="37" t="s">
        <v>194</v>
      </c>
      <c r="M370" s="37" t="s">
        <v>194</v>
      </c>
      <c r="N370" s="37" t="s">
        <v>194</v>
      </c>
      <c r="O370" s="37" t="s">
        <v>194</v>
      </c>
      <c r="P370" s="37" t="s">
        <v>2271</v>
      </c>
      <c r="Q370" s="37" t="s">
        <v>2272</v>
      </c>
      <c r="R370" s="41">
        <v>46271.0</v>
      </c>
      <c r="S370" s="42">
        <v>0.0</v>
      </c>
      <c r="T370" s="44"/>
      <c r="U370" s="47" t="str">
        <f>IF(records[Type]="Room",records[roomNo],records[roomNo]&amp;"-"&amp;SUBSTITUTE(RIGHT(records[roomNo]&amp;records[Type],2),"-",""))</f>
        <v>10-3-063</v>
      </c>
      <c r="V370" s="47" t="str">
        <f t="array" ref="V370">_xlfn.XLOOKUP(records[ID], dAir[roomNo], dAir[roomName])</f>
        <v>COATING 4</v>
      </c>
      <c r="W370" s="47" t="str">
        <f t="array" ref="W370">_xlfn.XLOOKUP(records[ID], dAir[roomNo], dAir[building])</f>
        <v>Building 10</v>
      </c>
      <c r="X370" s="47" t="str">
        <f t="array" ref="X370">_xlfn.XLOOKUP(records[ID], dAir[roomNo], dAir[floor])</f>
        <v>Floor 3</v>
      </c>
      <c r="Y370" s="45" t="str">
        <f t="array" ref="Y370">_xlfn.XLOOKUP(records[ID], dAir[roomNo], dAir[Class])</f>
        <v>D</v>
      </c>
      <c r="Z370" s="45">
        <f t="array" ref="Z370">_xlfn.XLOOKUP(records[Method]&amp;"-"&amp;records[Class], dAirSpec[ID], dAirSpec[Spec])</f>
        <v>100</v>
      </c>
      <c r="AA370" s="45" t="str">
        <f t="array" ref="AA370">_xlfn.XLOOKUP(records[Method]&amp;"-"&amp;records[Class], dAirSpec[ID], dAirSpec[Unit])</f>
        <v>cfu/plate</v>
      </c>
      <c r="AB370" s="58">
        <f t="array" ref="AB370">if(S370="","", if(records[Method]="Active Air",_xlfn.xlookup(records[ColonyCount]&amp;records[AirSampler],feller[code],feller[Vc]),records[ColonyCount]))</f>
        <v>0</v>
      </c>
      <c r="AC370" s="60" t="b">
        <f t="shared" si="1"/>
        <v>1</v>
      </c>
      <c r="AD370" s="61" t="b">
        <v>0</v>
      </c>
      <c r="AE370" s="32" t="s">
        <v>235</v>
      </c>
      <c r="AF370" s="46"/>
      <c r="AG370" s="46"/>
      <c r="AH370" s="46"/>
      <c r="AI370" s="46"/>
      <c r="AJ370" s="46"/>
    </row>
    <row r="371" ht="22.5" customHeight="1">
      <c r="A371" s="27">
        <v>46222.0</v>
      </c>
      <c r="B371" s="34" t="str">
        <f t="array" ref="B371">TEXT(A371, "MM-YYYY")</f>
        <v>07-2026</v>
      </c>
      <c r="C371" s="20" t="s">
        <v>505</v>
      </c>
      <c r="D371" s="21" t="s">
        <v>210</v>
      </c>
      <c r="E371" s="36" t="s">
        <v>213</v>
      </c>
      <c r="F371" s="37" t="s">
        <v>65</v>
      </c>
      <c r="G371" s="29" t="b">
        <v>1</v>
      </c>
      <c r="H371" s="36" t="s">
        <v>214</v>
      </c>
      <c r="I371" s="36" t="s">
        <v>215</v>
      </c>
      <c r="J371" s="29"/>
      <c r="K371" s="138"/>
      <c r="L371" s="37" t="s">
        <v>194</v>
      </c>
      <c r="M371" s="37" t="s">
        <v>194</v>
      </c>
      <c r="N371" s="37" t="s">
        <v>194</v>
      </c>
      <c r="O371" s="37" t="s">
        <v>194</v>
      </c>
      <c r="P371" s="37" t="s">
        <v>2271</v>
      </c>
      <c r="Q371" s="37" t="s">
        <v>2272</v>
      </c>
      <c r="R371" s="41">
        <v>46271.0</v>
      </c>
      <c r="S371" s="42">
        <v>0.0</v>
      </c>
      <c r="T371" s="44"/>
      <c r="U371" s="47" t="str">
        <f>IF(records[Type]="Room",records[roomNo],records[roomNo]&amp;"-"&amp;SUBSTITUTE(RIGHT(records[roomNo]&amp;records[Type],2),"-",""))</f>
        <v>10-3-064</v>
      </c>
      <c r="V371" s="47" t="str">
        <f t="array" ref="V371">_xlfn.XLOOKUP(records[ID], dAir[roomNo], dAir[roomName])</f>
        <v>COATING 5</v>
      </c>
      <c r="W371" s="47" t="str">
        <f t="array" ref="W371">_xlfn.XLOOKUP(records[ID], dAir[roomNo], dAir[building])</f>
        <v>Building 10</v>
      </c>
      <c r="X371" s="47" t="str">
        <f t="array" ref="X371">_xlfn.XLOOKUP(records[ID], dAir[roomNo], dAir[floor])</f>
        <v>Floor 3</v>
      </c>
      <c r="Y371" s="45" t="str">
        <f t="array" ref="Y371">_xlfn.XLOOKUP(records[ID], dAir[roomNo], dAir[Class])</f>
        <v>D</v>
      </c>
      <c r="Z371" s="45">
        <f t="array" ref="Z371">_xlfn.XLOOKUP(records[Method]&amp;"-"&amp;records[Class], dAirSpec[ID], dAirSpec[Spec])</f>
        <v>100</v>
      </c>
      <c r="AA371" s="45" t="str">
        <f t="array" ref="AA371">_xlfn.XLOOKUP(records[Method]&amp;"-"&amp;records[Class], dAirSpec[ID], dAirSpec[Unit])</f>
        <v>cfu/plate</v>
      </c>
      <c r="AB371" s="58">
        <f t="array" ref="AB371">if(S371="","", if(records[Method]="Active Air",_xlfn.xlookup(records[ColonyCount]&amp;records[AirSampler],feller[code],feller[Vc]),records[ColonyCount]))</f>
        <v>0</v>
      </c>
      <c r="AC371" s="60" t="b">
        <f t="shared" si="1"/>
        <v>1</v>
      </c>
      <c r="AD371" s="61" t="b">
        <v>0</v>
      </c>
      <c r="AE371" s="32" t="s">
        <v>235</v>
      </c>
      <c r="AF371" s="46"/>
      <c r="AG371" s="46"/>
      <c r="AH371" s="46"/>
      <c r="AI371" s="46"/>
      <c r="AJ371" s="46"/>
    </row>
    <row r="372" ht="22.5" customHeight="1">
      <c r="A372" s="27">
        <v>46222.0</v>
      </c>
      <c r="B372" s="34" t="str">
        <f t="array" ref="B372">TEXT(A372, "MM-YYYY")</f>
        <v>07-2026</v>
      </c>
      <c r="C372" s="20" t="s">
        <v>195</v>
      </c>
      <c r="D372" s="21" t="s">
        <v>210</v>
      </c>
      <c r="E372" s="36" t="s">
        <v>213</v>
      </c>
      <c r="F372" s="37" t="s">
        <v>65</v>
      </c>
      <c r="G372" s="29" t="b">
        <v>1</v>
      </c>
      <c r="H372" s="36" t="s">
        <v>214</v>
      </c>
      <c r="I372" s="36" t="s">
        <v>215</v>
      </c>
      <c r="J372" s="29"/>
      <c r="K372" s="138"/>
      <c r="L372" s="37" t="s">
        <v>194</v>
      </c>
      <c r="M372" s="37" t="s">
        <v>194</v>
      </c>
      <c r="N372" s="37" t="s">
        <v>194</v>
      </c>
      <c r="O372" s="37" t="s">
        <v>194</v>
      </c>
      <c r="P372" s="37" t="s">
        <v>2271</v>
      </c>
      <c r="Q372" s="37" t="s">
        <v>2272</v>
      </c>
      <c r="R372" s="41">
        <v>46271.0</v>
      </c>
      <c r="S372" s="42">
        <v>0.0</v>
      </c>
      <c r="T372" s="44"/>
      <c r="U372" s="47" t="str">
        <f>IF(records[Type]="Room",records[roomNo],records[roomNo]&amp;"-"&amp;SUBSTITUTE(RIGHT(records[roomNo]&amp;records[Type],2),"-",""))</f>
        <v>10-3-065</v>
      </c>
      <c r="V372" s="47" t="str">
        <f t="array" ref="V372">_xlfn.XLOOKUP(records[ID], dAir[roomNo], dAir[roomName])</f>
        <v>COATING SOLUTION PREPARATION 3  (SOLUTION PREPARATION TANK)</v>
      </c>
      <c r="W372" s="47" t="str">
        <f t="array" ref="W372">_xlfn.XLOOKUP(records[ID], dAir[roomNo], dAir[building])</f>
        <v>Building 10</v>
      </c>
      <c r="X372" s="47" t="str">
        <f t="array" ref="X372">_xlfn.XLOOKUP(records[ID], dAir[roomNo], dAir[floor])</f>
        <v>Floor 3</v>
      </c>
      <c r="Y372" s="45" t="str">
        <f t="array" ref="Y372">_xlfn.XLOOKUP(records[ID], dAir[roomNo], dAir[Class])</f>
        <v>D</v>
      </c>
      <c r="Z372" s="45">
        <f t="array" ref="Z372">_xlfn.XLOOKUP(records[Method]&amp;"-"&amp;records[Class], dAirSpec[ID], dAirSpec[Spec])</f>
        <v>100</v>
      </c>
      <c r="AA372" s="45" t="str">
        <f t="array" ref="AA372">_xlfn.XLOOKUP(records[Method]&amp;"-"&amp;records[Class], dAirSpec[ID], dAirSpec[Unit])</f>
        <v>cfu/plate</v>
      </c>
      <c r="AB372" s="58">
        <f t="array" ref="AB372">if(S372="","", if(records[Method]="Active Air",_xlfn.xlookup(records[ColonyCount]&amp;records[AirSampler],feller[code],feller[Vc]),records[ColonyCount]))</f>
        <v>0</v>
      </c>
      <c r="AC372" s="60" t="b">
        <f t="shared" si="1"/>
        <v>1</v>
      </c>
      <c r="AD372" s="61" t="b">
        <v>0</v>
      </c>
      <c r="AE372" s="32" t="s">
        <v>235</v>
      </c>
      <c r="AF372" s="46"/>
      <c r="AG372" s="46"/>
      <c r="AH372" s="46"/>
      <c r="AI372" s="46"/>
      <c r="AJ372" s="46"/>
    </row>
    <row r="373" ht="22.5" customHeight="1">
      <c r="A373" s="27">
        <v>46222.0</v>
      </c>
      <c r="B373" s="34" t="str">
        <f t="array" ref="B373">TEXT(A373, "MM-YYYY")</f>
        <v>07-2026</v>
      </c>
      <c r="C373" s="20" t="s">
        <v>208</v>
      </c>
      <c r="D373" s="199" t="s">
        <v>210</v>
      </c>
      <c r="E373" s="36" t="s">
        <v>213</v>
      </c>
      <c r="F373" s="37" t="s">
        <v>65</v>
      </c>
      <c r="G373" s="29" t="b">
        <v>1</v>
      </c>
      <c r="H373" s="36" t="s">
        <v>214</v>
      </c>
      <c r="I373" s="36" t="s">
        <v>215</v>
      </c>
      <c r="J373" s="29"/>
      <c r="K373" s="138"/>
      <c r="L373" s="37" t="s">
        <v>194</v>
      </c>
      <c r="M373" s="37" t="s">
        <v>194</v>
      </c>
      <c r="N373" s="37" t="s">
        <v>194</v>
      </c>
      <c r="O373" s="37" t="s">
        <v>194</v>
      </c>
      <c r="P373" s="37" t="s">
        <v>2271</v>
      </c>
      <c r="Q373" s="37" t="s">
        <v>2272</v>
      </c>
      <c r="R373" s="41">
        <v>46271.0</v>
      </c>
      <c r="S373" s="42">
        <v>1.0</v>
      </c>
      <c r="T373" s="44"/>
      <c r="U373" s="47" t="str">
        <f>IF(records[Type]="Room",records[roomNo],records[roomNo]&amp;"-"&amp;SUBSTITUTE(RIGHT(records[roomNo]&amp;records[Type],2),"-",""))</f>
        <v>10-3-066</v>
      </c>
      <c r="V373" s="47" t="str">
        <f t="array" ref="V373">_xlfn.XLOOKUP(records[ID], dAir[roomNo], dAir[roomName])</f>
        <v>COATING SOLUTION PREPARATION 4  (SOLUTION PREPARATION TANK)</v>
      </c>
      <c r="W373" s="47" t="str">
        <f t="array" ref="W373">_xlfn.XLOOKUP(records[ID], dAir[roomNo], dAir[building])</f>
        <v>Building 10</v>
      </c>
      <c r="X373" s="47" t="str">
        <f t="array" ref="X373">_xlfn.XLOOKUP(records[ID], dAir[roomNo], dAir[floor])</f>
        <v>Floor 3</v>
      </c>
      <c r="Y373" s="45" t="str">
        <f t="array" ref="Y373">_xlfn.XLOOKUP(records[ID], dAir[roomNo], dAir[Class])</f>
        <v>D</v>
      </c>
      <c r="Z373" s="45">
        <f t="array" ref="Z373">_xlfn.XLOOKUP(records[Method]&amp;"-"&amp;records[Class], dAirSpec[ID], dAirSpec[Spec])</f>
        <v>100</v>
      </c>
      <c r="AA373" s="45" t="str">
        <f t="array" ref="AA373">_xlfn.XLOOKUP(records[Method]&amp;"-"&amp;records[Class], dAirSpec[ID], dAirSpec[Unit])</f>
        <v>cfu/plate</v>
      </c>
      <c r="AB373" s="58">
        <f t="array" ref="AB373">if(S373="","", if(records[Method]="Active Air",_xlfn.xlookup(records[ColonyCount]&amp;records[AirSampler],feller[code],feller[Vc]),records[ColonyCount]))</f>
        <v>1</v>
      </c>
      <c r="AC373" s="60" t="b">
        <f t="shared" si="1"/>
        <v>1</v>
      </c>
      <c r="AD373" s="61" t="b">
        <v>0</v>
      </c>
      <c r="AE373" s="32" t="s">
        <v>235</v>
      </c>
      <c r="AF373" s="46"/>
      <c r="AG373" s="46"/>
      <c r="AH373" s="46"/>
      <c r="AI373" s="46"/>
      <c r="AJ373" s="46"/>
    </row>
    <row r="374" ht="22.5" customHeight="1">
      <c r="A374" s="27">
        <v>46222.0</v>
      </c>
      <c r="B374" s="34" t="str">
        <f t="array" ref="B374">TEXT(A374, "MM-YYYY")</f>
        <v>07-2026</v>
      </c>
      <c r="C374" s="20" t="s">
        <v>533</v>
      </c>
      <c r="D374" s="199" t="s">
        <v>210</v>
      </c>
      <c r="E374" s="36" t="s">
        <v>213</v>
      </c>
      <c r="F374" s="37" t="s">
        <v>65</v>
      </c>
      <c r="G374" s="29" t="b">
        <v>1</v>
      </c>
      <c r="H374" s="36" t="s">
        <v>214</v>
      </c>
      <c r="I374" s="36" t="s">
        <v>215</v>
      </c>
      <c r="J374" s="29"/>
      <c r="K374" s="138"/>
      <c r="L374" s="37" t="s">
        <v>194</v>
      </c>
      <c r="M374" s="37" t="s">
        <v>194</v>
      </c>
      <c r="N374" s="37" t="s">
        <v>194</v>
      </c>
      <c r="O374" s="37" t="s">
        <v>194</v>
      </c>
      <c r="P374" s="37" t="s">
        <v>2271</v>
      </c>
      <c r="Q374" s="37" t="s">
        <v>2272</v>
      </c>
      <c r="R374" s="41">
        <v>46271.0</v>
      </c>
      <c r="S374" s="42">
        <v>0.0</v>
      </c>
      <c r="T374" s="44"/>
      <c r="U374" s="47" t="str">
        <f>IF(records[Type]="Room",records[roomNo],records[roomNo]&amp;"-"&amp;SUBSTITUTE(RIGHT(records[roomNo]&amp;records[Type],2),"-",""))</f>
        <v>10-3-067</v>
      </c>
      <c r="V374" s="47" t="str">
        <f t="array" ref="V374">_xlfn.XLOOKUP(records[ID], dAir[roomNo], dAir[roomName])</f>
        <v>COATING 6</v>
      </c>
      <c r="W374" s="47" t="str">
        <f t="array" ref="W374">_xlfn.XLOOKUP(records[ID], dAir[roomNo], dAir[building])</f>
        <v>Building 10</v>
      </c>
      <c r="X374" s="47" t="str">
        <f t="array" ref="X374">_xlfn.XLOOKUP(records[ID], dAir[roomNo], dAir[floor])</f>
        <v>Floor 3</v>
      </c>
      <c r="Y374" s="45" t="str">
        <f t="array" ref="Y374">_xlfn.XLOOKUP(records[ID], dAir[roomNo], dAir[Class])</f>
        <v>D</v>
      </c>
      <c r="Z374" s="45">
        <f t="array" ref="Z374">_xlfn.XLOOKUP(records[Method]&amp;"-"&amp;records[Class], dAirSpec[ID], dAirSpec[Spec])</f>
        <v>100</v>
      </c>
      <c r="AA374" s="45" t="str">
        <f t="array" ref="AA374">_xlfn.XLOOKUP(records[Method]&amp;"-"&amp;records[Class], dAirSpec[ID], dAirSpec[Unit])</f>
        <v>cfu/plate</v>
      </c>
      <c r="AB374" s="58">
        <f t="array" ref="AB374">if(S374="","", if(records[Method]="Active Air",_xlfn.xlookup(records[ColonyCount]&amp;records[AirSampler],feller[code],feller[Vc]),records[ColonyCount]))</f>
        <v>0</v>
      </c>
      <c r="AC374" s="60" t="b">
        <f t="shared" si="1"/>
        <v>1</v>
      </c>
      <c r="AD374" s="61" t="b">
        <v>0</v>
      </c>
      <c r="AE374" s="32" t="s">
        <v>235</v>
      </c>
      <c r="AF374" s="46"/>
      <c r="AG374" s="46"/>
      <c r="AH374" s="46"/>
      <c r="AI374" s="46"/>
      <c r="AJ374" s="46"/>
    </row>
    <row r="375" ht="22.5" customHeight="1">
      <c r="A375" s="27">
        <v>46222.0</v>
      </c>
      <c r="B375" s="34" t="str">
        <f t="array" ref="B375">TEXT(A375, "MM-YYYY")</f>
        <v>07-2026</v>
      </c>
      <c r="C375" s="20" t="s">
        <v>1163</v>
      </c>
      <c r="D375" s="199" t="s">
        <v>210</v>
      </c>
      <c r="E375" s="36" t="s">
        <v>213</v>
      </c>
      <c r="F375" s="37" t="s">
        <v>65</v>
      </c>
      <c r="G375" s="29" t="b">
        <v>1</v>
      </c>
      <c r="H375" s="36" t="s">
        <v>214</v>
      </c>
      <c r="I375" s="36" t="s">
        <v>215</v>
      </c>
      <c r="J375" s="29"/>
      <c r="K375" s="138"/>
      <c r="L375" s="37" t="s">
        <v>194</v>
      </c>
      <c r="M375" s="37" t="s">
        <v>194</v>
      </c>
      <c r="N375" s="37" t="s">
        <v>194</v>
      </c>
      <c r="O375" s="37" t="s">
        <v>194</v>
      </c>
      <c r="P375" s="37" t="s">
        <v>2271</v>
      </c>
      <c r="Q375" s="37" t="s">
        <v>2272</v>
      </c>
      <c r="R375" s="41">
        <v>46271.0</v>
      </c>
      <c r="S375" s="42">
        <v>0.0</v>
      </c>
      <c r="T375" s="44"/>
      <c r="U375" s="47" t="str">
        <f>IF(records[Type]="Room",records[roomNo],records[roomNo]&amp;"-"&amp;SUBSTITUTE(RIGHT(records[roomNo]&amp;records[Type],2),"-",""))</f>
        <v>10-3-068</v>
      </c>
      <c r="V375" s="47" t="str">
        <f t="array" ref="V375">_xlfn.XLOOKUP(records[ID], dAir[roomNo], dAir[roomName])</f>
        <v>BULK STAGING 1</v>
      </c>
      <c r="W375" s="47" t="str">
        <f t="array" ref="W375">_xlfn.XLOOKUP(records[ID], dAir[roomNo], dAir[building])</f>
        <v>Building 10</v>
      </c>
      <c r="X375" s="47" t="str">
        <f t="array" ref="X375">_xlfn.XLOOKUP(records[ID], dAir[roomNo], dAir[floor])</f>
        <v>Floor 3</v>
      </c>
      <c r="Y375" s="45" t="str">
        <f t="array" ref="Y375">_xlfn.XLOOKUP(records[ID], dAir[roomNo], dAir[Class])</f>
        <v>D</v>
      </c>
      <c r="Z375" s="45">
        <f t="array" ref="Z375">_xlfn.XLOOKUP(records[Method]&amp;"-"&amp;records[Class], dAirSpec[ID], dAirSpec[Spec])</f>
        <v>100</v>
      </c>
      <c r="AA375" s="45" t="str">
        <f t="array" ref="AA375">_xlfn.XLOOKUP(records[Method]&amp;"-"&amp;records[Class], dAirSpec[ID], dAirSpec[Unit])</f>
        <v>cfu/plate</v>
      </c>
      <c r="AB375" s="58">
        <f t="array" ref="AB375">if(S375="","", if(records[Method]="Active Air",_xlfn.xlookup(records[ColonyCount]&amp;records[AirSampler],feller[code],feller[Vc]),records[ColonyCount]))</f>
        <v>0</v>
      </c>
      <c r="AC375" s="60" t="b">
        <f t="shared" si="1"/>
        <v>1</v>
      </c>
      <c r="AD375" s="61" t="b">
        <v>0</v>
      </c>
      <c r="AE375" s="32" t="s">
        <v>235</v>
      </c>
      <c r="AF375" s="46"/>
      <c r="AG375" s="46"/>
      <c r="AH375" s="46"/>
      <c r="AI375" s="46"/>
      <c r="AJ375" s="46"/>
    </row>
    <row r="376" ht="22.5" customHeight="1">
      <c r="A376" s="27">
        <v>46222.0</v>
      </c>
      <c r="B376" s="34" t="str">
        <f t="array" ref="B376">TEXT(A376, "MM-YYYY")</f>
        <v>07-2026</v>
      </c>
      <c r="C376" s="20" t="s">
        <v>1164</v>
      </c>
      <c r="D376" s="199" t="s">
        <v>210</v>
      </c>
      <c r="E376" s="36" t="s">
        <v>213</v>
      </c>
      <c r="F376" s="37" t="s">
        <v>65</v>
      </c>
      <c r="G376" s="29" t="b">
        <v>1</v>
      </c>
      <c r="H376" s="36" t="s">
        <v>214</v>
      </c>
      <c r="I376" s="36" t="s">
        <v>215</v>
      </c>
      <c r="J376" s="29"/>
      <c r="K376" s="138"/>
      <c r="L376" s="37" t="s">
        <v>194</v>
      </c>
      <c r="M376" s="37" t="s">
        <v>194</v>
      </c>
      <c r="N376" s="37" t="s">
        <v>194</v>
      </c>
      <c r="O376" s="37" t="s">
        <v>194</v>
      </c>
      <c r="P376" s="37" t="s">
        <v>2271</v>
      </c>
      <c r="Q376" s="37" t="s">
        <v>2272</v>
      </c>
      <c r="R376" s="41">
        <v>46271.0</v>
      </c>
      <c r="S376" s="42">
        <v>0.0</v>
      </c>
      <c r="T376" s="44"/>
      <c r="U376" s="47" t="str">
        <f>IF(records[Type]="Room",records[roomNo],records[roomNo]&amp;"-"&amp;SUBSTITUTE(RIGHT(records[roomNo]&amp;records[Type],2),"-",""))</f>
        <v>10-3-069</v>
      </c>
      <c r="V376" s="47" t="str">
        <f t="array" ref="V376">_xlfn.XLOOKUP(records[ID], dAir[roomNo], dAir[roomName])</f>
        <v>AIRLOCK</v>
      </c>
      <c r="W376" s="47" t="str">
        <f t="array" ref="W376">_xlfn.XLOOKUP(records[ID], dAir[roomNo], dAir[building])</f>
        <v>Building 10</v>
      </c>
      <c r="X376" s="47" t="str">
        <f t="array" ref="X376">_xlfn.XLOOKUP(records[ID], dAir[roomNo], dAir[floor])</f>
        <v>Floor 3</v>
      </c>
      <c r="Y376" s="45" t="str">
        <f t="array" ref="Y376">_xlfn.XLOOKUP(records[ID], dAir[roomNo], dAir[Class])</f>
        <v>D</v>
      </c>
      <c r="Z376" s="45">
        <f t="array" ref="Z376">_xlfn.XLOOKUP(records[Method]&amp;"-"&amp;records[Class], dAirSpec[ID], dAirSpec[Spec])</f>
        <v>100</v>
      </c>
      <c r="AA376" s="45" t="str">
        <f t="array" ref="AA376">_xlfn.XLOOKUP(records[Method]&amp;"-"&amp;records[Class], dAirSpec[ID], dAirSpec[Unit])</f>
        <v>cfu/plate</v>
      </c>
      <c r="AB376" s="58">
        <f t="array" ref="AB376">if(S376="","", if(records[Method]="Active Air",_xlfn.xlookup(records[ColonyCount]&amp;records[AirSampler],feller[code],feller[Vc]),records[ColonyCount]))</f>
        <v>0</v>
      </c>
      <c r="AC376" s="60" t="b">
        <f t="shared" si="1"/>
        <v>1</v>
      </c>
      <c r="AD376" s="61" t="b">
        <v>0</v>
      </c>
      <c r="AE376" s="32" t="s">
        <v>235</v>
      </c>
      <c r="AF376" s="46"/>
      <c r="AG376" s="46"/>
      <c r="AH376" s="46"/>
      <c r="AI376" s="46"/>
      <c r="AJ376" s="46"/>
    </row>
    <row r="377" ht="22.5" customHeight="1">
      <c r="A377" s="27">
        <v>46222.0</v>
      </c>
      <c r="B377" s="34" t="str">
        <f t="array" ref="B377">TEXT(A377, "MM-YYYY")</f>
        <v>07-2026</v>
      </c>
      <c r="C377" s="20" t="s">
        <v>1165</v>
      </c>
      <c r="D377" s="199" t="s">
        <v>210</v>
      </c>
      <c r="E377" s="36" t="s">
        <v>213</v>
      </c>
      <c r="F377" s="37" t="s">
        <v>65</v>
      </c>
      <c r="G377" s="29" t="b">
        <v>1</v>
      </c>
      <c r="H377" s="36" t="s">
        <v>214</v>
      </c>
      <c r="I377" s="36" t="s">
        <v>215</v>
      </c>
      <c r="J377" s="29"/>
      <c r="K377" s="138"/>
      <c r="L377" s="37" t="s">
        <v>194</v>
      </c>
      <c r="M377" s="37" t="s">
        <v>194</v>
      </c>
      <c r="N377" s="37" t="s">
        <v>194</v>
      </c>
      <c r="O377" s="37" t="s">
        <v>194</v>
      </c>
      <c r="P377" s="37" t="s">
        <v>2271</v>
      </c>
      <c r="Q377" s="37" t="s">
        <v>2272</v>
      </c>
      <c r="R377" s="41">
        <v>46271.0</v>
      </c>
      <c r="S377" s="42">
        <v>0.0</v>
      </c>
      <c r="T377" s="44" t="s">
        <v>2332</v>
      </c>
      <c r="U377" s="47" t="str">
        <f>IF(records[Type]="Room",records[roomNo],records[roomNo]&amp;"-"&amp;SUBSTITUTE(RIGHT(records[roomNo]&amp;records[Type],2),"-",""))</f>
        <v>10-3-070</v>
      </c>
      <c r="V377" s="47" t="str">
        <f t="array" ref="V377">_xlfn.XLOOKUP(records[ID], dAir[roomNo], dAir[roomName])</f>
        <v>CORRIDOR</v>
      </c>
      <c r="W377" s="47" t="str">
        <f t="array" ref="W377">_xlfn.XLOOKUP(records[ID], dAir[roomNo], dAir[building])</f>
        <v>Building 10</v>
      </c>
      <c r="X377" s="47" t="str">
        <f t="array" ref="X377">_xlfn.XLOOKUP(records[ID], dAir[roomNo], dAir[floor])</f>
        <v>Floor 3</v>
      </c>
      <c r="Y377" s="45" t="str">
        <f t="array" ref="Y377">_xlfn.XLOOKUP(records[ID], dAir[roomNo], dAir[Class])</f>
        <v>D</v>
      </c>
      <c r="Z377" s="45">
        <f t="array" ref="Z377">_xlfn.XLOOKUP(records[Method]&amp;"-"&amp;records[Class], dAirSpec[ID], dAirSpec[Spec])</f>
        <v>100</v>
      </c>
      <c r="AA377" s="45" t="str">
        <f t="array" ref="AA377">_xlfn.XLOOKUP(records[Method]&amp;"-"&amp;records[Class], dAirSpec[ID], dAirSpec[Unit])</f>
        <v>cfu/plate</v>
      </c>
      <c r="AB377" s="58">
        <f t="array" ref="AB377">if(S377="","", if(records[Method]="Active Air",_xlfn.xlookup(records[ColonyCount]&amp;records[AirSampler],feller[code],feller[Vc]),records[ColonyCount]))</f>
        <v>0</v>
      </c>
      <c r="AC377" s="60" t="b">
        <f t="shared" si="1"/>
        <v>1</v>
      </c>
      <c r="AD377" s="61" t="b">
        <v>0</v>
      </c>
      <c r="AE377" s="32" t="s">
        <v>235</v>
      </c>
      <c r="AF377" s="46"/>
      <c r="AG377" s="46"/>
      <c r="AH377" s="46"/>
      <c r="AI377" s="46"/>
      <c r="AJ377" s="46"/>
    </row>
    <row r="378" ht="22.5" customHeight="1">
      <c r="A378" s="27">
        <v>46222.0</v>
      </c>
      <c r="B378" s="34" t="str">
        <f t="array" ref="B378">TEXT(A378, "MM-YYYY")</f>
        <v>07-2026</v>
      </c>
      <c r="C378" s="20" t="s">
        <v>1166</v>
      </c>
      <c r="D378" s="21" t="s">
        <v>210</v>
      </c>
      <c r="E378" s="36" t="s">
        <v>213</v>
      </c>
      <c r="F378" s="37" t="s">
        <v>65</v>
      </c>
      <c r="G378" s="29" t="b">
        <v>1</v>
      </c>
      <c r="H378" s="36" t="s">
        <v>214</v>
      </c>
      <c r="I378" s="36" t="s">
        <v>215</v>
      </c>
      <c r="J378" s="29"/>
      <c r="K378" s="138"/>
      <c r="L378" s="37" t="s">
        <v>194</v>
      </c>
      <c r="M378" s="37" t="s">
        <v>194</v>
      </c>
      <c r="N378" s="37" t="s">
        <v>194</v>
      </c>
      <c r="O378" s="37" t="s">
        <v>194</v>
      </c>
      <c r="P378" s="37" t="s">
        <v>2271</v>
      </c>
      <c r="Q378" s="37" t="s">
        <v>2272</v>
      </c>
      <c r="R378" s="41">
        <v>46271.0</v>
      </c>
      <c r="S378" s="42">
        <v>2.0</v>
      </c>
      <c r="T378" s="44"/>
      <c r="U378" s="47" t="str">
        <f>IF(records[Type]="Room",records[roomNo],records[roomNo]&amp;"-"&amp;SUBSTITUTE(RIGHT(records[roomNo]&amp;records[Type],2),"-",""))</f>
        <v>10-3-071</v>
      </c>
      <c r="V378" s="47" t="str">
        <f t="array" ref="V378">_xlfn.XLOOKUP(records[ID], dAir[roomNo], dAir[roomName])</f>
        <v>WEIGHING 3</v>
      </c>
      <c r="W378" s="47" t="str">
        <f t="array" ref="W378">_xlfn.XLOOKUP(records[ID], dAir[roomNo], dAir[building])</f>
        <v>Building 10</v>
      </c>
      <c r="X378" s="47" t="str">
        <f t="array" ref="X378">_xlfn.XLOOKUP(records[ID], dAir[roomNo], dAir[floor])</f>
        <v>Floor 3</v>
      </c>
      <c r="Y378" s="45" t="str">
        <f t="array" ref="Y378">_xlfn.XLOOKUP(records[ID], dAir[roomNo], dAir[Class])</f>
        <v>D</v>
      </c>
      <c r="Z378" s="45">
        <f t="array" ref="Z378">_xlfn.XLOOKUP(records[Method]&amp;"-"&amp;records[Class], dAirSpec[ID], dAirSpec[Spec])</f>
        <v>100</v>
      </c>
      <c r="AA378" s="45" t="str">
        <f t="array" ref="AA378">_xlfn.XLOOKUP(records[Method]&amp;"-"&amp;records[Class], dAirSpec[ID], dAirSpec[Unit])</f>
        <v>cfu/plate</v>
      </c>
      <c r="AB378" s="58">
        <f t="array" ref="AB378">if(S378="","", if(records[Method]="Active Air",_xlfn.xlookup(records[ColonyCount]&amp;records[AirSampler],feller[code],feller[Vc]),records[ColonyCount]))</f>
        <v>2</v>
      </c>
      <c r="AC378" s="60" t="b">
        <f t="shared" si="1"/>
        <v>1</v>
      </c>
      <c r="AD378" s="61" t="b">
        <v>0</v>
      </c>
      <c r="AE378" s="32" t="s">
        <v>235</v>
      </c>
      <c r="AF378" s="46"/>
      <c r="AG378" s="46"/>
      <c r="AH378" s="46"/>
      <c r="AI378" s="46"/>
      <c r="AJ378" s="46"/>
    </row>
    <row r="379" ht="22.5" customHeight="1">
      <c r="A379" s="27">
        <v>46222.0</v>
      </c>
      <c r="B379" s="34" t="str">
        <f t="array" ref="B379">TEXT(A379, "MM-YYYY")</f>
        <v>07-2026</v>
      </c>
      <c r="C379" s="20" t="s">
        <v>219</v>
      </c>
      <c r="D379" s="21" t="s">
        <v>210</v>
      </c>
      <c r="E379" s="36" t="s">
        <v>213</v>
      </c>
      <c r="F379" s="37" t="s">
        <v>65</v>
      </c>
      <c r="G379" s="29" t="b">
        <v>1</v>
      </c>
      <c r="H379" s="36" t="s">
        <v>214</v>
      </c>
      <c r="I379" s="36" t="s">
        <v>215</v>
      </c>
      <c r="J379" s="29"/>
      <c r="K379" s="138"/>
      <c r="L379" s="37" t="s">
        <v>194</v>
      </c>
      <c r="M379" s="37" t="s">
        <v>194</v>
      </c>
      <c r="N379" s="37" t="s">
        <v>194</v>
      </c>
      <c r="O379" s="37" t="s">
        <v>194</v>
      </c>
      <c r="P379" s="37" t="s">
        <v>2271</v>
      </c>
      <c r="Q379" s="37" t="s">
        <v>2272</v>
      </c>
      <c r="R379" s="41">
        <v>46271.0</v>
      </c>
      <c r="S379" s="42">
        <v>0.0</v>
      </c>
      <c r="T379" s="44"/>
      <c r="U379" s="47" t="str">
        <f>IF(records[Type]="Room",records[roomNo],records[roomNo]&amp;"-"&amp;SUBSTITUTE(RIGHT(records[roomNo]&amp;records[Type],2),"-",""))</f>
        <v>10-3-072</v>
      </c>
      <c r="V379" s="47" t="str">
        <f t="array" ref="V379">_xlfn.XLOOKUP(records[ID], dAir[roomNo], dAir[roomName])</f>
        <v>DRY GRANULATION 1 (ROLL COMPACTOR)</v>
      </c>
      <c r="W379" s="47" t="str">
        <f t="array" ref="W379">_xlfn.XLOOKUP(records[ID], dAir[roomNo], dAir[building])</f>
        <v>Building 10</v>
      </c>
      <c r="X379" s="47" t="str">
        <f t="array" ref="X379">_xlfn.XLOOKUP(records[ID], dAir[roomNo], dAir[floor])</f>
        <v>Floor 3</v>
      </c>
      <c r="Y379" s="45" t="str">
        <f t="array" ref="Y379">_xlfn.XLOOKUP(records[ID], dAir[roomNo], dAir[Class])</f>
        <v>D</v>
      </c>
      <c r="Z379" s="45">
        <f t="array" ref="Z379">_xlfn.XLOOKUP(records[Method]&amp;"-"&amp;records[Class], dAirSpec[ID], dAirSpec[Spec])</f>
        <v>100</v>
      </c>
      <c r="AA379" s="45" t="str">
        <f t="array" ref="AA379">_xlfn.XLOOKUP(records[Method]&amp;"-"&amp;records[Class], dAirSpec[ID], dAirSpec[Unit])</f>
        <v>cfu/plate</v>
      </c>
      <c r="AB379" s="58">
        <f t="array" ref="AB379">if(S379="","", if(records[Method]="Active Air",_xlfn.xlookup(records[ColonyCount]&amp;records[AirSampler],feller[code],feller[Vc]),records[ColonyCount]))</f>
        <v>0</v>
      </c>
      <c r="AC379" s="60" t="b">
        <f t="shared" si="1"/>
        <v>1</v>
      </c>
      <c r="AD379" s="61" t="b">
        <v>0</v>
      </c>
      <c r="AE379" s="32" t="s">
        <v>235</v>
      </c>
      <c r="AF379" s="46"/>
      <c r="AG379" s="46"/>
      <c r="AH379" s="46"/>
      <c r="AI379" s="46"/>
      <c r="AJ379" s="46"/>
    </row>
    <row r="380" ht="22.5" customHeight="1">
      <c r="A380" s="27">
        <v>46222.0</v>
      </c>
      <c r="B380" s="34" t="str">
        <f t="array" ref="B380">TEXT(A380, "MM-YYYY")</f>
        <v>07-2026</v>
      </c>
      <c r="C380" s="20" t="s">
        <v>228</v>
      </c>
      <c r="D380" s="21" t="s">
        <v>210</v>
      </c>
      <c r="E380" s="36" t="s">
        <v>213</v>
      </c>
      <c r="F380" s="37" t="s">
        <v>65</v>
      </c>
      <c r="G380" s="29" t="b">
        <v>1</v>
      </c>
      <c r="H380" s="36" t="s">
        <v>214</v>
      </c>
      <c r="I380" s="36" t="s">
        <v>215</v>
      </c>
      <c r="J380" s="29"/>
      <c r="K380" s="138"/>
      <c r="L380" s="37" t="s">
        <v>194</v>
      </c>
      <c r="M380" s="37" t="s">
        <v>194</v>
      </c>
      <c r="N380" s="37" t="s">
        <v>194</v>
      </c>
      <c r="O380" s="37" t="s">
        <v>194</v>
      </c>
      <c r="P380" s="37" t="s">
        <v>2271</v>
      </c>
      <c r="Q380" s="37" t="s">
        <v>2272</v>
      </c>
      <c r="R380" s="41">
        <v>46271.0</v>
      </c>
      <c r="S380" s="42">
        <v>0.0</v>
      </c>
      <c r="T380" s="44"/>
      <c r="U380" s="47" t="str">
        <f>IF(records[Type]="Room",records[roomNo],records[roomNo]&amp;"-"&amp;SUBSTITUTE(RIGHT(records[roomNo]&amp;records[Type],2),"-",""))</f>
        <v>10-3-073</v>
      </c>
      <c r="V380" s="47" t="str">
        <f t="array" ref="V380">_xlfn.XLOOKUP(records[ID], dAir[roomNo], dAir[roomName])</f>
        <v>DRY GRANULATION 2 (LOW RH) (ROLL COMPACTOR)</v>
      </c>
      <c r="W380" s="47" t="str">
        <f t="array" ref="W380">_xlfn.XLOOKUP(records[ID], dAir[roomNo], dAir[building])</f>
        <v>Building 10</v>
      </c>
      <c r="X380" s="47" t="str">
        <f t="array" ref="X380">_xlfn.XLOOKUP(records[ID], dAir[roomNo], dAir[floor])</f>
        <v>Floor 3</v>
      </c>
      <c r="Y380" s="45" t="str">
        <f t="array" ref="Y380">_xlfn.XLOOKUP(records[ID], dAir[roomNo], dAir[Class])</f>
        <v>D</v>
      </c>
      <c r="Z380" s="45">
        <f t="array" ref="Z380">_xlfn.XLOOKUP(records[Method]&amp;"-"&amp;records[Class], dAirSpec[ID], dAirSpec[Spec])</f>
        <v>100</v>
      </c>
      <c r="AA380" s="45" t="str">
        <f t="array" ref="AA380">_xlfn.XLOOKUP(records[Method]&amp;"-"&amp;records[Class], dAirSpec[ID], dAirSpec[Unit])</f>
        <v>cfu/plate</v>
      </c>
      <c r="AB380" s="58">
        <f t="array" ref="AB380">if(S380="","", if(records[Method]="Active Air",_xlfn.xlookup(records[ColonyCount]&amp;records[AirSampler],feller[code],feller[Vc]),records[ColonyCount]))</f>
        <v>0</v>
      </c>
      <c r="AC380" s="60" t="b">
        <f t="shared" si="1"/>
        <v>1</v>
      </c>
      <c r="AD380" s="61" t="b">
        <v>0</v>
      </c>
      <c r="AE380" s="32" t="s">
        <v>235</v>
      </c>
      <c r="AF380" s="46"/>
      <c r="AG380" s="46"/>
      <c r="AH380" s="46"/>
      <c r="AI380" s="46"/>
      <c r="AJ380" s="46"/>
    </row>
    <row r="381" ht="22.5" customHeight="1">
      <c r="A381" s="27">
        <v>46222.0</v>
      </c>
      <c r="B381" s="34" t="str">
        <f t="array" ref="B381">TEXT(A381, "MM-YYYY")</f>
        <v>07-2026</v>
      </c>
      <c r="C381" s="20" t="s">
        <v>236</v>
      </c>
      <c r="D381" s="21" t="s">
        <v>210</v>
      </c>
      <c r="E381" s="36" t="s">
        <v>213</v>
      </c>
      <c r="F381" s="37" t="s">
        <v>65</v>
      </c>
      <c r="G381" s="29" t="b">
        <v>1</v>
      </c>
      <c r="H381" s="36" t="s">
        <v>214</v>
      </c>
      <c r="I381" s="36" t="s">
        <v>215</v>
      </c>
      <c r="J381" s="29"/>
      <c r="K381" s="138"/>
      <c r="L381" s="37" t="s">
        <v>194</v>
      </c>
      <c r="M381" s="37" t="s">
        <v>194</v>
      </c>
      <c r="N381" s="37" t="s">
        <v>194</v>
      </c>
      <c r="O381" s="37" t="s">
        <v>194</v>
      </c>
      <c r="P381" s="37" t="s">
        <v>2271</v>
      </c>
      <c r="Q381" s="37" t="s">
        <v>2272</v>
      </c>
      <c r="R381" s="41">
        <v>46271.0</v>
      </c>
      <c r="S381" s="42">
        <v>0.0</v>
      </c>
      <c r="T381" s="44"/>
      <c r="U381" s="47" t="str">
        <f>IF(records[Type]="Room",records[roomNo],records[roomNo]&amp;"-"&amp;SUBSTITUTE(RIGHT(records[roomNo]&amp;records[Type],2),"-",""))</f>
        <v>10-3-074</v>
      </c>
      <c r="V381" s="47" t="str">
        <f t="array" ref="V381">_xlfn.XLOOKUP(records[ID], dAir[roomNo], dAir[roomName])</f>
        <v>DRY GRANULATION 3 (ROLL COMPACTOR)</v>
      </c>
      <c r="W381" s="47" t="str">
        <f t="array" ref="W381">_xlfn.XLOOKUP(records[ID], dAir[roomNo], dAir[building])</f>
        <v>Building 10</v>
      </c>
      <c r="X381" s="47" t="str">
        <f t="array" ref="X381">_xlfn.XLOOKUP(records[ID], dAir[roomNo], dAir[floor])</f>
        <v>Floor 3</v>
      </c>
      <c r="Y381" s="45" t="str">
        <f t="array" ref="Y381">_xlfn.XLOOKUP(records[ID], dAir[roomNo], dAir[Class])</f>
        <v>D</v>
      </c>
      <c r="Z381" s="45">
        <f t="array" ref="Z381">_xlfn.XLOOKUP(records[Method]&amp;"-"&amp;records[Class], dAirSpec[ID], dAirSpec[Spec])</f>
        <v>100</v>
      </c>
      <c r="AA381" s="45" t="str">
        <f t="array" ref="AA381">_xlfn.XLOOKUP(records[Method]&amp;"-"&amp;records[Class], dAirSpec[ID], dAirSpec[Unit])</f>
        <v>cfu/plate</v>
      </c>
      <c r="AB381" s="58">
        <f t="array" ref="AB381">if(S381="","", if(records[Method]="Active Air",_xlfn.xlookup(records[ColonyCount]&amp;records[AirSampler],feller[code],feller[Vc]),records[ColonyCount]))</f>
        <v>0</v>
      </c>
      <c r="AC381" s="60" t="b">
        <f t="shared" si="1"/>
        <v>1</v>
      </c>
      <c r="AD381" s="61" t="b">
        <v>0</v>
      </c>
      <c r="AE381" s="32" t="s">
        <v>235</v>
      </c>
      <c r="AF381" s="46"/>
      <c r="AG381" s="46"/>
      <c r="AH381" s="46"/>
      <c r="AI381" s="46"/>
      <c r="AJ381" s="46"/>
    </row>
    <row r="382" ht="22.5" customHeight="1">
      <c r="A382" s="27">
        <v>46222.0</v>
      </c>
      <c r="B382" s="34" t="str">
        <f t="array" ref="B382">TEXT(A382, "MM-YYYY")</f>
        <v>07-2026</v>
      </c>
      <c r="C382" s="20" t="s">
        <v>1168</v>
      </c>
      <c r="D382" s="21" t="s">
        <v>210</v>
      </c>
      <c r="E382" s="36" t="s">
        <v>213</v>
      </c>
      <c r="F382" s="37" t="s">
        <v>65</v>
      </c>
      <c r="G382" s="29" t="b">
        <v>1</v>
      </c>
      <c r="H382" s="36" t="s">
        <v>214</v>
      </c>
      <c r="I382" s="36" t="s">
        <v>215</v>
      </c>
      <c r="J382" s="29"/>
      <c r="K382" s="138"/>
      <c r="L382" s="37" t="s">
        <v>194</v>
      </c>
      <c r="M382" s="37" t="s">
        <v>194</v>
      </c>
      <c r="N382" s="37" t="s">
        <v>194</v>
      </c>
      <c r="O382" s="37" t="s">
        <v>194</v>
      </c>
      <c r="P382" s="37" t="s">
        <v>2271</v>
      </c>
      <c r="Q382" s="37" t="s">
        <v>2272</v>
      </c>
      <c r="R382" s="41">
        <v>46271.0</v>
      </c>
      <c r="S382" s="42">
        <v>0.0</v>
      </c>
      <c r="T382" s="44"/>
      <c r="U382" s="47" t="str">
        <f>IF(records[Type]="Room",records[roomNo],records[roomNo]&amp;"-"&amp;SUBSTITUTE(RIGHT(records[roomNo]&amp;records[Type],2),"-",""))</f>
        <v>10-3-075</v>
      </c>
      <c r="V382" s="47" t="str">
        <f t="array" ref="V382">_xlfn.XLOOKUP(records[ID], dAir[roomNo], dAir[roomName])</f>
        <v>TOOL STORAGE</v>
      </c>
      <c r="W382" s="47" t="str">
        <f t="array" ref="W382">_xlfn.XLOOKUP(records[ID], dAir[roomNo], dAir[building])</f>
        <v>Building 10</v>
      </c>
      <c r="X382" s="47" t="str">
        <f t="array" ref="X382">_xlfn.XLOOKUP(records[ID], dAir[roomNo], dAir[floor])</f>
        <v>Floor 3</v>
      </c>
      <c r="Y382" s="45" t="str">
        <f t="array" ref="Y382">_xlfn.XLOOKUP(records[ID], dAir[roomNo], dAir[Class])</f>
        <v>D</v>
      </c>
      <c r="Z382" s="45">
        <f t="array" ref="Z382">_xlfn.XLOOKUP(records[Method]&amp;"-"&amp;records[Class], dAirSpec[ID], dAirSpec[Spec])</f>
        <v>100</v>
      </c>
      <c r="AA382" s="45" t="str">
        <f t="array" ref="AA382">_xlfn.XLOOKUP(records[Method]&amp;"-"&amp;records[Class], dAirSpec[ID], dAirSpec[Unit])</f>
        <v>cfu/plate</v>
      </c>
      <c r="AB382" s="58">
        <f t="array" ref="AB382">if(S382="","", if(records[Method]="Active Air",_xlfn.xlookup(records[ColonyCount]&amp;records[AirSampler],feller[code],feller[Vc]),records[ColonyCount]))</f>
        <v>0</v>
      </c>
      <c r="AC382" s="60" t="b">
        <f t="shared" si="1"/>
        <v>1</v>
      </c>
      <c r="AD382" s="61" t="b">
        <v>0</v>
      </c>
      <c r="AE382" s="32" t="s">
        <v>235</v>
      </c>
      <c r="AF382" s="46"/>
      <c r="AG382" s="46"/>
      <c r="AH382" s="46"/>
      <c r="AI382" s="46"/>
      <c r="AJ382" s="46"/>
    </row>
    <row r="383" ht="22.5" customHeight="1">
      <c r="A383" s="27">
        <v>46222.0</v>
      </c>
      <c r="B383" s="34" t="str">
        <f t="array" ref="B383">TEXT(A383, "MM-YYYY")</f>
        <v>07-2026</v>
      </c>
      <c r="C383" s="20" t="s">
        <v>1170</v>
      </c>
      <c r="D383" s="21" t="s">
        <v>210</v>
      </c>
      <c r="E383" s="36" t="s">
        <v>213</v>
      </c>
      <c r="F383" s="37" t="s">
        <v>65</v>
      </c>
      <c r="G383" s="29" t="b">
        <v>1</v>
      </c>
      <c r="H383" s="36" t="s">
        <v>214</v>
      </c>
      <c r="I383" s="36" t="s">
        <v>215</v>
      </c>
      <c r="J383" s="29"/>
      <c r="K383" s="138"/>
      <c r="L383" s="37" t="s">
        <v>194</v>
      </c>
      <c r="M383" s="37" t="s">
        <v>194</v>
      </c>
      <c r="N383" s="37" t="s">
        <v>194</v>
      </c>
      <c r="O383" s="37" t="s">
        <v>194</v>
      </c>
      <c r="P383" s="37" t="s">
        <v>2271</v>
      </c>
      <c r="Q383" s="37" t="s">
        <v>2272</v>
      </c>
      <c r="R383" s="41">
        <v>46271.0</v>
      </c>
      <c r="S383" s="42">
        <v>0.0</v>
      </c>
      <c r="T383" s="44"/>
      <c r="U383" s="47" t="str">
        <f>IF(records[Type]="Room",records[roomNo],records[roomNo]&amp;"-"&amp;SUBSTITUTE(RIGHT(records[roomNo]&amp;records[Type],2),"-",""))</f>
        <v>10-3-076</v>
      </c>
      <c r="V383" s="47" t="str">
        <f t="array" ref="V383">_xlfn.XLOOKUP(records[ID], dAir[roomNo], dAir[roomName])</f>
        <v>AIRLOCK</v>
      </c>
      <c r="W383" s="47" t="str">
        <f t="array" ref="W383">_xlfn.XLOOKUP(records[ID], dAir[roomNo], dAir[building])</f>
        <v>Building 10</v>
      </c>
      <c r="X383" s="47" t="str">
        <f t="array" ref="X383">_xlfn.XLOOKUP(records[ID], dAir[roomNo], dAir[floor])</f>
        <v>Floor 3</v>
      </c>
      <c r="Y383" s="45" t="str">
        <f t="array" ref="Y383">_xlfn.XLOOKUP(records[ID], dAir[roomNo], dAir[Class])</f>
        <v>D</v>
      </c>
      <c r="Z383" s="45">
        <f t="array" ref="Z383">_xlfn.XLOOKUP(records[Method]&amp;"-"&amp;records[Class], dAirSpec[ID], dAirSpec[Spec])</f>
        <v>100</v>
      </c>
      <c r="AA383" s="45" t="str">
        <f t="array" ref="AA383">_xlfn.XLOOKUP(records[Method]&amp;"-"&amp;records[Class], dAirSpec[ID], dAirSpec[Unit])</f>
        <v>cfu/plate</v>
      </c>
      <c r="AB383" s="58">
        <f t="array" ref="AB383">if(S383="","", if(records[Method]="Active Air",_xlfn.xlookup(records[ColonyCount]&amp;records[AirSampler],feller[code],feller[Vc]),records[ColonyCount]))</f>
        <v>0</v>
      </c>
      <c r="AC383" s="60" t="b">
        <f t="shared" si="1"/>
        <v>1</v>
      </c>
      <c r="AD383" s="61" t="b">
        <v>0</v>
      </c>
      <c r="AE383" s="32" t="s">
        <v>235</v>
      </c>
      <c r="AF383" s="46"/>
      <c r="AG383" s="46"/>
      <c r="AH383" s="46"/>
      <c r="AI383" s="46"/>
      <c r="AJ383" s="46"/>
    </row>
    <row r="384" ht="22.5" customHeight="1">
      <c r="A384" s="27">
        <v>46222.0</v>
      </c>
      <c r="B384" s="34" t="str">
        <f t="array" ref="B384">TEXT(A384, "MM-YYYY")</f>
        <v>07-2026</v>
      </c>
      <c r="C384" s="20" t="s">
        <v>1171</v>
      </c>
      <c r="D384" s="21" t="s">
        <v>210</v>
      </c>
      <c r="E384" s="36" t="s">
        <v>213</v>
      </c>
      <c r="F384" s="37" t="s">
        <v>65</v>
      </c>
      <c r="G384" s="29" t="b">
        <v>1</v>
      </c>
      <c r="H384" s="36" t="s">
        <v>214</v>
      </c>
      <c r="I384" s="36" t="s">
        <v>215</v>
      </c>
      <c r="J384" s="29"/>
      <c r="K384" s="138"/>
      <c r="L384" s="37" t="s">
        <v>194</v>
      </c>
      <c r="M384" s="37" t="s">
        <v>194</v>
      </c>
      <c r="N384" s="37" t="s">
        <v>194</v>
      </c>
      <c r="O384" s="37" t="s">
        <v>194</v>
      </c>
      <c r="P384" s="37" t="s">
        <v>2271</v>
      </c>
      <c r="Q384" s="37" t="s">
        <v>2272</v>
      </c>
      <c r="R384" s="41">
        <v>46271.0</v>
      </c>
      <c r="S384" s="42">
        <v>0.0</v>
      </c>
      <c r="T384" s="44"/>
      <c r="U384" s="47" t="str">
        <f>IF(records[Type]="Room",records[roomNo],records[roomNo]&amp;"-"&amp;SUBSTITUTE(RIGHT(records[roomNo]&amp;records[Type],2),"-",""))</f>
        <v>10-3-077</v>
      </c>
      <c r="V384" s="47" t="str">
        <f t="array" ref="V384">_xlfn.XLOOKUP(records[ID], dAir[roomNo], dAir[roomName])</f>
        <v>USED EQUIPMENT</v>
      </c>
      <c r="W384" s="47" t="str">
        <f t="array" ref="W384">_xlfn.XLOOKUP(records[ID], dAir[roomNo], dAir[building])</f>
        <v>Building 10</v>
      </c>
      <c r="X384" s="47" t="str">
        <f t="array" ref="X384">_xlfn.XLOOKUP(records[ID], dAir[roomNo], dAir[floor])</f>
        <v>Floor 3</v>
      </c>
      <c r="Y384" s="45" t="str">
        <f t="array" ref="Y384">_xlfn.XLOOKUP(records[ID], dAir[roomNo], dAir[Class])</f>
        <v>D</v>
      </c>
      <c r="Z384" s="45">
        <f t="array" ref="Z384">_xlfn.XLOOKUP(records[Method]&amp;"-"&amp;records[Class], dAirSpec[ID], dAirSpec[Spec])</f>
        <v>100</v>
      </c>
      <c r="AA384" s="45" t="str">
        <f t="array" ref="AA384">_xlfn.XLOOKUP(records[Method]&amp;"-"&amp;records[Class], dAirSpec[ID], dAirSpec[Unit])</f>
        <v>cfu/plate</v>
      </c>
      <c r="AB384" s="58">
        <f t="array" ref="AB384">if(S384="","", if(records[Method]="Active Air",_xlfn.xlookup(records[ColonyCount]&amp;records[AirSampler],feller[code],feller[Vc]),records[ColonyCount]))</f>
        <v>0</v>
      </c>
      <c r="AC384" s="60" t="b">
        <f t="shared" si="1"/>
        <v>1</v>
      </c>
      <c r="AD384" s="61" t="b">
        <v>0</v>
      </c>
      <c r="AE384" s="32" t="s">
        <v>235</v>
      </c>
      <c r="AF384" s="46"/>
      <c r="AG384" s="46"/>
      <c r="AH384" s="46"/>
      <c r="AI384" s="46"/>
      <c r="AJ384" s="46"/>
    </row>
    <row r="385" ht="22.5" customHeight="1">
      <c r="A385" s="27">
        <v>46222.0</v>
      </c>
      <c r="B385" s="34" t="str">
        <f t="array" ref="B385">TEXT(A385, "MM-YYYY")</f>
        <v>07-2026</v>
      </c>
      <c r="C385" s="20" t="s">
        <v>1172</v>
      </c>
      <c r="D385" s="21" t="s">
        <v>210</v>
      </c>
      <c r="E385" s="36" t="s">
        <v>213</v>
      </c>
      <c r="F385" s="37" t="s">
        <v>65</v>
      </c>
      <c r="G385" s="29" t="b">
        <v>1</v>
      </c>
      <c r="H385" s="36" t="s">
        <v>214</v>
      </c>
      <c r="I385" s="36" t="s">
        <v>215</v>
      </c>
      <c r="J385" s="29"/>
      <c r="K385" s="138"/>
      <c r="L385" s="37" t="s">
        <v>194</v>
      </c>
      <c r="M385" s="37" t="s">
        <v>194</v>
      </c>
      <c r="N385" s="37" t="s">
        <v>194</v>
      </c>
      <c r="O385" s="37" t="s">
        <v>194</v>
      </c>
      <c r="P385" s="37" t="s">
        <v>2271</v>
      </c>
      <c r="Q385" s="37" t="s">
        <v>2272</v>
      </c>
      <c r="R385" s="41">
        <v>46271.0</v>
      </c>
      <c r="S385" s="42">
        <v>0.0</v>
      </c>
      <c r="T385" s="44"/>
      <c r="U385" s="47" t="str">
        <f>IF(records[Type]="Room",records[roomNo],records[roomNo]&amp;"-"&amp;SUBSTITUTE(RIGHT(records[roomNo]&amp;records[Type],2),"-",""))</f>
        <v>10-3-078</v>
      </c>
      <c r="V385" s="47" t="str">
        <f t="array" ref="V385">_xlfn.XLOOKUP(records[ID], dAir[roomNo], dAir[roomName])</f>
        <v>WASHING</v>
      </c>
      <c r="W385" s="47" t="str">
        <f t="array" ref="W385">_xlfn.XLOOKUP(records[ID], dAir[roomNo], dAir[building])</f>
        <v>Building 10</v>
      </c>
      <c r="X385" s="47" t="str">
        <f t="array" ref="X385">_xlfn.XLOOKUP(records[ID], dAir[roomNo], dAir[floor])</f>
        <v>Floor 3</v>
      </c>
      <c r="Y385" s="45" t="str">
        <f t="array" ref="Y385">_xlfn.XLOOKUP(records[ID], dAir[roomNo], dAir[Class])</f>
        <v>D</v>
      </c>
      <c r="Z385" s="45">
        <f t="array" ref="Z385">_xlfn.XLOOKUP(records[Method]&amp;"-"&amp;records[Class], dAirSpec[ID], dAirSpec[Spec])</f>
        <v>100</v>
      </c>
      <c r="AA385" s="45" t="str">
        <f t="array" ref="AA385">_xlfn.XLOOKUP(records[Method]&amp;"-"&amp;records[Class], dAirSpec[ID], dAirSpec[Unit])</f>
        <v>cfu/plate</v>
      </c>
      <c r="AB385" s="58">
        <f t="array" ref="AB385">if(S385="","", if(records[Method]="Active Air",_xlfn.xlookup(records[ColonyCount]&amp;records[AirSampler],feller[code],feller[Vc]),records[ColonyCount]))</f>
        <v>0</v>
      </c>
      <c r="AC385" s="60" t="b">
        <f t="shared" si="1"/>
        <v>1</v>
      </c>
      <c r="AD385" s="61" t="b">
        <v>0</v>
      </c>
      <c r="AE385" s="32" t="s">
        <v>235</v>
      </c>
      <c r="AF385" s="46"/>
      <c r="AG385" s="46"/>
      <c r="AH385" s="46"/>
      <c r="AI385" s="46"/>
      <c r="AJ385" s="46"/>
    </row>
    <row r="386" ht="22.5" customHeight="1">
      <c r="A386" s="27">
        <v>46222.0</v>
      </c>
      <c r="B386" s="34" t="str">
        <f t="array" ref="B386">TEXT(A386, "MM-YYYY")</f>
        <v>07-2026</v>
      </c>
      <c r="C386" s="20" t="s">
        <v>243</v>
      </c>
      <c r="D386" s="21" t="s">
        <v>210</v>
      </c>
      <c r="E386" s="36" t="s">
        <v>213</v>
      </c>
      <c r="F386" s="37" t="s">
        <v>65</v>
      </c>
      <c r="G386" s="29" t="b">
        <v>1</v>
      </c>
      <c r="H386" s="36" t="s">
        <v>214</v>
      </c>
      <c r="I386" s="36" t="s">
        <v>215</v>
      </c>
      <c r="J386" s="29"/>
      <c r="K386" s="138"/>
      <c r="L386" s="37" t="s">
        <v>194</v>
      </c>
      <c r="M386" s="37" t="s">
        <v>194</v>
      </c>
      <c r="N386" s="37" t="s">
        <v>194</v>
      </c>
      <c r="O386" s="37" t="s">
        <v>194</v>
      </c>
      <c r="P386" s="37" t="s">
        <v>2271</v>
      </c>
      <c r="Q386" s="37" t="s">
        <v>2272</v>
      </c>
      <c r="R386" s="41">
        <v>46271.0</v>
      </c>
      <c r="S386" s="42">
        <v>0.0</v>
      </c>
      <c r="T386" s="44"/>
      <c r="U386" s="47" t="str">
        <f>IF(records[Type]="Room",records[roomNo],records[roomNo]&amp;"-"&amp;SUBSTITUTE(RIGHT(records[roomNo]&amp;records[Type],2),"-",""))</f>
        <v>10-3-079</v>
      </c>
      <c r="V386" s="47" t="str">
        <f t="array" ref="V386">_xlfn.XLOOKUP(records[ID], dAir[roomNo], dAir[roomName])</f>
        <v>DRYING</v>
      </c>
      <c r="W386" s="47" t="str">
        <f t="array" ref="W386">_xlfn.XLOOKUP(records[ID], dAir[roomNo], dAir[building])</f>
        <v>Building 10</v>
      </c>
      <c r="X386" s="47" t="str">
        <f t="array" ref="X386">_xlfn.XLOOKUP(records[ID], dAir[roomNo], dAir[floor])</f>
        <v>Floor 3</v>
      </c>
      <c r="Y386" s="45" t="str">
        <f t="array" ref="Y386">_xlfn.XLOOKUP(records[ID], dAir[roomNo], dAir[Class])</f>
        <v>D</v>
      </c>
      <c r="Z386" s="45">
        <f t="array" ref="Z386">_xlfn.XLOOKUP(records[Method]&amp;"-"&amp;records[Class], dAirSpec[ID], dAirSpec[Spec])</f>
        <v>100</v>
      </c>
      <c r="AA386" s="45" t="str">
        <f t="array" ref="AA386">_xlfn.XLOOKUP(records[Method]&amp;"-"&amp;records[Class], dAirSpec[ID], dAirSpec[Unit])</f>
        <v>cfu/plate</v>
      </c>
      <c r="AB386" s="58">
        <f t="array" ref="AB386">if(S386="","", if(records[Method]="Active Air",_xlfn.xlookup(records[ColonyCount]&amp;records[AirSampler],feller[code],feller[Vc]),records[ColonyCount]))</f>
        <v>0</v>
      </c>
      <c r="AC386" s="60" t="b">
        <f t="shared" si="1"/>
        <v>1</v>
      </c>
      <c r="AD386" s="61" t="b">
        <v>0</v>
      </c>
      <c r="AE386" s="32" t="s">
        <v>235</v>
      </c>
      <c r="AF386" s="46"/>
      <c r="AG386" s="46"/>
      <c r="AH386" s="46"/>
      <c r="AI386" s="46"/>
      <c r="AJ386" s="46"/>
    </row>
    <row r="387" ht="22.5" customHeight="1">
      <c r="A387" s="27">
        <v>46222.0</v>
      </c>
      <c r="B387" s="34" t="str">
        <f t="array" ref="B387">TEXT(A387, "MM-YYYY")</f>
        <v>07-2026</v>
      </c>
      <c r="C387" s="20" t="s">
        <v>1173</v>
      </c>
      <c r="D387" s="21" t="s">
        <v>210</v>
      </c>
      <c r="E387" s="36" t="s">
        <v>213</v>
      </c>
      <c r="F387" s="37" t="s">
        <v>65</v>
      </c>
      <c r="G387" s="29" t="b">
        <v>1</v>
      </c>
      <c r="H387" s="36" t="s">
        <v>214</v>
      </c>
      <c r="I387" s="36" t="s">
        <v>215</v>
      </c>
      <c r="J387" s="29"/>
      <c r="K387" s="138"/>
      <c r="L387" s="37" t="s">
        <v>194</v>
      </c>
      <c r="M387" s="37" t="s">
        <v>194</v>
      </c>
      <c r="N387" s="37" t="s">
        <v>194</v>
      </c>
      <c r="O387" s="37" t="s">
        <v>194</v>
      </c>
      <c r="P387" s="37" t="s">
        <v>2271</v>
      </c>
      <c r="Q387" s="37" t="s">
        <v>2272</v>
      </c>
      <c r="R387" s="41">
        <v>46271.0</v>
      </c>
      <c r="S387" s="42">
        <v>1.0</v>
      </c>
      <c r="T387" s="44"/>
      <c r="U387" s="47" t="str">
        <f>IF(records[Type]="Room",records[roomNo],records[roomNo]&amp;"-"&amp;SUBSTITUTE(RIGHT(records[roomNo]&amp;records[Type],2),"-",""))</f>
        <v>10-3-080</v>
      </c>
      <c r="V387" s="47" t="str">
        <f t="array" ref="V387">_xlfn.XLOOKUP(records[ID], dAir[roomNo], dAir[roomName])</f>
        <v>CLEANED EQUIPMENT</v>
      </c>
      <c r="W387" s="47" t="str">
        <f t="array" ref="W387">_xlfn.XLOOKUP(records[ID], dAir[roomNo], dAir[building])</f>
        <v>Building 10</v>
      </c>
      <c r="X387" s="47" t="str">
        <f t="array" ref="X387">_xlfn.XLOOKUP(records[ID], dAir[roomNo], dAir[floor])</f>
        <v>Floor 3</v>
      </c>
      <c r="Y387" s="45" t="str">
        <f t="array" ref="Y387">_xlfn.XLOOKUP(records[ID], dAir[roomNo], dAir[Class])</f>
        <v>D</v>
      </c>
      <c r="Z387" s="45">
        <f t="array" ref="Z387">_xlfn.XLOOKUP(records[Method]&amp;"-"&amp;records[Class], dAirSpec[ID], dAirSpec[Spec])</f>
        <v>100</v>
      </c>
      <c r="AA387" s="45" t="str">
        <f t="array" ref="AA387">_xlfn.XLOOKUP(records[Method]&amp;"-"&amp;records[Class], dAirSpec[ID], dAirSpec[Unit])</f>
        <v>cfu/plate</v>
      </c>
      <c r="AB387" s="58">
        <f t="array" ref="AB387">if(S387="","", if(records[Method]="Active Air",_xlfn.xlookup(records[ColonyCount]&amp;records[AirSampler],feller[code],feller[Vc]),records[ColonyCount]))</f>
        <v>1</v>
      </c>
      <c r="AC387" s="60" t="b">
        <f t="shared" si="1"/>
        <v>1</v>
      </c>
      <c r="AD387" s="61" t="b">
        <v>0</v>
      </c>
      <c r="AE387" s="32" t="s">
        <v>235</v>
      </c>
      <c r="AF387" s="46"/>
      <c r="AG387" s="46"/>
      <c r="AH387" s="46"/>
      <c r="AI387" s="46"/>
      <c r="AJ387" s="46"/>
    </row>
    <row r="388" ht="22.5" customHeight="1">
      <c r="A388" s="27">
        <v>46222.0</v>
      </c>
      <c r="B388" s="34" t="str">
        <f t="array" ref="B388">TEXT(A388, "MM-YYYY")</f>
        <v>07-2026</v>
      </c>
      <c r="C388" s="20" t="s">
        <v>1175</v>
      </c>
      <c r="D388" s="21" t="s">
        <v>210</v>
      </c>
      <c r="E388" s="36" t="s">
        <v>213</v>
      </c>
      <c r="F388" s="37" t="s">
        <v>65</v>
      </c>
      <c r="G388" s="29" t="b">
        <v>1</v>
      </c>
      <c r="H388" s="36" t="s">
        <v>214</v>
      </c>
      <c r="I388" s="36" t="s">
        <v>215</v>
      </c>
      <c r="J388" s="29"/>
      <c r="K388" s="138"/>
      <c r="L388" s="37" t="s">
        <v>194</v>
      </c>
      <c r="M388" s="37" t="s">
        <v>194</v>
      </c>
      <c r="N388" s="37" t="s">
        <v>194</v>
      </c>
      <c r="O388" s="37" t="s">
        <v>194</v>
      </c>
      <c r="P388" s="37" t="s">
        <v>2271</v>
      </c>
      <c r="Q388" s="37" t="s">
        <v>2272</v>
      </c>
      <c r="R388" s="41">
        <v>46271.0</v>
      </c>
      <c r="S388" s="42">
        <v>1.0</v>
      </c>
      <c r="T388" s="44"/>
      <c r="U388" s="47" t="str">
        <f>IF(records[Type]="Room",records[roomNo],records[roomNo]&amp;"-"&amp;SUBSTITUTE(RIGHT(records[roomNo]&amp;records[Type],2),"-",""))</f>
        <v>10-3-081</v>
      </c>
      <c r="V388" s="47" t="str">
        <f t="array" ref="V388">_xlfn.XLOOKUP(records[ID], dAir[roomNo], dAir[roomName])</f>
        <v>JANITOR</v>
      </c>
      <c r="W388" s="47" t="str">
        <f t="array" ref="W388">_xlfn.XLOOKUP(records[ID], dAir[roomNo], dAir[building])</f>
        <v>Building 10</v>
      </c>
      <c r="X388" s="47" t="str">
        <f t="array" ref="X388">_xlfn.XLOOKUP(records[ID], dAir[roomNo], dAir[floor])</f>
        <v>Floor 3</v>
      </c>
      <c r="Y388" s="45" t="str">
        <f t="array" ref="Y388">_xlfn.XLOOKUP(records[ID], dAir[roomNo], dAir[Class])</f>
        <v>D</v>
      </c>
      <c r="Z388" s="45">
        <f t="array" ref="Z388">_xlfn.XLOOKUP(records[Method]&amp;"-"&amp;records[Class], dAirSpec[ID], dAirSpec[Spec])</f>
        <v>100</v>
      </c>
      <c r="AA388" s="45" t="str">
        <f t="array" ref="AA388">_xlfn.XLOOKUP(records[Method]&amp;"-"&amp;records[Class], dAirSpec[ID], dAirSpec[Unit])</f>
        <v>cfu/plate</v>
      </c>
      <c r="AB388" s="58">
        <f t="array" ref="AB388">if(S388="","", if(records[Method]="Active Air",_xlfn.xlookup(records[ColonyCount]&amp;records[AirSampler],feller[code],feller[Vc]),records[ColonyCount]))</f>
        <v>1</v>
      </c>
      <c r="AC388" s="60" t="b">
        <f t="shared" si="1"/>
        <v>1</v>
      </c>
      <c r="AD388" s="61" t="b">
        <v>0</v>
      </c>
      <c r="AE388" s="32" t="s">
        <v>235</v>
      </c>
      <c r="AF388" s="46"/>
      <c r="AG388" s="46"/>
      <c r="AH388" s="46"/>
      <c r="AI388" s="46"/>
      <c r="AJ388" s="46"/>
    </row>
    <row r="389" ht="22.5" customHeight="1">
      <c r="A389" s="27">
        <v>46222.0</v>
      </c>
      <c r="B389" s="34" t="str">
        <f t="array" ref="B389">TEXT(A389, "MM-YYYY")</f>
        <v>07-2026</v>
      </c>
      <c r="C389" s="20" t="s">
        <v>1176</v>
      </c>
      <c r="D389" s="21" t="s">
        <v>210</v>
      </c>
      <c r="E389" s="36" t="s">
        <v>213</v>
      </c>
      <c r="F389" s="37" t="s">
        <v>65</v>
      </c>
      <c r="G389" s="29" t="b">
        <v>1</v>
      </c>
      <c r="H389" s="36" t="s">
        <v>214</v>
      </c>
      <c r="I389" s="36" t="s">
        <v>215</v>
      </c>
      <c r="J389" s="29"/>
      <c r="K389" s="138"/>
      <c r="L389" s="37" t="s">
        <v>194</v>
      </c>
      <c r="M389" s="37" t="s">
        <v>194</v>
      </c>
      <c r="N389" s="37" t="s">
        <v>194</v>
      </c>
      <c r="O389" s="37" t="s">
        <v>194</v>
      </c>
      <c r="P389" s="37" t="s">
        <v>2271</v>
      </c>
      <c r="Q389" s="37" t="s">
        <v>2272</v>
      </c>
      <c r="R389" s="41">
        <v>46271.0</v>
      </c>
      <c r="S389" s="42">
        <v>0.0</v>
      </c>
      <c r="T389" s="44"/>
      <c r="U389" s="47" t="str">
        <f>IF(records[Type]="Room",records[roomNo],records[roomNo]&amp;"-"&amp;SUBSTITUTE(RIGHT(records[roomNo]&amp;records[Type],2),"-",""))</f>
        <v>10-3-082</v>
      </c>
      <c r="V389" s="47" t="str">
        <f t="array" ref="V389">_xlfn.XLOOKUP(records[ID], dAir[roomNo], dAir[roomName])</f>
        <v>AIRLOCK</v>
      </c>
      <c r="W389" s="47" t="str">
        <f t="array" ref="W389">_xlfn.XLOOKUP(records[ID], dAir[roomNo], dAir[building])</f>
        <v>Building 10</v>
      </c>
      <c r="X389" s="47" t="str">
        <f t="array" ref="X389">_xlfn.XLOOKUP(records[ID], dAir[roomNo], dAir[floor])</f>
        <v>Floor 3</v>
      </c>
      <c r="Y389" s="45" t="str">
        <f t="array" ref="Y389">_xlfn.XLOOKUP(records[ID], dAir[roomNo], dAir[Class])</f>
        <v>D</v>
      </c>
      <c r="Z389" s="45">
        <f t="array" ref="Z389">_xlfn.XLOOKUP(records[Method]&amp;"-"&amp;records[Class], dAirSpec[ID], dAirSpec[Spec])</f>
        <v>100</v>
      </c>
      <c r="AA389" s="45" t="str">
        <f t="array" ref="AA389">_xlfn.XLOOKUP(records[Method]&amp;"-"&amp;records[Class], dAirSpec[ID], dAirSpec[Unit])</f>
        <v>cfu/plate</v>
      </c>
      <c r="AB389" s="58">
        <f t="array" ref="AB389">if(S389="","", if(records[Method]="Active Air",_xlfn.xlookup(records[ColonyCount]&amp;records[AirSampler],feller[code],feller[Vc]),records[ColonyCount]))</f>
        <v>0</v>
      </c>
      <c r="AC389" s="60" t="b">
        <f t="shared" si="1"/>
        <v>1</v>
      </c>
      <c r="AD389" s="61" t="b">
        <v>0</v>
      </c>
      <c r="AE389" s="32" t="s">
        <v>235</v>
      </c>
      <c r="AF389" s="46"/>
      <c r="AG389" s="46"/>
      <c r="AH389" s="46"/>
      <c r="AI389" s="46"/>
      <c r="AJ389" s="46"/>
    </row>
    <row r="390" ht="22.5" customHeight="1">
      <c r="A390" s="27">
        <v>46222.0</v>
      </c>
      <c r="B390" s="34" t="str">
        <f t="array" ref="B390">TEXT(A390, "MM-YYYY")</f>
        <v>07-2026</v>
      </c>
      <c r="C390" s="20" t="s">
        <v>1177</v>
      </c>
      <c r="D390" s="21" t="s">
        <v>210</v>
      </c>
      <c r="E390" s="36" t="s">
        <v>213</v>
      </c>
      <c r="F390" s="37" t="s">
        <v>65</v>
      </c>
      <c r="G390" s="29" t="b">
        <v>1</v>
      </c>
      <c r="H390" s="36" t="s">
        <v>214</v>
      </c>
      <c r="I390" s="36" t="s">
        <v>215</v>
      </c>
      <c r="J390" s="29"/>
      <c r="K390" s="138"/>
      <c r="L390" s="37" t="s">
        <v>194</v>
      </c>
      <c r="M390" s="37" t="s">
        <v>194</v>
      </c>
      <c r="N390" s="37" t="s">
        <v>194</v>
      </c>
      <c r="O390" s="37" t="s">
        <v>194</v>
      </c>
      <c r="P390" s="37" t="s">
        <v>2271</v>
      </c>
      <c r="Q390" s="37" t="s">
        <v>2272</v>
      </c>
      <c r="R390" s="41">
        <v>46271.0</v>
      </c>
      <c r="S390" s="42">
        <v>0.0</v>
      </c>
      <c r="T390" s="44" t="s">
        <v>2340</v>
      </c>
      <c r="U390" s="47" t="str">
        <f>IF(records[Type]="Room",records[roomNo],records[roomNo]&amp;"-"&amp;SUBSTITUTE(RIGHT(records[roomNo]&amp;records[Type],2),"-",""))</f>
        <v>10-3-083</v>
      </c>
      <c r="V390" s="47" t="str">
        <f t="array" ref="V390">_xlfn.XLOOKUP(records[ID], dAir[roomNo], dAir[roomName])</f>
        <v>CORRIDOR</v>
      </c>
      <c r="W390" s="47" t="str">
        <f t="array" ref="W390">_xlfn.XLOOKUP(records[ID], dAir[roomNo], dAir[building])</f>
        <v>Building 10</v>
      </c>
      <c r="X390" s="47" t="str">
        <f t="array" ref="X390">_xlfn.XLOOKUP(records[ID], dAir[roomNo], dAir[floor])</f>
        <v>Floor 3</v>
      </c>
      <c r="Y390" s="45" t="str">
        <f t="array" ref="Y390">_xlfn.XLOOKUP(records[ID], dAir[roomNo], dAir[Class])</f>
        <v>D</v>
      </c>
      <c r="Z390" s="45">
        <f t="array" ref="Z390">_xlfn.XLOOKUP(records[Method]&amp;"-"&amp;records[Class], dAirSpec[ID], dAirSpec[Spec])</f>
        <v>100</v>
      </c>
      <c r="AA390" s="45" t="str">
        <f t="array" ref="AA390">_xlfn.XLOOKUP(records[Method]&amp;"-"&amp;records[Class], dAirSpec[ID], dAirSpec[Unit])</f>
        <v>cfu/plate</v>
      </c>
      <c r="AB390" s="58">
        <f t="array" ref="AB390">if(S390="","", if(records[Method]="Active Air",_xlfn.xlookup(records[ColonyCount]&amp;records[AirSampler],feller[code],feller[Vc]),records[ColonyCount]))</f>
        <v>0</v>
      </c>
      <c r="AC390" s="60" t="b">
        <f t="shared" si="1"/>
        <v>1</v>
      </c>
      <c r="AD390" s="61" t="b">
        <v>0</v>
      </c>
      <c r="AE390" s="32" t="s">
        <v>235</v>
      </c>
      <c r="AF390" s="46"/>
      <c r="AG390" s="46"/>
      <c r="AH390" s="46"/>
      <c r="AI390" s="46"/>
      <c r="AJ390" s="46"/>
    </row>
    <row r="391" ht="22.5" customHeight="1">
      <c r="A391" s="27">
        <v>46222.0</v>
      </c>
      <c r="B391" s="34" t="str">
        <f t="array" ref="B391">TEXT(A391, "MM-YYYY")</f>
        <v>07-2026</v>
      </c>
      <c r="C391" s="20" t="s">
        <v>1178</v>
      </c>
      <c r="D391" s="21" t="s">
        <v>210</v>
      </c>
      <c r="E391" s="36" t="s">
        <v>213</v>
      </c>
      <c r="F391" s="37" t="s">
        <v>65</v>
      </c>
      <c r="G391" s="29" t="b">
        <v>1</v>
      </c>
      <c r="H391" s="36" t="s">
        <v>214</v>
      </c>
      <c r="I391" s="36" t="s">
        <v>215</v>
      </c>
      <c r="J391" s="29"/>
      <c r="K391" s="138"/>
      <c r="L391" s="37" t="s">
        <v>194</v>
      </c>
      <c r="M391" s="37" t="s">
        <v>194</v>
      </c>
      <c r="N391" s="37" t="s">
        <v>194</v>
      </c>
      <c r="O391" s="37" t="s">
        <v>194</v>
      </c>
      <c r="P391" s="37" t="s">
        <v>2271</v>
      </c>
      <c r="Q391" s="37" t="s">
        <v>2272</v>
      </c>
      <c r="R391" s="41">
        <v>46271.0</v>
      </c>
      <c r="S391" s="42">
        <v>152.0</v>
      </c>
      <c r="T391" s="44"/>
      <c r="U391" s="47" t="str">
        <f>IF(records[Type]="Room",records[roomNo],records[roomNo]&amp;"-"&amp;SUBSTITUTE(RIGHT(records[roomNo]&amp;records[Type],2),"-",""))</f>
        <v>10-3-084</v>
      </c>
      <c r="V391" s="47" t="str">
        <f t="array" ref="V391">_xlfn.XLOOKUP(records[ID], dAir[roomNo], dAir[roomName])</f>
        <v>CLEANED TOOLS</v>
      </c>
      <c r="W391" s="47" t="str">
        <f t="array" ref="W391">_xlfn.XLOOKUP(records[ID], dAir[roomNo], dAir[building])</f>
        <v>Building 10</v>
      </c>
      <c r="X391" s="47" t="str">
        <f t="array" ref="X391">_xlfn.XLOOKUP(records[ID], dAir[roomNo], dAir[floor])</f>
        <v>Floor 3</v>
      </c>
      <c r="Y391" s="45" t="str">
        <f t="array" ref="Y391">_xlfn.XLOOKUP(records[ID], dAir[roomNo], dAir[Class])</f>
        <v>D</v>
      </c>
      <c r="Z391" s="45">
        <f t="array" ref="Z391">_xlfn.XLOOKUP(records[Method]&amp;"-"&amp;records[Class], dAirSpec[ID], dAirSpec[Spec])</f>
        <v>100</v>
      </c>
      <c r="AA391" s="45" t="str">
        <f t="array" ref="AA391">_xlfn.XLOOKUP(records[Method]&amp;"-"&amp;records[Class], dAirSpec[ID], dAirSpec[Unit])</f>
        <v>cfu/plate</v>
      </c>
      <c r="AB391" s="58">
        <f t="array" ref="AB391">if(S391="","", if(records[Method]="Active Air",_xlfn.xlookup(records[ColonyCount]&amp;records[AirSampler],feller[code],feller[Vc]),records[ColonyCount]))</f>
        <v>152</v>
      </c>
      <c r="AC391" s="60" t="b">
        <f t="shared" si="1"/>
        <v>0</v>
      </c>
      <c r="AD391" s="61" t="b">
        <v>0</v>
      </c>
      <c r="AE391" s="32" t="s">
        <v>235</v>
      </c>
      <c r="AF391" s="46"/>
      <c r="AG391" s="46"/>
      <c r="AH391" s="46"/>
      <c r="AI391" s="46"/>
      <c r="AJ391" s="46"/>
    </row>
    <row r="392" ht="22.5" customHeight="1">
      <c r="A392" s="27">
        <v>46222.0</v>
      </c>
      <c r="B392" s="34" t="str">
        <f t="array" ref="B392">TEXT(A392, "MM-YYYY")</f>
        <v>07-2026</v>
      </c>
      <c r="C392" s="20" t="s">
        <v>251</v>
      </c>
      <c r="D392" s="21" t="s">
        <v>210</v>
      </c>
      <c r="E392" s="36" t="s">
        <v>213</v>
      </c>
      <c r="F392" s="37" t="s">
        <v>65</v>
      </c>
      <c r="G392" s="29" t="b">
        <v>1</v>
      </c>
      <c r="H392" s="36" t="s">
        <v>214</v>
      </c>
      <c r="I392" s="36" t="s">
        <v>215</v>
      </c>
      <c r="J392" s="29"/>
      <c r="K392" s="138"/>
      <c r="L392" s="37" t="s">
        <v>194</v>
      </c>
      <c r="M392" s="37" t="s">
        <v>194</v>
      </c>
      <c r="N392" s="37" t="s">
        <v>194</v>
      </c>
      <c r="O392" s="37" t="s">
        <v>194</v>
      </c>
      <c r="P392" s="37" t="s">
        <v>2271</v>
      </c>
      <c r="Q392" s="37" t="s">
        <v>2272</v>
      </c>
      <c r="R392" s="41">
        <v>46271.0</v>
      </c>
      <c r="S392" s="42">
        <v>0.0</v>
      </c>
      <c r="T392" s="44"/>
      <c r="U392" s="47" t="str">
        <f>IF(records[Type]="Room",records[roomNo],records[roomNo]&amp;"-"&amp;SUBSTITUTE(RIGHT(records[roomNo]&amp;records[Type],2),"-",""))</f>
        <v>10-3-085</v>
      </c>
      <c r="V392" s="47" t="str">
        <f t="array" ref="V392">_xlfn.XLOOKUP(records[ID], dAir[roomNo], dAir[roomName])</f>
        <v>DRYING</v>
      </c>
      <c r="W392" s="47" t="str">
        <f t="array" ref="W392">_xlfn.XLOOKUP(records[ID], dAir[roomNo], dAir[building])</f>
        <v>Building 10</v>
      </c>
      <c r="X392" s="47" t="str">
        <f t="array" ref="X392">_xlfn.XLOOKUP(records[ID], dAir[roomNo], dAir[floor])</f>
        <v>Floor 3</v>
      </c>
      <c r="Y392" s="45" t="str">
        <f t="array" ref="Y392">_xlfn.XLOOKUP(records[ID], dAir[roomNo], dAir[Class])</f>
        <v>D</v>
      </c>
      <c r="Z392" s="45">
        <f t="array" ref="Z392">_xlfn.XLOOKUP(records[Method]&amp;"-"&amp;records[Class], dAirSpec[ID], dAirSpec[Spec])</f>
        <v>100</v>
      </c>
      <c r="AA392" s="45" t="str">
        <f t="array" ref="AA392">_xlfn.XLOOKUP(records[Method]&amp;"-"&amp;records[Class], dAirSpec[ID], dAirSpec[Unit])</f>
        <v>cfu/plate</v>
      </c>
      <c r="AB392" s="58">
        <f t="array" ref="AB392">if(S392="","", if(records[Method]="Active Air",_xlfn.xlookup(records[ColonyCount]&amp;records[AirSampler],feller[code],feller[Vc]),records[ColonyCount]))</f>
        <v>0</v>
      </c>
      <c r="AC392" s="60" t="b">
        <f t="shared" si="1"/>
        <v>1</v>
      </c>
      <c r="AD392" s="61" t="b">
        <v>0</v>
      </c>
      <c r="AE392" s="32" t="s">
        <v>235</v>
      </c>
      <c r="AF392" s="46"/>
      <c r="AG392" s="46"/>
      <c r="AH392" s="46"/>
      <c r="AI392" s="46"/>
      <c r="AJ392" s="46"/>
    </row>
    <row r="393" ht="22.5" customHeight="1">
      <c r="A393" s="27">
        <v>46222.0</v>
      </c>
      <c r="B393" s="34" t="str">
        <f t="array" ref="B393">TEXT(A393, "MM-YYYY")</f>
        <v>07-2026</v>
      </c>
      <c r="C393" s="20" t="s">
        <v>565</v>
      </c>
      <c r="D393" s="21" t="s">
        <v>210</v>
      </c>
      <c r="E393" s="36" t="s">
        <v>213</v>
      </c>
      <c r="F393" s="37" t="s">
        <v>65</v>
      </c>
      <c r="G393" s="29" t="b">
        <v>1</v>
      </c>
      <c r="H393" s="36" t="s">
        <v>214</v>
      </c>
      <c r="I393" s="36" t="s">
        <v>215</v>
      </c>
      <c r="J393" s="29"/>
      <c r="K393" s="138"/>
      <c r="L393" s="37" t="s">
        <v>194</v>
      </c>
      <c r="M393" s="37" t="s">
        <v>194</v>
      </c>
      <c r="N393" s="37" t="s">
        <v>194</v>
      </c>
      <c r="O393" s="37" t="s">
        <v>194</v>
      </c>
      <c r="P393" s="37" t="s">
        <v>2271</v>
      </c>
      <c r="Q393" s="37" t="s">
        <v>2272</v>
      </c>
      <c r="R393" s="41">
        <v>46271.0</v>
      </c>
      <c r="S393" s="42">
        <v>0.0</v>
      </c>
      <c r="T393" s="44"/>
      <c r="U393" s="47" t="str">
        <f>IF(records[Type]="Room",records[roomNo],records[roomNo]&amp;"-"&amp;SUBSTITUTE(RIGHT(records[roomNo]&amp;records[Type],2),"-",""))</f>
        <v>10-3-086</v>
      </c>
      <c r="V393" s="47" t="str">
        <f t="array" ref="V393">_xlfn.XLOOKUP(records[ID], dAir[roomNo], dAir[roomName])</f>
        <v>TOOL WASHING</v>
      </c>
      <c r="W393" s="47" t="str">
        <f t="array" ref="W393">_xlfn.XLOOKUP(records[ID], dAir[roomNo], dAir[building])</f>
        <v>Building 10</v>
      </c>
      <c r="X393" s="47" t="str">
        <f t="array" ref="X393">_xlfn.XLOOKUP(records[ID], dAir[roomNo], dAir[floor])</f>
        <v>Floor 3</v>
      </c>
      <c r="Y393" s="45" t="str">
        <f t="array" ref="Y393">_xlfn.XLOOKUP(records[ID], dAir[roomNo], dAir[Class])</f>
        <v>D</v>
      </c>
      <c r="Z393" s="45">
        <f t="array" ref="Z393">_xlfn.XLOOKUP(records[Method]&amp;"-"&amp;records[Class], dAirSpec[ID], dAirSpec[Spec])</f>
        <v>100</v>
      </c>
      <c r="AA393" s="45" t="str">
        <f t="array" ref="AA393">_xlfn.XLOOKUP(records[Method]&amp;"-"&amp;records[Class], dAirSpec[ID], dAirSpec[Unit])</f>
        <v>cfu/plate</v>
      </c>
      <c r="AB393" s="58">
        <f t="array" ref="AB393">if(S393="","", if(records[Method]="Active Air",_xlfn.xlookup(records[ColonyCount]&amp;records[AirSampler],feller[code],feller[Vc]),records[ColonyCount]))</f>
        <v>0</v>
      </c>
      <c r="AC393" s="60" t="b">
        <f t="shared" si="1"/>
        <v>1</v>
      </c>
      <c r="AD393" s="61" t="b">
        <v>0</v>
      </c>
      <c r="AE393" s="32" t="s">
        <v>235</v>
      </c>
      <c r="AF393" s="46"/>
      <c r="AG393" s="46"/>
      <c r="AH393" s="46"/>
      <c r="AI393" s="46"/>
      <c r="AJ393" s="46"/>
    </row>
    <row r="394" ht="22.5" customHeight="1">
      <c r="A394" s="27">
        <v>46222.0</v>
      </c>
      <c r="B394" s="34" t="str">
        <f t="array" ref="B394">TEXT(A394, "MM-YYYY")</f>
        <v>07-2026</v>
      </c>
      <c r="C394" s="20" t="s">
        <v>1180</v>
      </c>
      <c r="D394" s="21" t="s">
        <v>210</v>
      </c>
      <c r="E394" s="36" t="s">
        <v>213</v>
      </c>
      <c r="F394" s="37" t="s">
        <v>65</v>
      </c>
      <c r="G394" s="29" t="b">
        <v>1</v>
      </c>
      <c r="H394" s="36" t="s">
        <v>214</v>
      </c>
      <c r="I394" s="36" t="s">
        <v>215</v>
      </c>
      <c r="J394" s="29"/>
      <c r="K394" s="138"/>
      <c r="L394" s="37" t="s">
        <v>194</v>
      </c>
      <c r="M394" s="37" t="s">
        <v>194</v>
      </c>
      <c r="N394" s="37" t="s">
        <v>194</v>
      </c>
      <c r="O394" s="37" t="s">
        <v>194</v>
      </c>
      <c r="P394" s="37" t="s">
        <v>2271</v>
      </c>
      <c r="Q394" s="37" t="s">
        <v>2272</v>
      </c>
      <c r="R394" s="41">
        <v>46271.0</v>
      </c>
      <c r="S394" s="42">
        <v>0.0</v>
      </c>
      <c r="T394" s="44"/>
      <c r="U394" s="47" t="str">
        <f>IF(records[Type]="Room",records[roomNo],records[roomNo]&amp;"-"&amp;SUBSTITUTE(RIGHT(records[roomNo]&amp;records[Type],2),"-",""))</f>
        <v>10-3-087</v>
      </c>
      <c r="V394" s="47" t="str">
        <f t="array" ref="V394">_xlfn.XLOOKUP(records[ID], dAir[roomNo], dAir[roomName])</f>
        <v>AIRLOCK</v>
      </c>
      <c r="W394" s="47" t="str">
        <f t="array" ref="W394">_xlfn.XLOOKUP(records[ID], dAir[roomNo], dAir[building])</f>
        <v>Building 10</v>
      </c>
      <c r="X394" s="47" t="str">
        <f t="array" ref="X394">_xlfn.XLOOKUP(records[ID], dAir[roomNo], dAir[floor])</f>
        <v>Floor 3</v>
      </c>
      <c r="Y394" s="45" t="str">
        <f t="array" ref="Y394">_xlfn.XLOOKUP(records[ID], dAir[roomNo], dAir[Class])</f>
        <v>D</v>
      </c>
      <c r="Z394" s="45">
        <f t="array" ref="Z394">_xlfn.XLOOKUP(records[Method]&amp;"-"&amp;records[Class], dAirSpec[ID], dAirSpec[Spec])</f>
        <v>100</v>
      </c>
      <c r="AA394" s="45" t="str">
        <f t="array" ref="AA394">_xlfn.XLOOKUP(records[Method]&amp;"-"&amp;records[Class], dAirSpec[ID], dAirSpec[Unit])</f>
        <v>cfu/plate</v>
      </c>
      <c r="AB394" s="58">
        <f t="array" ref="AB394">if(S394="","", if(records[Method]="Active Air",_xlfn.xlookup(records[ColonyCount]&amp;records[AirSampler],feller[code],feller[Vc]),records[ColonyCount]))</f>
        <v>0</v>
      </c>
      <c r="AC394" s="60" t="b">
        <f t="shared" si="1"/>
        <v>1</v>
      </c>
      <c r="AD394" s="61" t="b">
        <v>0</v>
      </c>
      <c r="AE394" s="32" t="s">
        <v>235</v>
      </c>
      <c r="AF394" s="46"/>
      <c r="AG394" s="46"/>
      <c r="AH394" s="46"/>
      <c r="AI394" s="46"/>
      <c r="AJ394" s="46"/>
    </row>
    <row r="395" ht="22.5" customHeight="1">
      <c r="A395" s="27">
        <v>46222.0</v>
      </c>
      <c r="B395" s="34" t="str">
        <f t="array" ref="B395">TEXT(A395, "MM-YYYY")</f>
        <v>07-2026</v>
      </c>
      <c r="C395" s="20" t="s">
        <v>1181</v>
      </c>
      <c r="D395" s="21" t="s">
        <v>210</v>
      </c>
      <c r="E395" s="36" t="s">
        <v>213</v>
      </c>
      <c r="F395" s="37" t="s">
        <v>65</v>
      </c>
      <c r="G395" s="29" t="b">
        <v>1</v>
      </c>
      <c r="H395" s="36" t="s">
        <v>214</v>
      </c>
      <c r="I395" s="36" t="s">
        <v>215</v>
      </c>
      <c r="J395" s="29"/>
      <c r="K395" s="138"/>
      <c r="L395" s="37" t="s">
        <v>194</v>
      </c>
      <c r="M395" s="37" t="s">
        <v>194</v>
      </c>
      <c r="N395" s="37" t="s">
        <v>194</v>
      </c>
      <c r="O395" s="37" t="s">
        <v>194</v>
      </c>
      <c r="P395" s="37" t="s">
        <v>2271</v>
      </c>
      <c r="Q395" s="37" t="s">
        <v>2272</v>
      </c>
      <c r="R395" s="41">
        <v>46271.0</v>
      </c>
      <c r="S395" s="42">
        <v>1.0</v>
      </c>
      <c r="T395" s="44"/>
      <c r="U395" s="47" t="str">
        <f>IF(records[Type]="Room",records[roomNo],records[roomNo]&amp;"-"&amp;SUBSTITUTE(RIGHT(records[roomNo]&amp;records[Type],2),"-",""))</f>
        <v>10-3-088</v>
      </c>
      <c r="V395" s="47" t="str">
        <f t="array" ref="V395">_xlfn.XLOOKUP(records[ID], dAir[roomNo], dAir[roomName])</f>
        <v>JANITOR</v>
      </c>
      <c r="W395" s="47" t="str">
        <f t="array" ref="W395">_xlfn.XLOOKUP(records[ID], dAir[roomNo], dAir[building])</f>
        <v>Building 10</v>
      </c>
      <c r="X395" s="47" t="str">
        <f t="array" ref="X395">_xlfn.XLOOKUP(records[ID], dAir[roomNo], dAir[floor])</f>
        <v>Floor 3</v>
      </c>
      <c r="Y395" s="45" t="str">
        <f t="array" ref="Y395">_xlfn.XLOOKUP(records[ID], dAir[roomNo], dAir[Class])</f>
        <v>D</v>
      </c>
      <c r="Z395" s="45">
        <f t="array" ref="Z395">_xlfn.XLOOKUP(records[Method]&amp;"-"&amp;records[Class], dAirSpec[ID], dAirSpec[Spec])</f>
        <v>100</v>
      </c>
      <c r="AA395" s="45" t="str">
        <f t="array" ref="AA395">_xlfn.XLOOKUP(records[Method]&amp;"-"&amp;records[Class], dAirSpec[ID], dAirSpec[Unit])</f>
        <v>cfu/plate</v>
      </c>
      <c r="AB395" s="58">
        <f t="array" ref="AB395">if(S395="","", if(records[Method]="Active Air",_xlfn.xlookup(records[ColonyCount]&amp;records[AirSampler],feller[code],feller[Vc]),records[ColonyCount]))</f>
        <v>1</v>
      </c>
      <c r="AC395" s="60" t="b">
        <f t="shared" si="1"/>
        <v>1</v>
      </c>
      <c r="AD395" s="61" t="b">
        <v>0</v>
      </c>
      <c r="AE395" s="32" t="s">
        <v>235</v>
      </c>
      <c r="AF395" s="46"/>
      <c r="AG395" s="46"/>
      <c r="AH395" s="46"/>
      <c r="AI395" s="46"/>
      <c r="AJ395" s="46"/>
    </row>
    <row r="396" ht="22.5" customHeight="1">
      <c r="A396" s="27">
        <v>46222.0</v>
      </c>
      <c r="B396" s="34" t="str">
        <f t="array" ref="B396">TEXT(A396, "MM-YYYY")</f>
        <v>07-2026</v>
      </c>
      <c r="C396" s="20" t="s">
        <v>1182</v>
      </c>
      <c r="D396" s="21" t="s">
        <v>210</v>
      </c>
      <c r="E396" s="36" t="s">
        <v>213</v>
      </c>
      <c r="F396" s="37" t="s">
        <v>65</v>
      </c>
      <c r="G396" s="29" t="b">
        <v>1</v>
      </c>
      <c r="H396" s="36" t="s">
        <v>214</v>
      </c>
      <c r="I396" s="36" t="s">
        <v>215</v>
      </c>
      <c r="J396" s="29"/>
      <c r="K396" s="138"/>
      <c r="L396" s="37" t="s">
        <v>194</v>
      </c>
      <c r="M396" s="37" t="s">
        <v>194</v>
      </c>
      <c r="N396" s="37" t="s">
        <v>194</v>
      </c>
      <c r="O396" s="37" t="s">
        <v>194</v>
      </c>
      <c r="P396" s="37" t="s">
        <v>2271</v>
      </c>
      <c r="Q396" s="37" t="s">
        <v>2272</v>
      </c>
      <c r="R396" s="41">
        <v>46271.0</v>
      </c>
      <c r="S396" s="42">
        <v>0.0</v>
      </c>
      <c r="T396" s="44"/>
      <c r="U396" s="47" t="str">
        <f>IF(records[Type]="Room",records[roomNo],records[roomNo]&amp;"-"&amp;SUBSTITUTE(RIGHT(records[roomNo]&amp;records[Type],2),"-",""))</f>
        <v>10-3-089</v>
      </c>
      <c r="V396" s="47" t="str">
        <f t="array" ref="V396">_xlfn.XLOOKUP(records[ID], dAir[roomNo], dAir[roomName])</f>
        <v>DISPENSING 1</v>
      </c>
      <c r="W396" s="47" t="str">
        <f t="array" ref="W396">_xlfn.XLOOKUP(records[ID], dAir[roomNo], dAir[building])</f>
        <v>Building 10</v>
      </c>
      <c r="X396" s="47" t="str">
        <f t="array" ref="X396">_xlfn.XLOOKUP(records[ID], dAir[roomNo], dAir[floor])</f>
        <v>Floor 3</v>
      </c>
      <c r="Y396" s="45" t="str">
        <f t="array" ref="Y396">_xlfn.XLOOKUP(records[ID], dAir[roomNo], dAir[Class])</f>
        <v>D</v>
      </c>
      <c r="Z396" s="45">
        <f t="array" ref="Z396">_xlfn.XLOOKUP(records[Method]&amp;"-"&amp;records[Class], dAirSpec[ID], dAirSpec[Spec])</f>
        <v>100</v>
      </c>
      <c r="AA396" s="45" t="str">
        <f t="array" ref="AA396">_xlfn.XLOOKUP(records[Method]&amp;"-"&amp;records[Class], dAirSpec[ID], dAirSpec[Unit])</f>
        <v>cfu/plate</v>
      </c>
      <c r="AB396" s="58">
        <f t="array" ref="AB396">if(S396="","", if(records[Method]="Active Air",_xlfn.xlookup(records[ColonyCount]&amp;records[AirSampler],feller[code],feller[Vc]),records[ColonyCount]))</f>
        <v>0</v>
      </c>
      <c r="AC396" s="60" t="b">
        <f t="shared" si="1"/>
        <v>1</v>
      </c>
      <c r="AD396" s="61" t="b">
        <v>0</v>
      </c>
      <c r="AE396" s="32" t="s">
        <v>235</v>
      </c>
      <c r="AF396" s="46"/>
      <c r="AG396" s="46"/>
      <c r="AH396" s="46"/>
      <c r="AI396" s="46"/>
      <c r="AJ396" s="46"/>
    </row>
    <row r="397" ht="22.5" customHeight="1">
      <c r="A397" s="27">
        <v>46222.0</v>
      </c>
      <c r="B397" s="34" t="str">
        <f t="array" ref="B397">TEXT(A397, "MM-YYYY")</f>
        <v>07-2026</v>
      </c>
      <c r="C397" s="20" t="s">
        <v>1182</v>
      </c>
      <c r="D397" s="21" t="s">
        <v>680</v>
      </c>
      <c r="E397" s="36" t="s">
        <v>213</v>
      </c>
      <c r="F397" s="37" t="s">
        <v>65</v>
      </c>
      <c r="G397" s="29" t="b">
        <v>1</v>
      </c>
      <c r="H397" s="36" t="s">
        <v>214</v>
      </c>
      <c r="I397" s="36" t="s">
        <v>215</v>
      </c>
      <c r="J397" s="29"/>
      <c r="K397" s="138"/>
      <c r="L397" s="37" t="s">
        <v>194</v>
      </c>
      <c r="M397" s="37" t="s">
        <v>194</v>
      </c>
      <c r="N397" s="37" t="s">
        <v>194</v>
      </c>
      <c r="O397" s="37" t="s">
        <v>194</v>
      </c>
      <c r="P397" s="37" t="s">
        <v>2271</v>
      </c>
      <c r="Q397" s="37" t="s">
        <v>2272</v>
      </c>
      <c r="R397" s="41">
        <v>46271.0</v>
      </c>
      <c r="S397" s="42">
        <v>1.0</v>
      </c>
      <c r="T397" s="44" t="s">
        <v>2341</v>
      </c>
      <c r="U397" s="45" t="str">
        <f>IF(records[Type]="Room",records[roomNo],records[roomNo]&amp;"-"&amp;SUBSTITUTE(RIGHT(records[roomNo]&amp;records[Type],2),"-",""))</f>
        <v>10-3-089-B</v>
      </c>
      <c r="V397" s="47" t="str">
        <f t="array" ref="V397">_xlfn.XLOOKUP(records[ID], dAir[roomNo], dAir[roomName])</f>
        <v>DISPENSING 1 (Booth)</v>
      </c>
      <c r="W397" s="47" t="str">
        <f t="array" ref="W397">_xlfn.XLOOKUP(records[ID], dAir[roomNo], dAir[building])</f>
        <v>Building 10</v>
      </c>
      <c r="X397" s="47" t="str">
        <f t="array" ref="X397">_xlfn.XLOOKUP(records[ID], dAir[roomNo], dAir[floor])</f>
        <v>Floor 3</v>
      </c>
      <c r="Y397" s="45" t="str">
        <f t="array" ref="Y397">_xlfn.XLOOKUP(records[ID], dAir[roomNo], dAir[Class])</f>
        <v>D</v>
      </c>
      <c r="Z397" s="45">
        <f t="array" ref="Z397">_xlfn.XLOOKUP(records[Method]&amp;"-"&amp;records[Class], dAirSpec[ID], dAirSpec[Spec])</f>
        <v>100</v>
      </c>
      <c r="AA397" s="45" t="str">
        <f t="array" ref="AA397">_xlfn.XLOOKUP(records[Method]&amp;"-"&amp;records[Class], dAirSpec[ID], dAirSpec[Unit])</f>
        <v>cfu/plate</v>
      </c>
      <c r="AB397" s="58">
        <f t="array" ref="AB397">if(S397="","", if(records[Method]="Active Air",_xlfn.xlookup(records[ColonyCount]&amp;records[AirSampler],feller[code],feller[Vc]),records[ColonyCount]))</f>
        <v>1</v>
      </c>
      <c r="AC397" s="60" t="b">
        <f t="shared" si="1"/>
        <v>1</v>
      </c>
      <c r="AD397" s="61" t="b">
        <v>0</v>
      </c>
      <c r="AE397" s="32" t="s">
        <v>235</v>
      </c>
      <c r="AF397" s="46"/>
      <c r="AG397" s="46"/>
      <c r="AH397" s="46"/>
      <c r="AI397" s="46"/>
      <c r="AJ397" s="46"/>
    </row>
    <row r="398" ht="22.5" customHeight="1">
      <c r="A398" s="27">
        <v>46222.0</v>
      </c>
      <c r="B398" s="34" t="str">
        <f t="array" ref="B398">TEXT(A398, "MM-YYYY")</f>
        <v>07-2026</v>
      </c>
      <c r="C398" s="20" t="s">
        <v>1186</v>
      </c>
      <c r="D398" s="21" t="s">
        <v>210</v>
      </c>
      <c r="E398" s="36" t="s">
        <v>213</v>
      </c>
      <c r="F398" s="37" t="s">
        <v>65</v>
      </c>
      <c r="G398" s="29" t="b">
        <v>1</v>
      </c>
      <c r="H398" s="36" t="s">
        <v>214</v>
      </c>
      <c r="I398" s="36" t="s">
        <v>215</v>
      </c>
      <c r="J398" s="29"/>
      <c r="K398" s="138"/>
      <c r="L398" s="37" t="s">
        <v>194</v>
      </c>
      <c r="M398" s="37" t="s">
        <v>194</v>
      </c>
      <c r="N398" s="37" t="s">
        <v>194</v>
      </c>
      <c r="O398" s="37" t="s">
        <v>194</v>
      </c>
      <c r="P398" s="37" t="s">
        <v>2271</v>
      </c>
      <c r="Q398" s="37" t="s">
        <v>2272</v>
      </c>
      <c r="R398" s="41">
        <v>46271.0</v>
      </c>
      <c r="S398" s="42">
        <v>0.0</v>
      </c>
      <c r="T398" s="44"/>
      <c r="U398" s="47" t="str">
        <f>IF(records[Type]="Room",records[roomNo],records[roomNo]&amp;"-"&amp;SUBSTITUTE(RIGHT(records[roomNo]&amp;records[Type],2),"-",""))</f>
        <v>10-3-090</v>
      </c>
      <c r="V398" s="47" t="str">
        <f t="array" ref="V398">_xlfn.XLOOKUP(records[ID], dAir[roomNo], dAir[roomName])</f>
        <v>DISPENSING 2</v>
      </c>
      <c r="W398" s="47" t="str">
        <f t="array" ref="W398">_xlfn.XLOOKUP(records[ID], dAir[roomNo], dAir[building])</f>
        <v>Building 10</v>
      </c>
      <c r="X398" s="47" t="str">
        <f t="array" ref="X398">_xlfn.XLOOKUP(records[ID], dAir[roomNo], dAir[floor])</f>
        <v>Floor 3</v>
      </c>
      <c r="Y398" s="45" t="str">
        <f t="array" ref="Y398">_xlfn.XLOOKUP(records[ID], dAir[roomNo], dAir[Class])</f>
        <v>D</v>
      </c>
      <c r="Z398" s="45">
        <f t="array" ref="Z398">_xlfn.XLOOKUP(records[Method]&amp;"-"&amp;records[Class], dAirSpec[ID], dAirSpec[Spec])</f>
        <v>100</v>
      </c>
      <c r="AA398" s="45" t="str">
        <f t="array" ref="AA398">_xlfn.XLOOKUP(records[Method]&amp;"-"&amp;records[Class], dAirSpec[ID], dAirSpec[Unit])</f>
        <v>cfu/plate</v>
      </c>
      <c r="AB398" s="58">
        <f t="array" ref="AB398">if(S398="","", if(records[Method]="Active Air",_xlfn.xlookup(records[ColonyCount]&amp;records[AirSampler],feller[code],feller[Vc]),records[ColonyCount]))</f>
        <v>0</v>
      </c>
      <c r="AC398" s="60" t="b">
        <f t="shared" si="1"/>
        <v>1</v>
      </c>
      <c r="AD398" s="61" t="b">
        <v>0</v>
      </c>
      <c r="AE398" s="32" t="s">
        <v>235</v>
      </c>
      <c r="AF398" s="46"/>
      <c r="AG398" s="46"/>
      <c r="AH398" s="46"/>
      <c r="AI398" s="46"/>
      <c r="AJ398" s="46"/>
    </row>
    <row r="399" ht="22.5" customHeight="1">
      <c r="A399" s="27">
        <v>46222.0</v>
      </c>
      <c r="B399" s="34" t="str">
        <f t="array" ref="B399">TEXT(A399, "MM-YYYY")</f>
        <v>07-2026</v>
      </c>
      <c r="C399" s="20" t="s">
        <v>1186</v>
      </c>
      <c r="D399" s="21" t="s">
        <v>680</v>
      </c>
      <c r="E399" s="36" t="s">
        <v>213</v>
      </c>
      <c r="F399" s="37" t="s">
        <v>65</v>
      </c>
      <c r="G399" s="29" t="b">
        <v>1</v>
      </c>
      <c r="H399" s="36" t="s">
        <v>214</v>
      </c>
      <c r="I399" s="36" t="s">
        <v>215</v>
      </c>
      <c r="J399" s="29"/>
      <c r="K399" s="138"/>
      <c r="L399" s="37" t="s">
        <v>194</v>
      </c>
      <c r="M399" s="37" t="s">
        <v>194</v>
      </c>
      <c r="N399" s="37" t="s">
        <v>194</v>
      </c>
      <c r="O399" s="37" t="s">
        <v>194</v>
      </c>
      <c r="P399" s="37" t="s">
        <v>2271</v>
      </c>
      <c r="Q399" s="37" t="s">
        <v>2272</v>
      </c>
      <c r="R399" s="41">
        <v>46271.0</v>
      </c>
      <c r="S399" s="42">
        <v>0.0</v>
      </c>
      <c r="T399" s="44" t="s">
        <v>2341</v>
      </c>
      <c r="U399" s="45" t="str">
        <f>IF(records[Type]="Room",records[roomNo],records[roomNo]&amp;"-"&amp;SUBSTITUTE(RIGHT(records[roomNo]&amp;records[Type],2),"-",""))</f>
        <v>10-3-090-B</v>
      </c>
      <c r="V399" s="47" t="str">
        <f t="array" ref="V399">_xlfn.XLOOKUP(records[ID], dAir[roomNo], dAir[roomName])</f>
        <v>DISPENSING 2 (Booth)</v>
      </c>
      <c r="W399" s="47" t="str">
        <f t="array" ref="W399">_xlfn.XLOOKUP(records[ID], dAir[roomNo], dAir[building])</f>
        <v>Building 10</v>
      </c>
      <c r="X399" s="47" t="str">
        <f t="array" ref="X399">_xlfn.XLOOKUP(records[ID], dAir[roomNo], dAir[floor])</f>
        <v>Floor 3</v>
      </c>
      <c r="Y399" s="45" t="str">
        <f t="array" ref="Y399">_xlfn.XLOOKUP(records[ID], dAir[roomNo], dAir[Class])</f>
        <v>D</v>
      </c>
      <c r="Z399" s="45">
        <f t="array" ref="Z399">_xlfn.XLOOKUP(records[Method]&amp;"-"&amp;records[Class], dAirSpec[ID], dAirSpec[Spec])</f>
        <v>100</v>
      </c>
      <c r="AA399" s="45" t="str">
        <f t="array" ref="AA399">_xlfn.XLOOKUP(records[Method]&amp;"-"&amp;records[Class], dAirSpec[ID], dAirSpec[Unit])</f>
        <v>cfu/plate</v>
      </c>
      <c r="AB399" s="58">
        <f t="array" ref="AB399">if(S399="","", if(records[Method]="Active Air",_xlfn.xlookup(records[ColonyCount]&amp;records[AirSampler],feller[code],feller[Vc]),records[ColonyCount]))</f>
        <v>0</v>
      </c>
      <c r="AC399" s="60" t="b">
        <f t="shared" si="1"/>
        <v>1</v>
      </c>
      <c r="AD399" s="61" t="b">
        <v>0</v>
      </c>
      <c r="AE399" s="32" t="s">
        <v>235</v>
      </c>
      <c r="AF399" s="46"/>
      <c r="AG399" s="46"/>
      <c r="AH399" s="46"/>
      <c r="AI399" s="46"/>
      <c r="AJ399" s="46"/>
    </row>
    <row r="400" ht="22.5" customHeight="1">
      <c r="A400" s="27">
        <v>46222.0</v>
      </c>
      <c r="B400" s="34" t="str">
        <f t="array" ref="B400">TEXT(A400, "MM-YYYY")</f>
        <v>07-2026</v>
      </c>
      <c r="C400" s="20" t="s">
        <v>1191</v>
      </c>
      <c r="D400" s="21" t="s">
        <v>210</v>
      </c>
      <c r="E400" s="36" t="s">
        <v>213</v>
      </c>
      <c r="F400" s="37" t="s">
        <v>65</v>
      </c>
      <c r="G400" s="29" t="b">
        <v>1</v>
      </c>
      <c r="H400" s="36" t="s">
        <v>214</v>
      </c>
      <c r="I400" s="36" t="s">
        <v>215</v>
      </c>
      <c r="J400" s="29"/>
      <c r="K400" s="138"/>
      <c r="L400" s="37" t="s">
        <v>194</v>
      </c>
      <c r="M400" s="37" t="s">
        <v>194</v>
      </c>
      <c r="N400" s="37" t="s">
        <v>194</v>
      </c>
      <c r="O400" s="37" t="s">
        <v>194</v>
      </c>
      <c r="P400" s="37" t="s">
        <v>2271</v>
      </c>
      <c r="Q400" s="37" t="s">
        <v>2272</v>
      </c>
      <c r="R400" s="41">
        <v>46271.0</v>
      </c>
      <c r="S400" s="42">
        <v>0.0</v>
      </c>
      <c r="T400" s="44"/>
      <c r="U400" s="47" t="str">
        <f>IF(records[Type]="Room",records[roomNo],records[roomNo]&amp;"-"&amp;SUBSTITUTE(RIGHT(records[roomNo]&amp;records[Type],2),"-",""))</f>
        <v>10-3-091</v>
      </c>
      <c r="V400" s="47" t="str">
        <f t="array" ref="V400">_xlfn.XLOOKUP(records[ID], dAir[roomNo], dAir[roomName])</f>
        <v>RM STAGING</v>
      </c>
      <c r="W400" s="47" t="str">
        <f t="array" ref="W400">_xlfn.XLOOKUP(records[ID], dAir[roomNo], dAir[building])</f>
        <v>Building 10</v>
      </c>
      <c r="X400" s="47" t="str">
        <f t="array" ref="X400">_xlfn.XLOOKUP(records[ID], dAir[roomNo], dAir[floor])</f>
        <v>Floor 3</v>
      </c>
      <c r="Y400" s="45" t="str">
        <f t="array" ref="Y400">_xlfn.XLOOKUP(records[ID], dAir[roomNo], dAir[Class])</f>
        <v>D</v>
      </c>
      <c r="Z400" s="45">
        <f t="array" ref="Z400">_xlfn.XLOOKUP(records[Method]&amp;"-"&amp;records[Class], dAirSpec[ID], dAirSpec[Spec])</f>
        <v>100</v>
      </c>
      <c r="AA400" s="45" t="str">
        <f t="array" ref="AA400">_xlfn.XLOOKUP(records[Method]&amp;"-"&amp;records[Class], dAirSpec[ID], dAirSpec[Unit])</f>
        <v>cfu/plate</v>
      </c>
      <c r="AB400" s="58">
        <f t="array" ref="AB400">if(S400="","", if(records[Method]="Active Air",_xlfn.xlookup(records[ColonyCount]&amp;records[AirSampler],feller[code],feller[Vc]),records[ColonyCount]))</f>
        <v>0</v>
      </c>
      <c r="AC400" s="60" t="b">
        <f t="shared" si="1"/>
        <v>1</v>
      </c>
      <c r="AD400" s="61" t="b">
        <v>0</v>
      </c>
      <c r="AE400" s="32" t="s">
        <v>235</v>
      </c>
      <c r="AF400" s="46"/>
      <c r="AG400" s="46"/>
      <c r="AH400" s="46"/>
      <c r="AI400" s="46"/>
      <c r="AJ400" s="46"/>
    </row>
    <row r="401" ht="22.5" customHeight="1">
      <c r="A401" s="27">
        <v>46222.0</v>
      </c>
      <c r="B401" s="34" t="str">
        <f t="array" ref="B401">TEXT(A401, "MM-YYYY")</f>
        <v>07-2026</v>
      </c>
      <c r="C401" s="20" t="s">
        <v>1193</v>
      </c>
      <c r="D401" s="21" t="s">
        <v>210</v>
      </c>
      <c r="E401" s="36" t="s">
        <v>213</v>
      </c>
      <c r="F401" s="37" t="s">
        <v>65</v>
      </c>
      <c r="G401" s="29" t="b">
        <v>1</v>
      </c>
      <c r="H401" s="36" t="s">
        <v>214</v>
      </c>
      <c r="I401" s="36" t="s">
        <v>215</v>
      </c>
      <c r="J401" s="29"/>
      <c r="K401" s="138"/>
      <c r="L401" s="37" t="s">
        <v>194</v>
      </c>
      <c r="M401" s="37" t="s">
        <v>194</v>
      </c>
      <c r="N401" s="37" t="s">
        <v>194</v>
      </c>
      <c r="O401" s="37" t="s">
        <v>194</v>
      </c>
      <c r="P401" s="37" t="s">
        <v>2271</v>
      </c>
      <c r="Q401" s="37" t="s">
        <v>2272</v>
      </c>
      <c r="R401" s="41">
        <v>46271.0</v>
      </c>
      <c r="S401" s="42">
        <v>1.0</v>
      </c>
      <c r="T401" s="44"/>
      <c r="U401" s="47" t="str">
        <f>IF(records[Type]="Room",records[roomNo],records[roomNo]&amp;"-"&amp;SUBSTITUTE(RIGHT(records[roomNo]&amp;records[Type],2),"-",""))</f>
        <v>10-3-092</v>
      </c>
      <c r="V401" s="47" t="str">
        <f t="array" ref="V401">_xlfn.XLOOKUP(records[ID], dAir[roomNo], dAir[roomName])</f>
        <v>MAL</v>
      </c>
      <c r="W401" s="47" t="str">
        <f t="array" ref="W401">_xlfn.XLOOKUP(records[ID], dAir[roomNo], dAir[building])</f>
        <v>Building 10</v>
      </c>
      <c r="X401" s="47" t="str">
        <f t="array" ref="X401">_xlfn.XLOOKUP(records[ID], dAir[roomNo], dAir[floor])</f>
        <v>Floor 3</v>
      </c>
      <c r="Y401" s="45" t="str">
        <f t="array" ref="Y401">_xlfn.XLOOKUP(records[ID], dAir[roomNo], dAir[Class])</f>
        <v>D</v>
      </c>
      <c r="Z401" s="45">
        <f t="array" ref="Z401">_xlfn.XLOOKUP(records[Method]&amp;"-"&amp;records[Class], dAirSpec[ID], dAirSpec[Spec])</f>
        <v>100</v>
      </c>
      <c r="AA401" s="45" t="str">
        <f t="array" ref="AA401">_xlfn.XLOOKUP(records[Method]&amp;"-"&amp;records[Class], dAirSpec[ID], dAirSpec[Unit])</f>
        <v>cfu/plate</v>
      </c>
      <c r="AB401" s="58">
        <f t="array" ref="AB401">if(S401="","", if(records[Method]="Active Air",_xlfn.xlookup(records[ColonyCount]&amp;records[AirSampler],feller[code],feller[Vc]),records[ColonyCount]))</f>
        <v>1</v>
      </c>
      <c r="AC401" s="60" t="b">
        <f t="shared" si="1"/>
        <v>1</v>
      </c>
      <c r="AD401" s="61" t="b">
        <v>0</v>
      </c>
      <c r="AE401" s="32" t="s">
        <v>235</v>
      </c>
      <c r="AF401" s="46"/>
      <c r="AG401" s="46"/>
      <c r="AH401" s="46"/>
      <c r="AI401" s="46"/>
      <c r="AJ401" s="46"/>
    </row>
    <row r="402" ht="22.5" customHeight="1">
      <c r="A402" s="27">
        <v>46222.0</v>
      </c>
      <c r="B402" s="34" t="str">
        <f t="array" ref="B402">TEXT(A402, "MM-YYYY")</f>
        <v>07-2026</v>
      </c>
      <c r="C402" s="20" t="s">
        <v>1195</v>
      </c>
      <c r="D402" s="21" t="s">
        <v>210</v>
      </c>
      <c r="E402" s="36" t="s">
        <v>213</v>
      </c>
      <c r="F402" s="37" t="s">
        <v>65</v>
      </c>
      <c r="G402" s="29" t="b">
        <v>1</v>
      </c>
      <c r="H402" s="36" t="s">
        <v>214</v>
      </c>
      <c r="I402" s="36" t="s">
        <v>215</v>
      </c>
      <c r="J402" s="29"/>
      <c r="K402" s="138"/>
      <c r="L402" s="37" t="s">
        <v>194</v>
      </c>
      <c r="M402" s="37" t="s">
        <v>194</v>
      </c>
      <c r="N402" s="37" t="s">
        <v>194</v>
      </c>
      <c r="O402" s="37" t="s">
        <v>194</v>
      </c>
      <c r="P402" s="37" t="s">
        <v>2271</v>
      </c>
      <c r="Q402" s="37" t="s">
        <v>2272</v>
      </c>
      <c r="R402" s="41">
        <v>46271.0</v>
      </c>
      <c r="S402" s="42">
        <v>0.0</v>
      </c>
      <c r="T402" s="44"/>
      <c r="U402" s="47" t="str">
        <f>IF(records[Type]="Room",records[roomNo],records[roomNo]&amp;"-"&amp;SUBSTITUTE(RIGHT(records[roomNo]&amp;records[Type],2),"-",""))</f>
        <v>10-3-093</v>
      </c>
      <c r="V402" s="47" t="str">
        <f t="array" ref="V402">_xlfn.XLOOKUP(records[ID], dAir[roomNo], dAir[roomName])</f>
        <v>IPQC/OFFICE</v>
      </c>
      <c r="W402" s="47" t="str">
        <f t="array" ref="W402">_xlfn.XLOOKUP(records[ID], dAir[roomNo], dAir[building])</f>
        <v>Building 10</v>
      </c>
      <c r="X402" s="47" t="str">
        <f t="array" ref="X402">_xlfn.XLOOKUP(records[ID], dAir[roomNo], dAir[floor])</f>
        <v>Floor 3</v>
      </c>
      <c r="Y402" s="45" t="str">
        <f t="array" ref="Y402">_xlfn.XLOOKUP(records[ID], dAir[roomNo], dAir[Class])</f>
        <v>D</v>
      </c>
      <c r="Z402" s="45">
        <f t="array" ref="Z402">_xlfn.XLOOKUP(records[Method]&amp;"-"&amp;records[Class], dAirSpec[ID], dAirSpec[Spec])</f>
        <v>100</v>
      </c>
      <c r="AA402" s="45" t="str">
        <f t="array" ref="AA402">_xlfn.XLOOKUP(records[Method]&amp;"-"&amp;records[Class], dAirSpec[ID], dAirSpec[Unit])</f>
        <v>cfu/plate</v>
      </c>
      <c r="AB402" s="58">
        <f t="array" ref="AB402">if(S402="","", if(records[Method]="Active Air",_xlfn.xlookup(records[ColonyCount]&amp;records[AirSampler],feller[code],feller[Vc]),records[ColonyCount]))</f>
        <v>0</v>
      </c>
      <c r="AC402" s="60" t="b">
        <f t="shared" si="1"/>
        <v>1</v>
      </c>
      <c r="AD402" s="61" t="b">
        <v>0</v>
      </c>
      <c r="AE402" s="32" t="s">
        <v>235</v>
      </c>
      <c r="AF402" s="46"/>
      <c r="AG402" s="46"/>
      <c r="AH402" s="46"/>
      <c r="AI402" s="46"/>
      <c r="AJ402" s="46"/>
    </row>
    <row r="403" ht="22.5" customHeight="1">
      <c r="A403" s="27">
        <v>46222.0</v>
      </c>
      <c r="B403" s="34" t="str">
        <f t="array" ref="B403">TEXT(A403, "MM-YYYY")</f>
        <v>07-2026</v>
      </c>
      <c r="C403" s="20" t="s">
        <v>1197</v>
      </c>
      <c r="D403" s="21" t="s">
        <v>210</v>
      </c>
      <c r="E403" s="36" t="s">
        <v>213</v>
      </c>
      <c r="F403" s="37" t="s">
        <v>65</v>
      </c>
      <c r="G403" s="29" t="b">
        <v>1</v>
      </c>
      <c r="H403" s="36" t="s">
        <v>214</v>
      </c>
      <c r="I403" s="36" t="s">
        <v>215</v>
      </c>
      <c r="J403" s="29"/>
      <c r="K403" s="138"/>
      <c r="L403" s="37" t="s">
        <v>194</v>
      </c>
      <c r="M403" s="37" t="s">
        <v>194</v>
      </c>
      <c r="N403" s="37" t="s">
        <v>194</v>
      </c>
      <c r="O403" s="37" t="s">
        <v>194</v>
      </c>
      <c r="P403" s="37" t="s">
        <v>2271</v>
      </c>
      <c r="Q403" s="37" t="s">
        <v>2272</v>
      </c>
      <c r="R403" s="41">
        <v>46271.0</v>
      </c>
      <c r="S403" s="42">
        <v>0.0</v>
      </c>
      <c r="T403" s="44"/>
      <c r="U403" s="47" t="str">
        <f>IF(records[Type]="Room",records[roomNo],records[roomNo]&amp;"-"&amp;SUBSTITUTE(RIGHT(records[roomNo]&amp;records[Type],2),"-",""))</f>
        <v>10-3-094</v>
      </c>
      <c r="V403" s="47" t="str">
        <f t="array" ref="V403">_xlfn.XLOOKUP(records[ID], dAir[roomNo], dAir[roomName])</f>
        <v>DISPENSING 3</v>
      </c>
      <c r="W403" s="47" t="str">
        <f t="array" ref="W403">_xlfn.XLOOKUP(records[ID], dAir[roomNo], dAir[building])</f>
        <v>Building 10</v>
      </c>
      <c r="X403" s="47" t="str">
        <f t="array" ref="X403">_xlfn.XLOOKUP(records[ID], dAir[roomNo], dAir[floor])</f>
        <v>Floor 3</v>
      </c>
      <c r="Y403" s="45" t="str">
        <f t="array" ref="Y403">_xlfn.XLOOKUP(records[ID], dAir[roomNo], dAir[Class])</f>
        <v>D</v>
      </c>
      <c r="Z403" s="45">
        <f t="array" ref="Z403">_xlfn.XLOOKUP(records[Method]&amp;"-"&amp;records[Class], dAirSpec[ID], dAirSpec[Spec])</f>
        <v>100</v>
      </c>
      <c r="AA403" s="45" t="str">
        <f t="array" ref="AA403">_xlfn.XLOOKUP(records[Method]&amp;"-"&amp;records[Class], dAirSpec[ID], dAirSpec[Unit])</f>
        <v>cfu/plate</v>
      </c>
      <c r="AB403" s="58">
        <f t="array" ref="AB403">if(S403="","", if(records[Method]="Active Air",_xlfn.xlookup(records[ColonyCount]&amp;records[AirSampler],feller[code],feller[Vc]),records[ColonyCount]))</f>
        <v>0</v>
      </c>
      <c r="AC403" s="60" t="b">
        <f t="shared" si="1"/>
        <v>1</v>
      </c>
      <c r="AD403" s="61" t="b">
        <v>0</v>
      </c>
      <c r="AE403" s="32" t="s">
        <v>235</v>
      </c>
      <c r="AF403" s="46"/>
      <c r="AG403" s="46"/>
      <c r="AH403" s="46"/>
      <c r="AI403" s="46"/>
      <c r="AJ403" s="46"/>
    </row>
    <row r="404" ht="22.5" customHeight="1">
      <c r="A404" s="27">
        <v>46222.0</v>
      </c>
      <c r="B404" s="34" t="str">
        <f t="array" ref="B404">TEXT(A404, "MM-YYYY")</f>
        <v>07-2026</v>
      </c>
      <c r="C404" s="20" t="s">
        <v>1197</v>
      </c>
      <c r="D404" s="21" t="s">
        <v>680</v>
      </c>
      <c r="E404" s="36" t="s">
        <v>213</v>
      </c>
      <c r="F404" s="37" t="s">
        <v>65</v>
      </c>
      <c r="G404" s="29" t="b">
        <v>1</v>
      </c>
      <c r="H404" s="36" t="s">
        <v>214</v>
      </c>
      <c r="I404" s="36" t="s">
        <v>215</v>
      </c>
      <c r="J404" s="29"/>
      <c r="K404" s="138"/>
      <c r="L404" s="37" t="s">
        <v>194</v>
      </c>
      <c r="M404" s="37" t="s">
        <v>194</v>
      </c>
      <c r="N404" s="37" t="s">
        <v>194</v>
      </c>
      <c r="O404" s="37" t="s">
        <v>194</v>
      </c>
      <c r="P404" s="37" t="s">
        <v>2271</v>
      </c>
      <c r="Q404" s="37" t="s">
        <v>2272</v>
      </c>
      <c r="R404" s="41">
        <v>46271.0</v>
      </c>
      <c r="S404" s="42">
        <v>0.0</v>
      </c>
      <c r="T404" s="44" t="s">
        <v>2341</v>
      </c>
      <c r="U404" s="45" t="str">
        <f>IF(records[Type]="Room",records[roomNo],records[roomNo]&amp;"-"&amp;SUBSTITUTE(RIGHT(records[roomNo]&amp;records[Type],2),"-",""))</f>
        <v>10-3-094-B</v>
      </c>
      <c r="V404" s="47" t="str">
        <f t="array" ref="V404">_xlfn.XLOOKUP(records[ID], dAir[roomNo], dAir[roomName])</f>
        <v>DISPENSING 3 (Booth)</v>
      </c>
      <c r="W404" s="47" t="str">
        <f t="array" ref="W404">_xlfn.XLOOKUP(records[ID], dAir[roomNo], dAir[building])</f>
        <v>Building 10</v>
      </c>
      <c r="X404" s="47" t="str">
        <f t="array" ref="X404">_xlfn.XLOOKUP(records[ID], dAir[roomNo], dAir[floor])</f>
        <v>Floor 3</v>
      </c>
      <c r="Y404" s="45" t="str">
        <f t="array" ref="Y404">_xlfn.XLOOKUP(records[ID], dAir[roomNo], dAir[Class])</f>
        <v>D</v>
      </c>
      <c r="Z404" s="45">
        <f t="array" ref="Z404">_xlfn.XLOOKUP(records[Method]&amp;"-"&amp;records[Class], dAirSpec[ID], dAirSpec[Spec])</f>
        <v>100</v>
      </c>
      <c r="AA404" s="45" t="str">
        <f t="array" ref="AA404">_xlfn.XLOOKUP(records[Method]&amp;"-"&amp;records[Class], dAirSpec[ID], dAirSpec[Unit])</f>
        <v>cfu/plate</v>
      </c>
      <c r="AB404" s="58">
        <f t="array" ref="AB404">if(S404="","", if(records[Method]="Active Air",_xlfn.xlookup(records[ColonyCount]&amp;records[AirSampler],feller[code],feller[Vc]),records[ColonyCount]))</f>
        <v>0</v>
      </c>
      <c r="AC404" s="60" t="b">
        <f t="shared" si="1"/>
        <v>1</v>
      </c>
      <c r="AD404" s="61" t="b">
        <v>0</v>
      </c>
      <c r="AE404" s="32" t="s">
        <v>235</v>
      </c>
      <c r="AF404" s="46"/>
      <c r="AG404" s="46"/>
      <c r="AH404" s="46"/>
      <c r="AI404" s="46"/>
      <c r="AJ404" s="46"/>
    </row>
    <row r="405" ht="22.5" customHeight="1">
      <c r="A405" s="27">
        <v>46222.0</v>
      </c>
      <c r="B405" s="34" t="str">
        <f t="array" ref="B405">TEXT(A405, "MM-YYYY")</f>
        <v>07-2026</v>
      </c>
      <c r="C405" s="20" t="s">
        <v>1201</v>
      </c>
      <c r="D405" s="21" t="s">
        <v>210</v>
      </c>
      <c r="E405" s="36" t="s">
        <v>213</v>
      </c>
      <c r="F405" s="37" t="s">
        <v>65</v>
      </c>
      <c r="G405" s="29" t="b">
        <v>1</v>
      </c>
      <c r="H405" s="36" t="s">
        <v>214</v>
      </c>
      <c r="I405" s="36" t="s">
        <v>215</v>
      </c>
      <c r="J405" s="29"/>
      <c r="K405" s="138"/>
      <c r="L405" s="37" t="s">
        <v>194</v>
      </c>
      <c r="M405" s="37" t="s">
        <v>194</v>
      </c>
      <c r="N405" s="37" t="s">
        <v>194</v>
      </c>
      <c r="O405" s="37" t="s">
        <v>194</v>
      </c>
      <c r="P405" s="37" t="s">
        <v>2271</v>
      </c>
      <c r="Q405" s="37" t="s">
        <v>2272</v>
      </c>
      <c r="R405" s="41">
        <v>46271.0</v>
      </c>
      <c r="S405" s="42">
        <v>0.0</v>
      </c>
      <c r="T405" s="44"/>
      <c r="U405" s="47" t="str">
        <f>IF(records[Type]="Room",records[roomNo],records[roomNo]&amp;"-"&amp;SUBSTITUTE(RIGHT(records[roomNo]&amp;records[Type],2),"-",""))</f>
        <v>10-3-095</v>
      </c>
      <c r="V405" s="47" t="str">
        <f t="array" ref="V405">_xlfn.XLOOKUP(records[ID], dAir[roomNo], dAir[roomName])</f>
        <v>DISPENSING 4</v>
      </c>
      <c r="W405" s="47" t="str">
        <f t="array" ref="W405">_xlfn.XLOOKUP(records[ID], dAir[roomNo], dAir[building])</f>
        <v>Building 10</v>
      </c>
      <c r="X405" s="47" t="str">
        <f t="array" ref="X405">_xlfn.XLOOKUP(records[ID], dAir[roomNo], dAir[floor])</f>
        <v>Floor 3</v>
      </c>
      <c r="Y405" s="45" t="str">
        <f t="array" ref="Y405">_xlfn.XLOOKUP(records[ID], dAir[roomNo], dAir[Class])</f>
        <v>D</v>
      </c>
      <c r="Z405" s="45">
        <f t="array" ref="Z405">_xlfn.XLOOKUP(records[Method]&amp;"-"&amp;records[Class], dAirSpec[ID], dAirSpec[Spec])</f>
        <v>100</v>
      </c>
      <c r="AA405" s="45" t="str">
        <f t="array" ref="AA405">_xlfn.XLOOKUP(records[Method]&amp;"-"&amp;records[Class], dAirSpec[ID], dAirSpec[Unit])</f>
        <v>cfu/plate</v>
      </c>
      <c r="AB405" s="58">
        <f t="array" ref="AB405">if(S405="","", if(records[Method]="Active Air",_xlfn.xlookup(records[ColonyCount]&amp;records[AirSampler],feller[code],feller[Vc]),records[ColonyCount]))</f>
        <v>0</v>
      </c>
      <c r="AC405" s="60" t="b">
        <f t="shared" si="1"/>
        <v>1</v>
      </c>
      <c r="AD405" s="61" t="b">
        <v>0</v>
      </c>
      <c r="AE405" s="32" t="s">
        <v>235</v>
      </c>
      <c r="AF405" s="46"/>
      <c r="AG405" s="46"/>
      <c r="AH405" s="46"/>
      <c r="AI405" s="46"/>
      <c r="AJ405" s="46"/>
    </row>
    <row r="406" ht="22.5" customHeight="1">
      <c r="A406" s="27">
        <v>46222.0</v>
      </c>
      <c r="B406" s="34" t="str">
        <f t="array" ref="B406">TEXT(A406, "MM-YYYY")</f>
        <v>07-2026</v>
      </c>
      <c r="C406" s="20" t="s">
        <v>1201</v>
      </c>
      <c r="D406" s="21" t="s">
        <v>680</v>
      </c>
      <c r="E406" s="36" t="s">
        <v>213</v>
      </c>
      <c r="F406" s="37" t="s">
        <v>65</v>
      </c>
      <c r="G406" s="29" t="b">
        <v>1</v>
      </c>
      <c r="H406" s="36" t="s">
        <v>214</v>
      </c>
      <c r="I406" s="36" t="s">
        <v>215</v>
      </c>
      <c r="J406" s="29"/>
      <c r="K406" s="138"/>
      <c r="L406" s="37" t="s">
        <v>194</v>
      </c>
      <c r="M406" s="37" t="s">
        <v>194</v>
      </c>
      <c r="N406" s="37" t="s">
        <v>194</v>
      </c>
      <c r="O406" s="37" t="s">
        <v>194</v>
      </c>
      <c r="P406" s="37" t="s">
        <v>2271</v>
      </c>
      <c r="Q406" s="37" t="s">
        <v>2272</v>
      </c>
      <c r="R406" s="41">
        <v>46271.0</v>
      </c>
      <c r="S406" s="42">
        <v>0.0</v>
      </c>
      <c r="T406" s="44" t="s">
        <v>2341</v>
      </c>
      <c r="U406" s="45" t="str">
        <f>IF(records[Type]="Room",records[roomNo],records[roomNo]&amp;"-"&amp;SUBSTITUTE(RIGHT(records[roomNo]&amp;records[Type],2),"-",""))</f>
        <v>10-3-095-B</v>
      </c>
      <c r="V406" s="47" t="str">
        <f t="array" ref="V406">_xlfn.XLOOKUP(records[ID], dAir[roomNo], dAir[roomName])</f>
        <v>DISPENSING 4 (Booth)</v>
      </c>
      <c r="W406" s="47" t="str">
        <f t="array" ref="W406">_xlfn.XLOOKUP(records[ID], dAir[roomNo], dAir[building])</f>
        <v>Building 10</v>
      </c>
      <c r="X406" s="47" t="str">
        <f t="array" ref="X406">_xlfn.XLOOKUP(records[ID], dAir[roomNo], dAir[floor])</f>
        <v>Floor 3</v>
      </c>
      <c r="Y406" s="45" t="str">
        <f t="array" ref="Y406">_xlfn.XLOOKUP(records[ID], dAir[roomNo], dAir[Class])</f>
        <v>D</v>
      </c>
      <c r="Z406" s="45">
        <f t="array" ref="Z406">_xlfn.XLOOKUP(records[Method]&amp;"-"&amp;records[Class], dAirSpec[ID], dAirSpec[Spec])</f>
        <v>100</v>
      </c>
      <c r="AA406" s="45" t="str">
        <f t="array" ref="AA406">_xlfn.XLOOKUP(records[Method]&amp;"-"&amp;records[Class], dAirSpec[ID], dAirSpec[Unit])</f>
        <v>cfu/plate</v>
      </c>
      <c r="AB406" s="58">
        <f t="array" ref="AB406">if(S406="","", if(records[Method]="Active Air",_xlfn.xlookup(records[ColonyCount]&amp;records[AirSampler],feller[code],feller[Vc]),records[ColonyCount]))</f>
        <v>0</v>
      </c>
      <c r="AC406" s="60" t="b">
        <f t="shared" si="1"/>
        <v>1</v>
      </c>
      <c r="AD406" s="61" t="b">
        <v>0</v>
      </c>
      <c r="AE406" s="32" t="s">
        <v>235</v>
      </c>
      <c r="AF406" s="46"/>
      <c r="AG406" s="46"/>
      <c r="AH406" s="46"/>
      <c r="AI406" s="46"/>
      <c r="AJ406" s="46"/>
    </row>
    <row r="407" ht="22.5" customHeight="1">
      <c r="A407" s="27">
        <v>46222.0</v>
      </c>
      <c r="B407" s="34" t="str">
        <f t="array" ref="B407">TEXT(A407, "MM-YYYY")</f>
        <v>07-2026</v>
      </c>
      <c r="C407" s="20" t="s">
        <v>1205</v>
      </c>
      <c r="D407" s="21" t="s">
        <v>210</v>
      </c>
      <c r="E407" s="36" t="s">
        <v>213</v>
      </c>
      <c r="F407" s="37" t="s">
        <v>65</v>
      </c>
      <c r="G407" s="29" t="b">
        <v>1</v>
      </c>
      <c r="H407" s="36" t="s">
        <v>214</v>
      </c>
      <c r="I407" s="36" t="s">
        <v>215</v>
      </c>
      <c r="J407" s="29"/>
      <c r="K407" s="138"/>
      <c r="L407" s="37" t="s">
        <v>194</v>
      </c>
      <c r="M407" s="37" t="s">
        <v>194</v>
      </c>
      <c r="N407" s="37" t="s">
        <v>194</v>
      </c>
      <c r="O407" s="37" t="s">
        <v>194</v>
      </c>
      <c r="P407" s="37" t="s">
        <v>2271</v>
      </c>
      <c r="Q407" s="37" t="s">
        <v>2272</v>
      </c>
      <c r="R407" s="41">
        <v>46271.0</v>
      </c>
      <c r="S407" s="42">
        <v>0.0</v>
      </c>
      <c r="T407" s="44"/>
      <c r="U407" s="47" t="str">
        <f>IF(records[Type]="Room",records[roomNo],records[roomNo]&amp;"-"&amp;SUBSTITUTE(RIGHT(records[roomNo]&amp;records[Type],2),"-",""))</f>
        <v>10-3-096</v>
      </c>
      <c r="V407" s="47" t="str">
        <f t="array" ref="V407">_xlfn.XLOOKUP(records[ID], dAir[roomNo], dAir[roomName])</f>
        <v>DISPENSING 5</v>
      </c>
      <c r="W407" s="47" t="str">
        <f t="array" ref="W407">_xlfn.XLOOKUP(records[ID], dAir[roomNo], dAir[building])</f>
        <v>Building 10</v>
      </c>
      <c r="X407" s="47" t="str">
        <f t="array" ref="X407">_xlfn.XLOOKUP(records[ID], dAir[roomNo], dAir[floor])</f>
        <v>Floor 3</v>
      </c>
      <c r="Y407" s="45" t="str">
        <f t="array" ref="Y407">_xlfn.XLOOKUP(records[ID], dAir[roomNo], dAir[Class])</f>
        <v>D</v>
      </c>
      <c r="Z407" s="45">
        <f t="array" ref="Z407">_xlfn.XLOOKUP(records[Method]&amp;"-"&amp;records[Class], dAirSpec[ID], dAirSpec[Spec])</f>
        <v>100</v>
      </c>
      <c r="AA407" s="45" t="str">
        <f t="array" ref="AA407">_xlfn.XLOOKUP(records[Method]&amp;"-"&amp;records[Class], dAirSpec[ID], dAirSpec[Unit])</f>
        <v>cfu/plate</v>
      </c>
      <c r="AB407" s="58">
        <f t="array" ref="AB407">if(S407="","", if(records[Method]="Active Air",_xlfn.xlookup(records[ColonyCount]&amp;records[AirSampler],feller[code],feller[Vc]),records[ColonyCount]))</f>
        <v>0</v>
      </c>
      <c r="AC407" s="60" t="b">
        <f t="shared" si="1"/>
        <v>1</v>
      </c>
      <c r="AD407" s="61" t="b">
        <v>0</v>
      </c>
      <c r="AE407" s="32" t="s">
        <v>235</v>
      </c>
      <c r="AF407" s="46"/>
      <c r="AG407" s="46"/>
      <c r="AH407" s="46"/>
      <c r="AI407" s="46"/>
      <c r="AJ407" s="46"/>
    </row>
    <row r="408" ht="22.5" customHeight="1">
      <c r="A408" s="27">
        <v>46222.0</v>
      </c>
      <c r="B408" s="34" t="str">
        <f t="array" ref="B408">TEXT(A408, "MM-YYYY")</f>
        <v>07-2026</v>
      </c>
      <c r="C408" s="20" t="s">
        <v>1205</v>
      </c>
      <c r="D408" s="21" t="s">
        <v>680</v>
      </c>
      <c r="E408" s="36" t="s">
        <v>213</v>
      </c>
      <c r="F408" s="37" t="s">
        <v>65</v>
      </c>
      <c r="G408" s="29" t="b">
        <v>1</v>
      </c>
      <c r="H408" s="36" t="s">
        <v>214</v>
      </c>
      <c r="I408" s="36" t="s">
        <v>215</v>
      </c>
      <c r="J408" s="29"/>
      <c r="K408" s="138"/>
      <c r="L408" s="37" t="s">
        <v>194</v>
      </c>
      <c r="M408" s="37" t="s">
        <v>194</v>
      </c>
      <c r="N408" s="37" t="s">
        <v>194</v>
      </c>
      <c r="O408" s="37" t="s">
        <v>194</v>
      </c>
      <c r="P408" s="37" t="s">
        <v>2271</v>
      </c>
      <c r="Q408" s="37" t="s">
        <v>2272</v>
      </c>
      <c r="R408" s="41">
        <v>46271.0</v>
      </c>
      <c r="S408" s="42">
        <v>0.0</v>
      </c>
      <c r="T408" s="44" t="s">
        <v>2341</v>
      </c>
      <c r="U408" s="45" t="str">
        <f>IF(records[Type]="Room",records[roomNo],records[roomNo]&amp;"-"&amp;SUBSTITUTE(RIGHT(records[roomNo]&amp;records[Type],2),"-",""))</f>
        <v>10-3-096-B</v>
      </c>
      <c r="V408" s="47" t="str">
        <f t="array" ref="V408">_xlfn.XLOOKUP(records[ID], dAir[roomNo], dAir[roomName])</f>
        <v>DISPENSING 5 (Booth)</v>
      </c>
      <c r="W408" s="47" t="str">
        <f t="array" ref="W408">_xlfn.XLOOKUP(records[ID], dAir[roomNo], dAir[building])</f>
        <v>Building 10</v>
      </c>
      <c r="X408" s="47" t="str">
        <f t="array" ref="X408">_xlfn.XLOOKUP(records[ID], dAir[roomNo], dAir[floor])</f>
        <v>Floor 3</v>
      </c>
      <c r="Y408" s="45" t="str">
        <f t="array" ref="Y408">_xlfn.XLOOKUP(records[ID], dAir[roomNo], dAir[Class])</f>
        <v>D</v>
      </c>
      <c r="Z408" s="45">
        <f t="array" ref="Z408">_xlfn.XLOOKUP(records[Method]&amp;"-"&amp;records[Class], dAirSpec[ID], dAirSpec[Spec])</f>
        <v>100</v>
      </c>
      <c r="AA408" s="45" t="str">
        <f t="array" ref="AA408">_xlfn.XLOOKUP(records[Method]&amp;"-"&amp;records[Class], dAirSpec[ID], dAirSpec[Unit])</f>
        <v>cfu/plate</v>
      </c>
      <c r="AB408" s="58">
        <f t="array" ref="AB408">if(S408="","", if(records[Method]="Active Air",_xlfn.xlookup(records[ColonyCount]&amp;records[AirSampler],feller[code],feller[Vc]),records[ColonyCount]))</f>
        <v>0</v>
      </c>
      <c r="AC408" s="60" t="b">
        <f t="shared" si="1"/>
        <v>1</v>
      </c>
      <c r="AD408" s="61" t="b">
        <v>0</v>
      </c>
      <c r="AE408" s="32" t="s">
        <v>235</v>
      </c>
      <c r="AF408" s="46"/>
      <c r="AG408" s="46"/>
      <c r="AH408" s="46"/>
      <c r="AI408" s="46"/>
      <c r="AJ408" s="46"/>
    </row>
    <row r="409" ht="22.5" customHeight="1">
      <c r="A409" s="27">
        <v>46222.0</v>
      </c>
      <c r="B409" s="34" t="str">
        <f t="array" ref="B409">TEXT(A409, "MM-YYYY")</f>
        <v>07-2026</v>
      </c>
      <c r="C409" s="20" t="s">
        <v>1209</v>
      </c>
      <c r="D409" s="21" t="s">
        <v>210</v>
      </c>
      <c r="E409" s="36" t="s">
        <v>213</v>
      </c>
      <c r="F409" s="37" t="s">
        <v>65</v>
      </c>
      <c r="G409" s="29" t="b">
        <v>1</v>
      </c>
      <c r="H409" s="36" t="s">
        <v>214</v>
      </c>
      <c r="I409" s="36" t="s">
        <v>215</v>
      </c>
      <c r="J409" s="29"/>
      <c r="K409" s="138"/>
      <c r="L409" s="37" t="s">
        <v>194</v>
      </c>
      <c r="M409" s="37" t="s">
        <v>194</v>
      </c>
      <c r="N409" s="37" t="s">
        <v>194</v>
      </c>
      <c r="O409" s="37" t="s">
        <v>194</v>
      </c>
      <c r="P409" s="37" t="s">
        <v>2271</v>
      </c>
      <c r="Q409" s="37" t="s">
        <v>2272</v>
      </c>
      <c r="R409" s="41">
        <v>46271.0</v>
      </c>
      <c r="S409" s="42">
        <v>0.0</v>
      </c>
      <c r="T409" s="44"/>
      <c r="U409" s="47" t="str">
        <f>IF(records[Type]="Room",records[roomNo],records[roomNo]&amp;"-"&amp;SUBSTITUTE(RIGHT(records[roomNo]&amp;records[Type],2),"-",""))</f>
        <v>10-3-097</v>
      </c>
      <c r="V409" s="47" t="str">
        <f t="array" ref="V409">_xlfn.XLOOKUP(records[ID], dAir[roomNo], dAir[roomName])</f>
        <v>DISPENSING 6</v>
      </c>
      <c r="W409" s="47" t="str">
        <f t="array" ref="W409">_xlfn.XLOOKUP(records[ID], dAir[roomNo], dAir[building])</f>
        <v>Building 10</v>
      </c>
      <c r="X409" s="47" t="str">
        <f t="array" ref="X409">_xlfn.XLOOKUP(records[ID], dAir[roomNo], dAir[floor])</f>
        <v>Floor 3</v>
      </c>
      <c r="Y409" s="45" t="str">
        <f t="array" ref="Y409">_xlfn.XLOOKUP(records[ID], dAir[roomNo], dAir[Class])</f>
        <v>D</v>
      </c>
      <c r="Z409" s="45">
        <f t="array" ref="Z409">_xlfn.XLOOKUP(records[Method]&amp;"-"&amp;records[Class], dAirSpec[ID], dAirSpec[Spec])</f>
        <v>100</v>
      </c>
      <c r="AA409" s="45" t="str">
        <f t="array" ref="AA409">_xlfn.XLOOKUP(records[Method]&amp;"-"&amp;records[Class], dAirSpec[ID], dAirSpec[Unit])</f>
        <v>cfu/plate</v>
      </c>
      <c r="AB409" s="58">
        <f t="array" ref="AB409">if(S409="","", if(records[Method]="Active Air",_xlfn.xlookup(records[ColonyCount]&amp;records[AirSampler],feller[code],feller[Vc]),records[ColonyCount]))</f>
        <v>0</v>
      </c>
      <c r="AC409" s="60" t="b">
        <f t="shared" si="1"/>
        <v>1</v>
      </c>
      <c r="AD409" s="61" t="b">
        <v>0</v>
      </c>
      <c r="AE409" s="32" t="s">
        <v>235</v>
      </c>
      <c r="AF409" s="46"/>
      <c r="AG409" s="46"/>
      <c r="AH409" s="46"/>
      <c r="AI409" s="46"/>
      <c r="AJ409" s="46"/>
    </row>
    <row r="410" ht="22.5" customHeight="1">
      <c r="A410" s="27">
        <v>46222.0</v>
      </c>
      <c r="B410" s="34" t="str">
        <f t="array" ref="B410">TEXT(A410, "MM-YYYY")</f>
        <v>07-2026</v>
      </c>
      <c r="C410" s="20" t="s">
        <v>1209</v>
      </c>
      <c r="D410" s="21" t="s">
        <v>680</v>
      </c>
      <c r="E410" s="36" t="s">
        <v>213</v>
      </c>
      <c r="F410" s="37" t="s">
        <v>65</v>
      </c>
      <c r="G410" s="29" t="b">
        <v>1</v>
      </c>
      <c r="H410" s="36" t="s">
        <v>214</v>
      </c>
      <c r="I410" s="36" t="s">
        <v>215</v>
      </c>
      <c r="J410" s="29"/>
      <c r="K410" s="138"/>
      <c r="L410" s="37" t="s">
        <v>194</v>
      </c>
      <c r="M410" s="37" t="s">
        <v>194</v>
      </c>
      <c r="N410" s="37" t="s">
        <v>194</v>
      </c>
      <c r="O410" s="37" t="s">
        <v>194</v>
      </c>
      <c r="P410" s="37" t="s">
        <v>2271</v>
      </c>
      <c r="Q410" s="37" t="s">
        <v>2272</v>
      </c>
      <c r="R410" s="41">
        <v>46271.0</v>
      </c>
      <c r="S410" s="42">
        <v>0.0</v>
      </c>
      <c r="T410" s="44" t="s">
        <v>2341</v>
      </c>
      <c r="U410" s="45" t="str">
        <f>IF(records[Type]="Room",records[roomNo],records[roomNo]&amp;"-"&amp;SUBSTITUTE(RIGHT(records[roomNo]&amp;records[Type],2),"-",""))</f>
        <v>10-3-097-B</v>
      </c>
      <c r="V410" s="47" t="str">
        <f t="array" ref="V410">_xlfn.XLOOKUP(records[ID], dAir[roomNo], dAir[roomName])</f>
        <v>DISPENSING 6 (Booth)</v>
      </c>
      <c r="W410" s="47" t="str">
        <f t="array" ref="W410">_xlfn.XLOOKUP(records[ID], dAir[roomNo], dAir[building])</f>
        <v>Building 10</v>
      </c>
      <c r="X410" s="47" t="str">
        <f t="array" ref="X410">_xlfn.XLOOKUP(records[ID], dAir[roomNo], dAir[floor])</f>
        <v>Floor 3</v>
      </c>
      <c r="Y410" s="45" t="str">
        <f t="array" ref="Y410">_xlfn.XLOOKUP(records[ID], dAir[roomNo], dAir[Class])</f>
        <v>D</v>
      </c>
      <c r="Z410" s="45">
        <f t="array" ref="Z410">_xlfn.XLOOKUP(records[Method]&amp;"-"&amp;records[Class], dAirSpec[ID], dAirSpec[Spec])</f>
        <v>100</v>
      </c>
      <c r="AA410" s="45" t="str">
        <f t="array" ref="AA410">_xlfn.XLOOKUP(records[Method]&amp;"-"&amp;records[Class], dAirSpec[ID], dAirSpec[Unit])</f>
        <v>cfu/plate</v>
      </c>
      <c r="AB410" s="58">
        <f t="array" ref="AB410">if(S410="","", if(records[Method]="Active Air",_xlfn.xlookup(records[ColonyCount]&amp;records[AirSampler],feller[code],feller[Vc]),records[ColonyCount]))</f>
        <v>0</v>
      </c>
      <c r="AC410" s="60" t="b">
        <f t="shared" si="1"/>
        <v>1</v>
      </c>
      <c r="AD410" s="61" t="b">
        <v>0</v>
      </c>
      <c r="AE410" s="32" t="s">
        <v>235</v>
      </c>
      <c r="AF410" s="46"/>
      <c r="AG410" s="46"/>
      <c r="AH410" s="46"/>
      <c r="AI410" s="46"/>
      <c r="AJ410" s="46"/>
    </row>
    <row r="411" ht="22.5" customHeight="1">
      <c r="A411" s="27">
        <v>46222.0</v>
      </c>
      <c r="B411" s="34" t="str">
        <f t="array" ref="B411">TEXT(A411, "MM-YYYY")</f>
        <v>07-2026</v>
      </c>
      <c r="C411" s="20" t="s">
        <v>1213</v>
      </c>
      <c r="D411" s="21" t="s">
        <v>210</v>
      </c>
      <c r="E411" s="36" t="s">
        <v>213</v>
      </c>
      <c r="F411" s="37" t="s">
        <v>65</v>
      </c>
      <c r="G411" s="29" t="b">
        <v>1</v>
      </c>
      <c r="H411" s="36" t="s">
        <v>214</v>
      </c>
      <c r="I411" s="36" t="s">
        <v>215</v>
      </c>
      <c r="J411" s="29"/>
      <c r="K411" s="138"/>
      <c r="L411" s="37" t="s">
        <v>194</v>
      </c>
      <c r="M411" s="37" t="s">
        <v>194</v>
      </c>
      <c r="N411" s="37" t="s">
        <v>194</v>
      </c>
      <c r="O411" s="37" t="s">
        <v>194</v>
      </c>
      <c r="P411" s="37" t="s">
        <v>2271</v>
      </c>
      <c r="Q411" s="37" t="s">
        <v>2272</v>
      </c>
      <c r="R411" s="41">
        <v>46271.0</v>
      </c>
      <c r="S411" s="42">
        <v>0.0</v>
      </c>
      <c r="T411" s="44"/>
      <c r="U411" s="47" t="str">
        <f>IF(records[Type]="Room",records[roomNo],records[roomNo]&amp;"-"&amp;SUBSTITUTE(RIGHT(records[roomNo]&amp;records[Type],2),"-",""))</f>
        <v>10-3-098</v>
      </c>
      <c r="V411" s="47" t="str">
        <f t="array" ref="V411">_xlfn.XLOOKUP(records[ID], dAir[roomNo], dAir[roomName])</f>
        <v>DISPENSED MATERIAL STAGING</v>
      </c>
      <c r="W411" s="47" t="str">
        <f t="array" ref="W411">_xlfn.XLOOKUP(records[ID], dAir[roomNo], dAir[building])</f>
        <v>Building 10</v>
      </c>
      <c r="X411" s="47" t="str">
        <f t="array" ref="X411">_xlfn.XLOOKUP(records[ID], dAir[roomNo], dAir[floor])</f>
        <v>Floor 3</v>
      </c>
      <c r="Y411" s="45" t="str">
        <f t="array" ref="Y411">_xlfn.XLOOKUP(records[ID], dAir[roomNo], dAir[Class])</f>
        <v>D</v>
      </c>
      <c r="Z411" s="45">
        <f t="array" ref="Z411">_xlfn.XLOOKUP(records[Method]&amp;"-"&amp;records[Class], dAirSpec[ID], dAirSpec[Spec])</f>
        <v>100</v>
      </c>
      <c r="AA411" s="45" t="str">
        <f t="array" ref="AA411">_xlfn.XLOOKUP(records[Method]&amp;"-"&amp;records[Class], dAirSpec[ID], dAirSpec[Unit])</f>
        <v>cfu/plate</v>
      </c>
      <c r="AB411" s="58">
        <f t="array" ref="AB411">if(S411="","", if(records[Method]="Active Air",_xlfn.xlookup(records[ColonyCount]&amp;records[AirSampler],feller[code],feller[Vc]),records[ColonyCount]))</f>
        <v>0</v>
      </c>
      <c r="AC411" s="60" t="b">
        <f t="shared" si="1"/>
        <v>1</v>
      </c>
      <c r="AD411" s="61" t="b">
        <v>0</v>
      </c>
      <c r="AE411" s="32" t="s">
        <v>235</v>
      </c>
      <c r="AF411" s="46"/>
      <c r="AG411" s="46"/>
      <c r="AH411" s="46"/>
      <c r="AI411" s="46"/>
      <c r="AJ411" s="46"/>
    </row>
    <row r="412" ht="22.5" customHeight="1">
      <c r="A412" s="27">
        <v>46222.0</v>
      </c>
      <c r="B412" s="34" t="str">
        <f t="array" ref="B412">TEXT(A412, "MM-YYYY")</f>
        <v>07-2026</v>
      </c>
      <c r="C412" s="20" t="s">
        <v>1215</v>
      </c>
      <c r="D412" s="21" t="s">
        <v>210</v>
      </c>
      <c r="E412" s="36" t="s">
        <v>213</v>
      </c>
      <c r="F412" s="37" t="s">
        <v>65</v>
      </c>
      <c r="G412" s="29" t="b">
        <v>1</v>
      </c>
      <c r="H412" s="36" t="s">
        <v>214</v>
      </c>
      <c r="I412" s="36" t="s">
        <v>215</v>
      </c>
      <c r="J412" s="29"/>
      <c r="K412" s="138"/>
      <c r="L412" s="37" t="s">
        <v>194</v>
      </c>
      <c r="M412" s="37" t="s">
        <v>194</v>
      </c>
      <c r="N412" s="37" t="s">
        <v>194</v>
      </c>
      <c r="O412" s="37" t="s">
        <v>194</v>
      </c>
      <c r="P412" s="37" t="s">
        <v>2271</v>
      </c>
      <c r="Q412" s="37" t="s">
        <v>2272</v>
      </c>
      <c r="R412" s="41">
        <v>46271.0</v>
      </c>
      <c r="S412" s="42">
        <v>0.0</v>
      </c>
      <c r="T412" s="44"/>
      <c r="U412" s="47" t="str">
        <f>IF(records[Type]="Room",records[roomNo],records[roomNo]&amp;"-"&amp;SUBSTITUTE(RIGHT(records[roomNo]&amp;records[Type],2),"-",""))</f>
        <v>10-3-099</v>
      </c>
      <c r="V412" s="47" t="str">
        <f t="array" ref="V412">_xlfn.XLOOKUP(records[ID], dAir[roomNo], dAir[roomName])</f>
        <v>OFFICE</v>
      </c>
      <c r="W412" s="47" t="str">
        <f t="array" ref="W412">_xlfn.XLOOKUP(records[ID], dAir[roomNo], dAir[building])</f>
        <v>Building 10</v>
      </c>
      <c r="X412" s="47" t="str">
        <f t="array" ref="X412">_xlfn.XLOOKUP(records[ID], dAir[roomNo], dAir[floor])</f>
        <v>Floor 3</v>
      </c>
      <c r="Y412" s="45" t="str">
        <f t="array" ref="Y412">_xlfn.XLOOKUP(records[ID], dAir[roomNo], dAir[Class])</f>
        <v>D</v>
      </c>
      <c r="Z412" s="45">
        <f t="array" ref="Z412">_xlfn.XLOOKUP(records[Method]&amp;"-"&amp;records[Class], dAirSpec[ID], dAirSpec[Spec])</f>
        <v>100</v>
      </c>
      <c r="AA412" s="45" t="str">
        <f t="array" ref="AA412">_xlfn.XLOOKUP(records[Method]&amp;"-"&amp;records[Class], dAirSpec[ID], dAirSpec[Unit])</f>
        <v>cfu/plate</v>
      </c>
      <c r="AB412" s="58">
        <f t="array" ref="AB412">if(S412="","", if(records[Method]="Active Air",_xlfn.xlookup(records[ColonyCount]&amp;records[AirSampler],feller[code],feller[Vc]),records[ColonyCount]))</f>
        <v>0</v>
      </c>
      <c r="AC412" s="60" t="b">
        <f t="shared" si="1"/>
        <v>1</v>
      </c>
      <c r="AD412" s="61" t="b">
        <v>0</v>
      </c>
      <c r="AE412" s="32" t="s">
        <v>235</v>
      </c>
      <c r="AF412" s="46"/>
      <c r="AG412" s="46"/>
      <c r="AH412" s="46"/>
      <c r="AI412" s="46"/>
      <c r="AJ412" s="46"/>
    </row>
    <row r="413" ht="22.5" customHeight="1">
      <c r="A413" s="27">
        <v>46222.0</v>
      </c>
      <c r="B413" s="34" t="str">
        <f t="array" ref="B413">TEXT(A413, "MM-YYYY")</f>
        <v>07-2026</v>
      </c>
      <c r="C413" s="20" t="s">
        <v>1216</v>
      </c>
      <c r="D413" s="21" t="s">
        <v>210</v>
      </c>
      <c r="E413" s="36" t="s">
        <v>213</v>
      </c>
      <c r="F413" s="37" t="s">
        <v>65</v>
      </c>
      <c r="G413" s="29" t="b">
        <v>1</v>
      </c>
      <c r="H413" s="36" t="s">
        <v>214</v>
      </c>
      <c r="I413" s="36" t="s">
        <v>215</v>
      </c>
      <c r="J413" s="29"/>
      <c r="K413" s="138"/>
      <c r="L413" s="37" t="s">
        <v>194</v>
      </c>
      <c r="M413" s="37" t="s">
        <v>194</v>
      </c>
      <c r="N413" s="37" t="s">
        <v>194</v>
      </c>
      <c r="O413" s="37" t="s">
        <v>194</v>
      </c>
      <c r="P413" s="37" t="s">
        <v>2271</v>
      </c>
      <c r="Q413" s="37" t="s">
        <v>2272</v>
      </c>
      <c r="R413" s="41">
        <v>46271.0</v>
      </c>
      <c r="S413" s="42">
        <v>0.0</v>
      </c>
      <c r="T413" s="44"/>
      <c r="U413" s="47" t="str">
        <f>IF(records[Type]="Room",records[roomNo],records[roomNo]&amp;"-"&amp;SUBSTITUTE(RIGHT(records[roomNo]&amp;records[Type],2),"-",""))</f>
        <v>10-3-100</v>
      </c>
      <c r="V413" s="47" t="str">
        <f t="array" ref="V413">_xlfn.XLOOKUP(records[ID], dAir[roomNo], dAir[roomName])</f>
        <v>AIRLOCK</v>
      </c>
      <c r="W413" s="47" t="str">
        <f t="array" ref="W413">_xlfn.XLOOKUP(records[ID], dAir[roomNo], dAir[building])</f>
        <v>Building 10</v>
      </c>
      <c r="X413" s="47" t="str">
        <f t="array" ref="X413">_xlfn.XLOOKUP(records[ID], dAir[roomNo], dAir[floor])</f>
        <v>Floor 3</v>
      </c>
      <c r="Y413" s="45" t="str">
        <f t="array" ref="Y413">_xlfn.XLOOKUP(records[ID], dAir[roomNo], dAir[Class])</f>
        <v>D</v>
      </c>
      <c r="Z413" s="45">
        <f t="array" ref="Z413">_xlfn.XLOOKUP(records[Method]&amp;"-"&amp;records[Class], dAirSpec[ID], dAirSpec[Spec])</f>
        <v>100</v>
      </c>
      <c r="AA413" s="45" t="str">
        <f t="array" ref="AA413">_xlfn.XLOOKUP(records[Method]&amp;"-"&amp;records[Class], dAirSpec[ID], dAirSpec[Unit])</f>
        <v>cfu/plate</v>
      </c>
      <c r="AB413" s="58">
        <f t="array" ref="AB413">if(S413="","", if(records[Method]="Active Air",_xlfn.xlookup(records[ColonyCount]&amp;records[AirSampler],feller[code],feller[Vc]),records[ColonyCount]))</f>
        <v>0</v>
      </c>
      <c r="AC413" s="60" t="b">
        <f t="shared" si="1"/>
        <v>1</v>
      </c>
      <c r="AD413" s="61" t="b">
        <v>0</v>
      </c>
      <c r="AE413" s="32" t="s">
        <v>235</v>
      </c>
      <c r="AF413" s="46"/>
      <c r="AG413" s="46"/>
      <c r="AH413" s="46"/>
      <c r="AI413" s="46"/>
      <c r="AJ413" s="46"/>
    </row>
    <row r="414" ht="22.5" customHeight="1">
      <c r="A414" s="27">
        <v>46222.0</v>
      </c>
      <c r="B414" s="34" t="str">
        <f t="array" ref="B414">TEXT(A414, "MM-YYYY")</f>
        <v>07-2026</v>
      </c>
      <c r="C414" s="20" t="s">
        <v>1217</v>
      </c>
      <c r="D414" s="21" t="s">
        <v>210</v>
      </c>
      <c r="E414" s="36" t="s">
        <v>213</v>
      </c>
      <c r="F414" s="37" t="s">
        <v>65</v>
      </c>
      <c r="G414" s="29" t="b">
        <v>1</v>
      </c>
      <c r="H414" s="36" t="s">
        <v>214</v>
      </c>
      <c r="I414" s="36" t="s">
        <v>215</v>
      </c>
      <c r="J414" s="29"/>
      <c r="K414" s="138"/>
      <c r="L414" s="37" t="s">
        <v>194</v>
      </c>
      <c r="M414" s="37" t="s">
        <v>194</v>
      </c>
      <c r="N414" s="37" t="s">
        <v>194</v>
      </c>
      <c r="O414" s="37" t="s">
        <v>194</v>
      </c>
      <c r="P414" s="37" t="s">
        <v>2271</v>
      </c>
      <c r="Q414" s="37" t="s">
        <v>2272</v>
      </c>
      <c r="R414" s="41">
        <v>46271.0</v>
      </c>
      <c r="S414" s="42">
        <v>0.0</v>
      </c>
      <c r="T414" s="44" t="s">
        <v>2011</v>
      </c>
      <c r="U414" s="47" t="str">
        <f>IF(records[Type]="Room",records[roomNo],records[roomNo]&amp;"-"&amp;SUBSTITUTE(RIGHT(records[roomNo]&amp;records[Type],2),"-",""))</f>
        <v>10-3-101</v>
      </c>
      <c r="V414" s="47" t="str">
        <f t="array" ref="V414">_xlfn.XLOOKUP(records[ID], dAir[roomNo], dAir[roomName])</f>
        <v>CORRIDOR</v>
      </c>
      <c r="W414" s="47" t="str">
        <f t="array" ref="W414">_xlfn.XLOOKUP(records[ID], dAir[roomNo], dAir[building])</f>
        <v>Building 10</v>
      </c>
      <c r="X414" s="47" t="str">
        <f t="array" ref="X414">_xlfn.XLOOKUP(records[ID], dAir[roomNo], dAir[floor])</f>
        <v>Floor 3</v>
      </c>
      <c r="Y414" s="45" t="str">
        <f t="array" ref="Y414">_xlfn.XLOOKUP(records[ID], dAir[roomNo], dAir[Class])</f>
        <v>D</v>
      </c>
      <c r="Z414" s="45">
        <f t="array" ref="Z414">_xlfn.XLOOKUP(records[Method]&amp;"-"&amp;records[Class], dAirSpec[ID], dAirSpec[Spec])</f>
        <v>100</v>
      </c>
      <c r="AA414" s="45" t="str">
        <f t="array" ref="AA414">_xlfn.XLOOKUP(records[Method]&amp;"-"&amp;records[Class], dAirSpec[ID], dAirSpec[Unit])</f>
        <v>cfu/plate</v>
      </c>
      <c r="AB414" s="58">
        <f t="array" ref="AB414">if(S414="","", if(records[Method]="Active Air",_xlfn.xlookup(records[ColonyCount]&amp;records[AirSampler],feller[code],feller[Vc]),records[ColonyCount]))</f>
        <v>0</v>
      </c>
      <c r="AC414" s="60" t="b">
        <f t="shared" si="1"/>
        <v>1</v>
      </c>
      <c r="AD414" s="61" t="b">
        <v>0</v>
      </c>
      <c r="AE414" s="32" t="s">
        <v>235</v>
      </c>
      <c r="AF414" s="46"/>
      <c r="AG414" s="46"/>
      <c r="AH414" s="46"/>
      <c r="AI414" s="46"/>
      <c r="AJ414" s="46"/>
    </row>
    <row r="415" ht="22.5" customHeight="1">
      <c r="A415" s="27">
        <v>46222.0</v>
      </c>
      <c r="B415" s="34" t="str">
        <f t="array" ref="B415">TEXT(A415, "MM-YYYY")</f>
        <v>07-2026</v>
      </c>
      <c r="C415" s="20" t="s">
        <v>1218</v>
      </c>
      <c r="D415" s="21" t="s">
        <v>210</v>
      </c>
      <c r="E415" s="36" t="s">
        <v>213</v>
      </c>
      <c r="F415" s="37" t="s">
        <v>65</v>
      </c>
      <c r="G415" s="29" t="b">
        <v>1</v>
      </c>
      <c r="H415" s="36" t="s">
        <v>214</v>
      </c>
      <c r="I415" s="36" t="s">
        <v>215</v>
      </c>
      <c r="J415" s="29"/>
      <c r="K415" s="138"/>
      <c r="L415" s="37" t="s">
        <v>194</v>
      </c>
      <c r="M415" s="37" t="s">
        <v>194</v>
      </c>
      <c r="N415" s="37" t="s">
        <v>194</v>
      </c>
      <c r="O415" s="37" t="s">
        <v>194</v>
      </c>
      <c r="P415" s="37" t="s">
        <v>2271</v>
      </c>
      <c r="Q415" s="37" t="s">
        <v>2272</v>
      </c>
      <c r="R415" s="41">
        <v>46271.0</v>
      </c>
      <c r="S415" s="42">
        <v>0.0</v>
      </c>
      <c r="T415" s="44"/>
      <c r="U415" s="47" t="str">
        <f>IF(records[Type]="Room",records[roomNo],records[roomNo]&amp;"-"&amp;SUBSTITUTE(RIGHT(records[roomNo]&amp;records[Type],2),"-",""))</f>
        <v>10-3-102</v>
      </c>
      <c r="V415" s="47" t="str">
        <f t="array" ref="V415">_xlfn.XLOOKUP(records[ID], dAir[roomNo], dAir[roomName])</f>
        <v>IPQC-1</v>
      </c>
      <c r="W415" s="47" t="str">
        <f t="array" ref="W415">_xlfn.XLOOKUP(records[ID], dAir[roomNo], dAir[building])</f>
        <v>Building 10</v>
      </c>
      <c r="X415" s="47" t="str">
        <f t="array" ref="X415">_xlfn.XLOOKUP(records[ID], dAir[roomNo], dAir[floor])</f>
        <v>Floor 3</v>
      </c>
      <c r="Y415" s="45" t="str">
        <f t="array" ref="Y415">_xlfn.XLOOKUP(records[ID], dAir[roomNo], dAir[Class])</f>
        <v>D</v>
      </c>
      <c r="Z415" s="45">
        <f t="array" ref="Z415">_xlfn.XLOOKUP(records[Method]&amp;"-"&amp;records[Class], dAirSpec[ID], dAirSpec[Spec])</f>
        <v>100</v>
      </c>
      <c r="AA415" s="45" t="str">
        <f t="array" ref="AA415">_xlfn.XLOOKUP(records[Method]&amp;"-"&amp;records[Class], dAirSpec[ID], dAirSpec[Unit])</f>
        <v>cfu/plate</v>
      </c>
      <c r="AB415" s="58">
        <f t="array" ref="AB415">if(S415="","", if(records[Method]="Active Air",_xlfn.xlookup(records[ColonyCount]&amp;records[AirSampler],feller[code],feller[Vc]),records[ColonyCount]))</f>
        <v>0</v>
      </c>
      <c r="AC415" s="60" t="b">
        <f t="shared" si="1"/>
        <v>1</v>
      </c>
      <c r="AD415" s="61" t="b">
        <v>0</v>
      </c>
      <c r="AE415" s="32" t="s">
        <v>235</v>
      </c>
      <c r="AF415" s="46"/>
      <c r="AG415" s="46"/>
      <c r="AH415" s="46"/>
      <c r="AI415" s="46"/>
      <c r="AJ415" s="46"/>
    </row>
    <row r="416" ht="22.5" customHeight="1">
      <c r="A416" s="27">
        <v>46222.0</v>
      </c>
      <c r="B416" s="34" t="str">
        <f t="array" ref="B416">TEXT(A416, "MM-YYYY")</f>
        <v>07-2026</v>
      </c>
      <c r="C416" s="20" t="s">
        <v>1220</v>
      </c>
      <c r="D416" s="21" t="s">
        <v>210</v>
      </c>
      <c r="E416" s="36" t="s">
        <v>213</v>
      </c>
      <c r="F416" s="37" t="s">
        <v>65</v>
      </c>
      <c r="G416" s="29" t="b">
        <v>1</v>
      </c>
      <c r="H416" s="36" t="s">
        <v>214</v>
      </c>
      <c r="I416" s="36" t="s">
        <v>215</v>
      </c>
      <c r="J416" s="29"/>
      <c r="K416" s="138"/>
      <c r="L416" s="37" t="s">
        <v>194</v>
      </c>
      <c r="M416" s="37" t="s">
        <v>194</v>
      </c>
      <c r="N416" s="37" t="s">
        <v>194</v>
      </c>
      <c r="O416" s="37" t="s">
        <v>194</v>
      </c>
      <c r="P416" s="37" t="s">
        <v>2271</v>
      </c>
      <c r="Q416" s="37" t="s">
        <v>2272</v>
      </c>
      <c r="R416" s="41">
        <v>46271.0</v>
      </c>
      <c r="S416" s="42">
        <v>2.0</v>
      </c>
      <c r="T416" s="44"/>
      <c r="U416" s="47" t="str">
        <f>IF(records[Type]="Room",records[roomNo],records[roomNo]&amp;"-"&amp;SUBSTITUTE(RIGHT(records[roomNo]&amp;records[Type],2),"-",""))</f>
        <v>10-3-103</v>
      </c>
      <c r="V416" s="47" t="str">
        <f t="array" ref="V416">_xlfn.XLOOKUP(records[ID], dAir[roomNo], dAir[roomName])</f>
        <v>WEIGHINH 1</v>
      </c>
      <c r="W416" s="47" t="str">
        <f t="array" ref="W416">_xlfn.XLOOKUP(records[ID], dAir[roomNo], dAir[building])</f>
        <v>Building 10</v>
      </c>
      <c r="X416" s="47" t="str">
        <f t="array" ref="X416">_xlfn.XLOOKUP(records[ID], dAir[roomNo], dAir[floor])</f>
        <v>Floor 3</v>
      </c>
      <c r="Y416" s="45" t="str">
        <f t="array" ref="Y416">_xlfn.XLOOKUP(records[ID], dAir[roomNo], dAir[Class])</f>
        <v>D</v>
      </c>
      <c r="Z416" s="45">
        <f t="array" ref="Z416">_xlfn.XLOOKUP(records[Method]&amp;"-"&amp;records[Class], dAirSpec[ID], dAirSpec[Spec])</f>
        <v>100</v>
      </c>
      <c r="AA416" s="45" t="str">
        <f t="array" ref="AA416">_xlfn.XLOOKUP(records[Method]&amp;"-"&amp;records[Class], dAirSpec[ID], dAirSpec[Unit])</f>
        <v>cfu/plate</v>
      </c>
      <c r="AB416" s="58">
        <f t="array" ref="AB416">if(S416="","", if(records[Method]="Active Air",_xlfn.xlookup(records[ColonyCount]&amp;records[AirSampler],feller[code],feller[Vc]),records[ColonyCount]))</f>
        <v>2</v>
      </c>
      <c r="AC416" s="60" t="b">
        <f t="shared" si="1"/>
        <v>1</v>
      </c>
      <c r="AD416" s="61" t="b">
        <v>0</v>
      </c>
      <c r="AE416" s="32" t="s">
        <v>235</v>
      </c>
      <c r="AF416" s="46"/>
      <c r="AG416" s="46"/>
      <c r="AH416" s="46"/>
      <c r="AI416" s="46"/>
      <c r="AJ416" s="46"/>
    </row>
    <row r="417" ht="22.5" customHeight="1">
      <c r="A417" s="27">
        <v>46222.0</v>
      </c>
      <c r="B417" s="34" t="str">
        <f t="array" ref="B417">TEXT(A417, "MM-YYYY")</f>
        <v>07-2026</v>
      </c>
      <c r="C417" s="20" t="s">
        <v>573</v>
      </c>
      <c r="D417" s="21" t="s">
        <v>210</v>
      </c>
      <c r="E417" s="36" t="s">
        <v>213</v>
      </c>
      <c r="F417" s="37" t="s">
        <v>65</v>
      </c>
      <c r="G417" s="29" t="b">
        <v>1</v>
      </c>
      <c r="H417" s="36" t="s">
        <v>214</v>
      </c>
      <c r="I417" s="36" t="s">
        <v>215</v>
      </c>
      <c r="J417" s="29"/>
      <c r="K417" s="138"/>
      <c r="L417" s="37" t="s">
        <v>194</v>
      </c>
      <c r="M417" s="37" t="s">
        <v>194</v>
      </c>
      <c r="N417" s="37" t="s">
        <v>194</v>
      </c>
      <c r="O417" s="37" t="s">
        <v>194</v>
      </c>
      <c r="P417" s="37" t="s">
        <v>2271</v>
      </c>
      <c r="Q417" s="37" t="s">
        <v>2272</v>
      </c>
      <c r="R417" s="41">
        <v>46271.0</v>
      </c>
      <c r="S417" s="42">
        <v>1.0</v>
      </c>
      <c r="T417" s="44"/>
      <c r="U417" s="47" t="str">
        <f>IF(records[Type]="Room",records[roomNo],records[roomNo]&amp;"-"&amp;SUBSTITUTE(RIGHT(records[roomNo]&amp;records[Type],2),"-",""))</f>
        <v>10-3-104</v>
      </c>
      <c r="V417" s="47" t="str">
        <f t="array" ref="V417">_xlfn.XLOOKUP(records[ID], dAir[roomNo], dAir[roomName])</f>
        <v>BINDER PREPARATION  (BINDER PREPARATION MACHINE)</v>
      </c>
      <c r="W417" s="47" t="str">
        <f t="array" ref="W417">_xlfn.XLOOKUP(records[ID], dAir[roomNo], dAir[building])</f>
        <v>Building 10</v>
      </c>
      <c r="X417" s="47" t="str">
        <f t="array" ref="X417">_xlfn.XLOOKUP(records[ID], dAir[roomNo], dAir[floor])</f>
        <v>Floor 3</v>
      </c>
      <c r="Y417" s="45" t="str">
        <f t="array" ref="Y417">_xlfn.XLOOKUP(records[ID], dAir[roomNo], dAir[Class])</f>
        <v>D</v>
      </c>
      <c r="Z417" s="45">
        <f t="array" ref="Z417">_xlfn.XLOOKUP(records[Method]&amp;"-"&amp;records[Class], dAirSpec[ID], dAirSpec[Spec])</f>
        <v>100</v>
      </c>
      <c r="AA417" s="45" t="str">
        <f t="array" ref="AA417">_xlfn.XLOOKUP(records[Method]&amp;"-"&amp;records[Class], dAirSpec[ID], dAirSpec[Unit])</f>
        <v>cfu/plate</v>
      </c>
      <c r="AB417" s="58">
        <f t="array" ref="AB417">if(S417="","", if(records[Method]="Active Air",_xlfn.xlookup(records[ColonyCount]&amp;records[AirSampler],feller[code],feller[Vc]),records[ColonyCount]))</f>
        <v>1</v>
      </c>
      <c r="AC417" s="60" t="b">
        <f t="shared" si="1"/>
        <v>1</v>
      </c>
      <c r="AD417" s="61" t="b">
        <v>0</v>
      </c>
      <c r="AE417" s="32" t="s">
        <v>235</v>
      </c>
      <c r="AF417" s="46"/>
      <c r="AG417" s="46"/>
      <c r="AH417" s="46"/>
      <c r="AI417" s="46"/>
      <c r="AJ417" s="46"/>
    </row>
    <row r="418" ht="22.5" customHeight="1">
      <c r="A418" s="27">
        <v>46222.0</v>
      </c>
      <c r="B418" s="34" t="str">
        <f t="array" ref="B418">TEXT(A418, "MM-YYYY")</f>
        <v>07-2026</v>
      </c>
      <c r="C418" s="20" t="s">
        <v>1223</v>
      </c>
      <c r="D418" s="21" t="s">
        <v>210</v>
      </c>
      <c r="E418" s="36" t="s">
        <v>213</v>
      </c>
      <c r="F418" s="37" t="s">
        <v>65</v>
      </c>
      <c r="G418" s="29" t="b">
        <v>1</v>
      </c>
      <c r="H418" s="36" t="s">
        <v>214</v>
      </c>
      <c r="I418" s="36" t="s">
        <v>215</v>
      </c>
      <c r="J418" s="29"/>
      <c r="K418" s="138"/>
      <c r="L418" s="37" t="s">
        <v>194</v>
      </c>
      <c r="M418" s="37" t="s">
        <v>194</v>
      </c>
      <c r="N418" s="37" t="s">
        <v>194</v>
      </c>
      <c r="O418" s="37" t="s">
        <v>194</v>
      </c>
      <c r="P418" s="37" t="s">
        <v>2271</v>
      </c>
      <c r="Q418" s="37" t="s">
        <v>2272</v>
      </c>
      <c r="R418" s="41">
        <v>46271.0</v>
      </c>
      <c r="S418" s="42">
        <v>0.0</v>
      </c>
      <c r="T418" s="44" t="s">
        <v>1043</v>
      </c>
      <c r="U418" s="47" t="str">
        <f>IF(records[Type]="Room",records[roomNo],records[roomNo]&amp;"-"&amp;SUBSTITUTE(RIGHT(records[roomNo]&amp;records[Type],2),"-",""))</f>
        <v>10-3-105</v>
      </c>
      <c r="V418" s="47" t="str">
        <f t="array" ref="V418">_xlfn.XLOOKUP(records[ID], dAir[roomNo], dAir[roomName])</f>
        <v>CORRIDOR</v>
      </c>
      <c r="W418" s="47" t="str">
        <f t="array" ref="W418">_xlfn.XLOOKUP(records[ID], dAir[roomNo], dAir[building])</f>
        <v>Building 10</v>
      </c>
      <c r="X418" s="47" t="str">
        <f t="array" ref="X418">_xlfn.XLOOKUP(records[ID], dAir[roomNo], dAir[floor])</f>
        <v>Floor 3</v>
      </c>
      <c r="Y418" s="45" t="str">
        <f t="array" ref="Y418">_xlfn.XLOOKUP(records[ID], dAir[roomNo], dAir[Class])</f>
        <v>D</v>
      </c>
      <c r="Z418" s="45">
        <f t="array" ref="Z418">_xlfn.XLOOKUP(records[Method]&amp;"-"&amp;records[Class], dAirSpec[ID], dAirSpec[Spec])</f>
        <v>100</v>
      </c>
      <c r="AA418" s="45" t="str">
        <f t="array" ref="AA418">_xlfn.XLOOKUP(records[Method]&amp;"-"&amp;records[Class], dAirSpec[ID], dAirSpec[Unit])</f>
        <v>cfu/plate</v>
      </c>
      <c r="AB418" s="58">
        <f t="array" ref="AB418">if(S418="","", if(records[Method]="Active Air",_xlfn.xlookup(records[ColonyCount]&amp;records[AirSampler],feller[code],feller[Vc]),records[ColonyCount]))</f>
        <v>0</v>
      </c>
      <c r="AC418" s="60" t="b">
        <f t="shared" si="1"/>
        <v>1</v>
      </c>
      <c r="AD418" s="61" t="b">
        <v>0</v>
      </c>
      <c r="AE418" s="32" t="s">
        <v>235</v>
      </c>
      <c r="AF418" s="46"/>
      <c r="AG418" s="46"/>
      <c r="AH418" s="46"/>
      <c r="AI418" s="46"/>
      <c r="AJ418" s="46"/>
    </row>
    <row r="419" ht="22.5" customHeight="1">
      <c r="A419" s="27">
        <v>46222.0</v>
      </c>
      <c r="B419" s="34" t="str">
        <f t="array" ref="B419">TEXT(A419, "MM-YYYY")</f>
        <v>07-2026</v>
      </c>
      <c r="C419" s="20" t="s">
        <v>1224</v>
      </c>
      <c r="D419" s="21" t="s">
        <v>210</v>
      </c>
      <c r="E419" s="36" t="s">
        <v>213</v>
      </c>
      <c r="F419" s="37" t="s">
        <v>65</v>
      </c>
      <c r="G419" s="29" t="b">
        <v>1</v>
      </c>
      <c r="H419" s="36" t="s">
        <v>214</v>
      </c>
      <c r="I419" s="36" t="s">
        <v>215</v>
      </c>
      <c r="J419" s="29"/>
      <c r="K419" s="138"/>
      <c r="L419" s="37" t="s">
        <v>194</v>
      </c>
      <c r="M419" s="37" t="s">
        <v>194</v>
      </c>
      <c r="N419" s="37" t="s">
        <v>194</v>
      </c>
      <c r="O419" s="37" t="s">
        <v>194</v>
      </c>
      <c r="P419" s="37" t="s">
        <v>2271</v>
      </c>
      <c r="Q419" s="37" t="s">
        <v>2272</v>
      </c>
      <c r="R419" s="41">
        <v>46271.0</v>
      </c>
      <c r="S419" s="42">
        <v>0.0</v>
      </c>
      <c r="T419" s="44"/>
      <c r="U419" s="47" t="str">
        <f>IF(records[Type]="Room",records[roomNo],records[roomNo]&amp;"-"&amp;SUBSTITUTE(RIGHT(records[roomNo]&amp;records[Type],2),"-",""))</f>
        <v>10-3-106</v>
      </c>
      <c r="V419" s="47" t="str">
        <f t="array" ref="V419">_xlfn.XLOOKUP(records[ID], dAir[roomNo], dAir[roomName])</f>
        <v>WET GRANULATION 1</v>
      </c>
      <c r="W419" s="47" t="str">
        <f t="array" ref="W419">_xlfn.XLOOKUP(records[ID], dAir[roomNo], dAir[building])</f>
        <v>Building 10</v>
      </c>
      <c r="X419" s="47" t="str">
        <f t="array" ref="X419">_xlfn.XLOOKUP(records[ID], dAir[roomNo], dAir[floor])</f>
        <v>Floor 3</v>
      </c>
      <c r="Y419" s="45" t="str">
        <f t="array" ref="Y419">_xlfn.XLOOKUP(records[ID], dAir[roomNo], dAir[Class])</f>
        <v>D</v>
      </c>
      <c r="Z419" s="45">
        <f t="array" ref="Z419">_xlfn.XLOOKUP(records[Method]&amp;"-"&amp;records[Class], dAirSpec[ID], dAirSpec[Spec])</f>
        <v>100</v>
      </c>
      <c r="AA419" s="45" t="str">
        <f t="array" ref="AA419">_xlfn.XLOOKUP(records[Method]&amp;"-"&amp;records[Class], dAirSpec[ID], dAirSpec[Unit])</f>
        <v>cfu/plate</v>
      </c>
      <c r="AB419" s="58">
        <f t="array" ref="AB419">if(S419="","", if(records[Method]="Active Air",_xlfn.xlookup(records[ColonyCount]&amp;records[AirSampler],feller[code],feller[Vc]),records[ColonyCount]))</f>
        <v>0</v>
      </c>
      <c r="AC419" s="60" t="b">
        <f t="shared" si="1"/>
        <v>1</v>
      </c>
      <c r="AD419" s="61" t="b">
        <v>0</v>
      </c>
      <c r="AE419" s="32" t="s">
        <v>235</v>
      </c>
      <c r="AF419" s="46"/>
      <c r="AG419" s="46"/>
      <c r="AH419" s="46"/>
      <c r="AI419" s="46"/>
      <c r="AJ419" s="46"/>
    </row>
    <row r="420" ht="22.5" customHeight="1">
      <c r="A420" s="27">
        <v>46222.0</v>
      </c>
      <c r="B420" s="34" t="str">
        <f t="array" ref="B420">TEXT(A420, "MM-YYYY")</f>
        <v>07-2026</v>
      </c>
      <c r="C420" s="20" t="s">
        <v>257</v>
      </c>
      <c r="D420" s="21" t="s">
        <v>210</v>
      </c>
      <c r="E420" s="36" t="s">
        <v>213</v>
      </c>
      <c r="F420" s="37" t="s">
        <v>65</v>
      </c>
      <c r="G420" s="29" t="b">
        <v>1</v>
      </c>
      <c r="H420" s="36" t="s">
        <v>214</v>
      </c>
      <c r="I420" s="36" t="s">
        <v>215</v>
      </c>
      <c r="J420" s="29"/>
      <c r="K420" s="138"/>
      <c r="L420" s="37" t="s">
        <v>194</v>
      </c>
      <c r="M420" s="37" t="s">
        <v>194</v>
      </c>
      <c r="N420" s="37" t="s">
        <v>194</v>
      </c>
      <c r="O420" s="37" t="s">
        <v>194</v>
      </c>
      <c r="P420" s="37" t="s">
        <v>2271</v>
      </c>
      <c r="Q420" s="37" t="s">
        <v>2272</v>
      </c>
      <c r="R420" s="41">
        <v>46271.0</v>
      </c>
      <c r="S420" s="42">
        <v>8.0</v>
      </c>
      <c r="T420" s="44"/>
      <c r="U420" s="47" t="str">
        <f>IF(records[Type]="Room",records[roomNo],records[roomNo]&amp;"-"&amp;SUBSTITUTE(RIGHT(records[roomNo]&amp;records[Type],2),"-",""))</f>
        <v>10-3-107</v>
      </c>
      <c r="V420" s="47" t="str">
        <f t="array" ref="V420">_xlfn.XLOOKUP(records[ID], dAir[roomNo], dAir[roomName])</f>
        <v>WET GRANULATION 2 (LOW RH)</v>
      </c>
      <c r="W420" s="47" t="str">
        <f t="array" ref="W420">_xlfn.XLOOKUP(records[ID], dAir[roomNo], dAir[building])</f>
        <v>Building 10</v>
      </c>
      <c r="X420" s="47" t="str">
        <f t="array" ref="X420">_xlfn.XLOOKUP(records[ID], dAir[roomNo], dAir[floor])</f>
        <v>Floor 3</v>
      </c>
      <c r="Y420" s="45" t="str">
        <f t="array" ref="Y420">_xlfn.XLOOKUP(records[ID], dAir[roomNo], dAir[Class])</f>
        <v>D</v>
      </c>
      <c r="Z420" s="45">
        <f t="array" ref="Z420">_xlfn.XLOOKUP(records[Method]&amp;"-"&amp;records[Class], dAirSpec[ID], dAirSpec[Spec])</f>
        <v>100</v>
      </c>
      <c r="AA420" s="45" t="str">
        <f t="array" ref="AA420">_xlfn.XLOOKUP(records[Method]&amp;"-"&amp;records[Class], dAirSpec[ID], dAirSpec[Unit])</f>
        <v>cfu/plate</v>
      </c>
      <c r="AB420" s="58">
        <f t="array" ref="AB420">if(S420="","", if(records[Method]="Active Air",_xlfn.xlookup(records[ColonyCount]&amp;records[AirSampler],feller[code],feller[Vc]),records[ColonyCount]))</f>
        <v>8</v>
      </c>
      <c r="AC420" s="60" t="b">
        <f t="shared" si="1"/>
        <v>1</v>
      </c>
      <c r="AD420" s="61" t="b">
        <v>0</v>
      </c>
      <c r="AE420" s="32" t="s">
        <v>235</v>
      </c>
      <c r="AF420" s="46"/>
      <c r="AG420" s="46"/>
      <c r="AH420" s="46"/>
      <c r="AI420" s="46"/>
      <c r="AJ420" s="46"/>
    </row>
    <row r="421" ht="22.5" customHeight="1">
      <c r="A421" s="27">
        <v>46222.0</v>
      </c>
      <c r="B421" s="34" t="str">
        <f t="array" ref="B421">TEXT(A421, "MM-YYYY")</f>
        <v>07-2026</v>
      </c>
      <c r="C421" s="20" t="s">
        <v>1227</v>
      </c>
      <c r="D421" s="21" t="s">
        <v>210</v>
      </c>
      <c r="E421" s="36" t="s">
        <v>213</v>
      </c>
      <c r="F421" s="37" t="s">
        <v>65</v>
      </c>
      <c r="G421" s="29" t="b">
        <v>1</v>
      </c>
      <c r="H421" s="36" t="s">
        <v>214</v>
      </c>
      <c r="I421" s="36" t="s">
        <v>215</v>
      </c>
      <c r="J421" s="29"/>
      <c r="K421" s="138"/>
      <c r="L421" s="37" t="s">
        <v>194</v>
      </c>
      <c r="M421" s="37" t="s">
        <v>194</v>
      </c>
      <c r="N421" s="37" t="s">
        <v>194</v>
      </c>
      <c r="O421" s="37" t="s">
        <v>194</v>
      </c>
      <c r="P421" s="37" t="s">
        <v>2271</v>
      </c>
      <c r="Q421" s="37" t="s">
        <v>2272</v>
      </c>
      <c r="R421" s="41">
        <v>46271.0</v>
      </c>
      <c r="S421" s="42">
        <v>0.0</v>
      </c>
      <c r="T421" s="44"/>
      <c r="U421" s="47" t="str">
        <f>IF(records[Type]="Room",records[roomNo],records[roomNo]&amp;"-"&amp;SUBSTITUTE(RIGHT(records[roomNo]&amp;records[Type],2),"-",""))</f>
        <v>10-3-108</v>
      </c>
      <c r="V421" s="47" t="str">
        <f t="array" ref="V421">_xlfn.XLOOKUP(records[ID], dAir[roomNo], dAir[roomName])</f>
        <v>BLENDING 1</v>
      </c>
      <c r="W421" s="47" t="str">
        <f t="array" ref="W421">_xlfn.XLOOKUP(records[ID], dAir[roomNo], dAir[building])</f>
        <v>Building 10</v>
      </c>
      <c r="X421" s="47" t="str">
        <f t="array" ref="X421">_xlfn.XLOOKUP(records[ID], dAir[roomNo], dAir[floor])</f>
        <v>Floor 3</v>
      </c>
      <c r="Y421" s="45" t="str">
        <f t="array" ref="Y421">_xlfn.XLOOKUP(records[ID], dAir[roomNo], dAir[Class])</f>
        <v>D</v>
      </c>
      <c r="Z421" s="45">
        <f t="array" ref="Z421">_xlfn.XLOOKUP(records[Method]&amp;"-"&amp;records[Class], dAirSpec[ID], dAirSpec[Spec])</f>
        <v>100</v>
      </c>
      <c r="AA421" s="45" t="str">
        <f t="array" ref="AA421">_xlfn.XLOOKUP(records[Method]&amp;"-"&amp;records[Class], dAirSpec[ID], dAirSpec[Unit])</f>
        <v>cfu/plate</v>
      </c>
      <c r="AB421" s="58">
        <f t="array" ref="AB421">if(S421="","", if(records[Method]="Active Air",_xlfn.xlookup(records[ColonyCount]&amp;records[AirSampler],feller[code],feller[Vc]),records[ColonyCount]))</f>
        <v>0</v>
      </c>
      <c r="AC421" s="60" t="b">
        <f t="shared" si="1"/>
        <v>1</v>
      </c>
      <c r="AD421" s="61" t="b">
        <v>0</v>
      </c>
      <c r="AE421" s="32" t="s">
        <v>235</v>
      </c>
      <c r="AF421" s="46"/>
      <c r="AG421" s="46"/>
      <c r="AH421" s="46"/>
      <c r="AI421" s="46"/>
      <c r="AJ421" s="46"/>
    </row>
    <row r="422" ht="22.5" customHeight="1">
      <c r="A422" s="27">
        <v>46222.0</v>
      </c>
      <c r="B422" s="34" t="str">
        <f t="array" ref="B422">TEXT(A422, "MM-YYYY")</f>
        <v>07-2026</v>
      </c>
      <c r="C422" s="20" t="s">
        <v>1229</v>
      </c>
      <c r="D422" s="21" t="s">
        <v>210</v>
      </c>
      <c r="E422" s="36" t="s">
        <v>213</v>
      </c>
      <c r="F422" s="37" t="s">
        <v>65</v>
      </c>
      <c r="G422" s="29" t="b">
        <v>1</v>
      </c>
      <c r="H422" s="36" t="s">
        <v>214</v>
      </c>
      <c r="I422" s="36" t="s">
        <v>215</v>
      </c>
      <c r="J422" s="29"/>
      <c r="K422" s="138"/>
      <c r="L422" s="37" t="s">
        <v>194</v>
      </c>
      <c r="M422" s="37" t="s">
        <v>194</v>
      </c>
      <c r="N422" s="37" t="s">
        <v>194</v>
      </c>
      <c r="O422" s="37" t="s">
        <v>194</v>
      </c>
      <c r="P422" s="37" t="s">
        <v>2271</v>
      </c>
      <c r="Q422" s="37" t="s">
        <v>2272</v>
      </c>
      <c r="R422" s="41">
        <v>46271.0</v>
      </c>
      <c r="S422" s="42">
        <v>2.0</v>
      </c>
      <c r="T422" s="44"/>
      <c r="U422" s="47" t="str">
        <f>IF(records[Type]="Room",records[roomNo],records[roomNo]&amp;"-"&amp;SUBSTITUTE(RIGHT(records[roomNo]&amp;records[Type],2),"-",""))</f>
        <v>10-3-109</v>
      </c>
      <c r="V422" s="47" t="str">
        <f t="array" ref="V422">_xlfn.XLOOKUP(records[ID], dAir[roomNo], dAir[roomName])</f>
        <v>WET GRANULATION 3</v>
      </c>
      <c r="W422" s="47" t="str">
        <f t="array" ref="W422">_xlfn.XLOOKUP(records[ID], dAir[roomNo], dAir[building])</f>
        <v>Building 10</v>
      </c>
      <c r="X422" s="47" t="str">
        <f t="array" ref="X422">_xlfn.XLOOKUP(records[ID], dAir[roomNo], dAir[floor])</f>
        <v>Floor 3</v>
      </c>
      <c r="Y422" s="45" t="str">
        <f t="array" ref="Y422">_xlfn.XLOOKUP(records[ID], dAir[roomNo], dAir[Class])</f>
        <v>D</v>
      </c>
      <c r="Z422" s="45">
        <f t="array" ref="Z422">_xlfn.XLOOKUP(records[Method]&amp;"-"&amp;records[Class], dAirSpec[ID], dAirSpec[Spec])</f>
        <v>100</v>
      </c>
      <c r="AA422" s="45" t="str">
        <f t="array" ref="AA422">_xlfn.XLOOKUP(records[Method]&amp;"-"&amp;records[Class], dAirSpec[ID], dAirSpec[Unit])</f>
        <v>cfu/plate</v>
      </c>
      <c r="AB422" s="58">
        <f t="array" ref="AB422">if(S422="","", if(records[Method]="Active Air",_xlfn.xlookup(records[ColonyCount]&amp;records[AirSampler],feller[code],feller[Vc]),records[ColonyCount]))</f>
        <v>2</v>
      </c>
      <c r="AC422" s="60" t="b">
        <f t="shared" si="1"/>
        <v>1</v>
      </c>
      <c r="AD422" s="61" t="b">
        <v>0</v>
      </c>
      <c r="AE422" s="32" t="s">
        <v>235</v>
      </c>
      <c r="AF422" s="46"/>
      <c r="AG422" s="46"/>
      <c r="AH422" s="46"/>
      <c r="AI422" s="46"/>
      <c r="AJ422" s="46"/>
    </row>
    <row r="423" ht="22.5" customHeight="1">
      <c r="A423" s="27">
        <v>46222.0</v>
      </c>
      <c r="B423" s="34" t="str">
        <f t="array" ref="B423">TEXT(A423, "MM-YYYY")</f>
        <v>07-2026</v>
      </c>
      <c r="C423" s="20" t="s">
        <v>1231</v>
      </c>
      <c r="D423" s="21" t="s">
        <v>210</v>
      </c>
      <c r="E423" s="36" t="s">
        <v>213</v>
      </c>
      <c r="F423" s="37" t="s">
        <v>65</v>
      </c>
      <c r="G423" s="29" t="b">
        <v>1</v>
      </c>
      <c r="H423" s="36" t="s">
        <v>214</v>
      </c>
      <c r="I423" s="36" t="s">
        <v>215</v>
      </c>
      <c r="J423" s="29"/>
      <c r="K423" s="138"/>
      <c r="L423" s="37" t="s">
        <v>194</v>
      </c>
      <c r="M423" s="37" t="s">
        <v>194</v>
      </c>
      <c r="N423" s="37" t="s">
        <v>194</v>
      </c>
      <c r="O423" s="37" t="s">
        <v>194</v>
      </c>
      <c r="P423" s="37" t="s">
        <v>2271</v>
      </c>
      <c r="Q423" s="37" t="s">
        <v>2272</v>
      </c>
      <c r="R423" s="41">
        <v>46271.0</v>
      </c>
      <c r="S423" s="42">
        <v>0.0</v>
      </c>
      <c r="T423" s="44"/>
      <c r="U423" s="47" t="str">
        <f>IF(records[Type]="Room",records[roomNo],records[roomNo]&amp;"-"&amp;SUBSTITUTE(RIGHT(records[roomNo]&amp;records[Type],2),"-",""))</f>
        <v>10-3-110</v>
      </c>
      <c r="V423" s="47" t="str">
        <f t="array" ref="V423">_xlfn.XLOOKUP(records[ID], dAir[roomNo], dAir[roomName])</f>
        <v>WET GRANULATION 4</v>
      </c>
      <c r="W423" s="47" t="str">
        <f t="array" ref="W423">_xlfn.XLOOKUP(records[ID], dAir[roomNo], dAir[building])</f>
        <v>Building 10</v>
      </c>
      <c r="X423" s="47" t="str">
        <f t="array" ref="X423">_xlfn.XLOOKUP(records[ID], dAir[roomNo], dAir[floor])</f>
        <v>Floor 3</v>
      </c>
      <c r="Y423" s="45" t="str">
        <f t="array" ref="Y423">_xlfn.XLOOKUP(records[ID], dAir[roomNo], dAir[Class])</f>
        <v>D</v>
      </c>
      <c r="Z423" s="45">
        <f t="array" ref="Z423">_xlfn.XLOOKUP(records[Method]&amp;"-"&amp;records[Class], dAirSpec[ID], dAirSpec[Spec])</f>
        <v>100</v>
      </c>
      <c r="AA423" s="45" t="str">
        <f t="array" ref="AA423">_xlfn.XLOOKUP(records[Method]&amp;"-"&amp;records[Class], dAirSpec[ID], dAirSpec[Unit])</f>
        <v>cfu/plate</v>
      </c>
      <c r="AB423" s="58">
        <f t="array" ref="AB423">if(S423="","", if(records[Method]="Active Air",_xlfn.xlookup(records[ColonyCount]&amp;records[AirSampler],feller[code],feller[Vc]),records[ColonyCount]))</f>
        <v>0</v>
      </c>
      <c r="AC423" s="60" t="b">
        <f t="shared" si="1"/>
        <v>1</v>
      </c>
      <c r="AD423" s="61" t="b">
        <v>0</v>
      </c>
      <c r="AE423" s="32" t="s">
        <v>235</v>
      </c>
      <c r="AF423" s="46"/>
      <c r="AG423" s="46"/>
      <c r="AH423" s="46"/>
      <c r="AI423" s="46"/>
      <c r="AJ423" s="46"/>
    </row>
    <row r="424" ht="22.5" customHeight="1">
      <c r="A424" s="27">
        <v>46222.0</v>
      </c>
      <c r="B424" s="34" t="str">
        <f t="array" ref="B424">TEXT(A424, "MM-YYYY")</f>
        <v>07-2026</v>
      </c>
      <c r="C424" s="20" t="s">
        <v>1233</v>
      </c>
      <c r="D424" s="21" t="s">
        <v>210</v>
      </c>
      <c r="E424" s="36" t="s">
        <v>213</v>
      </c>
      <c r="F424" s="37" t="s">
        <v>65</v>
      </c>
      <c r="G424" s="29" t="b">
        <v>1</v>
      </c>
      <c r="H424" s="36" t="s">
        <v>214</v>
      </c>
      <c r="I424" s="36" t="s">
        <v>215</v>
      </c>
      <c r="J424" s="29"/>
      <c r="K424" s="138"/>
      <c r="L424" s="37" t="s">
        <v>194</v>
      </c>
      <c r="M424" s="37" t="s">
        <v>194</v>
      </c>
      <c r="N424" s="37" t="s">
        <v>194</v>
      </c>
      <c r="O424" s="37" t="s">
        <v>194</v>
      </c>
      <c r="P424" s="37" t="s">
        <v>2271</v>
      </c>
      <c r="Q424" s="37" t="s">
        <v>2272</v>
      </c>
      <c r="R424" s="41">
        <v>46271.0</v>
      </c>
      <c r="S424" s="42">
        <v>0.0</v>
      </c>
      <c r="T424" s="44"/>
      <c r="U424" s="47" t="str">
        <f>IF(records[Type]="Room",records[roomNo],records[roomNo]&amp;"-"&amp;SUBSTITUTE(RIGHT(records[roomNo]&amp;records[Type],2),"-",""))</f>
        <v>10-3-111</v>
      </c>
      <c r="V424" s="47" t="str">
        <f t="array" ref="V424">_xlfn.XLOOKUP(records[ID], dAir[roomNo], dAir[roomName])</f>
        <v>WET GRANULATION 5</v>
      </c>
      <c r="W424" s="47" t="str">
        <f t="array" ref="W424">_xlfn.XLOOKUP(records[ID], dAir[roomNo], dAir[building])</f>
        <v>Building 10</v>
      </c>
      <c r="X424" s="47" t="str">
        <f t="array" ref="X424">_xlfn.XLOOKUP(records[ID], dAir[roomNo], dAir[floor])</f>
        <v>Floor 3</v>
      </c>
      <c r="Y424" s="45" t="str">
        <f t="array" ref="Y424">_xlfn.XLOOKUP(records[ID], dAir[roomNo], dAir[Class])</f>
        <v>D</v>
      </c>
      <c r="Z424" s="45">
        <f t="array" ref="Z424">_xlfn.XLOOKUP(records[Method]&amp;"-"&amp;records[Class], dAirSpec[ID], dAirSpec[Spec])</f>
        <v>100</v>
      </c>
      <c r="AA424" s="45" t="str">
        <f t="array" ref="AA424">_xlfn.XLOOKUP(records[Method]&amp;"-"&amp;records[Class], dAirSpec[ID], dAirSpec[Unit])</f>
        <v>cfu/plate</v>
      </c>
      <c r="AB424" s="58">
        <f t="array" ref="AB424">if(S424="","", if(records[Method]="Active Air",_xlfn.xlookup(records[ColonyCount]&amp;records[AirSampler],feller[code],feller[Vc]),records[ColonyCount]))</f>
        <v>0</v>
      </c>
      <c r="AC424" s="60" t="b">
        <f t="shared" si="1"/>
        <v>1</v>
      </c>
      <c r="AD424" s="61" t="b">
        <v>0</v>
      </c>
      <c r="AE424" s="32" t="s">
        <v>235</v>
      </c>
      <c r="AF424" s="46"/>
      <c r="AG424" s="46"/>
      <c r="AH424" s="46"/>
      <c r="AI424" s="46"/>
      <c r="AJ424" s="46"/>
    </row>
    <row r="425" ht="22.5" customHeight="1">
      <c r="A425" s="27">
        <v>46222.0</v>
      </c>
      <c r="B425" s="34" t="str">
        <f t="array" ref="B425">TEXT(A425, "MM-YYYY")</f>
        <v>07-2026</v>
      </c>
      <c r="C425" s="20" t="s">
        <v>1235</v>
      </c>
      <c r="D425" s="21" t="s">
        <v>210</v>
      </c>
      <c r="E425" s="36" t="s">
        <v>213</v>
      </c>
      <c r="F425" s="37" t="s">
        <v>65</v>
      </c>
      <c r="G425" s="29" t="b">
        <v>1</v>
      </c>
      <c r="H425" s="36" t="s">
        <v>214</v>
      </c>
      <c r="I425" s="36" t="s">
        <v>215</v>
      </c>
      <c r="J425" s="29"/>
      <c r="K425" s="138"/>
      <c r="L425" s="37" t="s">
        <v>194</v>
      </c>
      <c r="M425" s="37" t="s">
        <v>194</v>
      </c>
      <c r="N425" s="37" t="s">
        <v>194</v>
      </c>
      <c r="O425" s="37" t="s">
        <v>194</v>
      </c>
      <c r="P425" s="37" t="s">
        <v>2271</v>
      </c>
      <c r="Q425" s="37" t="s">
        <v>2272</v>
      </c>
      <c r="R425" s="41">
        <v>46271.0</v>
      </c>
      <c r="S425" s="42">
        <v>0.0</v>
      </c>
      <c r="T425" s="44"/>
      <c r="U425" s="47" t="str">
        <f>IF(records[Type]="Room",records[roomNo],records[roomNo]&amp;"-"&amp;SUBSTITUTE(RIGHT(records[roomNo]&amp;records[Type],2),"-",""))</f>
        <v>10-3-112</v>
      </c>
      <c r="V425" s="47" t="str">
        <f t="array" ref="V425">_xlfn.XLOOKUP(records[ID], dAir[roomNo], dAir[roomName])</f>
        <v>BLENDING 2</v>
      </c>
      <c r="W425" s="47" t="str">
        <f t="array" ref="W425">_xlfn.XLOOKUP(records[ID], dAir[roomNo], dAir[building])</f>
        <v>Building 10</v>
      </c>
      <c r="X425" s="47" t="str">
        <f t="array" ref="X425">_xlfn.XLOOKUP(records[ID], dAir[roomNo], dAir[floor])</f>
        <v>Floor 3</v>
      </c>
      <c r="Y425" s="45" t="str">
        <f t="array" ref="Y425">_xlfn.XLOOKUP(records[ID], dAir[roomNo], dAir[Class])</f>
        <v>D</v>
      </c>
      <c r="Z425" s="45">
        <f t="array" ref="Z425">_xlfn.XLOOKUP(records[Method]&amp;"-"&amp;records[Class], dAirSpec[ID], dAirSpec[Spec])</f>
        <v>100</v>
      </c>
      <c r="AA425" s="45" t="str">
        <f t="array" ref="AA425">_xlfn.XLOOKUP(records[Method]&amp;"-"&amp;records[Class], dAirSpec[ID], dAirSpec[Unit])</f>
        <v>cfu/plate</v>
      </c>
      <c r="AB425" s="58">
        <f t="array" ref="AB425">if(S425="","", if(records[Method]="Active Air",_xlfn.xlookup(records[ColonyCount]&amp;records[AirSampler],feller[code],feller[Vc]),records[ColonyCount]))</f>
        <v>0</v>
      </c>
      <c r="AC425" s="60" t="b">
        <f t="shared" si="1"/>
        <v>1</v>
      </c>
      <c r="AD425" s="61" t="b">
        <v>0</v>
      </c>
      <c r="AE425" s="32" t="s">
        <v>235</v>
      </c>
      <c r="AF425" s="46"/>
      <c r="AG425" s="46"/>
      <c r="AH425" s="46"/>
      <c r="AI425" s="46"/>
      <c r="AJ425" s="46"/>
    </row>
    <row r="426" ht="22.5" customHeight="1">
      <c r="A426" s="27">
        <v>46222.0</v>
      </c>
      <c r="B426" s="34" t="str">
        <f t="array" ref="B426">TEXT(A426, "MM-YYYY")</f>
        <v>07-2026</v>
      </c>
      <c r="C426" s="20" t="s">
        <v>1237</v>
      </c>
      <c r="D426" s="21" t="s">
        <v>210</v>
      </c>
      <c r="E426" s="36" t="s">
        <v>213</v>
      </c>
      <c r="F426" s="37" t="s">
        <v>65</v>
      </c>
      <c r="G426" s="29" t="b">
        <v>1</v>
      </c>
      <c r="H426" s="36" t="s">
        <v>214</v>
      </c>
      <c r="I426" s="36" t="s">
        <v>215</v>
      </c>
      <c r="J426" s="29"/>
      <c r="K426" s="138"/>
      <c r="L426" s="37" t="s">
        <v>194</v>
      </c>
      <c r="M426" s="37" t="s">
        <v>194</v>
      </c>
      <c r="N426" s="37" t="s">
        <v>194</v>
      </c>
      <c r="O426" s="37" t="s">
        <v>194</v>
      </c>
      <c r="P426" s="37" t="s">
        <v>2271</v>
      </c>
      <c r="Q426" s="37" t="s">
        <v>2272</v>
      </c>
      <c r="R426" s="41">
        <v>46271.0</v>
      </c>
      <c r="S426" s="42">
        <v>0.0</v>
      </c>
      <c r="T426" s="44"/>
      <c r="U426" s="47" t="str">
        <f>IF(records[Type]="Room",records[roomNo],records[roomNo]&amp;"-"&amp;SUBSTITUTE(RIGHT(records[roomNo]&amp;records[Type],2),"-",""))</f>
        <v>10-3-113</v>
      </c>
      <c r="V426" s="47" t="str">
        <f t="array" ref="V426">_xlfn.XLOOKUP(records[ID], dAir[roomNo], dAir[roomName])</f>
        <v>BLENDING 3</v>
      </c>
      <c r="W426" s="47" t="str">
        <f t="array" ref="W426">_xlfn.XLOOKUP(records[ID], dAir[roomNo], dAir[building])</f>
        <v>Building 10</v>
      </c>
      <c r="X426" s="47" t="str">
        <f t="array" ref="X426">_xlfn.XLOOKUP(records[ID], dAir[roomNo], dAir[floor])</f>
        <v>Floor 3</v>
      </c>
      <c r="Y426" s="45" t="str">
        <f t="array" ref="Y426">_xlfn.XLOOKUP(records[ID], dAir[roomNo], dAir[Class])</f>
        <v>D</v>
      </c>
      <c r="Z426" s="45">
        <f t="array" ref="Z426">_xlfn.XLOOKUP(records[Method]&amp;"-"&amp;records[Class], dAirSpec[ID], dAirSpec[Spec])</f>
        <v>100</v>
      </c>
      <c r="AA426" s="45" t="str">
        <f t="array" ref="AA426">_xlfn.XLOOKUP(records[Method]&amp;"-"&amp;records[Class], dAirSpec[ID], dAirSpec[Unit])</f>
        <v>cfu/plate</v>
      </c>
      <c r="AB426" s="58">
        <f t="array" ref="AB426">if(S426="","", if(records[Method]="Active Air",_xlfn.xlookup(records[ColonyCount]&amp;records[AirSampler],feller[code],feller[Vc]),records[ColonyCount]))</f>
        <v>0</v>
      </c>
      <c r="AC426" s="60" t="b">
        <f t="shared" si="1"/>
        <v>1</v>
      </c>
      <c r="AD426" s="61" t="b">
        <v>0</v>
      </c>
      <c r="AE426" s="32" t="s">
        <v>235</v>
      </c>
      <c r="AF426" s="46"/>
      <c r="AG426" s="46"/>
      <c r="AH426" s="46"/>
      <c r="AI426" s="46"/>
      <c r="AJ426" s="46"/>
    </row>
    <row r="427" ht="22.5" customHeight="1">
      <c r="A427" s="27">
        <v>46222.0</v>
      </c>
      <c r="B427" s="34" t="str">
        <f t="array" ref="B427">TEXT(A427, "MM-YYYY")</f>
        <v>07-2026</v>
      </c>
      <c r="C427" s="20" t="s">
        <v>1239</v>
      </c>
      <c r="D427" s="21" t="s">
        <v>210</v>
      </c>
      <c r="E427" s="36" t="s">
        <v>213</v>
      </c>
      <c r="F427" s="37" t="s">
        <v>65</v>
      </c>
      <c r="G427" s="29" t="b">
        <v>1</v>
      </c>
      <c r="H427" s="36" t="s">
        <v>214</v>
      </c>
      <c r="I427" s="36" t="s">
        <v>215</v>
      </c>
      <c r="J427" s="29"/>
      <c r="K427" s="138"/>
      <c r="L427" s="37" t="s">
        <v>194</v>
      </c>
      <c r="M427" s="37" t="s">
        <v>194</v>
      </c>
      <c r="N427" s="37" t="s">
        <v>194</v>
      </c>
      <c r="O427" s="37" t="s">
        <v>194</v>
      </c>
      <c r="P427" s="37" t="s">
        <v>2271</v>
      </c>
      <c r="Q427" s="37" t="s">
        <v>2272</v>
      </c>
      <c r="R427" s="41">
        <v>46271.0</v>
      </c>
      <c r="S427" s="42">
        <v>0.0</v>
      </c>
      <c r="T427" s="44"/>
      <c r="U427" s="47" t="str">
        <f>IF(records[Type]="Room",records[roomNo],records[roomNo]&amp;"-"&amp;SUBSTITUTE(RIGHT(records[roomNo]&amp;records[Type],2),"-",""))</f>
        <v>10-3-114</v>
      </c>
      <c r="V427" s="47" t="str">
        <f t="array" ref="V427">_xlfn.XLOOKUP(records[ID], dAir[roomNo], dAir[roomName])</f>
        <v>AIRLOCK</v>
      </c>
      <c r="W427" s="47" t="str">
        <f t="array" ref="W427">_xlfn.XLOOKUP(records[ID], dAir[roomNo], dAir[building])</f>
        <v>Building 10</v>
      </c>
      <c r="X427" s="47" t="str">
        <f t="array" ref="X427">_xlfn.XLOOKUP(records[ID], dAir[roomNo], dAir[floor])</f>
        <v>Floor 3</v>
      </c>
      <c r="Y427" s="45" t="str">
        <f t="array" ref="Y427">_xlfn.XLOOKUP(records[ID], dAir[roomNo], dAir[Class])</f>
        <v>D</v>
      </c>
      <c r="Z427" s="45">
        <f t="array" ref="Z427">_xlfn.XLOOKUP(records[Method]&amp;"-"&amp;records[Class], dAirSpec[ID], dAirSpec[Spec])</f>
        <v>100</v>
      </c>
      <c r="AA427" s="45" t="str">
        <f t="array" ref="AA427">_xlfn.XLOOKUP(records[Method]&amp;"-"&amp;records[Class], dAirSpec[ID], dAirSpec[Unit])</f>
        <v>cfu/plate</v>
      </c>
      <c r="AB427" s="58">
        <f t="array" ref="AB427">if(S427="","", if(records[Method]="Active Air",_xlfn.xlookup(records[ColonyCount]&amp;records[AirSampler],feller[code],feller[Vc]),records[ColonyCount]))</f>
        <v>0</v>
      </c>
      <c r="AC427" s="60" t="b">
        <f t="shared" si="1"/>
        <v>1</v>
      </c>
      <c r="AD427" s="61" t="b">
        <v>0</v>
      </c>
      <c r="AE427" s="32" t="s">
        <v>235</v>
      </c>
      <c r="AF427" s="46"/>
      <c r="AG427" s="46"/>
      <c r="AH427" s="46"/>
      <c r="AI427" s="46"/>
      <c r="AJ427" s="46"/>
    </row>
    <row r="428" ht="22.5" customHeight="1">
      <c r="A428" s="27">
        <v>46222.0</v>
      </c>
      <c r="B428" s="34" t="str">
        <f t="array" ref="B428">TEXT(A428, "MM-YYYY")</f>
        <v>07-2026</v>
      </c>
      <c r="C428" s="20" t="s">
        <v>1240</v>
      </c>
      <c r="D428" s="21" t="s">
        <v>210</v>
      </c>
      <c r="E428" s="36" t="s">
        <v>213</v>
      </c>
      <c r="F428" s="37" t="s">
        <v>65</v>
      </c>
      <c r="G428" s="29" t="b">
        <v>1</v>
      </c>
      <c r="H428" s="36" t="s">
        <v>214</v>
      </c>
      <c r="I428" s="36" t="s">
        <v>215</v>
      </c>
      <c r="J428" s="29"/>
      <c r="K428" s="138"/>
      <c r="L428" s="37" t="s">
        <v>194</v>
      </c>
      <c r="M428" s="37" t="s">
        <v>194</v>
      </c>
      <c r="N428" s="37" t="s">
        <v>194</v>
      </c>
      <c r="O428" s="37" t="s">
        <v>194</v>
      </c>
      <c r="P428" s="37" t="s">
        <v>2271</v>
      </c>
      <c r="Q428" s="37" t="s">
        <v>2272</v>
      </c>
      <c r="R428" s="41">
        <v>46271.0</v>
      </c>
      <c r="S428" s="42">
        <v>0.0</v>
      </c>
      <c r="T428" s="44" t="s">
        <v>2011</v>
      </c>
      <c r="U428" s="47" t="str">
        <f>IF(records[Type]="Room",records[roomNo],records[roomNo]&amp;"-"&amp;SUBSTITUTE(RIGHT(records[roomNo]&amp;records[Type],2),"-",""))</f>
        <v>10-3-115</v>
      </c>
      <c r="V428" s="47" t="str">
        <f t="array" ref="V428">_xlfn.XLOOKUP(records[ID], dAir[roomNo], dAir[roomName])</f>
        <v>CORRIDOR</v>
      </c>
      <c r="W428" s="47" t="str">
        <f t="array" ref="W428">_xlfn.XLOOKUP(records[ID], dAir[roomNo], dAir[building])</f>
        <v>Building 10</v>
      </c>
      <c r="X428" s="47" t="str">
        <f t="array" ref="X428">_xlfn.XLOOKUP(records[ID], dAir[roomNo], dAir[floor])</f>
        <v>Floor 3</v>
      </c>
      <c r="Y428" s="45" t="str">
        <f t="array" ref="Y428">_xlfn.XLOOKUP(records[ID], dAir[roomNo], dAir[Class])</f>
        <v>D</v>
      </c>
      <c r="Z428" s="45">
        <f t="array" ref="Z428">_xlfn.XLOOKUP(records[Method]&amp;"-"&amp;records[Class], dAirSpec[ID], dAirSpec[Spec])</f>
        <v>100</v>
      </c>
      <c r="AA428" s="45" t="str">
        <f t="array" ref="AA428">_xlfn.XLOOKUP(records[Method]&amp;"-"&amp;records[Class], dAirSpec[ID], dAirSpec[Unit])</f>
        <v>cfu/plate</v>
      </c>
      <c r="AB428" s="58">
        <f t="array" ref="AB428">if(S428="","", if(records[Method]="Active Air",_xlfn.xlookup(records[ColonyCount]&amp;records[AirSampler],feller[code],feller[Vc]),records[ColonyCount]))</f>
        <v>0</v>
      </c>
      <c r="AC428" s="60" t="b">
        <f t="shared" si="1"/>
        <v>1</v>
      </c>
      <c r="AD428" s="61" t="b">
        <v>0</v>
      </c>
      <c r="AE428" s="32" t="s">
        <v>235</v>
      </c>
      <c r="AF428" s="46"/>
      <c r="AG428" s="46"/>
      <c r="AH428" s="46"/>
      <c r="AI428" s="46"/>
      <c r="AJ428" s="46"/>
    </row>
    <row r="429" ht="22.5" customHeight="1">
      <c r="A429" s="27">
        <v>46222.0</v>
      </c>
      <c r="B429" s="34" t="str">
        <f t="array" ref="B429">TEXT(A429, "MM-YYYY")</f>
        <v>07-2026</v>
      </c>
      <c r="C429" s="20" t="s">
        <v>1241</v>
      </c>
      <c r="D429" s="21" t="s">
        <v>210</v>
      </c>
      <c r="E429" s="36" t="s">
        <v>213</v>
      </c>
      <c r="F429" s="37" t="s">
        <v>65</v>
      </c>
      <c r="G429" s="29" t="b">
        <v>1</v>
      </c>
      <c r="H429" s="36" t="s">
        <v>214</v>
      </c>
      <c r="I429" s="36" t="s">
        <v>215</v>
      </c>
      <c r="J429" s="29"/>
      <c r="K429" s="138"/>
      <c r="L429" s="37" t="s">
        <v>194</v>
      </c>
      <c r="M429" s="37" t="s">
        <v>194</v>
      </c>
      <c r="N429" s="37" t="s">
        <v>194</v>
      </c>
      <c r="O429" s="37" t="s">
        <v>194</v>
      </c>
      <c r="P429" s="37" t="s">
        <v>2271</v>
      </c>
      <c r="Q429" s="37" t="s">
        <v>2272</v>
      </c>
      <c r="R429" s="41">
        <v>46271.0</v>
      </c>
      <c r="S429" s="42">
        <v>1.0</v>
      </c>
      <c r="T429" s="44"/>
      <c r="U429" s="47" t="str">
        <f>IF(records[Type]="Room",records[roomNo],records[roomNo]&amp;"-"&amp;SUBSTITUTE(RIGHT(records[roomNo]&amp;records[Type],2),"-",""))</f>
        <v>10-3-116</v>
      </c>
      <c r="V429" s="47" t="str">
        <f t="array" ref="V429">_xlfn.XLOOKUP(records[ID], dAir[roomNo], dAir[roomName])</f>
        <v>WEIGHING 2</v>
      </c>
      <c r="W429" s="47" t="str">
        <f t="array" ref="W429">_xlfn.XLOOKUP(records[ID], dAir[roomNo], dAir[building])</f>
        <v>Building 10</v>
      </c>
      <c r="X429" s="47" t="str">
        <f t="array" ref="X429">_xlfn.XLOOKUP(records[ID], dAir[roomNo], dAir[floor])</f>
        <v>Floor 3</v>
      </c>
      <c r="Y429" s="45" t="str">
        <f t="array" ref="Y429">_xlfn.XLOOKUP(records[ID], dAir[roomNo], dAir[Class])</f>
        <v>D</v>
      </c>
      <c r="Z429" s="45">
        <f t="array" ref="Z429">_xlfn.XLOOKUP(records[Method]&amp;"-"&amp;records[Class], dAirSpec[ID], dAirSpec[Spec])</f>
        <v>100</v>
      </c>
      <c r="AA429" s="45" t="str">
        <f t="array" ref="AA429">_xlfn.XLOOKUP(records[Method]&amp;"-"&amp;records[Class], dAirSpec[ID], dAirSpec[Unit])</f>
        <v>cfu/plate</v>
      </c>
      <c r="AB429" s="58">
        <f t="array" ref="AB429">if(S429="","", if(records[Method]="Active Air",_xlfn.xlookup(records[ColonyCount]&amp;records[AirSampler],feller[code],feller[Vc]),records[ColonyCount]))</f>
        <v>1</v>
      </c>
      <c r="AC429" s="60" t="b">
        <f t="shared" si="1"/>
        <v>1</v>
      </c>
      <c r="AD429" s="61" t="b">
        <v>0</v>
      </c>
      <c r="AE429" s="32" t="s">
        <v>235</v>
      </c>
      <c r="AF429" s="46"/>
      <c r="AG429" s="46"/>
      <c r="AH429" s="46"/>
      <c r="AI429" s="46"/>
      <c r="AJ429" s="46"/>
    </row>
    <row r="430" ht="22.5" customHeight="1">
      <c r="A430" s="27">
        <v>46222.0</v>
      </c>
      <c r="B430" s="34" t="str">
        <f t="array" ref="B430">TEXT(A430, "MM-YYYY")</f>
        <v>07-2026</v>
      </c>
      <c r="C430" s="20" t="s">
        <v>1243</v>
      </c>
      <c r="D430" s="21" t="s">
        <v>210</v>
      </c>
      <c r="E430" s="36" t="s">
        <v>213</v>
      </c>
      <c r="F430" s="37" t="s">
        <v>65</v>
      </c>
      <c r="G430" s="29" t="b">
        <v>1</v>
      </c>
      <c r="H430" s="36" t="s">
        <v>214</v>
      </c>
      <c r="I430" s="36" t="s">
        <v>215</v>
      </c>
      <c r="J430" s="29"/>
      <c r="K430" s="138"/>
      <c r="L430" s="37" t="s">
        <v>194</v>
      </c>
      <c r="M430" s="37" t="s">
        <v>194</v>
      </c>
      <c r="N430" s="37" t="s">
        <v>194</v>
      </c>
      <c r="O430" s="37" t="s">
        <v>194</v>
      </c>
      <c r="P430" s="37" t="s">
        <v>2271</v>
      </c>
      <c r="Q430" s="37" t="s">
        <v>2272</v>
      </c>
      <c r="R430" s="41">
        <v>46271.0</v>
      </c>
      <c r="S430" s="42">
        <v>0.0</v>
      </c>
      <c r="T430" s="44"/>
      <c r="U430" s="47" t="str">
        <f>IF(records[Type]="Room",records[roomNo],records[roomNo]&amp;"-"&amp;SUBSTITUTE(RIGHT(records[roomNo]&amp;records[Type],2),"-",""))</f>
        <v>10-3-117</v>
      </c>
      <c r="V430" s="47" t="str">
        <f t="array" ref="V430">_xlfn.XLOOKUP(records[ID], dAir[roomNo], dAir[roomName])</f>
        <v>IPQC-2</v>
      </c>
      <c r="W430" s="47" t="str">
        <f t="array" ref="W430">_xlfn.XLOOKUP(records[ID], dAir[roomNo], dAir[building])</f>
        <v>Building 10</v>
      </c>
      <c r="X430" s="47" t="str">
        <f t="array" ref="X430">_xlfn.XLOOKUP(records[ID], dAir[roomNo], dAir[floor])</f>
        <v>Floor 3</v>
      </c>
      <c r="Y430" s="45" t="str">
        <f t="array" ref="Y430">_xlfn.XLOOKUP(records[ID], dAir[roomNo], dAir[Class])</f>
        <v>D</v>
      </c>
      <c r="Z430" s="45">
        <f t="array" ref="Z430">_xlfn.XLOOKUP(records[Method]&amp;"-"&amp;records[Class], dAirSpec[ID], dAirSpec[Spec])</f>
        <v>100</v>
      </c>
      <c r="AA430" s="45" t="str">
        <f t="array" ref="AA430">_xlfn.XLOOKUP(records[Method]&amp;"-"&amp;records[Class], dAirSpec[ID], dAirSpec[Unit])</f>
        <v>cfu/plate</v>
      </c>
      <c r="AB430" s="58">
        <f t="array" ref="AB430">if(S430="","", if(records[Method]="Active Air",_xlfn.xlookup(records[ColonyCount]&amp;records[AirSampler],feller[code],feller[Vc]),records[ColonyCount]))</f>
        <v>0</v>
      </c>
      <c r="AC430" s="60" t="b">
        <f t="shared" si="1"/>
        <v>1</v>
      </c>
      <c r="AD430" s="61" t="b">
        <v>0</v>
      </c>
      <c r="AE430" s="32" t="s">
        <v>235</v>
      </c>
      <c r="AF430" s="46"/>
      <c r="AG430" s="46"/>
      <c r="AH430" s="46"/>
      <c r="AI430" s="46"/>
      <c r="AJ430" s="46"/>
    </row>
    <row r="431" ht="22.5" customHeight="1">
      <c r="A431" s="27">
        <v>46222.0</v>
      </c>
      <c r="B431" s="34" t="str">
        <f t="array" ref="B431">TEXT(A431, "MM-YYYY")</f>
        <v>07-2026</v>
      </c>
      <c r="C431" s="20" t="s">
        <v>1245</v>
      </c>
      <c r="D431" s="21" t="s">
        <v>210</v>
      </c>
      <c r="E431" s="36" t="s">
        <v>213</v>
      </c>
      <c r="F431" s="37" t="s">
        <v>65</v>
      </c>
      <c r="G431" s="29" t="b">
        <v>1</v>
      </c>
      <c r="H431" s="36" t="s">
        <v>214</v>
      </c>
      <c r="I431" s="36" t="s">
        <v>215</v>
      </c>
      <c r="J431" s="29"/>
      <c r="K431" s="138"/>
      <c r="L431" s="37" t="s">
        <v>194</v>
      </c>
      <c r="M431" s="37" t="s">
        <v>194</v>
      </c>
      <c r="N431" s="37" t="s">
        <v>194</v>
      </c>
      <c r="O431" s="37" t="s">
        <v>194</v>
      </c>
      <c r="P431" s="37" t="s">
        <v>2271</v>
      </c>
      <c r="Q431" s="37" t="s">
        <v>2272</v>
      </c>
      <c r="R431" s="41">
        <v>46271.0</v>
      </c>
      <c r="S431" s="42">
        <v>0.0</v>
      </c>
      <c r="T431" s="44"/>
      <c r="U431" s="47" t="str">
        <f>IF(records[Type]="Room",records[roomNo],records[roomNo]&amp;"-"&amp;SUBSTITUTE(RIGHT(records[roomNo]&amp;records[Type],2),"-",""))</f>
        <v>10-3-118</v>
      </c>
      <c r="V431" s="47" t="str">
        <f t="array" ref="V431">_xlfn.XLOOKUP(records[ID], dAir[roomNo], dAir[roomName])</f>
        <v>BULK STAGING 2</v>
      </c>
      <c r="W431" s="47" t="str">
        <f t="array" ref="W431">_xlfn.XLOOKUP(records[ID], dAir[roomNo], dAir[building])</f>
        <v>Building 10</v>
      </c>
      <c r="X431" s="47" t="str">
        <f t="array" ref="X431">_xlfn.XLOOKUP(records[ID], dAir[roomNo], dAir[floor])</f>
        <v>Floor 3</v>
      </c>
      <c r="Y431" s="45" t="str">
        <f t="array" ref="Y431">_xlfn.XLOOKUP(records[ID], dAir[roomNo], dAir[Class])</f>
        <v>D</v>
      </c>
      <c r="Z431" s="45">
        <f t="array" ref="Z431">_xlfn.XLOOKUP(records[Method]&amp;"-"&amp;records[Class], dAirSpec[ID], dAirSpec[Spec])</f>
        <v>100</v>
      </c>
      <c r="AA431" s="45" t="str">
        <f t="array" ref="AA431">_xlfn.XLOOKUP(records[Method]&amp;"-"&amp;records[Class], dAirSpec[ID], dAirSpec[Unit])</f>
        <v>cfu/plate</v>
      </c>
      <c r="AB431" s="58">
        <f t="array" ref="AB431">if(S431="","", if(records[Method]="Active Air",_xlfn.xlookup(records[ColonyCount]&amp;records[AirSampler],feller[code],feller[Vc]),records[ColonyCount]))</f>
        <v>0</v>
      </c>
      <c r="AC431" s="60" t="b">
        <f t="shared" si="1"/>
        <v>1</v>
      </c>
      <c r="AD431" s="61" t="b">
        <v>0</v>
      </c>
      <c r="AE431" s="32" t="s">
        <v>235</v>
      </c>
      <c r="AF431" s="46"/>
      <c r="AG431" s="46"/>
      <c r="AH431" s="46"/>
      <c r="AI431" s="46"/>
      <c r="AJ431" s="46"/>
    </row>
    <row r="432" ht="22.5" customHeight="1">
      <c r="A432" s="27">
        <v>46222.0</v>
      </c>
      <c r="B432" s="34" t="str">
        <f t="array" ref="B432">TEXT(A432, "MM-YYYY")</f>
        <v>07-2026</v>
      </c>
      <c r="C432" s="20" t="s">
        <v>1246</v>
      </c>
      <c r="D432" s="21" t="s">
        <v>210</v>
      </c>
      <c r="E432" s="36" t="s">
        <v>213</v>
      </c>
      <c r="F432" s="37" t="s">
        <v>65</v>
      </c>
      <c r="G432" s="29" t="b">
        <v>1</v>
      </c>
      <c r="H432" s="36" t="s">
        <v>214</v>
      </c>
      <c r="I432" s="36" t="s">
        <v>215</v>
      </c>
      <c r="J432" s="29"/>
      <c r="K432" s="138"/>
      <c r="L432" s="37" t="s">
        <v>194</v>
      </c>
      <c r="M432" s="37" t="s">
        <v>194</v>
      </c>
      <c r="N432" s="37" t="s">
        <v>194</v>
      </c>
      <c r="O432" s="37" t="s">
        <v>194</v>
      </c>
      <c r="P432" s="37" t="s">
        <v>2271</v>
      </c>
      <c r="Q432" s="37" t="s">
        <v>2272</v>
      </c>
      <c r="R432" s="41">
        <v>46271.0</v>
      </c>
      <c r="S432" s="42">
        <v>0.0</v>
      </c>
      <c r="T432" s="44" t="s">
        <v>2011</v>
      </c>
      <c r="U432" s="47" t="str">
        <f>IF(records[Type]="Room",records[roomNo],records[roomNo]&amp;"-"&amp;SUBSTITUTE(RIGHT(records[roomNo]&amp;records[Type],2),"-",""))</f>
        <v>10-3-119</v>
      </c>
      <c r="V432" s="47" t="str">
        <f t="array" ref="V432">_xlfn.XLOOKUP(records[ID], dAir[roomNo], dAir[roomName])</f>
        <v>CORRIDOR</v>
      </c>
      <c r="W432" s="47" t="str">
        <f t="array" ref="W432">_xlfn.XLOOKUP(records[ID], dAir[roomNo], dAir[building])</f>
        <v>Building 10</v>
      </c>
      <c r="X432" s="47" t="str">
        <f t="array" ref="X432">_xlfn.XLOOKUP(records[ID], dAir[roomNo], dAir[floor])</f>
        <v>Floor 3</v>
      </c>
      <c r="Y432" s="45" t="str">
        <f t="array" ref="Y432">_xlfn.XLOOKUP(records[ID], dAir[roomNo], dAir[Class])</f>
        <v>D</v>
      </c>
      <c r="Z432" s="45">
        <f t="array" ref="Z432">_xlfn.XLOOKUP(records[Method]&amp;"-"&amp;records[Class], dAirSpec[ID], dAirSpec[Spec])</f>
        <v>100</v>
      </c>
      <c r="AA432" s="45" t="str">
        <f t="array" ref="AA432">_xlfn.XLOOKUP(records[Method]&amp;"-"&amp;records[Class], dAirSpec[ID], dAirSpec[Unit])</f>
        <v>cfu/plate</v>
      </c>
      <c r="AB432" s="58">
        <f t="array" ref="AB432">if(S432="","", if(records[Method]="Active Air",_xlfn.xlookup(records[ColonyCount]&amp;records[AirSampler],feller[code],feller[Vc]),records[ColonyCount]))</f>
        <v>0</v>
      </c>
      <c r="AC432" s="60" t="b">
        <f t="shared" si="1"/>
        <v>1</v>
      </c>
      <c r="AD432" s="61" t="b">
        <v>0</v>
      </c>
      <c r="AE432" s="32" t="s">
        <v>235</v>
      </c>
      <c r="AF432" s="46"/>
      <c r="AG432" s="46"/>
      <c r="AH432" s="46"/>
      <c r="AI432" s="46"/>
      <c r="AJ432" s="46"/>
    </row>
    <row r="433" ht="22.5" customHeight="1">
      <c r="A433" s="27">
        <v>46222.0</v>
      </c>
      <c r="B433" s="34" t="str">
        <f t="array" ref="B433">TEXT(A433, "MM-YYYY")</f>
        <v>07-2026</v>
      </c>
      <c r="C433" s="20" t="s">
        <v>267</v>
      </c>
      <c r="D433" s="21" t="s">
        <v>210</v>
      </c>
      <c r="E433" s="36" t="s">
        <v>213</v>
      </c>
      <c r="F433" s="37" t="s">
        <v>65</v>
      </c>
      <c r="G433" s="29" t="b">
        <v>1</v>
      </c>
      <c r="H433" s="36" t="s">
        <v>214</v>
      </c>
      <c r="I433" s="36" t="s">
        <v>215</v>
      </c>
      <c r="J433" s="29"/>
      <c r="K433" s="138"/>
      <c r="L433" s="37" t="s">
        <v>194</v>
      </c>
      <c r="M433" s="37" t="s">
        <v>194</v>
      </c>
      <c r="N433" s="37" t="s">
        <v>194</v>
      </c>
      <c r="O433" s="37" t="s">
        <v>194</v>
      </c>
      <c r="P433" s="37" t="s">
        <v>2271</v>
      </c>
      <c r="Q433" s="37" t="s">
        <v>2272</v>
      </c>
      <c r="R433" s="41">
        <v>46271.0</v>
      </c>
      <c r="S433" s="42">
        <v>1.0</v>
      </c>
      <c r="T433" s="44"/>
      <c r="U433" s="47" t="str">
        <f>IF(records[Type]="Room",records[roomNo],records[roomNo]&amp;"-"&amp;SUBSTITUTE(RIGHT(records[roomNo]&amp;records[Type],2),"-",""))</f>
        <v>10-3-120</v>
      </c>
      <c r="V433" s="47" t="str">
        <f t="array" ref="V433">_xlfn.XLOOKUP(records[ID], dAir[roomNo], dAir[roomName])</f>
        <v>COMPRESSION 1  (TABLET COMPRESSION MACHINE)</v>
      </c>
      <c r="W433" s="47" t="str">
        <f t="array" ref="W433">_xlfn.XLOOKUP(records[ID], dAir[roomNo], dAir[building])</f>
        <v>Building 10</v>
      </c>
      <c r="X433" s="47" t="str">
        <f t="array" ref="X433">_xlfn.XLOOKUP(records[ID], dAir[roomNo], dAir[floor])</f>
        <v>Floor 3</v>
      </c>
      <c r="Y433" s="45" t="str">
        <f t="array" ref="Y433">_xlfn.XLOOKUP(records[ID], dAir[roomNo], dAir[Class])</f>
        <v>D</v>
      </c>
      <c r="Z433" s="45">
        <f t="array" ref="Z433">_xlfn.XLOOKUP(records[Method]&amp;"-"&amp;records[Class], dAirSpec[ID], dAirSpec[Spec])</f>
        <v>100</v>
      </c>
      <c r="AA433" s="45" t="str">
        <f t="array" ref="AA433">_xlfn.XLOOKUP(records[Method]&amp;"-"&amp;records[Class], dAirSpec[ID], dAirSpec[Unit])</f>
        <v>cfu/plate</v>
      </c>
      <c r="AB433" s="58">
        <f t="array" ref="AB433">if(S433="","", if(records[Method]="Active Air",_xlfn.xlookup(records[ColonyCount]&amp;records[AirSampler],feller[code],feller[Vc]),records[ColonyCount]))</f>
        <v>1</v>
      </c>
      <c r="AC433" s="60" t="b">
        <f t="shared" si="1"/>
        <v>1</v>
      </c>
      <c r="AD433" s="61" t="b">
        <v>0</v>
      </c>
      <c r="AE433" s="32" t="s">
        <v>235</v>
      </c>
      <c r="AF433" s="46"/>
      <c r="AG433" s="46"/>
      <c r="AH433" s="46"/>
      <c r="AI433" s="46"/>
      <c r="AJ433" s="46"/>
    </row>
    <row r="434" ht="22.5" customHeight="1">
      <c r="A434" s="27">
        <v>46222.0</v>
      </c>
      <c r="B434" s="34" t="str">
        <f t="array" ref="B434">TEXT(A434, "MM-YYYY")</f>
        <v>07-2026</v>
      </c>
      <c r="C434" s="20" t="s">
        <v>270</v>
      </c>
      <c r="D434" s="21" t="s">
        <v>210</v>
      </c>
      <c r="E434" s="36" t="s">
        <v>213</v>
      </c>
      <c r="F434" s="37" t="s">
        <v>65</v>
      </c>
      <c r="G434" s="29" t="b">
        <v>1</v>
      </c>
      <c r="H434" s="36" t="s">
        <v>214</v>
      </c>
      <c r="I434" s="36" t="s">
        <v>215</v>
      </c>
      <c r="J434" s="29"/>
      <c r="K434" s="138"/>
      <c r="L434" s="37" t="s">
        <v>194</v>
      </c>
      <c r="M434" s="37" t="s">
        <v>194</v>
      </c>
      <c r="N434" s="37" t="s">
        <v>194</v>
      </c>
      <c r="O434" s="37" t="s">
        <v>194</v>
      </c>
      <c r="P434" s="37" t="s">
        <v>2271</v>
      </c>
      <c r="Q434" s="37" t="s">
        <v>2272</v>
      </c>
      <c r="R434" s="41">
        <v>46271.0</v>
      </c>
      <c r="S434" s="42">
        <v>0.0</v>
      </c>
      <c r="T434" s="44"/>
      <c r="U434" s="47" t="str">
        <f>IF(records[Type]="Room",records[roomNo],records[roomNo]&amp;"-"&amp;SUBSTITUTE(RIGHT(records[roomNo]&amp;records[Type],2),"-",""))</f>
        <v>10-3-121</v>
      </c>
      <c r="V434" s="47" t="str">
        <f t="array" ref="V434">_xlfn.XLOOKUP(records[ID], dAir[roomNo], dAir[roomName])</f>
        <v>COMPRESSION 2  (TABLET COMPRESSION MACHINE)</v>
      </c>
      <c r="W434" s="47" t="str">
        <f t="array" ref="W434">_xlfn.XLOOKUP(records[ID], dAir[roomNo], dAir[building])</f>
        <v>Building 10</v>
      </c>
      <c r="X434" s="47" t="str">
        <f t="array" ref="X434">_xlfn.XLOOKUP(records[ID], dAir[roomNo], dAir[floor])</f>
        <v>Floor 3</v>
      </c>
      <c r="Y434" s="45" t="str">
        <f t="array" ref="Y434">_xlfn.XLOOKUP(records[ID], dAir[roomNo], dAir[Class])</f>
        <v>D</v>
      </c>
      <c r="Z434" s="45">
        <f t="array" ref="Z434">_xlfn.XLOOKUP(records[Method]&amp;"-"&amp;records[Class], dAirSpec[ID], dAirSpec[Spec])</f>
        <v>100</v>
      </c>
      <c r="AA434" s="45" t="str">
        <f t="array" ref="AA434">_xlfn.XLOOKUP(records[Method]&amp;"-"&amp;records[Class], dAirSpec[ID], dAirSpec[Unit])</f>
        <v>cfu/plate</v>
      </c>
      <c r="AB434" s="58">
        <f t="array" ref="AB434">if(S434="","", if(records[Method]="Active Air",_xlfn.xlookup(records[ColonyCount]&amp;records[AirSampler],feller[code],feller[Vc]),records[ColonyCount]))</f>
        <v>0</v>
      </c>
      <c r="AC434" s="60" t="b">
        <f t="shared" si="1"/>
        <v>1</v>
      </c>
      <c r="AD434" s="61" t="b">
        <v>0</v>
      </c>
      <c r="AE434" s="32" t="s">
        <v>235</v>
      </c>
      <c r="AF434" s="46"/>
      <c r="AG434" s="46"/>
      <c r="AH434" s="46"/>
      <c r="AI434" s="46"/>
      <c r="AJ434" s="46"/>
    </row>
    <row r="435" ht="22.5" customHeight="1">
      <c r="A435" s="27">
        <v>46222.0</v>
      </c>
      <c r="B435" s="34" t="str">
        <f t="array" ref="B435">TEXT(A435, "MM-YYYY")</f>
        <v>07-2026</v>
      </c>
      <c r="C435" s="20" t="s">
        <v>200</v>
      </c>
      <c r="D435" s="21" t="s">
        <v>210</v>
      </c>
      <c r="E435" s="36" t="s">
        <v>213</v>
      </c>
      <c r="F435" s="37" t="s">
        <v>65</v>
      </c>
      <c r="G435" s="29" t="b">
        <v>1</v>
      </c>
      <c r="H435" s="36" t="s">
        <v>214</v>
      </c>
      <c r="I435" s="36" t="s">
        <v>215</v>
      </c>
      <c r="J435" s="29"/>
      <c r="K435" s="138"/>
      <c r="L435" s="37" t="s">
        <v>194</v>
      </c>
      <c r="M435" s="37" t="s">
        <v>194</v>
      </c>
      <c r="N435" s="37" t="s">
        <v>194</v>
      </c>
      <c r="O435" s="37" t="s">
        <v>194</v>
      </c>
      <c r="P435" s="37" t="s">
        <v>2271</v>
      </c>
      <c r="Q435" s="37" t="s">
        <v>2272</v>
      </c>
      <c r="R435" s="41">
        <v>46271.0</v>
      </c>
      <c r="S435" s="42">
        <v>0.0</v>
      </c>
      <c r="T435" s="44"/>
      <c r="U435" s="47" t="str">
        <f>IF(records[Type]="Room",records[roomNo],records[roomNo]&amp;"-"&amp;SUBSTITUTE(RIGHT(records[roomNo]&amp;records[Type],2),"-",""))</f>
        <v>10-3-122</v>
      </c>
      <c r="V435" s="47" t="str">
        <f t="array" ref="V435">_xlfn.XLOOKUP(records[ID], dAir[roomNo], dAir[roomName])</f>
        <v>COMPRESSION 3 (LOW RH) (TABLET COMPRESSION MACHINE)</v>
      </c>
      <c r="W435" s="47" t="str">
        <f t="array" ref="W435">_xlfn.XLOOKUP(records[ID], dAir[roomNo], dAir[building])</f>
        <v>Building 10</v>
      </c>
      <c r="X435" s="47" t="str">
        <f t="array" ref="X435">_xlfn.XLOOKUP(records[ID], dAir[roomNo], dAir[floor])</f>
        <v>Floor 3</v>
      </c>
      <c r="Y435" s="45" t="str">
        <f t="array" ref="Y435">_xlfn.XLOOKUP(records[ID], dAir[roomNo], dAir[Class])</f>
        <v>D</v>
      </c>
      <c r="Z435" s="45">
        <f t="array" ref="Z435">_xlfn.XLOOKUP(records[Method]&amp;"-"&amp;records[Class], dAirSpec[ID], dAirSpec[Spec])</f>
        <v>100</v>
      </c>
      <c r="AA435" s="45" t="str">
        <f t="array" ref="AA435">_xlfn.XLOOKUP(records[Method]&amp;"-"&amp;records[Class], dAirSpec[ID], dAirSpec[Unit])</f>
        <v>cfu/plate</v>
      </c>
      <c r="AB435" s="58">
        <f t="array" ref="AB435">if(S435="","", if(records[Method]="Active Air",_xlfn.xlookup(records[ColonyCount]&amp;records[AirSampler],feller[code],feller[Vc]),records[ColonyCount]))</f>
        <v>0</v>
      </c>
      <c r="AC435" s="60" t="b">
        <f t="shared" si="1"/>
        <v>1</v>
      </c>
      <c r="AD435" s="61" t="b">
        <v>0</v>
      </c>
      <c r="AE435" s="32" t="s">
        <v>235</v>
      </c>
      <c r="AF435" s="46"/>
      <c r="AG435" s="46"/>
      <c r="AH435" s="46"/>
      <c r="AI435" s="46"/>
      <c r="AJ435" s="46"/>
    </row>
    <row r="436" ht="22.5" customHeight="1">
      <c r="A436" s="27">
        <v>46222.0</v>
      </c>
      <c r="B436" s="34" t="str">
        <f t="array" ref="B436">TEXT(A436, "MM-YYYY")</f>
        <v>07-2026</v>
      </c>
      <c r="C436" s="20" t="s">
        <v>205</v>
      </c>
      <c r="D436" s="21" t="s">
        <v>210</v>
      </c>
      <c r="E436" s="36" t="s">
        <v>213</v>
      </c>
      <c r="F436" s="37" t="s">
        <v>65</v>
      </c>
      <c r="G436" s="29" t="b">
        <v>1</v>
      </c>
      <c r="H436" s="36" t="s">
        <v>214</v>
      </c>
      <c r="I436" s="36" t="s">
        <v>215</v>
      </c>
      <c r="J436" s="29"/>
      <c r="K436" s="138"/>
      <c r="L436" s="37" t="s">
        <v>194</v>
      </c>
      <c r="M436" s="37" t="s">
        <v>194</v>
      </c>
      <c r="N436" s="37" t="s">
        <v>194</v>
      </c>
      <c r="O436" s="37" t="s">
        <v>194</v>
      </c>
      <c r="P436" s="37" t="s">
        <v>2271</v>
      </c>
      <c r="Q436" s="37" t="s">
        <v>2272</v>
      </c>
      <c r="R436" s="41">
        <v>46271.0</v>
      </c>
      <c r="S436" s="42">
        <v>2.0</v>
      </c>
      <c r="T436" s="44"/>
      <c r="U436" s="47" t="str">
        <f>IF(records[Type]="Room",records[roomNo],records[roomNo]&amp;"-"&amp;SUBSTITUTE(RIGHT(records[roomNo]&amp;records[Type],2),"-",""))</f>
        <v>10-3-123</v>
      </c>
      <c r="V436" s="47" t="str">
        <f t="array" ref="V436">_xlfn.XLOOKUP(records[ID], dAir[roomNo], dAir[roomName])</f>
        <v>COMPRESSION 4 (TABLET COMPRESSION MACHINE)</v>
      </c>
      <c r="W436" s="47" t="str">
        <f t="array" ref="W436">_xlfn.XLOOKUP(records[ID], dAir[roomNo], dAir[building])</f>
        <v>Building 10</v>
      </c>
      <c r="X436" s="47" t="str">
        <f t="array" ref="X436">_xlfn.XLOOKUP(records[ID], dAir[roomNo], dAir[floor])</f>
        <v>Floor 3</v>
      </c>
      <c r="Y436" s="45" t="str">
        <f t="array" ref="Y436">_xlfn.XLOOKUP(records[ID], dAir[roomNo], dAir[Class])</f>
        <v>D</v>
      </c>
      <c r="Z436" s="45">
        <f t="array" ref="Z436">_xlfn.XLOOKUP(records[Method]&amp;"-"&amp;records[Class], dAirSpec[ID], dAirSpec[Spec])</f>
        <v>100</v>
      </c>
      <c r="AA436" s="45" t="str">
        <f t="array" ref="AA436">_xlfn.XLOOKUP(records[Method]&amp;"-"&amp;records[Class], dAirSpec[ID], dAirSpec[Unit])</f>
        <v>cfu/plate</v>
      </c>
      <c r="AB436" s="58">
        <f t="array" ref="AB436">if(S436="","", if(records[Method]="Active Air",_xlfn.xlookup(records[ColonyCount]&amp;records[AirSampler],feller[code],feller[Vc]),records[ColonyCount]))</f>
        <v>2</v>
      </c>
      <c r="AC436" s="60" t="b">
        <f t="shared" si="1"/>
        <v>1</v>
      </c>
      <c r="AD436" s="61" t="b">
        <v>0</v>
      </c>
      <c r="AE436" s="32" t="s">
        <v>235</v>
      </c>
      <c r="AF436" s="46"/>
      <c r="AG436" s="46"/>
      <c r="AH436" s="46"/>
      <c r="AI436" s="46"/>
      <c r="AJ436" s="46"/>
    </row>
    <row r="437" ht="22.5" customHeight="1">
      <c r="A437" s="27">
        <v>46222.0</v>
      </c>
      <c r="B437" s="34" t="str">
        <f t="array" ref="B437">TEXT(A437, "MM-YYYY")</f>
        <v>07-2026</v>
      </c>
      <c r="C437" s="20" t="s">
        <v>609</v>
      </c>
      <c r="D437" s="21" t="s">
        <v>210</v>
      </c>
      <c r="E437" s="36" t="s">
        <v>213</v>
      </c>
      <c r="F437" s="37" t="s">
        <v>65</v>
      </c>
      <c r="G437" s="29" t="b">
        <v>1</v>
      </c>
      <c r="H437" s="36" t="s">
        <v>214</v>
      </c>
      <c r="I437" s="36" t="s">
        <v>215</v>
      </c>
      <c r="J437" s="29"/>
      <c r="K437" s="138"/>
      <c r="L437" s="37" t="s">
        <v>194</v>
      </c>
      <c r="M437" s="37" t="s">
        <v>194</v>
      </c>
      <c r="N437" s="37" t="s">
        <v>194</v>
      </c>
      <c r="O437" s="37" t="s">
        <v>194</v>
      </c>
      <c r="P437" s="37" t="s">
        <v>2271</v>
      </c>
      <c r="Q437" s="37" t="s">
        <v>2272</v>
      </c>
      <c r="R437" s="41">
        <v>46271.0</v>
      </c>
      <c r="S437" s="42">
        <v>0.0</v>
      </c>
      <c r="T437" s="44"/>
      <c r="U437" s="47" t="str">
        <f>IF(records[Type]="Room",records[roomNo],records[roomNo]&amp;"-"&amp;SUBSTITUTE(RIGHT(records[roomNo]&amp;records[Type],2),"-",""))</f>
        <v>10-3-124</v>
      </c>
      <c r="V437" s="47" t="str">
        <f t="array" ref="V437">_xlfn.XLOOKUP(records[ID], dAir[roomNo], dAir[roomName])</f>
        <v>COMPRESSION 5  (TABLET INSPECTION MACHINE)</v>
      </c>
      <c r="W437" s="47" t="str">
        <f t="array" ref="W437">_xlfn.XLOOKUP(records[ID], dAir[roomNo], dAir[building])</f>
        <v>Building 10</v>
      </c>
      <c r="X437" s="47" t="str">
        <f t="array" ref="X437">_xlfn.XLOOKUP(records[ID], dAir[roomNo], dAir[floor])</f>
        <v>Floor 3</v>
      </c>
      <c r="Y437" s="45" t="str">
        <f t="array" ref="Y437">_xlfn.XLOOKUP(records[ID], dAir[roomNo], dAir[Class])</f>
        <v>D</v>
      </c>
      <c r="Z437" s="45">
        <f t="array" ref="Z437">_xlfn.XLOOKUP(records[Method]&amp;"-"&amp;records[Class], dAirSpec[ID], dAirSpec[Spec])</f>
        <v>100</v>
      </c>
      <c r="AA437" s="45" t="str">
        <f t="array" ref="AA437">_xlfn.XLOOKUP(records[Method]&amp;"-"&amp;records[Class], dAirSpec[ID], dAirSpec[Unit])</f>
        <v>cfu/plate</v>
      </c>
      <c r="AB437" s="58">
        <f t="array" ref="AB437">if(S437="","", if(records[Method]="Active Air",_xlfn.xlookup(records[ColonyCount]&amp;records[AirSampler],feller[code],feller[Vc]),records[ColonyCount]))</f>
        <v>0</v>
      </c>
      <c r="AC437" s="60" t="b">
        <f t="shared" si="1"/>
        <v>1</v>
      </c>
      <c r="AD437" s="61" t="b">
        <v>0</v>
      </c>
      <c r="AE437" s="32" t="s">
        <v>235</v>
      </c>
      <c r="AF437" s="46"/>
      <c r="AG437" s="46"/>
      <c r="AH437" s="46"/>
      <c r="AI437" s="46"/>
      <c r="AJ437" s="46"/>
    </row>
    <row r="438" ht="22.5" customHeight="1">
      <c r="A438" s="27">
        <v>46222.0</v>
      </c>
      <c r="B438" s="34" t="str">
        <f t="array" ref="B438">TEXT(A438, "MM-YYYY")</f>
        <v>07-2026</v>
      </c>
      <c r="C438" s="20" t="s">
        <v>212</v>
      </c>
      <c r="D438" s="21" t="s">
        <v>210</v>
      </c>
      <c r="E438" s="36" t="s">
        <v>213</v>
      </c>
      <c r="F438" s="37" t="s">
        <v>65</v>
      </c>
      <c r="G438" s="29" t="b">
        <v>1</v>
      </c>
      <c r="H438" s="36" t="s">
        <v>214</v>
      </c>
      <c r="I438" s="36" t="s">
        <v>215</v>
      </c>
      <c r="J438" s="29"/>
      <c r="K438" s="138"/>
      <c r="L438" s="37" t="s">
        <v>194</v>
      </c>
      <c r="M438" s="37" t="s">
        <v>194</v>
      </c>
      <c r="N438" s="37" t="s">
        <v>194</v>
      </c>
      <c r="O438" s="37" t="s">
        <v>194</v>
      </c>
      <c r="P438" s="37" t="s">
        <v>2271</v>
      </c>
      <c r="Q438" s="37" t="s">
        <v>2272</v>
      </c>
      <c r="R438" s="41">
        <v>46271.0</v>
      </c>
      <c r="S438" s="42">
        <v>0.0</v>
      </c>
      <c r="T438" s="44"/>
      <c r="U438" s="47" t="str">
        <f>IF(records[Type]="Room",records[roomNo],records[roomNo]&amp;"-"&amp;SUBSTITUTE(RIGHT(records[roomNo]&amp;records[Type],2),"-",""))</f>
        <v>10-3-125</v>
      </c>
      <c r="V438" s="47" t="str">
        <f t="array" ref="V438">_xlfn.XLOOKUP(records[ID], dAir[roomNo], dAir[roomName])</f>
        <v>COMPRESSION 6  (TABLET COMPRESSION MACHINE)</v>
      </c>
      <c r="W438" s="47" t="str">
        <f t="array" ref="W438">_xlfn.XLOOKUP(records[ID], dAir[roomNo], dAir[building])</f>
        <v>Building 10</v>
      </c>
      <c r="X438" s="47" t="str">
        <f t="array" ref="X438">_xlfn.XLOOKUP(records[ID], dAir[roomNo], dAir[floor])</f>
        <v>Floor 3</v>
      </c>
      <c r="Y438" s="45" t="str">
        <f t="array" ref="Y438">_xlfn.XLOOKUP(records[ID], dAir[roomNo], dAir[Class])</f>
        <v>D</v>
      </c>
      <c r="Z438" s="45">
        <f t="array" ref="Z438">_xlfn.XLOOKUP(records[Method]&amp;"-"&amp;records[Class], dAirSpec[ID], dAirSpec[Spec])</f>
        <v>100</v>
      </c>
      <c r="AA438" s="45" t="str">
        <f t="array" ref="AA438">_xlfn.XLOOKUP(records[Method]&amp;"-"&amp;records[Class], dAirSpec[ID], dAirSpec[Unit])</f>
        <v>cfu/plate</v>
      </c>
      <c r="AB438" s="58">
        <f t="array" ref="AB438">if(S438="","", if(records[Method]="Active Air",_xlfn.xlookup(records[ColonyCount]&amp;records[AirSampler],feller[code],feller[Vc]),records[ColonyCount]))</f>
        <v>0</v>
      </c>
      <c r="AC438" s="60" t="b">
        <f t="shared" si="1"/>
        <v>1</v>
      </c>
      <c r="AD438" s="61" t="b">
        <v>0</v>
      </c>
      <c r="AE438" s="32" t="s">
        <v>235</v>
      </c>
      <c r="AF438" s="46"/>
      <c r="AG438" s="46"/>
      <c r="AH438" s="46"/>
      <c r="AI438" s="46"/>
      <c r="AJ438" s="46"/>
    </row>
    <row r="439" ht="22.5" customHeight="1">
      <c r="A439" s="27">
        <v>46222.0</v>
      </c>
      <c r="B439" s="34" t="str">
        <f t="array" ref="B439">TEXT(A439, "MM-YYYY")</f>
        <v>07-2026</v>
      </c>
      <c r="C439" s="20" t="s">
        <v>217</v>
      </c>
      <c r="D439" s="21" t="s">
        <v>210</v>
      </c>
      <c r="E439" s="36" t="s">
        <v>213</v>
      </c>
      <c r="F439" s="37" t="s">
        <v>65</v>
      </c>
      <c r="G439" s="29" t="b">
        <v>1</v>
      </c>
      <c r="H439" s="36" t="s">
        <v>214</v>
      </c>
      <c r="I439" s="36" t="s">
        <v>215</v>
      </c>
      <c r="J439" s="29"/>
      <c r="K439" s="138"/>
      <c r="L439" s="37" t="s">
        <v>194</v>
      </c>
      <c r="M439" s="37" t="s">
        <v>194</v>
      </c>
      <c r="N439" s="37" t="s">
        <v>194</v>
      </c>
      <c r="O439" s="37" t="s">
        <v>194</v>
      </c>
      <c r="P439" s="37" t="s">
        <v>2271</v>
      </c>
      <c r="Q439" s="37" t="s">
        <v>2272</v>
      </c>
      <c r="R439" s="41">
        <v>46271.0</v>
      </c>
      <c r="S439" s="42">
        <v>0.0</v>
      </c>
      <c r="T439" s="44"/>
      <c r="U439" s="47" t="str">
        <f>IF(records[Type]="Room",records[roomNo],records[roomNo]&amp;"-"&amp;SUBSTITUTE(RIGHT(records[roomNo]&amp;records[Type],2),"-",""))</f>
        <v>10-3-126</v>
      </c>
      <c r="V439" s="47" t="str">
        <f t="array" ref="V439">_xlfn.XLOOKUP(records[ID], dAir[roomNo], dAir[roomName])</f>
        <v>COMPRESSION 7  (TABLET COMPRESSION MACHINE)</v>
      </c>
      <c r="W439" s="47" t="str">
        <f t="array" ref="W439">_xlfn.XLOOKUP(records[ID], dAir[roomNo], dAir[building])</f>
        <v>Building 10</v>
      </c>
      <c r="X439" s="47" t="str">
        <f t="array" ref="X439">_xlfn.XLOOKUP(records[ID], dAir[roomNo], dAir[floor])</f>
        <v>Floor 3</v>
      </c>
      <c r="Y439" s="45" t="str">
        <f t="array" ref="Y439">_xlfn.XLOOKUP(records[ID], dAir[roomNo], dAir[Class])</f>
        <v>D</v>
      </c>
      <c r="Z439" s="45">
        <f t="array" ref="Z439">_xlfn.XLOOKUP(records[Method]&amp;"-"&amp;records[Class], dAirSpec[ID], dAirSpec[Spec])</f>
        <v>100</v>
      </c>
      <c r="AA439" s="45" t="str">
        <f t="array" ref="AA439">_xlfn.XLOOKUP(records[Method]&amp;"-"&amp;records[Class], dAirSpec[ID], dAirSpec[Unit])</f>
        <v>cfu/plate</v>
      </c>
      <c r="AB439" s="58">
        <f t="array" ref="AB439">if(S439="","", if(records[Method]="Active Air",_xlfn.xlookup(records[ColonyCount]&amp;records[AirSampler],feller[code],feller[Vc]),records[ColonyCount]))</f>
        <v>0</v>
      </c>
      <c r="AC439" s="60" t="b">
        <f t="shared" si="1"/>
        <v>1</v>
      </c>
      <c r="AD439" s="61" t="b">
        <v>0</v>
      </c>
      <c r="AE439" s="32" t="s">
        <v>235</v>
      </c>
      <c r="AF439" s="46"/>
      <c r="AG439" s="46"/>
      <c r="AH439" s="46"/>
      <c r="AI439" s="46"/>
      <c r="AJ439" s="46"/>
    </row>
    <row r="440" ht="22.5" customHeight="1">
      <c r="A440" s="27">
        <v>46222.0</v>
      </c>
      <c r="B440" s="34" t="str">
        <f t="array" ref="B440">TEXT(A440, "MM-YYYY")</f>
        <v>07-2026</v>
      </c>
      <c r="C440" s="20" t="s">
        <v>222</v>
      </c>
      <c r="D440" s="21" t="s">
        <v>210</v>
      </c>
      <c r="E440" s="36" t="s">
        <v>213</v>
      </c>
      <c r="F440" s="37" t="s">
        <v>65</v>
      </c>
      <c r="G440" s="29" t="b">
        <v>1</v>
      </c>
      <c r="H440" s="36" t="s">
        <v>214</v>
      </c>
      <c r="I440" s="36" t="s">
        <v>215</v>
      </c>
      <c r="J440" s="29"/>
      <c r="K440" s="138"/>
      <c r="L440" s="37" t="s">
        <v>194</v>
      </c>
      <c r="M440" s="37" t="s">
        <v>194</v>
      </c>
      <c r="N440" s="37" t="s">
        <v>194</v>
      </c>
      <c r="O440" s="37" t="s">
        <v>194</v>
      </c>
      <c r="P440" s="37" t="s">
        <v>2271</v>
      </c>
      <c r="Q440" s="37" t="s">
        <v>2272</v>
      </c>
      <c r="R440" s="41">
        <v>46271.0</v>
      </c>
      <c r="S440" s="42">
        <v>0.0</v>
      </c>
      <c r="T440" s="44"/>
      <c r="U440" s="47" t="str">
        <f>IF(records[Type]="Room",records[roomNo],records[roomNo]&amp;"-"&amp;SUBSTITUTE(RIGHT(records[roomNo]&amp;records[Type],2),"-",""))</f>
        <v>10-3-127</v>
      </c>
      <c r="V440" s="47" t="str">
        <f t="array" ref="V440">_xlfn.XLOOKUP(records[ID], dAir[roomNo], dAir[roomName])</f>
        <v>COMPRESSION 8  (TABLET COMPRESSION MACHINE)</v>
      </c>
      <c r="W440" s="47" t="str">
        <f t="array" ref="W440">_xlfn.XLOOKUP(records[ID], dAir[roomNo], dAir[building])</f>
        <v>Building 10</v>
      </c>
      <c r="X440" s="47" t="str">
        <f t="array" ref="X440">_xlfn.XLOOKUP(records[ID], dAir[roomNo], dAir[floor])</f>
        <v>Floor 3</v>
      </c>
      <c r="Y440" s="45" t="str">
        <f t="array" ref="Y440">_xlfn.XLOOKUP(records[ID], dAir[roomNo], dAir[Class])</f>
        <v>D</v>
      </c>
      <c r="Z440" s="45">
        <f t="array" ref="Z440">_xlfn.XLOOKUP(records[Method]&amp;"-"&amp;records[Class], dAirSpec[ID], dAirSpec[Spec])</f>
        <v>100</v>
      </c>
      <c r="AA440" s="45" t="str">
        <f t="array" ref="AA440">_xlfn.XLOOKUP(records[Method]&amp;"-"&amp;records[Class], dAirSpec[ID], dAirSpec[Unit])</f>
        <v>cfu/plate</v>
      </c>
      <c r="AB440" s="58">
        <f t="array" ref="AB440">if(S440="","", if(records[Method]="Active Air",_xlfn.xlookup(records[ColonyCount]&amp;records[AirSampler],feller[code],feller[Vc]),records[ColonyCount]))</f>
        <v>0</v>
      </c>
      <c r="AC440" s="60" t="b">
        <f t="shared" si="1"/>
        <v>1</v>
      </c>
      <c r="AD440" s="61" t="b">
        <v>0</v>
      </c>
      <c r="AE440" s="32" t="s">
        <v>235</v>
      </c>
      <c r="AF440" s="46"/>
      <c r="AG440" s="46"/>
      <c r="AH440" s="46"/>
      <c r="AI440" s="46"/>
      <c r="AJ440" s="46"/>
    </row>
    <row r="441" ht="22.5" customHeight="1">
      <c r="A441" s="27">
        <v>46222.0</v>
      </c>
      <c r="B441" s="34" t="str">
        <f t="array" ref="B441">TEXT(A441, "MM-YYYY")</f>
        <v>07-2026</v>
      </c>
      <c r="C441" s="20" t="s">
        <v>1254</v>
      </c>
      <c r="D441" s="21" t="s">
        <v>210</v>
      </c>
      <c r="E441" s="36" t="s">
        <v>213</v>
      </c>
      <c r="F441" s="37" t="s">
        <v>65</v>
      </c>
      <c r="G441" s="29" t="b">
        <v>1</v>
      </c>
      <c r="H441" s="36" t="s">
        <v>214</v>
      </c>
      <c r="I441" s="36" t="s">
        <v>215</v>
      </c>
      <c r="J441" s="29"/>
      <c r="K441" s="138"/>
      <c r="L441" s="37" t="s">
        <v>194</v>
      </c>
      <c r="M441" s="37" t="s">
        <v>194</v>
      </c>
      <c r="N441" s="37" t="s">
        <v>194</v>
      </c>
      <c r="O441" s="37" t="s">
        <v>194</v>
      </c>
      <c r="P441" s="37" t="s">
        <v>2271</v>
      </c>
      <c r="Q441" s="37" t="s">
        <v>2272</v>
      </c>
      <c r="R441" s="41">
        <v>46271.0</v>
      </c>
      <c r="S441" s="42">
        <v>4.0</v>
      </c>
      <c r="T441" s="44"/>
      <c r="U441" s="47" t="str">
        <f>IF(records[Type]="Room",records[roomNo],records[roomNo]&amp;"-"&amp;SUBSTITUTE(RIGHT(records[roomNo]&amp;records[Type],2),"-",""))</f>
        <v>10-3-128</v>
      </c>
      <c r="V441" s="47" t="str">
        <f t="array" ref="V441">_xlfn.XLOOKUP(records[ID], dAir[roomNo], dAir[roomName])</f>
        <v>PROCESS CHANGE-P</v>
      </c>
      <c r="W441" s="47" t="str">
        <f t="array" ref="W441">_xlfn.XLOOKUP(records[ID], dAir[roomNo], dAir[building])</f>
        <v>Building 10</v>
      </c>
      <c r="X441" s="47" t="str">
        <f t="array" ref="X441">_xlfn.XLOOKUP(records[ID], dAir[roomNo], dAir[floor])</f>
        <v>Floor 3</v>
      </c>
      <c r="Y441" s="45" t="str">
        <f t="array" ref="Y441">_xlfn.XLOOKUP(records[ID], dAir[roomNo], dAir[Class])</f>
        <v>D</v>
      </c>
      <c r="Z441" s="45">
        <f t="array" ref="Z441">_xlfn.XLOOKUP(records[Method]&amp;"-"&amp;records[Class], dAirSpec[ID], dAirSpec[Spec])</f>
        <v>100</v>
      </c>
      <c r="AA441" s="45" t="str">
        <f t="array" ref="AA441">_xlfn.XLOOKUP(records[Method]&amp;"-"&amp;records[Class], dAirSpec[ID], dAirSpec[Unit])</f>
        <v>cfu/plate</v>
      </c>
      <c r="AB441" s="58">
        <f t="array" ref="AB441">if(S441="","", if(records[Method]="Active Air",_xlfn.xlookup(records[ColonyCount]&amp;records[AirSampler],feller[code],feller[Vc]),records[ColonyCount]))</f>
        <v>4</v>
      </c>
      <c r="AC441" s="60" t="b">
        <f t="shared" si="1"/>
        <v>1</v>
      </c>
      <c r="AD441" s="61" t="b">
        <v>0</v>
      </c>
      <c r="AE441" s="32" t="s">
        <v>235</v>
      </c>
      <c r="AF441" s="46"/>
      <c r="AG441" s="46"/>
      <c r="AH441" s="46"/>
      <c r="AI441" s="46"/>
      <c r="AJ441" s="46"/>
    </row>
    <row r="442" ht="22.5" customHeight="1">
      <c r="A442" s="27">
        <v>46222.0</v>
      </c>
      <c r="B442" s="34" t="str">
        <f t="array" ref="B442">TEXT(A442, "MM-YYYY")</f>
        <v>07-2026</v>
      </c>
      <c r="C442" s="20" t="s">
        <v>1255</v>
      </c>
      <c r="D442" s="21" t="s">
        <v>210</v>
      </c>
      <c r="E442" s="36" t="s">
        <v>213</v>
      </c>
      <c r="F442" s="37" t="s">
        <v>65</v>
      </c>
      <c r="G442" s="29" t="b">
        <v>1</v>
      </c>
      <c r="H442" s="36" t="s">
        <v>214</v>
      </c>
      <c r="I442" s="36" t="s">
        <v>215</v>
      </c>
      <c r="J442" s="29"/>
      <c r="K442" s="138"/>
      <c r="L442" s="37" t="s">
        <v>194</v>
      </c>
      <c r="M442" s="37" t="s">
        <v>194</v>
      </c>
      <c r="N442" s="37" t="s">
        <v>194</v>
      </c>
      <c r="O442" s="37" t="s">
        <v>194</v>
      </c>
      <c r="P442" s="37" t="s">
        <v>2271</v>
      </c>
      <c r="Q442" s="37" t="s">
        <v>2272</v>
      </c>
      <c r="R442" s="41">
        <v>46271.0</v>
      </c>
      <c r="S442" s="42">
        <v>0.0</v>
      </c>
      <c r="T442" s="44" t="s">
        <v>2011</v>
      </c>
      <c r="U442" s="47" t="str">
        <f>IF(records[Type]="Room",records[roomNo],records[roomNo]&amp;"-"&amp;SUBSTITUTE(RIGHT(records[roomNo]&amp;records[Type],2),"-",""))</f>
        <v>10-3-129</v>
      </c>
      <c r="V442" s="47" t="str">
        <f t="array" ref="V442">_xlfn.XLOOKUP(records[ID], dAir[roomNo], dAir[roomName])</f>
        <v>CORRIDOR-P</v>
      </c>
      <c r="W442" s="47" t="str">
        <f t="array" ref="W442">_xlfn.XLOOKUP(records[ID], dAir[roomNo], dAir[building])</f>
        <v>Building 10</v>
      </c>
      <c r="X442" s="47" t="str">
        <f t="array" ref="X442">_xlfn.XLOOKUP(records[ID], dAir[roomNo], dAir[floor])</f>
        <v>Floor 3</v>
      </c>
      <c r="Y442" s="45" t="str">
        <f t="array" ref="Y442">_xlfn.XLOOKUP(records[ID], dAir[roomNo], dAir[Class])</f>
        <v>D</v>
      </c>
      <c r="Z442" s="45">
        <f t="array" ref="Z442">_xlfn.XLOOKUP(records[Method]&amp;"-"&amp;records[Class], dAirSpec[ID], dAirSpec[Spec])</f>
        <v>100</v>
      </c>
      <c r="AA442" s="45" t="str">
        <f t="array" ref="AA442">_xlfn.XLOOKUP(records[Method]&amp;"-"&amp;records[Class], dAirSpec[ID], dAirSpec[Unit])</f>
        <v>cfu/plate</v>
      </c>
      <c r="AB442" s="58">
        <f t="array" ref="AB442">if(S442="","", if(records[Method]="Active Air",_xlfn.xlookup(records[ColonyCount]&amp;records[AirSampler],feller[code],feller[Vc]),records[ColonyCount]))</f>
        <v>0</v>
      </c>
      <c r="AC442" s="60" t="b">
        <f t="shared" si="1"/>
        <v>1</v>
      </c>
      <c r="AD442" s="61" t="b">
        <v>0</v>
      </c>
      <c r="AE442" s="32" t="s">
        <v>235</v>
      </c>
      <c r="AF442" s="46"/>
      <c r="AG442" s="46"/>
      <c r="AH442" s="46"/>
      <c r="AI442" s="46"/>
      <c r="AJ442" s="46"/>
    </row>
    <row r="443" ht="22.5" customHeight="1">
      <c r="A443" s="27">
        <v>46222.0</v>
      </c>
      <c r="B443" s="34" t="str">
        <f t="array" ref="B443">TEXT(A443, "MM-YYYY")</f>
        <v>07-2026</v>
      </c>
      <c r="C443" s="20" t="s">
        <v>1256</v>
      </c>
      <c r="D443" s="21" t="s">
        <v>210</v>
      </c>
      <c r="E443" s="36" t="s">
        <v>213</v>
      </c>
      <c r="F443" s="37" t="s">
        <v>65</v>
      </c>
      <c r="G443" s="29" t="b">
        <v>1</v>
      </c>
      <c r="H443" s="36" t="s">
        <v>214</v>
      </c>
      <c r="I443" s="36" t="s">
        <v>215</v>
      </c>
      <c r="J443" s="29"/>
      <c r="K443" s="138"/>
      <c r="L443" s="37" t="s">
        <v>194</v>
      </c>
      <c r="M443" s="37" t="s">
        <v>194</v>
      </c>
      <c r="N443" s="37" t="s">
        <v>194</v>
      </c>
      <c r="O443" s="37" t="s">
        <v>194</v>
      </c>
      <c r="P443" s="37" t="s">
        <v>2271</v>
      </c>
      <c r="Q443" s="37" t="s">
        <v>2272</v>
      </c>
      <c r="R443" s="41">
        <v>46271.0</v>
      </c>
      <c r="S443" s="42">
        <v>0.0</v>
      </c>
      <c r="T443" s="44"/>
      <c r="U443" s="47" t="str">
        <f>IF(records[Type]="Room",records[roomNo],records[roomNo]&amp;"-"&amp;SUBSTITUTE(RIGHT(records[roomNo]&amp;records[Type],2),"-",""))</f>
        <v>10-3-130</v>
      </c>
      <c r="V443" s="47" t="str">
        <f t="array" ref="V443">_xlfn.XLOOKUP(records[ID], dAir[roomNo], dAir[roomName])</f>
        <v>PROCESS CHANGE EXIT-P</v>
      </c>
      <c r="W443" s="47" t="str">
        <f t="array" ref="W443">_xlfn.XLOOKUP(records[ID], dAir[roomNo], dAir[building])</f>
        <v>Building 10</v>
      </c>
      <c r="X443" s="47" t="str">
        <f t="array" ref="X443">_xlfn.XLOOKUP(records[ID], dAir[roomNo], dAir[floor])</f>
        <v>Floor 3</v>
      </c>
      <c r="Y443" s="45" t="str">
        <f t="array" ref="Y443">_xlfn.XLOOKUP(records[ID], dAir[roomNo], dAir[Class])</f>
        <v>D</v>
      </c>
      <c r="Z443" s="45">
        <f t="array" ref="Z443">_xlfn.XLOOKUP(records[Method]&amp;"-"&amp;records[Class], dAirSpec[ID], dAirSpec[Spec])</f>
        <v>100</v>
      </c>
      <c r="AA443" s="45" t="str">
        <f t="array" ref="AA443">_xlfn.XLOOKUP(records[Method]&amp;"-"&amp;records[Class], dAirSpec[ID], dAirSpec[Unit])</f>
        <v>cfu/plate</v>
      </c>
      <c r="AB443" s="58">
        <f t="array" ref="AB443">if(S443="","", if(records[Method]="Active Air",_xlfn.xlookup(records[ColonyCount]&amp;records[AirSampler],feller[code],feller[Vc]),records[ColonyCount]))</f>
        <v>0</v>
      </c>
      <c r="AC443" s="60" t="b">
        <f t="shared" si="1"/>
        <v>1</v>
      </c>
      <c r="AD443" s="61" t="b">
        <v>0</v>
      </c>
      <c r="AE443" s="32" t="s">
        <v>235</v>
      </c>
      <c r="AF443" s="46"/>
      <c r="AG443" s="46"/>
      <c r="AH443" s="46"/>
      <c r="AI443" s="46"/>
      <c r="AJ443" s="46"/>
    </row>
    <row r="444" ht="22.5" customHeight="1">
      <c r="A444" s="27">
        <v>46222.0</v>
      </c>
      <c r="B444" s="34" t="str">
        <f t="array" ref="B444">TEXT(A444, "MM-YYYY")</f>
        <v>07-2026</v>
      </c>
      <c r="C444" s="20" t="s">
        <v>1257</v>
      </c>
      <c r="D444" s="21" t="s">
        <v>210</v>
      </c>
      <c r="E444" s="36" t="s">
        <v>213</v>
      </c>
      <c r="F444" s="37" t="s">
        <v>65</v>
      </c>
      <c r="G444" s="29" t="b">
        <v>1</v>
      </c>
      <c r="H444" s="36" t="s">
        <v>214</v>
      </c>
      <c r="I444" s="36" t="s">
        <v>215</v>
      </c>
      <c r="J444" s="29"/>
      <c r="K444" s="138"/>
      <c r="L444" s="37" t="s">
        <v>194</v>
      </c>
      <c r="M444" s="37" t="s">
        <v>194</v>
      </c>
      <c r="N444" s="37" t="s">
        <v>194</v>
      </c>
      <c r="O444" s="37" t="s">
        <v>194</v>
      </c>
      <c r="P444" s="37" t="s">
        <v>2271</v>
      </c>
      <c r="Q444" s="37" t="s">
        <v>2272</v>
      </c>
      <c r="R444" s="41">
        <v>46271.0</v>
      </c>
      <c r="S444" s="42">
        <v>0.0</v>
      </c>
      <c r="T444" s="44"/>
      <c r="U444" s="47" t="str">
        <f>IF(records[Type]="Room",records[roomNo],records[roomNo]&amp;"-"&amp;SUBSTITUTE(RIGHT(records[roomNo]&amp;records[Type],2),"-",""))</f>
        <v>10-3-131</v>
      </c>
      <c r="V444" s="47" t="str">
        <f t="array" ref="V444">_xlfn.XLOOKUP(records[ID], dAir[roomNo], dAir[roomName])</f>
        <v>AIRLOCK-P</v>
      </c>
      <c r="W444" s="47" t="str">
        <f t="array" ref="W444">_xlfn.XLOOKUP(records[ID], dAir[roomNo], dAir[building])</f>
        <v>Building 10</v>
      </c>
      <c r="X444" s="47" t="str">
        <f t="array" ref="X444">_xlfn.XLOOKUP(records[ID], dAir[roomNo], dAir[floor])</f>
        <v>Floor 3</v>
      </c>
      <c r="Y444" s="45" t="str">
        <f t="array" ref="Y444">_xlfn.XLOOKUP(records[ID], dAir[roomNo], dAir[Class])</f>
        <v>D</v>
      </c>
      <c r="Z444" s="45">
        <f t="array" ref="Z444">_xlfn.XLOOKUP(records[Method]&amp;"-"&amp;records[Class], dAirSpec[ID], dAirSpec[Spec])</f>
        <v>100</v>
      </c>
      <c r="AA444" s="45" t="str">
        <f t="array" ref="AA444">_xlfn.XLOOKUP(records[Method]&amp;"-"&amp;records[Class], dAirSpec[ID], dAirSpec[Unit])</f>
        <v>cfu/plate</v>
      </c>
      <c r="AB444" s="58">
        <f t="array" ref="AB444">if(S444="","", if(records[Method]="Active Air",_xlfn.xlookup(records[ColonyCount]&amp;records[AirSampler],feller[code],feller[Vc]),records[ColonyCount]))</f>
        <v>0</v>
      </c>
      <c r="AC444" s="60" t="b">
        <f t="shared" si="1"/>
        <v>1</v>
      </c>
      <c r="AD444" s="61" t="b">
        <v>0</v>
      </c>
      <c r="AE444" s="32" t="s">
        <v>235</v>
      </c>
      <c r="AF444" s="46"/>
      <c r="AG444" s="46"/>
      <c r="AH444" s="46"/>
      <c r="AI444" s="46"/>
      <c r="AJ444" s="46"/>
    </row>
    <row r="445" ht="22.5" customHeight="1">
      <c r="A445" s="27">
        <v>46222.0</v>
      </c>
      <c r="B445" s="34" t="str">
        <f t="array" ref="B445">TEXT(A445, "MM-YYYY")</f>
        <v>07-2026</v>
      </c>
      <c r="C445" s="20" t="s">
        <v>1259</v>
      </c>
      <c r="D445" s="21" t="s">
        <v>210</v>
      </c>
      <c r="E445" s="36" t="s">
        <v>213</v>
      </c>
      <c r="F445" s="37" t="s">
        <v>65</v>
      </c>
      <c r="G445" s="29" t="b">
        <v>1</v>
      </c>
      <c r="H445" s="36" t="s">
        <v>214</v>
      </c>
      <c r="I445" s="36" t="s">
        <v>215</v>
      </c>
      <c r="J445" s="29"/>
      <c r="K445" s="138"/>
      <c r="L445" s="37" t="s">
        <v>194</v>
      </c>
      <c r="M445" s="37" t="s">
        <v>194</v>
      </c>
      <c r="N445" s="37" t="s">
        <v>194</v>
      </c>
      <c r="O445" s="37" t="s">
        <v>194</v>
      </c>
      <c r="P445" s="37" t="s">
        <v>2271</v>
      </c>
      <c r="Q445" s="37" t="s">
        <v>2272</v>
      </c>
      <c r="R445" s="41">
        <v>46271.0</v>
      </c>
      <c r="S445" s="42">
        <v>0.0</v>
      </c>
      <c r="T445" s="44"/>
      <c r="U445" s="47" t="str">
        <f>IF(records[Type]="Room",records[roomNo],records[roomNo]&amp;"-"&amp;SUBSTITUTE(RIGHT(records[roomNo]&amp;records[Type],2),"-",""))</f>
        <v>10-3-133</v>
      </c>
      <c r="V445" s="47" t="str">
        <f t="array" ref="V445">_xlfn.XLOOKUP(records[ID], dAir[roomNo], dAir[roomName])</f>
        <v>SCRAP ROOM-P</v>
      </c>
      <c r="W445" s="47" t="str">
        <f t="array" ref="W445">_xlfn.XLOOKUP(records[ID], dAir[roomNo], dAir[building])</f>
        <v>Building 10</v>
      </c>
      <c r="X445" s="47" t="str">
        <f t="array" ref="X445">_xlfn.XLOOKUP(records[ID], dAir[roomNo], dAir[floor])</f>
        <v>Floor 3</v>
      </c>
      <c r="Y445" s="45" t="str">
        <f t="array" ref="Y445">_xlfn.XLOOKUP(records[ID], dAir[roomNo], dAir[Class])</f>
        <v>D</v>
      </c>
      <c r="Z445" s="45">
        <f t="array" ref="Z445">_xlfn.XLOOKUP(records[Method]&amp;"-"&amp;records[Class], dAirSpec[ID], dAirSpec[Spec])</f>
        <v>100</v>
      </c>
      <c r="AA445" s="45" t="str">
        <f t="array" ref="AA445">_xlfn.XLOOKUP(records[Method]&amp;"-"&amp;records[Class], dAirSpec[ID], dAirSpec[Unit])</f>
        <v>cfu/plate</v>
      </c>
      <c r="AB445" s="58">
        <f t="array" ref="AB445">if(S445="","", if(records[Method]="Active Air",_xlfn.xlookup(records[ColonyCount]&amp;records[AirSampler],feller[code],feller[Vc]),records[ColonyCount]))</f>
        <v>0</v>
      </c>
      <c r="AC445" s="60" t="b">
        <f t="shared" si="1"/>
        <v>1</v>
      </c>
      <c r="AD445" s="61" t="b">
        <v>0</v>
      </c>
      <c r="AE445" s="32" t="s">
        <v>235</v>
      </c>
      <c r="AF445" s="46"/>
      <c r="AG445" s="46"/>
      <c r="AH445" s="46"/>
      <c r="AI445" s="46"/>
      <c r="AJ445" s="46"/>
    </row>
    <row r="446" ht="22.5" customHeight="1">
      <c r="A446" s="27">
        <v>46222.0</v>
      </c>
      <c r="B446" s="34" t="str">
        <f t="array" ref="B446">TEXT(A446, "MM-YYYY")</f>
        <v>07-2026</v>
      </c>
      <c r="C446" s="20" t="s">
        <v>1261</v>
      </c>
      <c r="D446" s="21" t="s">
        <v>210</v>
      </c>
      <c r="E446" s="36" t="s">
        <v>213</v>
      </c>
      <c r="F446" s="37" t="s">
        <v>65</v>
      </c>
      <c r="G446" s="29" t="b">
        <v>1</v>
      </c>
      <c r="H446" s="36" t="s">
        <v>214</v>
      </c>
      <c r="I446" s="36" t="s">
        <v>215</v>
      </c>
      <c r="J446" s="29"/>
      <c r="K446" s="138"/>
      <c r="L446" s="37" t="s">
        <v>194</v>
      </c>
      <c r="M446" s="37" t="s">
        <v>194</v>
      </c>
      <c r="N446" s="37" t="s">
        <v>194</v>
      </c>
      <c r="O446" s="37" t="s">
        <v>194</v>
      </c>
      <c r="P446" s="37" t="s">
        <v>2271</v>
      </c>
      <c r="Q446" s="37" t="s">
        <v>2272</v>
      </c>
      <c r="R446" s="41">
        <v>46271.0</v>
      </c>
      <c r="S446" s="42">
        <v>0.0</v>
      </c>
      <c r="T446" s="44"/>
      <c r="U446" s="47" t="str">
        <f>IF(records[Type]="Room",records[roomNo],records[roomNo]&amp;"-"&amp;SUBSTITUTE(RIGHT(records[roomNo]&amp;records[Type],2),"-",""))</f>
        <v>10-3-134</v>
      </c>
      <c r="V446" s="47" t="str">
        <f t="array" ref="V446">_xlfn.XLOOKUP(records[ID], dAir[roomNo], dAir[roomName])</f>
        <v>BULK STAGING 2-P</v>
      </c>
      <c r="W446" s="47" t="str">
        <f t="array" ref="W446">_xlfn.XLOOKUP(records[ID], dAir[roomNo], dAir[building])</f>
        <v>Building 10</v>
      </c>
      <c r="X446" s="47" t="str">
        <f t="array" ref="X446">_xlfn.XLOOKUP(records[ID], dAir[roomNo], dAir[floor])</f>
        <v>Floor 3</v>
      </c>
      <c r="Y446" s="45" t="str">
        <f t="array" ref="Y446">_xlfn.XLOOKUP(records[ID], dAir[roomNo], dAir[Class])</f>
        <v>D</v>
      </c>
      <c r="Z446" s="45">
        <f t="array" ref="Z446">_xlfn.XLOOKUP(records[Method]&amp;"-"&amp;records[Class], dAirSpec[ID], dAirSpec[Spec])</f>
        <v>100</v>
      </c>
      <c r="AA446" s="45" t="str">
        <f t="array" ref="AA446">_xlfn.XLOOKUP(records[Method]&amp;"-"&amp;records[Class], dAirSpec[ID], dAirSpec[Unit])</f>
        <v>cfu/plate</v>
      </c>
      <c r="AB446" s="58">
        <f t="array" ref="AB446">if(S446="","", if(records[Method]="Active Air",_xlfn.xlookup(records[ColonyCount]&amp;records[AirSampler],feller[code],feller[Vc]),records[ColonyCount]))</f>
        <v>0</v>
      </c>
      <c r="AC446" s="60" t="b">
        <f t="shared" si="1"/>
        <v>1</v>
      </c>
      <c r="AD446" s="61" t="b">
        <v>0</v>
      </c>
      <c r="AE446" s="32" t="s">
        <v>235</v>
      </c>
      <c r="AF446" s="46"/>
      <c r="AG446" s="46"/>
      <c r="AH446" s="46"/>
      <c r="AI446" s="46"/>
      <c r="AJ446" s="46"/>
    </row>
    <row r="447" ht="22.5" customHeight="1">
      <c r="A447" s="27">
        <v>46222.0</v>
      </c>
      <c r="B447" s="34" t="str">
        <f t="array" ref="B447">TEXT(A447, "MM-YYYY")</f>
        <v>07-2026</v>
      </c>
      <c r="C447" s="20" t="s">
        <v>1263</v>
      </c>
      <c r="D447" s="21" t="s">
        <v>210</v>
      </c>
      <c r="E447" s="36" t="s">
        <v>213</v>
      </c>
      <c r="F447" s="37" t="s">
        <v>65</v>
      </c>
      <c r="G447" s="29" t="b">
        <v>1</v>
      </c>
      <c r="H447" s="36" t="s">
        <v>214</v>
      </c>
      <c r="I447" s="36" t="s">
        <v>215</v>
      </c>
      <c r="J447" s="29"/>
      <c r="K447" s="138"/>
      <c r="L447" s="37" t="s">
        <v>194</v>
      </c>
      <c r="M447" s="37" t="s">
        <v>194</v>
      </c>
      <c r="N447" s="37" t="s">
        <v>194</v>
      </c>
      <c r="O447" s="37" t="s">
        <v>194</v>
      </c>
      <c r="P447" s="37" t="s">
        <v>2271</v>
      </c>
      <c r="Q447" s="37" t="s">
        <v>2272</v>
      </c>
      <c r="R447" s="41">
        <v>46271.0</v>
      </c>
      <c r="S447" s="42">
        <v>0.0</v>
      </c>
      <c r="T447" s="44"/>
      <c r="U447" s="47" t="str">
        <f>IF(records[Type]="Room",records[roomNo],records[roomNo]&amp;"-"&amp;SUBSTITUTE(RIGHT(records[roomNo]&amp;records[Type],2),"-",""))</f>
        <v>10-3-135</v>
      </c>
      <c r="V447" s="47" t="str">
        <f t="array" ref="V447">_xlfn.XLOOKUP(records[ID], dAir[roomNo], dAir[roomName])</f>
        <v>AIRLOCK-P</v>
      </c>
      <c r="W447" s="47" t="str">
        <f t="array" ref="W447">_xlfn.XLOOKUP(records[ID], dAir[roomNo], dAir[building])</f>
        <v>Building 10</v>
      </c>
      <c r="X447" s="47" t="str">
        <f t="array" ref="X447">_xlfn.XLOOKUP(records[ID], dAir[roomNo], dAir[floor])</f>
        <v>Floor 3</v>
      </c>
      <c r="Y447" s="45" t="str">
        <f t="array" ref="Y447">_xlfn.XLOOKUP(records[ID], dAir[roomNo], dAir[Class])</f>
        <v>D</v>
      </c>
      <c r="Z447" s="45">
        <f t="array" ref="Z447">_xlfn.XLOOKUP(records[Method]&amp;"-"&amp;records[Class], dAirSpec[ID], dAirSpec[Spec])</f>
        <v>100</v>
      </c>
      <c r="AA447" s="45" t="str">
        <f t="array" ref="AA447">_xlfn.XLOOKUP(records[Method]&amp;"-"&amp;records[Class], dAirSpec[ID], dAirSpec[Unit])</f>
        <v>cfu/plate</v>
      </c>
      <c r="AB447" s="58">
        <f t="array" ref="AB447">if(S447="","", if(records[Method]="Active Air",_xlfn.xlookup(records[ColonyCount]&amp;records[AirSampler],feller[code],feller[Vc]),records[ColonyCount]))</f>
        <v>0</v>
      </c>
      <c r="AC447" s="60" t="b">
        <f t="shared" si="1"/>
        <v>1</v>
      </c>
      <c r="AD447" s="61" t="b">
        <v>0</v>
      </c>
      <c r="AE447" s="32" t="s">
        <v>235</v>
      </c>
      <c r="AF447" s="46"/>
      <c r="AG447" s="46"/>
      <c r="AH447" s="46"/>
      <c r="AI447" s="46"/>
      <c r="AJ447" s="46"/>
    </row>
    <row r="448" ht="22.5" customHeight="1">
      <c r="A448" s="27">
        <v>46222.0</v>
      </c>
      <c r="B448" s="34" t="str">
        <f t="array" ref="B448">TEXT(A448, "MM-YYYY")</f>
        <v>07-2026</v>
      </c>
      <c r="C448" s="20" t="s">
        <v>168</v>
      </c>
      <c r="D448" s="21" t="s">
        <v>210</v>
      </c>
      <c r="E448" s="36" t="s">
        <v>213</v>
      </c>
      <c r="F448" s="37" t="s">
        <v>65</v>
      </c>
      <c r="G448" s="29" t="b">
        <v>1</v>
      </c>
      <c r="H448" s="36" t="s">
        <v>214</v>
      </c>
      <c r="I448" s="36" t="s">
        <v>215</v>
      </c>
      <c r="J448" s="29"/>
      <c r="K448" s="138"/>
      <c r="L448" s="37" t="s">
        <v>194</v>
      </c>
      <c r="M448" s="37" t="s">
        <v>194</v>
      </c>
      <c r="N448" s="37" t="s">
        <v>194</v>
      </c>
      <c r="O448" s="37" t="s">
        <v>194</v>
      </c>
      <c r="P448" s="37" t="s">
        <v>2271</v>
      </c>
      <c r="Q448" s="37" t="s">
        <v>2272</v>
      </c>
      <c r="R448" s="41">
        <v>46271.0</v>
      </c>
      <c r="S448" s="42">
        <v>0.0</v>
      </c>
      <c r="T448" s="44"/>
      <c r="U448" s="47" t="str">
        <f>IF(records[Type]="Room",records[roomNo],records[roomNo]&amp;"-"&amp;SUBSTITUTE(RIGHT(records[roomNo]&amp;records[Type],2),"-",""))</f>
        <v>10-3-136</v>
      </c>
      <c r="V448" s="47" t="str">
        <f t="array" ref="V448">_xlfn.XLOOKUP(records[ID], dAir[roomNo], dAir[roomName])</f>
        <v>TABLET INSPECTION-P (LOW RH) (TABLET INSPECTION MACHINE) (DRUM TIPPER)</v>
      </c>
      <c r="W448" s="47" t="str">
        <f t="array" ref="W448">_xlfn.XLOOKUP(records[ID], dAir[roomNo], dAir[building])</f>
        <v>Building 10</v>
      </c>
      <c r="X448" s="47" t="str">
        <f t="array" ref="X448">_xlfn.XLOOKUP(records[ID], dAir[roomNo], dAir[floor])</f>
        <v>Floor 3</v>
      </c>
      <c r="Y448" s="45" t="str">
        <f t="array" ref="Y448">_xlfn.XLOOKUP(records[ID], dAir[roomNo], dAir[Class])</f>
        <v>D</v>
      </c>
      <c r="Z448" s="45">
        <f t="array" ref="Z448">_xlfn.XLOOKUP(records[Method]&amp;"-"&amp;records[Class], dAirSpec[ID], dAirSpec[Spec])</f>
        <v>100</v>
      </c>
      <c r="AA448" s="45" t="str">
        <f t="array" ref="AA448">_xlfn.XLOOKUP(records[Method]&amp;"-"&amp;records[Class], dAirSpec[ID], dAirSpec[Unit])</f>
        <v>cfu/plate</v>
      </c>
      <c r="AB448" s="58">
        <f t="array" ref="AB448">if(S448="","", if(records[Method]="Active Air",_xlfn.xlookup(records[ColonyCount]&amp;records[AirSampler],feller[code],feller[Vc]),records[ColonyCount]))</f>
        <v>0</v>
      </c>
      <c r="AC448" s="60" t="b">
        <f t="shared" si="1"/>
        <v>1</v>
      </c>
      <c r="AD448" s="61" t="b">
        <v>0</v>
      </c>
      <c r="AE448" s="32" t="s">
        <v>235</v>
      </c>
      <c r="AF448" s="46"/>
      <c r="AG448" s="46"/>
      <c r="AH448" s="46"/>
      <c r="AI448" s="46"/>
      <c r="AJ448" s="46"/>
    </row>
    <row r="449" ht="22.5" customHeight="1">
      <c r="A449" s="27">
        <v>46222.0</v>
      </c>
      <c r="B449" s="34" t="str">
        <f t="array" ref="B449">TEXT(A449, "MM-YYYY")</f>
        <v>07-2026</v>
      </c>
      <c r="C449" s="20" t="s">
        <v>1264</v>
      </c>
      <c r="D449" s="21" t="s">
        <v>210</v>
      </c>
      <c r="E449" s="36" t="s">
        <v>213</v>
      </c>
      <c r="F449" s="37" t="s">
        <v>65</v>
      </c>
      <c r="G449" s="29" t="b">
        <v>1</v>
      </c>
      <c r="H449" s="36" t="s">
        <v>214</v>
      </c>
      <c r="I449" s="36" t="s">
        <v>215</v>
      </c>
      <c r="J449" s="29"/>
      <c r="K449" s="138"/>
      <c r="L449" s="37" t="s">
        <v>194</v>
      </c>
      <c r="M449" s="37" t="s">
        <v>194</v>
      </c>
      <c r="N449" s="37" t="s">
        <v>194</v>
      </c>
      <c r="O449" s="37" t="s">
        <v>194</v>
      </c>
      <c r="P449" s="37" t="s">
        <v>2271</v>
      </c>
      <c r="Q449" s="37" t="s">
        <v>2272</v>
      </c>
      <c r="R449" s="41">
        <v>46271.0</v>
      </c>
      <c r="S449" s="42">
        <v>0.0</v>
      </c>
      <c r="T449" s="44"/>
      <c r="U449" s="47" t="str">
        <f>IF(records[Type]="Room",records[roomNo],records[roomNo]&amp;"-"&amp;SUBSTITUTE(RIGHT(records[roomNo]&amp;records[Type],2),"-",""))</f>
        <v>10-3-137</v>
      </c>
      <c r="V449" s="47" t="str">
        <f t="array" ref="V449">_xlfn.XLOOKUP(records[ID], dAir[roomNo], dAir[roomName])</f>
        <v>AIRLOCK-P</v>
      </c>
      <c r="W449" s="47" t="str">
        <f t="array" ref="W449">_xlfn.XLOOKUP(records[ID], dAir[roomNo], dAir[building])</f>
        <v>Building 10</v>
      </c>
      <c r="X449" s="47" t="str">
        <f t="array" ref="X449">_xlfn.XLOOKUP(records[ID], dAir[roomNo], dAir[floor])</f>
        <v>Floor 3</v>
      </c>
      <c r="Y449" s="45" t="str">
        <f t="array" ref="Y449">_xlfn.XLOOKUP(records[ID], dAir[roomNo], dAir[Class])</f>
        <v>D</v>
      </c>
      <c r="Z449" s="45">
        <f t="array" ref="Z449">_xlfn.XLOOKUP(records[Method]&amp;"-"&amp;records[Class], dAirSpec[ID], dAirSpec[Spec])</f>
        <v>100</v>
      </c>
      <c r="AA449" s="45" t="str">
        <f t="array" ref="AA449">_xlfn.XLOOKUP(records[Method]&amp;"-"&amp;records[Class], dAirSpec[ID], dAirSpec[Unit])</f>
        <v>cfu/plate</v>
      </c>
      <c r="AB449" s="58">
        <f t="array" ref="AB449">if(S449="","", if(records[Method]="Active Air",_xlfn.xlookup(records[ColonyCount]&amp;records[AirSampler],feller[code],feller[Vc]),records[ColonyCount]))</f>
        <v>0</v>
      </c>
      <c r="AC449" s="60" t="b">
        <f t="shared" si="1"/>
        <v>1</v>
      </c>
      <c r="AD449" s="61" t="b">
        <v>0</v>
      </c>
      <c r="AE449" s="32" t="s">
        <v>235</v>
      </c>
      <c r="AF449" s="46"/>
      <c r="AG449" s="46"/>
      <c r="AH449" s="46"/>
      <c r="AI449" s="46"/>
      <c r="AJ449" s="46"/>
    </row>
    <row r="450" ht="22.5" customHeight="1">
      <c r="A450" s="27">
        <v>46222.0</v>
      </c>
      <c r="B450" s="34" t="str">
        <f t="array" ref="B450">TEXT(A450, "MM-YYYY")</f>
        <v>07-2026</v>
      </c>
      <c r="C450" s="20" t="s">
        <v>1265</v>
      </c>
      <c r="D450" s="21" t="s">
        <v>210</v>
      </c>
      <c r="E450" s="36" t="s">
        <v>213</v>
      </c>
      <c r="F450" s="37" t="s">
        <v>65</v>
      </c>
      <c r="G450" s="29" t="b">
        <v>1</v>
      </c>
      <c r="H450" s="36" t="s">
        <v>214</v>
      </c>
      <c r="I450" s="36" t="s">
        <v>215</v>
      </c>
      <c r="J450" s="29"/>
      <c r="K450" s="138"/>
      <c r="L450" s="37" t="s">
        <v>194</v>
      </c>
      <c r="M450" s="37" t="s">
        <v>194</v>
      </c>
      <c r="N450" s="37" t="s">
        <v>194</v>
      </c>
      <c r="O450" s="37" t="s">
        <v>194</v>
      </c>
      <c r="P450" s="37" t="s">
        <v>2271</v>
      </c>
      <c r="Q450" s="37" t="s">
        <v>2272</v>
      </c>
      <c r="R450" s="41">
        <v>46271.0</v>
      </c>
      <c r="S450" s="42">
        <v>0.0</v>
      </c>
      <c r="T450" s="44"/>
      <c r="U450" s="47" t="str">
        <f>IF(records[Type]="Room",records[roomNo],records[roomNo]&amp;"-"&amp;SUBSTITUTE(RIGHT(records[roomNo]&amp;records[Type],2),"-",""))</f>
        <v>10-3-138</v>
      </c>
      <c r="V450" s="47" t="str">
        <f t="array" ref="V450">_xlfn.XLOOKUP(records[ID], dAir[roomNo], dAir[roomName])</f>
        <v>LINEN STORAGE-P</v>
      </c>
      <c r="W450" s="47" t="str">
        <f t="array" ref="W450">_xlfn.XLOOKUP(records[ID], dAir[roomNo], dAir[building])</f>
        <v>Building 10</v>
      </c>
      <c r="X450" s="47" t="str">
        <f t="array" ref="X450">_xlfn.XLOOKUP(records[ID], dAir[roomNo], dAir[floor])</f>
        <v>Floor 3</v>
      </c>
      <c r="Y450" s="45" t="str">
        <f t="array" ref="Y450">_xlfn.XLOOKUP(records[ID], dAir[roomNo], dAir[Class])</f>
        <v>D</v>
      </c>
      <c r="Z450" s="45">
        <f t="array" ref="Z450">_xlfn.XLOOKUP(records[Method]&amp;"-"&amp;records[Class], dAirSpec[ID], dAirSpec[Spec])</f>
        <v>100</v>
      </c>
      <c r="AA450" s="45" t="str">
        <f t="array" ref="AA450">_xlfn.XLOOKUP(records[Method]&amp;"-"&amp;records[Class], dAirSpec[ID], dAirSpec[Unit])</f>
        <v>cfu/plate</v>
      </c>
      <c r="AB450" s="58">
        <f t="array" ref="AB450">if(S450="","", if(records[Method]="Active Air",_xlfn.xlookup(records[ColonyCount]&amp;records[AirSampler],feller[code],feller[Vc]),records[ColonyCount]))</f>
        <v>0</v>
      </c>
      <c r="AC450" s="60" t="b">
        <f t="shared" si="1"/>
        <v>1</v>
      </c>
      <c r="AD450" s="61" t="b">
        <v>0</v>
      </c>
      <c r="AE450" s="32" t="s">
        <v>235</v>
      </c>
      <c r="AF450" s="46"/>
      <c r="AG450" s="46"/>
      <c r="AH450" s="46"/>
      <c r="AI450" s="46"/>
      <c r="AJ450" s="46"/>
    </row>
    <row r="451" ht="22.5" customHeight="1">
      <c r="A451" s="27">
        <v>46222.0</v>
      </c>
      <c r="B451" s="34" t="str">
        <f t="array" ref="B451">TEXT(A451, "MM-YYYY")</f>
        <v>07-2026</v>
      </c>
      <c r="C451" s="20" t="s">
        <v>1267</v>
      </c>
      <c r="D451" s="21" t="s">
        <v>210</v>
      </c>
      <c r="E451" s="36" t="s">
        <v>213</v>
      </c>
      <c r="F451" s="37" t="s">
        <v>65</v>
      </c>
      <c r="G451" s="29" t="b">
        <v>1</v>
      </c>
      <c r="H451" s="36" t="s">
        <v>214</v>
      </c>
      <c r="I451" s="36" t="s">
        <v>215</v>
      </c>
      <c r="J451" s="29"/>
      <c r="K451" s="138"/>
      <c r="L451" s="37" t="s">
        <v>194</v>
      </c>
      <c r="M451" s="37" t="s">
        <v>194</v>
      </c>
      <c r="N451" s="37" t="s">
        <v>194</v>
      </c>
      <c r="O451" s="37" t="s">
        <v>194</v>
      </c>
      <c r="P451" s="37" t="s">
        <v>2271</v>
      </c>
      <c r="Q451" s="37" t="s">
        <v>2272</v>
      </c>
      <c r="R451" s="41">
        <v>46271.0</v>
      </c>
      <c r="S451" s="42">
        <v>0.0</v>
      </c>
      <c r="T451" s="44"/>
      <c r="U451" s="47" t="str">
        <f>IF(records[Type]="Room",records[roomNo],records[roomNo]&amp;"-"&amp;SUBSTITUTE(RIGHT(records[roomNo]&amp;records[Type],2),"-",""))</f>
        <v>10-3-139</v>
      </c>
      <c r="V451" s="47" t="str">
        <f t="array" ref="V451">_xlfn.XLOOKUP(records[ID], dAir[roomNo], dAir[roomName])</f>
        <v>LINEN WASHING-P</v>
      </c>
      <c r="W451" s="47" t="str">
        <f t="array" ref="W451">_xlfn.XLOOKUP(records[ID], dAir[roomNo], dAir[building])</f>
        <v>Building 10</v>
      </c>
      <c r="X451" s="47" t="str">
        <f t="array" ref="X451">_xlfn.XLOOKUP(records[ID], dAir[roomNo], dAir[floor])</f>
        <v>Floor 3</v>
      </c>
      <c r="Y451" s="45" t="str">
        <f t="array" ref="Y451">_xlfn.XLOOKUP(records[ID], dAir[roomNo], dAir[Class])</f>
        <v>D</v>
      </c>
      <c r="Z451" s="45">
        <f t="array" ref="Z451">_xlfn.XLOOKUP(records[Method]&amp;"-"&amp;records[Class], dAirSpec[ID], dAirSpec[Spec])</f>
        <v>100</v>
      </c>
      <c r="AA451" s="45" t="str">
        <f t="array" ref="AA451">_xlfn.XLOOKUP(records[Method]&amp;"-"&amp;records[Class], dAirSpec[ID], dAirSpec[Unit])</f>
        <v>cfu/plate</v>
      </c>
      <c r="AB451" s="58">
        <f t="array" ref="AB451">if(S451="","", if(records[Method]="Active Air",_xlfn.xlookup(records[ColonyCount]&amp;records[AirSampler],feller[code],feller[Vc]),records[ColonyCount]))</f>
        <v>0</v>
      </c>
      <c r="AC451" s="60" t="b">
        <f t="shared" si="1"/>
        <v>1</v>
      </c>
      <c r="AD451" s="61" t="b">
        <v>0</v>
      </c>
      <c r="AE451" s="32" t="s">
        <v>235</v>
      </c>
      <c r="AF451" s="46"/>
      <c r="AG451" s="46"/>
      <c r="AH451" s="46"/>
      <c r="AI451" s="46"/>
      <c r="AJ451" s="46"/>
    </row>
    <row r="452" ht="22.5" customHeight="1">
      <c r="A452" s="27">
        <v>46222.0</v>
      </c>
      <c r="B452" s="34" t="str">
        <f t="array" ref="B452">TEXT(A452, "MM-YYYY")</f>
        <v>07-2026</v>
      </c>
      <c r="C452" s="20" t="s">
        <v>1268</v>
      </c>
      <c r="D452" s="21" t="s">
        <v>210</v>
      </c>
      <c r="E452" s="36" t="s">
        <v>213</v>
      </c>
      <c r="F452" s="37" t="s">
        <v>65</v>
      </c>
      <c r="G452" s="29" t="b">
        <v>1</v>
      </c>
      <c r="H452" s="36" t="s">
        <v>214</v>
      </c>
      <c r="I452" s="36" t="s">
        <v>215</v>
      </c>
      <c r="J452" s="29"/>
      <c r="K452" s="138"/>
      <c r="L452" s="37" t="s">
        <v>194</v>
      </c>
      <c r="M452" s="37" t="s">
        <v>194</v>
      </c>
      <c r="N452" s="37" t="s">
        <v>194</v>
      </c>
      <c r="O452" s="37" t="s">
        <v>194</v>
      </c>
      <c r="P452" s="37" t="s">
        <v>2271</v>
      </c>
      <c r="Q452" s="37" t="s">
        <v>2272</v>
      </c>
      <c r="R452" s="41">
        <v>46271.0</v>
      </c>
      <c r="S452" s="42">
        <v>0.0</v>
      </c>
      <c r="T452" s="44" t="s">
        <v>2353</v>
      </c>
      <c r="U452" s="47" t="str">
        <f>IF(records[Type]="Room",records[roomNo],records[roomNo]&amp;"-"&amp;SUBSTITUTE(RIGHT(records[roomNo]&amp;records[Type],2),"-",""))</f>
        <v>10-3-140</v>
      </c>
      <c r="V452" s="47" t="str">
        <f t="array" ref="V452">_xlfn.XLOOKUP(records[ID], dAir[roomNo], dAir[roomName])</f>
        <v>CORRIDOR-P</v>
      </c>
      <c r="W452" s="47" t="str">
        <f t="array" ref="W452">_xlfn.XLOOKUP(records[ID], dAir[roomNo], dAir[building])</f>
        <v>Building 10</v>
      </c>
      <c r="X452" s="47" t="str">
        <f t="array" ref="X452">_xlfn.XLOOKUP(records[ID], dAir[roomNo], dAir[floor])</f>
        <v>Floor 3</v>
      </c>
      <c r="Y452" s="45" t="str">
        <f t="array" ref="Y452">_xlfn.XLOOKUP(records[ID], dAir[roomNo], dAir[Class])</f>
        <v>D</v>
      </c>
      <c r="Z452" s="45">
        <f t="array" ref="Z452">_xlfn.XLOOKUP(records[Method]&amp;"-"&amp;records[Class], dAirSpec[ID], dAirSpec[Spec])</f>
        <v>100</v>
      </c>
      <c r="AA452" s="45" t="str">
        <f t="array" ref="AA452">_xlfn.XLOOKUP(records[Method]&amp;"-"&amp;records[Class], dAirSpec[ID], dAirSpec[Unit])</f>
        <v>cfu/plate</v>
      </c>
      <c r="AB452" s="58">
        <f t="array" ref="AB452">if(S452="","", if(records[Method]="Active Air",_xlfn.xlookup(records[ColonyCount]&amp;records[AirSampler],feller[code],feller[Vc]),records[ColonyCount]))</f>
        <v>0</v>
      </c>
      <c r="AC452" s="60" t="b">
        <f t="shared" si="1"/>
        <v>1</v>
      </c>
      <c r="AD452" s="61" t="b">
        <v>0</v>
      </c>
      <c r="AE452" s="32" t="s">
        <v>235</v>
      </c>
      <c r="AF452" s="46"/>
      <c r="AG452" s="46"/>
      <c r="AH452" s="46"/>
      <c r="AI452" s="46"/>
      <c r="AJ452" s="46"/>
    </row>
    <row r="453" ht="22.5" customHeight="1">
      <c r="A453" s="27">
        <v>46222.0</v>
      </c>
      <c r="B453" s="34" t="str">
        <f t="array" ref="B453">TEXT(A453, "MM-YYYY")</f>
        <v>07-2026</v>
      </c>
      <c r="C453" s="20" t="s">
        <v>1269</v>
      </c>
      <c r="D453" s="21" t="s">
        <v>210</v>
      </c>
      <c r="E453" s="36" t="s">
        <v>213</v>
      </c>
      <c r="F453" s="37" t="s">
        <v>65</v>
      </c>
      <c r="G453" s="29" t="b">
        <v>1</v>
      </c>
      <c r="H453" s="36" t="s">
        <v>214</v>
      </c>
      <c r="I453" s="36" t="s">
        <v>215</v>
      </c>
      <c r="J453" s="29"/>
      <c r="K453" s="138"/>
      <c r="L453" s="37" t="s">
        <v>194</v>
      </c>
      <c r="M453" s="37" t="s">
        <v>194</v>
      </c>
      <c r="N453" s="37" t="s">
        <v>194</v>
      </c>
      <c r="O453" s="37" t="s">
        <v>194</v>
      </c>
      <c r="P453" s="37" t="s">
        <v>2271</v>
      </c>
      <c r="Q453" s="37" t="s">
        <v>2272</v>
      </c>
      <c r="R453" s="41">
        <v>46271.0</v>
      </c>
      <c r="S453" s="42">
        <v>0.0</v>
      </c>
      <c r="T453" s="44"/>
      <c r="U453" s="47" t="str">
        <f>IF(records[Type]="Room",records[roomNo],records[roomNo]&amp;"-"&amp;SUBSTITUTE(RIGHT(records[roomNo]&amp;records[Type],2),"-",""))</f>
        <v>10-3-141</v>
      </c>
      <c r="V453" s="47" t="str">
        <f t="array" ref="V453">_xlfn.XLOOKUP(records[ID], dAir[roomNo], dAir[roomName])</f>
        <v>AIRLOCK-P</v>
      </c>
      <c r="W453" s="47" t="str">
        <f t="array" ref="W453">_xlfn.XLOOKUP(records[ID], dAir[roomNo], dAir[building])</f>
        <v>Building 10</v>
      </c>
      <c r="X453" s="47" t="str">
        <f t="array" ref="X453">_xlfn.XLOOKUP(records[ID], dAir[roomNo], dAir[floor])</f>
        <v>Floor 3</v>
      </c>
      <c r="Y453" s="45" t="str">
        <f t="array" ref="Y453">_xlfn.XLOOKUP(records[ID], dAir[roomNo], dAir[Class])</f>
        <v>D</v>
      </c>
      <c r="Z453" s="45">
        <f t="array" ref="Z453">_xlfn.XLOOKUP(records[Method]&amp;"-"&amp;records[Class], dAirSpec[ID], dAirSpec[Spec])</f>
        <v>100</v>
      </c>
      <c r="AA453" s="45" t="str">
        <f t="array" ref="AA453">_xlfn.XLOOKUP(records[Method]&amp;"-"&amp;records[Class], dAirSpec[ID], dAirSpec[Unit])</f>
        <v>cfu/plate</v>
      </c>
      <c r="AB453" s="58">
        <f t="array" ref="AB453">if(S453="","", if(records[Method]="Active Air",_xlfn.xlookup(records[ColonyCount]&amp;records[AirSampler],feller[code],feller[Vc]),records[ColonyCount]))</f>
        <v>0</v>
      </c>
      <c r="AC453" s="60" t="b">
        <f t="shared" si="1"/>
        <v>1</v>
      </c>
      <c r="AD453" s="61" t="b">
        <v>0</v>
      </c>
      <c r="AE453" s="32" t="s">
        <v>235</v>
      </c>
      <c r="AF453" s="46"/>
      <c r="AG453" s="46"/>
      <c r="AH453" s="46"/>
      <c r="AI453" s="46"/>
      <c r="AJ453" s="46"/>
    </row>
    <row r="454" ht="22.5" customHeight="1">
      <c r="A454" s="27">
        <v>46222.0</v>
      </c>
      <c r="B454" s="34" t="str">
        <f t="array" ref="B454">TEXT(A454, "MM-YYYY")</f>
        <v>07-2026</v>
      </c>
      <c r="C454" s="20" t="s">
        <v>1270</v>
      </c>
      <c r="D454" s="21" t="s">
        <v>210</v>
      </c>
      <c r="E454" s="36" t="s">
        <v>213</v>
      </c>
      <c r="F454" s="37" t="s">
        <v>65</v>
      </c>
      <c r="G454" s="29" t="b">
        <v>1</v>
      </c>
      <c r="H454" s="36" t="s">
        <v>214</v>
      </c>
      <c r="I454" s="36" t="s">
        <v>215</v>
      </c>
      <c r="J454" s="29"/>
      <c r="K454" s="138"/>
      <c r="L454" s="37" t="s">
        <v>194</v>
      </c>
      <c r="M454" s="37" t="s">
        <v>194</v>
      </c>
      <c r="N454" s="37" t="s">
        <v>194</v>
      </c>
      <c r="O454" s="37" t="s">
        <v>194</v>
      </c>
      <c r="P454" s="37" t="s">
        <v>2271</v>
      </c>
      <c r="Q454" s="37" t="s">
        <v>2272</v>
      </c>
      <c r="R454" s="41">
        <v>46271.0</v>
      </c>
      <c r="S454" s="42">
        <v>0.0</v>
      </c>
      <c r="T454" s="44" t="s">
        <v>2011</v>
      </c>
      <c r="U454" s="47" t="str">
        <f>IF(records[Type]="Room",records[roomNo],records[roomNo]&amp;"-"&amp;SUBSTITUTE(RIGHT(records[roomNo]&amp;records[Type],2),"-",""))</f>
        <v>10-3-142</v>
      </c>
      <c r="V454" s="47" t="str">
        <f t="array" ref="V454">_xlfn.XLOOKUP(records[ID], dAir[roomNo], dAir[roomName])</f>
        <v>CORRIDOR-P</v>
      </c>
      <c r="W454" s="47" t="str">
        <f t="array" ref="W454">_xlfn.XLOOKUP(records[ID], dAir[roomNo], dAir[building])</f>
        <v>Building 10</v>
      </c>
      <c r="X454" s="47" t="str">
        <f t="array" ref="X454">_xlfn.XLOOKUP(records[ID], dAir[roomNo], dAir[floor])</f>
        <v>Floor 3</v>
      </c>
      <c r="Y454" s="45" t="str">
        <f t="array" ref="Y454">_xlfn.XLOOKUP(records[ID], dAir[roomNo], dAir[Class])</f>
        <v>D</v>
      </c>
      <c r="Z454" s="45">
        <f t="array" ref="Z454">_xlfn.XLOOKUP(records[Method]&amp;"-"&amp;records[Class], dAirSpec[ID], dAirSpec[Spec])</f>
        <v>100</v>
      </c>
      <c r="AA454" s="45" t="str">
        <f t="array" ref="AA454">_xlfn.XLOOKUP(records[Method]&amp;"-"&amp;records[Class], dAirSpec[ID], dAirSpec[Unit])</f>
        <v>cfu/plate</v>
      </c>
      <c r="AB454" s="58">
        <f t="array" ref="AB454">if(S454="","", if(records[Method]="Active Air",_xlfn.xlookup(records[ColonyCount]&amp;records[AirSampler],feller[code],feller[Vc]),records[ColonyCount]))</f>
        <v>0</v>
      </c>
      <c r="AC454" s="60" t="b">
        <f t="shared" si="1"/>
        <v>1</v>
      </c>
      <c r="AD454" s="61" t="b">
        <v>0</v>
      </c>
      <c r="AE454" s="32" t="s">
        <v>235</v>
      </c>
      <c r="AF454" s="46"/>
      <c r="AG454" s="46"/>
      <c r="AH454" s="46"/>
      <c r="AI454" s="46"/>
      <c r="AJ454" s="46"/>
    </row>
    <row r="455" ht="22.5" customHeight="1">
      <c r="A455" s="27">
        <v>46222.0</v>
      </c>
      <c r="B455" s="34" t="str">
        <f t="array" ref="B455">TEXT(A455, "MM-YYYY")</f>
        <v>07-2026</v>
      </c>
      <c r="C455" s="20" t="s">
        <v>226</v>
      </c>
      <c r="D455" s="21" t="s">
        <v>210</v>
      </c>
      <c r="E455" s="36" t="s">
        <v>213</v>
      </c>
      <c r="F455" s="37" t="s">
        <v>65</v>
      </c>
      <c r="G455" s="29" t="b">
        <v>1</v>
      </c>
      <c r="H455" s="36" t="s">
        <v>214</v>
      </c>
      <c r="I455" s="36" t="s">
        <v>215</v>
      </c>
      <c r="J455" s="29"/>
      <c r="K455" s="138"/>
      <c r="L455" s="37" t="s">
        <v>194</v>
      </c>
      <c r="M455" s="37" t="s">
        <v>194</v>
      </c>
      <c r="N455" s="37" t="s">
        <v>194</v>
      </c>
      <c r="O455" s="37" t="s">
        <v>194</v>
      </c>
      <c r="P455" s="37" t="s">
        <v>2271</v>
      </c>
      <c r="Q455" s="37" t="s">
        <v>2272</v>
      </c>
      <c r="R455" s="41">
        <v>46271.0</v>
      </c>
      <c r="S455" s="42">
        <v>1.0</v>
      </c>
      <c r="T455" s="44"/>
      <c r="U455" s="47" t="str">
        <f>IF(records[Type]="Room",records[roomNo],records[roomNo]&amp;"-"&amp;SUBSTITUTE(RIGHT(records[roomNo]&amp;records[Type],2),"-",""))</f>
        <v>10-3-143</v>
      </c>
      <c r="V455" s="47" t="str">
        <f t="array" ref="V455">_xlfn.XLOOKUP(records[ID], dAir[roomNo], dAir[roomName])</f>
        <v>COATING SOLUTION PREPARATION-P (SOLUTION PREPARATION TANK)</v>
      </c>
      <c r="W455" s="47" t="str">
        <f t="array" ref="W455">_xlfn.XLOOKUP(records[ID], dAir[roomNo], dAir[building])</f>
        <v>Building 10</v>
      </c>
      <c r="X455" s="47" t="str">
        <f t="array" ref="X455">_xlfn.XLOOKUP(records[ID], dAir[roomNo], dAir[floor])</f>
        <v>Floor 3</v>
      </c>
      <c r="Y455" s="45" t="str">
        <f t="array" ref="Y455">_xlfn.XLOOKUP(records[ID], dAir[roomNo], dAir[Class])</f>
        <v>D</v>
      </c>
      <c r="Z455" s="45">
        <f t="array" ref="Z455">_xlfn.XLOOKUP(records[Method]&amp;"-"&amp;records[Class], dAirSpec[ID], dAirSpec[Spec])</f>
        <v>100</v>
      </c>
      <c r="AA455" s="45" t="str">
        <f t="array" ref="AA455">_xlfn.XLOOKUP(records[Method]&amp;"-"&amp;records[Class], dAirSpec[ID], dAirSpec[Unit])</f>
        <v>cfu/plate</v>
      </c>
      <c r="AB455" s="58">
        <f t="array" ref="AB455">if(S455="","", if(records[Method]="Active Air",_xlfn.xlookup(records[ColonyCount]&amp;records[AirSampler],feller[code],feller[Vc]),records[ColonyCount]))</f>
        <v>1</v>
      </c>
      <c r="AC455" s="60" t="b">
        <f t="shared" si="1"/>
        <v>1</v>
      </c>
      <c r="AD455" s="61" t="b">
        <v>0</v>
      </c>
      <c r="AE455" s="32" t="s">
        <v>235</v>
      </c>
      <c r="AF455" s="46"/>
      <c r="AG455" s="46"/>
      <c r="AH455" s="46"/>
      <c r="AI455" s="46"/>
      <c r="AJ455" s="46"/>
    </row>
    <row r="456" ht="22.5" customHeight="1">
      <c r="A456" s="27">
        <v>46222.0</v>
      </c>
      <c r="B456" s="34" t="str">
        <f t="array" ref="B456">TEXT(A456, "MM-YYYY")</f>
        <v>07-2026</v>
      </c>
      <c r="C456" s="20" t="s">
        <v>643</v>
      </c>
      <c r="D456" s="21" t="s">
        <v>210</v>
      </c>
      <c r="E456" s="36" t="s">
        <v>213</v>
      </c>
      <c r="F456" s="37" t="s">
        <v>65</v>
      </c>
      <c r="G456" s="29" t="b">
        <v>1</v>
      </c>
      <c r="H456" s="36" t="s">
        <v>214</v>
      </c>
      <c r="I456" s="36" t="s">
        <v>215</v>
      </c>
      <c r="J456" s="29"/>
      <c r="K456" s="138"/>
      <c r="L456" s="37" t="s">
        <v>194</v>
      </c>
      <c r="M456" s="37" t="s">
        <v>194</v>
      </c>
      <c r="N456" s="37" t="s">
        <v>194</v>
      </c>
      <c r="O456" s="37" t="s">
        <v>194</v>
      </c>
      <c r="P456" s="37" t="s">
        <v>2271</v>
      </c>
      <c r="Q456" s="37" t="s">
        <v>2272</v>
      </c>
      <c r="R456" s="41">
        <v>46271.0</v>
      </c>
      <c r="S456" s="42">
        <v>0.0</v>
      </c>
      <c r="T456" s="44"/>
      <c r="U456" s="47" t="str">
        <f>IF(records[Type]="Room",records[roomNo],records[roomNo]&amp;"-"&amp;SUBSTITUTE(RIGHT(records[roomNo]&amp;records[Type],2),"-",""))</f>
        <v>10-3-144</v>
      </c>
      <c r="V456" s="47" t="str">
        <f t="array" ref="V456">_xlfn.XLOOKUP(records[ID], dAir[roomNo], dAir[roomName])</f>
        <v>COATING-P</v>
      </c>
      <c r="W456" s="47" t="str">
        <f t="array" ref="W456">_xlfn.XLOOKUP(records[ID], dAir[roomNo], dAir[building])</f>
        <v>Building 10</v>
      </c>
      <c r="X456" s="47" t="str">
        <f t="array" ref="X456">_xlfn.XLOOKUP(records[ID], dAir[roomNo], dAir[floor])</f>
        <v>Floor 3</v>
      </c>
      <c r="Y456" s="45" t="str">
        <f t="array" ref="Y456">_xlfn.XLOOKUP(records[ID], dAir[roomNo], dAir[Class])</f>
        <v>D</v>
      </c>
      <c r="Z456" s="45">
        <f t="array" ref="Z456">_xlfn.XLOOKUP(records[Method]&amp;"-"&amp;records[Class], dAirSpec[ID], dAirSpec[Spec])</f>
        <v>100</v>
      </c>
      <c r="AA456" s="45" t="str">
        <f t="array" ref="AA456">_xlfn.XLOOKUP(records[Method]&amp;"-"&amp;records[Class], dAirSpec[ID], dAirSpec[Unit])</f>
        <v>cfu/plate</v>
      </c>
      <c r="AB456" s="58">
        <f t="array" ref="AB456">if(S456="","", if(records[Method]="Active Air",_xlfn.xlookup(records[ColonyCount]&amp;records[AirSampler],feller[code],feller[Vc]),records[ColonyCount]))</f>
        <v>0</v>
      </c>
      <c r="AC456" s="60" t="b">
        <f t="shared" si="1"/>
        <v>1</v>
      </c>
      <c r="AD456" s="61" t="b">
        <v>0</v>
      </c>
      <c r="AE456" s="32" t="s">
        <v>235</v>
      </c>
      <c r="AF456" s="46"/>
      <c r="AG456" s="46"/>
      <c r="AH456" s="46"/>
      <c r="AI456" s="46"/>
      <c r="AJ456" s="46"/>
    </row>
    <row r="457" ht="22.5" customHeight="1">
      <c r="A457" s="27">
        <v>46222.0</v>
      </c>
      <c r="B457" s="34" t="str">
        <f t="array" ref="B457">TEXT(A457, "MM-YYYY")</f>
        <v>07-2026</v>
      </c>
      <c r="C457" s="20" t="s">
        <v>177</v>
      </c>
      <c r="D457" s="21" t="s">
        <v>210</v>
      </c>
      <c r="E457" s="36" t="s">
        <v>213</v>
      </c>
      <c r="F457" s="37" t="s">
        <v>65</v>
      </c>
      <c r="G457" s="29" t="b">
        <v>1</v>
      </c>
      <c r="H457" s="36" t="s">
        <v>214</v>
      </c>
      <c r="I457" s="36" t="s">
        <v>215</v>
      </c>
      <c r="J457" s="29"/>
      <c r="K457" s="138"/>
      <c r="L457" s="37" t="s">
        <v>194</v>
      </c>
      <c r="M457" s="37" t="s">
        <v>194</v>
      </c>
      <c r="N457" s="37" t="s">
        <v>194</v>
      </c>
      <c r="O457" s="37" t="s">
        <v>194</v>
      </c>
      <c r="P457" s="37" t="s">
        <v>2271</v>
      </c>
      <c r="Q457" s="37" t="s">
        <v>2272</v>
      </c>
      <c r="R457" s="41">
        <v>46271.0</v>
      </c>
      <c r="S457" s="42">
        <v>0.0</v>
      </c>
      <c r="T457" s="44"/>
      <c r="U457" s="47" t="str">
        <f>IF(records[Type]="Room",records[roomNo],records[roomNo]&amp;"-"&amp;SUBSTITUTE(RIGHT(records[roomNo]&amp;records[Type],2),"-",""))</f>
        <v>10-3-145</v>
      </c>
      <c r="V457" s="47" t="str">
        <f t="array" ref="V457">_xlfn.XLOOKUP(records[ID], dAir[roomNo], dAir[roomName])</f>
        <v>COMPRESSION 1-P (LOW RH) (TABLET COMPRESSION MACHINE)</v>
      </c>
      <c r="W457" s="47" t="str">
        <f t="array" ref="W457">_xlfn.XLOOKUP(records[ID], dAir[roomNo], dAir[building])</f>
        <v>Building 10</v>
      </c>
      <c r="X457" s="47" t="str">
        <f t="array" ref="X457">_xlfn.XLOOKUP(records[ID], dAir[roomNo], dAir[floor])</f>
        <v>Floor 3</v>
      </c>
      <c r="Y457" s="45" t="str">
        <f t="array" ref="Y457">_xlfn.XLOOKUP(records[ID], dAir[roomNo], dAir[Class])</f>
        <v>D</v>
      </c>
      <c r="Z457" s="45">
        <f t="array" ref="Z457">_xlfn.XLOOKUP(records[Method]&amp;"-"&amp;records[Class], dAirSpec[ID], dAirSpec[Spec])</f>
        <v>100</v>
      </c>
      <c r="AA457" s="45" t="str">
        <f t="array" ref="AA457">_xlfn.XLOOKUP(records[Method]&amp;"-"&amp;records[Class], dAirSpec[ID], dAirSpec[Unit])</f>
        <v>cfu/plate</v>
      </c>
      <c r="AB457" s="58">
        <f t="array" ref="AB457">if(S457="","", if(records[Method]="Active Air",_xlfn.xlookup(records[ColonyCount]&amp;records[AirSampler],feller[code],feller[Vc]),records[ColonyCount]))</f>
        <v>0</v>
      </c>
      <c r="AC457" s="60" t="b">
        <f t="shared" si="1"/>
        <v>1</v>
      </c>
      <c r="AD457" s="61" t="b">
        <v>0</v>
      </c>
      <c r="AE457" s="32" t="s">
        <v>235</v>
      </c>
      <c r="AF457" s="46"/>
      <c r="AG457" s="46"/>
      <c r="AH457" s="46"/>
      <c r="AI457" s="46"/>
      <c r="AJ457" s="46"/>
    </row>
    <row r="458" ht="22.5" customHeight="1">
      <c r="A458" s="27">
        <v>46222.0</v>
      </c>
      <c r="B458" s="34" t="str">
        <f t="array" ref="B458">TEXT(A458, "MM-YYYY")</f>
        <v>07-2026</v>
      </c>
      <c r="C458" s="20" t="s">
        <v>1274</v>
      </c>
      <c r="D458" s="21" t="s">
        <v>210</v>
      </c>
      <c r="E458" s="36" t="s">
        <v>213</v>
      </c>
      <c r="F458" s="37" t="s">
        <v>65</v>
      </c>
      <c r="G458" s="29" t="b">
        <v>1</v>
      </c>
      <c r="H458" s="36" t="s">
        <v>214</v>
      </c>
      <c r="I458" s="36" t="s">
        <v>215</v>
      </c>
      <c r="J458" s="29"/>
      <c r="K458" s="138"/>
      <c r="L458" s="37" t="s">
        <v>194</v>
      </c>
      <c r="M458" s="37" t="s">
        <v>194</v>
      </c>
      <c r="N458" s="37" t="s">
        <v>194</v>
      </c>
      <c r="O458" s="37" t="s">
        <v>194</v>
      </c>
      <c r="P458" s="37" t="s">
        <v>2271</v>
      </c>
      <c r="Q458" s="37" t="s">
        <v>2272</v>
      </c>
      <c r="R458" s="41">
        <v>46271.0</v>
      </c>
      <c r="S458" s="42">
        <v>1.0</v>
      </c>
      <c r="T458" s="44"/>
      <c r="U458" s="47" t="str">
        <f>IF(records[Type]="Room",records[roomNo],records[roomNo]&amp;"-"&amp;SUBSTITUTE(RIGHT(records[roomNo]&amp;records[Type],2),"-",""))</f>
        <v>10-3-146</v>
      </c>
      <c r="V458" s="47" t="str">
        <f t="array" ref="V458">_xlfn.XLOOKUP(records[ID], dAir[roomNo], dAir[roomName])</f>
        <v>WEIGHING 1-P</v>
      </c>
      <c r="W458" s="47" t="str">
        <f t="array" ref="W458">_xlfn.XLOOKUP(records[ID], dAir[roomNo], dAir[building])</f>
        <v>Building 10</v>
      </c>
      <c r="X458" s="47" t="str">
        <f t="array" ref="X458">_xlfn.XLOOKUP(records[ID], dAir[roomNo], dAir[floor])</f>
        <v>Floor 3</v>
      </c>
      <c r="Y458" s="45" t="str">
        <f t="array" ref="Y458">_xlfn.XLOOKUP(records[ID], dAir[roomNo], dAir[Class])</f>
        <v>D</v>
      </c>
      <c r="Z458" s="45">
        <f t="array" ref="Z458">_xlfn.XLOOKUP(records[Method]&amp;"-"&amp;records[Class], dAirSpec[ID], dAirSpec[Spec])</f>
        <v>100</v>
      </c>
      <c r="AA458" s="45" t="str">
        <f t="array" ref="AA458">_xlfn.XLOOKUP(records[Method]&amp;"-"&amp;records[Class], dAirSpec[ID], dAirSpec[Unit])</f>
        <v>cfu/plate</v>
      </c>
      <c r="AB458" s="58">
        <f t="array" ref="AB458">if(S458="","", if(records[Method]="Active Air",_xlfn.xlookup(records[ColonyCount]&amp;records[AirSampler],feller[code],feller[Vc]),records[ColonyCount]))</f>
        <v>1</v>
      </c>
      <c r="AC458" s="60" t="b">
        <f t="shared" si="1"/>
        <v>1</v>
      </c>
      <c r="AD458" s="61" t="b">
        <v>0</v>
      </c>
      <c r="AE458" s="32" t="s">
        <v>235</v>
      </c>
      <c r="AF458" s="46"/>
      <c r="AG458" s="46"/>
      <c r="AH458" s="46"/>
      <c r="AI458" s="46"/>
      <c r="AJ458" s="46"/>
    </row>
    <row r="459" ht="22.5" customHeight="1">
      <c r="A459" s="27">
        <v>46222.0</v>
      </c>
      <c r="B459" s="34" t="str">
        <f t="array" ref="B459">TEXT(A459, "MM-YYYY")</f>
        <v>07-2026</v>
      </c>
      <c r="C459" s="20" t="s">
        <v>183</v>
      </c>
      <c r="D459" s="21" t="s">
        <v>210</v>
      </c>
      <c r="E459" s="36" t="s">
        <v>213</v>
      </c>
      <c r="F459" s="37" t="s">
        <v>65</v>
      </c>
      <c r="G459" s="29" t="b">
        <v>1</v>
      </c>
      <c r="H459" s="36" t="s">
        <v>214</v>
      </c>
      <c r="I459" s="36" t="s">
        <v>215</v>
      </c>
      <c r="J459" s="29"/>
      <c r="K459" s="138"/>
      <c r="L459" s="37" t="s">
        <v>194</v>
      </c>
      <c r="M459" s="37" t="s">
        <v>194</v>
      </c>
      <c r="N459" s="37" t="s">
        <v>194</v>
      </c>
      <c r="O459" s="37" t="s">
        <v>194</v>
      </c>
      <c r="P459" s="37" t="s">
        <v>2271</v>
      </c>
      <c r="Q459" s="37" t="s">
        <v>2272</v>
      </c>
      <c r="R459" s="41">
        <v>46271.0</v>
      </c>
      <c r="S459" s="42">
        <v>1.0</v>
      </c>
      <c r="T459" s="44"/>
      <c r="U459" s="47" t="str">
        <f>IF(records[Type]="Room",records[roomNo],records[roomNo]&amp;"-"&amp;SUBSTITUTE(RIGHT(records[roomNo]&amp;records[Type],2),"-",""))</f>
        <v>10-3-147</v>
      </c>
      <c r="V459" s="47" t="str">
        <f t="array" ref="V459">_xlfn.XLOOKUP(records[ID], dAir[roomNo], dAir[roomName])</f>
        <v>COMPRESSION 2-P (TABLET COMPRESSION MACHINE)</v>
      </c>
      <c r="W459" s="47" t="str">
        <f t="array" ref="W459">_xlfn.XLOOKUP(records[ID], dAir[roomNo], dAir[building])</f>
        <v>Building 10</v>
      </c>
      <c r="X459" s="47" t="str">
        <f t="array" ref="X459">_xlfn.XLOOKUP(records[ID], dAir[roomNo], dAir[floor])</f>
        <v>Floor 3</v>
      </c>
      <c r="Y459" s="45" t="str">
        <f t="array" ref="Y459">_xlfn.XLOOKUP(records[ID], dAir[roomNo], dAir[Class])</f>
        <v>D</v>
      </c>
      <c r="Z459" s="45">
        <f t="array" ref="Z459">_xlfn.XLOOKUP(records[Method]&amp;"-"&amp;records[Class], dAirSpec[ID], dAirSpec[Spec])</f>
        <v>100</v>
      </c>
      <c r="AA459" s="45" t="str">
        <f t="array" ref="AA459">_xlfn.XLOOKUP(records[Method]&amp;"-"&amp;records[Class], dAirSpec[ID], dAirSpec[Unit])</f>
        <v>cfu/plate</v>
      </c>
      <c r="AB459" s="58">
        <f t="array" ref="AB459">if(S459="","", if(records[Method]="Active Air",_xlfn.xlookup(records[ColonyCount]&amp;records[AirSampler],feller[code],feller[Vc]),records[ColonyCount]))</f>
        <v>1</v>
      </c>
      <c r="AC459" s="60" t="b">
        <f t="shared" si="1"/>
        <v>1</v>
      </c>
      <c r="AD459" s="61" t="b">
        <v>0</v>
      </c>
      <c r="AE459" s="32" t="s">
        <v>235</v>
      </c>
      <c r="AF459" s="46"/>
      <c r="AG459" s="46"/>
      <c r="AH459" s="46"/>
      <c r="AI459" s="46"/>
      <c r="AJ459" s="46"/>
    </row>
    <row r="460" ht="22.5" customHeight="1">
      <c r="A460" s="27">
        <v>46222.0</v>
      </c>
      <c r="B460" s="34" t="str">
        <f t="array" ref="B460">TEXT(A460, "MM-YYYY")</f>
        <v>07-2026</v>
      </c>
      <c r="C460" s="20" t="s">
        <v>1276</v>
      </c>
      <c r="D460" s="21" t="s">
        <v>210</v>
      </c>
      <c r="E460" s="36" t="s">
        <v>213</v>
      </c>
      <c r="F460" s="37" t="s">
        <v>65</v>
      </c>
      <c r="G460" s="29" t="b">
        <v>1</v>
      </c>
      <c r="H460" s="36" t="s">
        <v>214</v>
      </c>
      <c r="I460" s="36" t="s">
        <v>215</v>
      </c>
      <c r="J460" s="29"/>
      <c r="K460" s="138"/>
      <c r="L460" s="37" t="s">
        <v>194</v>
      </c>
      <c r="M460" s="37" t="s">
        <v>194</v>
      </c>
      <c r="N460" s="37" t="s">
        <v>194</v>
      </c>
      <c r="O460" s="37" t="s">
        <v>194</v>
      </c>
      <c r="P460" s="37" t="s">
        <v>2271</v>
      </c>
      <c r="Q460" s="37" t="s">
        <v>2272</v>
      </c>
      <c r="R460" s="41">
        <v>46271.0</v>
      </c>
      <c r="S460" s="42">
        <v>0.0</v>
      </c>
      <c r="T460" s="44"/>
      <c r="U460" s="47" t="str">
        <f>IF(records[Type]="Room",records[roomNo],records[roomNo]&amp;"-"&amp;SUBSTITUTE(RIGHT(records[roomNo]&amp;records[Type],2),"-",""))</f>
        <v>10-3-148</v>
      </c>
      <c r="V460" s="47" t="str">
        <f t="array" ref="V460">_xlfn.XLOOKUP(records[ID], dAir[roomNo], dAir[roomName])</f>
        <v>BULK STAGING 1-P</v>
      </c>
      <c r="W460" s="47" t="str">
        <f t="array" ref="W460">_xlfn.XLOOKUP(records[ID], dAir[roomNo], dAir[building])</f>
        <v>Building 10</v>
      </c>
      <c r="X460" s="47" t="str">
        <f t="array" ref="X460">_xlfn.XLOOKUP(records[ID], dAir[roomNo], dAir[floor])</f>
        <v>Floor 3</v>
      </c>
      <c r="Y460" s="45" t="str">
        <f t="array" ref="Y460">_xlfn.XLOOKUP(records[ID], dAir[roomNo], dAir[Class])</f>
        <v>D</v>
      </c>
      <c r="Z460" s="45">
        <f t="array" ref="Z460">_xlfn.XLOOKUP(records[Method]&amp;"-"&amp;records[Class], dAirSpec[ID], dAirSpec[Spec])</f>
        <v>100</v>
      </c>
      <c r="AA460" s="45" t="str">
        <f t="array" ref="AA460">_xlfn.XLOOKUP(records[Method]&amp;"-"&amp;records[Class], dAirSpec[ID], dAirSpec[Unit])</f>
        <v>cfu/plate</v>
      </c>
      <c r="AB460" s="58">
        <f t="array" ref="AB460">if(S460="","", if(records[Method]="Active Air",_xlfn.xlookup(records[ColonyCount]&amp;records[AirSampler],feller[code],feller[Vc]),records[ColonyCount]))</f>
        <v>0</v>
      </c>
      <c r="AC460" s="60" t="b">
        <f t="shared" si="1"/>
        <v>1</v>
      </c>
      <c r="AD460" s="61" t="b">
        <v>0</v>
      </c>
      <c r="AE460" s="32" t="s">
        <v>235</v>
      </c>
      <c r="AF460" s="46"/>
      <c r="AG460" s="46"/>
      <c r="AH460" s="46"/>
      <c r="AI460" s="46"/>
      <c r="AJ460" s="46"/>
    </row>
    <row r="461" ht="22.5" customHeight="1">
      <c r="A461" s="27">
        <v>46222.0</v>
      </c>
      <c r="B461" s="34" t="str">
        <f t="array" ref="B461">TEXT(A461, "MM-YYYY")</f>
        <v>07-2026</v>
      </c>
      <c r="C461" s="20" t="s">
        <v>1278</v>
      </c>
      <c r="D461" s="21" t="s">
        <v>210</v>
      </c>
      <c r="E461" s="36" t="s">
        <v>213</v>
      </c>
      <c r="F461" s="37" t="s">
        <v>65</v>
      </c>
      <c r="G461" s="29" t="b">
        <v>1</v>
      </c>
      <c r="H461" s="36" t="s">
        <v>214</v>
      </c>
      <c r="I461" s="36" t="s">
        <v>215</v>
      </c>
      <c r="J461" s="29"/>
      <c r="K461" s="138"/>
      <c r="L461" s="37" t="s">
        <v>194</v>
      </c>
      <c r="M461" s="37" t="s">
        <v>194</v>
      </c>
      <c r="N461" s="37" t="s">
        <v>194</v>
      </c>
      <c r="O461" s="37" t="s">
        <v>194</v>
      </c>
      <c r="P461" s="37" t="s">
        <v>2271</v>
      </c>
      <c r="Q461" s="37" t="s">
        <v>2272</v>
      </c>
      <c r="R461" s="41">
        <v>46271.0</v>
      </c>
      <c r="S461" s="42">
        <v>0.0</v>
      </c>
      <c r="T461" s="44"/>
      <c r="U461" s="47" t="str">
        <f>IF(records[Type]="Room",records[roomNo],records[roomNo]&amp;"-"&amp;SUBSTITUTE(RIGHT(records[roomNo]&amp;records[Type],2),"-",""))</f>
        <v>10-3-149</v>
      </c>
      <c r="V461" s="47" t="str">
        <f t="array" ref="V461">_xlfn.XLOOKUP(records[ID], dAir[roomNo], dAir[roomName])</f>
        <v>IPQC 1-P</v>
      </c>
      <c r="W461" s="47" t="str">
        <f t="array" ref="W461">_xlfn.XLOOKUP(records[ID], dAir[roomNo], dAir[building])</f>
        <v>Building 10</v>
      </c>
      <c r="X461" s="47" t="str">
        <f t="array" ref="X461">_xlfn.XLOOKUP(records[ID], dAir[roomNo], dAir[floor])</f>
        <v>Floor 3</v>
      </c>
      <c r="Y461" s="45" t="str">
        <f t="array" ref="Y461">_xlfn.XLOOKUP(records[ID], dAir[roomNo], dAir[Class])</f>
        <v>D</v>
      </c>
      <c r="Z461" s="45">
        <f t="array" ref="Z461">_xlfn.XLOOKUP(records[Method]&amp;"-"&amp;records[Class], dAirSpec[ID], dAirSpec[Spec])</f>
        <v>100</v>
      </c>
      <c r="AA461" s="45" t="str">
        <f t="array" ref="AA461">_xlfn.XLOOKUP(records[Method]&amp;"-"&amp;records[Class], dAirSpec[ID], dAirSpec[Unit])</f>
        <v>cfu/plate</v>
      </c>
      <c r="AB461" s="58">
        <f t="array" ref="AB461">if(S461="","", if(records[Method]="Active Air",_xlfn.xlookup(records[ColonyCount]&amp;records[AirSampler],feller[code],feller[Vc]),records[ColonyCount]))</f>
        <v>0</v>
      </c>
      <c r="AC461" s="60" t="b">
        <f t="shared" si="1"/>
        <v>1</v>
      </c>
      <c r="AD461" s="61" t="b">
        <v>0</v>
      </c>
      <c r="AE461" s="32" t="s">
        <v>235</v>
      </c>
      <c r="AF461" s="46"/>
      <c r="AG461" s="46"/>
      <c r="AH461" s="46"/>
      <c r="AI461" s="46"/>
      <c r="AJ461" s="46"/>
    </row>
    <row r="462" ht="22.5" customHeight="1">
      <c r="A462" s="27">
        <v>46222.0</v>
      </c>
      <c r="B462" s="34" t="str">
        <f t="array" ref="B462">TEXT(A462, "MM-YYYY")</f>
        <v>07-2026</v>
      </c>
      <c r="C462" s="20" t="s">
        <v>1280</v>
      </c>
      <c r="D462" s="21" t="s">
        <v>210</v>
      </c>
      <c r="E462" s="36" t="s">
        <v>213</v>
      </c>
      <c r="F462" s="37" t="s">
        <v>65</v>
      </c>
      <c r="G462" s="29" t="b">
        <v>1</v>
      </c>
      <c r="H462" s="36" t="s">
        <v>214</v>
      </c>
      <c r="I462" s="36" t="s">
        <v>215</v>
      </c>
      <c r="J462" s="29"/>
      <c r="K462" s="138"/>
      <c r="L462" s="37" t="s">
        <v>194</v>
      </c>
      <c r="M462" s="37" t="s">
        <v>194</v>
      </c>
      <c r="N462" s="37" t="s">
        <v>194</v>
      </c>
      <c r="O462" s="37" t="s">
        <v>194</v>
      </c>
      <c r="P462" s="37" t="s">
        <v>2271</v>
      </c>
      <c r="Q462" s="37" t="s">
        <v>2272</v>
      </c>
      <c r="R462" s="41">
        <v>46271.0</v>
      </c>
      <c r="S462" s="42">
        <v>0.0</v>
      </c>
      <c r="T462" s="44"/>
      <c r="U462" s="47" t="str">
        <f>IF(records[Type]="Room",records[roomNo],records[roomNo]&amp;"-"&amp;SUBSTITUTE(RIGHT(records[roomNo]&amp;records[Type],2),"-",""))</f>
        <v>10-3-150</v>
      </c>
      <c r="V462" s="47" t="str">
        <f t="array" ref="V462">_xlfn.XLOOKUP(records[ID], dAir[roomNo], dAir[roomName])</f>
        <v>AIRLOCK-P</v>
      </c>
      <c r="W462" s="47" t="str">
        <f t="array" ref="W462">_xlfn.XLOOKUP(records[ID], dAir[roomNo], dAir[building])</f>
        <v>Building 10</v>
      </c>
      <c r="X462" s="47" t="str">
        <f t="array" ref="X462">_xlfn.XLOOKUP(records[ID], dAir[roomNo], dAir[floor])</f>
        <v>Floor 3</v>
      </c>
      <c r="Y462" s="45" t="str">
        <f t="array" ref="Y462">_xlfn.XLOOKUP(records[ID], dAir[roomNo], dAir[Class])</f>
        <v>D</v>
      </c>
      <c r="Z462" s="45">
        <f t="array" ref="Z462">_xlfn.XLOOKUP(records[Method]&amp;"-"&amp;records[Class], dAirSpec[ID], dAirSpec[Spec])</f>
        <v>100</v>
      </c>
      <c r="AA462" s="45" t="str">
        <f t="array" ref="AA462">_xlfn.XLOOKUP(records[Method]&amp;"-"&amp;records[Class], dAirSpec[ID], dAirSpec[Unit])</f>
        <v>cfu/plate</v>
      </c>
      <c r="AB462" s="58">
        <f t="array" ref="AB462">if(S462="","", if(records[Method]="Active Air",_xlfn.xlookup(records[ColonyCount]&amp;records[AirSampler],feller[code],feller[Vc]),records[ColonyCount]))</f>
        <v>0</v>
      </c>
      <c r="AC462" s="60" t="b">
        <f t="shared" si="1"/>
        <v>1</v>
      </c>
      <c r="AD462" s="61" t="b">
        <v>0</v>
      </c>
      <c r="AE462" s="32" t="s">
        <v>235</v>
      </c>
      <c r="AF462" s="46"/>
      <c r="AG462" s="46"/>
      <c r="AH462" s="46"/>
      <c r="AI462" s="46"/>
      <c r="AJ462" s="46"/>
    </row>
    <row r="463" ht="22.5" customHeight="1">
      <c r="A463" s="27">
        <v>46222.0</v>
      </c>
      <c r="B463" s="34" t="str">
        <f t="array" ref="B463">TEXT(A463, "MM-YYYY")</f>
        <v>07-2026</v>
      </c>
      <c r="C463" s="20" t="s">
        <v>1281</v>
      </c>
      <c r="D463" s="21" t="s">
        <v>210</v>
      </c>
      <c r="E463" s="36" t="s">
        <v>213</v>
      </c>
      <c r="F463" s="37" t="s">
        <v>65</v>
      </c>
      <c r="G463" s="29" t="b">
        <v>1</v>
      </c>
      <c r="H463" s="36" t="s">
        <v>214</v>
      </c>
      <c r="I463" s="36" t="s">
        <v>215</v>
      </c>
      <c r="J463" s="29"/>
      <c r="K463" s="138"/>
      <c r="L463" s="37" t="s">
        <v>194</v>
      </c>
      <c r="M463" s="37" t="s">
        <v>194</v>
      </c>
      <c r="N463" s="37" t="s">
        <v>194</v>
      </c>
      <c r="O463" s="37" t="s">
        <v>194</v>
      </c>
      <c r="P463" s="37" t="s">
        <v>2271</v>
      </c>
      <c r="Q463" s="37" t="s">
        <v>2272</v>
      </c>
      <c r="R463" s="41">
        <v>46271.0</v>
      </c>
      <c r="S463" s="42">
        <v>0.0</v>
      </c>
      <c r="T463" s="44"/>
      <c r="U463" s="47" t="str">
        <f>IF(records[Type]="Room",records[roomNo],records[roomNo]&amp;"-"&amp;SUBSTITUTE(RIGHT(records[roomNo]&amp;records[Type],2),"-",""))</f>
        <v>10-3-151</v>
      </c>
      <c r="V463" s="47" t="str">
        <f t="array" ref="V463">_xlfn.XLOOKUP(records[ID], dAir[roomNo], dAir[roomName])</f>
        <v>USED EQUIPMENT-P</v>
      </c>
      <c r="W463" s="47" t="str">
        <f t="array" ref="W463">_xlfn.XLOOKUP(records[ID], dAir[roomNo], dAir[building])</f>
        <v>Building 10</v>
      </c>
      <c r="X463" s="47" t="str">
        <f t="array" ref="X463">_xlfn.XLOOKUP(records[ID], dAir[roomNo], dAir[floor])</f>
        <v>Floor 3</v>
      </c>
      <c r="Y463" s="45" t="str">
        <f t="array" ref="Y463">_xlfn.XLOOKUP(records[ID], dAir[roomNo], dAir[Class])</f>
        <v>D</v>
      </c>
      <c r="Z463" s="45">
        <f t="array" ref="Z463">_xlfn.XLOOKUP(records[Method]&amp;"-"&amp;records[Class], dAirSpec[ID], dAirSpec[Spec])</f>
        <v>100</v>
      </c>
      <c r="AA463" s="45" t="str">
        <f t="array" ref="AA463">_xlfn.XLOOKUP(records[Method]&amp;"-"&amp;records[Class], dAirSpec[ID], dAirSpec[Unit])</f>
        <v>cfu/plate</v>
      </c>
      <c r="AB463" s="58">
        <f t="array" ref="AB463">if(S463="","", if(records[Method]="Active Air",_xlfn.xlookup(records[ColonyCount]&amp;records[AirSampler],feller[code],feller[Vc]),records[ColonyCount]))</f>
        <v>0</v>
      </c>
      <c r="AC463" s="60" t="b">
        <f t="shared" si="1"/>
        <v>1</v>
      </c>
      <c r="AD463" s="61" t="b">
        <v>0</v>
      </c>
      <c r="AE463" s="32" t="s">
        <v>235</v>
      </c>
      <c r="AF463" s="46"/>
      <c r="AG463" s="46"/>
      <c r="AH463" s="46"/>
      <c r="AI463" s="46"/>
      <c r="AJ463" s="46"/>
    </row>
    <row r="464" ht="22.5" customHeight="1">
      <c r="A464" s="27">
        <v>46222.0</v>
      </c>
      <c r="B464" s="34" t="str">
        <f t="array" ref="B464">TEXT(A464, "MM-YYYY")</f>
        <v>07-2026</v>
      </c>
      <c r="C464" s="20" t="s">
        <v>1282</v>
      </c>
      <c r="D464" s="21" t="s">
        <v>210</v>
      </c>
      <c r="E464" s="36" t="s">
        <v>213</v>
      </c>
      <c r="F464" s="37" t="s">
        <v>65</v>
      </c>
      <c r="G464" s="29" t="b">
        <v>1</v>
      </c>
      <c r="H464" s="36" t="s">
        <v>214</v>
      </c>
      <c r="I464" s="36" t="s">
        <v>215</v>
      </c>
      <c r="J464" s="29"/>
      <c r="K464" s="138"/>
      <c r="L464" s="37" t="s">
        <v>194</v>
      </c>
      <c r="M464" s="37" t="s">
        <v>194</v>
      </c>
      <c r="N464" s="37" t="s">
        <v>194</v>
      </c>
      <c r="O464" s="37" t="s">
        <v>194</v>
      </c>
      <c r="P464" s="37" t="s">
        <v>2271</v>
      </c>
      <c r="Q464" s="37" t="s">
        <v>2272</v>
      </c>
      <c r="R464" s="41">
        <v>46271.0</v>
      </c>
      <c r="S464" s="42">
        <v>0.0</v>
      </c>
      <c r="T464" s="44"/>
      <c r="U464" s="47" t="str">
        <f>IF(records[Type]="Room",records[roomNo],records[roomNo]&amp;"-"&amp;SUBSTITUTE(RIGHT(records[roomNo]&amp;records[Type],2),"-",""))</f>
        <v>10-3-152</v>
      </c>
      <c r="V464" s="47" t="str">
        <f t="array" ref="V464">_xlfn.XLOOKUP(records[ID], dAir[roomNo], dAir[roomName])</f>
        <v>WASHING-P</v>
      </c>
      <c r="W464" s="47" t="str">
        <f t="array" ref="W464">_xlfn.XLOOKUP(records[ID], dAir[roomNo], dAir[building])</f>
        <v>Building 10</v>
      </c>
      <c r="X464" s="47" t="str">
        <f t="array" ref="X464">_xlfn.XLOOKUP(records[ID], dAir[roomNo], dAir[floor])</f>
        <v>Floor 3</v>
      </c>
      <c r="Y464" s="45" t="str">
        <f t="array" ref="Y464">_xlfn.XLOOKUP(records[ID], dAir[roomNo], dAir[Class])</f>
        <v>D</v>
      </c>
      <c r="Z464" s="45">
        <f t="array" ref="Z464">_xlfn.XLOOKUP(records[Method]&amp;"-"&amp;records[Class], dAirSpec[ID], dAirSpec[Spec])</f>
        <v>100</v>
      </c>
      <c r="AA464" s="45" t="str">
        <f t="array" ref="AA464">_xlfn.XLOOKUP(records[Method]&amp;"-"&amp;records[Class], dAirSpec[ID], dAirSpec[Unit])</f>
        <v>cfu/plate</v>
      </c>
      <c r="AB464" s="58">
        <f t="array" ref="AB464">if(S464="","", if(records[Method]="Active Air",_xlfn.xlookup(records[ColonyCount]&amp;records[AirSampler],feller[code],feller[Vc]),records[ColonyCount]))</f>
        <v>0</v>
      </c>
      <c r="AC464" s="60" t="b">
        <f t="shared" si="1"/>
        <v>1</v>
      </c>
      <c r="AD464" s="61" t="b">
        <v>0</v>
      </c>
      <c r="AE464" s="32" t="s">
        <v>235</v>
      </c>
      <c r="AF464" s="46"/>
      <c r="AG464" s="46"/>
      <c r="AH464" s="46"/>
      <c r="AI464" s="46"/>
      <c r="AJ464" s="46"/>
    </row>
    <row r="465" ht="22.5" customHeight="1">
      <c r="A465" s="27">
        <v>46222.0</v>
      </c>
      <c r="B465" s="34" t="str">
        <f t="array" ref="B465">TEXT(A465, "MM-YYYY")</f>
        <v>07-2026</v>
      </c>
      <c r="C465" s="20" t="s">
        <v>1283</v>
      </c>
      <c r="D465" s="21" t="s">
        <v>210</v>
      </c>
      <c r="E465" s="36" t="s">
        <v>213</v>
      </c>
      <c r="F465" s="37" t="s">
        <v>65</v>
      </c>
      <c r="G465" s="29" t="b">
        <v>1</v>
      </c>
      <c r="H465" s="36" t="s">
        <v>214</v>
      </c>
      <c r="I465" s="36" t="s">
        <v>215</v>
      </c>
      <c r="J465" s="29"/>
      <c r="K465" s="138"/>
      <c r="L465" s="37" t="s">
        <v>194</v>
      </c>
      <c r="M465" s="37" t="s">
        <v>194</v>
      </c>
      <c r="N465" s="37" t="s">
        <v>194</v>
      </c>
      <c r="O465" s="37" t="s">
        <v>194</v>
      </c>
      <c r="P465" s="37" t="s">
        <v>2271</v>
      </c>
      <c r="Q465" s="37" t="s">
        <v>2272</v>
      </c>
      <c r="R465" s="41">
        <v>46271.0</v>
      </c>
      <c r="S465" s="42">
        <v>0.0</v>
      </c>
      <c r="T465" s="44"/>
      <c r="U465" s="47" t="str">
        <f>IF(records[Type]="Room",records[roomNo],records[roomNo]&amp;"-"&amp;SUBSTITUTE(RIGHT(records[roomNo]&amp;records[Type],2),"-",""))</f>
        <v>10-3-153</v>
      </c>
      <c r="V465" s="47" t="str">
        <f t="array" ref="V465">_xlfn.XLOOKUP(records[ID], dAir[roomNo], dAir[roomName])</f>
        <v>CLEANED EQUIPMENT-P</v>
      </c>
      <c r="W465" s="47" t="str">
        <f t="array" ref="W465">_xlfn.XLOOKUP(records[ID], dAir[roomNo], dAir[building])</f>
        <v>Building 10</v>
      </c>
      <c r="X465" s="47" t="str">
        <f t="array" ref="X465">_xlfn.XLOOKUP(records[ID], dAir[roomNo], dAir[floor])</f>
        <v>Floor 3</v>
      </c>
      <c r="Y465" s="45" t="str">
        <f t="array" ref="Y465">_xlfn.XLOOKUP(records[ID], dAir[roomNo], dAir[Class])</f>
        <v>D</v>
      </c>
      <c r="Z465" s="45">
        <f t="array" ref="Z465">_xlfn.XLOOKUP(records[Method]&amp;"-"&amp;records[Class], dAirSpec[ID], dAirSpec[Spec])</f>
        <v>100</v>
      </c>
      <c r="AA465" s="45" t="str">
        <f t="array" ref="AA465">_xlfn.XLOOKUP(records[Method]&amp;"-"&amp;records[Class], dAirSpec[ID], dAirSpec[Unit])</f>
        <v>cfu/plate</v>
      </c>
      <c r="AB465" s="58">
        <f t="array" ref="AB465">if(S465="","", if(records[Method]="Active Air",_xlfn.xlookup(records[ColonyCount]&amp;records[AirSampler],feller[code],feller[Vc]),records[ColonyCount]))</f>
        <v>0</v>
      </c>
      <c r="AC465" s="60" t="b">
        <f t="shared" si="1"/>
        <v>1</v>
      </c>
      <c r="AD465" s="61" t="b">
        <v>0</v>
      </c>
      <c r="AE465" s="32" t="s">
        <v>235</v>
      </c>
      <c r="AF465" s="46"/>
      <c r="AG465" s="46"/>
      <c r="AH465" s="46"/>
      <c r="AI465" s="46"/>
      <c r="AJ465" s="46"/>
    </row>
    <row r="466" ht="22.5" customHeight="1">
      <c r="A466" s="27">
        <v>46222.0</v>
      </c>
      <c r="B466" s="34" t="str">
        <f t="array" ref="B466">TEXT(A466, "MM-YYYY")</f>
        <v>07-2026</v>
      </c>
      <c r="C466" s="20" t="s">
        <v>1284</v>
      </c>
      <c r="D466" s="21" t="s">
        <v>210</v>
      </c>
      <c r="E466" s="36" t="s">
        <v>213</v>
      </c>
      <c r="F466" s="37" t="s">
        <v>65</v>
      </c>
      <c r="G466" s="29" t="b">
        <v>1</v>
      </c>
      <c r="H466" s="36" t="s">
        <v>214</v>
      </c>
      <c r="I466" s="36" t="s">
        <v>215</v>
      </c>
      <c r="J466" s="29"/>
      <c r="K466" s="138"/>
      <c r="L466" s="37" t="s">
        <v>194</v>
      </c>
      <c r="M466" s="37" t="s">
        <v>194</v>
      </c>
      <c r="N466" s="37" t="s">
        <v>194</v>
      </c>
      <c r="O466" s="37" t="s">
        <v>194</v>
      </c>
      <c r="P466" s="37" t="s">
        <v>2271</v>
      </c>
      <c r="Q466" s="37" t="s">
        <v>2272</v>
      </c>
      <c r="R466" s="41">
        <v>46271.0</v>
      </c>
      <c r="S466" s="42">
        <v>0.0</v>
      </c>
      <c r="T466" s="44"/>
      <c r="U466" s="47" t="str">
        <f>IF(records[Type]="Room",records[roomNo],records[roomNo]&amp;"-"&amp;SUBSTITUTE(RIGHT(records[roomNo]&amp;records[Type],2),"-",""))</f>
        <v>10-3-154</v>
      </c>
      <c r="V466" s="47" t="str">
        <f t="array" ref="V466">_xlfn.XLOOKUP(records[ID], dAir[roomNo], dAir[roomName])</f>
        <v>JANITOR-P</v>
      </c>
      <c r="W466" s="47" t="str">
        <f t="array" ref="W466">_xlfn.XLOOKUP(records[ID], dAir[roomNo], dAir[building])</f>
        <v>Building 10</v>
      </c>
      <c r="X466" s="47" t="str">
        <f t="array" ref="X466">_xlfn.XLOOKUP(records[ID], dAir[roomNo], dAir[floor])</f>
        <v>Floor 3</v>
      </c>
      <c r="Y466" s="45" t="str">
        <f t="array" ref="Y466">_xlfn.XLOOKUP(records[ID], dAir[roomNo], dAir[Class])</f>
        <v>D</v>
      </c>
      <c r="Z466" s="45">
        <f t="array" ref="Z466">_xlfn.XLOOKUP(records[Method]&amp;"-"&amp;records[Class], dAirSpec[ID], dAirSpec[Spec])</f>
        <v>100</v>
      </c>
      <c r="AA466" s="45" t="str">
        <f t="array" ref="AA466">_xlfn.XLOOKUP(records[Method]&amp;"-"&amp;records[Class], dAirSpec[ID], dAirSpec[Unit])</f>
        <v>cfu/plate</v>
      </c>
      <c r="AB466" s="58">
        <f t="array" ref="AB466">if(S466="","", if(records[Method]="Active Air",_xlfn.xlookup(records[ColonyCount]&amp;records[AirSampler],feller[code],feller[Vc]),records[ColonyCount]))</f>
        <v>0</v>
      </c>
      <c r="AC466" s="60" t="b">
        <f t="shared" si="1"/>
        <v>1</v>
      </c>
      <c r="AD466" s="61" t="b">
        <v>0</v>
      </c>
      <c r="AE466" s="32" t="s">
        <v>235</v>
      </c>
      <c r="AF466" s="46"/>
      <c r="AG466" s="46"/>
      <c r="AH466" s="46"/>
      <c r="AI466" s="46"/>
      <c r="AJ466" s="46"/>
    </row>
    <row r="467" ht="22.5" customHeight="1">
      <c r="A467" s="27">
        <v>46222.0</v>
      </c>
      <c r="B467" s="34" t="str">
        <f t="array" ref="B467">TEXT(A467, "MM-YYYY")</f>
        <v>07-2026</v>
      </c>
      <c r="C467" s="20" t="s">
        <v>1285</v>
      </c>
      <c r="D467" s="21" t="s">
        <v>210</v>
      </c>
      <c r="E467" s="36" t="s">
        <v>213</v>
      </c>
      <c r="F467" s="37" t="s">
        <v>65</v>
      </c>
      <c r="G467" s="29" t="b">
        <v>1</v>
      </c>
      <c r="H467" s="36" t="s">
        <v>214</v>
      </c>
      <c r="I467" s="36" t="s">
        <v>215</v>
      </c>
      <c r="J467" s="29"/>
      <c r="K467" s="138"/>
      <c r="L467" s="37" t="s">
        <v>194</v>
      </c>
      <c r="M467" s="37" t="s">
        <v>194</v>
      </c>
      <c r="N467" s="37" t="s">
        <v>194</v>
      </c>
      <c r="O467" s="37" t="s">
        <v>194</v>
      </c>
      <c r="P467" s="37" t="s">
        <v>2271</v>
      </c>
      <c r="Q467" s="37" t="s">
        <v>2272</v>
      </c>
      <c r="R467" s="41">
        <v>46271.0</v>
      </c>
      <c r="S467" s="42">
        <v>0.0</v>
      </c>
      <c r="T467" s="44"/>
      <c r="U467" s="47" t="str">
        <f>IF(records[Type]="Room",records[roomNo],records[roomNo]&amp;"-"&amp;SUBSTITUTE(RIGHT(records[roomNo]&amp;records[Type],2),"-",""))</f>
        <v>10-3-155</v>
      </c>
      <c r="V467" s="47" t="str">
        <f t="array" ref="V467">_xlfn.XLOOKUP(records[ID], dAir[roomNo], dAir[roomName])</f>
        <v>OFFICE-P</v>
      </c>
      <c r="W467" s="47" t="str">
        <f t="array" ref="W467">_xlfn.XLOOKUP(records[ID], dAir[roomNo], dAir[building])</f>
        <v>Building 10</v>
      </c>
      <c r="X467" s="47" t="str">
        <f t="array" ref="X467">_xlfn.XLOOKUP(records[ID], dAir[roomNo], dAir[floor])</f>
        <v>Floor 3</v>
      </c>
      <c r="Y467" s="45" t="str">
        <f t="array" ref="Y467">_xlfn.XLOOKUP(records[ID], dAir[roomNo], dAir[Class])</f>
        <v>D</v>
      </c>
      <c r="Z467" s="45">
        <f t="array" ref="Z467">_xlfn.XLOOKUP(records[Method]&amp;"-"&amp;records[Class], dAirSpec[ID], dAirSpec[Spec])</f>
        <v>100</v>
      </c>
      <c r="AA467" s="45" t="str">
        <f t="array" ref="AA467">_xlfn.XLOOKUP(records[Method]&amp;"-"&amp;records[Class], dAirSpec[ID], dAirSpec[Unit])</f>
        <v>cfu/plate</v>
      </c>
      <c r="AB467" s="58">
        <f t="array" ref="AB467">if(S467="","", if(records[Method]="Active Air",_xlfn.xlookup(records[ColonyCount]&amp;records[AirSampler],feller[code],feller[Vc]),records[ColonyCount]))</f>
        <v>0</v>
      </c>
      <c r="AC467" s="60" t="b">
        <f t="shared" si="1"/>
        <v>1</v>
      </c>
      <c r="AD467" s="61" t="b">
        <v>0</v>
      </c>
      <c r="AE467" s="32" t="s">
        <v>235</v>
      </c>
      <c r="AF467" s="46"/>
      <c r="AG467" s="46"/>
      <c r="AH467" s="46"/>
      <c r="AI467" s="46"/>
      <c r="AJ467" s="46"/>
    </row>
    <row r="468" ht="22.5" customHeight="1">
      <c r="A468" s="27">
        <v>46222.0</v>
      </c>
      <c r="B468" s="34" t="str">
        <f t="array" ref="B468">TEXT(A468, "MM-YYYY")</f>
        <v>07-2026</v>
      </c>
      <c r="C468" s="20" t="s">
        <v>1286</v>
      </c>
      <c r="D468" s="21" t="s">
        <v>210</v>
      </c>
      <c r="E468" s="36" t="s">
        <v>213</v>
      </c>
      <c r="F468" s="37" t="s">
        <v>65</v>
      </c>
      <c r="G468" s="29" t="b">
        <v>1</v>
      </c>
      <c r="H468" s="36" t="s">
        <v>214</v>
      </c>
      <c r="I468" s="36" t="s">
        <v>215</v>
      </c>
      <c r="J468" s="29"/>
      <c r="K468" s="138"/>
      <c r="L468" s="37" t="s">
        <v>194</v>
      </c>
      <c r="M468" s="37" t="s">
        <v>194</v>
      </c>
      <c r="N468" s="37" t="s">
        <v>194</v>
      </c>
      <c r="O468" s="37" t="s">
        <v>194</v>
      </c>
      <c r="P468" s="37" t="s">
        <v>2271</v>
      </c>
      <c r="Q468" s="37" t="s">
        <v>2272</v>
      </c>
      <c r="R468" s="41">
        <v>46271.0</v>
      </c>
      <c r="S468" s="42">
        <v>0.0</v>
      </c>
      <c r="T468" s="44"/>
      <c r="U468" s="47" t="str">
        <f>IF(records[Type]="Room",records[roomNo],records[roomNo]&amp;"-"&amp;SUBSTITUTE(RIGHT(records[roomNo]&amp;records[Type],2),"-",""))</f>
        <v>10-3-156</v>
      </c>
      <c r="V468" s="47" t="str">
        <f t="array" ref="V468">_xlfn.XLOOKUP(records[ID], dAir[roomNo], dAir[roomName])</f>
        <v>AIRLOCK-P</v>
      </c>
      <c r="W468" s="47" t="str">
        <f t="array" ref="W468">_xlfn.XLOOKUP(records[ID], dAir[roomNo], dAir[building])</f>
        <v>Building 10</v>
      </c>
      <c r="X468" s="47" t="str">
        <f t="array" ref="X468">_xlfn.XLOOKUP(records[ID], dAir[roomNo], dAir[floor])</f>
        <v>Floor 3</v>
      </c>
      <c r="Y468" s="45" t="str">
        <f t="array" ref="Y468">_xlfn.XLOOKUP(records[ID], dAir[roomNo], dAir[Class])</f>
        <v>D</v>
      </c>
      <c r="Z468" s="45">
        <f t="array" ref="Z468">_xlfn.XLOOKUP(records[Method]&amp;"-"&amp;records[Class], dAirSpec[ID], dAirSpec[Spec])</f>
        <v>100</v>
      </c>
      <c r="AA468" s="45" t="str">
        <f t="array" ref="AA468">_xlfn.XLOOKUP(records[Method]&amp;"-"&amp;records[Class], dAirSpec[ID], dAirSpec[Unit])</f>
        <v>cfu/plate</v>
      </c>
      <c r="AB468" s="58">
        <f t="array" ref="AB468">if(S468="","", if(records[Method]="Active Air",_xlfn.xlookup(records[ColonyCount]&amp;records[AirSampler],feller[code],feller[Vc]),records[ColonyCount]))</f>
        <v>0</v>
      </c>
      <c r="AC468" s="60" t="b">
        <f t="shared" si="1"/>
        <v>1</v>
      </c>
      <c r="AD468" s="61" t="b">
        <v>0</v>
      </c>
      <c r="AE468" s="32" t="s">
        <v>235</v>
      </c>
      <c r="AF468" s="46"/>
      <c r="AG468" s="46"/>
      <c r="AH468" s="46"/>
      <c r="AI468" s="46"/>
      <c r="AJ468" s="46"/>
    </row>
    <row r="469" ht="22.5" customHeight="1">
      <c r="A469" s="27">
        <v>46222.0</v>
      </c>
      <c r="B469" s="34" t="str">
        <f t="array" ref="B469">TEXT(A469, "MM-YYYY")</f>
        <v>07-2026</v>
      </c>
      <c r="C469" s="20" t="s">
        <v>1287</v>
      </c>
      <c r="D469" s="21" t="s">
        <v>210</v>
      </c>
      <c r="E469" s="36" t="s">
        <v>213</v>
      </c>
      <c r="F469" s="37" t="s">
        <v>65</v>
      </c>
      <c r="G469" s="29" t="b">
        <v>1</v>
      </c>
      <c r="H469" s="36" t="s">
        <v>214</v>
      </c>
      <c r="I469" s="36" t="s">
        <v>215</v>
      </c>
      <c r="J469" s="29"/>
      <c r="K469" s="138"/>
      <c r="L469" s="37" t="s">
        <v>194</v>
      </c>
      <c r="M469" s="37" t="s">
        <v>194</v>
      </c>
      <c r="N469" s="37" t="s">
        <v>194</v>
      </c>
      <c r="O469" s="37" t="s">
        <v>194</v>
      </c>
      <c r="P469" s="37" t="s">
        <v>2271</v>
      </c>
      <c r="Q469" s="37" t="s">
        <v>2272</v>
      </c>
      <c r="R469" s="41">
        <v>46271.0</v>
      </c>
      <c r="S469" s="42">
        <v>0.0</v>
      </c>
      <c r="T469" s="44" t="s">
        <v>2011</v>
      </c>
      <c r="U469" s="47" t="str">
        <f>IF(records[Type]="Room",records[roomNo],records[roomNo]&amp;"-"&amp;SUBSTITUTE(RIGHT(records[roomNo]&amp;records[Type],2),"-",""))</f>
        <v>10-3-157</v>
      </c>
      <c r="V469" s="47" t="str">
        <f t="array" ref="V469">_xlfn.XLOOKUP(records[ID], dAir[roomNo], dAir[roomName])</f>
        <v>CORRIDOR-P</v>
      </c>
      <c r="W469" s="47" t="str">
        <f t="array" ref="W469">_xlfn.XLOOKUP(records[ID], dAir[roomNo], dAir[building])</f>
        <v>Building 10</v>
      </c>
      <c r="X469" s="47" t="str">
        <f t="array" ref="X469">_xlfn.XLOOKUP(records[ID], dAir[roomNo], dAir[floor])</f>
        <v>Floor 3</v>
      </c>
      <c r="Y469" s="45" t="str">
        <f t="array" ref="Y469">_xlfn.XLOOKUP(records[ID], dAir[roomNo], dAir[Class])</f>
        <v>D</v>
      </c>
      <c r="Z469" s="45">
        <f t="array" ref="Z469">_xlfn.XLOOKUP(records[Method]&amp;"-"&amp;records[Class], dAirSpec[ID], dAirSpec[Spec])</f>
        <v>100</v>
      </c>
      <c r="AA469" s="45" t="str">
        <f t="array" ref="AA469">_xlfn.XLOOKUP(records[Method]&amp;"-"&amp;records[Class], dAirSpec[ID], dAirSpec[Unit])</f>
        <v>cfu/plate</v>
      </c>
      <c r="AB469" s="58">
        <f t="array" ref="AB469">if(S469="","", if(records[Method]="Active Air",_xlfn.xlookup(records[ColonyCount]&amp;records[AirSampler],feller[code],feller[Vc]),records[ColonyCount]))</f>
        <v>0</v>
      </c>
      <c r="AC469" s="60" t="b">
        <f t="shared" si="1"/>
        <v>1</v>
      </c>
      <c r="AD469" s="61" t="b">
        <v>0</v>
      </c>
      <c r="AE469" s="32" t="s">
        <v>235</v>
      </c>
      <c r="AF469" s="46"/>
      <c r="AG469" s="46"/>
      <c r="AH469" s="46"/>
      <c r="AI469" s="46"/>
      <c r="AJ469" s="46"/>
    </row>
    <row r="470" ht="22.5" customHeight="1">
      <c r="A470" s="27">
        <v>46222.0</v>
      </c>
      <c r="B470" s="34" t="str">
        <f t="array" ref="B470">TEXT(A470, "MM-YYYY")</f>
        <v>07-2026</v>
      </c>
      <c r="C470" s="20" t="s">
        <v>1288</v>
      </c>
      <c r="D470" s="21" t="s">
        <v>210</v>
      </c>
      <c r="E470" s="36" t="s">
        <v>213</v>
      </c>
      <c r="F470" s="37" t="s">
        <v>65</v>
      </c>
      <c r="G470" s="29" t="b">
        <v>1</v>
      </c>
      <c r="H470" s="36" t="s">
        <v>214</v>
      </c>
      <c r="I470" s="36" t="s">
        <v>215</v>
      </c>
      <c r="J470" s="29"/>
      <c r="K470" s="138"/>
      <c r="L470" s="37" t="s">
        <v>194</v>
      </c>
      <c r="M470" s="37" t="s">
        <v>194</v>
      </c>
      <c r="N470" s="37" t="s">
        <v>194</v>
      </c>
      <c r="O470" s="37" t="s">
        <v>194</v>
      </c>
      <c r="P470" s="37" t="s">
        <v>2271</v>
      </c>
      <c r="Q470" s="37" t="s">
        <v>2272</v>
      </c>
      <c r="R470" s="41">
        <v>46271.0</v>
      </c>
      <c r="S470" s="42">
        <v>0.0</v>
      </c>
      <c r="T470" s="44"/>
      <c r="U470" s="47" t="str">
        <f>IF(records[Type]="Room",records[roomNo],records[roomNo]&amp;"-"&amp;SUBSTITUTE(RIGHT(records[roomNo]&amp;records[Type],2),"-",""))</f>
        <v>10-3-158</v>
      </c>
      <c r="V470" s="47" t="str">
        <f t="array" ref="V470">_xlfn.XLOOKUP(records[ID], dAir[roomNo], dAir[roomName])</f>
        <v>IPQC 2-P</v>
      </c>
      <c r="W470" s="47" t="str">
        <f t="array" ref="W470">_xlfn.XLOOKUP(records[ID], dAir[roomNo], dAir[building])</f>
        <v>Building 10</v>
      </c>
      <c r="X470" s="47" t="str">
        <f t="array" ref="X470">_xlfn.XLOOKUP(records[ID], dAir[roomNo], dAir[floor])</f>
        <v>Floor 3</v>
      </c>
      <c r="Y470" s="45" t="str">
        <f t="array" ref="Y470">_xlfn.XLOOKUP(records[ID], dAir[roomNo], dAir[Class])</f>
        <v>D</v>
      </c>
      <c r="Z470" s="45">
        <f t="array" ref="Z470">_xlfn.XLOOKUP(records[Method]&amp;"-"&amp;records[Class], dAirSpec[ID], dAirSpec[Spec])</f>
        <v>100</v>
      </c>
      <c r="AA470" s="45" t="str">
        <f t="array" ref="AA470">_xlfn.XLOOKUP(records[Method]&amp;"-"&amp;records[Class], dAirSpec[ID], dAirSpec[Unit])</f>
        <v>cfu/plate</v>
      </c>
      <c r="AB470" s="58">
        <f t="array" ref="AB470">if(S470="","", if(records[Method]="Active Air",_xlfn.xlookup(records[ColonyCount]&amp;records[AirSampler],feller[code],feller[Vc]),records[ColonyCount]))</f>
        <v>0</v>
      </c>
      <c r="AC470" s="60" t="b">
        <f t="shared" si="1"/>
        <v>1</v>
      </c>
      <c r="AD470" s="61" t="b">
        <v>0</v>
      </c>
      <c r="AE470" s="32" t="s">
        <v>235</v>
      </c>
      <c r="AF470" s="46"/>
      <c r="AG470" s="46"/>
      <c r="AH470" s="46"/>
      <c r="AI470" s="46"/>
      <c r="AJ470" s="46"/>
    </row>
    <row r="471" ht="22.5" customHeight="1">
      <c r="A471" s="27">
        <v>46222.0</v>
      </c>
      <c r="B471" s="34" t="str">
        <f t="array" ref="B471">TEXT(A471, "MM-YYYY")</f>
        <v>07-2026</v>
      </c>
      <c r="C471" s="20" t="s">
        <v>231</v>
      </c>
      <c r="D471" s="21" t="s">
        <v>210</v>
      </c>
      <c r="E471" s="36" t="s">
        <v>213</v>
      </c>
      <c r="F471" s="37" t="s">
        <v>65</v>
      </c>
      <c r="G471" s="29" t="b">
        <v>1</v>
      </c>
      <c r="H471" s="36" t="s">
        <v>214</v>
      </c>
      <c r="I471" s="36" t="s">
        <v>215</v>
      </c>
      <c r="J471" s="29"/>
      <c r="K471" s="138"/>
      <c r="L471" s="37" t="s">
        <v>194</v>
      </c>
      <c r="M471" s="37" t="s">
        <v>194</v>
      </c>
      <c r="N471" s="37" t="s">
        <v>194</v>
      </c>
      <c r="O471" s="37" t="s">
        <v>194</v>
      </c>
      <c r="P471" s="37" t="s">
        <v>2271</v>
      </c>
      <c r="Q471" s="37" t="s">
        <v>2272</v>
      </c>
      <c r="R471" s="41">
        <v>46271.0</v>
      </c>
      <c r="S471" s="42">
        <v>0.0</v>
      </c>
      <c r="T471" s="44"/>
      <c r="U471" s="47" t="str">
        <f>IF(records[Type]="Room",records[roomNo],records[roomNo]&amp;"-"&amp;SUBSTITUTE(RIGHT(records[roomNo]&amp;records[Type],2),"-",""))</f>
        <v>10-3-159</v>
      </c>
      <c r="V471" s="47" t="str">
        <f t="array" ref="V471">_xlfn.XLOOKUP(records[ID], dAir[roomNo], dAir[roomName])</f>
        <v>BINDER PREPARATION-P  (BINDER PREPARATION MACHINE)</v>
      </c>
      <c r="W471" s="47" t="str">
        <f t="array" ref="W471">_xlfn.XLOOKUP(records[ID], dAir[roomNo], dAir[building])</f>
        <v>Building 10</v>
      </c>
      <c r="X471" s="47" t="str">
        <f t="array" ref="X471">_xlfn.XLOOKUP(records[ID], dAir[roomNo], dAir[floor])</f>
        <v>Floor 3</v>
      </c>
      <c r="Y471" s="45" t="str">
        <f t="array" ref="Y471">_xlfn.XLOOKUP(records[ID], dAir[roomNo], dAir[Class])</f>
        <v>D</v>
      </c>
      <c r="Z471" s="45">
        <f t="array" ref="Z471">_xlfn.XLOOKUP(records[Method]&amp;"-"&amp;records[Class], dAirSpec[ID], dAirSpec[Spec])</f>
        <v>100</v>
      </c>
      <c r="AA471" s="45" t="str">
        <f t="array" ref="AA471">_xlfn.XLOOKUP(records[Method]&amp;"-"&amp;records[Class], dAirSpec[ID], dAirSpec[Unit])</f>
        <v>cfu/plate</v>
      </c>
      <c r="AB471" s="58">
        <f t="array" ref="AB471">if(S471="","", if(records[Method]="Active Air",_xlfn.xlookup(records[ColonyCount]&amp;records[AirSampler],feller[code],feller[Vc]),records[ColonyCount]))</f>
        <v>0</v>
      </c>
      <c r="AC471" s="60" t="b">
        <f t="shared" si="1"/>
        <v>1</v>
      </c>
      <c r="AD471" s="61" t="b">
        <v>0</v>
      </c>
      <c r="AE471" s="32" t="s">
        <v>235</v>
      </c>
      <c r="AF471" s="46"/>
      <c r="AG471" s="46"/>
      <c r="AH471" s="46"/>
      <c r="AI471" s="46"/>
      <c r="AJ471" s="46"/>
    </row>
    <row r="472" ht="22.5" customHeight="1">
      <c r="A472" s="27">
        <v>46222.0</v>
      </c>
      <c r="B472" s="34" t="str">
        <f t="array" ref="B472">TEXT(A472, "MM-YYYY")</f>
        <v>07-2026</v>
      </c>
      <c r="C472" s="20" t="s">
        <v>233</v>
      </c>
      <c r="D472" s="21" t="s">
        <v>210</v>
      </c>
      <c r="E472" s="36" t="s">
        <v>213</v>
      </c>
      <c r="F472" s="37" t="s">
        <v>65</v>
      </c>
      <c r="G472" s="29" t="b">
        <v>1</v>
      </c>
      <c r="H472" s="36" t="s">
        <v>214</v>
      </c>
      <c r="I472" s="36" t="s">
        <v>215</v>
      </c>
      <c r="J472" s="29"/>
      <c r="K472" s="138"/>
      <c r="L472" s="37" t="s">
        <v>194</v>
      </c>
      <c r="M472" s="37" t="s">
        <v>194</v>
      </c>
      <c r="N472" s="37" t="s">
        <v>194</v>
      </c>
      <c r="O472" s="37" t="s">
        <v>194</v>
      </c>
      <c r="P472" s="37" t="s">
        <v>2271</v>
      </c>
      <c r="Q472" s="37" t="s">
        <v>2272</v>
      </c>
      <c r="R472" s="41">
        <v>46271.0</v>
      </c>
      <c r="S472" s="42">
        <v>1.0</v>
      </c>
      <c r="T472" s="44"/>
      <c r="U472" s="47" t="str">
        <f>IF(records[Type]="Room",records[roomNo],records[roomNo]&amp;"-"&amp;SUBSTITUTE(RIGHT(records[roomNo]&amp;records[Type],2),"-",""))</f>
        <v>10-3-160</v>
      </c>
      <c r="V472" s="47" t="str">
        <f t="array" ref="V472">_xlfn.XLOOKUP(records[ID], dAir[roomNo], dAir[roomName])</f>
        <v>DRY GRANULATION-P (LOW RH) (ROLL COMPACTOR)</v>
      </c>
      <c r="W472" s="47" t="str">
        <f t="array" ref="W472">_xlfn.XLOOKUP(records[ID], dAir[roomNo], dAir[building])</f>
        <v>Building 10</v>
      </c>
      <c r="X472" s="47" t="str">
        <f t="array" ref="X472">_xlfn.XLOOKUP(records[ID], dAir[roomNo], dAir[floor])</f>
        <v>Floor 3</v>
      </c>
      <c r="Y472" s="45" t="str">
        <f t="array" ref="Y472">_xlfn.XLOOKUP(records[ID], dAir[roomNo], dAir[Class])</f>
        <v>D</v>
      </c>
      <c r="Z472" s="45">
        <f t="array" ref="Z472">_xlfn.XLOOKUP(records[Method]&amp;"-"&amp;records[Class], dAirSpec[ID], dAirSpec[Spec])</f>
        <v>100</v>
      </c>
      <c r="AA472" s="45" t="str">
        <f t="array" ref="AA472">_xlfn.XLOOKUP(records[Method]&amp;"-"&amp;records[Class], dAirSpec[ID], dAirSpec[Unit])</f>
        <v>cfu/plate</v>
      </c>
      <c r="AB472" s="58">
        <f t="array" ref="AB472">if(S472="","", if(records[Method]="Active Air",_xlfn.xlookup(records[ColonyCount]&amp;records[AirSampler],feller[code],feller[Vc]),records[ColonyCount]))</f>
        <v>1</v>
      </c>
      <c r="AC472" s="60" t="b">
        <f t="shared" si="1"/>
        <v>1</v>
      </c>
      <c r="AD472" s="61" t="b">
        <v>0</v>
      </c>
      <c r="AE472" s="32" t="s">
        <v>235</v>
      </c>
      <c r="AF472" s="46"/>
      <c r="AG472" s="46"/>
      <c r="AH472" s="46"/>
      <c r="AI472" s="46"/>
      <c r="AJ472" s="46"/>
    </row>
    <row r="473" ht="22.5" customHeight="1">
      <c r="A473" s="27">
        <v>46222.0</v>
      </c>
      <c r="B473" s="34" t="str">
        <f t="array" ref="B473">TEXT(A473, "MM-YYYY")</f>
        <v>07-2026</v>
      </c>
      <c r="C473" s="20" t="s">
        <v>1291</v>
      </c>
      <c r="D473" s="21" t="s">
        <v>210</v>
      </c>
      <c r="E473" s="36" t="s">
        <v>213</v>
      </c>
      <c r="F473" s="37" t="s">
        <v>65</v>
      </c>
      <c r="G473" s="29" t="b">
        <v>1</v>
      </c>
      <c r="H473" s="36" t="s">
        <v>214</v>
      </c>
      <c r="I473" s="36" t="s">
        <v>215</v>
      </c>
      <c r="J473" s="29"/>
      <c r="K473" s="138"/>
      <c r="L473" s="37" t="s">
        <v>194</v>
      </c>
      <c r="M473" s="37" t="s">
        <v>194</v>
      </c>
      <c r="N473" s="37" t="s">
        <v>194</v>
      </c>
      <c r="O473" s="37" t="s">
        <v>194</v>
      </c>
      <c r="P473" s="37" t="s">
        <v>2271</v>
      </c>
      <c r="Q473" s="37" t="s">
        <v>2272</v>
      </c>
      <c r="R473" s="41">
        <v>46271.0</v>
      </c>
      <c r="S473" s="42">
        <v>0.0</v>
      </c>
      <c r="T473" s="44"/>
      <c r="U473" s="47" t="str">
        <f>IF(records[Type]="Room",records[roomNo],records[roomNo]&amp;"-"&amp;SUBSTITUTE(RIGHT(records[roomNo]&amp;records[Type],2),"-",""))</f>
        <v>10-3-161</v>
      </c>
      <c r="V473" s="47" t="str">
        <f t="array" ref="V473">_xlfn.XLOOKUP(records[ID], dAir[roomNo], dAir[roomName])</f>
        <v>WEIGHING-P</v>
      </c>
      <c r="W473" s="47" t="str">
        <f t="array" ref="W473">_xlfn.XLOOKUP(records[ID], dAir[roomNo], dAir[building])</f>
        <v>Building 10</v>
      </c>
      <c r="X473" s="47" t="str">
        <f t="array" ref="X473">_xlfn.XLOOKUP(records[ID], dAir[roomNo], dAir[floor])</f>
        <v>Floor 3</v>
      </c>
      <c r="Y473" s="45" t="str">
        <f t="array" ref="Y473">_xlfn.XLOOKUP(records[ID], dAir[roomNo], dAir[Class])</f>
        <v>D</v>
      </c>
      <c r="Z473" s="45">
        <f t="array" ref="Z473">_xlfn.XLOOKUP(records[Method]&amp;"-"&amp;records[Class], dAirSpec[ID], dAirSpec[Spec])</f>
        <v>100</v>
      </c>
      <c r="AA473" s="45" t="str">
        <f t="array" ref="AA473">_xlfn.XLOOKUP(records[Method]&amp;"-"&amp;records[Class], dAirSpec[ID], dAirSpec[Unit])</f>
        <v>cfu/plate</v>
      </c>
      <c r="AB473" s="58">
        <f t="array" ref="AB473">if(S473="","", if(records[Method]="Active Air",_xlfn.xlookup(records[ColonyCount]&amp;records[AirSampler],feller[code],feller[Vc]),records[ColonyCount]))</f>
        <v>0</v>
      </c>
      <c r="AC473" s="60" t="b">
        <f t="shared" si="1"/>
        <v>1</v>
      </c>
      <c r="AD473" s="61" t="b">
        <v>0</v>
      </c>
      <c r="AE473" s="32" t="s">
        <v>235</v>
      </c>
      <c r="AF473" s="46"/>
      <c r="AG473" s="46"/>
      <c r="AH473" s="46"/>
      <c r="AI473" s="46"/>
      <c r="AJ473" s="46"/>
    </row>
    <row r="474" ht="22.5" customHeight="1">
      <c r="A474" s="27">
        <v>46222.0</v>
      </c>
      <c r="B474" s="34" t="str">
        <f t="array" ref="B474">TEXT(A474, "MM-YYYY")</f>
        <v>07-2026</v>
      </c>
      <c r="C474" s="20" t="s">
        <v>1293</v>
      </c>
      <c r="D474" s="21" t="s">
        <v>210</v>
      </c>
      <c r="E474" s="36" t="s">
        <v>213</v>
      </c>
      <c r="F474" s="37" t="s">
        <v>65</v>
      </c>
      <c r="G474" s="29" t="b">
        <v>1</v>
      </c>
      <c r="H474" s="36" t="s">
        <v>214</v>
      </c>
      <c r="I474" s="36" t="s">
        <v>215</v>
      </c>
      <c r="J474" s="29"/>
      <c r="K474" s="138"/>
      <c r="L474" s="37" t="s">
        <v>194</v>
      </c>
      <c r="M474" s="37" t="s">
        <v>194</v>
      </c>
      <c r="N474" s="37" t="s">
        <v>194</v>
      </c>
      <c r="O474" s="37" t="s">
        <v>194</v>
      </c>
      <c r="P474" s="37" t="s">
        <v>2271</v>
      </c>
      <c r="Q474" s="37" t="s">
        <v>2272</v>
      </c>
      <c r="R474" s="41">
        <v>46271.0</v>
      </c>
      <c r="S474" s="42">
        <v>0.0</v>
      </c>
      <c r="T474" s="44"/>
      <c r="U474" s="47" t="str">
        <f>IF(records[Type]="Room",records[roomNo],records[roomNo]&amp;"-"&amp;SUBSTITUTE(RIGHT(records[roomNo]&amp;records[Type],2),"-",""))</f>
        <v>10-3-162</v>
      </c>
      <c r="V474" s="47" t="str">
        <f t="array" ref="V474">_xlfn.XLOOKUP(records[ID], dAir[roomNo], dAir[roomName])</f>
        <v>BLENDING-P</v>
      </c>
      <c r="W474" s="47" t="str">
        <f t="array" ref="W474">_xlfn.XLOOKUP(records[ID], dAir[roomNo], dAir[building])</f>
        <v>Building 10</v>
      </c>
      <c r="X474" s="47" t="str">
        <f t="array" ref="X474">_xlfn.XLOOKUP(records[ID], dAir[roomNo], dAir[floor])</f>
        <v>Floor 3</v>
      </c>
      <c r="Y474" s="45" t="str">
        <f t="array" ref="Y474">_xlfn.XLOOKUP(records[ID], dAir[roomNo], dAir[Class])</f>
        <v>D</v>
      </c>
      <c r="Z474" s="45">
        <f t="array" ref="Z474">_xlfn.XLOOKUP(records[Method]&amp;"-"&amp;records[Class], dAirSpec[ID], dAirSpec[Spec])</f>
        <v>100</v>
      </c>
      <c r="AA474" s="45" t="str">
        <f t="array" ref="AA474">_xlfn.XLOOKUP(records[Method]&amp;"-"&amp;records[Class], dAirSpec[ID], dAirSpec[Unit])</f>
        <v>cfu/plate</v>
      </c>
      <c r="AB474" s="58">
        <f t="array" ref="AB474">if(S474="","", if(records[Method]="Active Air",_xlfn.xlookup(records[ColonyCount]&amp;records[AirSampler],feller[code],feller[Vc]),records[ColonyCount]))</f>
        <v>0</v>
      </c>
      <c r="AC474" s="60" t="b">
        <f t="shared" si="1"/>
        <v>1</v>
      </c>
      <c r="AD474" s="61" t="b">
        <v>0</v>
      </c>
      <c r="AE474" s="32" t="s">
        <v>235</v>
      </c>
      <c r="AF474" s="46"/>
      <c r="AG474" s="46"/>
      <c r="AH474" s="46"/>
      <c r="AI474" s="46"/>
      <c r="AJ474" s="46"/>
    </row>
    <row r="475" ht="22.5" customHeight="1">
      <c r="A475" s="27">
        <v>46222.0</v>
      </c>
      <c r="B475" s="34" t="str">
        <f t="array" ref="B475">TEXT(A475, "MM-YYYY")</f>
        <v>07-2026</v>
      </c>
      <c r="C475" s="20" t="s">
        <v>1295</v>
      </c>
      <c r="D475" s="21" t="s">
        <v>210</v>
      </c>
      <c r="E475" s="36" t="s">
        <v>213</v>
      </c>
      <c r="F475" s="37" t="s">
        <v>65</v>
      </c>
      <c r="G475" s="29" t="b">
        <v>1</v>
      </c>
      <c r="H475" s="36" t="s">
        <v>214</v>
      </c>
      <c r="I475" s="36" t="s">
        <v>215</v>
      </c>
      <c r="J475" s="29"/>
      <c r="K475" s="138"/>
      <c r="L475" s="37" t="s">
        <v>194</v>
      </c>
      <c r="M475" s="37" t="s">
        <v>194</v>
      </c>
      <c r="N475" s="37" t="s">
        <v>194</v>
      </c>
      <c r="O475" s="37" t="s">
        <v>194</v>
      </c>
      <c r="P475" s="37" t="s">
        <v>2271</v>
      </c>
      <c r="Q475" s="37" t="s">
        <v>2272</v>
      </c>
      <c r="R475" s="41">
        <v>46271.0</v>
      </c>
      <c r="S475" s="42">
        <v>0.0</v>
      </c>
      <c r="T475" s="44"/>
      <c r="U475" s="47" t="str">
        <f>IF(records[Type]="Room",records[roomNo],records[roomNo]&amp;"-"&amp;SUBSTITUTE(RIGHT(records[roomNo]&amp;records[Type],2),"-",""))</f>
        <v>10-3-163</v>
      </c>
      <c r="V475" s="47" t="str">
        <f t="array" ref="V475">_xlfn.XLOOKUP(records[ID], dAir[roomNo], dAir[roomName])</f>
        <v>WET GRANULATION 1-P</v>
      </c>
      <c r="W475" s="47" t="str">
        <f t="array" ref="W475">_xlfn.XLOOKUP(records[ID], dAir[roomNo], dAir[building])</f>
        <v>Building 10</v>
      </c>
      <c r="X475" s="47" t="str">
        <f t="array" ref="X475">_xlfn.XLOOKUP(records[ID], dAir[roomNo], dAir[floor])</f>
        <v>Floor 3</v>
      </c>
      <c r="Y475" s="45" t="str">
        <f t="array" ref="Y475">_xlfn.XLOOKUP(records[ID], dAir[roomNo], dAir[Class])</f>
        <v>D</v>
      </c>
      <c r="Z475" s="45">
        <f t="array" ref="Z475">_xlfn.XLOOKUP(records[Method]&amp;"-"&amp;records[Class], dAirSpec[ID], dAirSpec[Spec])</f>
        <v>100</v>
      </c>
      <c r="AA475" s="45" t="str">
        <f t="array" ref="AA475">_xlfn.XLOOKUP(records[Method]&amp;"-"&amp;records[Class], dAirSpec[ID], dAirSpec[Unit])</f>
        <v>cfu/plate</v>
      </c>
      <c r="AB475" s="58">
        <f t="array" ref="AB475">if(S475="","", if(records[Method]="Active Air",_xlfn.xlookup(records[ColonyCount]&amp;records[AirSampler],feller[code],feller[Vc]),records[ColonyCount]))</f>
        <v>0</v>
      </c>
      <c r="AC475" s="60" t="b">
        <f t="shared" si="1"/>
        <v>1</v>
      </c>
      <c r="AD475" s="61" t="b">
        <v>0</v>
      </c>
      <c r="AE475" s="32" t="s">
        <v>235</v>
      </c>
      <c r="AF475" s="46"/>
      <c r="AG475" s="46"/>
      <c r="AH475" s="46"/>
      <c r="AI475" s="46"/>
      <c r="AJ475" s="46"/>
    </row>
    <row r="476" ht="22.5" customHeight="1">
      <c r="A476" s="27">
        <v>46222.0</v>
      </c>
      <c r="B476" s="34" t="str">
        <f t="array" ref="B476">TEXT(A476, "MM-YYYY")</f>
        <v>07-2026</v>
      </c>
      <c r="C476" s="20" t="s">
        <v>1298</v>
      </c>
      <c r="D476" s="21" t="s">
        <v>210</v>
      </c>
      <c r="E476" s="36" t="s">
        <v>213</v>
      </c>
      <c r="F476" s="37" t="s">
        <v>65</v>
      </c>
      <c r="G476" s="29" t="b">
        <v>1</v>
      </c>
      <c r="H476" s="36" t="s">
        <v>214</v>
      </c>
      <c r="I476" s="36" t="s">
        <v>215</v>
      </c>
      <c r="J476" s="29"/>
      <c r="K476" s="138"/>
      <c r="L476" s="37" t="s">
        <v>194</v>
      </c>
      <c r="M476" s="37" t="s">
        <v>194</v>
      </c>
      <c r="N476" s="37" t="s">
        <v>194</v>
      </c>
      <c r="O476" s="37" t="s">
        <v>194</v>
      </c>
      <c r="P476" s="37" t="s">
        <v>2271</v>
      </c>
      <c r="Q476" s="37" t="s">
        <v>2272</v>
      </c>
      <c r="R476" s="41">
        <v>46271.0</v>
      </c>
      <c r="S476" s="42">
        <v>0.0</v>
      </c>
      <c r="T476" s="44"/>
      <c r="U476" s="47" t="str">
        <f>IF(records[Type]="Room",records[roomNo],records[roomNo]&amp;"-"&amp;SUBSTITUTE(RIGHT(records[roomNo]&amp;records[Type],2),"-",""))</f>
        <v>10-3-164</v>
      </c>
      <c r="V476" s="47" t="str">
        <f t="array" ref="V476">_xlfn.XLOOKUP(records[ID], dAir[roomNo], dAir[roomName])</f>
        <v>WET GRANULATION 2-P</v>
      </c>
      <c r="W476" s="47" t="str">
        <f t="array" ref="W476">_xlfn.XLOOKUP(records[ID], dAir[roomNo], dAir[building])</f>
        <v>Building 10</v>
      </c>
      <c r="X476" s="47" t="str">
        <f t="array" ref="X476">_xlfn.XLOOKUP(records[ID], dAir[roomNo], dAir[floor])</f>
        <v>Floor 3</v>
      </c>
      <c r="Y476" s="45" t="str">
        <f t="array" ref="Y476">_xlfn.XLOOKUP(records[ID], dAir[roomNo], dAir[Class])</f>
        <v>D</v>
      </c>
      <c r="Z476" s="45">
        <f t="array" ref="Z476">_xlfn.XLOOKUP(records[Method]&amp;"-"&amp;records[Class], dAirSpec[ID], dAirSpec[Spec])</f>
        <v>100</v>
      </c>
      <c r="AA476" s="45" t="str">
        <f t="array" ref="AA476">_xlfn.XLOOKUP(records[Method]&amp;"-"&amp;records[Class], dAirSpec[ID], dAirSpec[Unit])</f>
        <v>cfu/plate</v>
      </c>
      <c r="AB476" s="58">
        <f t="array" ref="AB476">if(S476="","", if(records[Method]="Active Air",_xlfn.xlookup(records[ColonyCount]&amp;records[AirSampler],feller[code],feller[Vc]),records[ColonyCount]))</f>
        <v>0</v>
      </c>
      <c r="AC476" s="60" t="b">
        <f t="shared" si="1"/>
        <v>1</v>
      </c>
      <c r="AD476" s="61" t="b">
        <v>0</v>
      </c>
      <c r="AE476" s="32" t="s">
        <v>235</v>
      </c>
      <c r="AF476" s="46"/>
      <c r="AG476" s="46"/>
      <c r="AH476" s="46"/>
      <c r="AI476" s="46"/>
      <c r="AJ476" s="46"/>
    </row>
    <row r="477" ht="22.5" customHeight="1">
      <c r="A477" s="27">
        <v>46222.0</v>
      </c>
      <c r="B477" s="34" t="str">
        <f t="array" ref="B477">TEXT(A477, "MM-YYYY")</f>
        <v>07-2026</v>
      </c>
      <c r="C477" s="20" t="s">
        <v>1300</v>
      </c>
      <c r="D477" s="21" t="s">
        <v>210</v>
      </c>
      <c r="E477" s="36" t="s">
        <v>213</v>
      </c>
      <c r="F477" s="37" t="s">
        <v>65</v>
      </c>
      <c r="G477" s="29" t="b">
        <v>1</v>
      </c>
      <c r="H477" s="36" t="s">
        <v>214</v>
      </c>
      <c r="I477" s="36" t="s">
        <v>215</v>
      </c>
      <c r="J477" s="29"/>
      <c r="K477" s="138"/>
      <c r="L477" s="37" t="s">
        <v>194</v>
      </c>
      <c r="M477" s="37" t="s">
        <v>194</v>
      </c>
      <c r="N477" s="37" t="s">
        <v>194</v>
      </c>
      <c r="O477" s="37" t="s">
        <v>194</v>
      </c>
      <c r="P477" s="37" t="s">
        <v>2271</v>
      </c>
      <c r="Q477" s="37" t="s">
        <v>2272</v>
      </c>
      <c r="R477" s="41">
        <v>46271.0</v>
      </c>
      <c r="S477" s="42">
        <v>1.0</v>
      </c>
      <c r="T477" s="44"/>
      <c r="U477" s="47" t="str">
        <f>IF(records[Type]="Room",records[roomNo],records[roomNo]&amp;"-"&amp;SUBSTITUTE(RIGHT(records[roomNo]&amp;records[Type],2),"-",""))</f>
        <v>10-3-165</v>
      </c>
      <c r="V477" s="47" t="str">
        <f t="array" ref="V477">_xlfn.XLOOKUP(records[ID], dAir[roomNo], dAir[roomName])</f>
        <v>AIRLOCK-P</v>
      </c>
      <c r="W477" s="47" t="str">
        <f t="array" ref="W477">_xlfn.XLOOKUP(records[ID], dAir[roomNo], dAir[building])</f>
        <v>Building 10</v>
      </c>
      <c r="X477" s="47" t="str">
        <f t="array" ref="X477">_xlfn.XLOOKUP(records[ID], dAir[roomNo], dAir[floor])</f>
        <v>Floor 3</v>
      </c>
      <c r="Y477" s="45" t="str">
        <f t="array" ref="Y477">_xlfn.XLOOKUP(records[ID], dAir[roomNo], dAir[Class])</f>
        <v>D</v>
      </c>
      <c r="Z477" s="45">
        <f t="array" ref="Z477">_xlfn.XLOOKUP(records[Method]&amp;"-"&amp;records[Class], dAirSpec[ID], dAirSpec[Spec])</f>
        <v>100</v>
      </c>
      <c r="AA477" s="45" t="str">
        <f t="array" ref="AA477">_xlfn.XLOOKUP(records[Method]&amp;"-"&amp;records[Class], dAirSpec[ID], dAirSpec[Unit])</f>
        <v>cfu/plate</v>
      </c>
      <c r="AB477" s="58">
        <f t="array" ref="AB477">if(S477="","", if(records[Method]="Active Air",_xlfn.xlookup(records[ColonyCount]&amp;records[AirSampler],feller[code],feller[Vc]),records[ColonyCount]))</f>
        <v>1</v>
      </c>
      <c r="AC477" s="60" t="b">
        <f t="shared" si="1"/>
        <v>1</v>
      </c>
      <c r="AD477" s="61" t="b">
        <v>0</v>
      </c>
      <c r="AE477" s="32" t="s">
        <v>235</v>
      </c>
      <c r="AF477" s="46"/>
      <c r="AG477" s="46"/>
      <c r="AH477" s="46"/>
      <c r="AI477" s="46"/>
      <c r="AJ477" s="46"/>
    </row>
    <row r="478" ht="22.5" customHeight="1">
      <c r="A478" s="27">
        <v>46222.0</v>
      </c>
      <c r="B478" s="34" t="str">
        <f t="array" ref="B478">TEXT(A478, "MM-YYYY")</f>
        <v>07-2026</v>
      </c>
      <c r="C478" s="20" t="s">
        <v>1301</v>
      </c>
      <c r="D478" s="21" t="s">
        <v>210</v>
      </c>
      <c r="E478" s="36" t="s">
        <v>213</v>
      </c>
      <c r="F478" s="37" t="s">
        <v>65</v>
      </c>
      <c r="G478" s="29" t="b">
        <v>1</v>
      </c>
      <c r="H478" s="36" t="s">
        <v>214</v>
      </c>
      <c r="I478" s="36" t="s">
        <v>215</v>
      </c>
      <c r="J478" s="29"/>
      <c r="K478" s="138"/>
      <c r="L478" s="37" t="s">
        <v>194</v>
      </c>
      <c r="M478" s="37" t="s">
        <v>194</v>
      </c>
      <c r="N478" s="37" t="s">
        <v>194</v>
      </c>
      <c r="O478" s="37" t="s">
        <v>194</v>
      </c>
      <c r="P478" s="37" t="s">
        <v>2271</v>
      </c>
      <c r="Q478" s="37" t="s">
        <v>2272</v>
      </c>
      <c r="R478" s="41">
        <v>46271.0</v>
      </c>
      <c r="S478" s="42">
        <v>0.0</v>
      </c>
      <c r="T478" s="44" t="s">
        <v>2011</v>
      </c>
      <c r="U478" s="47" t="str">
        <f>IF(records[Type]="Room",records[roomNo],records[roomNo]&amp;"-"&amp;SUBSTITUTE(RIGHT(records[roomNo]&amp;records[Type],2),"-",""))</f>
        <v>10-3-166</v>
      </c>
      <c r="V478" s="47" t="str">
        <f t="array" ref="V478">_xlfn.XLOOKUP(records[ID], dAir[roomNo], dAir[roomName])</f>
        <v>CORRIDOR-P</v>
      </c>
      <c r="W478" s="47" t="str">
        <f t="array" ref="W478">_xlfn.XLOOKUP(records[ID], dAir[roomNo], dAir[building])</f>
        <v>Building 10</v>
      </c>
      <c r="X478" s="47" t="str">
        <f t="array" ref="X478">_xlfn.XLOOKUP(records[ID], dAir[roomNo], dAir[floor])</f>
        <v>Floor 3</v>
      </c>
      <c r="Y478" s="45" t="str">
        <f t="array" ref="Y478">_xlfn.XLOOKUP(records[ID], dAir[roomNo], dAir[Class])</f>
        <v>D</v>
      </c>
      <c r="Z478" s="45">
        <f t="array" ref="Z478">_xlfn.XLOOKUP(records[Method]&amp;"-"&amp;records[Class], dAirSpec[ID], dAirSpec[Spec])</f>
        <v>100</v>
      </c>
      <c r="AA478" s="45" t="str">
        <f t="array" ref="AA478">_xlfn.XLOOKUP(records[Method]&amp;"-"&amp;records[Class], dAirSpec[ID], dAirSpec[Unit])</f>
        <v>cfu/plate</v>
      </c>
      <c r="AB478" s="58">
        <f t="array" ref="AB478">if(S478="","", if(records[Method]="Active Air",_xlfn.xlookup(records[ColonyCount]&amp;records[AirSampler],feller[code],feller[Vc]),records[ColonyCount]))</f>
        <v>0</v>
      </c>
      <c r="AC478" s="60" t="b">
        <f t="shared" si="1"/>
        <v>1</v>
      </c>
      <c r="AD478" s="61" t="b">
        <v>0</v>
      </c>
      <c r="AE478" s="32" t="s">
        <v>235</v>
      </c>
      <c r="AF478" s="46"/>
      <c r="AG478" s="46"/>
      <c r="AH478" s="46"/>
      <c r="AI478" s="46"/>
      <c r="AJ478" s="46"/>
    </row>
    <row r="479" ht="22.5" customHeight="1">
      <c r="A479" s="27">
        <v>46222.0</v>
      </c>
      <c r="B479" s="34" t="str">
        <f t="array" ref="B479">TEXT(A479, "MM-YYYY")</f>
        <v>07-2026</v>
      </c>
      <c r="C479" s="20" t="s">
        <v>1302</v>
      </c>
      <c r="D479" s="21" t="s">
        <v>210</v>
      </c>
      <c r="E479" s="36" t="s">
        <v>213</v>
      </c>
      <c r="F479" s="37" t="s">
        <v>65</v>
      </c>
      <c r="G479" s="29" t="b">
        <v>1</v>
      </c>
      <c r="H479" s="36" t="s">
        <v>214</v>
      </c>
      <c r="I479" s="36" t="s">
        <v>215</v>
      </c>
      <c r="J479" s="29"/>
      <c r="K479" s="138"/>
      <c r="L479" s="37" t="s">
        <v>194</v>
      </c>
      <c r="M479" s="37" t="s">
        <v>194</v>
      </c>
      <c r="N479" s="37" t="s">
        <v>194</v>
      </c>
      <c r="O479" s="37" t="s">
        <v>194</v>
      </c>
      <c r="P479" s="37" t="s">
        <v>2271</v>
      </c>
      <c r="Q479" s="37" t="s">
        <v>2272</v>
      </c>
      <c r="R479" s="41">
        <v>46271.0</v>
      </c>
      <c r="S479" s="42">
        <v>2.0</v>
      </c>
      <c r="T479" s="44"/>
      <c r="U479" s="47" t="str">
        <f>IF(records[Type]="Room",records[roomNo],records[roomNo]&amp;"-"&amp;SUBSTITUTE(RIGHT(records[roomNo]&amp;records[Type],2),"-",""))</f>
        <v>10-3-167</v>
      </c>
      <c r="V479" s="47" t="str">
        <f t="array" ref="V479">_xlfn.XLOOKUP(records[ID], dAir[roomNo], dAir[roomName])</f>
        <v>DISPENSED MATERIAL STAGING-P</v>
      </c>
      <c r="W479" s="47" t="str">
        <f t="array" ref="W479">_xlfn.XLOOKUP(records[ID], dAir[roomNo], dAir[building])</f>
        <v>Building 10</v>
      </c>
      <c r="X479" s="47" t="str">
        <f t="array" ref="X479">_xlfn.XLOOKUP(records[ID], dAir[roomNo], dAir[floor])</f>
        <v>Floor 3</v>
      </c>
      <c r="Y479" s="45" t="str">
        <f t="array" ref="Y479">_xlfn.XLOOKUP(records[ID], dAir[roomNo], dAir[Class])</f>
        <v>D</v>
      </c>
      <c r="Z479" s="45">
        <f t="array" ref="Z479">_xlfn.XLOOKUP(records[Method]&amp;"-"&amp;records[Class], dAirSpec[ID], dAirSpec[Spec])</f>
        <v>100</v>
      </c>
      <c r="AA479" s="45" t="str">
        <f t="array" ref="AA479">_xlfn.XLOOKUP(records[Method]&amp;"-"&amp;records[Class], dAirSpec[ID], dAirSpec[Unit])</f>
        <v>cfu/plate</v>
      </c>
      <c r="AB479" s="58">
        <f t="array" ref="AB479">if(S479="","", if(records[Method]="Active Air",_xlfn.xlookup(records[ColonyCount]&amp;records[AirSampler],feller[code],feller[Vc]),records[ColonyCount]))</f>
        <v>2</v>
      </c>
      <c r="AC479" s="60" t="b">
        <f t="shared" si="1"/>
        <v>1</v>
      </c>
      <c r="AD479" s="61" t="b">
        <v>0</v>
      </c>
      <c r="AE479" s="32" t="s">
        <v>235</v>
      </c>
      <c r="AF479" s="46"/>
      <c r="AG479" s="46"/>
      <c r="AH479" s="46"/>
      <c r="AI479" s="46"/>
      <c r="AJ479" s="46"/>
    </row>
    <row r="480" ht="22.5" customHeight="1">
      <c r="A480" s="27">
        <v>46222.0</v>
      </c>
      <c r="B480" s="34" t="str">
        <f t="array" ref="B480">TEXT(A480, "MM-YYYY")</f>
        <v>07-2026</v>
      </c>
      <c r="C480" s="20" t="s">
        <v>1304</v>
      </c>
      <c r="D480" s="21" t="s">
        <v>210</v>
      </c>
      <c r="E480" s="36" t="s">
        <v>213</v>
      </c>
      <c r="F480" s="37" t="s">
        <v>65</v>
      </c>
      <c r="G480" s="29" t="b">
        <v>1</v>
      </c>
      <c r="H480" s="36" t="s">
        <v>214</v>
      </c>
      <c r="I480" s="36" t="s">
        <v>215</v>
      </c>
      <c r="J480" s="29"/>
      <c r="K480" s="138"/>
      <c r="L480" s="37" t="s">
        <v>194</v>
      </c>
      <c r="M480" s="37" t="s">
        <v>194</v>
      </c>
      <c r="N480" s="37" t="s">
        <v>194</v>
      </c>
      <c r="O480" s="37" t="s">
        <v>194</v>
      </c>
      <c r="P480" s="37" t="s">
        <v>2271</v>
      </c>
      <c r="Q480" s="37" t="s">
        <v>2272</v>
      </c>
      <c r="R480" s="41">
        <v>46271.0</v>
      </c>
      <c r="S480" s="42">
        <v>0.0</v>
      </c>
      <c r="T480" s="44"/>
      <c r="U480" s="47" t="str">
        <f>IF(records[Type]="Room",records[roomNo],records[roomNo]&amp;"-"&amp;SUBSTITUTE(RIGHT(records[roomNo]&amp;records[Type],2),"-",""))</f>
        <v>10-3-168</v>
      </c>
      <c r="V480" s="47" t="str">
        <f t="array" ref="V480">_xlfn.XLOOKUP(records[ID], dAir[roomNo], dAir[roomName])</f>
        <v>DISPENSING 1-P</v>
      </c>
      <c r="W480" s="47" t="str">
        <f t="array" ref="W480">_xlfn.XLOOKUP(records[ID], dAir[roomNo], dAir[building])</f>
        <v>Building 10</v>
      </c>
      <c r="X480" s="47" t="str">
        <f t="array" ref="X480">_xlfn.XLOOKUP(records[ID], dAir[roomNo], dAir[floor])</f>
        <v>Floor 3</v>
      </c>
      <c r="Y480" s="45" t="str">
        <f t="array" ref="Y480">_xlfn.XLOOKUP(records[ID], dAir[roomNo], dAir[Class])</f>
        <v>D</v>
      </c>
      <c r="Z480" s="45">
        <f t="array" ref="Z480">_xlfn.XLOOKUP(records[Method]&amp;"-"&amp;records[Class], dAirSpec[ID], dAirSpec[Spec])</f>
        <v>100</v>
      </c>
      <c r="AA480" s="45" t="str">
        <f t="array" ref="AA480">_xlfn.XLOOKUP(records[Method]&amp;"-"&amp;records[Class], dAirSpec[ID], dAirSpec[Unit])</f>
        <v>cfu/plate</v>
      </c>
      <c r="AB480" s="58">
        <f t="array" ref="AB480">if(S480="","", if(records[Method]="Active Air",_xlfn.xlookup(records[ColonyCount]&amp;records[AirSampler],feller[code],feller[Vc]),records[ColonyCount]))</f>
        <v>0</v>
      </c>
      <c r="AC480" s="60" t="b">
        <f t="shared" si="1"/>
        <v>1</v>
      </c>
      <c r="AD480" s="61" t="b">
        <v>0</v>
      </c>
      <c r="AE480" s="32" t="s">
        <v>235</v>
      </c>
      <c r="AF480" s="46"/>
      <c r="AG480" s="46"/>
      <c r="AH480" s="46"/>
      <c r="AI480" s="46"/>
      <c r="AJ480" s="46"/>
    </row>
    <row r="481" ht="22.5" customHeight="1">
      <c r="A481" s="27">
        <v>46222.0</v>
      </c>
      <c r="B481" s="34" t="str">
        <f t="array" ref="B481">TEXT(A481, "MM-YYYY")</f>
        <v>07-2026</v>
      </c>
      <c r="C481" s="20" t="s">
        <v>1304</v>
      </c>
      <c r="D481" s="21" t="s">
        <v>680</v>
      </c>
      <c r="E481" s="36" t="s">
        <v>213</v>
      </c>
      <c r="F481" s="37" t="s">
        <v>65</v>
      </c>
      <c r="G481" s="29" t="b">
        <v>1</v>
      </c>
      <c r="H481" s="36" t="s">
        <v>214</v>
      </c>
      <c r="I481" s="36" t="s">
        <v>215</v>
      </c>
      <c r="J481" s="29"/>
      <c r="K481" s="138"/>
      <c r="L481" s="37" t="s">
        <v>194</v>
      </c>
      <c r="M481" s="37" t="s">
        <v>194</v>
      </c>
      <c r="N481" s="37" t="s">
        <v>194</v>
      </c>
      <c r="O481" s="37" t="s">
        <v>194</v>
      </c>
      <c r="P481" s="37" t="s">
        <v>2271</v>
      </c>
      <c r="Q481" s="37" t="s">
        <v>2272</v>
      </c>
      <c r="R481" s="41">
        <v>46271.0</v>
      </c>
      <c r="S481" s="42">
        <v>0.0</v>
      </c>
      <c r="T481" s="44" t="s">
        <v>2341</v>
      </c>
      <c r="U481" s="45" t="str">
        <f>IF(records[Type]="Room",records[roomNo],records[roomNo]&amp;"-"&amp;SUBSTITUTE(RIGHT(records[roomNo]&amp;records[Type],2),"-",""))</f>
        <v>10-3-168-B</v>
      </c>
      <c r="V481" s="47" t="str">
        <f t="array" ref="V481">_xlfn.XLOOKUP(records[ID], dAir[roomNo], dAir[roomName])</f>
        <v>DISPENSING 1-P (Booth)</v>
      </c>
      <c r="W481" s="47" t="str">
        <f t="array" ref="W481">_xlfn.XLOOKUP(records[ID], dAir[roomNo], dAir[building])</f>
        <v>Building 10</v>
      </c>
      <c r="X481" s="47" t="str">
        <f t="array" ref="X481">_xlfn.XLOOKUP(records[ID], dAir[roomNo], dAir[floor])</f>
        <v>Floor 3</v>
      </c>
      <c r="Y481" s="45" t="str">
        <f t="array" ref="Y481">_xlfn.XLOOKUP(records[ID], dAir[roomNo], dAir[Class])</f>
        <v>D</v>
      </c>
      <c r="Z481" s="45">
        <f t="array" ref="Z481">_xlfn.XLOOKUP(records[Method]&amp;"-"&amp;records[Class], dAirSpec[ID], dAirSpec[Spec])</f>
        <v>100</v>
      </c>
      <c r="AA481" s="45" t="str">
        <f t="array" ref="AA481">_xlfn.XLOOKUP(records[Method]&amp;"-"&amp;records[Class], dAirSpec[ID], dAirSpec[Unit])</f>
        <v>cfu/plate</v>
      </c>
      <c r="AB481" s="58">
        <f t="array" ref="AB481">if(S481="","", if(records[Method]="Active Air",_xlfn.xlookup(records[ColonyCount]&amp;records[AirSampler],feller[code],feller[Vc]),records[ColonyCount]))</f>
        <v>0</v>
      </c>
      <c r="AC481" s="60" t="b">
        <f t="shared" si="1"/>
        <v>1</v>
      </c>
      <c r="AD481" s="61" t="b">
        <v>0</v>
      </c>
      <c r="AE481" s="32" t="s">
        <v>235</v>
      </c>
      <c r="AF481" s="46"/>
      <c r="AG481" s="46"/>
      <c r="AH481" s="46"/>
      <c r="AI481" s="46"/>
      <c r="AJ481" s="46"/>
    </row>
    <row r="482" ht="22.5" customHeight="1">
      <c r="A482" s="27">
        <v>46222.0</v>
      </c>
      <c r="B482" s="34" t="str">
        <f t="array" ref="B482">TEXT(A482, "MM-YYYY")</f>
        <v>07-2026</v>
      </c>
      <c r="C482" s="20" t="s">
        <v>1308</v>
      </c>
      <c r="D482" s="21" t="s">
        <v>210</v>
      </c>
      <c r="E482" s="36" t="s">
        <v>213</v>
      </c>
      <c r="F482" s="37" t="s">
        <v>65</v>
      </c>
      <c r="G482" s="29" t="b">
        <v>1</v>
      </c>
      <c r="H482" s="36" t="s">
        <v>214</v>
      </c>
      <c r="I482" s="36" t="s">
        <v>215</v>
      </c>
      <c r="J482" s="29"/>
      <c r="K482" s="138"/>
      <c r="L482" s="37" t="s">
        <v>194</v>
      </c>
      <c r="M482" s="37" t="s">
        <v>194</v>
      </c>
      <c r="N482" s="37" t="s">
        <v>194</v>
      </c>
      <c r="O482" s="37" t="s">
        <v>194</v>
      </c>
      <c r="P482" s="37" t="s">
        <v>2271</v>
      </c>
      <c r="Q482" s="37" t="s">
        <v>2272</v>
      </c>
      <c r="R482" s="41">
        <v>46271.0</v>
      </c>
      <c r="S482" s="42">
        <v>0.0</v>
      </c>
      <c r="T482" s="44"/>
      <c r="U482" s="47" t="str">
        <f>IF(records[Type]="Room",records[roomNo],records[roomNo]&amp;"-"&amp;SUBSTITUTE(RIGHT(records[roomNo]&amp;records[Type],2),"-",""))</f>
        <v>10-3-169</v>
      </c>
      <c r="V482" s="47" t="str">
        <f t="array" ref="V482">_xlfn.XLOOKUP(records[ID], dAir[roomNo], dAir[roomName])</f>
        <v>CLEANED TOOLS-P</v>
      </c>
      <c r="W482" s="47" t="str">
        <f t="array" ref="W482">_xlfn.XLOOKUP(records[ID], dAir[roomNo], dAir[building])</f>
        <v>Building 10</v>
      </c>
      <c r="X482" s="47" t="str">
        <f t="array" ref="X482">_xlfn.XLOOKUP(records[ID], dAir[roomNo], dAir[floor])</f>
        <v>Floor 3</v>
      </c>
      <c r="Y482" s="45" t="str">
        <f t="array" ref="Y482">_xlfn.XLOOKUP(records[ID], dAir[roomNo], dAir[Class])</f>
        <v>D</v>
      </c>
      <c r="Z482" s="45">
        <f t="array" ref="Z482">_xlfn.XLOOKUP(records[Method]&amp;"-"&amp;records[Class], dAirSpec[ID], dAirSpec[Spec])</f>
        <v>100</v>
      </c>
      <c r="AA482" s="45" t="str">
        <f t="array" ref="AA482">_xlfn.XLOOKUP(records[Method]&amp;"-"&amp;records[Class], dAirSpec[ID], dAirSpec[Unit])</f>
        <v>cfu/plate</v>
      </c>
      <c r="AB482" s="58">
        <f t="array" ref="AB482">if(S482="","", if(records[Method]="Active Air",_xlfn.xlookup(records[ColonyCount]&amp;records[AirSampler],feller[code],feller[Vc]),records[ColonyCount]))</f>
        <v>0</v>
      </c>
      <c r="AC482" s="60" t="b">
        <f t="shared" si="1"/>
        <v>1</v>
      </c>
      <c r="AD482" s="61" t="b">
        <v>0</v>
      </c>
      <c r="AE482" s="32" t="s">
        <v>235</v>
      </c>
      <c r="AF482" s="46"/>
      <c r="AG482" s="46"/>
      <c r="AH482" s="46"/>
      <c r="AI482" s="46"/>
      <c r="AJ482" s="46"/>
    </row>
    <row r="483" ht="22.5" customHeight="1">
      <c r="A483" s="27">
        <v>46222.0</v>
      </c>
      <c r="B483" s="34" t="str">
        <f t="array" ref="B483">TEXT(A483, "MM-YYYY")</f>
        <v>07-2026</v>
      </c>
      <c r="C483" s="20" t="s">
        <v>239</v>
      </c>
      <c r="D483" s="21" t="s">
        <v>210</v>
      </c>
      <c r="E483" s="36" t="s">
        <v>213</v>
      </c>
      <c r="F483" s="37" t="s">
        <v>65</v>
      </c>
      <c r="G483" s="29" t="b">
        <v>1</v>
      </c>
      <c r="H483" s="36" t="s">
        <v>214</v>
      </c>
      <c r="I483" s="36" t="s">
        <v>215</v>
      </c>
      <c r="J483" s="29"/>
      <c r="K483" s="138"/>
      <c r="L483" s="37" t="s">
        <v>194</v>
      </c>
      <c r="M483" s="37" t="s">
        <v>194</v>
      </c>
      <c r="N483" s="37" t="s">
        <v>194</v>
      </c>
      <c r="O483" s="37" t="s">
        <v>194</v>
      </c>
      <c r="P483" s="37" t="s">
        <v>2271</v>
      </c>
      <c r="Q483" s="37" t="s">
        <v>2272</v>
      </c>
      <c r="R483" s="41">
        <v>46271.0</v>
      </c>
      <c r="S483" s="42">
        <v>0.0</v>
      </c>
      <c r="T483" s="44"/>
      <c r="U483" s="47" t="str">
        <f>IF(records[Type]="Room",records[roomNo],records[roomNo]&amp;"-"&amp;SUBSTITUTE(RIGHT(records[roomNo]&amp;records[Type],2),"-",""))</f>
        <v>10-3-170</v>
      </c>
      <c r="V483" s="47" t="str">
        <f t="array" ref="V483">_xlfn.XLOOKUP(records[ID], dAir[roomNo], dAir[roomName])</f>
        <v>DRYING-P</v>
      </c>
      <c r="W483" s="47" t="str">
        <f t="array" ref="W483">_xlfn.XLOOKUP(records[ID], dAir[roomNo], dAir[building])</f>
        <v>Building 10</v>
      </c>
      <c r="X483" s="47" t="str">
        <f t="array" ref="X483">_xlfn.XLOOKUP(records[ID], dAir[roomNo], dAir[floor])</f>
        <v>Floor 3</v>
      </c>
      <c r="Y483" s="45" t="str">
        <f t="array" ref="Y483">_xlfn.XLOOKUP(records[ID], dAir[roomNo], dAir[Class])</f>
        <v>D</v>
      </c>
      <c r="Z483" s="45">
        <f t="array" ref="Z483">_xlfn.XLOOKUP(records[Method]&amp;"-"&amp;records[Class], dAirSpec[ID], dAirSpec[Spec])</f>
        <v>100</v>
      </c>
      <c r="AA483" s="45" t="str">
        <f t="array" ref="AA483">_xlfn.XLOOKUP(records[Method]&amp;"-"&amp;records[Class], dAirSpec[ID], dAirSpec[Unit])</f>
        <v>cfu/plate</v>
      </c>
      <c r="AB483" s="58">
        <f t="array" ref="AB483">if(S483="","", if(records[Method]="Active Air",_xlfn.xlookup(records[ColonyCount]&amp;records[AirSampler],feller[code],feller[Vc]),records[ColonyCount]))</f>
        <v>0</v>
      </c>
      <c r="AC483" s="60" t="b">
        <f t="shared" si="1"/>
        <v>1</v>
      </c>
      <c r="AD483" s="61" t="b">
        <v>0</v>
      </c>
      <c r="AE483" s="32" t="s">
        <v>235</v>
      </c>
      <c r="AF483" s="46"/>
      <c r="AG483" s="46"/>
      <c r="AH483" s="46"/>
      <c r="AI483" s="46"/>
      <c r="AJ483" s="46"/>
    </row>
    <row r="484" ht="22.5" customHeight="1">
      <c r="A484" s="27">
        <v>46222.0</v>
      </c>
      <c r="B484" s="34" t="str">
        <f t="array" ref="B484">TEXT(A484, "MM-YYYY")</f>
        <v>07-2026</v>
      </c>
      <c r="C484" s="20" t="s">
        <v>241</v>
      </c>
      <c r="D484" s="21" t="s">
        <v>210</v>
      </c>
      <c r="E484" s="36" t="s">
        <v>213</v>
      </c>
      <c r="F484" s="37" t="s">
        <v>65</v>
      </c>
      <c r="G484" s="29" t="b">
        <v>1</v>
      </c>
      <c r="H484" s="36" t="s">
        <v>214</v>
      </c>
      <c r="I484" s="36" t="s">
        <v>215</v>
      </c>
      <c r="J484" s="29"/>
      <c r="K484" s="138"/>
      <c r="L484" s="37" t="s">
        <v>194</v>
      </c>
      <c r="M484" s="37" t="s">
        <v>194</v>
      </c>
      <c r="N484" s="37" t="s">
        <v>194</v>
      </c>
      <c r="O484" s="37" t="s">
        <v>194</v>
      </c>
      <c r="P484" s="37" t="s">
        <v>2271</v>
      </c>
      <c r="Q484" s="37" t="s">
        <v>2272</v>
      </c>
      <c r="R484" s="41">
        <v>46271.0</v>
      </c>
      <c r="S484" s="42">
        <v>1.0</v>
      </c>
      <c r="T484" s="44"/>
      <c r="U484" s="47" t="str">
        <f>IF(records[Type]="Room",records[roomNo],records[roomNo]&amp;"-"&amp;SUBSTITUTE(RIGHT(records[roomNo]&amp;records[Type],2),"-",""))</f>
        <v>10-3-171</v>
      </c>
      <c r="V484" s="47" t="str">
        <f t="array" ref="V484">_xlfn.XLOOKUP(records[ID], dAir[roomNo], dAir[roomName])</f>
        <v>TOOLS WASHING-P</v>
      </c>
      <c r="W484" s="47" t="str">
        <f t="array" ref="W484">_xlfn.XLOOKUP(records[ID], dAir[roomNo], dAir[building])</f>
        <v>Building 10</v>
      </c>
      <c r="X484" s="47" t="str">
        <f t="array" ref="X484">_xlfn.XLOOKUP(records[ID], dAir[roomNo], dAir[floor])</f>
        <v>Floor 3</v>
      </c>
      <c r="Y484" s="45" t="str">
        <f t="array" ref="Y484">_xlfn.XLOOKUP(records[ID], dAir[roomNo], dAir[Class])</f>
        <v>D</v>
      </c>
      <c r="Z484" s="45">
        <f t="array" ref="Z484">_xlfn.XLOOKUP(records[Method]&amp;"-"&amp;records[Class], dAirSpec[ID], dAirSpec[Spec])</f>
        <v>100</v>
      </c>
      <c r="AA484" s="45" t="str">
        <f t="array" ref="AA484">_xlfn.XLOOKUP(records[Method]&amp;"-"&amp;records[Class], dAirSpec[ID], dAirSpec[Unit])</f>
        <v>cfu/plate</v>
      </c>
      <c r="AB484" s="58">
        <f t="array" ref="AB484">if(S484="","", if(records[Method]="Active Air",_xlfn.xlookup(records[ColonyCount]&amp;records[AirSampler],feller[code],feller[Vc]),records[ColonyCount]))</f>
        <v>1</v>
      </c>
      <c r="AC484" s="60" t="b">
        <f t="shared" si="1"/>
        <v>1</v>
      </c>
      <c r="AD484" s="61" t="b">
        <v>0</v>
      </c>
      <c r="AE484" s="32" t="s">
        <v>235</v>
      </c>
      <c r="AF484" s="46"/>
      <c r="AG484" s="46"/>
      <c r="AH484" s="46"/>
      <c r="AI484" s="46"/>
      <c r="AJ484" s="46"/>
    </row>
    <row r="485" ht="22.5" customHeight="1">
      <c r="A485" s="27">
        <v>46222.0</v>
      </c>
      <c r="B485" s="34" t="str">
        <f t="array" ref="B485">TEXT(A485, "MM-YYYY")</f>
        <v>07-2026</v>
      </c>
      <c r="C485" s="20" t="s">
        <v>1310</v>
      </c>
      <c r="D485" s="21" t="s">
        <v>210</v>
      </c>
      <c r="E485" s="36" t="s">
        <v>213</v>
      </c>
      <c r="F485" s="37" t="s">
        <v>65</v>
      </c>
      <c r="G485" s="29" t="b">
        <v>1</v>
      </c>
      <c r="H485" s="36" t="s">
        <v>214</v>
      </c>
      <c r="I485" s="36" t="s">
        <v>215</v>
      </c>
      <c r="J485" s="29"/>
      <c r="K485" s="138"/>
      <c r="L485" s="37" t="s">
        <v>194</v>
      </c>
      <c r="M485" s="37" t="s">
        <v>194</v>
      </c>
      <c r="N485" s="37" t="s">
        <v>194</v>
      </c>
      <c r="O485" s="37" t="s">
        <v>194</v>
      </c>
      <c r="P485" s="37" t="s">
        <v>2271</v>
      </c>
      <c r="Q485" s="37" t="s">
        <v>2272</v>
      </c>
      <c r="R485" s="41">
        <v>46271.0</v>
      </c>
      <c r="S485" s="42">
        <v>0.0</v>
      </c>
      <c r="T485" s="44"/>
      <c r="U485" s="47" t="str">
        <f>IF(records[Type]="Room",records[roomNo],records[roomNo]&amp;"-"&amp;SUBSTITUTE(RIGHT(records[roomNo]&amp;records[Type],2),"-",""))</f>
        <v>10-3-172</v>
      </c>
      <c r="V485" s="47" t="str">
        <f t="array" ref="V485">_xlfn.XLOOKUP(records[ID], dAir[roomNo], dAir[roomName])</f>
        <v>AIRLOCK-P</v>
      </c>
      <c r="W485" s="47" t="str">
        <f t="array" ref="W485">_xlfn.XLOOKUP(records[ID], dAir[roomNo], dAir[building])</f>
        <v>Building 10</v>
      </c>
      <c r="X485" s="47" t="str">
        <f t="array" ref="X485">_xlfn.XLOOKUP(records[ID], dAir[roomNo], dAir[floor])</f>
        <v>Floor 3</v>
      </c>
      <c r="Y485" s="45" t="str">
        <f t="array" ref="Y485">_xlfn.XLOOKUP(records[ID], dAir[roomNo], dAir[Class])</f>
        <v>D</v>
      </c>
      <c r="Z485" s="45">
        <f t="array" ref="Z485">_xlfn.XLOOKUP(records[Method]&amp;"-"&amp;records[Class], dAirSpec[ID], dAirSpec[Spec])</f>
        <v>100</v>
      </c>
      <c r="AA485" s="45" t="str">
        <f t="array" ref="AA485">_xlfn.XLOOKUP(records[Method]&amp;"-"&amp;records[Class], dAirSpec[ID], dAirSpec[Unit])</f>
        <v>cfu/plate</v>
      </c>
      <c r="AB485" s="58">
        <f t="array" ref="AB485">if(S485="","", if(records[Method]="Active Air",_xlfn.xlookup(records[ColonyCount]&amp;records[AirSampler],feller[code],feller[Vc]),records[ColonyCount]))</f>
        <v>0</v>
      </c>
      <c r="AC485" s="60" t="b">
        <f t="shared" si="1"/>
        <v>1</v>
      </c>
      <c r="AD485" s="61" t="b">
        <v>0</v>
      </c>
      <c r="AE485" s="32" t="s">
        <v>235</v>
      </c>
      <c r="AF485" s="46"/>
      <c r="AG485" s="46"/>
      <c r="AH485" s="46"/>
      <c r="AI485" s="46"/>
      <c r="AJ485" s="46"/>
    </row>
    <row r="486" ht="22.5" customHeight="1">
      <c r="A486" s="27">
        <v>46222.0</v>
      </c>
      <c r="B486" s="34" t="str">
        <f t="array" ref="B486">TEXT(A486, "MM-YYYY")</f>
        <v>07-2026</v>
      </c>
      <c r="C486" s="20" t="s">
        <v>1312</v>
      </c>
      <c r="D486" s="21" t="s">
        <v>210</v>
      </c>
      <c r="E486" s="36" t="s">
        <v>213</v>
      </c>
      <c r="F486" s="37" t="s">
        <v>65</v>
      </c>
      <c r="G486" s="29" t="b">
        <v>1</v>
      </c>
      <c r="H486" s="36" t="s">
        <v>214</v>
      </c>
      <c r="I486" s="36" t="s">
        <v>215</v>
      </c>
      <c r="J486" s="29"/>
      <c r="K486" s="138"/>
      <c r="L486" s="37" t="s">
        <v>194</v>
      </c>
      <c r="M486" s="37" t="s">
        <v>194</v>
      </c>
      <c r="N486" s="37" t="s">
        <v>194</v>
      </c>
      <c r="O486" s="37" t="s">
        <v>194</v>
      </c>
      <c r="P486" s="37" t="s">
        <v>2271</v>
      </c>
      <c r="Q486" s="37" t="s">
        <v>2272</v>
      </c>
      <c r="R486" s="41">
        <v>46271.0</v>
      </c>
      <c r="S486" s="42">
        <v>0.0</v>
      </c>
      <c r="T486" s="44"/>
      <c r="U486" s="47" t="str">
        <f>IF(records[Type]="Room",records[roomNo],records[roomNo]&amp;"-"&amp;SUBSTITUTE(RIGHT(records[roomNo]&amp;records[Type],2),"-",""))</f>
        <v>10-3-173</v>
      </c>
      <c r="V486" s="47" t="str">
        <f t="array" ref="V486">_xlfn.XLOOKUP(records[ID], dAir[roomNo], dAir[roomName])</f>
        <v>JANITOR-P</v>
      </c>
      <c r="W486" s="47" t="str">
        <f t="array" ref="W486">_xlfn.XLOOKUP(records[ID], dAir[roomNo], dAir[building])</f>
        <v>Building 10</v>
      </c>
      <c r="X486" s="47" t="str">
        <f t="array" ref="X486">_xlfn.XLOOKUP(records[ID], dAir[roomNo], dAir[floor])</f>
        <v>Floor 3</v>
      </c>
      <c r="Y486" s="45" t="str">
        <f t="array" ref="Y486">_xlfn.XLOOKUP(records[ID], dAir[roomNo], dAir[Class])</f>
        <v>D</v>
      </c>
      <c r="Z486" s="45">
        <f t="array" ref="Z486">_xlfn.XLOOKUP(records[Method]&amp;"-"&amp;records[Class], dAirSpec[ID], dAirSpec[Spec])</f>
        <v>100</v>
      </c>
      <c r="AA486" s="45" t="str">
        <f t="array" ref="AA486">_xlfn.XLOOKUP(records[Method]&amp;"-"&amp;records[Class], dAirSpec[ID], dAirSpec[Unit])</f>
        <v>cfu/plate</v>
      </c>
      <c r="AB486" s="58">
        <f t="array" ref="AB486">if(S486="","", if(records[Method]="Active Air",_xlfn.xlookup(records[ColonyCount]&amp;records[AirSampler],feller[code],feller[Vc]),records[ColonyCount]))</f>
        <v>0</v>
      </c>
      <c r="AC486" s="60" t="b">
        <f t="shared" si="1"/>
        <v>1</v>
      </c>
      <c r="AD486" s="61" t="b">
        <v>0</v>
      </c>
      <c r="AE486" s="32" t="s">
        <v>235</v>
      </c>
      <c r="AF486" s="46"/>
      <c r="AG486" s="46"/>
      <c r="AH486" s="46"/>
      <c r="AI486" s="46"/>
      <c r="AJ486" s="46"/>
    </row>
    <row r="487" ht="22.5" customHeight="1">
      <c r="A487" s="27">
        <v>46222.0</v>
      </c>
      <c r="B487" s="34" t="str">
        <f t="array" ref="B487">TEXT(A487, "MM-YYYY")</f>
        <v>07-2026</v>
      </c>
      <c r="C487" s="20" t="s">
        <v>1313</v>
      </c>
      <c r="D487" s="21" t="s">
        <v>210</v>
      </c>
      <c r="E487" s="36" t="s">
        <v>213</v>
      </c>
      <c r="F487" s="37" t="s">
        <v>65</v>
      </c>
      <c r="G487" s="29" t="b">
        <v>1</v>
      </c>
      <c r="H487" s="36" t="s">
        <v>214</v>
      </c>
      <c r="I487" s="36" t="s">
        <v>215</v>
      </c>
      <c r="J487" s="29"/>
      <c r="K487" s="138"/>
      <c r="L487" s="37" t="s">
        <v>194</v>
      </c>
      <c r="M487" s="37" t="s">
        <v>194</v>
      </c>
      <c r="N487" s="37" t="s">
        <v>194</v>
      </c>
      <c r="O487" s="37" t="s">
        <v>194</v>
      </c>
      <c r="P487" s="37" t="s">
        <v>2271</v>
      </c>
      <c r="Q487" s="37" t="s">
        <v>2272</v>
      </c>
      <c r="R487" s="41">
        <v>46271.0</v>
      </c>
      <c r="S487" s="42">
        <v>0.0</v>
      </c>
      <c r="T487" s="44"/>
      <c r="U487" s="47" t="str">
        <f>IF(records[Type]="Room",records[roomNo],records[roomNo]&amp;"-"&amp;SUBSTITUTE(RIGHT(records[roomNo]&amp;records[Type],2),"-",""))</f>
        <v>10-3-174</v>
      </c>
      <c r="V487" s="47" t="str">
        <f t="array" ref="V487">_xlfn.XLOOKUP(records[ID], dAir[roomNo], dAir[roomName])</f>
        <v>RAW MATERIAL STAGING-P</v>
      </c>
      <c r="W487" s="47" t="str">
        <f t="array" ref="W487">_xlfn.XLOOKUP(records[ID], dAir[roomNo], dAir[building])</f>
        <v>Building 10</v>
      </c>
      <c r="X487" s="47" t="str">
        <f t="array" ref="X487">_xlfn.XLOOKUP(records[ID], dAir[roomNo], dAir[floor])</f>
        <v>Floor 3</v>
      </c>
      <c r="Y487" s="45" t="str">
        <f t="array" ref="Y487">_xlfn.XLOOKUP(records[ID], dAir[roomNo], dAir[Class])</f>
        <v>D</v>
      </c>
      <c r="Z487" s="45">
        <f t="array" ref="Z487">_xlfn.XLOOKUP(records[Method]&amp;"-"&amp;records[Class], dAirSpec[ID], dAirSpec[Spec])</f>
        <v>100</v>
      </c>
      <c r="AA487" s="45" t="str">
        <f t="array" ref="AA487">_xlfn.XLOOKUP(records[Method]&amp;"-"&amp;records[Class], dAirSpec[ID], dAirSpec[Unit])</f>
        <v>cfu/plate</v>
      </c>
      <c r="AB487" s="58">
        <f t="array" ref="AB487">if(S487="","", if(records[Method]="Active Air",_xlfn.xlookup(records[ColonyCount]&amp;records[AirSampler],feller[code],feller[Vc]),records[ColonyCount]))</f>
        <v>0</v>
      </c>
      <c r="AC487" s="60" t="b">
        <f t="shared" si="1"/>
        <v>1</v>
      </c>
      <c r="AD487" s="61" t="b">
        <v>0</v>
      </c>
      <c r="AE487" s="32" t="s">
        <v>235</v>
      </c>
      <c r="AF487" s="46"/>
      <c r="AG487" s="46"/>
      <c r="AH487" s="46"/>
      <c r="AI487" s="46"/>
      <c r="AJ487" s="46"/>
    </row>
    <row r="488" ht="22.5" customHeight="1">
      <c r="A488" s="27">
        <v>46222.0</v>
      </c>
      <c r="B488" s="34" t="str">
        <f t="array" ref="B488">TEXT(A488, "MM-YYYY")</f>
        <v>07-2026</v>
      </c>
      <c r="C488" s="20" t="s">
        <v>246</v>
      </c>
      <c r="D488" s="21" t="s">
        <v>210</v>
      </c>
      <c r="E488" s="36" t="s">
        <v>213</v>
      </c>
      <c r="F488" s="37" t="s">
        <v>65</v>
      </c>
      <c r="G488" s="29" t="b">
        <v>1</v>
      </c>
      <c r="H488" s="36" t="s">
        <v>214</v>
      </c>
      <c r="I488" s="36" t="s">
        <v>215</v>
      </c>
      <c r="J488" s="29"/>
      <c r="K488" s="138"/>
      <c r="L488" s="37" t="s">
        <v>194</v>
      </c>
      <c r="M488" s="37" t="s">
        <v>194</v>
      </c>
      <c r="N488" s="37" t="s">
        <v>194</v>
      </c>
      <c r="O488" s="37" t="s">
        <v>194</v>
      </c>
      <c r="P488" s="37" t="s">
        <v>2271</v>
      </c>
      <c r="Q488" s="37" t="s">
        <v>2272</v>
      </c>
      <c r="R488" s="41">
        <v>46271.0</v>
      </c>
      <c r="S488" s="42">
        <v>0.0</v>
      </c>
      <c r="T488" s="44"/>
      <c r="U488" s="47" t="str">
        <f>IF(records[Type]="Room",records[roomNo],records[roomNo]&amp;"-"&amp;SUBSTITUTE(RIGHT(records[roomNo]&amp;records[Type],2),"-",""))</f>
        <v>10-3-175</v>
      </c>
      <c r="V488" s="47" t="str">
        <f t="array" ref="V488">_xlfn.XLOOKUP(records[ID], dAir[roomNo], dAir[roomName])</f>
        <v>DISPENSING 2-P (DISPENSING ISOLATOR)</v>
      </c>
      <c r="W488" s="47" t="str">
        <f t="array" ref="W488">_xlfn.XLOOKUP(records[ID], dAir[roomNo], dAir[building])</f>
        <v>Building 10</v>
      </c>
      <c r="X488" s="47" t="str">
        <f t="array" ref="X488">_xlfn.XLOOKUP(records[ID], dAir[roomNo], dAir[floor])</f>
        <v>Floor 3</v>
      </c>
      <c r="Y488" s="45" t="str">
        <f t="array" ref="Y488">_xlfn.XLOOKUP(records[ID], dAir[roomNo], dAir[Class])</f>
        <v>D</v>
      </c>
      <c r="Z488" s="45">
        <f t="array" ref="Z488">_xlfn.XLOOKUP(records[Method]&amp;"-"&amp;records[Class], dAirSpec[ID], dAirSpec[Spec])</f>
        <v>100</v>
      </c>
      <c r="AA488" s="45" t="str">
        <f t="array" ref="AA488">_xlfn.XLOOKUP(records[Method]&amp;"-"&amp;records[Class], dAirSpec[ID], dAirSpec[Unit])</f>
        <v>cfu/plate</v>
      </c>
      <c r="AB488" s="58">
        <f t="array" ref="AB488">if(S488="","", if(records[Method]="Active Air",_xlfn.xlookup(records[ColonyCount]&amp;records[AirSampler],feller[code],feller[Vc]),records[ColonyCount]))</f>
        <v>0</v>
      </c>
      <c r="AC488" s="60" t="b">
        <f t="shared" si="1"/>
        <v>1</v>
      </c>
      <c r="AD488" s="61" t="b">
        <v>0</v>
      </c>
      <c r="AE488" s="32" t="s">
        <v>235</v>
      </c>
      <c r="AF488" s="46"/>
      <c r="AG488" s="46"/>
      <c r="AH488" s="46"/>
      <c r="AI488" s="46"/>
      <c r="AJ488" s="46"/>
    </row>
    <row r="489" ht="22.5" customHeight="1">
      <c r="A489" s="27">
        <v>46222.0</v>
      </c>
      <c r="B489" s="34" t="str">
        <f t="array" ref="B489">TEXT(A489, "MM-YYYY")</f>
        <v>07-2026</v>
      </c>
      <c r="C489" s="207" t="s">
        <v>795</v>
      </c>
      <c r="D489" s="206" t="s">
        <v>210</v>
      </c>
      <c r="E489" s="208" t="s">
        <v>213</v>
      </c>
      <c r="F489" s="37"/>
      <c r="G489" s="29" t="b">
        <v>0</v>
      </c>
      <c r="H489" s="36" t="s">
        <v>214</v>
      </c>
      <c r="I489" s="36" t="s">
        <v>215</v>
      </c>
      <c r="J489" s="29"/>
      <c r="K489" s="138"/>
      <c r="L489" s="37" t="s">
        <v>194</v>
      </c>
      <c r="M489" s="37" t="s">
        <v>194</v>
      </c>
      <c r="N489" s="37" t="s">
        <v>194</v>
      </c>
      <c r="O489" s="37" t="s">
        <v>194</v>
      </c>
      <c r="P489" s="37" t="s">
        <v>2271</v>
      </c>
      <c r="Q489" s="37" t="s">
        <v>2272</v>
      </c>
      <c r="R489" s="41">
        <v>46271.0</v>
      </c>
      <c r="S489" s="42">
        <v>3.0</v>
      </c>
      <c r="T489" s="44"/>
      <c r="U489" s="47" t="str">
        <f>IF(records[Type]="Room",records[roomNo],records[roomNo]&amp;"-"&amp;SUBSTITUTE(RIGHT(records[roomNo]&amp;records[Type],2),"-",""))</f>
        <v>12-3-049</v>
      </c>
      <c r="V489" s="47" t="str">
        <f t="array" ref="V489">_xlfn.XLOOKUP(records[ID], dAir[roomNo], dAir[roomName])</f>
        <v>CHANGING ROOM</v>
      </c>
      <c r="W489" s="47" t="str">
        <f t="array" ref="W489">_xlfn.XLOOKUP(records[ID], dAir[roomNo], dAir[building])</f>
        <v>Building 12</v>
      </c>
      <c r="X489" s="47" t="str">
        <f t="array" ref="X489">_xlfn.XLOOKUP(records[ID], dAir[roomNo], dAir[floor])</f>
        <v>Floor 3</v>
      </c>
      <c r="Y489" s="45" t="str">
        <f t="array" ref="Y489">_xlfn.XLOOKUP(records[ID], dAir[roomNo], dAir[Class])</f>
        <v>D</v>
      </c>
      <c r="Z489" s="45">
        <f t="array" ref="Z489">_xlfn.XLOOKUP(records[Method]&amp;"-"&amp;records[Class], dAirSpec[ID], dAirSpec[Spec])</f>
        <v>100</v>
      </c>
      <c r="AA489" s="45" t="str">
        <f t="array" ref="AA489">_xlfn.XLOOKUP(records[Method]&amp;"-"&amp;records[Class], dAirSpec[ID], dAirSpec[Unit])</f>
        <v>cfu/plate</v>
      </c>
      <c r="AB489" s="58">
        <f t="array" ref="AB489">if(S489="","", if(records[Method]="Active Air",_xlfn.xlookup(records[ColonyCount]&amp;records[AirSampler],feller[code],feller[Vc]),records[ColonyCount]))</f>
        <v>3</v>
      </c>
      <c r="AC489" s="60" t="b">
        <f t="shared" si="1"/>
        <v>1</v>
      </c>
      <c r="AD489" s="61" t="b">
        <v>0</v>
      </c>
      <c r="AE489" s="32"/>
      <c r="AF489" s="46"/>
      <c r="AG489" s="46"/>
      <c r="AH489" s="46"/>
      <c r="AI489" s="46"/>
      <c r="AJ489" s="46"/>
    </row>
    <row r="490" ht="22.5" customHeight="1">
      <c r="A490" s="27">
        <v>46222.0</v>
      </c>
      <c r="B490" s="34" t="str">
        <f t="array" ref="B490">TEXT(A490, "MM-YYYY")</f>
        <v>07-2026</v>
      </c>
      <c r="C490" s="65" t="s">
        <v>802</v>
      </c>
      <c r="D490" s="205" t="s">
        <v>210</v>
      </c>
      <c r="E490" s="209" t="s">
        <v>213</v>
      </c>
      <c r="F490" s="37"/>
      <c r="G490" s="29" t="b">
        <v>0</v>
      </c>
      <c r="H490" s="36" t="s">
        <v>214</v>
      </c>
      <c r="I490" s="36" t="s">
        <v>215</v>
      </c>
      <c r="J490" s="29"/>
      <c r="K490" s="138"/>
      <c r="L490" s="37" t="s">
        <v>194</v>
      </c>
      <c r="M490" s="37" t="s">
        <v>194</v>
      </c>
      <c r="N490" s="37" t="s">
        <v>194</v>
      </c>
      <c r="O490" s="37" t="s">
        <v>194</v>
      </c>
      <c r="P490" s="37" t="s">
        <v>2271</v>
      </c>
      <c r="Q490" s="37" t="s">
        <v>2272</v>
      </c>
      <c r="R490" s="41">
        <v>46271.0</v>
      </c>
      <c r="S490" s="42">
        <v>0.0</v>
      </c>
      <c r="T490" s="44"/>
      <c r="U490" s="47" t="str">
        <f>IF(records[Type]="Room",records[roomNo],records[roomNo]&amp;"-"&amp;SUBSTITUTE(RIGHT(records[roomNo]&amp;records[Type],2),"-",""))</f>
        <v>12-3-050</v>
      </c>
      <c r="V490" s="47" t="str">
        <f t="array" ref="V490">_xlfn.XLOOKUP(records[ID], dAir[roomNo], dAir[roomName])</f>
        <v>CORRIDOR</v>
      </c>
      <c r="W490" s="47" t="str">
        <f t="array" ref="W490">_xlfn.XLOOKUP(records[ID], dAir[roomNo], dAir[building])</f>
        <v>Building 12</v>
      </c>
      <c r="X490" s="47" t="str">
        <f t="array" ref="X490">_xlfn.XLOOKUP(records[ID], dAir[roomNo], dAir[floor])</f>
        <v>Floor 3</v>
      </c>
      <c r="Y490" s="45" t="str">
        <f t="array" ref="Y490">_xlfn.XLOOKUP(records[ID], dAir[roomNo], dAir[Class])</f>
        <v>D</v>
      </c>
      <c r="Z490" s="45">
        <f t="array" ref="Z490">_xlfn.XLOOKUP(records[Method]&amp;"-"&amp;records[Class], dAirSpec[ID], dAirSpec[Spec])</f>
        <v>100</v>
      </c>
      <c r="AA490" s="45" t="str">
        <f t="array" ref="AA490">_xlfn.XLOOKUP(records[Method]&amp;"-"&amp;records[Class], dAirSpec[ID], dAirSpec[Unit])</f>
        <v>cfu/plate</v>
      </c>
      <c r="AB490" s="58">
        <f t="array" ref="AB490">if(S490="","", if(records[Method]="Active Air",_xlfn.xlookup(records[ColonyCount]&amp;records[AirSampler],feller[code],feller[Vc]),records[ColonyCount]))</f>
        <v>0</v>
      </c>
      <c r="AC490" s="60" t="b">
        <f t="shared" si="1"/>
        <v>1</v>
      </c>
      <c r="AD490" s="61" t="b">
        <v>0</v>
      </c>
      <c r="AE490" s="32"/>
      <c r="AF490" s="46"/>
      <c r="AG490" s="46"/>
      <c r="AH490" s="46"/>
      <c r="AI490" s="46"/>
      <c r="AJ490" s="46"/>
    </row>
    <row r="491" ht="22.5" customHeight="1">
      <c r="A491" s="27">
        <v>46222.0</v>
      </c>
      <c r="B491" s="34" t="str">
        <f t="array" ref="B491">TEXT(A491, "MM-YYYY")</f>
        <v>07-2026</v>
      </c>
      <c r="C491" s="210" t="s">
        <v>809</v>
      </c>
      <c r="D491" s="206" t="s">
        <v>210</v>
      </c>
      <c r="E491" s="208" t="s">
        <v>213</v>
      </c>
      <c r="F491" s="37"/>
      <c r="G491" s="29" t="b">
        <v>0</v>
      </c>
      <c r="H491" s="36" t="s">
        <v>214</v>
      </c>
      <c r="I491" s="36" t="s">
        <v>215</v>
      </c>
      <c r="J491" s="29"/>
      <c r="K491" s="138"/>
      <c r="L491" s="37" t="s">
        <v>194</v>
      </c>
      <c r="M491" s="37" t="s">
        <v>194</v>
      </c>
      <c r="N491" s="37" t="s">
        <v>194</v>
      </c>
      <c r="O491" s="37" t="s">
        <v>194</v>
      </c>
      <c r="P491" s="37" t="s">
        <v>2271</v>
      </c>
      <c r="Q491" s="37" t="s">
        <v>2272</v>
      </c>
      <c r="R491" s="41">
        <v>46271.0</v>
      </c>
      <c r="S491" s="42">
        <v>0.0</v>
      </c>
      <c r="T491" s="44"/>
      <c r="U491" s="83" t="str">
        <f>IF(records[Type]="Room",records[roomNo],records[roomNo]&amp;"-"&amp;SUBSTITUTE(RIGHT(records[roomNo]&amp;records[Type],2),"-",""))</f>
        <v>12-3-053</v>
      </c>
      <c r="V491" s="47" t="str">
        <f t="array" ref="V491">_xlfn.XLOOKUP(records[ID], dAir[roomNo], dAir[roomName])</f>
        <v>MLT 2</v>
      </c>
      <c r="W491" s="47" t="str">
        <f t="array" ref="W491">_xlfn.XLOOKUP(records[ID], dAir[roomNo], dAir[building])</f>
        <v>Building 12</v>
      </c>
      <c r="X491" s="47" t="str">
        <f t="array" ref="X491">_xlfn.XLOOKUP(records[ID], dAir[roomNo], dAir[floor])</f>
        <v>Floor 3</v>
      </c>
      <c r="Y491" s="45" t="str">
        <f t="array" ref="Y491">_xlfn.XLOOKUP(records[ID], dAir[roomNo], dAir[Class])</f>
        <v>D</v>
      </c>
      <c r="Z491" s="45">
        <f t="array" ref="Z491">_xlfn.XLOOKUP(records[Method]&amp;"-"&amp;records[Class], dAirSpec[ID], dAirSpec[Spec])</f>
        <v>100</v>
      </c>
      <c r="AA491" s="45" t="str">
        <f t="array" ref="AA491">_xlfn.XLOOKUP(records[Method]&amp;"-"&amp;records[Class], dAirSpec[ID], dAirSpec[Unit])</f>
        <v>cfu/plate</v>
      </c>
      <c r="AB491" s="58">
        <f t="array" ref="AB491">if(S491="","", if(records[Method]="Active Air",_xlfn.xlookup(records[ColonyCount]&amp;records[AirSampler],feller[code],feller[Vc]),records[ColonyCount]))</f>
        <v>0</v>
      </c>
      <c r="AC491" s="60" t="b">
        <f t="shared" si="1"/>
        <v>1</v>
      </c>
      <c r="AD491" s="61" t="b">
        <v>0</v>
      </c>
      <c r="AE491" s="32"/>
      <c r="AF491" s="46"/>
      <c r="AG491" s="46"/>
      <c r="AH491" s="46"/>
      <c r="AI491" s="46"/>
      <c r="AJ491" s="46"/>
    </row>
    <row r="492" ht="22.5" customHeight="1">
      <c r="A492" s="27">
        <v>46222.0</v>
      </c>
      <c r="B492" s="34" t="str">
        <f t="array" ref="B492">TEXT(A492, "MM-YYYY")</f>
        <v>07-2026</v>
      </c>
      <c r="C492" s="211" t="s">
        <v>814</v>
      </c>
      <c r="D492" s="205" t="s">
        <v>210</v>
      </c>
      <c r="E492" s="212" t="s">
        <v>531</v>
      </c>
      <c r="F492" s="37" t="s">
        <v>67</v>
      </c>
      <c r="G492" s="29" t="b">
        <v>1</v>
      </c>
      <c r="H492" s="36" t="s">
        <v>214</v>
      </c>
      <c r="I492" s="36" t="s">
        <v>534</v>
      </c>
      <c r="J492" s="29"/>
      <c r="K492" s="138"/>
      <c r="L492" s="37" t="s">
        <v>194</v>
      </c>
      <c r="M492" s="37" t="s">
        <v>194</v>
      </c>
      <c r="N492" s="37" t="s">
        <v>194</v>
      </c>
      <c r="O492" s="37" t="s">
        <v>194</v>
      </c>
      <c r="P492" s="37" t="s">
        <v>2271</v>
      </c>
      <c r="Q492" s="37" t="s">
        <v>2272</v>
      </c>
      <c r="R492" s="41">
        <v>46271.0</v>
      </c>
      <c r="S492" s="42">
        <v>0.0</v>
      </c>
      <c r="T492" s="44"/>
      <c r="U492" s="83" t="str">
        <f>IF(records[Type]="Room",records[roomNo],records[roomNo]&amp;"-"&amp;SUBSTITUTE(RIGHT(records[roomNo]&amp;records[Type],2),"-",""))</f>
        <v>12-3-053-BSC</v>
      </c>
      <c r="V492" s="47" t="str">
        <f t="array" ref="V492">_xlfn.XLOOKUP(records[ID], dAir[roomNo], dAir[roomName])</f>
        <v>MLT 2</v>
      </c>
      <c r="W492" s="47" t="str">
        <f t="array" ref="W492">_xlfn.XLOOKUP(records[ID], dAir[roomNo], dAir[building])</f>
        <v>Building 12</v>
      </c>
      <c r="X492" s="47" t="str">
        <f t="array" ref="X492">_xlfn.XLOOKUP(records[ID], dAir[roomNo], dAir[floor])</f>
        <v>Floor 3</v>
      </c>
      <c r="Y492" s="45" t="str">
        <f t="array" ref="Y492">_xlfn.XLOOKUP(records[ID], dAir[roomNo], dAir[Class])</f>
        <v>A</v>
      </c>
      <c r="Z492" s="45">
        <f t="array" ref="Z492">_xlfn.XLOOKUP(records[Method]&amp;"-"&amp;records[Class], dAirSpec[ID], dAirSpec[Spec])</f>
        <v>0</v>
      </c>
      <c r="AA492" s="45" t="str">
        <f t="array" ref="AA492">_xlfn.XLOOKUP(records[Method]&amp;"-"&amp;records[Class], dAirSpec[ID], dAirSpec[Unit])</f>
        <v>cfu/m3</v>
      </c>
      <c r="AB492" s="45">
        <f t="array" ref="AB492">if(S492="","", if(records[Method]="Active Air",_xlfn.xlookup(records[ColonyCount]&amp;records[AirSampler],feller[code],feller[Vc]),records[ColonyCount]))</f>
        <v>0</v>
      </c>
      <c r="AC492" s="60" t="b">
        <f t="shared" si="1"/>
        <v>1</v>
      </c>
      <c r="AD492" s="61" t="b">
        <v>0</v>
      </c>
      <c r="AE492" s="32" t="s">
        <v>235</v>
      </c>
      <c r="AF492" s="46"/>
      <c r="AG492" s="46"/>
      <c r="AH492" s="46"/>
      <c r="AI492" s="46"/>
      <c r="AJ492" s="46"/>
    </row>
    <row r="493" ht="22.5" customHeight="1">
      <c r="A493" s="27">
        <v>46222.0</v>
      </c>
      <c r="B493" s="34" t="str">
        <f t="array" ref="B493">TEXT(A493, "MM-YYYY")</f>
        <v>07-2026</v>
      </c>
      <c r="C493" s="207" t="s">
        <v>821</v>
      </c>
      <c r="D493" s="206" t="s">
        <v>210</v>
      </c>
      <c r="E493" s="208" t="s">
        <v>213</v>
      </c>
      <c r="F493" s="37"/>
      <c r="G493" s="29" t="b">
        <v>0</v>
      </c>
      <c r="H493" s="36" t="s">
        <v>214</v>
      </c>
      <c r="I493" s="36" t="s">
        <v>215</v>
      </c>
      <c r="J493" s="29"/>
      <c r="K493" s="138"/>
      <c r="L493" s="37" t="s">
        <v>194</v>
      </c>
      <c r="M493" s="37" t="s">
        <v>194</v>
      </c>
      <c r="N493" s="37" t="s">
        <v>194</v>
      </c>
      <c r="O493" s="37" t="s">
        <v>194</v>
      </c>
      <c r="P493" s="37" t="s">
        <v>2271</v>
      </c>
      <c r="Q493" s="37" t="s">
        <v>2272</v>
      </c>
      <c r="R493" s="41">
        <v>46271.0</v>
      </c>
      <c r="S493" s="42">
        <v>2.0</v>
      </c>
      <c r="T493" s="44"/>
      <c r="U493" s="47" t="str">
        <f>IF(records[Type]="Room",records[roomNo],records[roomNo]&amp;"-"&amp;SUBSTITUTE(RIGHT(records[roomNo]&amp;records[Type],2),"-",""))</f>
        <v>12-3-054</v>
      </c>
      <c r="V493" s="47" t="str">
        <f t="array" ref="V493">_xlfn.XLOOKUP(records[ID], dAir[roomNo], dAir[roomName])</f>
        <v>MLT 3</v>
      </c>
      <c r="W493" s="47" t="str">
        <f t="array" ref="W493">_xlfn.XLOOKUP(records[ID], dAir[roomNo], dAir[building])</f>
        <v>Building 12</v>
      </c>
      <c r="X493" s="47" t="str">
        <f t="array" ref="X493">_xlfn.XLOOKUP(records[ID], dAir[roomNo], dAir[floor])</f>
        <v>Floor 3</v>
      </c>
      <c r="Y493" s="45" t="str">
        <f t="array" ref="Y493">_xlfn.XLOOKUP(records[ID], dAir[roomNo], dAir[Class])</f>
        <v>D</v>
      </c>
      <c r="Z493" s="45">
        <f t="array" ref="Z493">_xlfn.XLOOKUP(records[Method]&amp;"-"&amp;records[Class], dAirSpec[ID], dAirSpec[Spec])</f>
        <v>100</v>
      </c>
      <c r="AA493" s="45" t="str">
        <f t="array" ref="AA493">_xlfn.XLOOKUP(records[Method]&amp;"-"&amp;records[Class], dAirSpec[ID], dAirSpec[Unit])</f>
        <v>cfu/plate</v>
      </c>
      <c r="AB493" s="58">
        <f t="array" ref="AB493">if(S493="","", if(records[Method]="Active Air",_xlfn.xlookup(records[ColonyCount]&amp;records[AirSampler],feller[code],feller[Vc]),records[ColonyCount]))</f>
        <v>2</v>
      </c>
      <c r="AC493" s="60" t="b">
        <f t="shared" si="1"/>
        <v>1</v>
      </c>
      <c r="AD493" s="61" t="b">
        <v>0</v>
      </c>
      <c r="AE493" s="32"/>
      <c r="AF493" s="46"/>
      <c r="AG493" s="46"/>
      <c r="AH493" s="46"/>
      <c r="AI493" s="46"/>
      <c r="AJ493" s="46"/>
    </row>
    <row r="494" ht="22.5" customHeight="1">
      <c r="A494" s="27">
        <v>46222.0</v>
      </c>
      <c r="B494" s="34" t="str">
        <f t="array" ref="B494">TEXT(A494, "MM-YYYY")</f>
        <v>07-2026</v>
      </c>
      <c r="C494" s="65" t="s">
        <v>825</v>
      </c>
      <c r="D494" s="205" t="s">
        <v>210</v>
      </c>
      <c r="E494" s="212" t="s">
        <v>531</v>
      </c>
      <c r="F494" s="37" t="s">
        <v>67</v>
      </c>
      <c r="G494" s="29" t="b">
        <v>1</v>
      </c>
      <c r="H494" s="36" t="s">
        <v>214</v>
      </c>
      <c r="I494" s="36" t="s">
        <v>534</v>
      </c>
      <c r="J494" s="29"/>
      <c r="K494" s="138"/>
      <c r="L494" s="37" t="s">
        <v>194</v>
      </c>
      <c r="M494" s="37" t="s">
        <v>194</v>
      </c>
      <c r="N494" s="37" t="s">
        <v>194</v>
      </c>
      <c r="O494" s="37" t="s">
        <v>194</v>
      </c>
      <c r="P494" s="37" t="s">
        <v>2271</v>
      </c>
      <c r="Q494" s="37" t="s">
        <v>2272</v>
      </c>
      <c r="R494" s="41">
        <v>46271.0</v>
      </c>
      <c r="S494" s="42">
        <v>0.0</v>
      </c>
      <c r="T494" s="44"/>
      <c r="U494" s="47" t="str">
        <f>IF(records[Type]="Room",records[roomNo],records[roomNo]&amp;"-"&amp;SUBSTITUTE(RIGHT(records[roomNo]&amp;records[Type],2),"-",""))</f>
        <v>12-3-054-BSC</v>
      </c>
      <c r="V494" s="47" t="str">
        <f t="array" ref="V494">_xlfn.XLOOKUP(records[ID], dAir[roomNo], dAir[roomName])</f>
        <v>MLT 3</v>
      </c>
      <c r="W494" s="47" t="str">
        <f t="array" ref="W494">_xlfn.XLOOKUP(records[ID], dAir[roomNo], dAir[building])</f>
        <v>Building 12</v>
      </c>
      <c r="X494" s="47" t="str">
        <f t="array" ref="X494">_xlfn.XLOOKUP(records[ID], dAir[roomNo], dAir[floor])</f>
        <v>Floor 3</v>
      </c>
      <c r="Y494" s="45" t="str">
        <f t="array" ref="Y494">_xlfn.XLOOKUP(records[ID], dAir[roomNo], dAir[Class])</f>
        <v>A</v>
      </c>
      <c r="Z494" s="45">
        <f t="array" ref="Z494">_xlfn.XLOOKUP(records[Method]&amp;"-"&amp;records[Class], dAirSpec[ID], dAirSpec[Spec])</f>
        <v>0</v>
      </c>
      <c r="AA494" s="45" t="str">
        <f t="array" ref="AA494">_xlfn.XLOOKUP(records[Method]&amp;"-"&amp;records[Class], dAirSpec[ID], dAirSpec[Unit])</f>
        <v>cfu/m3</v>
      </c>
      <c r="AB494" s="45">
        <f t="array" ref="AB494">if(S494="","", if(records[Method]="Active Air",_xlfn.xlookup(records[ColonyCount]&amp;records[AirSampler],feller[code],feller[Vc]),records[ColonyCount]))</f>
        <v>0</v>
      </c>
      <c r="AC494" s="60" t="b">
        <f t="shared" si="1"/>
        <v>1</v>
      </c>
      <c r="AD494" s="61" t="b">
        <v>0</v>
      </c>
      <c r="AE494" s="32" t="s">
        <v>235</v>
      </c>
      <c r="AF494" s="46"/>
      <c r="AG494" s="46"/>
      <c r="AH494" s="46"/>
      <c r="AI494" s="46"/>
      <c r="AJ494" s="46"/>
    </row>
    <row r="495" ht="22.5" customHeight="1">
      <c r="A495" s="27">
        <v>46222.0</v>
      </c>
      <c r="B495" s="34" t="str">
        <f t="array" ref="B495">TEXT(A495, "MM-YYYY")</f>
        <v>07-2026</v>
      </c>
      <c r="C495" s="207" t="s">
        <v>831</v>
      </c>
      <c r="D495" s="206" t="s">
        <v>210</v>
      </c>
      <c r="E495" s="208" t="s">
        <v>213</v>
      </c>
      <c r="F495" s="37"/>
      <c r="G495" s="29" t="b">
        <v>0</v>
      </c>
      <c r="H495" s="36" t="s">
        <v>214</v>
      </c>
      <c r="I495" s="36" t="s">
        <v>215</v>
      </c>
      <c r="J495" s="29"/>
      <c r="K495" s="138"/>
      <c r="L495" s="37" t="s">
        <v>194</v>
      </c>
      <c r="M495" s="37" t="s">
        <v>194</v>
      </c>
      <c r="N495" s="37" t="s">
        <v>194</v>
      </c>
      <c r="O495" s="37" t="s">
        <v>194</v>
      </c>
      <c r="P495" s="37" t="s">
        <v>2271</v>
      </c>
      <c r="Q495" s="37" t="s">
        <v>2272</v>
      </c>
      <c r="R495" s="41">
        <v>46271.0</v>
      </c>
      <c r="S495" s="42">
        <v>1.0</v>
      </c>
      <c r="T495" s="44"/>
      <c r="U495" s="47" t="str">
        <f>IF(records[Type]="Room",records[roomNo],records[roomNo]&amp;"-"&amp;SUBSTITUTE(RIGHT(records[roomNo]&amp;records[Type],2),"-",""))</f>
        <v>12-3-055</v>
      </c>
      <c r="V495" s="47" t="str">
        <f t="array" ref="V495">_xlfn.XLOOKUP(records[ID], dAir[roomNo], dAir[roomName])</f>
        <v>SPARE ROOM</v>
      </c>
      <c r="W495" s="47" t="str">
        <f t="array" ref="W495">_xlfn.XLOOKUP(records[ID], dAir[roomNo], dAir[building])</f>
        <v>Building 12</v>
      </c>
      <c r="X495" s="47" t="str">
        <f t="array" ref="X495">_xlfn.XLOOKUP(records[ID], dAir[roomNo], dAir[floor])</f>
        <v>Floor 3</v>
      </c>
      <c r="Y495" s="45" t="str">
        <f t="array" ref="Y495">_xlfn.XLOOKUP(records[ID], dAir[roomNo], dAir[Class])</f>
        <v>D</v>
      </c>
      <c r="Z495" s="45">
        <f t="array" ref="Z495">_xlfn.XLOOKUP(records[Method]&amp;"-"&amp;records[Class], dAirSpec[ID], dAirSpec[Spec])</f>
        <v>100</v>
      </c>
      <c r="AA495" s="45" t="str">
        <f t="array" ref="AA495">_xlfn.XLOOKUP(records[Method]&amp;"-"&amp;records[Class], dAirSpec[ID], dAirSpec[Unit])</f>
        <v>cfu/plate</v>
      </c>
      <c r="AB495" s="58">
        <f t="array" ref="AB495">if(S495="","", if(records[Method]="Active Air",_xlfn.xlookup(records[ColonyCount]&amp;records[AirSampler],feller[code],feller[Vc]),records[ColonyCount]))</f>
        <v>1</v>
      </c>
      <c r="AC495" s="60" t="b">
        <f t="shared" si="1"/>
        <v>1</v>
      </c>
      <c r="AD495" s="61" t="b">
        <v>0</v>
      </c>
      <c r="AE495" s="32"/>
      <c r="AF495" s="46"/>
      <c r="AG495" s="46"/>
      <c r="AH495" s="46"/>
      <c r="AI495" s="46"/>
      <c r="AJ495" s="46"/>
    </row>
    <row r="496" ht="22.5" customHeight="1">
      <c r="A496" s="27">
        <v>46222.0</v>
      </c>
      <c r="B496" s="34" t="str">
        <f t="array" ref="B496">TEXT(A496, "MM-YYYY")</f>
        <v>07-2026</v>
      </c>
      <c r="C496" s="65" t="s">
        <v>831</v>
      </c>
      <c r="D496" s="213" t="s">
        <v>1350</v>
      </c>
      <c r="E496" s="209" t="s">
        <v>213</v>
      </c>
      <c r="F496" s="37"/>
      <c r="G496" s="29" t="b">
        <v>0</v>
      </c>
      <c r="H496" s="36" t="s">
        <v>214</v>
      </c>
      <c r="I496" s="36" t="s">
        <v>215</v>
      </c>
      <c r="J496" s="29"/>
      <c r="K496" s="138"/>
      <c r="L496" s="37" t="s">
        <v>194</v>
      </c>
      <c r="M496" s="37" t="s">
        <v>194</v>
      </c>
      <c r="N496" s="37" t="s">
        <v>194</v>
      </c>
      <c r="O496" s="37" t="s">
        <v>194</v>
      </c>
      <c r="P496" s="37" t="s">
        <v>2271</v>
      </c>
      <c r="Q496" s="37" t="s">
        <v>2272</v>
      </c>
      <c r="R496" s="41">
        <v>46271.0</v>
      </c>
      <c r="S496" s="42">
        <v>0.0</v>
      </c>
      <c r="T496" s="44" t="s">
        <v>1483</v>
      </c>
      <c r="U496" s="45" t="str">
        <f>IF(records[Type]="Room",records[roomNo],records[roomNo]&amp;"-"&amp;SUBSTITUTE(RIGHT(records[roomNo]&amp;records[Type],2),"-",""))</f>
        <v>12-3-055-PB</v>
      </c>
      <c r="V496" s="47" t="str">
        <f t="array" ref="V496">_xlfn.XLOOKUP(records[ID], dAir[roomNo], dAir[roomName])</f>
        <v>#N/A</v>
      </c>
      <c r="W496" s="47" t="str">
        <f t="array" ref="W496">_xlfn.XLOOKUP(records[ID], dAir[roomNo], dAir[building])</f>
        <v>#N/A</v>
      </c>
      <c r="X496" s="47" t="str">
        <f t="array" ref="X496">_xlfn.XLOOKUP(records[ID], dAir[roomNo], dAir[floor])</f>
        <v>#N/A</v>
      </c>
      <c r="Y496" s="45" t="str">
        <f t="array" ref="Y496">_xlfn.XLOOKUP(records[ID], dAir[roomNo], dAir[Class])</f>
        <v>#N/A</v>
      </c>
      <c r="Z496" s="45" t="str">
        <f t="array" ref="Z496">_xlfn.XLOOKUP(records[Method]&amp;"-"&amp;records[Class], dAirSpec[ID], dAirSpec[Spec])</f>
        <v>#N/A</v>
      </c>
      <c r="AA496" s="45" t="str">
        <f t="array" ref="AA496">_xlfn.XLOOKUP(records[Method]&amp;"-"&amp;records[Class], dAirSpec[ID], dAirSpec[Unit])</f>
        <v>#N/A</v>
      </c>
      <c r="AB496" s="58">
        <f t="array" ref="AB496">if(S496="","", if(records[Method]="Active Air",_xlfn.xlookup(records[ColonyCount]&amp;records[AirSampler],feller[code],feller[Vc]),records[ColonyCount]))</f>
        <v>0</v>
      </c>
      <c r="AC496" s="60" t="str">
        <f t="shared" si="1"/>
        <v>#N/A</v>
      </c>
      <c r="AD496" s="61" t="b">
        <v>0</v>
      </c>
      <c r="AE496" s="32"/>
      <c r="AF496" s="46"/>
      <c r="AG496" s="46"/>
      <c r="AH496" s="46"/>
      <c r="AI496" s="46"/>
      <c r="AJ496" s="46"/>
    </row>
    <row r="497" ht="22.5" customHeight="1">
      <c r="A497" s="27">
        <v>46223.0</v>
      </c>
      <c r="B497" s="34" t="str">
        <f t="array" ref="B497">TEXT(A497, "MM-YYYY")</f>
        <v>07-2026</v>
      </c>
      <c r="C497" s="39" t="s">
        <v>753</v>
      </c>
      <c r="D497" s="36" t="s">
        <v>755</v>
      </c>
      <c r="E497" s="36" t="s">
        <v>531</v>
      </c>
      <c r="F497" s="37" t="s">
        <v>69</v>
      </c>
      <c r="G497" s="29" t="b">
        <v>1</v>
      </c>
      <c r="H497" s="36" t="s">
        <v>214</v>
      </c>
      <c r="I497" s="36" t="s">
        <v>534</v>
      </c>
      <c r="J497" s="214" t="s">
        <v>1792</v>
      </c>
      <c r="K497" s="215">
        <v>46472.0</v>
      </c>
      <c r="L497" s="37" t="s">
        <v>458</v>
      </c>
      <c r="M497" s="37" t="s">
        <v>2380</v>
      </c>
      <c r="N497" s="37" t="s">
        <v>194</v>
      </c>
      <c r="O497" s="37" t="s">
        <v>194</v>
      </c>
      <c r="P497" s="37" t="s">
        <v>2271</v>
      </c>
      <c r="Q497" s="37" t="s">
        <v>2272</v>
      </c>
      <c r="R497" s="41">
        <v>46271.0</v>
      </c>
      <c r="S497" s="42">
        <v>0.0</v>
      </c>
      <c r="T497" s="44" t="s">
        <v>755</v>
      </c>
      <c r="U497" s="45" t="str">
        <f>IF(records[Type]="Room",records[roomNo],records[roomNo]&amp;"-"&amp;SUBSTITUTE(RIGHT(records[roomNo]&amp;records[Type],2),"-",""))</f>
        <v>16-1-075-M</v>
      </c>
      <c r="V497" s="47" t="str">
        <f t="array" ref="V497">_xlfn.XLOOKUP(records[ID], dAir[roomNo], dAir[roomName])</f>
        <v>VIALS CAPPING (Machine)</v>
      </c>
      <c r="W497" s="47" t="str">
        <f t="array" ref="W497">_xlfn.XLOOKUP(records[ID], dAir[roomNo], dAir[building])</f>
        <v>Building 16</v>
      </c>
      <c r="X497" s="47" t="str">
        <f t="array" ref="X497">_xlfn.XLOOKUP(records[ID], dAir[roomNo], dAir[floor])</f>
        <v>Floor 1</v>
      </c>
      <c r="Y497" s="45" t="str">
        <f t="array" ref="Y497">_xlfn.XLOOKUP(records[ID], dAir[roomNo], dAir[Class])</f>
        <v>A</v>
      </c>
      <c r="Z497" s="45">
        <f t="array" ref="Z497">_xlfn.XLOOKUP(records[Method]&amp;"-"&amp;records[Class], dAirSpec[ID], dAirSpec[Spec])</f>
        <v>0</v>
      </c>
      <c r="AA497" s="45" t="str">
        <f t="array" ref="AA497">_xlfn.XLOOKUP(records[Method]&amp;"-"&amp;records[Class], dAirSpec[ID], dAirSpec[Unit])</f>
        <v>cfu/m3</v>
      </c>
      <c r="AB497" s="216" t="s">
        <v>1057</v>
      </c>
      <c r="AC497" s="60" t="b">
        <f t="shared" si="1"/>
        <v>0</v>
      </c>
      <c r="AD497" s="61" t="b">
        <v>0</v>
      </c>
      <c r="AE497" s="32" t="s">
        <v>235</v>
      </c>
      <c r="AF497" s="46"/>
      <c r="AG497" s="46"/>
      <c r="AH497" s="46"/>
      <c r="AI497" s="46"/>
      <c r="AJ497" s="46"/>
    </row>
    <row r="498" ht="22.5" customHeight="1">
      <c r="A498" s="27">
        <v>46223.0</v>
      </c>
      <c r="B498" s="34" t="str">
        <f t="array" ref="B498">TEXT(A498, "MM-YYYY")</f>
        <v>07-2026</v>
      </c>
      <c r="C498" s="39" t="s">
        <v>765</v>
      </c>
      <c r="D498" s="36" t="s">
        <v>755</v>
      </c>
      <c r="E498" s="36" t="s">
        <v>531</v>
      </c>
      <c r="F498" s="37" t="s">
        <v>69</v>
      </c>
      <c r="G498" s="29" t="b">
        <v>1</v>
      </c>
      <c r="H498" s="36" t="s">
        <v>214</v>
      </c>
      <c r="I498" s="36" t="s">
        <v>534</v>
      </c>
      <c r="J498" s="214" t="s">
        <v>1792</v>
      </c>
      <c r="K498" s="215">
        <v>46472.0</v>
      </c>
      <c r="L498" s="37" t="s">
        <v>428</v>
      </c>
      <c r="M498" s="37" t="s">
        <v>356</v>
      </c>
      <c r="N498" s="37" t="s">
        <v>194</v>
      </c>
      <c r="O498" s="37" t="s">
        <v>194</v>
      </c>
      <c r="P498" s="37" t="s">
        <v>2271</v>
      </c>
      <c r="Q498" s="37" t="s">
        <v>2272</v>
      </c>
      <c r="R498" s="41">
        <v>46271.0</v>
      </c>
      <c r="S498" s="42">
        <v>0.0</v>
      </c>
      <c r="T498" s="44" t="s">
        <v>755</v>
      </c>
      <c r="U498" s="45" t="str">
        <f>IF(records[Type]="Room",records[roomNo],records[roomNo]&amp;"-"&amp;SUBSTITUTE(RIGHT(records[roomNo]&amp;records[Type],2),"-",""))</f>
        <v>16-1-076-M</v>
      </c>
      <c r="V498" s="47" t="str">
        <f t="array" ref="V498">_xlfn.XLOOKUP(records[ID], dAir[roomNo], dAir[roomName])</f>
        <v>FILLING 2 (Machine)</v>
      </c>
      <c r="W498" s="47" t="str">
        <f t="array" ref="W498">_xlfn.XLOOKUP(records[ID], dAir[roomNo], dAir[building])</f>
        <v>Building 16</v>
      </c>
      <c r="X498" s="47" t="str">
        <f t="array" ref="X498">_xlfn.XLOOKUP(records[ID], dAir[roomNo], dAir[floor])</f>
        <v>Floor 1</v>
      </c>
      <c r="Y498" s="45" t="str">
        <f t="array" ref="Y498">_xlfn.XLOOKUP(records[ID], dAir[roomNo], dAir[Class])</f>
        <v>A</v>
      </c>
      <c r="Z498" s="45">
        <f t="array" ref="Z498">_xlfn.XLOOKUP(records[Method]&amp;"-"&amp;records[Class], dAirSpec[ID], dAirSpec[Spec])</f>
        <v>0</v>
      </c>
      <c r="AA498" s="45" t="str">
        <f t="array" ref="AA498">_xlfn.XLOOKUP(records[Method]&amp;"-"&amp;records[Class], dAirSpec[ID], dAirSpec[Unit])</f>
        <v>cfu/m3</v>
      </c>
      <c r="AB498" s="45">
        <f t="array" ref="AB498">if(S498="","", if(records[Method]="Active Air",_xlfn.xlookup(records[ColonyCount]&amp;records[AirSampler],feller[code],feller[Vc]),records[ColonyCount]))</f>
        <v>0</v>
      </c>
      <c r="AC498" s="60" t="b">
        <f t="shared" si="1"/>
        <v>1</v>
      </c>
      <c r="AD498" s="61" t="b">
        <v>0</v>
      </c>
      <c r="AE498" s="32" t="s">
        <v>235</v>
      </c>
      <c r="AF498" s="46"/>
      <c r="AG498" s="46"/>
      <c r="AH498" s="46"/>
      <c r="AI498" s="46"/>
      <c r="AJ498" s="46"/>
    </row>
    <row r="499" ht="22.5" customHeight="1">
      <c r="A499" s="27">
        <v>46223.0</v>
      </c>
      <c r="B499" s="34" t="str">
        <f t="array" ref="B499">TEXT(A499, "MM-YYYY")</f>
        <v>07-2026</v>
      </c>
      <c r="C499" s="39" t="s">
        <v>765</v>
      </c>
      <c r="D499" s="36" t="s">
        <v>770</v>
      </c>
      <c r="E499" s="36" t="s">
        <v>531</v>
      </c>
      <c r="F499" s="37" t="s">
        <v>69</v>
      </c>
      <c r="G499" s="29" t="b">
        <v>1</v>
      </c>
      <c r="H499" s="36" t="s">
        <v>214</v>
      </c>
      <c r="I499" s="36" t="s">
        <v>534</v>
      </c>
      <c r="J499" s="214" t="s">
        <v>1792</v>
      </c>
      <c r="K499" s="215">
        <v>46472.0</v>
      </c>
      <c r="L499" s="37" t="s">
        <v>428</v>
      </c>
      <c r="M499" s="37" t="s">
        <v>356</v>
      </c>
      <c r="N499" s="37" t="s">
        <v>194</v>
      </c>
      <c r="O499" s="37" t="s">
        <v>194</v>
      </c>
      <c r="P499" s="37" t="s">
        <v>2271</v>
      </c>
      <c r="Q499" s="37" t="s">
        <v>2272</v>
      </c>
      <c r="R499" s="41">
        <v>46271.0</v>
      </c>
      <c r="S499" s="42">
        <v>1.0</v>
      </c>
      <c r="T499" s="44" t="s">
        <v>770</v>
      </c>
      <c r="U499" s="45" t="str">
        <f>IF(records[Type]="Room",records[roomNo],records[roomNo]&amp;"-"&amp;SUBSTITUTE(RIGHT(records[roomNo]&amp;records[Type],2),"-",""))</f>
        <v>16-1-076-L</v>
      </c>
      <c r="V499" s="47" t="str">
        <f t="array" ref="V499">_xlfn.XLOOKUP(records[ID], dAir[roomNo], dAir[roomName])</f>
        <v>FILLING 2 (Laminar)</v>
      </c>
      <c r="W499" s="47" t="str">
        <f t="array" ref="W499">_xlfn.XLOOKUP(records[ID], dAir[roomNo], dAir[building])</f>
        <v>Building 16</v>
      </c>
      <c r="X499" s="47" t="str">
        <f t="array" ref="X499">_xlfn.XLOOKUP(records[ID], dAir[roomNo], dAir[floor])</f>
        <v>Floor 1</v>
      </c>
      <c r="Y499" s="45" t="str">
        <f t="array" ref="Y499">_xlfn.XLOOKUP(records[ID], dAir[roomNo], dAir[Class])</f>
        <v>A</v>
      </c>
      <c r="Z499" s="45">
        <f t="array" ref="Z499">_xlfn.XLOOKUP(records[Method]&amp;"-"&amp;records[Class], dAirSpec[ID], dAirSpec[Spec])</f>
        <v>0</v>
      </c>
      <c r="AA499" s="45" t="str">
        <f t="array" ref="AA499">_xlfn.XLOOKUP(records[Method]&amp;"-"&amp;records[Class], dAirSpec[ID], dAirSpec[Unit])</f>
        <v>cfu/m3</v>
      </c>
      <c r="AB499" s="45">
        <f t="array" ref="AB499">if(S499="","", if(records[Method]="Active Air",_xlfn.xlookup(records[ColonyCount]&amp;records[AirSampler],feller[code],feller[Vc]),records[ColonyCount]))</f>
        <v>1</v>
      </c>
      <c r="AC499" s="60" t="b">
        <f t="shared" si="1"/>
        <v>0</v>
      </c>
      <c r="AD499" s="61" t="b">
        <v>0</v>
      </c>
      <c r="AE499" s="32" t="s">
        <v>235</v>
      </c>
      <c r="AF499" s="46"/>
      <c r="AG499" s="46"/>
      <c r="AH499" s="46"/>
      <c r="AI499" s="46"/>
      <c r="AJ499" s="46"/>
    </row>
    <row r="500" ht="22.5" customHeight="1">
      <c r="A500" s="27">
        <v>46223.0</v>
      </c>
      <c r="B500" s="34" t="str">
        <f t="array" ref="B500">TEXT(A500, "MM-YYYY")</f>
        <v>07-2026</v>
      </c>
      <c r="C500" s="39" t="s">
        <v>774</v>
      </c>
      <c r="D500" s="36" t="s">
        <v>755</v>
      </c>
      <c r="E500" s="36" t="s">
        <v>531</v>
      </c>
      <c r="F500" s="37" t="s">
        <v>69</v>
      </c>
      <c r="G500" s="29" t="b">
        <v>1</v>
      </c>
      <c r="H500" s="36" t="s">
        <v>214</v>
      </c>
      <c r="I500" s="36" t="s">
        <v>534</v>
      </c>
      <c r="J500" s="214" t="s">
        <v>1792</v>
      </c>
      <c r="K500" s="215">
        <v>46472.0</v>
      </c>
      <c r="L500" s="37" t="s">
        <v>546</v>
      </c>
      <c r="M500" s="37" t="s">
        <v>1857</v>
      </c>
      <c r="N500" s="37" t="s">
        <v>194</v>
      </c>
      <c r="O500" s="37" t="s">
        <v>194</v>
      </c>
      <c r="P500" s="37" t="s">
        <v>2271</v>
      </c>
      <c r="Q500" s="37" t="s">
        <v>2272</v>
      </c>
      <c r="R500" s="41">
        <v>46271.0</v>
      </c>
      <c r="S500" s="42">
        <v>0.0</v>
      </c>
      <c r="T500" s="44" t="s">
        <v>755</v>
      </c>
      <c r="U500" s="45" t="str">
        <f>IF(records[Type]="Room",records[roomNo],records[roomNo]&amp;"-"&amp;SUBSTITUTE(RIGHT(records[roomNo]&amp;records[Type],2),"-",""))</f>
        <v>16-1-084-M</v>
      </c>
      <c r="V500" s="47" t="str">
        <f t="array" ref="V500">_xlfn.XLOOKUP(records[ID], dAir[roomNo], dAir[roomName])</f>
        <v>FILLING 1 (Machine)</v>
      </c>
      <c r="W500" s="47" t="str">
        <f t="array" ref="W500">_xlfn.XLOOKUP(records[ID], dAir[roomNo], dAir[building])</f>
        <v>Building 16</v>
      </c>
      <c r="X500" s="47" t="str">
        <f t="array" ref="X500">_xlfn.XLOOKUP(records[ID], dAir[roomNo], dAir[floor])</f>
        <v>Floor 1</v>
      </c>
      <c r="Y500" s="45" t="str">
        <f t="array" ref="Y500">_xlfn.XLOOKUP(records[ID], dAir[roomNo], dAir[Class])</f>
        <v>A</v>
      </c>
      <c r="Z500" s="45">
        <f t="array" ref="Z500">_xlfn.XLOOKUP(records[Method]&amp;"-"&amp;records[Class], dAirSpec[ID], dAirSpec[Spec])</f>
        <v>0</v>
      </c>
      <c r="AA500" s="45" t="str">
        <f t="array" ref="AA500">_xlfn.XLOOKUP(records[Method]&amp;"-"&amp;records[Class], dAirSpec[ID], dAirSpec[Unit])</f>
        <v>cfu/m3</v>
      </c>
      <c r="AB500" s="45">
        <f t="array" ref="AB500">if(S500="","", if(records[Method]="Active Air",_xlfn.xlookup(records[ColonyCount]&amp;records[AirSampler],feller[code],feller[Vc]),records[ColonyCount]))</f>
        <v>0</v>
      </c>
      <c r="AC500" s="60" t="b">
        <f t="shared" si="1"/>
        <v>1</v>
      </c>
      <c r="AD500" s="61" t="b">
        <v>0</v>
      </c>
      <c r="AE500" s="32" t="s">
        <v>235</v>
      </c>
      <c r="AF500" s="46"/>
      <c r="AG500" s="46"/>
      <c r="AH500" s="46"/>
      <c r="AI500" s="46"/>
      <c r="AJ500" s="46"/>
    </row>
    <row r="501" ht="22.5" customHeight="1">
      <c r="A501" s="27">
        <v>46223.0</v>
      </c>
      <c r="B501" s="34" t="str">
        <f t="array" ref="B501">TEXT(A501, "MM-YYYY")</f>
        <v>07-2026</v>
      </c>
      <c r="C501" s="39" t="s">
        <v>774</v>
      </c>
      <c r="D501" s="36" t="s">
        <v>770</v>
      </c>
      <c r="E501" s="36" t="s">
        <v>531</v>
      </c>
      <c r="F501" s="37" t="s">
        <v>69</v>
      </c>
      <c r="G501" s="29" t="b">
        <v>1</v>
      </c>
      <c r="H501" s="36" t="s">
        <v>214</v>
      </c>
      <c r="I501" s="36" t="s">
        <v>534</v>
      </c>
      <c r="J501" s="214" t="s">
        <v>1792</v>
      </c>
      <c r="K501" s="215">
        <v>46472.0</v>
      </c>
      <c r="L501" s="37" t="s">
        <v>546</v>
      </c>
      <c r="M501" s="37" t="s">
        <v>1857</v>
      </c>
      <c r="N501" s="37" t="s">
        <v>194</v>
      </c>
      <c r="O501" s="37" t="s">
        <v>194</v>
      </c>
      <c r="P501" s="37" t="s">
        <v>2271</v>
      </c>
      <c r="Q501" s="37" t="s">
        <v>2272</v>
      </c>
      <c r="R501" s="41">
        <v>46271.0</v>
      </c>
      <c r="S501" s="42">
        <v>0.0</v>
      </c>
      <c r="T501" s="44" t="s">
        <v>770</v>
      </c>
      <c r="U501" s="45" t="str">
        <f>IF(records[Type]="Room",records[roomNo],records[roomNo]&amp;"-"&amp;SUBSTITUTE(RIGHT(records[roomNo]&amp;records[Type],2),"-",""))</f>
        <v>16-1-084-L</v>
      </c>
      <c r="V501" s="47" t="str">
        <f t="array" ref="V501">_xlfn.XLOOKUP(records[ID], dAir[roomNo], dAir[roomName])</f>
        <v>FILLING 1 (Laminar)</v>
      </c>
      <c r="W501" s="47" t="str">
        <f t="array" ref="W501">_xlfn.XLOOKUP(records[ID], dAir[roomNo], dAir[building])</f>
        <v>Building 16</v>
      </c>
      <c r="X501" s="47" t="str">
        <f t="array" ref="X501">_xlfn.XLOOKUP(records[ID], dAir[roomNo], dAir[floor])</f>
        <v>Floor 1</v>
      </c>
      <c r="Y501" s="45" t="str">
        <f t="array" ref="Y501">_xlfn.XLOOKUP(records[ID], dAir[roomNo], dAir[Class])</f>
        <v>A</v>
      </c>
      <c r="Z501" s="45">
        <f t="array" ref="Z501">_xlfn.XLOOKUP(records[Method]&amp;"-"&amp;records[Class], dAirSpec[ID], dAirSpec[Spec])</f>
        <v>0</v>
      </c>
      <c r="AA501" s="45" t="str">
        <f t="array" ref="AA501">_xlfn.XLOOKUP(records[Method]&amp;"-"&amp;records[Class], dAirSpec[ID], dAirSpec[Unit])</f>
        <v>cfu/m3</v>
      </c>
      <c r="AB501" s="45">
        <f t="array" ref="AB501">if(S501="","", if(records[Method]="Active Air",_xlfn.xlookup(records[ColonyCount]&amp;records[AirSampler],feller[code],feller[Vc]),records[ColonyCount]))</f>
        <v>0</v>
      </c>
      <c r="AC501" s="60" t="b">
        <f t="shared" si="1"/>
        <v>1</v>
      </c>
      <c r="AD501" s="61" t="b">
        <v>0</v>
      </c>
      <c r="AE501" s="32" t="s">
        <v>235</v>
      </c>
      <c r="AF501" s="46"/>
      <c r="AG501" s="46"/>
      <c r="AH501" s="46"/>
      <c r="AI501" s="46"/>
      <c r="AJ501" s="46"/>
    </row>
    <row r="502" ht="22.5" customHeight="1">
      <c r="A502" s="27">
        <v>46223.0</v>
      </c>
      <c r="B502" s="34" t="str">
        <f t="array" ref="B502">TEXT(A502, "MM-YYYY")</f>
        <v>07-2026</v>
      </c>
      <c r="C502" s="32" t="s">
        <v>786</v>
      </c>
      <c r="D502" s="21" t="s">
        <v>680</v>
      </c>
      <c r="E502" s="36" t="s">
        <v>531</v>
      </c>
      <c r="F502" s="37" t="s">
        <v>69</v>
      </c>
      <c r="G502" s="29" t="b">
        <v>1</v>
      </c>
      <c r="H502" s="36" t="s">
        <v>214</v>
      </c>
      <c r="I502" s="36" t="s">
        <v>534</v>
      </c>
      <c r="J502" s="214" t="s">
        <v>1792</v>
      </c>
      <c r="K502" s="215">
        <v>46472.0</v>
      </c>
      <c r="L502" s="37" t="s">
        <v>326</v>
      </c>
      <c r="M502" s="37" t="s">
        <v>345</v>
      </c>
      <c r="N502" s="37" t="s">
        <v>194</v>
      </c>
      <c r="O502" s="37" t="s">
        <v>194</v>
      </c>
      <c r="P502" s="37" t="s">
        <v>2271</v>
      </c>
      <c r="Q502" s="37" t="s">
        <v>2272</v>
      </c>
      <c r="R502" s="41">
        <v>46271.0</v>
      </c>
      <c r="S502" s="42">
        <v>0.0</v>
      </c>
      <c r="T502" s="44" t="s">
        <v>680</v>
      </c>
      <c r="U502" s="45" t="str">
        <f>IF(records[Type]="Room",records[roomNo],records[roomNo]&amp;"-"&amp;SUBSTITUTE(RIGHT(records[roomNo]&amp;records[Type],2),"-",""))</f>
        <v>16-1-102-B</v>
      </c>
      <c r="V502" s="47" t="str">
        <f t="array" ref="V502">_xlfn.XLOOKUP(records[ID], dAir[roomNo], dAir[roomName])</f>
        <v>DISPENSING (Booth)</v>
      </c>
      <c r="W502" s="47" t="str">
        <f t="array" ref="W502">_xlfn.XLOOKUP(records[ID], dAir[roomNo], dAir[building])</f>
        <v>Building 16</v>
      </c>
      <c r="X502" s="47" t="str">
        <f t="array" ref="X502">_xlfn.XLOOKUP(records[ID], dAir[roomNo], dAir[floor])</f>
        <v>Floor 1</v>
      </c>
      <c r="Y502" s="45" t="str">
        <f t="array" ref="Y502">_xlfn.XLOOKUP(records[ID], dAir[roomNo], dAir[Class])</f>
        <v>A</v>
      </c>
      <c r="Z502" s="45">
        <f t="array" ref="Z502">_xlfn.XLOOKUP(records[Method]&amp;"-"&amp;records[Class], dAirSpec[ID], dAirSpec[Spec])</f>
        <v>0</v>
      </c>
      <c r="AA502" s="45" t="str">
        <f t="array" ref="AA502">_xlfn.XLOOKUP(records[Method]&amp;"-"&amp;records[Class], dAirSpec[ID], dAirSpec[Unit])</f>
        <v>cfu/m3</v>
      </c>
      <c r="AB502" s="45">
        <f t="array" ref="AB502">if(S502="","", if(records[Method]="Active Air",_xlfn.xlookup(records[ColonyCount]&amp;records[AirSampler],feller[code],feller[Vc]),records[ColonyCount]))</f>
        <v>0</v>
      </c>
      <c r="AC502" s="60" t="b">
        <f t="shared" si="1"/>
        <v>1</v>
      </c>
      <c r="AD502" s="61" t="b">
        <v>0</v>
      </c>
      <c r="AE502" s="32" t="s">
        <v>235</v>
      </c>
      <c r="AF502" s="46"/>
      <c r="AG502" s="46"/>
      <c r="AH502" s="46"/>
      <c r="AI502" s="46"/>
      <c r="AJ502" s="46"/>
    </row>
    <row r="503" ht="22.5" customHeight="1">
      <c r="A503" s="27">
        <v>46226.0</v>
      </c>
      <c r="B503" s="34" t="str">
        <f t="array" ref="B503">TEXT(A503, "MM-YYYY")</f>
        <v>07-2026</v>
      </c>
      <c r="C503" s="20" t="s">
        <v>1178</v>
      </c>
      <c r="D503" s="21" t="s">
        <v>210</v>
      </c>
      <c r="E503" s="36" t="s">
        <v>213</v>
      </c>
      <c r="F503" s="37" t="s">
        <v>74</v>
      </c>
      <c r="G503" s="29" t="b">
        <v>1</v>
      </c>
      <c r="H503" s="36" t="s">
        <v>2240</v>
      </c>
      <c r="I503" s="36" t="s">
        <v>215</v>
      </c>
      <c r="J503" s="214" t="s">
        <v>1792</v>
      </c>
      <c r="K503" s="215">
        <v>46472.0</v>
      </c>
      <c r="L503" s="37" t="s">
        <v>194</v>
      </c>
      <c r="M503" s="37" t="s">
        <v>194</v>
      </c>
      <c r="N503" s="37" t="s">
        <v>194</v>
      </c>
      <c r="O503" s="37" t="s">
        <v>194</v>
      </c>
      <c r="P503" s="37" t="s">
        <v>2271</v>
      </c>
      <c r="Q503" s="37" t="s">
        <v>2272</v>
      </c>
      <c r="R503" s="41">
        <v>46271.0</v>
      </c>
      <c r="S503" s="42">
        <v>0.0</v>
      </c>
      <c r="T503" s="44"/>
      <c r="U503" s="47" t="str">
        <f>IF(records[Type]="Room",records[roomNo],records[roomNo]&amp;"-"&amp;SUBSTITUTE(RIGHT(records[roomNo]&amp;records[Type],2),"-",""))</f>
        <v>10-3-084</v>
      </c>
      <c r="V503" s="47" t="str">
        <f t="array" ref="V503">_xlfn.XLOOKUP(records[ID], dAir[roomNo], dAir[roomName])</f>
        <v>CLEANED TOOLS</v>
      </c>
      <c r="W503" s="47" t="str">
        <f t="array" ref="W503">_xlfn.XLOOKUP(records[ID], dAir[roomNo], dAir[building])</f>
        <v>Building 10</v>
      </c>
      <c r="X503" s="47" t="str">
        <f t="array" ref="X503">_xlfn.XLOOKUP(records[ID], dAir[roomNo], dAir[floor])</f>
        <v>Floor 3</v>
      </c>
      <c r="Y503" s="45" t="str">
        <f t="array" ref="Y503">_xlfn.XLOOKUP(records[ID], dAir[roomNo], dAir[Class])</f>
        <v>D</v>
      </c>
      <c r="Z503" s="45">
        <f t="array" ref="Z503">_xlfn.XLOOKUP(records[Method]&amp;"-"&amp;records[Class], dAirSpec[ID], dAirSpec[Spec])</f>
        <v>100</v>
      </c>
      <c r="AA503" s="45" t="str">
        <f t="array" ref="AA503">_xlfn.XLOOKUP(records[Method]&amp;"-"&amp;records[Class], dAirSpec[ID], dAirSpec[Unit])</f>
        <v>cfu/plate</v>
      </c>
      <c r="AB503" s="58">
        <f t="array" ref="AB503">if(S503="","", if(records[Method]="Active Air",_xlfn.xlookup(records[ColonyCount]&amp;records[AirSampler],feller[code],feller[Vc]),records[ColonyCount]))</f>
        <v>0</v>
      </c>
      <c r="AC503" s="60" t="b">
        <f t="shared" si="1"/>
        <v>1</v>
      </c>
      <c r="AD503" s="61" t="b">
        <v>0</v>
      </c>
      <c r="AE503" s="32" t="s">
        <v>235</v>
      </c>
      <c r="AF503" s="46"/>
      <c r="AG503" s="46"/>
      <c r="AH503" s="46"/>
      <c r="AI503" s="46"/>
      <c r="AJ503" s="46"/>
    </row>
    <row r="504" ht="22.5" customHeight="1">
      <c r="A504" s="27">
        <v>46229.0</v>
      </c>
      <c r="B504" s="34" t="str">
        <f t="array" ref="B504">TEXT(A504, "MM-YYYY")</f>
        <v>07-2026</v>
      </c>
      <c r="C504" s="65" t="s">
        <v>795</v>
      </c>
      <c r="D504" s="217" t="s">
        <v>210</v>
      </c>
      <c r="E504" s="218" t="s">
        <v>213</v>
      </c>
      <c r="F504" s="37"/>
      <c r="G504" s="29" t="b">
        <v>0</v>
      </c>
      <c r="H504" s="36" t="s">
        <v>214</v>
      </c>
      <c r="I504" s="36" t="s">
        <v>215</v>
      </c>
      <c r="J504" s="214"/>
      <c r="K504" s="215"/>
      <c r="L504" s="37" t="s">
        <v>194</v>
      </c>
      <c r="M504" s="37" t="s">
        <v>194</v>
      </c>
      <c r="N504" s="37" t="s">
        <v>194</v>
      </c>
      <c r="O504" s="37" t="s">
        <v>194</v>
      </c>
      <c r="P504" s="37" t="s">
        <v>2271</v>
      </c>
      <c r="Q504" s="37" t="s">
        <v>2272</v>
      </c>
      <c r="R504" s="41">
        <v>46271.0</v>
      </c>
      <c r="S504" s="42">
        <v>0.0</v>
      </c>
      <c r="T504" s="44"/>
      <c r="U504" s="47" t="str">
        <f>IF(records[Type]="Room",records[roomNo],records[roomNo]&amp;"-"&amp;SUBSTITUTE(RIGHT(records[roomNo]&amp;records[Type],2),"-",""))</f>
        <v>12-3-049</v>
      </c>
      <c r="V504" s="47" t="str">
        <f t="array" ref="V504">_xlfn.XLOOKUP(records[ID], dAir[roomNo], dAir[roomName])</f>
        <v>CHANGING ROOM</v>
      </c>
      <c r="W504" s="47" t="str">
        <f t="array" ref="W504">_xlfn.XLOOKUP(records[ID], dAir[roomNo], dAir[building])</f>
        <v>Building 12</v>
      </c>
      <c r="X504" s="47" t="str">
        <f t="array" ref="X504">_xlfn.XLOOKUP(records[ID], dAir[roomNo], dAir[floor])</f>
        <v>Floor 3</v>
      </c>
      <c r="Y504" s="45" t="str">
        <f t="array" ref="Y504">_xlfn.XLOOKUP(records[ID], dAir[roomNo], dAir[Class])</f>
        <v>D</v>
      </c>
      <c r="Z504" s="45">
        <f t="array" ref="Z504">_xlfn.XLOOKUP(records[Method]&amp;"-"&amp;records[Class], dAirSpec[ID], dAirSpec[Spec])</f>
        <v>100</v>
      </c>
      <c r="AA504" s="45" t="str">
        <f t="array" ref="AA504">_xlfn.XLOOKUP(records[Method]&amp;"-"&amp;records[Class], dAirSpec[ID], dAirSpec[Unit])</f>
        <v>cfu/plate</v>
      </c>
      <c r="AB504" s="58">
        <f t="array" ref="AB504">if(S504="","", if(records[Method]="Active Air",_xlfn.xlookup(records[ColonyCount]&amp;records[AirSampler],feller[code],feller[Vc]),records[ColonyCount]))</f>
        <v>0</v>
      </c>
      <c r="AC504" s="60" t="b">
        <f t="shared" si="1"/>
        <v>1</v>
      </c>
      <c r="AD504" s="61" t="b">
        <v>0</v>
      </c>
      <c r="AE504" s="32"/>
      <c r="AF504" s="46"/>
      <c r="AG504" s="46"/>
      <c r="AH504" s="46"/>
      <c r="AI504" s="46"/>
      <c r="AJ504" s="46"/>
    </row>
    <row r="505" ht="22.5" customHeight="1">
      <c r="A505" s="27">
        <v>46229.0</v>
      </c>
      <c r="B505" s="34" t="str">
        <f t="array" ref="B505">TEXT(A505, "MM-YYYY")</f>
        <v>07-2026</v>
      </c>
      <c r="C505" s="207" t="s">
        <v>802</v>
      </c>
      <c r="D505" s="219" t="s">
        <v>210</v>
      </c>
      <c r="E505" s="220" t="s">
        <v>213</v>
      </c>
      <c r="F505" s="37"/>
      <c r="G505" s="29" t="b">
        <v>0</v>
      </c>
      <c r="H505" s="36" t="s">
        <v>214</v>
      </c>
      <c r="I505" s="36" t="s">
        <v>215</v>
      </c>
      <c r="J505" s="214"/>
      <c r="K505" s="215"/>
      <c r="L505" s="37" t="s">
        <v>194</v>
      </c>
      <c r="M505" s="37" t="s">
        <v>194</v>
      </c>
      <c r="N505" s="37" t="s">
        <v>194</v>
      </c>
      <c r="O505" s="37" t="s">
        <v>194</v>
      </c>
      <c r="P505" s="37" t="s">
        <v>2271</v>
      </c>
      <c r="Q505" s="37" t="s">
        <v>2272</v>
      </c>
      <c r="R505" s="41">
        <v>46271.0</v>
      </c>
      <c r="S505" s="42">
        <v>5.0</v>
      </c>
      <c r="T505" s="44"/>
      <c r="U505" s="47" t="str">
        <f>IF(records[Type]="Room",records[roomNo],records[roomNo]&amp;"-"&amp;SUBSTITUTE(RIGHT(records[roomNo]&amp;records[Type],2),"-",""))</f>
        <v>12-3-050</v>
      </c>
      <c r="V505" s="47" t="str">
        <f t="array" ref="V505">_xlfn.XLOOKUP(records[ID], dAir[roomNo], dAir[roomName])</f>
        <v>CORRIDOR</v>
      </c>
      <c r="W505" s="47" t="str">
        <f t="array" ref="W505">_xlfn.XLOOKUP(records[ID], dAir[roomNo], dAir[building])</f>
        <v>Building 12</v>
      </c>
      <c r="X505" s="47" t="str">
        <f t="array" ref="X505">_xlfn.XLOOKUP(records[ID], dAir[roomNo], dAir[floor])</f>
        <v>Floor 3</v>
      </c>
      <c r="Y505" s="45" t="str">
        <f t="array" ref="Y505">_xlfn.XLOOKUP(records[ID], dAir[roomNo], dAir[Class])</f>
        <v>D</v>
      </c>
      <c r="Z505" s="45">
        <f t="array" ref="Z505">_xlfn.XLOOKUP(records[Method]&amp;"-"&amp;records[Class], dAirSpec[ID], dAirSpec[Spec])</f>
        <v>100</v>
      </c>
      <c r="AA505" s="45" t="str">
        <f t="array" ref="AA505">_xlfn.XLOOKUP(records[Method]&amp;"-"&amp;records[Class], dAirSpec[ID], dAirSpec[Unit])</f>
        <v>cfu/plate</v>
      </c>
      <c r="AB505" s="58">
        <f t="array" ref="AB505">if(S505="","", if(records[Method]="Active Air",_xlfn.xlookup(records[ColonyCount]&amp;records[AirSampler],feller[code],feller[Vc]),records[ColonyCount]))</f>
        <v>5</v>
      </c>
      <c r="AC505" s="60" t="b">
        <f t="shared" si="1"/>
        <v>1</v>
      </c>
      <c r="AD505" s="61" t="b">
        <v>0</v>
      </c>
      <c r="AE505" s="32"/>
      <c r="AF505" s="46"/>
      <c r="AG505" s="46"/>
      <c r="AH505" s="46"/>
      <c r="AI505" s="46"/>
      <c r="AJ505" s="46"/>
    </row>
    <row r="506" ht="22.5" customHeight="1">
      <c r="A506" s="27">
        <v>46229.0</v>
      </c>
      <c r="B506" s="34" t="str">
        <f t="array" ref="B506">TEXT(A506, "MM-YYYY")</f>
        <v>07-2026</v>
      </c>
      <c r="C506" s="211" t="s">
        <v>809</v>
      </c>
      <c r="D506" s="217" t="s">
        <v>210</v>
      </c>
      <c r="E506" s="218" t="s">
        <v>213</v>
      </c>
      <c r="F506" s="37"/>
      <c r="G506" s="29" t="b">
        <v>0</v>
      </c>
      <c r="H506" s="36" t="s">
        <v>214</v>
      </c>
      <c r="I506" s="36" t="s">
        <v>215</v>
      </c>
      <c r="J506" s="214"/>
      <c r="K506" s="215"/>
      <c r="L506" s="37" t="s">
        <v>194</v>
      </c>
      <c r="M506" s="37" t="s">
        <v>194</v>
      </c>
      <c r="N506" s="37" t="s">
        <v>194</v>
      </c>
      <c r="O506" s="37" t="s">
        <v>194</v>
      </c>
      <c r="P506" s="37" t="s">
        <v>2271</v>
      </c>
      <c r="Q506" s="37" t="s">
        <v>2272</v>
      </c>
      <c r="R506" s="41">
        <v>46271.0</v>
      </c>
      <c r="S506" s="42">
        <v>1.0</v>
      </c>
      <c r="T506" s="44"/>
      <c r="U506" s="83" t="str">
        <f>IF(records[Type]="Room",records[roomNo],records[roomNo]&amp;"-"&amp;SUBSTITUTE(RIGHT(records[roomNo]&amp;records[Type],2),"-",""))</f>
        <v>12-3-053</v>
      </c>
      <c r="V506" s="47" t="str">
        <f t="array" ref="V506">_xlfn.XLOOKUP(records[ID], dAir[roomNo], dAir[roomName])</f>
        <v>MLT 2</v>
      </c>
      <c r="W506" s="47" t="str">
        <f t="array" ref="W506">_xlfn.XLOOKUP(records[ID], dAir[roomNo], dAir[building])</f>
        <v>Building 12</v>
      </c>
      <c r="X506" s="47" t="str">
        <f t="array" ref="X506">_xlfn.XLOOKUP(records[ID], dAir[roomNo], dAir[floor])</f>
        <v>Floor 3</v>
      </c>
      <c r="Y506" s="45" t="str">
        <f t="array" ref="Y506">_xlfn.XLOOKUP(records[ID], dAir[roomNo], dAir[Class])</f>
        <v>D</v>
      </c>
      <c r="Z506" s="45">
        <f t="array" ref="Z506">_xlfn.XLOOKUP(records[Method]&amp;"-"&amp;records[Class], dAirSpec[ID], dAirSpec[Spec])</f>
        <v>100</v>
      </c>
      <c r="AA506" s="45" t="str">
        <f t="array" ref="AA506">_xlfn.XLOOKUP(records[Method]&amp;"-"&amp;records[Class], dAirSpec[ID], dAirSpec[Unit])</f>
        <v>cfu/plate</v>
      </c>
      <c r="AB506" s="58">
        <f t="array" ref="AB506">if(S506="","", if(records[Method]="Active Air",_xlfn.xlookup(records[ColonyCount]&amp;records[AirSampler],feller[code],feller[Vc]),records[ColonyCount]))</f>
        <v>1</v>
      </c>
      <c r="AC506" s="60" t="b">
        <f t="shared" si="1"/>
        <v>1</v>
      </c>
      <c r="AD506" s="61" t="b">
        <v>0</v>
      </c>
      <c r="AE506" s="32"/>
      <c r="AF506" s="46"/>
      <c r="AG506" s="46"/>
      <c r="AH506" s="46"/>
      <c r="AI506" s="46"/>
      <c r="AJ506" s="46"/>
    </row>
    <row r="507" ht="22.5" customHeight="1">
      <c r="A507" s="27">
        <v>46229.0</v>
      </c>
      <c r="B507" s="34" t="str">
        <f t="array" ref="B507">TEXT(A507, "MM-YYYY")</f>
        <v>07-2026</v>
      </c>
      <c r="C507" s="210" t="s">
        <v>814</v>
      </c>
      <c r="D507" s="219" t="s">
        <v>210</v>
      </c>
      <c r="E507" s="221" t="s">
        <v>531</v>
      </c>
      <c r="F507" s="37" t="s">
        <v>76</v>
      </c>
      <c r="G507" s="29" t="b">
        <v>1</v>
      </c>
      <c r="H507" s="36" t="s">
        <v>214</v>
      </c>
      <c r="I507" s="36" t="s">
        <v>534</v>
      </c>
      <c r="J507" s="214"/>
      <c r="K507" s="215"/>
      <c r="L507" s="37" t="s">
        <v>194</v>
      </c>
      <c r="M507" s="37" t="s">
        <v>194</v>
      </c>
      <c r="N507" s="37" t="s">
        <v>194</v>
      </c>
      <c r="O507" s="37" t="s">
        <v>194</v>
      </c>
      <c r="P507" s="37" t="s">
        <v>2271</v>
      </c>
      <c r="Q507" s="37" t="s">
        <v>2272</v>
      </c>
      <c r="R507" s="41">
        <v>46271.0</v>
      </c>
      <c r="S507" s="42">
        <v>0.0</v>
      </c>
      <c r="T507" s="44"/>
      <c r="U507" s="83" t="str">
        <f>IF(records[Type]="Room",records[roomNo],records[roomNo]&amp;"-"&amp;SUBSTITUTE(RIGHT(records[roomNo]&amp;records[Type],2),"-",""))</f>
        <v>12-3-053-BSC</v>
      </c>
      <c r="V507" s="47" t="str">
        <f t="array" ref="V507">_xlfn.XLOOKUP(records[ID], dAir[roomNo], dAir[roomName])</f>
        <v>MLT 2</v>
      </c>
      <c r="W507" s="47" t="str">
        <f t="array" ref="W507">_xlfn.XLOOKUP(records[ID], dAir[roomNo], dAir[building])</f>
        <v>Building 12</v>
      </c>
      <c r="X507" s="47" t="str">
        <f t="array" ref="X507">_xlfn.XLOOKUP(records[ID], dAir[roomNo], dAir[floor])</f>
        <v>Floor 3</v>
      </c>
      <c r="Y507" s="45" t="str">
        <f t="array" ref="Y507">_xlfn.XLOOKUP(records[ID], dAir[roomNo], dAir[Class])</f>
        <v>A</v>
      </c>
      <c r="Z507" s="45">
        <f t="array" ref="Z507">_xlfn.XLOOKUP(records[Method]&amp;"-"&amp;records[Class], dAirSpec[ID], dAirSpec[Spec])</f>
        <v>0</v>
      </c>
      <c r="AA507" s="45" t="str">
        <f t="array" ref="AA507">_xlfn.XLOOKUP(records[Method]&amp;"-"&amp;records[Class], dAirSpec[ID], dAirSpec[Unit])</f>
        <v>cfu/m3</v>
      </c>
      <c r="AB507" s="45">
        <f t="array" ref="AB507">if(S507="","", if(records[Method]="Active Air",_xlfn.xlookup(records[ColonyCount]&amp;records[AirSampler],feller[code],feller[Vc]),records[ColonyCount]))</f>
        <v>0</v>
      </c>
      <c r="AC507" s="60" t="b">
        <f t="shared" si="1"/>
        <v>1</v>
      </c>
      <c r="AD507" s="61" t="b">
        <v>0</v>
      </c>
      <c r="AE507" s="32" t="s">
        <v>235</v>
      </c>
      <c r="AF507" s="46"/>
      <c r="AG507" s="46"/>
      <c r="AH507" s="46"/>
      <c r="AI507" s="46"/>
      <c r="AJ507" s="46"/>
    </row>
    <row r="508" ht="22.5" customHeight="1">
      <c r="A508" s="27">
        <v>46229.0</v>
      </c>
      <c r="B508" s="34" t="str">
        <f t="array" ref="B508">TEXT(A508, "MM-YYYY")</f>
        <v>07-2026</v>
      </c>
      <c r="C508" s="65" t="s">
        <v>821</v>
      </c>
      <c r="D508" s="217" t="s">
        <v>210</v>
      </c>
      <c r="E508" s="218" t="s">
        <v>213</v>
      </c>
      <c r="F508" s="37"/>
      <c r="G508" s="29" t="b">
        <v>0</v>
      </c>
      <c r="H508" s="36" t="s">
        <v>214</v>
      </c>
      <c r="I508" s="36" t="s">
        <v>215</v>
      </c>
      <c r="J508" s="214"/>
      <c r="K508" s="215"/>
      <c r="L508" s="37" t="s">
        <v>194</v>
      </c>
      <c r="M508" s="37" t="s">
        <v>194</v>
      </c>
      <c r="N508" s="37" t="s">
        <v>194</v>
      </c>
      <c r="O508" s="37" t="s">
        <v>194</v>
      </c>
      <c r="P508" s="37" t="s">
        <v>2271</v>
      </c>
      <c r="Q508" s="37" t="s">
        <v>2272</v>
      </c>
      <c r="R508" s="41">
        <v>46271.0</v>
      </c>
      <c r="S508" s="42">
        <v>1.0</v>
      </c>
      <c r="T508" s="44"/>
      <c r="U508" s="47" t="str">
        <f>IF(records[Type]="Room",records[roomNo],records[roomNo]&amp;"-"&amp;SUBSTITUTE(RIGHT(records[roomNo]&amp;records[Type],2),"-",""))</f>
        <v>12-3-054</v>
      </c>
      <c r="V508" s="47" t="str">
        <f t="array" ref="V508">_xlfn.XLOOKUP(records[ID], dAir[roomNo], dAir[roomName])</f>
        <v>MLT 3</v>
      </c>
      <c r="W508" s="47" t="str">
        <f t="array" ref="W508">_xlfn.XLOOKUP(records[ID], dAir[roomNo], dAir[building])</f>
        <v>Building 12</v>
      </c>
      <c r="X508" s="47" t="str">
        <f t="array" ref="X508">_xlfn.XLOOKUP(records[ID], dAir[roomNo], dAir[floor])</f>
        <v>Floor 3</v>
      </c>
      <c r="Y508" s="45" t="str">
        <f t="array" ref="Y508">_xlfn.XLOOKUP(records[ID], dAir[roomNo], dAir[Class])</f>
        <v>D</v>
      </c>
      <c r="Z508" s="45">
        <f t="array" ref="Z508">_xlfn.XLOOKUP(records[Method]&amp;"-"&amp;records[Class], dAirSpec[ID], dAirSpec[Spec])</f>
        <v>100</v>
      </c>
      <c r="AA508" s="45" t="str">
        <f t="array" ref="AA508">_xlfn.XLOOKUP(records[Method]&amp;"-"&amp;records[Class], dAirSpec[ID], dAirSpec[Unit])</f>
        <v>cfu/plate</v>
      </c>
      <c r="AB508" s="58">
        <f t="array" ref="AB508">if(S508="","", if(records[Method]="Active Air",_xlfn.xlookup(records[ColonyCount]&amp;records[AirSampler],feller[code],feller[Vc]),records[ColonyCount]))</f>
        <v>1</v>
      </c>
      <c r="AC508" s="60" t="b">
        <f t="shared" si="1"/>
        <v>1</v>
      </c>
      <c r="AD508" s="61" t="b">
        <v>0</v>
      </c>
      <c r="AE508" s="32"/>
      <c r="AF508" s="46"/>
      <c r="AG508" s="46"/>
      <c r="AH508" s="46"/>
      <c r="AI508" s="46"/>
      <c r="AJ508" s="46"/>
    </row>
    <row r="509" ht="22.5" customHeight="1">
      <c r="A509" s="27">
        <v>46229.0</v>
      </c>
      <c r="B509" s="34" t="str">
        <f t="array" ref="B509">TEXT(A509, "MM-YYYY")</f>
        <v>07-2026</v>
      </c>
      <c r="C509" s="207" t="s">
        <v>825</v>
      </c>
      <c r="D509" s="219" t="s">
        <v>210</v>
      </c>
      <c r="E509" s="221" t="s">
        <v>531</v>
      </c>
      <c r="F509" s="37" t="s">
        <v>76</v>
      </c>
      <c r="G509" s="29" t="b">
        <v>1</v>
      </c>
      <c r="H509" s="36" t="s">
        <v>214</v>
      </c>
      <c r="I509" s="36" t="s">
        <v>534</v>
      </c>
      <c r="J509" s="214"/>
      <c r="K509" s="215"/>
      <c r="L509" s="37" t="s">
        <v>194</v>
      </c>
      <c r="M509" s="37" t="s">
        <v>194</v>
      </c>
      <c r="N509" s="37" t="s">
        <v>194</v>
      </c>
      <c r="O509" s="37" t="s">
        <v>194</v>
      </c>
      <c r="P509" s="37" t="s">
        <v>2271</v>
      </c>
      <c r="Q509" s="37" t="s">
        <v>2272</v>
      </c>
      <c r="R509" s="41">
        <v>46271.0</v>
      </c>
      <c r="S509" s="42">
        <v>0.0</v>
      </c>
      <c r="T509" s="44"/>
      <c r="U509" s="47" t="str">
        <f>IF(records[Type]="Room",records[roomNo],records[roomNo]&amp;"-"&amp;SUBSTITUTE(RIGHT(records[roomNo]&amp;records[Type],2),"-",""))</f>
        <v>12-3-054-BSC</v>
      </c>
      <c r="V509" s="47" t="str">
        <f t="array" ref="V509">_xlfn.XLOOKUP(records[ID], dAir[roomNo], dAir[roomName])</f>
        <v>MLT 3</v>
      </c>
      <c r="W509" s="47" t="str">
        <f t="array" ref="W509">_xlfn.XLOOKUP(records[ID], dAir[roomNo], dAir[building])</f>
        <v>Building 12</v>
      </c>
      <c r="X509" s="47" t="str">
        <f t="array" ref="X509">_xlfn.XLOOKUP(records[ID], dAir[roomNo], dAir[floor])</f>
        <v>Floor 3</v>
      </c>
      <c r="Y509" s="45" t="str">
        <f t="array" ref="Y509">_xlfn.XLOOKUP(records[ID], dAir[roomNo], dAir[Class])</f>
        <v>A</v>
      </c>
      <c r="Z509" s="45">
        <f t="array" ref="Z509">_xlfn.XLOOKUP(records[Method]&amp;"-"&amp;records[Class], dAirSpec[ID], dAirSpec[Spec])</f>
        <v>0</v>
      </c>
      <c r="AA509" s="45" t="str">
        <f t="array" ref="AA509">_xlfn.XLOOKUP(records[Method]&amp;"-"&amp;records[Class], dAirSpec[ID], dAirSpec[Unit])</f>
        <v>cfu/m3</v>
      </c>
      <c r="AB509" s="45">
        <f t="array" ref="AB509">if(S509="","", if(records[Method]="Active Air",_xlfn.xlookup(records[ColonyCount]&amp;records[AirSampler],feller[code],feller[Vc]),records[ColonyCount]))</f>
        <v>0</v>
      </c>
      <c r="AC509" s="60" t="b">
        <f t="shared" si="1"/>
        <v>1</v>
      </c>
      <c r="AD509" s="61" t="b">
        <v>0</v>
      </c>
      <c r="AE509" s="32" t="s">
        <v>235</v>
      </c>
      <c r="AF509" s="46"/>
      <c r="AG509" s="46"/>
      <c r="AH509" s="46"/>
      <c r="AI509" s="46"/>
      <c r="AJ509" s="46"/>
    </row>
    <row r="510" ht="22.5" customHeight="1">
      <c r="A510" s="27">
        <v>46229.0</v>
      </c>
      <c r="B510" s="34" t="str">
        <f t="array" ref="B510">TEXT(A510, "MM-YYYY")</f>
        <v>07-2026</v>
      </c>
      <c r="C510" s="65" t="s">
        <v>831</v>
      </c>
      <c r="D510" s="217" t="s">
        <v>210</v>
      </c>
      <c r="E510" s="218" t="s">
        <v>213</v>
      </c>
      <c r="F510" s="37"/>
      <c r="G510" s="29" t="b">
        <v>0</v>
      </c>
      <c r="H510" s="36" t="s">
        <v>214</v>
      </c>
      <c r="I510" s="36" t="s">
        <v>215</v>
      </c>
      <c r="J510" s="214"/>
      <c r="K510" s="215"/>
      <c r="L510" s="37" t="s">
        <v>194</v>
      </c>
      <c r="M510" s="37" t="s">
        <v>194</v>
      </c>
      <c r="N510" s="37" t="s">
        <v>194</v>
      </c>
      <c r="O510" s="37" t="s">
        <v>194</v>
      </c>
      <c r="P510" s="37" t="s">
        <v>2271</v>
      </c>
      <c r="Q510" s="37" t="s">
        <v>2272</v>
      </c>
      <c r="R510" s="41">
        <v>46271.0</v>
      </c>
      <c r="S510" s="42">
        <v>0.0</v>
      </c>
      <c r="T510" s="44"/>
      <c r="U510" s="47" t="str">
        <f>IF(records[Type]="Room",records[roomNo],records[roomNo]&amp;"-"&amp;SUBSTITUTE(RIGHT(records[roomNo]&amp;records[Type],2),"-",""))</f>
        <v>12-3-055</v>
      </c>
      <c r="V510" s="47" t="str">
        <f t="array" ref="V510">_xlfn.XLOOKUP(records[ID], dAir[roomNo], dAir[roomName])</f>
        <v>SPARE ROOM</v>
      </c>
      <c r="W510" s="47" t="str">
        <f t="array" ref="W510">_xlfn.XLOOKUP(records[ID], dAir[roomNo], dAir[building])</f>
        <v>Building 12</v>
      </c>
      <c r="X510" s="47" t="str">
        <f t="array" ref="X510">_xlfn.XLOOKUP(records[ID], dAir[roomNo], dAir[floor])</f>
        <v>Floor 3</v>
      </c>
      <c r="Y510" s="45" t="str">
        <f t="array" ref="Y510">_xlfn.XLOOKUP(records[ID], dAir[roomNo], dAir[Class])</f>
        <v>D</v>
      </c>
      <c r="Z510" s="45">
        <f t="array" ref="Z510">_xlfn.XLOOKUP(records[Method]&amp;"-"&amp;records[Class], dAirSpec[ID], dAirSpec[Spec])</f>
        <v>100</v>
      </c>
      <c r="AA510" s="45" t="str">
        <f t="array" ref="AA510">_xlfn.XLOOKUP(records[Method]&amp;"-"&amp;records[Class], dAirSpec[ID], dAirSpec[Unit])</f>
        <v>cfu/plate</v>
      </c>
      <c r="AB510" s="58">
        <f t="array" ref="AB510">if(S510="","", if(records[Method]="Active Air",_xlfn.xlookup(records[ColonyCount]&amp;records[AirSampler],feller[code],feller[Vc]),records[ColonyCount]))</f>
        <v>0</v>
      </c>
      <c r="AC510" s="60" t="b">
        <f t="shared" si="1"/>
        <v>1</v>
      </c>
      <c r="AD510" s="61" t="b">
        <v>0</v>
      </c>
      <c r="AE510" s="32"/>
      <c r="AF510" s="46"/>
      <c r="AG510" s="46"/>
      <c r="AH510" s="46"/>
      <c r="AI510" s="46"/>
      <c r="AJ510" s="46"/>
    </row>
    <row r="511" ht="22.5" customHeight="1">
      <c r="A511" s="27">
        <v>46229.0</v>
      </c>
      <c r="B511" s="34" t="str">
        <f t="array" ref="B511">TEXT(A511, "MM-YYYY")</f>
        <v>07-2026</v>
      </c>
      <c r="C511" s="207" t="s">
        <v>831</v>
      </c>
      <c r="D511" s="224" t="s">
        <v>1350</v>
      </c>
      <c r="E511" s="220" t="s">
        <v>213</v>
      </c>
      <c r="F511" s="37"/>
      <c r="G511" s="29" t="b">
        <v>0</v>
      </c>
      <c r="H511" s="36" t="s">
        <v>214</v>
      </c>
      <c r="I511" s="36" t="s">
        <v>215</v>
      </c>
      <c r="J511" s="214"/>
      <c r="K511" s="215"/>
      <c r="L511" s="37" t="s">
        <v>194</v>
      </c>
      <c r="M511" s="37" t="s">
        <v>194</v>
      </c>
      <c r="N511" s="37" t="s">
        <v>194</v>
      </c>
      <c r="O511" s="37" t="s">
        <v>194</v>
      </c>
      <c r="P511" s="37" t="s">
        <v>2271</v>
      </c>
      <c r="Q511" s="37" t="s">
        <v>2272</v>
      </c>
      <c r="R511" s="41">
        <v>46271.0</v>
      </c>
      <c r="S511" s="42">
        <v>0.0</v>
      </c>
      <c r="T511" s="44"/>
      <c r="U511" s="45" t="str">
        <f>IF(records[Type]="Room",records[roomNo],records[roomNo]&amp;"-"&amp;SUBSTITUTE(RIGHT(records[roomNo]&amp;records[Type],2),"-",""))</f>
        <v>12-3-055-PB</v>
      </c>
      <c r="V511" s="47" t="str">
        <f t="array" ref="V511">_xlfn.XLOOKUP(records[ID], dAir[roomNo], dAir[roomName])</f>
        <v>#N/A</v>
      </c>
      <c r="W511" s="47" t="str">
        <f t="array" ref="W511">_xlfn.XLOOKUP(records[ID], dAir[roomNo], dAir[building])</f>
        <v>#N/A</v>
      </c>
      <c r="X511" s="47" t="str">
        <f t="array" ref="X511">_xlfn.XLOOKUP(records[ID], dAir[roomNo], dAir[floor])</f>
        <v>#N/A</v>
      </c>
      <c r="Y511" s="45" t="str">
        <f t="array" ref="Y511">_xlfn.XLOOKUP(records[ID], dAir[roomNo], dAir[Class])</f>
        <v>#N/A</v>
      </c>
      <c r="Z511" s="45" t="str">
        <f t="array" ref="Z511">_xlfn.XLOOKUP(records[Method]&amp;"-"&amp;records[Class], dAirSpec[ID], dAirSpec[Spec])</f>
        <v>#N/A</v>
      </c>
      <c r="AA511" s="45" t="str">
        <f t="array" ref="AA511">_xlfn.XLOOKUP(records[Method]&amp;"-"&amp;records[Class], dAirSpec[ID], dAirSpec[Unit])</f>
        <v>#N/A</v>
      </c>
      <c r="AB511" s="58">
        <f t="array" ref="AB511">if(S511="","", if(records[Method]="Active Air",_xlfn.xlookup(records[ColonyCount]&amp;records[AirSampler],feller[code],feller[Vc]),records[ColonyCount]))</f>
        <v>0</v>
      </c>
      <c r="AC511" s="60" t="str">
        <f t="shared" si="1"/>
        <v>#N/A</v>
      </c>
      <c r="AD511" s="61" t="b">
        <v>0</v>
      </c>
      <c r="AE511" s="32"/>
      <c r="AF511" s="46"/>
      <c r="AG511" s="46"/>
      <c r="AH511" s="46"/>
      <c r="AI511" s="46"/>
      <c r="AJ511" s="46"/>
    </row>
    <row r="512" ht="22.5" customHeight="1">
      <c r="A512" s="27">
        <v>46230.0</v>
      </c>
      <c r="B512" s="34" t="str">
        <f t="array" ref="B512">TEXT(A512, "MM-YYYY")</f>
        <v>07-2026</v>
      </c>
      <c r="C512" s="39" t="s">
        <v>753</v>
      </c>
      <c r="D512" s="36" t="s">
        <v>755</v>
      </c>
      <c r="E512" s="36" t="s">
        <v>531</v>
      </c>
      <c r="F512" s="37" t="s">
        <v>80</v>
      </c>
      <c r="G512" s="29" t="b">
        <v>1</v>
      </c>
      <c r="H512" s="36" t="s">
        <v>214</v>
      </c>
      <c r="I512" s="36" t="s">
        <v>534</v>
      </c>
      <c r="J512" s="214" t="s">
        <v>1792</v>
      </c>
      <c r="K512" s="215">
        <v>46472.0</v>
      </c>
      <c r="L512" s="37" t="s">
        <v>194</v>
      </c>
      <c r="M512" s="37" t="s">
        <v>194</v>
      </c>
      <c r="N512" s="37" t="s">
        <v>194</v>
      </c>
      <c r="O512" s="37" t="s">
        <v>194</v>
      </c>
      <c r="P512" s="37" t="s">
        <v>2271</v>
      </c>
      <c r="Q512" s="37" t="s">
        <v>2272</v>
      </c>
      <c r="R512" s="41">
        <v>46271.0</v>
      </c>
      <c r="S512" s="42">
        <v>0.0</v>
      </c>
      <c r="T512" s="44" t="s">
        <v>755</v>
      </c>
      <c r="U512" s="45" t="str">
        <f>IF(records[Type]="Room",records[roomNo],records[roomNo]&amp;"-"&amp;SUBSTITUTE(RIGHT(records[roomNo]&amp;records[Type],2),"-",""))</f>
        <v>16-1-075-M</v>
      </c>
      <c r="V512" s="47" t="str">
        <f t="array" ref="V512">_xlfn.XLOOKUP(records[ID], dAir[roomNo], dAir[roomName])</f>
        <v>VIALS CAPPING (Machine)</v>
      </c>
      <c r="W512" s="47" t="str">
        <f t="array" ref="W512">_xlfn.XLOOKUP(records[ID], dAir[roomNo], dAir[building])</f>
        <v>Building 16</v>
      </c>
      <c r="X512" s="47" t="str">
        <f t="array" ref="X512">_xlfn.XLOOKUP(records[ID], dAir[roomNo], dAir[floor])</f>
        <v>Floor 1</v>
      </c>
      <c r="Y512" s="45" t="str">
        <f t="array" ref="Y512">_xlfn.XLOOKUP(records[ID], dAir[roomNo], dAir[Class])</f>
        <v>A</v>
      </c>
      <c r="Z512" s="45">
        <f t="array" ref="Z512">_xlfn.XLOOKUP(records[Method]&amp;"-"&amp;records[Class], dAirSpec[ID], dAirSpec[Spec])</f>
        <v>0</v>
      </c>
      <c r="AA512" s="45" t="str">
        <f t="array" ref="AA512">_xlfn.XLOOKUP(records[Method]&amp;"-"&amp;records[Class], dAirSpec[ID], dAirSpec[Unit])</f>
        <v>cfu/m3</v>
      </c>
      <c r="AB512" s="45">
        <f t="array" ref="AB512">if(S512="","", if(records[Method]="Active Air",_xlfn.xlookup(records[ColonyCount]&amp;records[AirSampler],feller[code],feller[Vc]),records[ColonyCount]))</f>
        <v>0</v>
      </c>
      <c r="AC512" s="60" t="b">
        <f t="shared" si="1"/>
        <v>1</v>
      </c>
      <c r="AD512" s="61" t="b">
        <v>0</v>
      </c>
      <c r="AE512" s="32" t="s">
        <v>235</v>
      </c>
      <c r="AF512" s="46"/>
      <c r="AG512" s="46"/>
      <c r="AH512" s="46"/>
      <c r="AI512" s="46"/>
      <c r="AJ512" s="46"/>
    </row>
    <row r="513" ht="22.5" customHeight="1">
      <c r="A513" s="27">
        <v>46230.0</v>
      </c>
      <c r="B513" s="34" t="str">
        <f t="array" ref="B513">TEXT(A513, "MM-YYYY")</f>
        <v>07-2026</v>
      </c>
      <c r="C513" s="39" t="s">
        <v>765</v>
      </c>
      <c r="D513" s="36" t="s">
        <v>755</v>
      </c>
      <c r="E513" s="36" t="s">
        <v>531</v>
      </c>
      <c r="F513" s="37" t="s">
        <v>80</v>
      </c>
      <c r="G513" s="29" t="b">
        <v>1</v>
      </c>
      <c r="H513" s="36" t="s">
        <v>214</v>
      </c>
      <c r="I513" s="36" t="s">
        <v>534</v>
      </c>
      <c r="J513" s="214" t="s">
        <v>1792</v>
      </c>
      <c r="K513" s="215">
        <v>46472.0</v>
      </c>
      <c r="L513" s="37" t="s">
        <v>194</v>
      </c>
      <c r="M513" s="37" t="s">
        <v>194</v>
      </c>
      <c r="N513" s="37" t="s">
        <v>194</v>
      </c>
      <c r="O513" s="37" t="s">
        <v>194</v>
      </c>
      <c r="P513" s="37" t="s">
        <v>2271</v>
      </c>
      <c r="Q513" s="37" t="s">
        <v>2272</v>
      </c>
      <c r="R513" s="41">
        <v>46271.0</v>
      </c>
      <c r="S513" s="42">
        <v>0.0</v>
      </c>
      <c r="T513" s="44" t="s">
        <v>755</v>
      </c>
      <c r="U513" s="45" t="str">
        <f>IF(records[Type]="Room",records[roomNo],records[roomNo]&amp;"-"&amp;SUBSTITUTE(RIGHT(records[roomNo]&amp;records[Type],2),"-",""))</f>
        <v>16-1-076-M</v>
      </c>
      <c r="V513" s="47" t="str">
        <f t="array" ref="V513">_xlfn.XLOOKUP(records[ID], dAir[roomNo], dAir[roomName])</f>
        <v>FILLING 2 (Machine)</v>
      </c>
      <c r="W513" s="47" t="str">
        <f t="array" ref="W513">_xlfn.XLOOKUP(records[ID], dAir[roomNo], dAir[building])</f>
        <v>Building 16</v>
      </c>
      <c r="X513" s="47" t="str">
        <f t="array" ref="X513">_xlfn.XLOOKUP(records[ID], dAir[roomNo], dAir[floor])</f>
        <v>Floor 1</v>
      </c>
      <c r="Y513" s="45" t="str">
        <f t="array" ref="Y513">_xlfn.XLOOKUP(records[ID], dAir[roomNo], dAir[Class])</f>
        <v>A</v>
      </c>
      <c r="Z513" s="45">
        <f t="array" ref="Z513">_xlfn.XLOOKUP(records[Method]&amp;"-"&amp;records[Class], dAirSpec[ID], dAirSpec[Spec])</f>
        <v>0</v>
      </c>
      <c r="AA513" s="45" t="str">
        <f t="array" ref="AA513">_xlfn.XLOOKUP(records[Method]&amp;"-"&amp;records[Class], dAirSpec[ID], dAirSpec[Unit])</f>
        <v>cfu/m3</v>
      </c>
      <c r="AB513" s="45">
        <f t="array" ref="AB513">if(S513="","", if(records[Method]="Active Air",_xlfn.xlookup(records[ColonyCount]&amp;records[AirSampler],feller[code],feller[Vc]),records[ColonyCount]))</f>
        <v>0</v>
      </c>
      <c r="AC513" s="60" t="b">
        <f t="shared" si="1"/>
        <v>1</v>
      </c>
      <c r="AD513" s="61" t="b">
        <v>0</v>
      </c>
      <c r="AE513" s="32" t="s">
        <v>235</v>
      </c>
      <c r="AF513" s="46"/>
      <c r="AG513" s="46"/>
      <c r="AH513" s="46"/>
      <c r="AI513" s="46"/>
      <c r="AJ513" s="46"/>
    </row>
    <row r="514" ht="22.5" customHeight="1">
      <c r="A514" s="27">
        <v>46230.0</v>
      </c>
      <c r="B514" s="34" t="str">
        <f t="array" ref="B514">TEXT(A514, "MM-YYYY")</f>
        <v>07-2026</v>
      </c>
      <c r="C514" s="39" t="s">
        <v>765</v>
      </c>
      <c r="D514" s="36" t="s">
        <v>770</v>
      </c>
      <c r="E514" s="36" t="s">
        <v>531</v>
      </c>
      <c r="F514" s="37" t="s">
        <v>80</v>
      </c>
      <c r="G514" s="29" t="b">
        <v>1</v>
      </c>
      <c r="H514" s="36" t="s">
        <v>214</v>
      </c>
      <c r="I514" s="36" t="s">
        <v>534</v>
      </c>
      <c r="J514" s="214" t="s">
        <v>1792</v>
      </c>
      <c r="K514" s="215">
        <v>46472.0</v>
      </c>
      <c r="L514" s="37" t="s">
        <v>194</v>
      </c>
      <c r="M514" s="37" t="s">
        <v>194</v>
      </c>
      <c r="N514" s="37" t="s">
        <v>194</v>
      </c>
      <c r="O514" s="37" t="s">
        <v>194</v>
      </c>
      <c r="P514" s="37" t="s">
        <v>2271</v>
      </c>
      <c r="Q514" s="37" t="s">
        <v>2272</v>
      </c>
      <c r="R514" s="41">
        <v>46271.0</v>
      </c>
      <c r="S514" s="42">
        <v>0.0</v>
      </c>
      <c r="T514" s="44" t="s">
        <v>770</v>
      </c>
      <c r="U514" s="45" t="str">
        <f>IF(records[Type]="Room",records[roomNo],records[roomNo]&amp;"-"&amp;SUBSTITUTE(RIGHT(records[roomNo]&amp;records[Type],2),"-",""))</f>
        <v>16-1-076-L</v>
      </c>
      <c r="V514" s="47" t="str">
        <f t="array" ref="V514">_xlfn.XLOOKUP(records[ID], dAir[roomNo], dAir[roomName])</f>
        <v>FILLING 2 (Laminar)</v>
      </c>
      <c r="W514" s="47" t="str">
        <f t="array" ref="W514">_xlfn.XLOOKUP(records[ID], dAir[roomNo], dAir[building])</f>
        <v>Building 16</v>
      </c>
      <c r="X514" s="47" t="str">
        <f t="array" ref="X514">_xlfn.XLOOKUP(records[ID], dAir[roomNo], dAir[floor])</f>
        <v>Floor 1</v>
      </c>
      <c r="Y514" s="45" t="str">
        <f t="array" ref="Y514">_xlfn.XLOOKUP(records[ID], dAir[roomNo], dAir[Class])</f>
        <v>A</v>
      </c>
      <c r="Z514" s="45">
        <f t="array" ref="Z514">_xlfn.XLOOKUP(records[Method]&amp;"-"&amp;records[Class], dAirSpec[ID], dAirSpec[Spec])</f>
        <v>0</v>
      </c>
      <c r="AA514" s="45" t="str">
        <f t="array" ref="AA514">_xlfn.XLOOKUP(records[Method]&amp;"-"&amp;records[Class], dAirSpec[ID], dAirSpec[Unit])</f>
        <v>cfu/m3</v>
      </c>
      <c r="AB514" s="45">
        <f t="array" ref="AB514">if(S514="","", if(records[Method]="Active Air",_xlfn.xlookup(records[ColonyCount]&amp;records[AirSampler],feller[code],feller[Vc]),records[ColonyCount]))</f>
        <v>0</v>
      </c>
      <c r="AC514" s="60" t="b">
        <f t="shared" si="1"/>
        <v>1</v>
      </c>
      <c r="AD514" s="61" t="b">
        <v>0</v>
      </c>
      <c r="AE514" s="32" t="s">
        <v>235</v>
      </c>
      <c r="AF514" s="46"/>
      <c r="AG514" s="46"/>
      <c r="AH514" s="46"/>
      <c r="AI514" s="46"/>
      <c r="AJ514" s="46"/>
    </row>
    <row r="515" ht="22.5" customHeight="1">
      <c r="A515" s="27">
        <v>46230.0</v>
      </c>
      <c r="B515" s="34" t="str">
        <f t="array" ref="B515">TEXT(A515, "MM-YYYY")</f>
        <v>07-2026</v>
      </c>
      <c r="C515" s="39" t="s">
        <v>774</v>
      </c>
      <c r="D515" s="36" t="s">
        <v>755</v>
      </c>
      <c r="E515" s="36" t="s">
        <v>531</v>
      </c>
      <c r="F515" s="37" t="s">
        <v>80</v>
      </c>
      <c r="G515" s="29" t="b">
        <v>1</v>
      </c>
      <c r="H515" s="36" t="s">
        <v>214</v>
      </c>
      <c r="I515" s="36" t="s">
        <v>534</v>
      </c>
      <c r="J515" s="214" t="s">
        <v>1792</v>
      </c>
      <c r="K515" s="215">
        <v>46472.0</v>
      </c>
      <c r="L515" s="37" t="s">
        <v>194</v>
      </c>
      <c r="M515" s="37" t="s">
        <v>194</v>
      </c>
      <c r="N515" s="37" t="s">
        <v>194</v>
      </c>
      <c r="O515" s="37" t="s">
        <v>194</v>
      </c>
      <c r="P515" s="37" t="s">
        <v>2271</v>
      </c>
      <c r="Q515" s="37" t="s">
        <v>2272</v>
      </c>
      <c r="R515" s="41">
        <v>46271.0</v>
      </c>
      <c r="S515" s="42">
        <v>0.0</v>
      </c>
      <c r="T515" s="44" t="s">
        <v>755</v>
      </c>
      <c r="U515" s="45" t="str">
        <f>IF(records[Type]="Room",records[roomNo],records[roomNo]&amp;"-"&amp;SUBSTITUTE(RIGHT(records[roomNo]&amp;records[Type],2),"-",""))</f>
        <v>16-1-084-M</v>
      </c>
      <c r="V515" s="47" t="str">
        <f t="array" ref="V515">_xlfn.XLOOKUP(records[ID], dAir[roomNo], dAir[roomName])</f>
        <v>FILLING 1 (Machine)</v>
      </c>
      <c r="W515" s="47" t="str">
        <f t="array" ref="W515">_xlfn.XLOOKUP(records[ID], dAir[roomNo], dAir[building])</f>
        <v>Building 16</v>
      </c>
      <c r="X515" s="47" t="str">
        <f t="array" ref="X515">_xlfn.XLOOKUP(records[ID], dAir[roomNo], dAir[floor])</f>
        <v>Floor 1</v>
      </c>
      <c r="Y515" s="45" t="str">
        <f t="array" ref="Y515">_xlfn.XLOOKUP(records[ID], dAir[roomNo], dAir[Class])</f>
        <v>A</v>
      </c>
      <c r="Z515" s="45">
        <f t="array" ref="Z515">_xlfn.XLOOKUP(records[Method]&amp;"-"&amp;records[Class], dAirSpec[ID], dAirSpec[Spec])</f>
        <v>0</v>
      </c>
      <c r="AA515" s="45" t="str">
        <f t="array" ref="AA515">_xlfn.XLOOKUP(records[Method]&amp;"-"&amp;records[Class], dAirSpec[ID], dAirSpec[Unit])</f>
        <v>cfu/m3</v>
      </c>
      <c r="AB515" s="45">
        <f t="array" ref="AB515">if(S515="","", if(records[Method]="Active Air",_xlfn.xlookup(records[ColonyCount]&amp;records[AirSampler],feller[code],feller[Vc]),records[ColonyCount]))</f>
        <v>0</v>
      </c>
      <c r="AC515" s="60" t="b">
        <f t="shared" si="1"/>
        <v>1</v>
      </c>
      <c r="AD515" s="61" t="b">
        <v>0</v>
      </c>
      <c r="AE515" s="32" t="s">
        <v>235</v>
      </c>
      <c r="AF515" s="46"/>
      <c r="AG515" s="46"/>
      <c r="AH515" s="46"/>
      <c r="AI515" s="46"/>
      <c r="AJ515" s="46"/>
    </row>
    <row r="516" ht="22.5" customHeight="1">
      <c r="A516" s="27">
        <v>46230.0</v>
      </c>
      <c r="B516" s="34" t="str">
        <f t="array" ref="B516">TEXT(A516, "MM-YYYY")</f>
        <v>07-2026</v>
      </c>
      <c r="C516" s="39" t="s">
        <v>774</v>
      </c>
      <c r="D516" s="36" t="s">
        <v>770</v>
      </c>
      <c r="E516" s="36" t="s">
        <v>531</v>
      </c>
      <c r="F516" s="37" t="s">
        <v>80</v>
      </c>
      <c r="G516" s="29" t="b">
        <v>1</v>
      </c>
      <c r="H516" s="36" t="s">
        <v>214</v>
      </c>
      <c r="I516" s="36" t="s">
        <v>534</v>
      </c>
      <c r="J516" s="214" t="s">
        <v>1792</v>
      </c>
      <c r="K516" s="215">
        <v>46472.0</v>
      </c>
      <c r="L516" s="37" t="s">
        <v>194</v>
      </c>
      <c r="M516" s="37" t="s">
        <v>194</v>
      </c>
      <c r="N516" s="37" t="s">
        <v>194</v>
      </c>
      <c r="O516" s="37" t="s">
        <v>194</v>
      </c>
      <c r="P516" s="37" t="s">
        <v>2271</v>
      </c>
      <c r="Q516" s="37" t="s">
        <v>2272</v>
      </c>
      <c r="R516" s="41">
        <v>46271.0</v>
      </c>
      <c r="S516" s="42">
        <v>2.0</v>
      </c>
      <c r="T516" s="44" t="s">
        <v>770</v>
      </c>
      <c r="U516" s="45" t="str">
        <f>IF(records[Type]="Room",records[roomNo],records[roomNo]&amp;"-"&amp;SUBSTITUTE(RIGHT(records[roomNo]&amp;records[Type],2),"-",""))</f>
        <v>16-1-084-L</v>
      </c>
      <c r="V516" s="47" t="str">
        <f t="array" ref="V516">_xlfn.XLOOKUP(records[ID], dAir[roomNo], dAir[roomName])</f>
        <v>FILLING 1 (Laminar)</v>
      </c>
      <c r="W516" s="47" t="str">
        <f t="array" ref="W516">_xlfn.XLOOKUP(records[ID], dAir[roomNo], dAir[building])</f>
        <v>Building 16</v>
      </c>
      <c r="X516" s="47" t="str">
        <f t="array" ref="X516">_xlfn.XLOOKUP(records[ID], dAir[roomNo], dAir[floor])</f>
        <v>Floor 1</v>
      </c>
      <c r="Y516" s="45" t="str">
        <f t="array" ref="Y516">_xlfn.XLOOKUP(records[ID], dAir[roomNo], dAir[Class])</f>
        <v>A</v>
      </c>
      <c r="Z516" s="45">
        <f t="array" ref="Z516">_xlfn.XLOOKUP(records[Method]&amp;"-"&amp;records[Class], dAirSpec[ID], dAirSpec[Spec])</f>
        <v>0</v>
      </c>
      <c r="AA516" s="45" t="str">
        <f t="array" ref="AA516">_xlfn.XLOOKUP(records[Method]&amp;"-"&amp;records[Class], dAirSpec[ID], dAirSpec[Unit])</f>
        <v>cfu/m3</v>
      </c>
      <c r="AB516" s="45">
        <f t="array" ref="AB516">if(S516="","", if(records[Method]="Active Air",_xlfn.xlookup(records[ColonyCount]&amp;records[AirSampler],feller[code],feller[Vc]),records[ColonyCount]))</f>
        <v>2</v>
      </c>
      <c r="AC516" s="60" t="b">
        <f t="shared" si="1"/>
        <v>0</v>
      </c>
      <c r="AD516" s="61" t="b">
        <v>0</v>
      </c>
      <c r="AE516" s="32" t="s">
        <v>235</v>
      </c>
      <c r="AF516" s="46"/>
      <c r="AG516" s="46"/>
      <c r="AH516" s="46"/>
      <c r="AI516" s="46"/>
      <c r="AJ516" s="46"/>
    </row>
    <row r="517" ht="22.5" customHeight="1">
      <c r="A517" s="27">
        <v>46230.0</v>
      </c>
      <c r="B517" s="34" t="str">
        <f t="array" ref="B517">TEXT(A517, "MM-YYYY")</f>
        <v>07-2026</v>
      </c>
      <c r="C517" s="32" t="s">
        <v>786</v>
      </c>
      <c r="D517" s="21" t="s">
        <v>680</v>
      </c>
      <c r="E517" s="36" t="s">
        <v>531</v>
      </c>
      <c r="F517" s="37" t="s">
        <v>80</v>
      </c>
      <c r="G517" s="29" t="b">
        <v>1</v>
      </c>
      <c r="H517" s="36" t="s">
        <v>214</v>
      </c>
      <c r="I517" s="36" t="s">
        <v>534</v>
      </c>
      <c r="J517" s="214" t="s">
        <v>1792</v>
      </c>
      <c r="K517" s="215">
        <v>46472.0</v>
      </c>
      <c r="L517" s="37" t="s">
        <v>194</v>
      </c>
      <c r="M517" s="37" t="s">
        <v>194</v>
      </c>
      <c r="N517" s="37" t="s">
        <v>194</v>
      </c>
      <c r="O517" s="37" t="s">
        <v>194</v>
      </c>
      <c r="P517" s="37" t="s">
        <v>2271</v>
      </c>
      <c r="Q517" s="37" t="s">
        <v>2272</v>
      </c>
      <c r="R517" s="41">
        <v>46271.0</v>
      </c>
      <c r="S517" s="42">
        <v>6.0</v>
      </c>
      <c r="T517" s="44" t="s">
        <v>680</v>
      </c>
      <c r="U517" s="45" t="str">
        <f>IF(records[Type]="Room",records[roomNo],records[roomNo]&amp;"-"&amp;SUBSTITUTE(RIGHT(records[roomNo]&amp;records[Type],2),"-",""))</f>
        <v>16-1-102-B</v>
      </c>
      <c r="V517" s="47" t="str">
        <f t="array" ref="V517">_xlfn.XLOOKUP(records[ID], dAir[roomNo], dAir[roomName])</f>
        <v>DISPENSING (Booth)</v>
      </c>
      <c r="W517" s="47" t="str">
        <f t="array" ref="W517">_xlfn.XLOOKUP(records[ID], dAir[roomNo], dAir[building])</f>
        <v>Building 16</v>
      </c>
      <c r="X517" s="47" t="str">
        <f t="array" ref="X517">_xlfn.XLOOKUP(records[ID], dAir[roomNo], dAir[floor])</f>
        <v>Floor 1</v>
      </c>
      <c r="Y517" s="45" t="str">
        <f t="array" ref="Y517">_xlfn.XLOOKUP(records[ID], dAir[roomNo], dAir[Class])</f>
        <v>A</v>
      </c>
      <c r="Z517" s="45">
        <f t="array" ref="Z517">_xlfn.XLOOKUP(records[Method]&amp;"-"&amp;records[Class], dAirSpec[ID], dAirSpec[Spec])</f>
        <v>0</v>
      </c>
      <c r="AA517" s="45" t="str">
        <f t="array" ref="AA517">_xlfn.XLOOKUP(records[Method]&amp;"-"&amp;records[Class], dAirSpec[ID], dAirSpec[Unit])</f>
        <v>cfu/m3</v>
      </c>
      <c r="AB517" s="45">
        <f t="array" ref="AB517">if(S517="","", if(records[Method]="Active Air",_xlfn.xlookup(records[ColonyCount]&amp;records[AirSampler],feller[code],feller[Vc]),records[ColonyCount]))</f>
        <v>6</v>
      </c>
      <c r="AC517" s="60" t="b">
        <f t="shared" si="1"/>
        <v>0</v>
      </c>
      <c r="AD517" s="61" t="b">
        <v>0</v>
      </c>
      <c r="AE517" s="32" t="s">
        <v>235</v>
      </c>
      <c r="AF517" s="46"/>
      <c r="AG517" s="46"/>
      <c r="AH517" s="46"/>
      <c r="AI517" s="46"/>
      <c r="AJ517" s="46"/>
    </row>
    <row r="518" ht="22.5" customHeight="1">
      <c r="A518" s="27">
        <v>46236.0</v>
      </c>
      <c r="B518" s="34" t="str">
        <f t="array" ref="B518">TEXT(A518, "MM-YYYY")</f>
        <v>08-2026</v>
      </c>
      <c r="C518" s="20" t="s">
        <v>1178</v>
      </c>
      <c r="D518" s="21" t="s">
        <v>210</v>
      </c>
      <c r="E518" s="36" t="s">
        <v>213</v>
      </c>
      <c r="F518" s="37"/>
      <c r="G518" s="29" t="b">
        <v>0</v>
      </c>
      <c r="H518" s="36" t="s">
        <v>214</v>
      </c>
      <c r="I518" s="36" t="s">
        <v>215</v>
      </c>
      <c r="J518" s="214"/>
      <c r="K518" s="215"/>
      <c r="L518" s="37" t="s">
        <v>194</v>
      </c>
      <c r="M518" s="37" t="s">
        <v>194</v>
      </c>
      <c r="N518" s="37" t="s">
        <v>194</v>
      </c>
      <c r="O518" s="37" t="s">
        <v>194</v>
      </c>
      <c r="P518" s="37" t="s">
        <v>527</v>
      </c>
      <c r="Q518" s="37" t="s">
        <v>528</v>
      </c>
      <c r="R518" s="41">
        <v>46651.0</v>
      </c>
      <c r="S518" s="42">
        <v>0.0</v>
      </c>
      <c r="T518" s="44"/>
      <c r="U518" s="47" t="str">
        <f>IF(records[Type]="Room",records[roomNo],records[roomNo]&amp;"-"&amp;SUBSTITUTE(RIGHT(records[roomNo]&amp;records[Type],2),"-",""))</f>
        <v>10-3-084</v>
      </c>
      <c r="V518" s="47" t="str">
        <f t="array" ref="V518">_xlfn.XLOOKUP(records[ID], dAir[roomNo], dAir[roomName])</f>
        <v>CLEANED TOOLS</v>
      </c>
      <c r="W518" s="47" t="str">
        <f t="array" ref="W518">_xlfn.XLOOKUP(records[ID], dAir[roomNo], dAir[building])</f>
        <v>Building 10</v>
      </c>
      <c r="X518" s="47" t="str">
        <f t="array" ref="X518">_xlfn.XLOOKUP(records[ID], dAir[roomNo], dAir[floor])</f>
        <v>Floor 3</v>
      </c>
      <c r="Y518" s="45" t="str">
        <f t="array" ref="Y518">_xlfn.XLOOKUP(records[ID], dAir[roomNo], dAir[Class])</f>
        <v>D</v>
      </c>
      <c r="Z518" s="45">
        <f t="array" ref="Z518">_xlfn.XLOOKUP(records[Method]&amp;"-"&amp;records[Class], dAirSpec[ID], dAirSpec[Spec])</f>
        <v>100</v>
      </c>
      <c r="AA518" s="45" t="str">
        <f t="array" ref="AA518">_xlfn.XLOOKUP(records[Method]&amp;"-"&amp;records[Class], dAirSpec[ID], dAirSpec[Unit])</f>
        <v>cfu/plate</v>
      </c>
      <c r="AB518" s="58">
        <f t="array" ref="AB518">if(S518="","", if(records[Method]="Active Air",_xlfn.xlookup(records[ColonyCount]&amp;records[AirSampler],feller[code],feller[Vc]),records[ColonyCount]))</f>
        <v>0</v>
      </c>
      <c r="AC518" s="60" t="b">
        <f t="shared" si="1"/>
        <v>1</v>
      </c>
      <c r="AD518" s="61" t="b">
        <v>0</v>
      </c>
      <c r="AE518" s="32"/>
      <c r="AF518" s="46"/>
      <c r="AG518" s="46"/>
      <c r="AH518" s="46"/>
      <c r="AI518" s="46"/>
      <c r="AJ518" s="46"/>
    </row>
    <row r="519" ht="22.5" customHeight="1">
      <c r="A519" s="27">
        <v>46236.0</v>
      </c>
      <c r="B519" s="34" t="str">
        <f t="array" ref="B519">TEXT(A519, "MM-YYYY")</f>
        <v>08-2026</v>
      </c>
      <c r="C519" s="65" t="s">
        <v>795</v>
      </c>
      <c r="D519" s="217" t="s">
        <v>210</v>
      </c>
      <c r="E519" s="218" t="s">
        <v>213</v>
      </c>
      <c r="F519" s="37"/>
      <c r="G519" s="29" t="b">
        <v>0</v>
      </c>
      <c r="H519" s="36" t="s">
        <v>214</v>
      </c>
      <c r="I519" s="36" t="s">
        <v>215</v>
      </c>
      <c r="J519" s="214"/>
      <c r="K519" s="215"/>
      <c r="L519" s="37" t="s">
        <v>194</v>
      </c>
      <c r="M519" s="37" t="s">
        <v>194</v>
      </c>
      <c r="N519" s="37" t="s">
        <v>194</v>
      </c>
      <c r="O519" s="37" t="s">
        <v>194</v>
      </c>
      <c r="P519" s="37" t="s">
        <v>527</v>
      </c>
      <c r="Q519" s="37" t="s">
        <v>528</v>
      </c>
      <c r="R519" s="41">
        <v>46651.0</v>
      </c>
      <c r="S519" s="42">
        <v>0.0</v>
      </c>
      <c r="T519" s="44"/>
      <c r="U519" s="47" t="str">
        <f>IF(records[Type]="Room",records[roomNo],records[roomNo]&amp;"-"&amp;SUBSTITUTE(RIGHT(records[roomNo]&amp;records[Type],2),"-",""))</f>
        <v>12-3-049</v>
      </c>
      <c r="V519" s="47" t="str">
        <f t="array" ref="V519">_xlfn.XLOOKUP(records[ID], dAir[roomNo], dAir[roomName])</f>
        <v>CHANGING ROOM</v>
      </c>
      <c r="W519" s="47" t="str">
        <f t="array" ref="W519">_xlfn.XLOOKUP(records[ID], dAir[roomNo], dAir[building])</f>
        <v>Building 12</v>
      </c>
      <c r="X519" s="47" t="str">
        <f t="array" ref="X519">_xlfn.XLOOKUP(records[ID], dAir[roomNo], dAir[floor])</f>
        <v>Floor 3</v>
      </c>
      <c r="Y519" s="45" t="str">
        <f t="array" ref="Y519">_xlfn.XLOOKUP(records[ID], dAir[roomNo], dAir[Class])</f>
        <v>D</v>
      </c>
      <c r="Z519" s="45">
        <f t="array" ref="Z519">_xlfn.XLOOKUP(records[Method]&amp;"-"&amp;records[Class], dAirSpec[ID], dAirSpec[Spec])</f>
        <v>100</v>
      </c>
      <c r="AA519" s="45" t="str">
        <f t="array" ref="AA519">_xlfn.XLOOKUP(records[Method]&amp;"-"&amp;records[Class], dAirSpec[ID], dAirSpec[Unit])</f>
        <v>cfu/plate</v>
      </c>
      <c r="AB519" s="58">
        <f t="array" ref="AB519">if(S519="","", if(records[Method]="Active Air",_xlfn.xlookup(records[ColonyCount]&amp;records[AirSampler],feller[code],feller[Vc]),records[ColonyCount]))</f>
        <v>0</v>
      </c>
      <c r="AC519" s="60" t="b">
        <f t="shared" si="1"/>
        <v>1</v>
      </c>
      <c r="AD519" s="61" t="b">
        <v>0</v>
      </c>
      <c r="AE519" s="32"/>
      <c r="AF519" s="46"/>
      <c r="AG519" s="46"/>
      <c r="AH519" s="46"/>
      <c r="AI519" s="46"/>
      <c r="AJ519" s="46"/>
    </row>
    <row r="520" ht="22.5" customHeight="1">
      <c r="A520" s="27">
        <v>46236.0</v>
      </c>
      <c r="B520" s="34" t="str">
        <f t="array" ref="B520">TEXT(A520, "MM-YYYY")</f>
        <v>08-2026</v>
      </c>
      <c r="C520" s="207" t="s">
        <v>802</v>
      </c>
      <c r="D520" s="219" t="s">
        <v>210</v>
      </c>
      <c r="E520" s="220" t="s">
        <v>213</v>
      </c>
      <c r="F520" s="37"/>
      <c r="G520" s="29" t="b">
        <v>0</v>
      </c>
      <c r="H520" s="36" t="s">
        <v>214</v>
      </c>
      <c r="I520" s="36" t="s">
        <v>215</v>
      </c>
      <c r="J520" s="214"/>
      <c r="K520" s="215"/>
      <c r="L520" s="37" t="s">
        <v>194</v>
      </c>
      <c r="M520" s="37" t="s">
        <v>194</v>
      </c>
      <c r="N520" s="37" t="s">
        <v>194</v>
      </c>
      <c r="O520" s="37" t="s">
        <v>194</v>
      </c>
      <c r="P520" s="37" t="s">
        <v>527</v>
      </c>
      <c r="Q520" s="37" t="s">
        <v>528</v>
      </c>
      <c r="R520" s="41">
        <v>46651.0</v>
      </c>
      <c r="S520" s="42">
        <v>0.0</v>
      </c>
      <c r="T520" s="44"/>
      <c r="U520" s="47" t="str">
        <f>IF(records[Type]="Room",records[roomNo],records[roomNo]&amp;"-"&amp;SUBSTITUTE(RIGHT(records[roomNo]&amp;records[Type],2),"-",""))</f>
        <v>12-3-050</v>
      </c>
      <c r="V520" s="47" t="str">
        <f t="array" ref="V520">_xlfn.XLOOKUP(records[ID], dAir[roomNo], dAir[roomName])</f>
        <v>CORRIDOR</v>
      </c>
      <c r="W520" s="47" t="str">
        <f t="array" ref="W520">_xlfn.XLOOKUP(records[ID], dAir[roomNo], dAir[building])</f>
        <v>Building 12</v>
      </c>
      <c r="X520" s="47" t="str">
        <f t="array" ref="X520">_xlfn.XLOOKUP(records[ID], dAir[roomNo], dAir[floor])</f>
        <v>Floor 3</v>
      </c>
      <c r="Y520" s="45" t="str">
        <f t="array" ref="Y520">_xlfn.XLOOKUP(records[ID], dAir[roomNo], dAir[Class])</f>
        <v>D</v>
      </c>
      <c r="Z520" s="45">
        <f t="array" ref="Z520">_xlfn.XLOOKUP(records[Method]&amp;"-"&amp;records[Class], dAirSpec[ID], dAirSpec[Spec])</f>
        <v>100</v>
      </c>
      <c r="AA520" s="45" t="str">
        <f t="array" ref="AA520">_xlfn.XLOOKUP(records[Method]&amp;"-"&amp;records[Class], dAirSpec[ID], dAirSpec[Unit])</f>
        <v>cfu/plate</v>
      </c>
      <c r="AB520" s="58">
        <f t="array" ref="AB520">if(S520="","", if(records[Method]="Active Air",_xlfn.xlookup(records[ColonyCount]&amp;records[AirSampler],feller[code],feller[Vc]),records[ColonyCount]))</f>
        <v>0</v>
      </c>
      <c r="AC520" s="60" t="b">
        <f t="shared" si="1"/>
        <v>1</v>
      </c>
      <c r="AD520" s="61" t="b">
        <v>0</v>
      </c>
      <c r="AE520" s="32"/>
      <c r="AF520" s="46"/>
      <c r="AG520" s="46"/>
      <c r="AH520" s="46"/>
      <c r="AI520" s="46"/>
      <c r="AJ520" s="46"/>
    </row>
    <row r="521" ht="22.5" customHeight="1">
      <c r="A521" s="27">
        <v>46236.0</v>
      </c>
      <c r="B521" s="34" t="str">
        <f t="array" ref="B521">TEXT(A521, "MM-YYYY")</f>
        <v>08-2026</v>
      </c>
      <c r="C521" s="211" t="s">
        <v>809</v>
      </c>
      <c r="D521" s="217" t="s">
        <v>210</v>
      </c>
      <c r="E521" s="218" t="s">
        <v>213</v>
      </c>
      <c r="F521" s="37"/>
      <c r="G521" s="29" t="b">
        <v>0</v>
      </c>
      <c r="H521" s="36" t="s">
        <v>214</v>
      </c>
      <c r="I521" s="36" t="s">
        <v>215</v>
      </c>
      <c r="J521" s="214"/>
      <c r="K521" s="215"/>
      <c r="L521" s="37" t="s">
        <v>194</v>
      </c>
      <c r="M521" s="37" t="s">
        <v>194</v>
      </c>
      <c r="N521" s="37" t="s">
        <v>194</v>
      </c>
      <c r="O521" s="37" t="s">
        <v>194</v>
      </c>
      <c r="P521" s="37" t="s">
        <v>527</v>
      </c>
      <c r="Q521" s="37" t="s">
        <v>528</v>
      </c>
      <c r="R521" s="41">
        <v>46651.0</v>
      </c>
      <c r="S521" s="42">
        <v>0.0</v>
      </c>
      <c r="T521" s="44"/>
      <c r="U521" s="83" t="str">
        <f>IF(records[Type]="Room",records[roomNo],records[roomNo]&amp;"-"&amp;SUBSTITUTE(RIGHT(records[roomNo]&amp;records[Type],2),"-",""))</f>
        <v>12-3-053</v>
      </c>
      <c r="V521" s="47" t="str">
        <f t="array" ref="V521">_xlfn.XLOOKUP(records[ID], dAir[roomNo], dAir[roomName])</f>
        <v>MLT 2</v>
      </c>
      <c r="W521" s="47" t="str">
        <f t="array" ref="W521">_xlfn.XLOOKUP(records[ID], dAir[roomNo], dAir[building])</f>
        <v>Building 12</v>
      </c>
      <c r="X521" s="47" t="str">
        <f t="array" ref="X521">_xlfn.XLOOKUP(records[ID], dAir[roomNo], dAir[floor])</f>
        <v>Floor 3</v>
      </c>
      <c r="Y521" s="45" t="str">
        <f t="array" ref="Y521">_xlfn.XLOOKUP(records[ID], dAir[roomNo], dAir[Class])</f>
        <v>D</v>
      </c>
      <c r="Z521" s="45">
        <f t="array" ref="Z521">_xlfn.XLOOKUP(records[Method]&amp;"-"&amp;records[Class], dAirSpec[ID], dAirSpec[Spec])</f>
        <v>100</v>
      </c>
      <c r="AA521" s="45" t="str">
        <f t="array" ref="AA521">_xlfn.XLOOKUP(records[Method]&amp;"-"&amp;records[Class], dAirSpec[ID], dAirSpec[Unit])</f>
        <v>cfu/plate</v>
      </c>
      <c r="AB521" s="58">
        <f t="array" ref="AB521">if(S521="","", if(records[Method]="Active Air",_xlfn.xlookup(records[ColonyCount]&amp;records[AirSampler],feller[code],feller[Vc]),records[ColonyCount]))</f>
        <v>0</v>
      </c>
      <c r="AC521" s="60" t="b">
        <f t="shared" si="1"/>
        <v>1</v>
      </c>
      <c r="AD521" s="61" t="b">
        <v>0</v>
      </c>
      <c r="AE521" s="32"/>
      <c r="AF521" s="46"/>
      <c r="AG521" s="46"/>
      <c r="AH521" s="46"/>
      <c r="AI521" s="46"/>
      <c r="AJ521" s="46"/>
    </row>
    <row r="522" ht="22.5" customHeight="1">
      <c r="A522" s="27">
        <v>46236.0</v>
      </c>
      <c r="B522" s="34" t="str">
        <f t="array" ref="B522">TEXT(A522, "MM-YYYY")</f>
        <v>08-2026</v>
      </c>
      <c r="C522" s="210" t="s">
        <v>814</v>
      </c>
      <c r="D522" s="219" t="s">
        <v>210</v>
      </c>
      <c r="E522" s="221" t="s">
        <v>531</v>
      </c>
      <c r="F522" s="37" t="s">
        <v>83</v>
      </c>
      <c r="G522" s="29" t="b">
        <v>1</v>
      </c>
      <c r="H522" s="36" t="s">
        <v>214</v>
      </c>
      <c r="I522" s="36" t="s">
        <v>534</v>
      </c>
      <c r="J522" s="214"/>
      <c r="K522" s="215"/>
      <c r="L522" s="37" t="s">
        <v>194</v>
      </c>
      <c r="M522" s="37" t="s">
        <v>194</v>
      </c>
      <c r="N522" s="37" t="s">
        <v>194</v>
      </c>
      <c r="O522" s="37" t="s">
        <v>194</v>
      </c>
      <c r="P522" s="37" t="s">
        <v>527</v>
      </c>
      <c r="Q522" s="37" t="s">
        <v>528</v>
      </c>
      <c r="R522" s="41">
        <v>46651.0</v>
      </c>
      <c r="S522" s="42">
        <v>0.0</v>
      </c>
      <c r="T522" s="44"/>
      <c r="U522" s="83" t="str">
        <f>IF(records[Type]="Room",records[roomNo],records[roomNo]&amp;"-"&amp;SUBSTITUTE(RIGHT(records[roomNo]&amp;records[Type],2),"-",""))</f>
        <v>12-3-053-BSC</v>
      </c>
      <c r="V522" s="47" t="str">
        <f t="array" ref="V522">_xlfn.XLOOKUP(records[ID], dAir[roomNo], dAir[roomName])</f>
        <v>MLT 2</v>
      </c>
      <c r="W522" s="47" t="str">
        <f t="array" ref="W522">_xlfn.XLOOKUP(records[ID], dAir[roomNo], dAir[building])</f>
        <v>Building 12</v>
      </c>
      <c r="X522" s="47" t="str">
        <f t="array" ref="X522">_xlfn.XLOOKUP(records[ID], dAir[roomNo], dAir[floor])</f>
        <v>Floor 3</v>
      </c>
      <c r="Y522" s="45" t="str">
        <f t="array" ref="Y522">_xlfn.XLOOKUP(records[ID], dAir[roomNo], dAir[Class])</f>
        <v>A</v>
      </c>
      <c r="Z522" s="45">
        <f t="array" ref="Z522">_xlfn.XLOOKUP(records[Method]&amp;"-"&amp;records[Class], dAirSpec[ID], dAirSpec[Spec])</f>
        <v>0</v>
      </c>
      <c r="AA522" s="45" t="str">
        <f t="array" ref="AA522">_xlfn.XLOOKUP(records[Method]&amp;"-"&amp;records[Class], dAirSpec[ID], dAirSpec[Unit])</f>
        <v>cfu/m3</v>
      </c>
      <c r="AB522" s="45">
        <f t="array" ref="AB522">if(S522="","", if(records[Method]="Active Air",_xlfn.xlookup(records[ColonyCount]&amp;records[AirSampler],feller[code],feller[Vc]),records[ColonyCount]))</f>
        <v>0</v>
      </c>
      <c r="AC522" s="60" t="b">
        <f t="shared" si="1"/>
        <v>1</v>
      </c>
      <c r="AD522" s="61" t="b">
        <v>0</v>
      </c>
      <c r="AE522" s="32" t="s">
        <v>235</v>
      </c>
      <c r="AF522" s="46"/>
      <c r="AG522" s="46"/>
      <c r="AH522" s="46"/>
      <c r="AI522" s="46"/>
      <c r="AJ522" s="46"/>
    </row>
    <row r="523" ht="22.5" customHeight="1">
      <c r="A523" s="27">
        <v>46236.0</v>
      </c>
      <c r="B523" s="34" t="str">
        <f t="array" ref="B523">TEXT(A523, "MM-YYYY")</f>
        <v>08-2026</v>
      </c>
      <c r="C523" s="65" t="s">
        <v>821</v>
      </c>
      <c r="D523" s="217" t="s">
        <v>210</v>
      </c>
      <c r="E523" s="218" t="s">
        <v>213</v>
      </c>
      <c r="F523" s="37"/>
      <c r="G523" s="29" t="b">
        <v>0</v>
      </c>
      <c r="H523" s="36" t="s">
        <v>214</v>
      </c>
      <c r="I523" s="36" t="s">
        <v>215</v>
      </c>
      <c r="J523" s="214"/>
      <c r="K523" s="215"/>
      <c r="L523" s="37" t="s">
        <v>194</v>
      </c>
      <c r="M523" s="37" t="s">
        <v>194</v>
      </c>
      <c r="N523" s="37" t="s">
        <v>194</v>
      </c>
      <c r="O523" s="37" t="s">
        <v>194</v>
      </c>
      <c r="P523" s="37" t="s">
        <v>527</v>
      </c>
      <c r="Q523" s="37" t="s">
        <v>528</v>
      </c>
      <c r="R523" s="41">
        <v>46651.0</v>
      </c>
      <c r="S523" s="42">
        <v>0.0</v>
      </c>
      <c r="T523" s="44"/>
      <c r="U523" s="47" t="str">
        <f>IF(records[Type]="Room",records[roomNo],records[roomNo]&amp;"-"&amp;SUBSTITUTE(RIGHT(records[roomNo]&amp;records[Type],2),"-",""))</f>
        <v>12-3-054</v>
      </c>
      <c r="V523" s="47" t="str">
        <f t="array" ref="V523">_xlfn.XLOOKUP(records[ID], dAir[roomNo], dAir[roomName])</f>
        <v>MLT 3</v>
      </c>
      <c r="W523" s="47" t="str">
        <f t="array" ref="W523">_xlfn.XLOOKUP(records[ID], dAir[roomNo], dAir[building])</f>
        <v>Building 12</v>
      </c>
      <c r="X523" s="47" t="str">
        <f t="array" ref="X523">_xlfn.XLOOKUP(records[ID], dAir[roomNo], dAir[floor])</f>
        <v>Floor 3</v>
      </c>
      <c r="Y523" s="45" t="str">
        <f t="array" ref="Y523">_xlfn.XLOOKUP(records[ID], dAir[roomNo], dAir[Class])</f>
        <v>D</v>
      </c>
      <c r="Z523" s="45">
        <f t="array" ref="Z523">_xlfn.XLOOKUP(records[Method]&amp;"-"&amp;records[Class], dAirSpec[ID], dAirSpec[Spec])</f>
        <v>100</v>
      </c>
      <c r="AA523" s="45" t="str">
        <f t="array" ref="AA523">_xlfn.XLOOKUP(records[Method]&amp;"-"&amp;records[Class], dAirSpec[ID], dAirSpec[Unit])</f>
        <v>cfu/plate</v>
      </c>
      <c r="AB523" s="58">
        <f t="array" ref="AB523">if(S523="","", if(records[Method]="Active Air",_xlfn.xlookup(records[ColonyCount]&amp;records[AirSampler],feller[code],feller[Vc]),records[ColonyCount]))</f>
        <v>0</v>
      </c>
      <c r="AC523" s="60" t="b">
        <f t="shared" si="1"/>
        <v>1</v>
      </c>
      <c r="AD523" s="61" t="b">
        <v>0</v>
      </c>
      <c r="AE523" s="32"/>
      <c r="AF523" s="46"/>
      <c r="AG523" s="46"/>
      <c r="AH523" s="46"/>
      <c r="AI523" s="46"/>
      <c r="AJ523" s="46"/>
    </row>
    <row r="524" ht="22.5" customHeight="1">
      <c r="A524" s="27">
        <v>46236.0</v>
      </c>
      <c r="B524" s="34" t="str">
        <f t="array" ref="B524">TEXT(A524, "MM-YYYY")</f>
        <v>08-2026</v>
      </c>
      <c r="C524" s="207" t="s">
        <v>825</v>
      </c>
      <c r="D524" s="219" t="s">
        <v>210</v>
      </c>
      <c r="E524" s="221" t="s">
        <v>531</v>
      </c>
      <c r="F524" s="37" t="s">
        <v>83</v>
      </c>
      <c r="G524" s="29" t="b">
        <v>1</v>
      </c>
      <c r="H524" s="36" t="s">
        <v>214</v>
      </c>
      <c r="I524" s="36" t="s">
        <v>534</v>
      </c>
      <c r="J524" s="214"/>
      <c r="K524" s="215"/>
      <c r="L524" s="37" t="s">
        <v>194</v>
      </c>
      <c r="M524" s="37" t="s">
        <v>194</v>
      </c>
      <c r="N524" s="37" t="s">
        <v>194</v>
      </c>
      <c r="O524" s="37" t="s">
        <v>194</v>
      </c>
      <c r="P524" s="37" t="s">
        <v>527</v>
      </c>
      <c r="Q524" s="37" t="s">
        <v>528</v>
      </c>
      <c r="R524" s="41">
        <v>46651.0</v>
      </c>
      <c r="S524" s="42">
        <v>0.0</v>
      </c>
      <c r="T524" s="44"/>
      <c r="U524" s="47" t="str">
        <f>IF(records[Type]="Room",records[roomNo],records[roomNo]&amp;"-"&amp;SUBSTITUTE(RIGHT(records[roomNo]&amp;records[Type],2),"-",""))</f>
        <v>12-3-054-BSC</v>
      </c>
      <c r="V524" s="47" t="str">
        <f t="array" ref="V524">_xlfn.XLOOKUP(records[ID], dAir[roomNo], dAir[roomName])</f>
        <v>MLT 3</v>
      </c>
      <c r="W524" s="47" t="str">
        <f t="array" ref="W524">_xlfn.XLOOKUP(records[ID], dAir[roomNo], dAir[building])</f>
        <v>Building 12</v>
      </c>
      <c r="X524" s="47" t="str">
        <f t="array" ref="X524">_xlfn.XLOOKUP(records[ID], dAir[roomNo], dAir[floor])</f>
        <v>Floor 3</v>
      </c>
      <c r="Y524" s="45" t="str">
        <f t="array" ref="Y524">_xlfn.XLOOKUP(records[ID], dAir[roomNo], dAir[Class])</f>
        <v>A</v>
      </c>
      <c r="Z524" s="45">
        <f t="array" ref="Z524">_xlfn.XLOOKUP(records[Method]&amp;"-"&amp;records[Class], dAirSpec[ID], dAirSpec[Spec])</f>
        <v>0</v>
      </c>
      <c r="AA524" s="45" t="str">
        <f t="array" ref="AA524">_xlfn.XLOOKUP(records[Method]&amp;"-"&amp;records[Class], dAirSpec[ID], dAirSpec[Unit])</f>
        <v>cfu/m3</v>
      </c>
      <c r="AB524" s="45">
        <f t="array" ref="AB524">if(S524="","", if(records[Method]="Active Air",_xlfn.xlookup(records[ColonyCount]&amp;records[AirSampler],feller[code],feller[Vc]),records[ColonyCount]))</f>
        <v>0</v>
      </c>
      <c r="AC524" s="60" t="b">
        <f t="shared" si="1"/>
        <v>1</v>
      </c>
      <c r="AD524" s="61" t="b">
        <v>0</v>
      </c>
      <c r="AE524" s="32" t="s">
        <v>235</v>
      </c>
      <c r="AF524" s="46"/>
      <c r="AG524" s="46"/>
      <c r="AH524" s="46"/>
      <c r="AI524" s="46"/>
      <c r="AJ524" s="46"/>
    </row>
    <row r="525" ht="22.5" customHeight="1">
      <c r="A525" s="27">
        <v>46236.0</v>
      </c>
      <c r="B525" s="34" t="str">
        <f t="array" ref="B525">TEXT(A525, "MM-YYYY")</f>
        <v>08-2026</v>
      </c>
      <c r="C525" s="65" t="s">
        <v>831</v>
      </c>
      <c r="D525" s="217" t="s">
        <v>210</v>
      </c>
      <c r="E525" s="218" t="s">
        <v>213</v>
      </c>
      <c r="F525" s="37"/>
      <c r="G525" s="29" t="b">
        <v>0</v>
      </c>
      <c r="H525" s="36" t="s">
        <v>214</v>
      </c>
      <c r="I525" s="36" t="s">
        <v>215</v>
      </c>
      <c r="J525" s="214"/>
      <c r="K525" s="215"/>
      <c r="L525" s="37" t="s">
        <v>194</v>
      </c>
      <c r="M525" s="37" t="s">
        <v>194</v>
      </c>
      <c r="N525" s="37" t="s">
        <v>194</v>
      </c>
      <c r="O525" s="37" t="s">
        <v>194</v>
      </c>
      <c r="P525" s="37" t="s">
        <v>527</v>
      </c>
      <c r="Q525" s="37" t="s">
        <v>528</v>
      </c>
      <c r="R525" s="41">
        <v>46651.0</v>
      </c>
      <c r="S525" s="42">
        <v>0.0</v>
      </c>
      <c r="T525" s="44"/>
      <c r="U525" s="47" t="str">
        <f>IF(records[Type]="Room",records[roomNo],records[roomNo]&amp;"-"&amp;SUBSTITUTE(RIGHT(records[roomNo]&amp;records[Type],2),"-",""))</f>
        <v>12-3-055</v>
      </c>
      <c r="V525" s="47" t="str">
        <f t="array" ref="V525">_xlfn.XLOOKUP(records[ID], dAir[roomNo], dAir[roomName])</f>
        <v>SPARE ROOM</v>
      </c>
      <c r="W525" s="47" t="str">
        <f t="array" ref="W525">_xlfn.XLOOKUP(records[ID], dAir[roomNo], dAir[building])</f>
        <v>Building 12</v>
      </c>
      <c r="X525" s="47" t="str">
        <f t="array" ref="X525">_xlfn.XLOOKUP(records[ID], dAir[roomNo], dAir[floor])</f>
        <v>Floor 3</v>
      </c>
      <c r="Y525" s="45" t="str">
        <f t="array" ref="Y525">_xlfn.XLOOKUP(records[ID], dAir[roomNo], dAir[Class])</f>
        <v>D</v>
      </c>
      <c r="Z525" s="45">
        <f t="array" ref="Z525">_xlfn.XLOOKUP(records[Method]&amp;"-"&amp;records[Class], dAirSpec[ID], dAirSpec[Spec])</f>
        <v>100</v>
      </c>
      <c r="AA525" s="45" t="str">
        <f t="array" ref="AA525">_xlfn.XLOOKUP(records[Method]&amp;"-"&amp;records[Class], dAirSpec[ID], dAirSpec[Unit])</f>
        <v>cfu/plate</v>
      </c>
      <c r="AB525" s="58">
        <f t="array" ref="AB525">if(S525="","", if(records[Method]="Active Air",_xlfn.xlookup(records[ColonyCount]&amp;records[AirSampler],feller[code],feller[Vc]),records[ColonyCount]))</f>
        <v>0</v>
      </c>
      <c r="AC525" s="60" t="b">
        <f t="shared" si="1"/>
        <v>1</v>
      </c>
      <c r="AD525" s="61" t="b">
        <v>0</v>
      </c>
      <c r="AE525" s="32"/>
      <c r="AF525" s="46"/>
      <c r="AG525" s="46"/>
      <c r="AH525" s="46"/>
      <c r="AI525" s="46"/>
      <c r="AJ525" s="46"/>
    </row>
    <row r="526" ht="22.5" customHeight="1">
      <c r="A526" s="27">
        <v>46236.0</v>
      </c>
      <c r="B526" s="34" t="str">
        <f t="array" ref="B526">TEXT(A526, "MM-YYYY")</f>
        <v>08-2026</v>
      </c>
      <c r="C526" s="207" t="s">
        <v>831</v>
      </c>
      <c r="D526" s="224" t="s">
        <v>1350</v>
      </c>
      <c r="E526" s="220" t="s">
        <v>213</v>
      </c>
      <c r="F526" s="37"/>
      <c r="G526" s="29" t="b">
        <v>0</v>
      </c>
      <c r="H526" s="36" t="s">
        <v>214</v>
      </c>
      <c r="I526" s="36" t="s">
        <v>215</v>
      </c>
      <c r="J526" s="214"/>
      <c r="K526" s="215"/>
      <c r="L526" s="37" t="s">
        <v>194</v>
      </c>
      <c r="M526" s="37" t="s">
        <v>194</v>
      </c>
      <c r="N526" s="37" t="s">
        <v>194</v>
      </c>
      <c r="O526" s="37" t="s">
        <v>194</v>
      </c>
      <c r="P526" s="37" t="s">
        <v>527</v>
      </c>
      <c r="Q526" s="37" t="s">
        <v>528</v>
      </c>
      <c r="R526" s="41">
        <v>46651.0</v>
      </c>
      <c r="S526" s="42">
        <v>0.0</v>
      </c>
      <c r="T526" s="44"/>
      <c r="U526" s="45" t="str">
        <f>IF(records[Type]="Room",records[roomNo],records[roomNo]&amp;"-"&amp;SUBSTITUTE(RIGHT(records[roomNo]&amp;records[Type],2),"-",""))</f>
        <v>12-3-055-PB</v>
      </c>
      <c r="V526" s="47" t="str">
        <f t="array" ref="V526">_xlfn.XLOOKUP(records[ID], dAir[roomNo], dAir[roomName])</f>
        <v>#N/A</v>
      </c>
      <c r="W526" s="47" t="str">
        <f t="array" ref="W526">_xlfn.XLOOKUP(records[ID], dAir[roomNo], dAir[building])</f>
        <v>#N/A</v>
      </c>
      <c r="X526" s="47" t="str">
        <f t="array" ref="X526">_xlfn.XLOOKUP(records[ID], dAir[roomNo], dAir[floor])</f>
        <v>#N/A</v>
      </c>
      <c r="Y526" s="45" t="str">
        <f t="array" ref="Y526">_xlfn.XLOOKUP(records[ID], dAir[roomNo], dAir[Class])</f>
        <v>#N/A</v>
      </c>
      <c r="Z526" s="45" t="str">
        <f t="array" ref="Z526">_xlfn.XLOOKUP(records[Method]&amp;"-"&amp;records[Class], dAirSpec[ID], dAirSpec[Spec])</f>
        <v>#N/A</v>
      </c>
      <c r="AA526" s="45" t="str">
        <f t="array" ref="AA526">_xlfn.XLOOKUP(records[Method]&amp;"-"&amp;records[Class], dAirSpec[ID], dAirSpec[Unit])</f>
        <v>#N/A</v>
      </c>
      <c r="AB526" s="58">
        <f t="array" ref="AB526">if(S526="","", if(records[Method]="Active Air",_xlfn.xlookup(records[ColonyCount]&amp;records[AirSampler],feller[code],feller[Vc]),records[ColonyCount]))</f>
        <v>0</v>
      </c>
      <c r="AC526" s="60" t="str">
        <f t="shared" si="1"/>
        <v>#N/A</v>
      </c>
      <c r="AD526" s="61" t="b">
        <v>0</v>
      </c>
      <c r="AE526" s="32"/>
      <c r="AF526" s="46"/>
      <c r="AG526" s="46"/>
      <c r="AH526" s="46"/>
      <c r="AI526" s="46"/>
      <c r="AJ526" s="46"/>
    </row>
    <row r="527" ht="22.5" customHeight="1">
      <c r="A527" s="27">
        <v>46237.0</v>
      </c>
      <c r="B527" s="34" t="str">
        <f t="array" ref="B527">TEXT(A527, "MM-YYYY")</f>
        <v>08-2026</v>
      </c>
      <c r="C527" s="39" t="s">
        <v>753</v>
      </c>
      <c r="D527" s="36" t="s">
        <v>755</v>
      </c>
      <c r="E527" s="225" t="s">
        <v>531</v>
      </c>
      <c r="F527" s="37" t="s">
        <v>86</v>
      </c>
      <c r="G527" s="29" t="b">
        <v>1</v>
      </c>
      <c r="H527" s="36" t="s">
        <v>214</v>
      </c>
      <c r="I527" s="36" t="s">
        <v>757</v>
      </c>
      <c r="J527" s="214"/>
      <c r="K527" s="215"/>
      <c r="L527" s="37" t="s">
        <v>339</v>
      </c>
      <c r="M527" s="37" t="s">
        <v>2402</v>
      </c>
      <c r="N527" s="37" t="s">
        <v>194</v>
      </c>
      <c r="O527" s="37" t="s">
        <v>194</v>
      </c>
      <c r="P527" s="37" t="s">
        <v>527</v>
      </c>
      <c r="Q527" s="37" t="s">
        <v>528</v>
      </c>
      <c r="R527" s="41">
        <v>46651.0</v>
      </c>
      <c r="S527" s="42">
        <v>0.0</v>
      </c>
      <c r="T527" s="44" t="s">
        <v>755</v>
      </c>
      <c r="U527" s="45" t="str">
        <f>IF(records[Type]="Room",records[roomNo],records[roomNo]&amp;"-"&amp;SUBSTITUTE(RIGHT(records[roomNo]&amp;records[Type],2),"-",""))</f>
        <v>16-1-075-M</v>
      </c>
      <c r="V527" s="47" t="str">
        <f t="array" ref="V527">_xlfn.XLOOKUP(records[ID], dAir[roomNo], dAir[roomName])</f>
        <v>VIALS CAPPING (Machine)</v>
      </c>
      <c r="W527" s="47" t="str">
        <f t="array" ref="W527">_xlfn.XLOOKUP(records[ID], dAir[roomNo], dAir[building])</f>
        <v>Building 16</v>
      </c>
      <c r="X527" s="47" t="str">
        <f t="array" ref="X527">_xlfn.XLOOKUP(records[ID], dAir[roomNo], dAir[floor])</f>
        <v>Floor 1</v>
      </c>
      <c r="Y527" s="45" t="str">
        <f t="array" ref="Y527">_xlfn.XLOOKUP(records[ID], dAir[roomNo], dAir[Class])</f>
        <v>A</v>
      </c>
      <c r="Z527" s="45">
        <f t="array" ref="Z527">_xlfn.XLOOKUP(records[Method]&amp;"-"&amp;records[Class], dAirSpec[ID], dAirSpec[Spec])</f>
        <v>0</v>
      </c>
      <c r="AA527" s="45" t="str">
        <f t="array" ref="AA527">_xlfn.XLOOKUP(records[Method]&amp;"-"&amp;records[Class], dAirSpec[ID], dAirSpec[Unit])</f>
        <v>cfu/m3</v>
      </c>
      <c r="AB527" s="45">
        <f t="array" ref="AB527">if(S527="","", if(records[Method]="Active Air",_xlfn.xlookup(records[ColonyCount]&amp;records[AirSampler],feller[code],feller[Vc]),records[ColonyCount]))</f>
        <v>0</v>
      </c>
      <c r="AC527" s="60" t="b">
        <f t="shared" si="1"/>
        <v>1</v>
      </c>
      <c r="AD527" s="61" t="b">
        <v>0</v>
      </c>
      <c r="AE527" s="32" t="s">
        <v>235</v>
      </c>
      <c r="AF527" s="46"/>
      <c r="AG527" s="46"/>
      <c r="AH527" s="46"/>
      <c r="AI527" s="46"/>
      <c r="AJ527" s="46"/>
    </row>
    <row r="528" ht="22.5" customHeight="1">
      <c r="A528" s="27">
        <v>46237.0</v>
      </c>
      <c r="B528" s="34" t="str">
        <f t="array" ref="B528">TEXT(A528, "MM-YYYY")</f>
        <v>08-2026</v>
      </c>
      <c r="C528" s="39" t="s">
        <v>765</v>
      </c>
      <c r="D528" s="36" t="s">
        <v>755</v>
      </c>
      <c r="E528" s="225" t="s">
        <v>531</v>
      </c>
      <c r="F528" s="37" t="s">
        <v>86</v>
      </c>
      <c r="G528" s="29" t="b">
        <v>1</v>
      </c>
      <c r="H528" s="36" t="s">
        <v>214</v>
      </c>
      <c r="I528" s="36" t="s">
        <v>757</v>
      </c>
      <c r="J528" s="214"/>
      <c r="K528" s="215"/>
      <c r="L528" s="37" t="s">
        <v>310</v>
      </c>
      <c r="M528" s="37" t="s">
        <v>1587</v>
      </c>
      <c r="N528" s="37" t="s">
        <v>194</v>
      </c>
      <c r="O528" s="37" t="s">
        <v>194</v>
      </c>
      <c r="P528" s="37" t="s">
        <v>527</v>
      </c>
      <c r="Q528" s="37" t="s">
        <v>528</v>
      </c>
      <c r="R528" s="41">
        <v>46651.0</v>
      </c>
      <c r="S528" s="42">
        <v>0.0</v>
      </c>
      <c r="T528" s="44" t="s">
        <v>755</v>
      </c>
      <c r="U528" s="45" t="str">
        <f>IF(records[Type]="Room",records[roomNo],records[roomNo]&amp;"-"&amp;SUBSTITUTE(RIGHT(records[roomNo]&amp;records[Type],2),"-",""))</f>
        <v>16-1-076-M</v>
      </c>
      <c r="V528" s="47" t="str">
        <f t="array" ref="V528">_xlfn.XLOOKUP(records[ID], dAir[roomNo], dAir[roomName])</f>
        <v>FILLING 2 (Machine)</v>
      </c>
      <c r="W528" s="47" t="str">
        <f t="array" ref="W528">_xlfn.XLOOKUP(records[ID], dAir[roomNo], dAir[building])</f>
        <v>Building 16</v>
      </c>
      <c r="X528" s="47" t="str">
        <f t="array" ref="X528">_xlfn.XLOOKUP(records[ID], dAir[roomNo], dAir[floor])</f>
        <v>Floor 1</v>
      </c>
      <c r="Y528" s="45" t="str">
        <f t="array" ref="Y528">_xlfn.XLOOKUP(records[ID], dAir[roomNo], dAir[Class])</f>
        <v>A</v>
      </c>
      <c r="Z528" s="45">
        <f t="array" ref="Z528">_xlfn.XLOOKUP(records[Method]&amp;"-"&amp;records[Class], dAirSpec[ID], dAirSpec[Spec])</f>
        <v>0</v>
      </c>
      <c r="AA528" s="45" t="str">
        <f t="array" ref="AA528">_xlfn.XLOOKUP(records[Method]&amp;"-"&amp;records[Class], dAirSpec[ID], dAirSpec[Unit])</f>
        <v>cfu/m3</v>
      </c>
      <c r="AB528" s="45">
        <f t="array" ref="AB528">if(S528="","", if(records[Method]="Active Air",_xlfn.xlookup(records[ColonyCount]&amp;records[AirSampler],feller[code],feller[Vc]),records[ColonyCount]))</f>
        <v>0</v>
      </c>
      <c r="AC528" s="60" t="b">
        <f t="shared" si="1"/>
        <v>1</v>
      </c>
      <c r="AD528" s="61" t="b">
        <v>0</v>
      </c>
      <c r="AE528" s="32" t="s">
        <v>235</v>
      </c>
      <c r="AF528" s="46"/>
      <c r="AG528" s="46"/>
      <c r="AH528" s="46"/>
      <c r="AI528" s="46"/>
      <c r="AJ528" s="46"/>
    </row>
    <row r="529" ht="22.5" customHeight="1">
      <c r="A529" s="27">
        <v>46237.0</v>
      </c>
      <c r="B529" s="34" t="str">
        <f t="array" ref="B529">TEXT(A529, "MM-YYYY")</f>
        <v>08-2026</v>
      </c>
      <c r="C529" s="39" t="s">
        <v>765</v>
      </c>
      <c r="D529" s="36" t="s">
        <v>770</v>
      </c>
      <c r="E529" s="225" t="s">
        <v>531</v>
      </c>
      <c r="F529" s="37" t="s">
        <v>86</v>
      </c>
      <c r="G529" s="29" t="b">
        <v>1</v>
      </c>
      <c r="H529" s="36" t="s">
        <v>214</v>
      </c>
      <c r="I529" s="36" t="s">
        <v>757</v>
      </c>
      <c r="J529" s="214"/>
      <c r="K529" s="215"/>
      <c r="L529" s="37" t="s">
        <v>310</v>
      </c>
      <c r="M529" s="37" t="s">
        <v>1587</v>
      </c>
      <c r="N529" s="37" t="s">
        <v>194</v>
      </c>
      <c r="O529" s="37" t="s">
        <v>194</v>
      </c>
      <c r="P529" s="37" t="s">
        <v>527</v>
      </c>
      <c r="Q529" s="37" t="s">
        <v>528</v>
      </c>
      <c r="R529" s="41">
        <v>46651.0</v>
      </c>
      <c r="S529" s="42">
        <v>0.0</v>
      </c>
      <c r="T529" s="44" t="s">
        <v>770</v>
      </c>
      <c r="U529" s="45" t="str">
        <f>IF(records[Type]="Room",records[roomNo],records[roomNo]&amp;"-"&amp;SUBSTITUTE(RIGHT(records[roomNo]&amp;records[Type],2),"-",""))</f>
        <v>16-1-076-L</v>
      </c>
      <c r="V529" s="47" t="str">
        <f t="array" ref="V529">_xlfn.XLOOKUP(records[ID], dAir[roomNo], dAir[roomName])</f>
        <v>FILLING 2 (Laminar)</v>
      </c>
      <c r="W529" s="47" t="str">
        <f t="array" ref="W529">_xlfn.XLOOKUP(records[ID], dAir[roomNo], dAir[building])</f>
        <v>Building 16</v>
      </c>
      <c r="X529" s="47" t="str">
        <f t="array" ref="X529">_xlfn.XLOOKUP(records[ID], dAir[roomNo], dAir[floor])</f>
        <v>Floor 1</v>
      </c>
      <c r="Y529" s="45" t="str">
        <f t="array" ref="Y529">_xlfn.XLOOKUP(records[ID], dAir[roomNo], dAir[Class])</f>
        <v>A</v>
      </c>
      <c r="Z529" s="45">
        <f t="array" ref="Z529">_xlfn.XLOOKUP(records[Method]&amp;"-"&amp;records[Class], dAirSpec[ID], dAirSpec[Spec])</f>
        <v>0</v>
      </c>
      <c r="AA529" s="45" t="str">
        <f t="array" ref="AA529">_xlfn.XLOOKUP(records[Method]&amp;"-"&amp;records[Class], dAirSpec[ID], dAirSpec[Unit])</f>
        <v>cfu/m3</v>
      </c>
      <c r="AB529" s="45">
        <f t="array" ref="AB529">if(S529="","", if(records[Method]="Active Air",_xlfn.xlookup(records[ColonyCount]&amp;records[AirSampler],feller[code],feller[Vc]),records[ColonyCount]))</f>
        <v>0</v>
      </c>
      <c r="AC529" s="60" t="b">
        <f t="shared" si="1"/>
        <v>1</v>
      </c>
      <c r="AD529" s="61" t="b">
        <v>0</v>
      </c>
      <c r="AE529" s="32" t="s">
        <v>235</v>
      </c>
      <c r="AF529" s="46"/>
      <c r="AG529" s="46"/>
      <c r="AH529" s="46"/>
      <c r="AI529" s="46"/>
      <c r="AJ529" s="46"/>
    </row>
    <row r="530" ht="22.5" customHeight="1">
      <c r="A530" s="27">
        <v>46237.0</v>
      </c>
      <c r="B530" s="34" t="str">
        <f t="array" ref="B530">TEXT(A530, "MM-YYYY")</f>
        <v>08-2026</v>
      </c>
      <c r="C530" s="39" t="s">
        <v>774</v>
      </c>
      <c r="D530" s="36" t="s">
        <v>755</v>
      </c>
      <c r="E530" s="225" t="s">
        <v>531</v>
      </c>
      <c r="F530" s="37" t="s">
        <v>86</v>
      </c>
      <c r="G530" s="29" t="b">
        <v>1</v>
      </c>
      <c r="H530" s="36" t="s">
        <v>214</v>
      </c>
      <c r="I530" s="36" t="s">
        <v>757</v>
      </c>
      <c r="J530" s="214"/>
      <c r="K530" s="215"/>
      <c r="L530" s="37" t="s">
        <v>435</v>
      </c>
      <c r="M530" s="37" t="s">
        <v>2403</v>
      </c>
      <c r="N530" s="37" t="s">
        <v>194</v>
      </c>
      <c r="O530" s="37" t="s">
        <v>194</v>
      </c>
      <c r="P530" s="37" t="s">
        <v>527</v>
      </c>
      <c r="Q530" s="37" t="s">
        <v>528</v>
      </c>
      <c r="R530" s="41">
        <v>46651.0</v>
      </c>
      <c r="S530" s="42">
        <v>0.0</v>
      </c>
      <c r="T530" s="44" t="s">
        <v>755</v>
      </c>
      <c r="U530" s="45" t="str">
        <f>IF(records[Type]="Room",records[roomNo],records[roomNo]&amp;"-"&amp;SUBSTITUTE(RIGHT(records[roomNo]&amp;records[Type],2),"-",""))</f>
        <v>16-1-084-M</v>
      </c>
      <c r="V530" s="47" t="str">
        <f t="array" ref="V530">_xlfn.XLOOKUP(records[ID], dAir[roomNo], dAir[roomName])</f>
        <v>FILLING 1 (Machine)</v>
      </c>
      <c r="W530" s="47" t="str">
        <f t="array" ref="W530">_xlfn.XLOOKUP(records[ID], dAir[roomNo], dAir[building])</f>
        <v>Building 16</v>
      </c>
      <c r="X530" s="47" t="str">
        <f t="array" ref="X530">_xlfn.XLOOKUP(records[ID], dAir[roomNo], dAir[floor])</f>
        <v>Floor 1</v>
      </c>
      <c r="Y530" s="45" t="str">
        <f t="array" ref="Y530">_xlfn.XLOOKUP(records[ID], dAir[roomNo], dAir[Class])</f>
        <v>A</v>
      </c>
      <c r="Z530" s="45">
        <f t="array" ref="Z530">_xlfn.XLOOKUP(records[Method]&amp;"-"&amp;records[Class], dAirSpec[ID], dAirSpec[Spec])</f>
        <v>0</v>
      </c>
      <c r="AA530" s="45" t="str">
        <f t="array" ref="AA530">_xlfn.XLOOKUP(records[Method]&amp;"-"&amp;records[Class], dAirSpec[ID], dAirSpec[Unit])</f>
        <v>cfu/m3</v>
      </c>
      <c r="AB530" s="45">
        <f t="array" ref="AB530">if(S530="","", if(records[Method]="Active Air",_xlfn.xlookup(records[ColonyCount]&amp;records[AirSampler],feller[code],feller[Vc]),records[ColonyCount]))</f>
        <v>0</v>
      </c>
      <c r="AC530" s="60" t="b">
        <f t="shared" si="1"/>
        <v>1</v>
      </c>
      <c r="AD530" s="61" t="b">
        <v>0</v>
      </c>
      <c r="AE530" s="32" t="s">
        <v>235</v>
      </c>
      <c r="AF530" s="46"/>
      <c r="AG530" s="46"/>
      <c r="AH530" s="46"/>
      <c r="AI530" s="46"/>
      <c r="AJ530" s="46"/>
    </row>
    <row r="531" ht="22.5" customHeight="1">
      <c r="A531" s="27">
        <v>46237.0</v>
      </c>
      <c r="B531" s="34" t="str">
        <f t="array" ref="B531">TEXT(A531, "MM-YYYY")</f>
        <v>08-2026</v>
      </c>
      <c r="C531" s="39" t="s">
        <v>774</v>
      </c>
      <c r="D531" s="36" t="s">
        <v>770</v>
      </c>
      <c r="E531" s="225" t="s">
        <v>531</v>
      </c>
      <c r="F531" s="37" t="s">
        <v>86</v>
      </c>
      <c r="G531" s="29" t="b">
        <v>1</v>
      </c>
      <c r="H531" s="36" t="s">
        <v>214</v>
      </c>
      <c r="I531" s="36" t="s">
        <v>757</v>
      </c>
      <c r="J531" s="214"/>
      <c r="K531" s="215"/>
      <c r="L531" s="37" t="s">
        <v>435</v>
      </c>
      <c r="M531" s="37" t="s">
        <v>2403</v>
      </c>
      <c r="N531" s="37" t="s">
        <v>194</v>
      </c>
      <c r="O531" s="37" t="s">
        <v>194</v>
      </c>
      <c r="P531" s="37" t="s">
        <v>527</v>
      </c>
      <c r="Q531" s="37" t="s">
        <v>528</v>
      </c>
      <c r="R531" s="41">
        <v>46651.0</v>
      </c>
      <c r="S531" s="42">
        <v>0.0</v>
      </c>
      <c r="T531" s="44" t="s">
        <v>770</v>
      </c>
      <c r="U531" s="45" t="str">
        <f>IF(records[Type]="Room",records[roomNo],records[roomNo]&amp;"-"&amp;SUBSTITUTE(RIGHT(records[roomNo]&amp;records[Type],2),"-",""))</f>
        <v>16-1-084-L</v>
      </c>
      <c r="V531" s="47" t="str">
        <f t="array" ref="V531">_xlfn.XLOOKUP(records[ID], dAir[roomNo], dAir[roomName])</f>
        <v>FILLING 1 (Laminar)</v>
      </c>
      <c r="W531" s="47" t="str">
        <f t="array" ref="W531">_xlfn.XLOOKUP(records[ID], dAir[roomNo], dAir[building])</f>
        <v>Building 16</v>
      </c>
      <c r="X531" s="47" t="str">
        <f t="array" ref="X531">_xlfn.XLOOKUP(records[ID], dAir[roomNo], dAir[floor])</f>
        <v>Floor 1</v>
      </c>
      <c r="Y531" s="45" t="str">
        <f t="array" ref="Y531">_xlfn.XLOOKUP(records[ID], dAir[roomNo], dAir[Class])</f>
        <v>A</v>
      </c>
      <c r="Z531" s="45">
        <f t="array" ref="Z531">_xlfn.XLOOKUP(records[Method]&amp;"-"&amp;records[Class], dAirSpec[ID], dAirSpec[Spec])</f>
        <v>0</v>
      </c>
      <c r="AA531" s="45" t="str">
        <f t="array" ref="AA531">_xlfn.XLOOKUP(records[Method]&amp;"-"&amp;records[Class], dAirSpec[ID], dAirSpec[Unit])</f>
        <v>cfu/m3</v>
      </c>
      <c r="AB531" s="45">
        <f t="array" ref="AB531">if(S531="","", if(records[Method]="Active Air",_xlfn.xlookup(records[ColonyCount]&amp;records[AirSampler],feller[code],feller[Vc]),records[ColonyCount]))</f>
        <v>0</v>
      </c>
      <c r="AC531" s="60" t="b">
        <f t="shared" si="1"/>
        <v>1</v>
      </c>
      <c r="AD531" s="61" t="b">
        <v>0</v>
      </c>
      <c r="AE531" s="32" t="s">
        <v>235</v>
      </c>
      <c r="AF531" s="46"/>
      <c r="AG531" s="46"/>
      <c r="AH531" s="46"/>
      <c r="AI531" s="46"/>
      <c r="AJ531" s="46"/>
    </row>
    <row r="532" ht="22.5" customHeight="1">
      <c r="A532" s="27">
        <v>46237.0</v>
      </c>
      <c r="B532" s="34" t="str">
        <f t="array" ref="B532">TEXT(A532, "MM-YYYY")</f>
        <v>08-2026</v>
      </c>
      <c r="C532" s="32" t="s">
        <v>786</v>
      </c>
      <c r="D532" s="21" t="s">
        <v>680</v>
      </c>
      <c r="E532" s="225" t="s">
        <v>531</v>
      </c>
      <c r="F532" s="37" t="s">
        <v>86</v>
      </c>
      <c r="G532" s="29" t="b">
        <v>1</v>
      </c>
      <c r="H532" s="36" t="s">
        <v>214</v>
      </c>
      <c r="I532" s="36" t="s">
        <v>757</v>
      </c>
      <c r="J532" s="214"/>
      <c r="K532" s="215"/>
      <c r="L532" s="37" t="s">
        <v>700</v>
      </c>
      <c r="M532" s="37" t="s">
        <v>2270</v>
      </c>
      <c r="N532" s="37" t="s">
        <v>194</v>
      </c>
      <c r="O532" s="37" t="s">
        <v>194</v>
      </c>
      <c r="P532" s="37" t="s">
        <v>527</v>
      </c>
      <c r="Q532" s="37" t="s">
        <v>528</v>
      </c>
      <c r="R532" s="41">
        <v>46651.0</v>
      </c>
      <c r="S532" s="42">
        <v>4.0</v>
      </c>
      <c r="T532" s="44" t="s">
        <v>680</v>
      </c>
      <c r="U532" s="45" t="str">
        <f>IF(records[Type]="Room",records[roomNo],records[roomNo]&amp;"-"&amp;SUBSTITUTE(RIGHT(records[roomNo]&amp;records[Type],2),"-",""))</f>
        <v>16-1-102-B</v>
      </c>
      <c r="V532" s="47" t="str">
        <f t="array" ref="V532">_xlfn.XLOOKUP(records[ID], dAir[roomNo], dAir[roomName])</f>
        <v>DISPENSING (Booth)</v>
      </c>
      <c r="W532" s="47" t="str">
        <f t="array" ref="W532">_xlfn.XLOOKUP(records[ID], dAir[roomNo], dAir[building])</f>
        <v>Building 16</v>
      </c>
      <c r="X532" s="47" t="str">
        <f t="array" ref="X532">_xlfn.XLOOKUP(records[ID], dAir[roomNo], dAir[floor])</f>
        <v>Floor 1</v>
      </c>
      <c r="Y532" s="45" t="str">
        <f t="array" ref="Y532">_xlfn.XLOOKUP(records[ID], dAir[roomNo], dAir[Class])</f>
        <v>A</v>
      </c>
      <c r="Z532" s="45">
        <f t="array" ref="Z532">_xlfn.XLOOKUP(records[Method]&amp;"-"&amp;records[Class], dAirSpec[ID], dAirSpec[Spec])</f>
        <v>0</v>
      </c>
      <c r="AA532" s="45" t="str">
        <f t="array" ref="AA532">_xlfn.XLOOKUP(records[Method]&amp;"-"&amp;records[Class], dAirSpec[ID], dAirSpec[Unit])</f>
        <v>cfu/m3</v>
      </c>
      <c r="AB532" s="45">
        <f t="array" ref="AB532">if(S532="","", if(records[Method]="Active Air",_xlfn.xlookup(records[ColonyCount]&amp;records[AirSampler],feller[code],feller[Vc]),records[ColonyCount]))</f>
        <v>4</v>
      </c>
      <c r="AC532" s="60" t="b">
        <f t="shared" si="1"/>
        <v>0</v>
      </c>
      <c r="AD532" s="61" t="b">
        <v>0</v>
      </c>
      <c r="AE532" s="32" t="s">
        <v>235</v>
      </c>
      <c r="AF532" s="46"/>
      <c r="AG532" s="46"/>
      <c r="AH532" s="46"/>
      <c r="AI532" s="46"/>
      <c r="AJ532" s="46"/>
    </row>
    <row r="533" ht="22.5" customHeight="1">
      <c r="A533" s="27">
        <v>46241.0</v>
      </c>
      <c r="B533" s="34" t="str">
        <f t="array" ref="B533">TEXT(A533, "MM-YYYY")</f>
        <v>08-2026</v>
      </c>
      <c r="C533" s="226" t="s">
        <v>765</v>
      </c>
      <c r="D533" s="227" t="s">
        <v>210</v>
      </c>
      <c r="E533" s="225" t="s">
        <v>531</v>
      </c>
      <c r="F533" s="37"/>
      <c r="G533" s="29" t="b">
        <v>0</v>
      </c>
      <c r="H533" s="36" t="s">
        <v>1737</v>
      </c>
      <c r="I533" s="36" t="s">
        <v>534</v>
      </c>
      <c r="J533" s="214"/>
      <c r="K533" s="215"/>
      <c r="L533" s="37" t="s">
        <v>194</v>
      </c>
      <c r="M533" s="37" t="s">
        <v>194</v>
      </c>
      <c r="N533" s="37" t="s">
        <v>194</v>
      </c>
      <c r="O533" s="37" t="s">
        <v>194</v>
      </c>
      <c r="P533" s="37" t="s">
        <v>527</v>
      </c>
      <c r="Q533" s="37" t="s">
        <v>528</v>
      </c>
      <c r="R533" s="41">
        <v>46651.0</v>
      </c>
      <c r="S533" s="228">
        <v>15.0</v>
      </c>
      <c r="T533" s="229" t="s">
        <v>2404</v>
      </c>
      <c r="U533" s="47" t="str">
        <f>IF(records[Type]="Room",records[roomNo],records[roomNo]&amp;"-"&amp;SUBSTITUTE(RIGHT(records[roomNo]&amp;records[Type],2),"-",""))</f>
        <v>16-1-076</v>
      </c>
      <c r="V533" s="47" t="str">
        <f t="array" ref="V533">_xlfn.XLOOKUP(records[ID], dAir[roomNo], dAir[roomName])</f>
        <v>FILLING 2</v>
      </c>
      <c r="W533" s="47" t="str">
        <f t="array" ref="W533">_xlfn.XLOOKUP(records[ID], dAir[roomNo], dAir[building])</f>
        <v>Building 16</v>
      </c>
      <c r="X533" s="47" t="str">
        <f t="array" ref="X533">_xlfn.XLOOKUP(records[ID], dAir[roomNo], dAir[floor])</f>
        <v>Floor 1</v>
      </c>
      <c r="Y533" s="45" t="str">
        <f t="array" ref="Y533">_xlfn.XLOOKUP(records[ID], dAir[roomNo], dAir[Class])</f>
        <v>C</v>
      </c>
      <c r="Z533" s="45">
        <f t="array" ref="Z533">_xlfn.XLOOKUP(records[Method]&amp;"-"&amp;records[Class], dAirSpec[ID], dAirSpec[Spec])</f>
        <v>100</v>
      </c>
      <c r="AA533" s="45" t="str">
        <f t="array" ref="AA533">_xlfn.XLOOKUP(records[Method]&amp;"-"&amp;records[Class], dAirSpec[ID], dAirSpec[Unit])</f>
        <v>cfu/m3</v>
      </c>
      <c r="AB533" s="45">
        <f t="array" ref="AB533">if(S533="","", if(records[Method]="Active Air",_xlfn.xlookup(records[ColonyCount]&amp;records[AirSampler],feller[code],feller[Vc]),records[ColonyCount]))</f>
        <v>15</v>
      </c>
      <c r="AC533" s="60" t="b">
        <f t="shared" si="1"/>
        <v>1</v>
      </c>
      <c r="AD533" s="61" t="b">
        <v>0</v>
      </c>
      <c r="AE533" s="32"/>
      <c r="AF533" s="46"/>
      <c r="AG533" s="46"/>
      <c r="AH533" s="46"/>
      <c r="AI533" s="46"/>
      <c r="AJ533" s="46"/>
    </row>
    <row r="534" ht="22.5" customHeight="1">
      <c r="A534" s="27">
        <v>46241.0</v>
      </c>
      <c r="B534" s="34" t="str">
        <f t="array" ref="B534">TEXT(A534, "MM-YYYY")</f>
        <v>08-2026</v>
      </c>
      <c r="C534" s="226" t="s">
        <v>765</v>
      </c>
      <c r="D534" s="227" t="s">
        <v>210</v>
      </c>
      <c r="E534" s="225" t="s">
        <v>531</v>
      </c>
      <c r="F534" s="37"/>
      <c r="G534" s="29" t="b">
        <v>0</v>
      </c>
      <c r="H534" s="36" t="s">
        <v>1737</v>
      </c>
      <c r="I534" s="36" t="s">
        <v>534</v>
      </c>
      <c r="J534" s="214"/>
      <c r="K534" s="215"/>
      <c r="L534" s="37" t="s">
        <v>194</v>
      </c>
      <c r="M534" s="37" t="s">
        <v>194</v>
      </c>
      <c r="N534" s="37" t="s">
        <v>194</v>
      </c>
      <c r="O534" s="37" t="s">
        <v>194</v>
      </c>
      <c r="P534" s="37" t="s">
        <v>527</v>
      </c>
      <c r="Q534" s="37" t="s">
        <v>528</v>
      </c>
      <c r="R534" s="41">
        <v>46651.0</v>
      </c>
      <c r="S534" s="228">
        <v>3.0</v>
      </c>
      <c r="T534" s="229" t="s">
        <v>2405</v>
      </c>
      <c r="U534" s="47" t="str">
        <f>IF(records[Type]="Room",records[roomNo],records[roomNo]&amp;"-"&amp;SUBSTITUTE(RIGHT(records[roomNo]&amp;records[Type],2),"-",""))</f>
        <v>16-1-076</v>
      </c>
      <c r="V534" s="47" t="str">
        <f t="array" ref="V534">_xlfn.XLOOKUP(records[ID], dAir[roomNo], dAir[roomName])</f>
        <v>FILLING 2</v>
      </c>
      <c r="W534" s="47" t="str">
        <f t="array" ref="W534">_xlfn.XLOOKUP(records[ID], dAir[roomNo], dAir[building])</f>
        <v>Building 16</v>
      </c>
      <c r="X534" s="47" t="str">
        <f t="array" ref="X534">_xlfn.XLOOKUP(records[ID], dAir[roomNo], dAir[floor])</f>
        <v>Floor 1</v>
      </c>
      <c r="Y534" s="45" t="str">
        <f t="array" ref="Y534">_xlfn.XLOOKUP(records[ID], dAir[roomNo], dAir[Class])</f>
        <v>C</v>
      </c>
      <c r="Z534" s="45">
        <f t="array" ref="Z534">_xlfn.XLOOKUP(records[Method]&amp;"-"&amp;records[Class], dAirSpec[ID], dAirSpec[Spec])</f>
        <v>100</v>
      </c>
      <c r="AA534" s="45" t="str">
        <f t="array" ref="AA534">_xlfn.XLOOKUP(records[Method]&amp;"-"&amp;records[Class], dAirSpec[ID], dAirSpec[Unit])</f>
        <v>cfu/m3</v>
      </c>
      <c r="AB534" s="45">
        <f t="array" ref="AB534">if(S534="","", if(records[Method]="Active Air",_xlfn.xlookup(records[ColonyCount]&amp;records[AirSampler],feller[code],feller[Vc]),records[ColonyCount]))</f>
        <v>3</v>
      </c>
      <c r="AC534" s="60" t="b">
        <f t="shared" si="1"/>
        <v>1</v>
      </c>
      <c r="AD534" s="61" t="b">
        <v>0</v>
      </c>
      <c r="AE534" s="32"/>
      <c r="AF534" s="46"/>
      <c r="AG534" s="46"/>
      <c r="AH534" s="46"/>
      <c r="AI534" s="46"/>
      <c r="AJ534" s="46"/>
    </row>
    <row r="535" ht="22.5" customHeight="1">
      <c r="A535" s="27">
        <v>46241.0</v>
      </c>
      <c r="B535" s="34" t="str">
        <f t="array" ref="B535">TEXT(A535, "MM-YYYY")</f>
        <v>08-2026</v>
      </c>
      <c r="C535" s="226" t="s">
        <v>765</v>
      </c>
      <c r="D535" s="227" t="s">
        <v>755</v>
      </c>
      <c r="E535" s="225" t="s">
        <v>531</v>
      </c>
      <c r="F535" s="37"/>
      <c r="G535" s="29" t="b">
        <v>0</v>
      </c>
      <c r="H535" s="36" t="s">
        <v>1737</v>
      </c>
      <c r="I535" s="36" t="s">
        <v>534</v>
      </c>
      <c r="J535" s="214"/>
      <c r="K535" s="215"/>
      <c r="L535" s="37" t="s">
        <v>194</v>
      </c>
      <c r="M535" s="37" t="s">
        <v>194</v>
      </c>
      <c r="N535" s="37" t="s">
        <v>194</v>
      </c>
      <c r="O535" s="37" t="s">
        <v>194</v>
      </c>
      <c r="P535" s="37" t="s">
        <v>527</v>
      </c>
      <c r="Q535" s="37" t="s">
        <v>528</v>
      </c>
      <c r="R535" s="41">
        <v>46651.0</v>
      </c>
      <c r="S535" s="230">
        <v>0.0</v>
      </c>
      <c r="T535" s="231" t="s">
        <v>2406</v>
      </c>
      <c r="U535" s="45" t="str">
        <f>IF(records[Type]="Room",records[roomNo],records[roomNo]&amp;"-"&amp;SUBSTITUTE(RIGHT(records[roomNo]&amp;records[Type],2),"-",""))</f>
        <v>16-1-076-M</v>
      </c>
      <c r="V535" s="47" t="str">
        <f t="array" ref="V535">_xlfn.XLOOKUP(records[ID], dAir[roomNo], dAir[roomName])</f>
        <v>FILLING 2 (Machine)</v>
      </c>
      <c r="W535" s="47" t="str">
        <f t="array" ref="W535">_xlfn.XLOOKUP(records[ID], dAir[roomNo], dAir[building])</f>
        <v>Building 16</v>
      </c>
      <c r="X535" s="47" t="str">
        <f t="array" ref="X535">_xlfn.XLOOKUP(records[ID], dAir[roomNo], dAir[floor])</f>
        <v>Floor 1</v>
      </c>
      <c r="Y535" s="45" t="str">
        <f t="array" ref="Y535">_xlfn.XLOOKUP(records[ID], dAir[roomNo], dAir[Class])</f>
        <v>A</v>
      </c>
      <c r="Z535" s="45">
        <f t="array" ref="Z535">_xlfn.XLOOKUP(records[Method]&amp;"-"&amp;records[Class], dAirSpec[ID], dAirSpec[Spec])</f>
        <v>0</v>
      </c>
      <c r="AA535" s="45" t="str">
        <f t="array" ref="AA535">_xlfn.XLOOKUP(records[Method]&amp;"-"&amp;records[Class], dAirSpec[ID], dAirSpec[Unit])</f>
        <v>cfu/m3</v>
      </c>
      <c r="AB535" s="45">
        <f t="array" ref="AB535">if(S535="","", if(records[Method]="Active Air",_xlfn.xlookup(records[ColonyCount]&amp;records[AirSampler],feller[code],feller[Vc]),records[ColonyCount]))</f>
        <v>0</v>
      </c>
      <c r="AC535" s="60" t="b">
        <f t="shared" si="1"/>
        <v>1</v>
      </c>
      <c r="AD535" s="61" t="b">
        <v>0</v>
      </c>
      <c r="AE535" s="32"/>
      <c r="AF535" s="46"/>
      <c r="AG535" s="46"/>
      <c r="AH535" s="46"/>
      <c r="AI535" s="46"/>
      <c r="AJ535" s="46"/>
    </row>
    <row r="536" ht="22.5" customHeight="1">
      <c r="A536" s="27">
        <v>46241.0</v>
      </c>
      <c r="B536" s="34" t="str">
        <f t="array" ref="B536">TEXT(A536, "MM-YYYY")</f>
        <v>08-2026</v>
      </c>
      <c r="C536" s="226" t="s">
        <v>765</v>
      </c>
      <c r="D536" s="227" t="s">
        <v>755</v>
      </c>
      <c r="E536" s="225" t="s">
        <v>531</v>
      </c>
      <c r="F536" s="37"/>
      <c r="G536" s="29" t="b">
        <v>0</v>
      </c>
      <c r="H536" s="36" t="s">
        <v>1737</v>
      </c>
      <c r="I536" s="36" t="s">
        <v>534</v>
      </c>
      <c r="J536" s="214"/>
      <c r="K536" s="215"/>
      <c r="L536" s="37" t="s">
        <v>194</v>
      </c>
      <c r="M536" s="37" t="s">
        <v>194</v>
      </c>
      <c r="N536" s="37" t="s">
        <v>194</v>
      </c>
      <c r="O536" s="37" t="s">
        <v>194</v>
      </c>
      <c r="P536" s="37" t="s">
        <v>527</v>
      </c>
      <c r="Q536" s="37" t="s">
        <v>528</v>
      </c>
      <c r="R536" s="41">
        <v>46651.0</v>
      </c>
      <c r="S536" s="230">
        <v>1.0</v>
      </c>
      <c r="T536" s="231" t="s">
        <v>2407</v>
      </c>
      <c r="U536" s="45" t="str">
        <f>IF(records[Type]="Room",records[roomNo],records[roomNo]&amp;"-"&amp;SUBSTITUTE(RIGHT(records[roomNo]&amp;records[Type],2),"-",""))</f>
        <v>16-1-076-M</v>
      </c>
      <c r="V536" s="47" t="str">
        <f t="array" ref="V536">_xlfn.XLOOKUP(records[ID], dAir[roomNo], dAir[roomName])</f>
        <v>FILLING 2 (Machine)</v>
      </c>
      <c r="W536" s="47" t="str">
        <f t="array" ref="W536">_xlfn.XLOOKUP(records[ID], dAir[roomNo], dAir[building])</f>
        <v>Building 16</v>
      </c>
      <c r="X536" s="47" t="str">
        <f t="array" ref="X536">_xlfn.XLOOKUP(records[ID], dAir[roomNo], dAir[floor])</f>
        <v>Floor 1</v>
      </c>
      <c r="Y536" s="45" t="str">
        <f t="array" ref="Y536">_xlfn.XLOOKUP(records[ID], dAir[roomNo], dAir[Class])</f>
        <v>A</v>
      </c>
      <c r="Z536" s="45">
        <f t="array" ref="Z536">_xlfn.XLOOKUP(records[Method]&amp;"-"&amp;records[Class], dAirSpec[ID], dAirSpec[Spec])</f>
        <v>0</v>
      </c>
      <c r="AA536" s="45" t="str">
        <f t="array" ref="AA536">_xlfn.XLOOKUP(records[Method]&amp;"-"&amp;records[Class], dAirSpec[ID], dAirSpec[Unit])</f>
        <v>cfu/m3</v>
      </c>
      <c r="AB536" s="232">
        <f t="array" ref="AB536">if(S536="","", if(records[Method]="Active Air",_xlfn.xlookup(records[ColonyCount]&amp;records[AirSampler],feller[code],feller[Vc]),records[ColonyCount]))</f>
        <v>1</v>
      </c>
      <c r="AC536" s="60" t="b">
        <f t="shared" si="1"/>
        <v>0</v>
      </c>
      <c r="AD536" s="61" t="b">
        <v>0</v>
      </c>
      <c r="AE536" s="32"/>
      <c r="AF536" s="46"/>
      <c r="AG536" s="46"/>
      <c r="AH536" s="46"/>
      <c r="AI536" s="46"/>
      <c r="AJ536" s="46"/>
    </row>
    <row r="537" ht="22.5" customHeight="1">
      <c r="A537" s="27">
        <v>46241.0</v>
      </c>
      <c r="B537" s="34" t="str">
        <f t="array" ref="B537">TEXT(A537, "MM-YYYY")</f>
        <v>08-2026</v>
      </c>
      <c r="C537" s="226" t="s">
        <v>765</v>
      </c>
      <c r="D537" s="227" t="s">
        <v>755</v>
      </c>
      <c r="E537" s="225" t="s">
        <v>531</v>
      </c>
      <c r="F537" s="37"/>
      <c r="G537" s="29" t="b">
        <v>0</v>
      </c>
      <c r="H537" s="36" t="s">
        <v>1737</v>
      </c>
      <c r="I537" s="36" t="s">
        <v>534</v>
      </c>
      <c r="J537" s="214"/>
      <c r="K537" s="215"/>
      <c r="L537" s="37" t="s">
        <v>194</v>
      </c>
      <c r="M537" s="37" t="s">
        <v>194</v>
      </c>
      <c r="N537" s="37" t="s">
        <v>194</v>
      </c>
      <c r="O537" s="37" t="s">
        <v>194</v>
      </c>
      <c r="P537" s="37" t="s">
        <v>527</v>
      </c>
      <c r="Q537" s="37" t="s">
        <v>528</v>
      </c>
      <c r="R537" s="41">
        <v>46651.0</v>
      </c>
      <c r="S537" s="230">
        <v>0.0</v>
      </c>
      <c r="T537" s="231" t="s">
        <v>2408</v>
      </c>
      <c r="U537" s="45" t="str">
        <f>IF(records[Type]="Room",records[roomNo],records[roomNo]&amp;"-"&amp;SUBSTITUTE(RIGHT(records[roomNo]&amp;records[Type],2),"-",""))</f>
        <v>16-1-076-M</v>
      </c>
      <c r="V537" s="47" t="str">
        <f t="array" ref="V537">_xlfn.XLOOKUP(records[ID], dAir[roomNo], dAir[roomName])</f>
        <v>FILLING 2 (Machine)</v>
      </c>
      <c r="W537" s="47" t="str">
        <f t="array" ref="W537">_xlfn.XLOOKUP(records[ID], dAir[roomNo], dAir[building])</f>
        <v>Building 16</v>
      </c>
      <c r="X537" s="47" t="str">
        <f t="array" ref="X537">_xlfn.XLOOKUP(records[ID], dAir[roomNo], dAir[floor])</f>
        <v>Floor 1</v>
      </c>
      <c r="Y537" s="216" t="s">
        <v>975</v>
      </c>
      <c r="Z537" s="45">
        <f t="array" ref="Z537">_xlfn.XLOOKUP(records[Method]&amp;"-"&amp;records[Class], dAirSpec[ID], dAirSpec[Spec])</f>
        <v>0</v>
      </c>
      <c r="AA537" s="45" t="str">
        <f t="array" ref="AA537">_xlfn.XLOOKUP(records[Method]&amp;"-"&amp;records[Class], dAirSpec[ID], dAirSpec[Unit])</f>
        <v>cfu/m3</v>
      </c>
      <c r="AB537" s="45">
        <f t="array" ref="AB537">if(S537="","", if(records[Method]="Active Air",_xlfn.xlookup(records[ColonyCount]&amp;records[AirSampler],feller[code],feller[Vc]),records[ColonyCount]))</f>
        <v>0</v>
      </c>
      <c r="AC537" s="60" t="b">
        <f t="shared" si="1"/>
        <v>1</v>
      </c>
      <c r="AD537" s="61" t="b">
        <v>0</v>
      </c>
      <c r="AE537" s="32"/>
      <c r="AF537" s="46"/>
      <c r="AG537" s="46"/>
      <c r="AH537" s="46"/>
      <c r="AI537" s="46"/>
      <c r="AJ537" s="46"/>
    </row>
    <row r="538" ht="22.5" customHeight="1">
      <c r="A538" s="27">
        <v>46241.0</v>
      </c>
      <c r="B538" s="34" t="str">
        <f t="array" ref="B538">TEXT(A538, "MM-YYYY")</f>
        <v>08-2026</v>
      </c>
      <c r="C538" s="226" t="s">
        <v>765</v>
      </c>
      <c r="D538" s="227" t="s">
        <v>210</v>
      </c>
      <c r="E538" s="225" t="s">
        <v>531</v>
      </c>
      <c r="F538" s="37"/>
      <c r="G538" s="29" t="b">
        <v>0</v>
      </c>
      <c r="H538" s="36" t="s">
        <v>1737</v>
      </c>
      <c r="I538" s="36" t="s">
        <v>534</v>
      </c>
      <c r="J538" s="214"/>
      <c r="K538" s="215"/>
      <c r="L538" s="37" t="s">
        <v>194</v>
      </c>
      <c r="M538" s="37" t="s">
        <v>194</v>
      </c>
      <c r="N538" s="37" t="s">
        <v>194</v>
      </c>
      <c r="O538" s="37" t="s">
        <v>194</v>
      </c>
      <c r="P538" s="37" t="s">
        <v>527</v>
      </c>
      <c r="Q538" s="37" t="s">
        <v>528</v>
      </c>
      <c r="R538" s="41">
        <v>46651.0</v>
      </c>
      <c r="S538" s="230">
        <v>0.0</v>
      </c>
      <c r="T538" s="231" t="s">
        <v>2409</v>
      </c>
      <c r="U538" s="47" t="str">
        <f>IF(records[Type]="Room",records[roomNo],records[roomNo]&amp;"-"&amp;SUBSTITUTE(RIGHT(records[roomNo]&amp;records[Type],2),"-",""))</f>
        <v>16-1-076</v>
      </c>
      <c r="V538" s="47" t="str">
        <f t="array" ref="V538">_xlfn.XLOOKUP(records[ID], dAir[roomNo], dAir[roomName])</f>
        <v>FILLING 2</v>
      </c>
      <c r="W538" s="47" t="str">
        <f t="array" ref="W538">_xlfn.XLOOKUP(records[ID], dAir[roomNo], dAir[building])</f>
        <v>Building 16</v>
      </c>
      <c r="X538" s="47" t="str">
        <f t="array" ref="X538">_xlfn.XLOOKUP(records[ID], dAir[roomNo], dAir[floor])</f>
        <v>Floor 1</v>
      </c>
      <c r="Y538" s="45" t="str">
        <f t="array" ref="Y538">_xlfn.XLOOKUP(records[ID], dAir[roomNo], dAir[Class])</f>
        <v>C</v>
      </c>
      <c r="Z538" s="45">
        <f t="array" ref="Z538">_xlfn.XLOOKUP(records[Method]&amp;"-"&amp;records[Class], dAirSpec[ID], dAirSpec[Spec])</f>
        <v>100</v>
      </c>
      <c r="AA538" s="45" t="str">
        <f t="array" ref="AA538">_xlfn.XLOOKUP(records[Method]&amp;"-"&amp;records[Class], dAirSpec[ID], dAirSpec[Unit])</f>
        <v>cfu/m3</v>
      </c>
      <c r="AB538" s="45">
        <f t="array" ref="AB538">if(S538="","", if(records[Method]="Active Air",_xlfn.xlookup(records[ColonyCount]&amp;records[AirSampler],feller[code],feller[Vc]),records[ColonyCount]))</f>
        <v>0</v>
      </c>
      <c r="AC538" s="60" t="b">
        <f t="shared" si="1"/>
        <v>1</v>
      </c>
      <c r="AD538" s="61" t="b">
        <v>0</v>
      </c>
      <c r="AE538" s="32"/>
      <c r="AF538" s="46"/>
      <c r="AG538" s="46"/>
      <c r="AH538" s="46"/>
      <c r="AI538" s="46"/>
      <c r="AJ538" s="46"/>
    </row>
    <row r="539" ht="22.5" customHeight="1">
      <c r="A539" s="27">
        <v>46241.0</v>
      </c>
      <c r="B539" s="34" t="str">
        <f t="array" ref="B539">TEXT(A539, "MM-YYYY")</f>
        <v>08-2026</v>
      </c>
      <c r="C539" s="226" t="s">
        <v>745</v>
      </c>
      <c r="D539" s="227" t="s">
        <v>755</v>
      </c>
      <c r="E539" s="225" t="s">
        <v>531</v>
      </c>
      <c r="F539" s="37"/>
      <c r="G539" s="29" t="b">
        <v>0</v>
      </c>
      <c r="H539" s="36" t="s">
        <v>1737</v>
      </c>
      <c r="I539" s="36" t="s">
        <v>534</v>
      </c>
      <c r="J539" s="214"/>
      <c r="K539" s="215"/>
      <c r="L539" s="37" t="s">
        <v>194</v>
      </c>
      <c r="M539" s="37" t="s">
        <v>194</v>
      </c>
      <c r="N539" s="37" t="s">
        <v>194</v>
      </c>
      <c r="O539" s="37" t="s">
        <v>194</v>
      </c>
      <c r="P539" s="37" t="s">
        <v>527</v>
      </c>
      <c r="Q539" s="37" t="s">
        <v>528</v>
      </c>
      <c r="R539" s="41">
        <v>46651.0</v>
      </c>
      <c r="S539" s="230">
        <v>0.0</v>
      </c>
      <c r="T539" s="231" t="s">
        <v>2410</v>
      </c>
      <c r="U539" s="45" t="str">
        <f>IF(records[Type]="Room",records[roomNo],records[roomNo]&amp;"-"&amp;SUBSTITUTE(RIGHT(records[roomNo]&amp;records[Type],2),"-",""))</f>
        <v>16-1-096-M</v>
      </c>
      <c r="V539" s="47" t="str">
        <f t="array" ref="V539">_xlfn.XLOOKUP(records[ID], dAir[roomNo], dAir[roomName])</f>
        <v>#N/A</v>
      </c>
      <c r="W539" s="47" t="str">
        <f t="array" ref="W539">_xlfn.XLOOKUP(records[ID], dAir[roomNo], dAir[building])</f>
        <v>#N/A</v>
      </c>
      <c r="X539" s="47" t="str">
        <f t="array" ref="X539">_xlfn.XLOOKUP(records[ID], dAir[roomNo], dAir[floor])</f>
        <v>#N/A</v>
      </c>
      <c r="Y539" s="216" t="s">
        <v>975</v>
      </c>
      <c r="Z539" s="45">
        <f t="array" ref="Z539">_xlfn.XLOOKUP(records[Method]&amp;"-"&amp;records[Class], dAirSpec[ID], dAirSpec[Spec])</f>
        <v>0</v>
      </c>
      <c r="AA539" s="45" t="str">
        <f t="array" ref="AA539">_xlfn.XLOOKUP(records[Method]&amp;"-"&amp;records[Class], dAirSpec[ID], dAirSpec[Unit])</f>
        <v>cfu/m3</v>
      </c>
      <c r="AB539" s="45">
        <f t="array" ref="AB539">if(S539="","", if(records[Method]="Active Air",_xlfn.xlookup(records[ColonyCount]&amp;records[AirSampler],feller[code],feller[Vc]),records[ColonyCount]))</f>
        <v>0</v>
      </c>
      <c r="AC539" s="60" t="b">
        <f t="shared" si="1"/>
        <v>1</v>
      </c>
      <c r="AD539" s="61" t="b">
        <v>0</v>
      </c>
      <c r="AE539" s="32"/>
      <c r="AF539" s="46"/>
      <c r="AG539" s="46"/>
      <c r="AH539" s="46"/>
      <c r="AI539" s="46"/>
      <c r="AJ539" s="46"/>
    </row>
    <row r="540" ht="22.5" customHeight="1">
      <c r="A540" s="27">
        <v>46241.0</v>
      </c>
      <c r="B540" s="34" t="str">
        <f t="array" ref="B540">TEXT(A540, "MM-YYYY")</f>
        <v>08-2026</v>
      </c>
      <c r="C540" s="226" t="s">
        <v>745</v>
      </c>
      <c r="D540" s="227" t="s">
        <v>210</v>
      </c>
      <c r="E540" s="225" t="s">
        <v>531</v>
      </c>
      <c r="F540" s="37"/>
      <c r="G540" s="29" t="b">
        <v>0</v>
      </c>
      <c r="H540" s="36" t="s">
        <v>1737</v>
      </c>
      <c r="I540" s="36" t="s">
        <v>534</v>
      </c>
      <c r="J540" s="214"/>
      <c r="K540" s="215"/>
      <c r="L540" s="37" t="s">
        <v>194</v>
      </c>
      <c r="M540" s="37" t="s">
        <v>194</v>
      </c>
      <c r="N540" s="37" t="s">
        <v>194</v>
      </c>
      <c r="O540" s="37" t="s">
        <v>194</v>
      </c>
      <c r="P540" s="37" t="s">
        <v>527</v>
      </c>
      <c r="Q540" s="37" t="s">
        <v>528</v>
      </c>
      <c r="R540" s="41">
        <v>46651.0</v>
      </c>
      <c r="S540" s="228">
        <v>0.0</v>
      </c>
      <c r="T540" s="229" t="s">
        <v>2411</v>
      </c>
      <c r="U540" s="47" t="str">
        <f>IF(records[Type]="Room",records[roomNo],records[roomNo]&amp;"-"&amp;SUBSTITUTE(RIGHT(records[roomNo]&amp;records[Type],2),"-",""))</f>
        <v>16-1-096</v>
      </c>
      <c r="V540" s="47" t="str">
        <f t="array" ref="V540">_xlfn.XLOOKUP(records[ID], dAir[roomNo], dAir[roomName])</f>
        <v>WASHING / TUNNEL 2</v>
      </c>
      <c r="W540" s="47" t="str">
        <f t="array" ref="W540">_xlfn.XLOOKUP(records[ID], dAir[roomNo], dAir[building])</f>
        <v>Building 16</v>
      </c>
      <c r="X540" s="47" t="str">
        <f t="array" ref="X540">_xlfn.XLOOKUP(records[ID], dAir[roomNo], dAir[floor])</f>
        <v>Floor 1</v>
      </c>
      <c r="Y540" s="45" t="str">
        <f t="array" ref="Y540">_xlfn.XLOOKUP(records[ID], dAir[roomNo], dAir[Class])</f>
        <v>C</v>
      </c>
      <c r="Z540" s="45">
        <f t="array" ref="Z540">_xlfn.XLOOKUP(records[Method]&amp;"-"&amp;records[Class], dAirSpec[ID], dAirSpec[Spec])</f>
        <v>100</v>
      </c>
      <c r="AA540" s="45" t="str">
        <f t="array" ref="AA540">_xlfn.XLOOKUP(records[Method]&amp;"-"&amp;records[Class], dAirSpec[ID], dAirSpec[Unit])</f>
        <v>cfu/m3</v>
      </c>
      <c r="AB540" s="45">
        <f t="array" ref="AB540">if(S540="","", if(records[Method]="Active Air",_xlfn.xlookup(records[ColonyCount]&amp;records[AirSampler],feller[code],feller[Vc]),records[ColonyCount]))</f>
        <v>0</v>
      </c>
      <c r="AC540" s="60" t="b">
        <f t="shared" si="1"/>
        <v>1</v>
      </c>
      <c r="AD540" s="61" t="b">
        <v>0</v>
      </c>
      <c r="AE540" s="32"/>
      <c r="AF540" s="46"/>
      <c r="AG540" s="46"/>
      <c r="AH540" s="46"/>
      <c r="AI540" s="46"/>
      <c r="AJ540" s="46"/>
    </row>
    <row r="541" ht="22.5" customHeight="1">
      <c r="A541" s="27">
        <v>46242.0</v>
      </c>
      <c r="B541" s="34" t="str">
        <f t="array" ref="B541">TEXT(A541, "MM-YYYY")</f>
        <v>08-2026</v>
      </c>
      <c r="C541" s="226" t="s">
        <v>2412</v>
      </c>
      <c r="D541" s="227" t="s">
        <v>755</v>
      </c>
      <c r="E541" s="225" t="s">
        <v>531</v>
      </c>
      <c r="F541" s="37"/>
      <c r="G541" s="29" t="b">
        <v>0</v>
      </c>
      <c r="H541" s="36" t="s">
        <v>1737</v>
      </c>
      <c r="I541" s="36" t="s">
        <v>534</v>
      </c>
      <c r="J541" s="214"/>
      <c r="K541" s="215"/>
      <c r="L541" s="37" t="s">
        <v>194</v>
      </c>
      <c r="M541" s="37" t="s">
        <v>194</v>
      </c>
      <c r="N541" s="37" t="s">
        <v>194</v>
      </c>
      <c r="O541" s="37" t="s">
        <v>194</v>
      </c>
      <c r="P541" s="37" t="s">
        <v>527</v>
      </c>
      <c r="Q541" s="37" t="s">
        <v>528</v>
      </c>
      <c r="R541" s="41">
        <v>46651.0</v>
      </c>
      <c r="S541" s="230">
        <v>1.0</v>
      </c>
      <c r="T541" s="231" t="s">
        <v>2413</v>
      </c>
      <c r="U541" s="45" t="str">
        <f>IF(records[Type]="Room",records[roomNo],records[roomNo]&amp;"-"&amp;SUBSTITUTE(RIGHT(records[roomNo]&amp;records[Type],2),"-",""))</f>
        <v>16-1-067-M</v>
      </c>
      <c r="V541" s="47" t="str">
        <f t="array" ref="V541">_xlfn.XLOOKUP(records[ID], dAir[roomNo], dAir[roomName])</f>
        <v>#N/A</v>
      </c>
      <c r="W541" s="47" t="str">
        <f t="array" ref="W541">_xlfn.XLOOKUP(records[ID], dAir[roomNo], dAir[building])</f>
        <v>#N/A</v>
      </c>
      <c r="X541" s="47" t="str">
        <f t="array" ref="X541">_xlfn.XLOOKUP(records[ID], dAir[roomNo], dAir[floor])</f>
        <v>#N/A</v>
      </c>
      <c r="Y541" s="216" t="s">
        <v>1060</v>
      </c>
      <c r="Z541" s="45">
        <f t="array" ref="Z541">_xlfn.XLOOKUP(records[Method]&amp;"-"&amp;records[Class], dAirSpec[ID], dAirSpec[Spec])</f>
        <v>100</v>
      </c>
      <c r="AA541" s="45" t="str">
        <f t="array" ref="AA541">_xlfn.XLOOKUP(records[Method]&amp;"-"&amp;records[Class], dAirSpec[ID], dAirSpec[Unit])</f>
        <v>cfu/m3</v>
      </c>
      <c r="AB541" s="45">
        <f t="array" ref="AB541">if(S541="","", if(records[Method]="Active Air",_xlfn.xlookup(records[ColonyCount]&amp;records[AirSampler],feller[code],feller[Vc]),records[ColonyCount]))</f>
        <v>1</v>
      </c>
      <c r="AC541" s="60" t="b">
        <f t="shared" si="1"/>
        <v>1</v>
      </c>
      <c r="AD541" s="61" t="b">
        <v>0</v>
      </c>
      <c r="AE541" s="32"/>
      <c r="AF541" s="46"/>
      <c r="AG541" s="46"/>
      <c r="AH541" s="46"/>
      <c r="AI541" s="46"/>
      <c r="AJ541" s="46"/>
    </row>
    <row r="542" ht="22.5" customHeight="1">
      <c r="A542" s="27">
        <v>46242.0</v>
      </c>
      <c r="B542" s="34" t="str">
        <f t="array" ref="B542">TEXT(A542, "MM-YYYY")</f>
        <v>08-2026</v>
      </c>
      <c r="C542" s="226" t="s">
        <v>2412</v>
      </c>
      <c r="D542" s="227" t="s">
        <v>755</v>
      </c>
      <c r="E542" s="225" t="s">
        <v>531</v>
      </c>
      <c r="F542" s="37"/>
      <c r="G542" s="29" t="b">
        <v>0</v>
      </c>
      <c r="H542" s="36" t="s">
        <v>1737</v>
      </c>
      <c r="I542" s="36" t="s">
        <v>534</v>
      </c>
      <c r="J542" s="214"/>
      <c r="K542" s="215"/>
      <c r="L542" s="37" t="s">
        <v>194</v>
      </c>
      <c r="M542" s="37" t="s">
        <v>194</v>
      </c>
      <c r="N542" s="37" t="s">
        <v>194</v>
      </c>
      <c r="O542" s="37" t="s">
        <v>194</v>
      </c>
      <c r="P542" s="37" t="s">
        <v>527</v>
      </c>
      <c r="Q542" s="37" t="s">
        <v>528</v>
      </c>
      <c r="R542" s="41">
        <v>46651.0</v>
      </c>
      <c r="S542" s="230">
        <v>2.0</v>
      </c>
      <c r="T542" s="231" t="s">
        <v>2414</v>
      </c>
      <c r="U542" s="45" t="str">
        <f>IF(records[Type]="Room",records[roomNo],records[roomNo]&amp;"-"&amp;SUBSTITUTE(RIGHT(records[roomNo]&amp;records[Type],2),"-",""))</f>
        <v>16-1-067-M</v>
      </c>
      <c r="V542" s="47" t="str">
        <f t="array" ref="V542">_xlfn.XLOOKUP(records[ID], dAir[roomNo], dAir[roomName])</f>
        <v>#N/A</v>
      </c>
      <c r="W542" s="47" t="str">
        <f t="array" ref="W542">_xlfn.XLOOKUP(records[ID], dAir[roomNo], dAir[building])</f>
        <v>#N/A</v>
      </c>
      <c r="X542" s="47" t="str">
        <f t="array" ref="X542">_xlfn.XLOOKUP(records[ID], dAir[roomNo], dAir[floor])</f>
        <v>#N/A</v>
      </c>
      <c r="Y542" s="216" t="s">
        <v>1060</v>
      </c>
      <c r="Z542" s="45">
        <f t="array" ref="Z542">_xlfn.XLOOKUP(records[Method]&amp;"-"&amp;records[Class], dAirSpec[ID], dAirSpec[Spec])</f>
        <v>100</v>
      </c>
      <c r="AA542" s="45" t="str">
        <f t="array" ref="AA542">_xlfn.XLOOKUP(records[Method]&amp;"-"&amp;records[Class], dAirSpec[ID], dAirSpec[Unit])</f>
        <v>cfu/m3</v>
      </c>
      <c r="AB542" s="45">
        <f t="array" ref="AB542">if(S542="","", if(records[Method]="Active Air",_xlfn.xlookup(records[ColonyCount]&amp;records[AirSampler],feller[code],feller[Vc]),records[ColonyCount]))</f>
        <v>2</v>
      </c>
      <c r="AC542" s="60" t="b">
        <f t="shared" si="1"/>
        <v>1</v>
      </c>
      <c r="AD542" s="61" t="b">
        <v>0</v>
      </c>
      <c r="AE542" s="32"/>
      <c r="AF542" s="46"/>
      <c r="AG542" s="46"/>
      <c r="AH542" s="46"/>
      <c r="AI542" s="46"/>
      <c r="AJ542" s="46"/>
    </row>
    <row r="543" ht="22.5" customHeight="1">
      <c r="A543" s="27">
        <v>46242.0</v>
      </c>
      <c r="B543" s="34" t="str">
        <f t="array" ref="B543">TEXT(A543, "MM-YYYY")</f>
        <v>08-2026</v>
      </c>
      <c r="C543" s="226" t="s">
        <v>1471</v>
      </c>
      <c r="D543" s="227" t="s">
        <v>1350</v>
      </c>
      <c r="E543" s="225" t="s">
        <v>531</v>
      </c>
      <c r="F543" s="37"/>
      <c r="G543" s="29" t="b">
        <v>0</v>
      </c>
      <c r="H543" s="36" t="s">
        <v>1737</v>
      </c>
      <c r="I543" s="36" t="s">
        <v>534</v>
      </c>
      <c r="J543" s="214"/>
      <c r="K543" s="215"/>
      <c r="L543" s="37" t="s">
        <v>194</v>
      </c>
      <c r="M543" s="37" t="s">
        <v>194</v>
      </c>
      <c r="N543" s="37" t="s">
        <v>194</v>
      </c>
      <c r="O543" s="37" t="s">
        <v>194</v>
      </c>
      <c r="P543" s="37" t="s">
        <v>527</v>
      </c>
      <c r="Q543" s="37" t="s">
        <v>528</v>
      </c>
      <c r="R543" s="41">
        <v>46651.0</v>
      </c>
      <c r="S543" s="230">
        <v>0.0</v>
      </c>
      <c r="T543" s="231" t="s">
        <v>1483</v>
      </c>
      <c r="U543" s="45" t="str">
        <f>IF(records[Type]="Room",records[roomNo],records[roomNo]&amp;"-"&amp;SUBSTITUTE(RIGHT(records[roomNo]&amp;records[Type],2),"-",""))</f>
        <v>16-1-097-PB</v>
      </c>
      <c r="V543" s="47" t="str">
        <f t="array" ref="V543">_xlfn.XLOOKUP(records[ID], dAir[roomNo], dAir[roomName])</f>
        <v>VIALS INTERNAL STAGING (Passbox)</v>
      </c>
      <c r="W543" s="47" t="str">
        <f t="array" ref="W543">_xlfn.XLOOKUP(records[ID], dAir[roomNo], dAir[building])</f>
        <v>Building 16</v>
      </c>
      <c r="X543" s="47" t="str">
        <f t="array" ref="X543">_xlfn.XLOOKUP(records[ID], dAir[roomNo], dAir[floor])</f>
        <v>Floor 1</v>
      </c>
      <c r="Y543" s="45" t="str">
        <f t="array" ref="Y543">_xlfn.XLOOKUP(records[ID], dAir[roomNo], dAir[Class])</f>
        <v>C</v>
      </c>
      <c r="Z543" s="45">
        <f t="array" ref="Z543">_xlfn.XLOOKUP(records[Method]&amp;"-"&amp;records[Class], dAirSpec[ID], dAirSpec[Spec])</f>
        <v>100</v>
      </c>
      <c r="AA543" s="45" t="str">
        <f t="array" ref="AA543">_xlfn.XLOOKUP(records[Method]&amp;"-"&amp;records[Class], dAirSpec[ID], dAirSpec[Unit])</f>
        <v>cfu/m3</v>
      </c>
      <c r="AB543" s="45">
        <f t="array" ref="AB543">if(S543="","", if(records[Method]="Active Air",_xlfn.xlookup(records[ColonyCount]&amp;records[AirSampler],feller[code],feller[Vc]),records[ColonyCount]))</f>
        <v>0</v>
      </c>
      <c r="AC543" s="60" t="b">
        <f t="shared" si="1"/>
        <v>1</v>
      </c>
      <c r="AD543" s="61" t="b">
        <v>0</v>
      </c>
      <c r="AE543" s="32"/>
      <c r="AF543" s="46"/>
      <c r="AG543" s="46"/>
      <c r="AH543" s="46"/>
      <c r="AI543" s="46"/>
      <c r="AJ543" s="46"/>
    </row>
    <row r="544" ht="22.5" customHeight="1">
      <c r="A544" s="27">
        <v>46242.0</v>
      </c>
      <c r="B544" s="34" t="str">
        <f t="array" ref="B544">TEXT(A544, "MM-YYYY")</f>
        <v>08-2026</v>
      </c>
      <c r="C544" s="226" t="s">
        <v>1311</v>
      </c>
      <c r="D544" s="227" t="s">
        <v>1350</v>
      </c>
      <c r="E544" s="225" t="s">
        <v>531</v>
      </c>
      <c r="F544" s="37"/>
      <c r="G544" s="29" t="b">
        <v>0</v>
      </c>
      <c r="H544" s="36" t="s">
        <v>1737</v>
      </c>
      <c r="I544" s="36" t="s">
        <v>534</v>
      </c>
      <c r="J544" s="214"/>
      <c r="K544" s="215"/>
      <c r="L544" s="37" t="s">
        <v>194</v>
      </c>
      <c r="M544" s="37" t="s">
        <v>194</v>
      </c>
      <c r="N544" s="37" t="s">
        <v>194</v>
      </c>
      <c r="O544" s="37" t="s">
        <v>194</v>
      </c>
      <c r="P544" s="37" t="s">
        <v>527</v>
      </c>
      <c r="Q544" s="37" t="s">
        <v>528</v>
      </c>
      <c r="R544" s="41">
        <v>46651.0</v>
      </c>
      <c r="S544" s="230">
        <v>2.0</v>
      </c>
      <c r="T544" s="231" t="s">
        <v>1483</v>
      </c>
      <c r="U544" s="45" t="str">
        <f>IF(records[Type]="Room",records[roomNo],records[roomNo]&amp;"-"&amp;SUBSTITUTE(RIGHT(records[roomNo]&amp;records[Type],2),"-",""))</f>
        <v>16-1-091-PB</v>
      </c>
      <c r="V544" s="47" t="str">
        <f t="array" ref="V544">_xlfn.XLOOKUP(records[ID], dAir[roomNo], dAir[roomName])</f>
        <v>CORRIDOR (Passbox)</v>
      </c>
      <c r="W544" s="47" t="str">
        <f t="array" ref="W544">_xlfn.XLOOKUP(records[ID], dAir[roomNo], dAir[building])</f>
        <v>Building 16</v>
      </c>
      <c r="X544" s="47" t="str">
        <f t="array" ref="X544">_xlfn.XLOOKUP(records[ID], dAir[roomNo], dAir[floor])</f>
        <v>Floor 1</v>
      </c>
      <c r="Y544" s="45" t="str">
        <f t="array" ref="Y544">_xlfn.XLOOKUP(records[ID], dAir[roomNo], dAir[Class])</f>
        <v>C</v>
      </c>
      <c r="Z544" s="45">
        <f t="array" ref="Z544">_xlfn.XLOOKUP(records[Method]&amp;"-"&amp;records[Class], dAirSpec[ID], dAirSpec[Spec])</f>
        <v>100</v>
      </c>
      <c r="AA544" s="45" t="str">
        <f t="array" ref="AA544">_xlfn.XLOOKUP(records[Method]&amp;"-"&amp;records[Class], dAirSpec[ID], dAirSpec[Unit])</f>
        <v>cfu/m3</v>
      </c>
      <c r="AB544" s="45">
        <f t="array" ref="AB544">if(S544="","", if(records[Method]="Active Air",_xlfn.xlookup(records[ColonyCount]&amp;records[AirSampler],feller[code],feller[Vc]),records[ColonyCount]))</f>
        <v>2</v>
      </c>
      <c r="AC544" s="60" t="b">
        <f t="shared" si="1"/>
        <v>1</v>
      </c>
      <c r="AD544" s="61" t="b">
        <v>0</v>
      </c>
      <c r="AE544" s="32"/>
      <c r="AF544" s="46"/>
      <c r="AG544" s="46"/>
      <c r="AH544" s="46"/>
      <c r="AI544" s="46"/>
      <c r="AJ544" s="46"/>
    </row>
    <row r="545" ht="22.5" customHeight="1">
      <c r="A545" s="27">
        <v>46242.0</v>
      </c>
      <c r="B545" s="34" t="str">
        <f t="array" ref="B545">TEXT(A545, "MM-YYYY")</f>
        <v>08-2026</v>
      </c>
      <c r="C545" s="226" t="s">
        <v>1493</v>
      </c>
      <c r="D545" s="227" t="s">
        <v>1350</v>
      </c>
      <c r="E545" s="225" t="s">
        <v>531</v>
      </c>
      <c r="F545" s="37"/>
      <c r="G545" s="29" t="b">
        <v>0</v>
      </c>
      <c r="H545" s="36" t="s">
        <v>1737</v>
      </c>
      <c r="I545" s="36" t="s">
        <v>534</v>
      </c>
      <c r="J545" s="214"/>
      <c r="K545" s="215"/>
      <c r="L545" s="37" t="s">
        <v>194</v>
      </c>
      <c r="M545" s="37" t="s">
        <v>194</v>
      </c>
      <c r="N545" s="37" t="s">
        <v>194</v>
      </c>
      <c r="O545" s="37" t="s">
        <v>194</v>
      </c>
      <c r="P545" s="37" t="s">
        <v>527</v>
      </c>
      <c r="Q545" s="37" t="s">
        <v>528</v>
      </c>
      <c r="R545" s="41">
        <v>46651.0</v>
      </c>
      <c r="S545" s="230">
        <v>8.0</v>
      </c>
      <c r="T545" s="231" t="s">
        <v>1483</v>
      </c>
      <c r="U545" s="45" t="str">
        <f>IF(records[Type]="Room",records[roomNo],records[roomNo]&amp;"-"&amp;SUBSTITUTE(RIGHT(records[roomNo]&amp;records[Type],2),"-",""))</f>
        <v>16-1-104-PB</v>
      </c>
      <c r="V545" s="47" t="str">
        <f t="array" ref="V545">_xlfn.XLOOKUP(records[ID], dAir[roomNo], dAir[roomName])</f>
        <v>AMPOULES INTERNAL STAGING (Passbox)</v>
      </c>
      <c r="W545" s="47" t="str">
        <f t="array" ref="W545">_xlfn.XLOOKUP(records[ID], dAir[roomNo], dAir[building])</f>
        <v>Building 16</v>
      </c>
      <c r="X545" s="47" t="str">
        <f t="array" ref="X545">_xlfn.XLOOKUP(records[ID], dAir[roomNo], dAir[floor])</f>
        <v>Floor 1</v>
      </c>
      <c r="Y545" s="45" t="str">
        <f t="array" ref="Y545">_xlfn.XLOOKUP(records[ID], dAir[roomNo], dAir[Class])</f>
        <v>C</v>
      </c>
      <c r="Z545" s="45">
        <f t="array" ref="Z545">_xlfn.XLOOKUP(records[Method]&amp;"-"&amp;records[Class], dAirSpec[ID], dAirSpec[Spec])</f>
        <v>100</v>
      </c>
      <c r="AA545" s="45" t="str">
        <f t="array" ref="AA545">_xlfn.XLOOKUP(records[Method]&amp;"-"&amp;records[Class], dAirSpec[ID], dAirSpec[Unit])</f>
        <v>cfu/m3</v>
      </c>
      <c r="AB545" s="45">
        <f t="array" ref="AB545">if(S545="","", if(records[Method]="Active Air",_xlfn.xlookup(records[ColonyCount]&amp;records[AirSampler],feller[code],feller[Vc]),records[ColonyCount]))</f>
        <v>8</v>
      </c>
      <c r="AC545" s="60" t="b">
        <f t="shared" si="1"/>
        <v>1</v>
      </c>
      <c r="AD545" s="61" t="b">
        <v>0</v>
      </c>
      <c r="AE545" s="32"/>
      <c r="AF545" s="46"/>
      <c r="AG545" s="46"/>
      <c r="AH545" s="46"/>
      <c r="AI545" s="46"/>
      <c r="AJ545" s="46"/>
    </row>
    <row r="546" ht="22.5" customHeight="1">
      <c r="A546" s="27">
        <v>46242.0</v>
      </c>
      <c r="B546" s="34" t="str">
        <f t="array" ref="B546">TEXT(A546, "MM-YYYY")</f>
        <v>08-2026</v>
      </c>
      <c r="C546" s="226" t="s">
        <v>1486</v>
      </c>
      <c r="D546" s="227" t="s">
        <v>1350</v>
      </c>
      <c r="E546" s="225" t="s">
        <v>531</v>
      </c>
      <c r="F546" s="37"/>
      <c r="G546" s="29" t="b">
        <v>0</v>
      </c>
      <c r="H546" s="36" t="s">
        <v>1737</v>
      </c>
      <c r="I546" s="36" t="s">
        <v>534</v>
      </c>
      <c r="J546" s="214"/>
      <c r="K546" s="215"/>
      <c r="L546" s="37" t="s">
        <v>194</v>
      </c>
      <c r="M546" s="37" t="s">
        <v>194</v>
      </c>
      <c r="N546" s="37" t="s">
        <v>194</v>
      </c>
      <c r="O546" s="37" t="s">
        <v>194</v>
      </c>
      <c r="P546" s="37" t="s">
        <v>527</v>
      </c>
      <c r="Q546" s="37" t="s">
        <v>528</v>
      </c>
      <c r="R546" s="41">
        <v>46651.0</v>
      </c>
      <c r="S546" s="230">
        <v>2.0</v>
      </c>
      <c r="T546" s="231" t="s">
        <v>1483</v>
      </c>
      <c r="U546" s="45" t="str">
        <f>IF(records[Type]="Room",records[roomNo],records[roomNo]&amp;"-"&amp;SUBSTITUTE(RIGHT(records[roomNo]&amp;records[Type],2),"-",""))</f>
        <v>16-1-101-PB</v>
      </c>
      <c r="V546" s="47" t="str">
        <f t="array" ref="V546">_xlfn.XLOOKUP(records[ID], dAir[roomNo], dAir[roomName])</f>
        <v>AIRLOCK (Passbox)</v>
      </c>
      <c r="W546" s="47" t="str">
        <f t="array" ref="W546">_xlfn.XLOOKUP(records[ID], dAir[roomNo], dAir[building])</f>
        <v>Building 16</v>
      </c>
      <c r="X546" s="47" t="str">
        <f t="array" ref="X546">_xlfn.XLOOKUP(records[ID], dAir[roomNo], dAir[floor])</f>
        <v>Floor 1</v>
      </c>
      <c r="Y546" s="45" t="str">
        <f t="array" ref="Y546">_xlfn.XLOOKUP(records[ID], dAir[roomNo], dAir[Class])</f>
        <v>C</v>
      </c>
      <c r="Z546" s="45">
        <f t="array" ref="Z546">_xlfn.XLOOKUP(records[Method]&amp;"-"&amp;records[Class], dAirSpec[ID], dAirSpec[Spec])</f>
        <v>100</v>
      </c>
      <c r="AA546" s="45" t="str">
        <f t="array" ref="AA546">_xlfn.XLOOKUP(records[Method]&amp;"-"&amp;records[Class], dAirSpec[ID], dAirSpec[Unit])</f>
        <v>cfu/m3</v>
      </c>
      <c r="AB546" s="45">
        <f t="array" ref="AB546">if(S546="","", if(records[Method]="Active Air",_xlfn.xlookup(records[ColonyCount]&amp;records[AirSampler],feller[code],feller[Vc]),records[ColonyCount]))</f>
        <v>2</v>
      </c>
      <c r="AC546" s="60" t="b">
        <f t="shared" si="1"/>
        <v>1</v>
      </c>
      <c r="AD546" s="61" t="b">
        <v>0</v>
      </c>
      <c r="AE546" s="32"/>
      <c r="AF546" s="46"/>
      <c r="AG546" s="46"/>
      <c r="AH546" s="46"/>
      <c r="AI546" s="46"/>
      <c r="AJ546" s="46"/>
    </row>
    <row r="547" ht="22.5" customHeight="1">
      <c r="A547" s="27">
        <v>46242.0</v>
      </c>
      <c r="B547" s="34" t="str">
        <f t="array" ref="B547">TEXT(A547, "MM-YYYY")</f>
        <v>08-2026</v>
      </c>
      <c r="C547" s="226" t="s">
        <v>1502</v>
      </c>
      <c r="D547" s="227" t="s">
        <v>210</v>
      </c>
      <c r="E547" s="225" t="s">
        <v>531</v>
      </c>
      <c r="F547" s="37"/>
      <c r="G547" s="29" t="b">
        <v>0</v>
      </c>
      <c r="H547" s="36" t="s">
        <v>1737</v>
      </c>
      <c r="I547" s="36" t="s">
        <v>534</v>
      </c>
      <c r="J547" s="214"/>
      <c r="K547" s="215"/>
      <c r="L547" s="37" t="s">
        <v>194</v>
      </c>
      <c r="M547" s="37" t="s">
        <v>194</v>
      </c>
      <c r="N547" s="37" t="s">
        <v>194</v>
      </c>
      <c r="O547" s="37" t="s">
        <v>194</v>
      </c>
      <c r="P547" s="37" t="s">
        <v>527</v>
      </c>
      <c r="Q547" s="37" t="s">
        <v>528</v>
      </c>
      <c r="R547" s="41">
        <v>46651.0</v>
      </c>
      <c r="S547" s="230">
        <v>2.0</v>
      </c>
      <c r="T547" s="231" t="s">
        <v>2416</v>
      </c>
      <c r="U547" s="47" t="str">
        <f>IF(records[Type]="Room",records[roomNo],records[roomNo]&amp;"-"&amp;SUBSTITUTE(RIGHT(records[roomNo]&amp;records[Type],2),"-",""))</f>
        <v>16-1-112</v>
      </c>
      <c r="V547" s="47" t="str">
        <f t="array" ref="V547">_xlfn.XLOOKUP(records[ID], dAir[roomNo], dAir[roomName])</f>
        <v>PASSAGE</v>
      </c>
      <c r="W547" s="47" t="str">
        <f t="array" ref="W547">_xlfn.XLOOKUP(records[ID], dAir[roomNo], dAir[building])</f>
        <v>Building 16</v>
      </c>
      <c r="X547" s="47" t="str">
        <f t="array" ref="X547">_xlfn.XLOOKUP(records[ID], dAir[roomNo], dAir[floor])</f>
        <v>Floor 1</v>
      </c>
      <c r="Y547" s="45" t="str">
        <f t="array" ref="Y547">_xlfn.XLOOKUP(records[ID], dAir[roomNo], dAir[Class])</f>
        <v>C</v>
      </c>
      <c r="Z547" s="45">
        <f t="array" ref="Z547">_xlfn.XLOOKUP(records[Method]&amp;"-"&amp;records[Class], dAirSpec[ID], dAirSpec[Spec])</f>
        <v>100</v>
      </c>
      <c r="AA547" s="45" t="str">
        <f t="array" ref="AA547">_xlfn.XLOOKUP(records[Method]&amp;"-"&amp;records[Class], dAirSpec[ID], dAirSpec[Unit])</f>
        <v>cfu/m3</v>
      </c>
      <c r="AB547" s="45">
        <f t="array" ref="AB547">if(S547="","", if(records[Method]="Active Air",_xlfn.xlookup(records[ColonyCount]&amp;records[AirSampler],feller[code],feller[Vc]),records[ColonyCount]))</f>
        <v>2</v>
      </c>
      <c r="AC547" s="60" t="b">
        <f t="shared" si="1"/>
        <v>1</v>
      </c>
      <c r="AD547" s="61" t="b">
        <v>0</v>
      </c>
      <c r="AE547" s="32"/>
      <c r="AF547" s="46"/>
      <c r="AG547" s="46"/>
      <c r="AH547" s="46"/>
      <c r="AI547" s="46"/>
      <c r="AJ547" s="46"/>
    </row>
    <row r="548" ht="22.5" customHeight="1">
      <c r="A548" s="27">
        <v>46242.0</v>
      </c>
      <c r="B548" s="34" t="str">
        <f t="array" ref="B548">TEXT(A548, "MM-YYYY")</f>
        <v>08-2026</v>
      </c>
      <c r="C548" s="226" t="s">
        <v>776</v>
      </c>
      <c r="D548" s="227" t="s">
        <v>210</v>
      </c>
      <c r="E548" s="225" t="s">
        <v>531</v>
      </c>
      <c r="F548" s="37"/>
      <c r="G548" s="29" t="b">
        <v>0</v>
      </c>
      <c r="H548" s="36" t="s">
        <v>1737</v>
      </c>
      <c r="I548" s="36" t="s">
        <v>534</v>
      </c>
      <c r="J548" s="214"/>
      <c r="K548" s="215"/>
      <c r="L548" s="37" t="s">
        <v>194</v>
      </c>
      <c r="M548" s="37" t="s">
        <v>194</v>
      </c>
      <c r="N548" s="37" t="s">
        <v>194</v>
      </c>
      <c r="O548" s="37" t="s">
        <v>194</v>
      </c>
      <c r="P548" s="37" t="s">
        <v>527</v>
      </c>
      <c r="Q548" s="37" t="s">
        <v>528</v>
      </c>
      <c r="R548" s="41">
        <v>46651.0</v>
      </c>
      <c r="S548" s="228">
        <v>7.0</v>
      </c>
      <c r="T548" s="229" t="s">
        <v>2417</v>
      </c>
      <c r="U548" s="47" t="str">
        <f>IF(records[Type]="Room",records[roomNo],records[roomNo]&amp;"-"&amp;SUBSTITUTE(RIGHT(records[roomNo]&amp;records[Type],2),"-",""))</f>
        <v>16-1-114</v>
      </c>
      <c r="V548" s="47" t="str">
        <f t="array" ref="V548">_xlfn.XLOOKUP(records[ID], dAir[roomNo], dAir[roomName])</f>
        <v>COMPOUNDING 2</v>
      </c>
      <c r="W548" s="47" t="str">
        <f t="array" ref="W548">_xlfn.XLOOKUP(records[ID], dAir[roomNo], dAir[building])</f>
        <v>Building 16</v>
      </c>
      <c r="X548" s="47" t="str">
        <f t="array" ref="X548">_xlfn.XLOOKUP(records[ID], dAir[roomNo], dAir[floor])</f>
        <v>Floor 1</v>
      </c>
      <c r="Y548" s="45" t="str">
        <f t="array" ref="Y548">_xlfn.XLOOKUP(records[ID], dAir[roomNo], dAir[Class])</f>
        <v>C</v>
      </c>
      <c r="Z548" s="45">
        <f t="array" ref="Z548">_xlfn.XLOOKUP(records[Method]&amp;"-"&amp;records[Class], dAirSpec[ID], dAirSpec[Spec])</f>
        <v>100</v>
      </c>
      <c r="AA548" s="45" t="str">
        <f t="array" ref="AA548">_xlfn.XLOOKUP(records[Method]&amp;"-"&amp;records[Class], dAirSpec[ID], dAirSpec[Unit])</f>
        <v>cfu/m3</v>
      </c>
      <c r="AB548" s="45">
        <f t="array" ref="AB548">if(S548="","", if(records[Method]="Active Air",_xlfn.xlookup(records[ColonyCount]&amp;records[AirSampler],feller[code],feller[Vc]),records[ColonyCount]))</f>
        <v>7</v>
      </c>
      <c r="AC548" s="60" t="b">
        <f t="shared" si="1"/>
        <v>1</v>
      </c>
      <c r="AD548" s="61" t="b">
        <v>0</v>
      </c>
      <c r="AE548" s="32"/>
      <c r="AF548" s="46"/>
      <c r="AG548" s="46"/>
      <c r="AH548" s="46"/>
      <c r="AI548" s="46"/>
      <c r="AJ548" s="46"/>
    </row>
    <row r="549" ht="22.5" customHeight="1">
      <c r="A549" s="27">
        <v>46242.0</v>
      </c>
      <c r="B549" s="34" t="str">
        <f t="array" ref="B549">TEXT(A549, "MM-YYYY")</f>
        <v>08-2026</v>
      </c>
      <c r="C549" s="226" t="s">
        <v>763</v>
      </c>
      <c r="D549" s="227" t="s">
        <v>210</v>
      </c>
      <c r="E549" s="225" t="s">
        <v>531</v>
      </c>
      <c r="F549" s="37"/>
      <c r="G549" s="29" t="b">
        <v>0</v>
      </c>
      <c r="H549" s="36" t="s">
        <v>1737</v>
      </c>
      <c r="I549" s="36" t="s">
        <v>534</v>
      </c>
      <c r="J549" s="214"/>
      <c r="K549" s="215"/>
      <c r="L549" s="37" t="s">
        <v>194</v>
      </c>
      <c r="M549" s="37" t="s">
        <v>194</v>
      </c>
      <c r="N549" s="37" t="s">
        <v>194</v>
      </c>
      <c r="O549" s="37" t="s">
        <v>194</v>
      </c>
      <c r="P549" s="37" t="s">
        <v>527</v>
      </c>
      <c r="Q549" s="37" t="s">
        <v>528</v>
      </c>
      <c r="R549" s="41">
        <v>46651.0</v>
      </c>
      <c r="S549" s="228">
        <v>2.0</v>
      </c>
      <c r="T549" s="229" t="s">
        <v>2418</v>
      </c>
      <c r="U549" s="47" t="str">
        <f>IF(records[Type]="Room",records[roomNo],records[roomNo]&amp;"-"&amp;SUBSTITUTE(RIGHT(records[roomNo]&amp;records[Type],2),"-",""))</f>
        <v>16-1-107</v>
      </c>
      <c r="V549" s="47" t="str">
        <f t="array" ref="V549">_xlfn.XLOOKUP(records[ID], dAir[roomNo], dAir[roomName])</f>
        <v>COMPOUNDING 1</v>
      </c>
      <c r="W549" s="47" t="str">
        <f t="array" ref="W549">_xlfn.XLOOKUP(records[ID], dAir[roomNo], dAir[building])</f>
        <v>Building 16</v>
      </c>
      <c r="X549" s="47" t="str">
        <f t="array" ref="X549">_xlfn.XLOOKUP(records[ID], dAir[roomNo], dAir[floor])</f>
        <v>Floor 1</v>
      </c>
      <c r="Y549" s="45" t="str">
        <f t="array" ref="Y549">_xlfn.XLOOKUP(records[ID], dAir[roomNo], dAir[Class])</f>
        <v>C</v>
      </c>
      <c r="Z549" s="45">
        <f t="array" ref="Z549">_xlfn.XLOOKUP(records[Method]&amp;"-"&amp;records[Class], dAirSpec[ID], dAirSpec[Spec])</f>
        <v>100</v>
      </c>
      <c r="AA549" s="45" t="str">
        <f t="array" ref="AA549">_xlfn.XLOOKUP(records[Method]&amp;"-"&amp;records[Class], dAirSpec[ID], dAirSpec[Unit])</f>
        <v>cfu/m3</v>
      </c>
      <c r="AB549" s="45">
        <f t="array" ref="AB549">if(S549="","", if(records[Method]="Active Air",_xlfn.xlookup(records[ColonyCount]&amp;records[AirSampler],feller[code],feller[Vc]),records[ColonyCount]))</f>
        <v>2</v>
      </c>
      <c r="AC549" s="60" t="b">
        <f t="shared" si="1"/>
        <v>1</v>
      </c>
      <c r="AD549" s="61" t="b">
        <v>0</v>
      </c>
      <c r="AE549" s="32"/>
      <c r="AF549" s="46"/>
      <c r="AG549" s="46"/>
      <c r="AH549" s="46"/>
      <c r="AI549" s="46"/>
      <c r="AJ549" s="46"/>
    </row>
    <row r="550" ht="22.5" customHeight="1">
      <c r="A550" s="27">
        <v>46242.0</v>
      </c>
      <c r="B550" s="34" t="str">
        <f t="array" ref="B550">TEXT(A550, "MM-YYYY")</f>
        <v>08-2026</v>
      </c>
      <c r="C550" s="226" t="s">
        <v>753</v>
      </c>
      <c r="D550" s="227" t="s">
        <v>755</v>
      </c>
      <c r="E550" s="225" t="s">
        <v>531</v>
      </c>
      <c r="F550" s="37"/>
      <c r="G550" s="29" t="b">
        <v>0</v>
      </c>
      <c r="H550" s="36" t="s">
        <v>1737</v>
      </c>
      <c r="I550" s="36" t="s">
        <v>534</v>
      </c>
      <c r="J550" s="214"/>
      <c r="K550" s="215"/>
      <c r="L550" s="37" t="s">
        <v>194</v>
      </c>
      <c r="M550" s="37" t="s">
        <v>194</v>
      </c>
      <c r="N550" s="37" t="s">
        <v>194</v>
      </c>
      <c r="O550" s="37" t="s">
        <v>194</v>
      </c>
      <c r="P550" s="37" t="s">
        <v>527</v>
      </c>
      <c r="Q550" s="37" t="s">
        <v>528</v>
      </c>
      <c r="R550" s="41">
        <v>46651.0</v>
      </c>
      <c r="S550" s="230">
        <v>0.0</v>
      </c>
      <c r="T550" s="231" t="s">
        <v>2419</v>
      </c>
      <c r="U550" s="45" t="str">
        <f>IF(records[Type]="Room",records[roomNo],records[roomNo]&amp;"-"&amp;SUBSTITUTE(RIGHT(records[roomNo]&amp;records[Type],2),"-",""))</f>
        <v>16-1-075-M</v>
      </c>
      <c r="V550" s="47" t="str">
        <f t="array" ref="V550">_xlfn.XLOOKUP(records[ID], dAir[roomNo], dAir[roomName])</f>
        <v>VIALS CAPPING (Machine)</v>
      </c>
      <c r="W550" s="47" t="str">
        <f t="array" ref="W550">_xlfn.XLOOKUP(records[ID], dAir[roomNo], dAir[building])</f>
        <v>Building 16</v>
      </c>
      <c r="X550" s="47" t="str">
        <f t="array" ref="X550">_xlfn.XLOOKUP(records[ID], dAir[roomNo], dAir[floor])</f>
        <v>Floor 1</v>
      </c>
      <c r="Y550" s="45" t="str">
        <f t="array" ref="Y550">_xlfn.XLOOKUP(records[ID], dAir[roomNo], dAir[Class])</f>
        <v>A</v>
      </c>
      <c r="Z550" s="45">
        <f t="array" ref="Z550">_xlfn.XLOOKUP(records[Method]&amp;"-"&amp;records[Class], dAirSpec[ID], dAirSpec[Spec])</f>
        <v>0</v>
      </c>
      <c r="AA550" s="45" t="str">
        <f t="array" ref="AA550">_xlfn.XLOOKUP(records[Method]&amp;"-"&amp;records[Class], dAirSpec[ID], dAirSpec[Unit])</f>
        <v>cfu/m3</v>
      </c>
      <c r="AB550" s="45">
        <f t="array" ref="AB550">if(S550="","", if(records[Method]="Active Air",_xlfn.xlookup(records[ColonyCount]&amp;records[AirSampler],feller[code],feller[Vc]),records[ColonyCount]))</f>
        <v>0</v>
      </c>
      <c r="AC550" s="60" t="b">
        <f t="shared" si="1"/>
        <v>1</v>
      </c>
      <c r="AD550" s="61" t="b">
        <v>0</v>
      </c>
      <c r="AE550" s="32"/>
      <c r="AF550" s="46"/>
      <c r="AG550" s="46"/>
      <c r="AH550" s="46"/>
      <c r="AI550" s="46"/>
      <c r="AJ550" s="46"/>
    </row>
    <row r="551" ht="22.5" customHeight="1">
      <c r="A551" s="27">
        <v>46243.0</v>
      </c>
      <c r="B551" s="34" t="str">
        <f t="array" ref="B551">TEXT(A551, "MM-YYYY")</f>
        <v>08-2026</v>
      </c>
      <c r="C551" s="20" t="s">
        <v>840</v>
      </c>
      <c r="D551" s="21" t="s">
        <v>210</v>
      </c>
      <c r="E551" s="225" t="s">
        <v>213</v>
      </c>
      <c r="F551" s="37" t="s">
        <v>88</v>
      </c>
      <c r="G551" s="29" t="b">
        <v>1</v>
      </c>
      <c r="H551" s="36" t="s">
        <v>214</v>
      </c>
      <c r="I551" s="36" t="s">
        <v>215</v>
      </c>
      <c r="J551" s="214"/>
      <c r="K551" s="215"/>
      <c r="L551" s="37" t="s">
        <v>194</v>
      </c>
      <c r="M551" s="37" t="s">
        <v>194</v>
      </c>
      <c r="N551" s="37" t="s">
        <v>194</v>
      </c>
      <c r="O551" s="37" t="s">
        <v>194</v>
      </c>
      <c r="P551" s="37" t="s">
        <v>527</v>
      </c>
      <c r="Q551" s="37" t="s">
        <v>528</v>
      </c>
      <c r="R551" s="41">
        <v>46651.0</v>
      </c>
      <c r="S551" s="42">
        <v>0.0</v>
      </c>
      <c r="T551" s="44" t="s">
        <v>194</v>
      </c>
      <c r="U551" s="47" t="str">
        <f>IF(records[Type]="Room",records[roomNo],records[roomNo]&amp;"-"&amp;SUBSTITUTE(RIGHT(records[roomNo]&amp;records[Type],2),"-",""))</f>
        <v>16-1-069</v>
      </c>
      <c r="V551" s="47" t="str">
        <f t="array" ref="V551">_xlfn.XLOOKUP(records[ID], dAir[roomNo], dAir[roomName])</f>
        <v>MEN PAL</v>
      </c>
      <c r="W551" s="47" t="str">
        <f t="array" ref="W551">_xlfn.XLOOKUP(records[ID], dAir[roomNo], dAir[building])</f>
        <v>Building 16</v>
      </c>
      <c r="X551" s="47" t="str">
        <f t="array" ref="X551">_xlfn.XLOOKUP(records[ID], dAir[roomNo], dAir[floor])</f>
        <v>Floor 1</v>
      </c>
      <c r="Y551" s="45" t="str">
        <f t="array" ref="Y551">_xlfn.XLOOKUP(records[ID], dAir[roomNo], dAir[Class])</f>
        <v>D</v>
      </c>
      <c r="Z551" s="45">
        <f t="array" ref="Z551">_xlfn.XLOOKUP(records[Method]&amp;"-"&amp;records[Class], dAirSpec[ID], dAirSpec[Spec])</f>
        <v>100</v>
      </c>
      <c r="AA551" s="45" t="str">
        <f t="array" ref="AA551">_xlfn.XLOOKUP(records[Method]&amp;"-"&amp;records[Class], dAirSpec[ID], dAirSpec[Unit])</f>
        <v>cfu/plate</v>
      </c>
      <c r="AB551" s="58">
        <f t="array" ref="AB551">if(S551="","", if(records[Method]="Active Air",_xlfn.xlookup(records[ColonyCount]&amp;records[AirSampler],feller[code],feller[Vc]),records[ColonyCount]))</f>
        <v>0</v>
      </c>
      <c r="AC551" s="60" t="b">
        <f t="shared" si="1"/>
        <v>1</v>
      </c>
      <c r="AD551" s="61" t="b">
        <v>0</v>
      </c>
      <c r="AE551" s="32" t="s">
        <v>235</v>
      </c>
      <c r="AF551" s="46"/>
      <c r="AG551" s="46"/>
      <c r="AH551" s="46"/>
      <c r="AI551" s="46"/>
      <c r="AJ551" s="46"/>
    </row>
    <row r="552" ht="22.5" customHeight="1">
      <c r="A552" s="27">
        <v>46243.0</v>
      </c>
      <c r="B552" s="34" t="str">
        <f t="array" ref="B552">TEXT(A552, "MM-YYYY")</f>
        <v>08-2026</v>
      </c>
      <c r="C552" s="39" t="s">
        <v>845</v>
      </c>
      <c r="D552" s="36" t="s">
        <v>210</v>
      </c>
      <c r="E552" s="225" t="s">
        <v>213</v>
      </c>
      <c r="F552" s="37" t="s">
        <v>88</v>
      </c>
      <c r="G552" s="29" t="b">
        <v>1</v>
      </c>
      <c r="H552" s="36" t="s">
        <v>214</v>
      </c>
      <c r="I552" s="36" t="s">
        <v>215</v>
      </c>
      <c r="J552" s="214"/>
      <c r="K552" s="215"/>
      <c r="L552" s="37" t="s">
        <v>194</v>
      </c>
      <c r="M552" s="37" t="s">
        <v>194</v>
      </c>
      <c r="N552" s="37" t="s">
        <v>194</v>
      </c>
      <c r="O552" s="37" t="s">
        <v>194</v>
      </c>
      <c r="P552" s="37" t="s">
        <v>527</v>
      </c>
      <c r="Q552" s="37" t="s">
        <v>528</v>
      </c>
      <c r="R552" s="41">
        <v>46651.0</v>
      </c>
      <c r="S552" s="42">
        <v>0.0</v>
      </c>
      <c r="T552" s="44" t="s">
        <v>194</v>
      </c>
      <c r="U552" s="45" t="str">
        <f>IF(records[Type]="Room",records[roomNo],records[roomNo]&amp;"-"&amp;SUBSTITUTE(RIGHT(records[roomNo]&amp;records[Type],2),"-",""))</f>
        <v>16-1-070</v>
      </c>
      <c r="V552" s="47" t="str">
        <f t="array" ref="V552">_xlfn.XLOOKUP(records[ID], dAir[roomNo], dAir[roomName])</f>
        <v>MEN PROCESS CHANGE</v>
      </c>
      <c r="W552" s="47" t="str">
        <f t="array" ref="W552">_xlfn.XLOOKUP(records[ID], dAir[roomNo], dAir[building])</f>
        <v>Building 16</v>
      </c>
      <c r="X552" s="47" t="str">
        <f t="array" ref="X552">_xlfn.XLOOKUP(records[ID], dAir[roomNo], dAir[floor])</f>
        <v>Floor 1</v>
      </c>
      <c r="Y552" s="45" t="str">
        <f t="array" ref="Y552">_xlfn.XLOOKUP(records[ID], dAir[roomNo], dAir[Class])</f>
        <v>C</v>
      </c>
      <c r="Z552" s="45">
        <f t="array" ref="Z552">_xlfn.XLOOKUP(records[Method]&amp;"-"&amp;records[Class], dAirSpec[ID], dAirSpec[Spec])</f>
        <v>50</v>
      </c>
      <c r="AA552" s="45" t="str">
        <f t="array" ref="AA552">_xlfn.XLOOKUP(records[Method]&amp;"-"&amp;records[Class], dAirSpec[ID], dAirSpec[Unit])</f>
        <v>cfu/plate</v>
      </c>
      <c r="AB552" s="58">
        <f t="array" ref="AB552">if(S552="","", if(records[Method]="Active Air",_xlfn.xlookup(records[ColonyCount]&amp;records[AirSampler],feller[code],feller[Vc]),records[ColonyCount]))</f>
        <v>0</v>
      </c>
      <c r="AC552" s="60" t="b">
        <f t="shared" si="1"/>
        <v>1</v>
      </c>
      <c r="AD552" s="61" t="b">
        <v>0</v>
      </c>
      <c r="AE552" s="32" t="s">
        <v>235</v>
      </c>
      <c r="AF552" s="46"/>
      <c r="AG552" s="46"/>
      <c r="AH552" s="46"/>
      <c r="AI552" s="46"/>
      <c r="AJ552" s="46"/>
    </row>
    <row r="553" ht="22.5" customHeight="1">
      <c r="A553" s="27">
        <v>46243.0</v>
      </c>
      <c r="B553" s="34" t="str">
        <f t="array" ref="B553">TEXT(A553, "MM-YYYY")</f>
        <v>08-2026</v>
      </c>
      <c r="C553" s="39" t="s">
        <v>857</v>
      </c>
      <c r="D553" s="36" t="s">
        <v>210</v>
      </c>
      <c r="E553" s="225" t="s">
        <v>213</v>
      </c>
      <c r="F553" s="37" t="s">
        <v>88</v>
      </c>
      <c r="G553" s="29" t="b">
        <v>1</v>
      </c>
      <c r="H553" s="36" t="s">
        <v>214</v>
      </c>
      <c r="I553" s="36" t="s">
        <v>215</v>
      </c>
      <c r="J553" s="214"/>
      <c r="K553" s="215"/>
      <c r="L553" s="37" t="s">
        <v>194</v>
      </c>
      <c r="M553" s="37" t="s">
        <v>194</v>
      </c>
      <c r="N553" s="37" t="s">
        <v>194</v>
      </c>
      <c r="O553" s="37" t="s">
        <v>194</v>
      </c>
      <c r="P553" s="37" t="s">
        <v>527</v>
      </c>
      <c r="Q553" s="37" t="s">
        <v>528</v>
      </c>
      <c r="R553" s="41">
        <v>46651.0</v>
      </c>
      <c r="S553" s="42">
        <v>0.0</v>
      </c>
      <c r="T553" s="44" t="s">
        <v>194</v>
      </c>
      <c r="U553" s="45" t="str">
        <f>IF(records[Type]="Room",records[roomNo],records[roomNo]&amp;"-"&amp;SUBSTITUTE(RIGHT(records[roomNo]&amp;records[Type],2),"-",""))</f>
        <v>16-1-071</v>
      </c>
      <c r="V553" s="47" t="str">
        <f t="array" ref="V553">_xlfn.XLOOKUP(records[ID], dAir[roomNo], dAir[roomName])</f>
        <v>WOMEN PAL</v>
      </c>
      <c r="W553" s="47" t="str">
        <f t="array" ref="W553">_xlfn.XLOOKUP(records[ID], dAir[roomNo], dAir[building])</f>
        <v>Building 16</v>
      </c>
      <c r="X553" s="47" t="str">
        <f t="array" ref="X553">_xlfn.XLOOKUP(records[ID], dAir[roomNo], dAir[floor])</f>
        <v>Floor 1</v>
      </c>
      <c r="Y553" s="45" t="str">
        <f t="array" ref="Y553">_xlfn.XLOOKUP(records[ID], dAir[roomNo], dAir[Class])</f>
        <v>D</v>
      </c>
      <c r="Z553" s="45">
        <f t="array" ref="Z553">_xlfn.XLOOKUP(records[Method]&amp;"-"&amp;records[Class], dAirSpec[ID], dAirSpec[Spec])</f>
        <v>100</v>
      </c>
      <c r="AA553" s="45" t="str">
        <f t="array" ref="AA553">_xlfn.XLOOKUP(records[Method]&amp;"-"&amp;records[Class], dAirSpec[ID], dAirSpec[Unit])</f>
        <v>cfu/plate</v>
      </c>
      <c r="AB553" s="58">
        <f t="array" ref="AB553">if(S553="","", if(records[Method]="Active Air",_xlfn.xlookup(records[ColonyCount]&amp;records[AirSampler],feller[code],feller[Vc]),records[ColonyCount]))</f>
        <v>0</v>
      </c>
      <c r="AC553" s="60" t="b">
        <f t="shared" si="1"/>
        <v>1</v>
      </c>
      <c r="AD553" s="61" t="b">
        <v>0</v>
      </c>
      <c r="AE553" s="32" t="s">
        <v>235</v>
      </c>
      <c r="AF553" s="46"/>
      <c r="AG553" s="46"/>
      <c r="AH553" s="46"/>
      <c r="AI553" s="46"/>
      <c r="AJ553" s="46"/>
    </row>
    <row r="554" ht="22.5" customHeight="1">
      <c r="A554" s="27">
        <v>46243.0</v>
      </c>
      <c r="B554" s="34" t="str">
        <f t="array" ref="B554">TEXT(A554, "MM-YYYY")</f>
        <v>08-2026</v>
      </c>
      <c r="C554" s="39" t="s">
        <v>878</v>
      </c>
      <c r="D554" s="36" t="s">
        <v>210</v>
      </c>
      <c r="E554" s="225" t="s">
        <v>213</v>
      </c>
      <c r="F554" s="37" t="s">
        <v>88</v>
      </c>
      <c r="G554" s="29" t="b">
        <v>1</v>
      </c>
      <c r="H554" s="36" t="s">
        <v>214</v>
      </c>
      <c r="I554" s="36" t="s">
        <v>215</v>
      </c>
      <c r="J554" s="214"/>
      <c r="K554" s="215"/>
      <c r="L554" s="37" t="s">
        <v>194</v>
      </c>
      <c r="M554" s="37" t="s">
        <v>194</v>
      </c>
      <c r="N554" s="37" t="s">
        <v>194</v>
      </c>
      <c r="O554" s="37" t="s">
        <v>194</v>
      </c>
      <c r="P554" s="37" t="s">
        <v>527</v>
      </c>
      <c r="Q554" s="37" t="s">
        <v>528</v>
      </c>
      <c r="R554" s="41">
        <v>46651.0</v>
      </c>
      <c r="S554" s="42">
        <v>0.0</v>
      </c>
      <c r="T554" s="44" t="s">
        <v>194</v>
      </c>
      <c r="U554" s="45" t="str">
        <f>IF(records[Type]="Room",records[roomNo],records[roomNo]&amp;"-"&amp;SUBSTITUTE(RIGHT(records[roomNo]&amp;records[Type],2),"-",""))</f>
        <v>16-1-072</v>
      </c>
      <c r="V554" s="47" t="str">
        <f t="array" ref="V554">_xlfn.XLOOKUP(records[ID], dAir[roomNo], dAir[roomName])</f>
        <v>WOMEN PROCESS CHANGE</v>
      </c>
      <c r="W554" s="47" t="str">
        <f t="array" ref="W554">_xlfn.XLOOKUP(records[ID], dAir[roomNo], dAir[building])</f>
        <v>Building 16</v>
      </c>
      <c r="X554" s="47" t="str">
        <f t="array" ref="X554">_xlfn.XLOOKUP(records[ID], dAir[roomNo], dAir[floor])</f>
        <v>Floor 1</v>
      </c>
      <c r="Y554" s="45" t="str">
        <f t="array" ref="Y554">_xlfn.XLOOKUP(records[ID], dAir[roomNo], dAir[Class])</f>
        <v>C</v>
      </c>
      <c r="Z554" s="45">
        <f t="array" ref="Z554">_xlfn.XLOOKUP(records[Method]&amp;"-"&amp;records[Class], dAirSpec[ID], dAirSpec[Spec])</f>
        <v>50</v>
      </c>
      <c r="AA554" s="45" t="str">
        <f t="array" ref="AA554">_xlfn.XLOOKUP(records[Method]&amp;"-"&amp;records[Class], dAirSpec[ID], dAirSpec[Unit])</f>
        <v>cfu/plate</v>
      </c>
      <c r="AB554" s="58">
        <f t="array" ref="AB554">if(S554="","", if(records[Method]="Active Air",_xlfn.xlookup(records[ColonyCount]&amp;records[AirSampler],feller[code],feller[Vc]),records[ColonyCount]))</f>
        <v>0</v>
      </c>
      <c r="AC554" s="60" t="b">
        <f t="shared" si="1"/>
        <v>1</v>
      </c>
      <c r="AD554" s="61" t="b">
        <v>0</v>
      </c>
      <c r="AE554" s="32" t="s">
        <v>235</v>
      </c>
      <c r="AF554" s="46"/>
      <c r="AG554" s="46"/>
      <c r="AH554" s="46"/>
      <c r="AI554" s="46"/>
      <c r="AJ554" s="46"/>
    </row>
    <row r="555" ht="22.5" customHeight="1">
      <c r="A555" s="27">
        <v>46243.0</v>
      </c>
      <c r="B555" s="34" t="str">
        <f t="array" ref="B555">TEXT(A555, "MM-YYYY")</f>
        <v>08-2026</v>
      </c>
      <c r="C555" s="39" t="s">
        <v>898</v>
      </c>
      <c r="D555" s="36" t="s">
        <v>210</v>
      </c>
      <c r="E555" s="225" t="s">
        <v>531</v>
      </c>
      <c r="F555" s="37" t="s">
        <v>88</v>
      </c>
      <c r="G555" s="29" t="b">
        <v>1</v>
      </c>
      <c r="H555" s="36" t="s">
        <v>214</v>
      </c>
      <c r="I555" s="36" t="s">
        <v>534</v>
      </c>
      <c r="J555" s="214"/>
      <c r="K555" s="215"/>
      <c r="L555" s="37" t="s">
        <v>194</v>
      </c>
      <c r="M555" s="37" t="s">
        <v>194</v>
      </c>
      <c r="N555" s="37" t="s">
        <v>194</v>
      </c>
      <c r="O555" s="37" t="s">
        <v>194</v>
      </c>
      <c r="P555" s="37" t="s">
        <v>527</v>
      </c>
      <c r="Q555" s="37" t="s">
        <v>528</v>
      </c>
      <c r="R555" s="41">
        <v>46651.0</v>
      </c>
      <c r="S555" s="42">
        <v>1.0</v>
      </c>
      <c r="T555" s="29" t="s">
        <v>902</v>
      </c>
      <c r="U555" s="45" t="str">
        <f>IF(records[Type]="Room",records[roomNo],records[roomNo]&amp;"-"&amp;SUBSTITUTE(RIGHT(records[roomNo]&amp;records[Type],2),"-",""))</f>
        <v>16-1-073</v>
      </c>
      <c r="V555" s="47" t="str">
        <f t="array" ref="V555">_xlfn.XLOOKUP(records[ID], dAir[roomNo], dAir[roomName])</f>
        <v>CORRIDOR</v>
      </c>
      <c r="W555" s="47" t="str">
        <f t="array" ref="W555">_xlfn.XLOOKUP(records[ID], dAir[roomNo], dAir[building])</f>
        <v>Building 16</v>
      </c>
      <c r="X555" s="47" t="str">
        <f t="array" ref="X555">_xlfn.XLOOKUP(records[ID], dAir[roomNo], dAir[floor])</f>
        <v>Floor 1</v>
      </c>
      <c r="Y555" s="45" t="str">
        <f t="array" ref="Y555">_xlfn.XLOOKUP(records[ID], dAir[roomNo], dAir[Class])</f>
        <v>C</v>
      </c>
      <c r="Z555" s="45">
        <f t="array" ref="Z555">_xlfn.XLOOKUP(records[Method]&amp;"-"&amp;records[Class], dAirSpec[ID], dAirSpec[Spec])</f>
        <v>100</v>
      </c>
      <c r="AA555" s="45" t="str">
        <f t="array" ref="AA555">_xlfn.XLOOKUP(records[Method]&amp;"-"&amp;records[Class], dAirSpec[ID], dAirSpec[Unit])</f>
        <v>cfu/m3</v>
      </c>
      <c r="AB555" s="45">
        <f t="array" ref="AB555">if(S555="","", if(records[Method]="Active Air",_xlfn.xlookup(records[ColonyCount]&amp;records[AirSampler],feller[code],feller[Vc]),records[ColonyCount]))</f>
        <v>1</v>
      </c>
      <c r="AC555" s="60" t="b">
        <f t="shared" si="1"/>
        <v>1</v>
      </c>
      <c r="AD555" s="61" t="b">
        <v>0</v>
      </c>
      <c r="AE555" s="32" t="s">
        <v>235</v>
      </c>
      <c r="AF555" s="46"/>
      <c r="AG555" s="46"/>
      <c r="AH555" s="46"/>
      <c r="AI555" s="46"/>
      <c r="AJ555" s="46"/>
    </row>
    <row r="556" ht="22.5" customHeight="1">
      <c r="A556" s="27">
        <v>46243.0</v>
      </c>
      <c r="B556" s="34" t="str">
        <f t="array" ref="B556">TEXT(A556, "MM-YYYY")</f>
        <v>08-2026</v>
      </c>
      <c r="C556" s="39" t="s">
        <v>919</v>
      </c>
      <c r="D556" s="36" t="s">
        <v>210</v>
      </c>
      <c r="E556" s="225" t="s">
        <v>213</v>
      </c>
      <c r="F556" s="37" t="s">
        <v>88</v>
      </c>
      <c r="G556" s="29" t="b">
        <v>1</v>
      </c>
      <c r="H556" s="36" t="s">
        <v>214</v>
      </c>
      <c r="I556" s="36" t="s">
        <v>215</v>
      </c>
      <c r="J556" s="214"/>
      <c r="K556" s="215"/>
      <c r="L556" s="37" t="s">
        <v>194</v>
      </c>
      <c r="M556" s="37" t="s">
        <v>194</v>
      </c>
      <c r="N556" s="37" t="s">
        <v>194</v>
      </c>
      <c r="O556" s="37" t="s">
        <v>194</v>
      </c>
      <c r="P556" s="37" t="s">
        <v>527</v>
      </c>
      <c r="Q556" s="37" t="s">
        <v>528</v>
      </c>
      <c r="R556" s="41">
        <v>46651.0</v>
      </c>
      <c r="S556" s="42">
        <v>0.0</v>
      </c>
      <c r="T556" s="44" t="s">
        <v>194</v>
      </c>
      <c r="U556" s="45" t="str">
        <f>IF(records[Type]="Room",records[roomNo],records[roomNo]&amp;"-"&amp;SUBSTITUTE(RIGHT(records[roomNo]&amp;records[Type],2),"-",""))</f>
        <v>16-1-074</v>
      </c>
      <c r="V556" s="47" t="str">
        <f t="array" ref="V556">_xlfn.XLOOKUP(records[ID], dAir[roomNo], dAir[roomName])</f>
        <v>AIRLOCK</v>
      </c>
      <c r="W556" s="47" t="str">
        <f t="array" ref="W556">_xlfn.XLOOKUP(records[ID], dAir[roomNo], dAir[building])</f>
        <v>Building 16</v>
      </c>
      <c r="X556" s="47" t="str">
        <f t="array" ref="X556">_xlfn.XLOOKUP(records[ID], dAir[roomNo], dAir[floor])</f>
        <v>Floor 1</v>
      </c>
      <c r="Y556" s="45" t="str">
        <f t="array" ref="Y556">_xlfn.XLOOKUP(records[ID], dAir[roomNo], dAir[Class])</f>
        <v>C</v>
      </c>
      <c r="Z556" s="45">
        <f t="array" ref="Z556">_xlfn.XLOOKUP(records[Method]&amp;"-"&amp;records[Class], dAirSpec[ID], dAirSpec[Spec])</f>
        <v>50</v>
      </c>
      <c r="AA556" s="45" t="str">
        <f t="array" ref="AA556">_xlfn.XLOOKUP(records[Method]&amp;"-"&amp;records[Class], dAirSpec[ID], dAirSpec[Unit])</f>
        <v>cfu/plate</v>
      </c>
      <c r="AB556" s="58">
        <f t="array" ref="AB556">if(S556="","", if(records[Method]="Active Air",_xlfn.xlookup(records[ColonyCount]&amp;records[AirSampler],feller[code],feller[Vc]),records[ColonyCount]))</f>
        <v>0</v>
      </c>
      <c r="AC556" s="60" t="b">
        <f t="shared" si="1"/>
        <v>1</v>
      </c>
      <c r="AD556" s="61" t="b">
        <v>0</v>
      </c>
      <c r="AE556" s="32" t="s">
        <v>235</v>
      </c>
      <c r="AF556" s="46"/>
      <c r="AG556" s="46"/>
      <c r="AH556" s="46"/>
      <c r="AI556" s="46"/>
      <c r="AJ556" s="46"/>
    </row>
    <row r="557" ht="22.5" customHeight="1">
      <c r="A557" s="27">
        <v>46243.0</v>
      </c>
      <c r="B557" s="34" t="str">
        <f t="array" ref="B557">TEXT(A557, "MM-YYYY")</f>
        <v>08-2026</v>
      </c>
      <c r="C557" s="39" t="s">
        <v>753</v>
      </c>
      <c r="D557" s="36" t="s">
        <v>210</v>
      </c>
      <c r="E557" s="225" t="s">
        <v>213</v>
      </c>
      <c r="F557" s="37" t="s">
        <v>88</v>
      </c>
      <c r="G557" s="29" t="b">
        <v>1</v>
      </c>
      <c r="H557" s="36" t="s">
        <v>214</v>
      </c>
      <c r="I557" s="36" t="s">
        <v>215</v>
      </c>
      <c r="J557" s="214"/>
      <c r="K557" s="215"/>
      <c r="L557" s="37" t="s">
        <v>194</v>
      </c>
      <c r="M557" s="37" t="s">
        <v>194</v>
      </c>
      <c r="N557" s="37" t="s">
        <v>194</v>
      </c>
      <c r="O557" s="37" t="s">
        <v>194</v>
      </c>
      <c r="P557" s="37" t="s">
        <v>527</v>
      </c>
      <c r="Q557" s="37" t="s">
        <v>528</v>
      </c>
      <c r="R557" s="41">
        <v>46651.0</v>
      </c>
      <c r="S557" s="42">
        <v>2.0</v>
      </c>
      <c r="T557" s="44" t="s">
        <v>194</v>
      </c>
      <c r="U557" s="45" t="str">
        <f>IF(records[Type]="Room",records[roomNo],records[roomNo]&amp;"-"&amp;SUBSTITUTE(RIGHT(records[roomNo]&amp;records[Type],2),"-",""))</f>
        <v>16-1-075</v>
      </c>
      <c r="V557" s="47" t="str">
        <f t="array" ref="V557">_xlfn.XLOOKUP(records[ID], dAir[roomNo], dAir[roomName])</f>
        <v>VIALS CAPPING</v>
      </c>
      <c r="W557" s="47" t="str">
        <f t="array" ref="W557">_xlfn.XLOOKUP(records[ID], dAir[roomNo], dAir[building])</f>
        <v>Building 16</v>
      </c>
      <c r="X557" s="47" t="str">
        <f t="array" ref="X557">_xlfn.XLOOKUP(records[ID], dAir[roomNo], dAir[floor])</f>
        <v>Floor 1</v>
      </c>
      <c r="Y557" s="45" t="str">
        <f t="array" ref="Y557">_xlfn.XLOOKUP(records[ID], dAir[roomNo], dAir[Class])</f>
        <v>C</v>
      </c>
      <c r="Z557" s="45">
        <f t="array" ref="Z557">_xlfn.XLOOKUP(records[Method]&amp;"-"&amp;records[Class], dAirSpec[ID], dAirSpec[Spec])</f>
        <v>50</v>
      </c>
      <c r="AA557" s="45" t="str">
        <f t="array" ref="AA557">_xlfn.XLOOKUP(records[Method]&amp;"-"&amp;records[Class], dAirSpec[ID], dAirSpec[Unit])</f>
        <v>cfu/plate</v>
      </c>
      <c r="AB557" s="58">
        <f t="array" ref="AB557">if(S557="","", if(records[Method]="Active Air",_xlfn.xlookup(records[ColonyCount]&amp;records[AirSampler],feller[code],feller[Vc]),records[ColonyCount]))</f>
        <v>2</v>
      </c>
      <c r="AC557" s="60" t="b">
        <f t="shared" si="1"/>
        <v>1</v>
      </c>
      <c r="AD557" s="61" t="b">
        <v>0</v>
      </c>
      <c r="AE557" s="32" t="s">
        <v>235</v>
      </c>
      <c r="AF557" s="46"/>
      <c r="AG557" s="46"/>
      <c r="AH557" s="46"/>
      <c r="AI557" s="46"/>
      <c r="AJ557" s="46"/>
    </row>
    <row r="558" ht="22.5" customHeight="1">
      <c r="A558" s="27">
        <v>46243.0</v>
      </c>
      <c r="B558" s="34" t="str">
        <f t="array" ref="B558">TEXT(A558, "MM-YYYY")</f>
        <v>08-2026</v>
      </c>
      <c r="C558" s="39" t="s">
        <v>753</v>
      </c>
      <c r="D558" s="36" t="s">
        <v>755</v>
      </c>
      <c r="E558" s="225" t="s">
        <v>531</v>
      </c>
      <c r="F558" s="37" t="s">
        <v>88</v>
      </c>
      <c r="G558" s="29" t="b">
        <v>1</v>
      </c>
      <c r="H558" s="36" t="s">
        <v>214</v>
      </c>
      <c r="I558" s="36" t="s">
        <v>534</v>
      </c>
      <c r="J558" s="214"/>
      <c r="K558" s="215"/>
      <c r="L558" s="37" t="s">
        <v>194</v>
      </c>
      <c r="M558" s="37" t="s">
        <v>194</v>
      </c>
      <c r="N558" s="37" t="s">
        <v>194</v>
      </c>
      <c r="O558" s="37" t="s">
        <v>194</v>
      </c>
      <c r="P558" s="37" t="s">
        <v>527</v>
      </c>
      <c r="Q558" s="37" t="s">
        <v>528</v>
      </c>
      <c r="R558" s="41">
        <v>46651.0</v>
      </c>
      <c r="S558" s="42">
        <v>0.0</v>
      </c>
      <c r="T558" s="44" t="s">
        <v>755</v>
      </c>
      <c r="U558" s="45" t="str">
        <f>IF(records[Type]="Room",records[roomNo],records[roomNo]&amp;"-"&amp;SUBSTITUTE(RIGHT(records[roomNo]&amp;records[Type],2),"-",""))</f>
        <v>16-1-075-M</v>
      </c>
      <c r="V558" s="47" t="str">
        <f t="array" ref="V558">_xlfn.XLOOKUP(records[ID], dAir[roomNo], dAir[roomName])</f>
        <v>VIALS CAPPING (Machine)</v>
      </c>
      <c r="W558" s="47" t="str">
        <f t="array" ref="W558">_xlfn.XLOOKUP(records[ID], dAir[roomNo], dAir[building])</f>
        <v>Building 16</v>
      </c>
      <c r="X558" s="47" t="str">
        <f t="array" ref="X558">_xlfn.XLOOKUP(records[ID], dAir[roomNo], dAir[floor])</f>
        <v>Floor 1</v>
      </c>
      <c r="Y558" s="45" t="str">
        <f t="array" ref="Y558">_xlfn.XLOOKUP(records[ID], dAir[roomNo], dAir[Class])</f>
        <v>A</v>
      </c>
      <c r="Z558" s="45">
        <f t="array" ref="Z558">_xlfn.XLOOKUP(records[Method]&amp;"-"&amp;records[Class], dAirSpec[ID], dAirSpec[Spec])</f>
        <v>0</v>
      </c>
      <c r="AA558" s="45" t="str">
        <f t="array" ref="AA558">_xlfn.XLOOKUP(records[Method]&amp;"-"&amp;records[Class], dAirSpec[ID], dAirSpec[Unit])</f>
        <v>cfu/m3</v>
      </c>
      <c r="AB558" s="45">
        <f t="array" ref="AB558">if(S558="","", if(records[Method]="Active Air",_xlfn.xlookup(records[ColonyCount]&amp;records[AirSampler],feller[code],feller[Vc]),records[ColonyCount]))</f>
        <v>0</v>
      </c>
      <c r="AC558" s="60" t="b">
        <f t="shared" si="1"/>
        <v>1</v>
      </c>
      <c r="AD558" s="61" t="b">
        <v>0</v>
      </c>
      <c r="AE558" s="32" t="s">
        <v>235</v>
      </c>
      <c r="AF558" s="46"/>
      <c r="AG558" s="46"/>
      <c r="AH558" s="46"/>
      <c r="AI558" s="46"/>
      <c r="AJ558" s="46"/>
    </row>
    <row r="559" ht="22.5" customHeight="1">
      <c r="A559" s="27">
        <v>46243.0</v>
      </c>
      <c r="B559" s="34" t="str">
        <f t="array" ref="B559">TEXT(A559, "MM-YYYY")</f>
        <v>08-2026</v>
      </c>
      <c r="C559" s="39" t="s">
        <v>765</v>
      </c>
      <c r="D559" s="36" t="s">
        <v>755</v>
      </c>
      <c r="E559" s="225" t="s">
        <v>531</v>
      </c>
      <c r="F559" s="37" t="s">
        <v>88</v>
      </c>
      <c r="G559" s="29" t="b">
        <v>1</v>
      </c>
      <c r="H559" s="36" t="s">
        <v>214</v>
      </c>
      <c r="I559" s="36" t="s">
        <v>534</v>
      </c>
      <c r="J559" s="214"/>
      <c r="K559" s="215"/>
      <c r="L559" s="37" t="s">
        <v>194</v>
      </c>
      <c r="M559" s="37" t="s">
        <v>194</v>
      </c>
      <c r="N559" s="37" t="s">
        <v>194</v>
      </c>
      <c r="O559" s="37" t="s">
        <v>194</v>
      </c>
      <c r="P559" s="37" t="s">
        <v>527</v>
      </c>
      <c r="Q559" s="37" t="s">
        <v>528</v>
      </c>
      <c r="R559" s="41">
        <v>46651.0</v>
      </c>
      <c r="S559" s="42">
        <v>0.0</v>
      </c>
      <c r="T559" s="44" t="s">
        <v>755</v>
      </c>
      <c r="U559" s="45" t="str">
        <f>IF(records[Type]="Room",records[roomNo],records[roomNo]&amp;"-"&amp;SUBSTITUTE(RIGHT(records[roomNo]&amp;records[Type],2),"-",""))</f>
        <v>16-1-076-M</v>
      </c>
      <c r="V559" s="47" t="str">
        <f t="array" ref="V559">_xlfn.XLOOKUP(records[ID], dAir[roomNo], dAir[roomName])</f>
        <v>FILLING 2 (Machine)</v>
      </c>
      <c r="W559" s="47" t="str">
        <f t="array" ref="W559">_xlfn.XLOOKUP(records[ID], dAir[roomNo], dAir[building])</f>
        <v>Building 16</v>
      </c>
      <c r="X559" s="47" t="str">
        <f t="array" ref="X559">_xlfn.XLOOKUP(records[ID], dAir[roomNo], dAir[floor])</f>
        <v>Floor 1</v>
      </c>
      <c r="Y559" s="45" t="str">
        <f t="array" ref="Y559">_xlfn.XLOOKUP(records[ID], dAir[roomNo], dAir[Class])</f>
        <v>A</v>
      </c>
      <c r="Z559" s="45">
        <f t="array" ref="Z559">_xlfn.XLOOKUP(records[Method]&amp;"-"&amp;records[Class], dAirSpec[ID], dAirSpec[Spec])</f>
        <v>0</v>
      </c>
      <c r="AA559" s="45" t="str">
        <f t="array" ref="AA559">_xlfn.XLOOKUP(records[Method]&amp;"-"&amp;records[Class], dAirSpec[ID], dAirSpec[Unit])</f>
        <v>cfu/m3</v>
      </c>
      <c r="AB559" s="45">
        <f t="array" ref="AB559">if(S559="","", if(records[Method]="Active Air",_xlfn.xlookup(records[ColonyCount]&amp;records[AirSampler],feller[code],feller[Vc]),records[ColonyCount]))</f>
        <v>0</v>
      </c>
      <c r="AC559" s="60" t="b">
        <f t="shared" si="1"/>
        <v>1</v>
      </c>
      <c r="AD559" s="61" t="b">
        <v>0</v>
      </c>
      <c r="AE559" s="32" t="s">
        <v>235</v>
      </c>
      <c r="AF559" s="46"/>
      <c r="AG559" s="46"/>
      <c r="AH559" s="46"/>
      <c r="AI559" s="46"/>
      <c r="AJ559" s="46"/>
    </row>
    <row r="560" ht="22.5" customHeight="1">
      <c r="A560" s="27">
        <v>46243.0</v>
      </c>
      <c r="B560" s="34" t="str">
        <f t="array" ref="B560">TEXT(A560, "MM-YYYY")</f>
        <v>08-2026</v>
      </c>
      <c r="C560" s="39" t="s">
        <v>765</v>
      </c>
      <c r="D560" s="36" t="s">
        <v>770</v>
      </c>
      <c r="E560" s="225" t="s">
        <v>531</v>
      </c>
      <c r="F560" s="37" t="s">
        <v>88</v>
      </c>
      <c r="G560" s="29" t="b">
        <v>1</v>
      </c>
      <c r="H560" s="36" t="s">
        <v>214</v>
      </c>
      <c r="I560" s="36" t="s">
        <v>203</v>
      </c>
      <c r="J560" s="214"/>
      <c r="K560" s="215"/>
      <c r="L560" s="37" t="s">
        <v>194</v>
      </c>
      <c r="M560" s="37" t="s">
        <v>194</v>
      </c>
      <c r="N560" s="37" t="s">
        <v>194</v>
      </c>
      <c r="O560" s="37" t="s">
        <v>194</v>
      </c>
      <c r="P560" s="37" t="s">
        <v>527</v>
      </c>
      <c r="Q560" s="37" t="s">
        <v>528</v>
      </c>
      <c r="R560" s="41">
        <v>46651.0</v>
      </c>
      <c r="S560" s="42">
        <v>0.0</v>
      </c>
      <c r="T560" s="44" t="s">
        <v>770</v>
      </c>
      <c r="U560" s="45" t="str">
        <f>IF(records[Type]="Room",records[roomNo],records[roomNo]&amp;"-"&amp;SUBSTITUTE(RIGHT(records[roomNo]&amp;records[Type],2),"-",""))</f>
        <v>16-1-076-L</v>
      </c>
      <c r="V560" s="47" t="str">
        <f t="array" ref="V560">_xlfn.XLOOKUP(records[ID], dAir[roomNo], dAir[roomName])</f>
        <v>FILLING 2 (Laminar)</v>
      </c>
      <c r="W560" s="47" t="str">
        <f t="array" ref="W560">_xlfn.XLOOKUP(records[ID], dAir[roomNo], dAir[building])</f>
        <v>Building 16</v>
      </c>
      <c r="X560" s="47" t="str">
        <f t="array" ref="X560">_xlfn.XLOOKUP(records[ID], dAir[roomNo], dAir[floor])</f>
        <v>Floor 1</v>
      </c>
      <c r="Y560" s="45" t="str">
        <f t="array" ref="Y560">_xlfn.XLOOKUP(records[ID], dAir[roomNo], dAir[Class])</f>
        <v>A</v>
      </c>
      <c r="Z560" s="45">
        <f t="array" ref="Z560">_xlfn.XLOOKUP(records[Method]&amp;"-"&amp;records[Class], dAirSpec[ID], dAirSpec[Spec])</f>
        <v>0</v>
      </c>
      <c r="AA560" s="45" t="str">
        <f t="array" ref="AA560">_xlfn.XLOOKUP(records[Method]&amp;"-"&amp;records[Class], dAirSpec[ID], dAirSpec[Unit])</f>
        <v>cfu/m3</v>
      </c>
      <c r="AB560" s="45">
        <f t="array" ref="AB560">if(S560="","", if(records[Method]="Active Air",_xlfn.xlookup(records[ColonyCount]&amp;records[AirSampler],feller[code],feller[Vc]),records[ColonyCount]))</f>
        <v>0</v>
      </c>
      <c r="AC560" s="60" t="b">
        <f t="shared" si="1"/>
        <v>1</v>
      </c>
      <c r="AD560" s="61" t="b">
        <v>0</v>
      </c>
      <c r="AE560" s="32" t="s">
        <v>235</v>
      </c>
      <c r="AF560" s="46"/>
      <c r="AG560" s="46"/>
      <c r="AH560" s="46"/>
      <c r="AI560" s="46"/>
      <c r="AJ560" s="46"/>
    </row>
    <row r="561" ht="22.5" customHeight="1">
      <c r="A561" s="27">
        <v>46243.0</v>
      </c>
      <c r="B561" s="34" t="str">
        <f t="array" ref="B561">TEXT(A561, "MM-YYYY")</f>
        <v>08-2026</v>
      </c>
      <c r="C561" s="39" t="s">
        <v>765</v>
      </c>
      <c r="D561" s="36" t="s">
        <v>210</v>
      </c>
      <c r="E561" s="225" t="s">
        <v>531</v>
      </c>
      <c r="F561" s="37" t="s">
        <v>88</v>
      </c>
      <c r="G561" s="29" t="b">
        <v>1</v>
      </c>
      <c r="H561" s="36" t="s">
        <v>214</v>
      </c>
      <c r="I561" s="36" t="s">
        <v>534</v>
      </c>
      <c r="J561" s="214"/>
      <c r="K561" s="215"/>
      <c r="L561" s="37" t="s">
        <v>194</v>
      </c>
      <c r="M561" s="37" t="s">
        <v>194</v>
      </c>
      <c r="N561" s="37" t="s">
        <v>194</v>
      </c>
      <c r="O561" s="37" t="s">
        <v>194</v>
      </c>
      <c r="P561" s="37" t="s">
        <v>527</v>
      </c>
      <c r="Q561" s="37" t="s">
        <v>528</v>
      </c>
      <c r="R561" s="41">
        <v>46651.0</v>
      </c>
      <c r="S561" s="42">
        <v>4.0</v>
      </c>
      <c r="T561" s="44" t="s">
        <v>194</v>
      </c>
      <c r="U561" s="45" t="str">
        <f>IF(records[Type]="Room",records[roomNo],records[roomNo]&amp;"-"&amp;SUBSTITUTE(RIGHT(records[roomNo]&amp;records[Type],2),"-",""))</f>
        <v>16-1-076</v>
      </c>
      <c r="V561" s="47" t="str">
        <f t="array" ref="V561">_xlfn.XLOOKUP(records[ID], dAir[roomNo], dAir[roomName])</f>
        <v>FILLING 2</v>
      </c>
      <c r="W561" s="47" t="str">
        <f t="array" ref="W561">_xlfn.XLOOKUP(records[ID], dAir[roomNo], dAir[building])</f>
        <v>Building 16</v>
      </c>
      <c r="X561" s="47" t="str">
        <f t="array" ref="X561">_xlfn.XLOOKUP(records[ID], dAir[roomNo], dAir[floor])</f>
        <v>Floor 1</v>
      </c>
      <c r="Y561" s="45" t="str">
        <f t="array" ref="Y561">_xlfn.XLOOKUP(records[ID], dAir[roomNo], dAir[Class])</f>
        <v>C</v>
      </c>
      <c r="Z561" s="45">
        <f t="array" ref="Z561">_xlfn.XLOOKUP(records[Method]&amp;"-"&amp;records[Class], dAirSpec[ID], dAirSpec[Spec])</f>
        <v>100</v>
      </c>
      <c r="AA561" s="45" t="str">
        <f t="array" ref="AA561">_xlfn.XLOOKUP(records[Method]&amp;"-"&amp;records[Class], dAirSpec[ID], dAirSpec[Unit])</f>
        <v>cfu/m3</v>
      </c>
      <c r="AB561" s="45">
        <f t="array" ref="AB561">if(S561="","", if(records[Method]="Active Air",_xlfn.xlookup(records[ColonyCount]&amp;records[AirSampler],feller[code],feller[Vc]),records[ColonyCount]))</f>
        <v>4</v>
      </c>
      <c r="AC561" s="60" t="b">
        <f t="shared" si="1"/>
        <v>1</v>
      </c>
      <c r="AD561" s="61" t="b">
        <v>0</v>
      </c>
      <c r="AE561" s="32" t="s">
        <v>235</v>
      </c>
      <c r="AF561" s="46"/>
      <c r="AG561" s="46"/>
      <c r="AH561" s="46"/>
      <c r="AI561" s="46"/>
      <c r="AJ561" s="46"/>
    </row>
    <row r="562" ht="22.5" customHeight="1">
      <c r="A562" s="27">
        <v>46243.0</v>
      </c>
      <c r="B562" s="34" t="str">
        <f t="array" ref="B562">TEXT(A562, "MM-YYYY")</f>
        <v>08-2026</v>
      </c>
      <c r="C562" s="39" t="s">
        <v>729</v>
      </c>
      <c r="D562" s="36" t="s">
        <v>210</v>
      </c>
      <c r="E562" s="225" t="s">
        <v>213</v>
      </c>
      <c r="F562" s="37" t="s">
        <v>88</v>
      </c>
      <c r="G562" s="29" t="b">
        <v>1</v>
      </c>
      <c r="H562" s="36" t="s">
        <v>214</v>
      </c>
      <c r="I562" s="36" t="s">
        <v>215</v>
      </c>
      <c r="J562" s="214"/>
      <c r="K562" s="215"/>
      <c r="L562" s="37" t="s">
        <v>194</v>
      </c>
      <c r="M562" s="37" t="s">
        <v>194</v>
      </c>
      <c r="N562" s="37" t="s">
        <v>194</v>
      </c>
      <c r="O562" s="37" t="s">
        <v>194</v>
      </c>
      <c r="P562" s="37" t="s">
        <v>527</v>
      </c>
      <c r="Q562" s="37" t="s">
        <v>528</v>
      </c>
      <c r="R562" s="41">
        <v>46651.0</v>
      </c>
      <c r="S562" s="42">
        <v>0.0</v>
      </c>
      <c r="T562" s="44" t="s">
        <v>194</v>
      </c>
      <c r="U562" s="45" t="str">
        <f>IF(records[Type]="Room",records[roomNo],records[roomNo]&amp;"-"&amp;SUBSTITUTE(RIGHT(records[roomNo]&amp;records[Type],2),"-",""))</f>
        <v>16-1-077</v>
      </c>
      <c r="V562" s="47" t="str">
        <f t="array" ref="V562">_xlfn.XLOOKUP(records[ID], dAir[roomNo], dAir[roomName])</f>
        <v>FILTRATION 2</v>
      </c>
      <c r="W562" s="47" t="str">
        <f t="array" ref="W562">_xlfn.XLOOKUP(records[ID], dAir[roomNo], dAir[building])</f>
        <v>Building 16</v>
      </c>
      <c r="X562" s="47" t="str">
        <f t="array" ref="X562">_xlfn.XLOOKUP(records[ID], dAir[roomNo], dAir[floor])</f>
        <v>Floor 1</v>
      </c>
      <c r="Y562" s="45" t="str">
        <f t="array" ref="Y562">_xlfn.XLOOKUP(records[ID], dAir[roomNo], dAir[Class])</f>
        <v>C</v>
      </c>
      <c r="Z562" s="45">
        <f t="array" ref="Z562">_xlfn.XLOOKUP(records[Method]&amp;"-"&amp;records[Class], dAirSpec[ID], dAirSpec[Spec])</f>
        <v>50</v>
      </c>
      <c r="AA562" s="45" t="str">
        <f t="array" ref="AA562">_xlfn.XLOOKUP(records[Method]&amp;"-"&amp;records[Class], dAirSpec[ID], dAirSpec[Unit])</f>
        <v>cfu/plate</v>
      </c>
      <c r="AB562" s="58">
        <f t="array" ref="AB562">if(S562="","", if(records[Method]="Active Air",_xlfn.xlookup(records[ColonyCount]&amp;records[AirSampler],feller[code],feller[Vc]),records[ColonyCount]))</f>
        <v>0</v>
      </c>
      <c r="AC562" s="60" t="b">
        <f t="shared" si="1"/>
        <v>1</v>
      </c>
      <c r="AD562" s="61" t="b">
        <v>0</v>
      </c>
      <c r="AE562" s="32" t="s">
        <v>235</v>
      </c>
      <c r="AF562" s="46"/>
      <c r="AG562" s="46"/>
      <c r="AH562" s="46"/>
      <c r="AI562" s="46"/>
      <c r="AJ562" s="46"/>
    </row>
    <row r="563" ht="22.5" customHeight="1">
      <c r="A563" s="27">
        <v>46243.0</v>
      </c>
      <c r="B563" s="34" t="str">
        <f t="array" ref="B563">TEXT(A563, "MM-YYYY")</f>
        <v>08-2026</v>
      </c>
      <c r="C563" s="39" t="s">
        <v>1041</v>
      </c>
      <c r="D563" s="36" t="s">
        <v>210</v>
      </c>
      <c r="E563" s="225" t="s">
        <v>213</v>
      </c>
      <c r="F563" s="37" t="s">
        <v>88</v>
      </c>
      <c r="G563" s="29" t="b">
        <v>1</v>
      </c>
      <c r="H563" s="36" t="s">
        <v>214</v>
      </c>
      <c r="I563" s="36" t="s">
        <v>215</v>
      </c>
      <c r="J563" s="214"/>
      <c r="K563" s="215"/>
      <c r="L563" s="37" t="s">
        <v>194</v>
      </c>
      <c r="M563" s="37" t="s">
        <v>194</v>
      </c>
      <c r="N563" s="37" t="s">
        <v>194</v>
      </c>
      <c r="O563" s="37" t="s">
        <v>194</v>
      </c>
      <c r="P563" s="37" t="s">
        <v>527</v>
      </c>
      <c r="Q563" s="37" t="s">
        <v>528</v>
      </c>
      <c r="R563" s="41">
        <v>46651.0</v>
      </c>
      <c r="S563" s="42">
        <v>0.0</v>
      </c>
      <c r="T563" s="29" t="s">
        <v>1043</v>
      </c>
      <c r="U563" s="45" t="str">
        <f>IF(records[Type]="Room",records[roomNo],records[roomNo]&amp;"-"&amp;SUBSTITUTE(RIGHT(records[roomNo]&amp;records[Type],2),"-",""))</f>
        <v>16-1-078</v>
      </c>
      <c r="V563" s="47" t="str">
        <f t="array" ref="V563">_xlfn.XLOOKUP(records[ID], dAir[roomNo], dAir[roomName])</f>
        <v>PASSAGE</v>
      </c>
      <c r="W563" s="47" t="str">
        <f t="array" ref="W563">_xlfn.XLOOKUP(records[ID], dAir[roomNo], dAir[building])</f>
        <v>Building 16</v>
      </c>
      <c r="X563" s="47" t="str">
        <f t="array" ref="X563">_xlfn.XLOOKUP(records[ID], dAir[roomNo], dAir[floor])</f>
        <v>Floor 1</v>
      </c>
      <c r="Y563" s="45" t="str">
        <f t="array" ref="Y563">_xlfn.XLOOKUP(records[ID], dAir[roomNo], dAir[Class])</f>
        <v>C</v>
      </c>
      <c r="Z563" s="45">
        <f t="array" ref="Z563">_xlfn.XLOOKUP(records[Method]&amp;"-"&amp;records[Class], dAirSpec[ID], dAirSpec[Spec])</f>
        <v>50</v>
      </c>
      <c r="AA563" s="45" t="str">
        <f t="array" ref="AA563">_xlfn.XLOOKUP(records[Method]&amp;"-"&amp;records[Class], dAirSpec[ID], dAirSpec[Unit])</f>
        <v>cfu/plate</v>
      </c>
      <c r="AB563" s="58">
        <f t="array" ref="AB563">if(S563="","", if(records[Method]="Active Air",_xlfn.xlookup(records[ColonyCount]&amp;records[AirSampler],feller[code],feller[Vc]),records[ColonyCount]))</f>
        <v>0</v>
      </c>
      <c r="AC563" s="60" t="b">
        <f t="shared" si="1"/>
        <v>1</v>
      </c>
      <c r="AD563" s="61" t="b">
        <v>0</v>
      </c>
      <c r="AE563" s="32" t="s">
        <v>235</v>
      </c>
      <c r="AF563" s="46"/>
      <c r="AG563" s="46"/>
      <c r="AH563" s="46"/>
      <c r="AI563" s="46"/>
      <c r="AJ563" s="46"/>
    </row>
    <row r="564" ht="22.5" customHeight="1">
      <c r="A564" s="27">
        <v>46243.0</v>
      </c>
      <c r="B564" s="34" t="str">
        <f t="array" ref="B564">TEXT(A564, "MM-YYYY")</f>
        <v>08-2026</v>
      </c>
      <c r="C564" s="39" t="s">
        <v>1047</v>
      </c>
      <c r="D564" s="36" t="s">
        <v>210</v>
      </c>
      <c r="E564" s="225" t="s">
        <v>213</v>
      </c>
      <c r="F564" s="37" t="s">
        <v>88</v>
      </c>
      <c r="G564" s="29" t="b">
        <v>1</v>
      </c>
      <c r="H564" s="36" t="s">
        <v>214</v>
      </c>
      <c r="I564" s="36" t="s">
        <v>215</v>
      </c>
      <c r="J564" s="214"/>
      <c r="K564" s="215"/>
      <c r="L564" s="37" t="s">
        <v>194</v>
      </c>
      <c r="M564" s="37" t="s">
        <v>194</v>
      </c>
      <c r="N564" s="37" t="s">
        <v>194</v>
      </c>
      <c r="O564" s="37" t="s">
        <v>194</v>
      </c>
      <c r="P564" s="37" t="s">
        <v>527</v>
      </c>
      <c r="Q564" s="37" t="s">
        <v>528</v>
      </c>
      <c r="R564" s="41">
        <v>46651.0</v>
      </c>
      <c r="S564" s="42">
        <v>0.0</v>
      </c>
      <c r="T564" s="44" t="s">
        <v>194</v>
      </c>
      <c r="U564" s="45" t="str">
        <f>IF(records[Type]="Room",records[roomNo],records[roomNo]&amp;"-"&amp;SUBSTITUTE(RIGHT(records[roomNo]&amp;records[Type],2),"-",""))</f>
        <v>16-1-079</v>
      </c>
      <c r="V564" s="47" t="str">
        <f t="array" ref="V564">_xlfn.XLOOKUP(records[ID], dAir[roomNo], dAir[roomName])</f>
        <v>COOLING ZONE</v>
      </c>
      <c r="W564" s="47" t="str">
        <f t="array" ref="W564">_xlfn.XLOOKUP(records[ID], dAir[roomNo], dAir[building])</f>
        <v>Building 16</v>
      </c>
      <c r="X564" s="47" t="str">
        <f t="array" ref="X564">_xlfn.XLOOKUP(records[ID], dAir[roomNo], dAir[floor])</f>
        <v>Floor 1</v>
      </c>
      <c r="Y564" s="45" t="str">
        <f t="array" ref="Y564">_xlfn.XLOOKUP(records[ID], dAir[roomNo], dAir[Class])</f>
        <v>C</v>
      </c>
      <c r="Z564" s="45">
        <f t="array" ref="Z564">_xlfn.XLOOKUP(records[Method]&amp;"-"&amp;records[Class], dAirSpec[ID], dAirSpec[Spec])</f>
        <v>50</v>
      </c>
      <c r="AA564" s="45" t="str">
        <f t="array" ref="AA564">_xlfn.XLOOKUP(records[Method]&amp;"-"&amp;records[Class], dAirSpec[ID], dAirSpec[Unit])</f>
        <v>cfu/plate</v>
      </c>
      <c r="AB564" s="58">
        <f t="array" ref="AB564">if(S564="","", if(records[Method]="Active Air",_xlfn.xlookup(records[ColonyCount]&amp;records[AirSampler],feller[code],feller[Vc]),records[ColonyCount]))</f>
        <v>0</v>
      </c>
      <c r="AC564" s="60" t="b">
        <f t="shared" si="1"/>
        <v>1</v>
      </c>
      <c r="AD564" s="61" t="b">
        <v>0</v>
      </c>
      <c r="AE564" s="32" t="s">
        <v>235</v>
      </c>
      <c r="AF564" s="46"/>
      <c r="AG564" s="46"/>
      <c r="AH564" s="46"/>
      <c r="AI564" s="46"/>
      <c r="AJ564" s="46"/>
    </row>
    <row r="565" ht="22.5" customHeight="1">
      <c r="A565" s="27">
        <v>46243.0</v>
      </c>
      <c r="B565" s="34" t="str">
        <f t="array" ref="B565">TEXT(A565, "MM-YYYY")</f>
        <v>08-2026</v>
      </c>
      <c r="C565" s="39" t="s">
        <v>1052</v>
      </c>
      <c r="D565" s="36" t="s">
        <v>210</v>
      </c>
      <c r="E565" s="225" t="s">
        <v>213</v>
      </c>
      <c r="F565" s="37" t="s">
        <v>88</v>
      </c>
      <c r="G565" s="29" t="b">
        <v>1</v>
      </c>
      <c r="H565" s="36" t="s">
        <v>214</v>
      </c>
      <c r="I565" s="36" t="s">
        <v>215</v>
      </c>
      <c r="J565" s="214"/>
      <c r="K565" s="215"/>
      <c r="L565" s="37" t="s">
        <v>194</v>
      </c>
      <c r="M565" s="37" t="s">
        <v>194</v>
      </c>
      <c r="N565" s="37" t="s">
        <v>194</v>
      </c>
      <c r="O565" s="37" t="s">
        <v>194</v>
      </c>
      <c r="P565" s="37" t="s">
        <v>527</v>
      </c>
      <c r="Q565" s="37" t="s">
        <v>528</v>
      </c>
      <c r="R565" s="41">
        <v>46651.0</v>
      </c>
      <c r="S565" s="42">
        <v>0.0</v>
      </c>
      <c r="T565" s="44" t="s">
        <v>194</v>
      </c>
      <c r="U565" s="45" t="str">
        <f>IF(records[Type]="Room",records[roomNo],records[roomNo]&amp;"-"&amp;SUBSTITUTE(RIGHT(records[roomNo]&amp;records[Type],2),"-",""))</f>
        <v>16-1-080</v>
      </c>
      <c r="V565" s="47" t="str">
        <f t="array" ref="V565">_xlfn.XLOOKUP(records[ID], dAir[roomNo], dAir[roomName])</f>
        <v>TOOL STORAGE</v>
      </c>
      <c r="W565" s="47" t="str">
        <f t="array" ref="W565">_xlfn.XLOOKUP(records[ID], dAir[roomNo], dAir[building])</f>
        <v>Building 16</v>
      </c>
      <c r="X565" s="47" t="str">
        <f t="array" ref="X565">_xlfn.XLOOKUP(records[ID], dAir[roomNo], dAir[floor])</f>
        <v>Floor 1</v>
      </c>
      <c r="Y565" s="45" t="str">
        <f t="array" ref="Y565">_xlfn.XLOOKUP(records[ID], dAir[roomNo], dAir[Class])</f>
        <v>C</v>
      </c>
      <c r="Z565" s="45">
        <f t="array" ref="Z565">_xlfn.XLOOKUP(records[Method]&amp;"-"&amp;records[Class], dAirSpec[ID], dAirSpec[Spec])</f>
        <v>50</v>
      </c>
      <c r="AA565" s="45" t="str">
        <f t="array" ref="AA565">_xlfn.XLOOKUP(records[Method]&amp;"-"&amp;records[Class], dAirSpec[ID], dAirSpec[Unit])</f>
        <v>cfu/plate</v>
      </c>
      <c r="AB565" s="58">
        <f t="array" ref="AB565">if(S565="","", if(records[Method]="Active Air",_xlfn.xlookup(records[ColonyCount]&amp;records[AirSampler],feller[code],feller[Vc]),records[ColonyCount]))</f>
        <v>0</v>
      </c>
      <c r="AC565" s="60" t="b">
        <f t="shared" si="1"/>
        <v>1</v>
      </c>
      <c r="AD565" s="61" t="b">
        <v>0</v>
      </c>
      <c r="AE565" s="32" t="s">
        <v>235</v>
      </c>
      <c r="AF565" s="46"/>
      <c r="AG565" s="46"/>
      <c r="AH565" s="46"/>
      <c r="AI565" s="46"/>
      <c r="AJ565" s="46"/>
    </row>
    <row r="566" ht="22.5" customHeight="1">
      <c r="A566" s="27">
        <v>46243.0</v>
      </c>
      <c r="B566" s="34" t="str">
        <f t="array" ref="B566">TEXT(A566, "MM-YYYY")</f>
        <v>08-2026</v>
      </c>
      <c r="C566" s="39" t="s">
        <v>1068</v>
      </c>
      <c r="D566" s="36" t="s">
        <v>210</v>
      </c>
      <c r="E566" s="225" t="s">
        <v>531</v>
      </c>
      <c r="F566" s="37" t="s">
        <v>88</v>
      </c>
      <c r="G566" s="29" t="b">
        <v>1</v>
      </c>
      <c r="H566" s="36" t="s">
        <v>214</v>
      </c>
      <c r="I566" s="36" t="s">
        <v>203</v>
      </c>
      <c r="J566" s="214"/>
      <c r="K566" s="215"/>
      <c r="L566" s="37" t="s">
        <v>194</v>
      </c>
      <c r="M566" s="37" t="s">
        <v>194</v>
      </c>
      <c r="N566" s="37" t="s">
        <v>194</v>
      </c>
      <c r="O566" s="37" t="s">
        <v>194</v>
      </c>
      <c r="P566" s="37" t="s">
        <v>527</v>
      </c>
      <c r="Q566" s="37" t="s">
        <v>528</v>
      </c>
      <c r="R566" s="41">
        <v>46651.0</v>
      </c>
      <c r="S566" s="42">
        <v>3.0</v>
      </c>
      <c r="T566" s="44" t="s">
        <v>194</v>
      </c>
      <c r="U566" s="45" t="str">
        <f>IF(records[Type]="Room",records[roomNo],records[roomNo]&amp;"-"&amp;SUBSTITUTE(RIGHT(records[roomNo]&amp;records[Type],2),"-",""))</f>
        <v>16-1-081</v>
      </c>
      <c r="V566" s="47" t="str">
        <f t="array" ref="V566">_xlfn.XLOOKUP(records[ID], dAir[roomNo], dAir[roomName])</f>
        <v>AIRLOCK</v>
      </c>
      <c r="W566" s="47" t="str">
        <f t="array" ref="W566">_xlfn.XLOOKUP(records[ID], dAir[roomNo], dAir[building])</f>
        <v>Building 16</v>
      </c>
      <c r="X566" s="47" t="str">
        <f t="array" ref="X566">_xlfn.XLOOKUP(records[ID], dAir[roomNo], dAir[floor])</f>
        <v>Floor 1</v>
      </c>
      <c r="Y566" s="45" t="str">
        <f t="array" ref="Y566">_xlfn.XLOOKUP(records[ID], dAir[roomNo], dAir[Class])</f>
        <v>C</v>
      </c>
      <c r="Z566" s="45">
        <f t="array" ref="Z566">_xlfn.XLOOKUP(records[Method]&amp;"-"&amp;records[Class], dAirSpec[ID], dAirSpec[Spec])</f>
        <v>100</v>
      </c>
      <c r="AA566" s="45" t="str">
        <f t="array" ref="AA566">_xlfn.XLOOKUP(records[Method]&amp;"-"&amp;records[Class], dAirSpec[ID], dAirSpec[Unit])</f>
        <v>cfu/m3</v>
      </c>
      <c r="AB566" s="45">
        <f t="array" ref="AB566">if(S566="","", if(records[Method]="Active Air",_xlfn.xlookup(records[ColonyCount]&amp;records[AirSampler],feller[code],feller[Vc]),records[ColonyCount]))</f>
        <v>3</v>
      </c>
      <c r="AC566" s="60" t="b">
        <f t="shared" si="1"/>
        <v>1</v>
      </c>
      <c r="AD566" s="61" t="b">
        <v>0</v>
      </c>
      <c r="AE566" s="32" t="s">
        <v>235</v>
      </c>
      <c r="AF566" s="46"/>
      <c r="AG566" s="46"/>
      <c r="AH566" s="46"/>
      <c r="AI566" s="46"/>
      <c r="AJ566" s="46"/>
    </row>
    <row r="567" ht="22.5" customHeight="1">
      <c r="A567" s="27">
        <v>46243.0</v>
      </c>
      <c r="B567" s="34" t="str">
        <f t="array" ref="B567">TEXT(A567, "MM-YYYY")</f>
        <v>08-2026</v>
      </c>
      <c r="C567" s="39" t="s">
        <v>736</v>
      </c>
      <c r="D567" s="36" t="s">
        <v>210</v>
      </c>
      <c r="E567" s="225" t="s">
        <v>531</v>
      </c>
      <c r="F567" s="37" t="s">
        <v>88</v>
      </c>
      <c r="G567" s="29" t="b">
        <v>1</v>
      </c>
      <c r="H567" s="36" t="s">
        <v>214</v>
      </c>
      <c r="I567" s="36" t="s">
        <v>534</v>
      </c>
      <c r="J567" s="214"/>
      <c r="K567" s="215"/>
      <c r="L567" s="37" t="s">
        <v>194</v>
      </c>
      <c r="M567" s="37" t="s">
        <v>194</v>
      </c>
      <c r="N567" s="37" t="s">
        <v>194</v>
      </c>
      <c r="O567" s="37" t="s">
        <v>194</v>
      </c>
      <c r="P567" s="37" t="s">
        <v>527</v>
      </c>
      <c r="Q567" s="37" t="s">
        <v>528</v>
      </c>
      <c r="R567" s="41">
        <v>46651.0</v>
      </c>
      <c r="S567" s="42">
        <v>13.0</v>
      </c>
      <c r="T567" s="44" t="s">
        <v>194</v>
      </c>
      <c r="U567" s="45" t="str">
        <f>IF(records[Type]="Room",records[roomNo],records[roomNo]&amp;"-"&amp;SUBSTITUTE(RIGHT(records[roomNo]&amp;records[Type],2),"-",""))</f>
        <v>16-1-082</v>
      </c>
      <c r="V567" s="47" t="str">
        <f t="array" ref="V567">_xlfn.XLOOKUP(records[ID], dAir[roomNo], dAir[roomName])</f>
        <v>WASHING</v>
      </c>
      <c r="W567" s="47" t="str">
        <f t="array" ref="W567">_xlfn.XLOOKUP(records[ID], dAir[roomNo], dAir[building])</f>
        <v>Building 16</v>
      </c>
      <c r="X567" s="47" t="str">
        <f t="array" ref="X567">_xlfn.XLOOKUP(records[ID], dAir[roomNo], dAir[floor])</f>
        <v>Floor 1</v>
      </c>
      <c r="Y567" s="45" t="str">
        <f t="array" ref="Y567">_xlfn.XLOOKUP(records[ID], dAir[roomNo], dAir[Class])</f>
        <v>C</v>
      </c>
      <c r="Z567" s="45">
        <f t="array" ref="Z567">_xlfn.XLOOKUP(records[Method]&amp;"-"&amp;records[Class], dAirSpec[ID], dAirSpec[Spec])</f>
        <v>100</v>
      </c>
      <c r="AA567" s="45" t="str">
        <f t="array" ref="AA567">_xlfn.XLOOKUP(records[Method]&amp;"-"&amp;records[Class], dAirSpec[ID], dAirSpec[Unit])</f>
        <v>cfu/m3</v>
      </c>
      <c r="AB567" s="45">
        <f t="array" ref="AB567">if(S567="","", if(records[Method]="Active Air",_xlfn.xlookup(records[ColonyCount]&amp;records[AirSampler],feller[code],feller[Vc]),records[ColonyCount]))</f>
        <v>13</v>
      </c>
      <c r="AC567" s="60" t="b">
        <f t="shared" si="1"/>
        <v>1</v>
      </c>
      <c r="AD567" s="61" t="b">
        <v>0</v>
      </c>
      <c r="AE567" s="32" t="s">
        <v>235</v>
      </c>
      <c r="AF567" s="46"/>
      <c r="AG567" s="46"/>
      <c r="AH567" s="46"/>
      <c r="AI567" s="46"/>
      <c r="AJ567" s="46"/>
    </row>
    <row r="568" ht="22.5" customHeight="1">
      <c r="A568" s="27">
        <v>46243.0</v>
      </c>
      <c r="B568" s="34" t="str">
        <f t="array" ref="B568">TEXT(A568, "MM-YYYY")</f>
        <v>08-2026</v>
      </c>
      <c r="C568" s="39" t="s">
        <v>740</v>
      </c>
      <c r="D568" s="36" t="s">
        <v>210</v>
      </c>
      <c r="E568" s="225" t="s">
        <v>213</v>
      </c>
      <c r="F568" s="37" t="s">
        <v>88</v>
      </c>
      <c r="G568" s="29" t="b">
        <v>1</v>
      </c>
      <c r="H568" s="36" t="s">
        <v>214</v>
      </c>
      <c r="I568" s="36" t="s">
        <v>215</v>
      </c>
      <c r="J568" s="214"/>
      <c r="K568" s="215"/>
      <c r="L568" s="37" t="s">
        <v>194</v>
      </c>
      <c r="M568" s="37" t="s">
        <v>194</v>
      </c>
      <c r="N568" s="37" t="s">
        <v>194</v>
      </c>
      <c r="O568" s="37" t="s">
        <v>194</v>
      </c>
      <c r="P568" s="37" t="s">
        <v>527</v>
      </c>
      <c r="Q568" s="37" t="s">
        <v>528</v>
      </c>
      <c r="R568" s="41">
        <v>46651.0</v>
      </c>
      <c r="S568" s="42">
        <v>0.0</v>
      </c>
      <c r="T568" s="44" t="s">
        <v>194</v>
      </c>
      <c r="U568" s="45" t="str">
        <f>IF(records[Type]="Room",records[roomNo],records[roomNo]&amp;"-"&amp;SUBSTITUTE(RIGHT(records[roomNo]&amp;records[Type],2),"-",""))</f>
        <v>16-1-083</v>
      </c>
      <c r="V568" s="47" t="str">
        <f t="array" ref="V568">_xlfn.XLOOKUP(records[ID], dAir[roomNo], dAir[roomName])</f>
        <v>FILTRATION 1</v>
      </c>
      <c r="W568" s="47" t="str">
        <f t="array" ref="W568">_xlfn.XLOOKUP(records[ID], dAir[roomNo], dAir[building])</f>
        <v>Building 16</v>
      </c>
      <c r="X568" s="47" t="str">
        <f t="array" ref="X568">_xlfn.XLOOKUP(records[ID], dAir[roomNo], dAir[floor])</f>
        <v>Floor 1</v>
      </c>
      <c r="Y568" s="45" t="str">
        <f t="array" ref="Y568">_xlfn.XLOOKUP(records[ID], dAir[roomNo], dAir[Class])</f>
        <v>C</v>
      </c>
      <c r="Z568" s="45">
        <f t="array" ref="Z568">_xlfn.XLOOKUP(records[Method]&amp;"-"&amp;records[Class], dAirSpec[ID], dAirSpec[Spec])</f>
        <v>50</v>
      </c>
      <c r="AA568" s="45" t="str">
        <f t="array" ref="AA568">_xlfn.XLOOKUP(records[Method]&amp;"-"&amp;records[Class], dAirSpec[ID], dAirSpec[Unit])</f>
        <v>cfu/plate</v>
      </c>
      <c r="AB568" s="58">
        <f t="array" ref="AB568">if(S568="","", if(records[Method]="Active Air",_xlfn.xlookup(records[ColonyCount]&amp;records[AirSampler],feller[code],feller[Vc]),records[ColonyCount]))</f>
        <v>0</v>
      </c>
      <c r="AC568" s="60" t="b">
        <f t="shared" si="1"/>
        <v>1</v>
      </c>
      <c r="AD568" s="61" t="b">
        <v>0</v>
      </c>
      <c r="AE568" s="32" t="s">
        <v>235</v>
      </c>
      <c r="AF568" s="46"/>
      <c r="AG568" s="46"/>
      <c r="AH568" s="46"/>
      <c r="AI568" s="46"/>
      <c r="AJ568" s="46"/>
    </row>
    <row r="569" ht="22.5" customHeight="1">
      <c r="A569" s="27">
        <v>46243.0</v>
      </c>
      <c r="B569" s="34" t="str">
        <f t="array" ref="B569">TEXT(A569, "MM-YYYY")</f>
        <v>08-2026</v>
      </c>
      <c r="C569" s="39" t="s">
        <v>774</v>
      </c>
      <c r="D569" s="36" t="s">
        <v>755</v>
      </c>
      <c r="E569" s="225" t="s">
        <v>531</v>
      </c>
      <c r="F569" s="37" t="s">
        <v>88</v>
      </c>
      <c r="G569" s="29" t="b">
        <v>1</v>
      </c>
      <c r="H569" s="36" t="s">
        <v>214</v>
      </c>
      <c r="I569" s="36" t="s">
        <v>534</v>
      </c>
      <c r="J569" s="214"/>
      <c r="K569" s="215"/>
      <c r="L569" s="37" t="s">
        <v>194</v>
      </c>
      <c r="M569" s="37" t="s">
        <v>194</v>
      </c>
      <c r="N569" s="37" t="s">
        <v>194</v>
      </c>
      <c r="O569" s="37" t="s">
        <v>194</v>
      </c>
      <c r="P569" s="37" t="s">
        <v>527</v>
      </c>
      <c r="Q569" s="37" t="s">
        <v>528</v>
      </c>
      <c r="R569" s="41">
        <v>46651.0</v>
      </c>
      <c r="S569" s="42">
        <v>0.0</v>
      </c>
      <c r="T569" s="44" t="s">
        <v>755</v>
      </c>
      <c r="U569" s="45" t="str">
        <f>IF(records[Type]="Room",records[roomNo],records[roomNo]&amp;"-"&amp;SUBSTITUTE(RIGHT(records[roomNo]&amp;records[Type],2),"-",""))</f>
        <v>16-1-084-M</v>
      </c>
      <c r="V569" s="47" t="str">
        <f t="array" ref="V569">_xlfn.XLOOKUP(records[ID], dAir[roomNo], dAir[roomName])</f>
        <v>FILLING 1 (Machine)</v>
      </c>
      <c r="W569" s="47" t="str">
        <f t="array" ref="W569">_xlfn.XLOOKUP(records[ID], dAir[roomNo], dAir[building])</f>
        <v>Building 16</v>
      </c>
      <c r="X569" s="47" t="str">
        <f t="array" ref="X569">_xlfn.XLOOKUP(records[ID], dAir[roomNo], dAir[floor])</f>
        <v>Floor 1</v>
      </c>
      <c r="Y569" s="45" t="str">
        <f t="array" ref="Y569">_xlfn.XLOOKUP(records[ID], dAir[roomNo], dAir[Class])</f>
        <v>A</v>
      </c>
      <c r="Z569" s="45">
        <f t="array" ref="Z569">_xlfn.XLOOKUP(records[Method]&amp;"-"&amp;records[Class], dAirSpec[ID], dAirSpec[Spec])</f>
        <v>0</v>
      </c>
      <c r="AA569" s="45" t="str">
        <f t="array" ref="AA569">_xlfn.XLOOKUP(records[Method]&amp;"-"&amp;records[Class], dAirSpec[ID], dAirSpec[Unit])</f>
        <v>cfu/m3</v>
      </c>
      <c r="AB569" s="45">
        <f t="array" ref="AB569">if(S569="","", if(records[Method]="Active Air",_xlfn.xlookup(records[ColonyCount]&amp;records[AirSampler],feller[code],feller[Vc]),records[ColonyCount]))</f>
        <v>0</v>
      </c>
      <c r="AC569" s="60" t="b">
        <f t="shared" si="1"/>
        <v>1</v>
      </c>
      <c r="AD569" s="61" t="b">
        <v>0</v>
      </c>
      <c r="AE569" s="32" t="s">
        <v>235</v>
      </c>
      <c r="AF569" s="46"/>
      <c r="AG569" s="46"/>
      <c r="AH569" s="46"/>
      <c r="AI569" s="46"/>
      <c r="AJ569" s="46"/>
    </row>
    <row r="570" ht="22.5" customHeight="1">
      <c r="A570" s="27">
        <v>46243.0</v>
      </c>
      <c r="B570" s="34" t="str">
        <f t="array" ref="B570">TEXT(A570, "MM-YYYY")</f>
        <v>08-2026</v>
      </c>
      <c r="C570" s="39" t="s">
        <v>774</v>
      </c>
      <c r="D570" s="36" t="s">
        <v>770</v>
      </c>
      <c r="E570" s="225" t="s">
        <v>531</v>
      </c>
      <c r="F570" s="37" t="s">
        <v>88</v>
      </c>
      <c r="G570" s="29" t="b">
        <v>1</v>
      </c>
      <c r="H570" s="36" t="s">
        <v>214</v>
      </c>
      <c r="I570" s="36" t="s">
        <v>203</v>
      </c>
      <c r="J570" s="214"/>
      <c r="K570" s="215"/>
      <c r="L570" s="37" t="s">
        <v>194</v>
      </c>
      <c r="M570" s="37" t="s">
        <v>194</v>
      </c>
      <c r="N570" s="37" t="s">
        <v>194</v>
      </c>
      <c r="O570" s="37" t="s">
        <v>194</v>
      </c>
      <c r="P570" s="37" t="s">
        <v>527</v>
      </c>
      <c r="Q570" s="37" t="s">
        <v>528</v>
      </c>
      <c r="R570" s="41">
        <v>46651.0</v>
      </c>
      <c r="S570" s="42">
        <v>0.0</v>
      </c>
      <c r="T570" s="44" t="s">
        <v>770</v>
      </c>
      <c r="U570" s="45" t="str">
        <f>IF(records[Type]="Room",records[roomNo],records[roomNo]&amp;"-"&amp;SUBSTITUTE(RIGHT(records[roomNo]&amp;records[Type],2),"-",""))</f>
        <v>16-1-084-L</v>
      </c>
      <c r="V570" s="47" t="str">
        <f t="array" ref="V570">_xlfn.XLOOKUP(records[ID], dAir[roomNo], dAir[roomName])</f>
        <v>FILLING 1 (Laminar)</v>
      </c>
      <c r="W570" s="47" t="str">
        <f t="array" ref="W570">_xlfn.XLOOKUP(records[ID], dAir[roomNo], dAir[building])</f>
        <v>Building 16</v>
      </c>
      <c r="X570" s="47" t="str">
        <f t="array" ref="X570">_xlfn.XLOOKUP(records[ID], dAir[roomNo], dAir[floor])</f>
        <v>Floor 1</v>
      </c>
      <c r="Y570" s="45" t="str">
        <f t="array" ref="Y570">_xlfn.XLOOKUP(records[ID], dAir[roomNo], dAir[Class])</f>
        <v>A</v>
      </c>
      <c r="Z570" s="45">
        <f t="array" ref="Z570">_xlfn.XLOOKUP(records[Method]&amp;"-"&amp;records[Class], dAirSpec[ID], dAirSpec[Spec])</f>
        <v>0</v>
      </c>
      <c r="AA570" s="45" t="str">
        <f t="array" ref="AA570">_xlfn.XLOOKUP(records[Method]&amp;"-"&amp;records[Class], dAirSpec[ID], dAirSpec[Unit])</f>
        <v>cfu/m3</v>
      </c>
      <c r="AB570" s="45">
        <f t="array" ref="AB570">if(S570="","", if(records[Method]="Active Air",_xlfn.xlookup(records[ColonyCount]&amp;records[AirSampler],feller[code],feller[Vc]),records[ColonyCount]))</f>
        <v>0</v>
      </c>
      <c r="AC570" s="60" t="b">
        <f t="shared" si="1"/>
        <v>1</v>
      </c>
      <c r="AD570" s="61" t="b">
        <v>0</v>
      </c>
      <c r="AE570" s="32" t="s">
        <v>235</v>
      </c>
      <c r="AF570" s="46"/>
      <c r="AG570" s="46"/>
      <c r="AH570" s="46"/>
      <c r="AI570" s="46"/>
      <c r="AJ570" s="46"/>
    </row>
    <row r="571" ht="22.5" customHeight="1">
      <c r="A571" s="18">
        <v>46243.0</v>
      </c>
      <c r="B571" s="34" t="str">
        <f t="array" ref="B571">TEXT(A571, "MM-YYYY")</f>
        <v>08-2026</v>
      </c>
      <c r="C571" s="39" t="s">
        <v>774</v>
      </c>
      <c r="D571" s="36" t="s">
        <v>210</v>
      </c>
      <c r="E571" s="225" t="s">
        <v>531</v>
      </c>
      <c r="F571" s="37" t="s">
        <v>88</v>
      </c>
      <c r="G571" s="29" t="b">
        <v>1</v>
      </c>
      <c r="H571" s="36" t="s">
        <v>214</v>
      </c>
      <c r="I571" s="36" t="s">
        <v>534</v>
      </c>
      <c r="J571" s="214"/>
      <c r="K571" s="215"/>
      <c r="L571" s="37" t="s">
        <v>194</v>
      </c>
      <c r="M571" s="37" t="s">
        <v>194</v>
      </c>
      <c r="N571" s="37" t="s">
        <v>194</v>
      </c>
      <c r="O571" s="37" t="s">
        <v>194</v>
      </c>
      <c r="P571" s="37" t="s">
        <v>527</v>
      </c>
      <c r="Q571" s="37" t="s">
        <v>528</v>
      </c>
      <c r="R571" s="41">
        <v>46651.0</v>
      </c>
      <c r="S571" s="42">
        <v>0.0</v>
      </c>
      <c r="T571" s="44" t="s">
        <v>194</v>
      </c>
      <c r="U571" s="45" t="str">
        <f>IF(records[Type]="Room",records[roomNo],records[roomNo]&amp;"-"&amp;SUBSTITUTE(RIGHT(records[roomNo]&amp;records[Type],2),"-",""))</f>
        <v>16-1-084</v>
      </c>
      <c r="V571" s="47" t="str">
        <f t="array" ref="V571">_xlfn.XLOOKUP(records[ID], dAir[roomNo], dAir[roomName])</f>
        <v>FILLING 1</v>
      </c>
      <c r="W571" s="47" t="str">
        <f t="array" ref="W571">_xlfn.XLOOKUP(records[ID], dAir[roomNo], dAir[building])</f>
        <v>Building 16</v>
      </c>
      <c r="X571" s="47" t="str">
        <f t="array" ref="X571">_xlfn.XLOOKUP(records[ID], dAir[roomNo], dAir[floor])</f>
        <v>Floor 1</v>
      </c>
      <c r="Y571" s="45" t="str">
        <f t="array" ref="Y571">_xlfn.XLOOKUP(records[ID], dAir[roomNo], dAir[Class])</f>
        <v>C</v>
      </c>
      <c r="Z571" s="45">
        <f t="array" ref="Z571">_xlfn.XLOOKUP(records[Method]&amp;"-"&amp;records[Class], dAirSpec[ID], dAirSpec[Spec])</f>
        <v>100</v>
      </c>
      <c r="AA571" s="45" t="str">
        <f t="array" ref="AA571">_xlfn.XLOOKUP(records[Method]&amp;"-"&amp;records[Class], dAirSpec[ID], dAirSpec[Unit])</f>
        <v>cfu/m3</v>
      </c>
      <c r="AB571" s="45">
        <f t="array" ref="AB571">if(S571="","", if(records[Method]="Active Air",_xlfn.xlookup(records[ColonyCount]&amp;records[AirSampler],feller[code],feller[Vc]),records[ColonyCount]))</f>
        <v>0</v>
      </c>
      <c r="AC571" s="60" t="b">
        <f t="shared" si="1"/>
        <v>1</v>
      </c>
      <c r="AD571" s="61" t="b">
        <v>0</v>
      </c>
      <c r="AE571" s="32" t="s">
        <v>235</v>
      </c>
      <c r="AF571" s="46"/>
      <c r="AG571" s="46"/>
      <c r="AH571" s="46"/>
      <c r="AI571" s="46"/>
      <c r="AJ571" s="46"/>
    </row>
    <row r="572" ht="22.5" customHeight="1">
      <c r="A572" s="27">
        <v>46243.0</v>
      </c>
      <c r="B572" s="34" t="str">
        <f t="array" ref="B572">TEXT(A572, "MM-YYYY")</f>
        <v>08-2026</v>
      </c>
      <c r="C572" s="39" t="s">
        <v>1162</v>
      </c>
      <c r="D572" s="36" t="s">
        <v>210</v>
      </c>
      <c r="E572" s="225" t="s">
        <v>213</v>
      </c>
      <c r="F572" s="37" t="s">
        <v>88</v>
      </c>
      <c r="G572" s="29" t="b">
        <v>1</v>
      </c>
      <c r="H572" s="36" t="s">
        <v>214</v>
      </c>
      <c r="I572" s="36" t="s">
        <v>215</v>
      </c>
      <c r="J572" s="214"/>
      <c r="K572" s="215"/>
      <c r="L572" s="37" t="s">
        <v>194</v>
      </c>
      <c r="M572" s="37" t="s">
        <v>194</v>
      </c>
      <c r="N572" s="37" t="s">
        <v>194</v>
      </c>
      <c r="O572" s="37" t="s">
        <v>194</v>
      </c>
      <c r="P572" s="37" t="s">
        <v>527</v>
      </c>
      <c r="Q572" s="37" t="s">
        <v>528</v>
      </c>
      <c r="R572" s="41">
        <v>46651.0</v>
      </c>
      <c r="S572" s="42">
        <v>0.0</v>
      </c>
      <c r="T572" s="44" t="s">
        <v>194</v>
      </c>
      <c r="U572" s="45" t="str">
        <f>IF(records[Type]="Room",records[roomNo],records[roomNo]&amp;"-"&amp;SUBSTITUTE(RIGHT(records[roomNo]&amp;records[Type],2),"-",""))</f>
        <v>16-1-085</v>
      </c>
      <c r="V572" s="47" t="str">
        <f t="array" ref="V572">_xlfn.XLOOKUP(records[ID], dAir[roomNo], dAir[roomName])</f>
        <v>IPQC</v>
      </c>
      <c r="W572" s="47" t="str">
        <f t="array" ref="W572">_xlfn.XLOOKUP(records[ID], dAir[roomNo], dAir[building])</f>
        <v>Building 16</v>
      </c>
      <c r="X572" s="47" t="str">
        <f t="array" ref="X572">_xlfn.XLOOKUP(records[ID], dAir[roomNo], dAir[floor])</f>
        <v>Floor 1</v>
      </c>
      <c r="Y572" s="45" t="str">
        <f t="array" ref="Y572">_xlfn.XLOOKUP(records[ID], dAir[roomNo], dAir[Class])</f>
        <v>C</v>
      </c>
      <c r="Z572" s="45">
        <f t="array" ref="Z572">_xlfn.XLOOKUP(records[Method]&amp;"-"&amp;records[Class], dAirSpec[ID], dAirSpec[Spec])</f>
        <v>50</v>
      </c>
      <c r="AA572" s="45" t="str">
        <f t="array" ref="AA572">_xlfn.XLOOKUP(records[Method]&amp;"-"&amp;records[Class], dAirSpec[ID], dAirSpec[Unit])</f>
        <v>cfu/plate</v>
      </c>
      <c r="AB572" s="58">
        <f t="array" ref="AB572">if(S572="","", if(records[Method]="Active Air",_xlfn.xlookup(records[ColonyCount]&amp;records[AirSampler],feller[code],feller[Vc]),records[ColonyCount]))</f>
        <v>0</v>
      </c>
      <c r="AC572" s="60" t="b">
        <f t="shared" si="1"/>
        <v>1</v>
      </c>
      <c r="AD572" s="61" t="b">
        <v>0</v>
      </c>
      <c r="AE572" s="32" t="s">
        <v>235</v>
      </c>
      <c r="AF572" s="46"/>
      <c r="AG572" s="46"/>
      <c r="AH572" s="46"/>
      <c r="AI572" s="46"/>
      <c r="AJ572" s="46"/>
    </row>
    <row r="573" ht="22.5" customHeight="1">
      <c r="A573" s="27">
        <v>46243.0</v>
      </c>
      <c r="B573" s="34" t="str">
        <f t="array" ref="B573">TEXT(A573, "MM-YYYY")</f>
        <v>08-2026</v>
      </c>
      <c r="C573" s="39" t="s">
        <v>1174</v>
      </c>
      <c r="D573" s="36" t="s">
        <v>210</v>
      </c>
      <c r="E573" s="225" t="s">
        <v>213</v>
      </c>
      <c r="F573" s="37" t="s">
        <v>88</v>
      </c>
      <c r="G573" s="29" t="b">
        <v>1</v>
      </c>
      <c r="H573" s="36" t="s">
        <v>214</v>
      </c>
      <c r="I573" s="36" t="s">
        <v>215</v>
      </c>
      <c r="J573" s="214"/>
      <c r="K573" s="215"/>
      <c r="L573" s="37" t="s">
        <v>194</v>
      </c>
      <c r="M573" s="37" t="s">
        <v>194</v>
      </c>
      <c r="N573" s="37" t="s">
        <v>194</v>
      </c>
      <c r="O573" s="37" t="s">
        <v>194</v>
      </c>
      <c r="P573" s="37" t="s">
        <v>527</v>
      </c>
      <c r="Q573" s="37" t="s">
        <v>528</v>
      </c>
      <c r="R573" s="41">
        <v>46651.0</v>
      </c>
      <c r="S573" s="42">
        <v>0.0</v>
      </c>
      <c r="T573" s="44" t="s">
        <v>194</v>
      </c>
      <c r="U573" s="45" t="str">
        <f>IF(records[Type]="Room",records[roomNo],records[roomNo]&amp;"-"&amp;SUBSTITUTE(RIGHT(records[roomNo]&amp;records[Type],2),"-",""))</f>
        <v>16-1-086</v>
      </c>
      <c r="V573" s="47" t="str">
        <f t="array" ref="V573">_xlfn.XLOOKUP(records[ID], dAir[roomNo], dAir[roomName])</f>
        <v>CLEANED EQUIPMENT</v>
      </c>
      <c r="W573" s="47" t="str">
        <f t="array" ref="W573">_xlfn.XLOOKUP(records[ID], dAir[roomNo], dAir[building])</f>
        <v>Building 16</v>
      </c>
      <c r="X573" s="47" t="str">
        <f t="array" ref="X573">_xlfn.XLOOKUP(records[ID], dAir[roomNo], dAir[floor])</f>
        <v>Floor 1</v>
      </c>
      <c r="Y573" s="45" t="str">
        <f t="array" ref="Y573">_xlfn.XLOOKUP(records[ID], dAir[roomNo], dAir[Class])</f>
        <v>C</v>
      </c>
      <c r="Z573" s="45">
        <f t="array" ref="Z573">_xlfn.XLOOKUP(records[Method]&amp;"-"&amp;records[Class], dAirSpec[ID], dAirSpec[Spec])</f>
        <v>50</v>
      </c>
      <c r="AA573" s="45" t="str">
        <f t="array" ref="AA573">_xlfn.XLOOKUP(records[Method]&amp;"-"&amp;records[Class], dAirSpec[ID], dAirSpec[Unit])</f>
        <v>cfu/plate</v>
      </c>
      <c r="AB573" s="58">
        <f t="array" ref="AB573">if(S573="","", if(records[Method]="Active Air",_xlfn.xlookup(records[ColonyCount]&amp;records[AirSampler],feller[code],feller[Vc]),records[ColonyCount]))</f>
        <v>0</v>
      </c>
      <c r="AC573" s="60" t="b">
        <f t="shared" si="1"/>
        <v>1</v>
      </c>
      <c r="AD573" s="61" t="b">
        <v>0</v>
      </c>
      <c r="AE573" s="32" t="s">
        <v>235</v>
      </c>
      <c r="AF573" s="46"/>
      <c r="AG573" s="46"/>
      <c r="AH573" s="46"/>
      <c r="AI573" s="46"/>
      <c r="AJ573" s="46"/>
    </row>
    <row r="574" ht="22.5" customHeight="1">
      <c r="A574" s="27">
        <v>46243.0</v>
      </c>
      <c r="B574" s="34" t="str">
        <f t="array" ref="B574">TEXT(A574, "MM-YYYY")</f>
        <v>08-2026</v>
      </c>
      <c r="C574" s="39" t="s">
        <v>1194</v>
      </c>
      <c r="D574" s="36" t="s">
        <v>210</v>
      </c>
      <c r="E574" s="225" t="s">
        <v>531</v>
      </c>
      <c r="F574" s="37" t="s">
        <v>88</v>
      </c>
      <c r="G574" s="29" t="b">
        <v>1</v>
      </c>
      <c r="H574" s="36" t="s">
        <v>214</v>
      </c>
      <c r="I574" s="36" t="s">
        <v>534</v>
      </c>
      <c r="J574" s="214"/>
      <c r="K574" s="215"/>
      <c r="L574" s="37" t="s">
        <v>194</v>
      </c>
      <c r="M574" s="37" t="s">
        <v>194</v>
      </c>
      <c r="N574" s="37" t="s">
        <v>194</v>
      </c>
      <c r="O574" s="37" t="s">
        <v>194</v>
      </c>
      <c r="P574" s="37" t="s">
        <v>527</v>
      </c>
      <c r="Q574" s="37" t="s">
        <v>528</v>
      </c>
      <c r="R574" s="41">
        <v>46651.0</v>
      </c>
      <c r="S574" s="42">
        <v>10.0</v>
      </c>
      <c r="T574" s="44" t="s">
        <v>194</v>
      </c>
      <c r="U574" s="45" t="str">
        <f>IF(records[Type]="Room",records[roomNo],records[roomNo]&amp;"-"&amp;SUBSTITUTE(RIGHT(records[roomNo]&amp;records[Type],2),"-",""))</f>
        <v>16-1-087</v>
      </c>
      <c r="V574" s="47" t="str">
        <f t="array" ref="V574">_xlfn.XLOOKUP(records[ID], dAir[roomNo], dAir[roomName])</f>
        <v>MEN PAL</v>
      </c>
      <c r="W574" s="47" t="str">
        <f t="array" ref="W574">_xlfn.XLOOKUP(records[ID], dAir[roomNo], dAir[building])</f>
        <v>Building 16</v>
      </c>
      <c r="X574" s="47" t="str">
        <f t="array" ref="X574">_xlfn.XLOOKUP(records[ID], dAir[roomNo], dAir[floor])</f>
        <v>Floor 1</v>
      </c>
      <c r="Y574" s="45" t="str">
        <f t="array" ref="Y574">_xlfn.XLOOKUP(records[ID], dAir[roomNo], dAir[Class])</f>
        <v>D</v>
      </c>
      <c r="Z574" s="45">
        <f t="array" ref="Z574">_xlfn.XLOOKUP(records[Method]&amp;"-"&amp;records[Class], dAirSpec[ID], dAirSpec[Spec])</f>
        <v>200</v>
      </c>
      <c r="AA574" s="45" t="str">
        <f t="array" ref="AA574">_xlfn.XLOOKUP(records[Method]&amp;"-"&amp;records[Class], dAirSpec[ID], dAirSpec[Unit])</f>
        <v>cfu/m3</v>
      </c>
      <c r="AB574" s="45">
        <f t="array" ref="AB574">if(S574="","", if(records[Method]="Active Air",_xlfn.xlookup(records[ColonyCount]&amp;records[AirSampler],feller[code],feller[Vc]),records[ColonyCount]))</f>
        <v>10</v>
      </c>
      <c r="AC574" s="60" t="b">
        <f t="shared" si="1"/>
        <v>1</v>
      </c>
      <c r="AD574" s="61" t="b">
        <v>0</v>
      </c>
      <c r="AE574" s="32" t="s">
        <v>235</v>
      </c>
      <c r="AF574" s="46"/>
      <c r="AG574" s="46"/>
      <c r="AH574" s="46"/>
      <c r="AI574" s="46"/>
      <c r="AJ574" s="46"/>
    </row>
    <row r="575" ht="22.5" customHeight="1">
      <c r="A575" s="27">
        <v>46243.0</v>
      </c>
      <c r="B575" s="34" t="str">
        <f t="array" ref="B575">TEXT(A575, "MM-YYYY")</f>
        <v>08-2026</v>
      </c>
      <c r="C575" s="39" t="s">
        <v>1226</v>
      </c>
      <c r="D575" s="36" t="s">
        <v>210</v>
      </c>
      <c r="E575" s="225" t="s">
        <v>531</v>
      </c>
      <c r="F575" s="37" t="s">
        <v>88</v>
      </c>
      <c r="G575" s="29" t="b">
        <v>1</v>
      </c>
      <c r="H575" s="36" t="s">
        <v>214</v>
      </c>
      <c r="I575" s="36" t="s">
        <v>534</v>
      </c>
      <c r="J575" s="214"/>
      <c r="K575" s="215"/>
      <c r="L575" s="37" t="s">
        <v>194</v>
      </c>
      <c r="M575" s="37" t="s">
        <v>194</v>
      </c>
      <c r="N575" s="37" t="s">
        <v>194</v>
      </c>
      <c r="O575" s="37" t="s">
        <v>194</v>
      </c>
      <c r="P575" s="37" t="s">
        <v>527</v>
      </c>
      <c r="Q575" s="37" t="s">
        <v>528</v>
      </c>
      <c r="R575" s="41">
        <v>46651.0</v>
      </c>
      <c r="S575" s="42">
        <v>1.0</v>
      </c>
      <c r="T575" s="44" t="s">
        <v>194</v>
      </c>
      <c r="U575" s="45" t="str">
        <f>IF(records[Type]="Room",records[roomNo],records[roomNo]&amp;"-"&amp;SUBSTITUTE(RIGHT(records[roomNo]&amp;records[Type],2),"-",""))</f>
        <v>16-1-088</v>
      </c>
      <c r="V575" s="47" t="str">
        <f t="array" ref="V575">_xlfn.XLOOKUP(records[ID], dAir[roomNo], dAir[roomName])</f>
        <v>MEN PROCESS CHANGE</v>
      </c>
      <c r="W575" s="47" t="str">
        <f t="array" ref="W575">_xlfn.XLOOKUP(records[ID], dAir[roomNo], dAir[building])</f>
        <v>Building 16</v>
      </c>
      <c r="X575" s="47" t="str">
        <f t="array" ref="X575">_xlfn.XLOOKUP(records[ID], dAir[roomNo], dAir[floor])</f>
        <v>Floor 1</v>
      </c>
      <c r="Y575" s="45" t="str">
        <f t="array" ref="Y575">_xlfn.XLOOKUP(records[ID], dAir[roomNo], dAir[Class])</f>
        <v>C</v>
      </c>
      <c r="Z575" s="45">
        <f t="array" ref="Z575">_xlfn.XLOOKUP(records[Method]&amp;"-"&amp;records[Class], dAirSpec[ID], dAirSpec[Spec])</f>
        <v>100</v>
      </c>
      <c r="AA575" s="45" t="str">
        <f t="array" ref="AA575">_xlfn.XLOOKUP(records[Method]&amp;"-"&amp;records[Class], dAirSpec[ID], dAirSpec[Unit])</f>
        <v>cfu/m3</v>
      </c>
      <c r="AB575" s="45">
        <f t="array" ref="AB575">if(S575="","", if(records[Method]="Active Air",_xlfn.xlookup(records[ColonyCount]&amp;records[AirSampler],feller[code],feller[Vc]),records[ColonyCount]))</f>
        <v>1</v>
      </c>
      <c r="AC575" s="60" t="b">
        <f t="shared" si="1"/>
        <v>1</v>
      </c>
      <c r="AD575" s="61" t="b">
        <v>0</v>
      </c>
      <c r="AE575" s="32" t="s">
        <v>235</v>
      </c>
      <c r="AF575" s="46"/>
      <c r="AG575" s="46"/>
      <c r="AH575" s="46"/>
      <c r="AI575" s="46"/>
      <c r="AJ575" s="46"/>
    </row>
    <row r="576" ht="22.5" customHeight="1">
      <c r="A576" s="27">
        <v>46243.0</v>
      </c>
      <c r="B576" s="34" t="str">
        <f t="array" ref="B576">TEXT(A576, "MM-YYYY")</f>
        <v>08-2026</v>
      </c>
      <c r="C576" s="39" t="s">
        <v>1250</v>
      </c>
      <c r="D576" s="36" t="s">
        <v>210</v>
      </c>
      <c r="E576" s="225" t="s">
        <v>531</v>
      </c>
      <c r="F576" s="37" t="s">
        <v>88</v>
      </c>
      <c r="G576" s="29" t="b">
        <v>1</v>
      </c>
      <c r="H576" s="36" t="s">
        <v>214</v>
      </c>
      <c r="I576" s="36" t="s">
        <v>203</v>
      </c>
      <c r="J576" s="214"/>
      <c r="K576" s="215"/>
      <c r="L576" s="37" t="s">
        <v>194</v>
      </c>
      <c r="M576" s="37" t="s">
        <v>194</v>
      </c>
      <c r="N576" s="37" t="s">
        <v>194</v>
      </c>
      <c r="O576" s="37" t="s">
        <v>194</v>
      </c>
      <c r="P576" s="37" t="s">
        <v>527</v>
      </c>
      <c r="Q576" s="37" t="s">
        <v>528</v>
      </c>
      <c r="R576" s="41">
        <v>46651.0</v>
      </c>
      <c r="S576" s="42">
        <v>1.0</v>
      </c>
      <c r="T576" s="44" t="s">
        <v>194</v>
      </c>
      <c r="U576" s="45" t="str">
        <f>IF(records[Type]="Room",records[roomNo],records[roomNo]&amp;"-"&amp;SUBSTITUTE(RIGHT(records[roomNo]&amp;records[Type],2),"-",""))</f>
        <v>16-1-089</v>
      </c>
      <c r="V576" s="47" t="str">
        <f t="array" ref="V576">_xlfn.XLOOKUP(records[ID], dAir[roomNo], dAir[roomName])</f>
        <v>WOMEN PAL</v>
      </c>
      <c r="W576" s="47" t="str">
        <f t="array" ref="W576">_xlfn.XLOOKUP(records[ID], dAir[roomNo], dAir[building])</f>
        <v>Building 16</v>
      </c>
      <c r="X576" s="47" t="str">
        <f t="array" ref="X576">_xlfn.XLOOKUP(records[ID], dAir[roomNo], dAir[floor])</f>
        <v>Floor 1</v>
      </c>
      <c r="Y576" s="45" t="str">
        <f t="array" ref="Y576">_xlfn.XLOOKUP(records[ID], dAir[roomNo], dAir[Class])</f>
        <v>D</v>
      </c>
      <c r="Z576" s="45">
        <f t="array" ref="Z576">_xlfn.XLOOKUP(records[Method]&amp;"-"&amp;records[Class], dAirSpec[ID], dAirSpec[Spec])</f>
        <v>200</v>
      </c>
      <c r="AA576" s="45" t="str">
        <f t="array" ref="AA576">_xlfn.XLOOKUP(records[Method]&amp;"-"&amp;records[Class], dAirSpec[ID], dAirSpec[Unit])</f>
        <v>cfu/m3</v>
      </c>
      <c r="AB576" s="45">
        <f t="array" ref="AB576">if(S576="","", if(records[Method]="Active Air",_xlfn.xlookup(records[ColonyCount]&amp;records[AirSampler],feller[code],feller[Vc]),records[ColonyCount]))</f>
        <v>1</v>
      </c>
      <c r="AC576" s="60" t="b">
        <f t="shared" si="1"/>
        <v>1</v>
      </c>
      <c r="AD576" s="61" t="b">
        <v>0</v>
      </c>
      <c r="AE576" s="32" t="s">
        <v>235</v>
      </c>
      <c r="AF576" s="46"/>
      <c r="AG576" s="46"/>
      <c r="AH576" s="46"/>
      <c r="AI576" s="46"/>
      <c r="AJ576" s="46"/>
    </row>
    <row r="577" ht="22.5" customHeight="1">
      <c r="A577" s="27">
        <v>46243.0</v>
      </c>
      <c r="B577" s="34" t="str">
        <f t="array" ref="B577">TEXT(A577, "MM-YYYY")</f>
        <v>08-2026</v>
      </c>
      <c r="C577" s="39" t="s">
        <v>1273</v>
      </c>
      <c r="D577" s="36" t="s">
        <v>210</v>
      </c>
      <c r="E577" s="225" t="s">
        <v>531</v>
      </c>
      <c r="F577" s="37" t="s">
        <v>88</v>
      </c>
      <c r="G577" s="29" t="b">
        <v>1</v>
      </c>
      <c r="H577" s="36" t="s">
        <v>214</v>
      </c>
      <c r="I577" s="36" t="s">
        <v>534</v>
      </c>
      <c r="J577" s="214"/>
      <c r="K577" s="215"/>
      <c r="L577" s="37" t="s">
        <v>194</v>
      </c>
      <c r="M577" s="37" t="s">
        <v>194</v>
      </c>
      <c r="N577" s="37" t="s">
        <v>194</v>
      </c>
      <c r="O577" s="37" t="s">
        <v>194</v>
      </c>
      <c r="P577" s="37" t="s">
        <v>527</v>
      </c>
      <c r="Q577" s="37" t="s">
        <v>528</v>
      </c>
      <c r="R577" s="41">
        <v>46651.0</v>
      </c>
      <c r="S577" s="42">
        <v>1.0</v>
      </c>
      <c r="T577" s="44" t="s">
        <v>194</v>
      </c>
      <c r="U577" s="45" t="str">
        <f>IF(records[Type]="Room",records[roomNo],records[roomNo]&amp;"-"&amp;SUBSTITUTE(RIGHT(records[roomNo]&amp;records[Type],2),"-",""))</f>
        <v>16-1-090</v>
      </c>
      <c r="V577" s="47" t="str">
        <f t="array" ref="V577">_xlfn.XLOOKUP(records[ID], dAir[roomNo], dAir[roomName])</f>
        <v>WOMEN PROCESS CHANGE</v>
      </c>
      <c r="W577" s="47" t="str">
        <f t="array" ref="W577">_xlfn.XLOOKUP(records[ID], dAir[roomNo], dAir[building])</f>
        <v>Building 16</v>
      </c>
      <c r="X577" s="47" t="str">
        <f t="array" ref="X577">_xlfn.XLOOKUP(records[ID], dAir[roomNo], dAir[floor])</f>
        <v>Floor 1</v>
      </c>
      <c r="Y577" s="45" t="str">
        <f t="array" ref="Y577">_xlfn.XLOOKUP(records[ID], dAir[roomNo], dAir[Class])</f>
        <v>C</v>
      </c>
      <c r="Z577" s="45">
        <f t="array" ref="Z577">_xlfn.XLOOKUP(records[Method]&amp;"-"&amp;records[Class], dAirSpec[ID], dAirSpec[Spec])</f>
        <v>100</v>
      </c>
      <c r="AA577" s="45" t="str">
        <f t="array" ref="AA577">_xlfn.XLOOKUP(records[Method]&amp;"-"&amp;records[Class], dAirSpec[ID], dAirSpec[Unit])</f>
        <v>cfu/m3</v>
      </c>
      <c r="AB577" s="45">
        <f t="array" ref="AB577">if(S577="","", if(records[Method]="Active Air",_xlfn.xlookup(records[ColonyCount]&amp;records[AirSampler],feller[code],feller[Vc]),records[ColonyCount]))</f>
        <v>1</v>
      </c>
      <c r="AC577" s="60" t="b">
        <f t="shared" si="1"/>
        <v>1</v>
      </c>
      <c r="AD577" s="61" t="b">
        <v>0</v>
      </c>
      <c r="AE577" s="32" t="s">
        <v>235</v>
      </c>
      <c r="AF577" s="46"/>
      <c r="AG577" s="46"/>
      <c r="AH577" s="46"/>
      <c r="AI577" s="46"/>
      <c r="AJ577" s="46"/>
    </row>
    <row r="578" ht="22.5" customHeight="1">
      <c r="A578" s="27">
        <v>46243.0</v>
      </c>
      <c r="B578" s="34" t="str">
        <f t="array" ref="B578">TEXT(A578, "MM-YYYY")</f>
        <v>08-2026</v>
      </c>
      <c r="C578" s="39" t="s">
        <v>1311</v>
      </c>
      <c r="D578" s="36" t="s">
        <v>210</v>
      </c>
      <c r="E578" s="225" t="s">
        <v>531</v>
      </c>
      <c r="F578" s="37" t="s">
        <v>88</v>
      </c>
      <c r="G578" s="29" t="b">
        <v>1</v>
      </c>
      <c r="H578" s="36" t="s">
        <v>214</v>
      </c>
      <c r="I578" s="36" t="s">
        <v>534</v>
      </c>
      <c r="J578" s="214"/>
      <c r="K578" s="215"/>
      <c r="L578" s="37" t="s">
        <v>194</v>
      </c>
      <c r="M578" s="37" t="s">
        <v>194</v>
      </c>
      <c r="N578" s="37" t="s">
        <v>194</v>
      </c>
      <c r="O578" s="37" t="s">
        <v>194</v>
      </c>
      <c r="P578" s="37" t="s">
        <v>527</v>
      </c>
      <c r="Q578" s="37" t="s">
        <v>528</v>
      </c>
      <c r="R578" s="41">
        <v>46651.0</v>
      </c>
      <c r="S578" s="42">
        <v>4.0</v>
      </c>
      <c r="T578" s="29" t="s">
        <v>1318</v>
      </c>
      <c r="U578" s="45" t="str">
        <f>IF(records[Type]="Room",records[roomNo],records[roomNo]&amp;"-"&amp;SUBSTITUTE(RIGHT(records[roomNo]&amp;records[Type],2),"-",""))</f>
        <v>16-1-091</v>
      </c>
      <c r="V578" s="47" t="str">
        <f t="array" ref="V578">_xlfn.XLOOKUP(records[ID], dAir[roomNo], dAir[roomName])</f>
        <v>CORRIDOR</v>
      </c>
      <c r="W578" s="47" t="str">
        <f t="array" ref="W578">_xlfn.XLOOKUP(records[ID], dAir[roomNo], dAir[building])</f>
        <v>Building 16</v>
      </c>
      <c r="X578" s="47" t="str">
        <f t="array" ref="X578">_xlfn.XLOOKUP(records[ID], dAir[roomNo], dAir[floor])</f>
        <v>Floor 1</v>
      </c>
      <c r="Y578" s="45" t="str">
        <f t="array" ref="Y578">_xlfn.XLOOKUP(records[ID], dAir[roomNo], dAir[Class])</f>
        <v>C</v>
      </c>
      <c r="Z578" s="45">
        <f t="array" ref="Z578">_xlfn.XLOOKUP(records[Method]&amp;"-"&amp;records[Class], dAirSpec[ID], dAirSpec[Spec])</f>
        <v>100</v>
      </c>
      <c r="AA578" s="45" t="str">
        <f t="array" ref="AA578">_xlfn.XLOOKUP(records[Method]&amp;"-"&amp;records[Class], dAirSpec[ID], dAirSpec[Unit])</f>
        <v>cfu/m3</v>
      </c>
      <c r="AB578" s="45">
        <f t="array" ref="AB578">if(S578="","", if(records[Method]="Active Air",_xlfn.xlookup(records[ColonyCount]&amp;records[AirSampler],feller[code],feller[Vc]),records[ColonyCount]))</f>
        <v>4</v>
      </c>
      <c r="AC578" s="60" t="b">
        <f t="shared" si="1"/>
        <v>1</v>
      </c>
      <c r="AD578" s="61" t="b">
        <v>0</v>
      </c>
      <c r="AE578" s="32" t="s">
        <v>235</v>
      </c>
      <c r="AF578" s="46"/>
      <c r="AG578" s="46"/>
      <c r="AH578" s="46"/>
      <c r="AI578" s="46"/>
      <c r="AJ578" s="46"/>
    </row>
    <row r="579" ht="22.5" customHeight="1">
      <c r="A579" s="27">
        <v>46243.0</v>
      </c>
      <c r="B579" s="34" t="str">
        <f t="array" ref="B579">TEXT(A579, "MM-YYYY")</f>
        <v>08-2026</v>
      </c>
      <c r="C579" s="39" t="s">
        <v>1311</v>
      </c>
      <c r="D579" s="36" t="s">
        <v>1350</v>
      </c>
      <c r="E579" s="225" t="s">
        <v>213</v>
      </c>
      <c r="F579" s="37" t="s">
        <v>88</v>
      </c>
      <c r="G579" s="29" t="b">
        <v>1</v>
      </c>
      <c r="H579" s="36" t="s">
        <v>214</v>
      </c>
      <c r="I579" s="36" t="s">
        <v>215</v>
      </c>
      <c r="J579" s="214"/>
      <c r="K579" s="215"/>
      <c r="L579" s="37" t="s">
        <v>194</v>
      </c>
      <c r="M579" s="37" t="s">
        <v>194</v>
      </c>
      <c r="N579" s="37" t="s">
        <v>194</v>
      </c>
      <c r="O579" s="37" t="s">
        <v>194</v>
      </c>
      <c r="P579" s="37" t="s">
        <v>527</v>
      </c>
      <c r="Q579" s="37" t="s">
        <v>528</v>
      </c>
      <c r="R579" s="41">
        <v>46651.0</v>
      </c>
      <c r="S579" s="42">
        <v>130.0</v>
      </c>
      <c r="T579" s="29" t="s">
        <v>1354</v>
      </c>
      <c r="U579" s="45" t="str">
        <f>IF(records[Type]="Room",records[roomNo],records[roomNo]&amp;"-"&amp;SUBSTITUTE(RIGHT(records[roomNo]&amp;records[Type],2),"-",""))</f>
        <v>16-1-091-PB</v>
      </c>
      <c r="V579" s="47" t="str">
        <f t="array" ref="V579">_xlfn.XLOOKUP(records[ID], dAir[roomNo], dAir[roomName])</f>
        <v>CORRIDOR (Passbox)</v>
      </c>
      <c r="W579" s="47" t="str">
        <f t="array" ref="W579">_xlfn.XLOOKUP(records[ID], dAir[roomNo], dAir[building])</f>
        <v>Building 16</v>
      </c>
      <c r="X579" s="47" t="str">
        <f t="array" ref="X579">_xlfn.XLOOKUP(records[ID], dAir[roomNo], dAir[floor])</f>
        <v>Floor 1</v>
      </c>
      <c r="Y579" s="45" t="str">
        <f t="array" ref="Y579">_xlfn.XLOOKUP(records[ID], dAir[roomNo], dAir[Class])</f>
        <v>C</v>
      </c>
      <c r="Z579" s="45">
        <f t="array" ref="Z579">_xlfn.XLOOKUP(records[Method]&amp;"-"&amp;records[Class], dAirSpec[ID], dAirSpec[Spec])</f>
        <v>50</v>
      </c>
      <c r="AA579" s="45" t="str">
        <f t="array" ref="AA579">_xlfn.XLOOKUP(records[Method]&amp;"-"&amp;records[Class], dAirSpec[ID], dAirSpec[Unit])</f>
        <v>cfu/plate</v>
      </c>
      <c r="AB579" s="58">
        <f t="array" ref="AB579">if(S579="","", if(records[Method]="Active Air",_xlfn.xlookup(records[ColonyCount]&amp;records[AirSampler],feller[code],feller[Vc]),records[ColonyCount]))</f>
        <v>130</v>
      </c>
      <c r="AC579" s="60" t="b">
        <f t="shared" si="1"/>
        <v>0</v>
      </c>
      <c r="AD579" s="61" t="b">
        <v>0</v>
      </c>
      <c r="AE579" s="32" t="s">
        <v>235</v>
      </c>
      <c r="AF579" s="46"/>
      <c r="AG579" s="46"/>
      <c r="AH579" s="46"/>
      <c r="AI579" s="46"/>
      <c r="AJ579" s="46"/>
    </row>
    <row r="580" ht="22.5" customHeight="1">
      <c r="A580" s="27">
        <v>46243.0</v>
      </c>
      <c r="B580" s="34" t="str">
        <f t="array" ref="B580">TEXT(A580, "MM-YYYY")</f>
        <v>08-2026</v>
      </c>
      <c r="C580" s="39" t="s">
        <v>1041</v>
      </c>
      <c r="D580" s="36" t="s">
        <v>1350</v>
      </c>
      <c r="E580" s="225" t="s">
        <v>213</v>
      </c>
      <c r="F580" s="37" t="s">
        <v>88</v>
      </c>
      <c r="G580" s="29" t="b">
        <v>1</v>
      </c>
      <c r="H580" s="36" t="s">
        <v>214</v>
      </c>
      <c r="I580" s="36" t="s">
        <v>215</v>
      </c>
      <c r="J580" s="214"/>
      <c r="K580" s="215"/>
      <c r="L580" s="37" t="s">
        <v>194</v>
      </c>
      <c r="M580" s="37" t="s">
        <v>194</v>
      </c>
      <c r="N580" s="37" t="s">
        <v>194</v>
      </c>
      <c r="O580" s="37" t="s">
        <v>194</v>
      </c>
      <c r="P580" s="37" t="s">
        <v>527</v>
      </c>
      <c r="Q580" s="37" t="s">
        <v>528</v>
      </c>
      <c r="R580" s="41">
        <v>46651.0</v>
      </c>
      <c r="S580" s="42">
        <v>0.0</v>
      </c>
      <c r="T580" s="29" t="s">
        <v>1862</v>
      </c>
      <c r="U580" s="45" t="str">
        <f>IF(records[Type]="Room",records[roomNo],records[roomNo]&amp;"-"&amp;SUBSTITUTE(RIGHT(records[roomNo]&amp;records[Type],2),"-",""))</f>
        <v>16-1-078-PB</v>
      </c>
      <c r="V580" s="47" t="str">
        <f t="array" ref="V580">_xlfn.XLOOKUP(records[ID], dAir[roomNo], dAir[roomName])</f>
        <v>PASSAGE (Passbox)</v>
      </c>
      <c r="W580" s="47" t="str">
        <f t="array" ref="W580">_xlfn.XLOOKUP(records[ID], dAir[roomNo], dAir[building])</f>
        <v>Building 16</v>
      </c>
      <c r="X580" s="47" t="str">
        <f t="array" ref="X580">_xlfn.XLOOKUP(records[ID], dAir[roomNo], dAir[floor])</f>
        <v>Floor 1</v>
      </c>
      <c r="Y580" s="45" t="str">
        <f t="array" ref="Y580">_xlfn.XLOOKUP(records[ID], dAir[roomNo], dAir[Class])</f>
        <v>C</v>
      </c>
      <c r="Z580" s="45">
        <f t="array" ref="Z580">_xlfn.XLOOKUP(records[Method]&amp;"-"&amp;records[Class], dAirSpec[ID], dAirSpec[Spec])</f>
        <v>50</v>
      </c>
      <c r="AA580" s="45" t="str">
        <f t="array" ref="AA580">_xlfn.XLOOKUP(records[Method]&amp;"-"&amp;records[Class], dAirSpec[ID], dAirSpec[Unit])</f>
        <v>cfu/plate</v>
      </c>
      <c r="AB580" s="58">
        <f t="array" ref="AB580">if(S580="","", if(records[Method]="Active Air",_xlfn.xlookup(records[ColonyCount]&amp;records[AirSampler],feller[code],feller[Vc]),records[ColonyCount]))</f>
        <v>0</v>
      </c>
      <c r="AC580" s="60" t="b">
        <f t="shared" si="1"/>
        <v>1</v>
      </c>
      <c r="AD580" s="61" t="b">
        <v>0</v>
      </c>
      <c r="AE580" s="32" t="s">
        <v>235</v>
      </c>
      <c r="AF580" s="46"/>
      <c r="AG580" s="46"/>
      <c r="AH580" s="46"/>
      <c r="AI580" s="46"/>
      <c r="AJ580" s="46"/>
    </row>
    <row r="581" ht="22.5" customHeight="1">
      <c r="A581" s="27">
        <v>46243.0</v>
      </c>
      <c r="B581" s="34" t="str">
        <f t="array" ref="B581">TEXT(A581, "MM-YYYY")</f>
        <v>08-2026</v>
      </c>
      <c r="C581" s="39" t="s">
        <v>1311</v>
      </c>
      <c r="D581" s="36" t="s">
        <v>210</v>
      </c>
      <c r="E581" s="225" t="s">
        <v>531</v>
      </c>
      <c r="F581" s="37" t="s">
        <v>88</v>
      </c>
      <c r="G581" s="29" t="b">
        <v>1</v>
      </c>
      <c r="H581" s="36" t="s">
        <v>214</v>
      </c>
      <c r="I581" s="36" t="s">
        <v>534</v>
      </c>
      <c r="J581" s="214"/>
      <c r="K581" s="215"/>
      <c r="L581" s="37" t="s">
        <v>194</v>
      </c>
      <c r="M581" s="37" t="s">
        <v>194</v>
      </c>
      <c r="N581" s="37" t="s">
        <v>194</v>
      </c>
      <c r="O581" s="37" t="s">
        <v>194</v>
      </c>
      <c r="P581" s="37" t="s">
        <v>527</v>
      </c>
      <c r="Q581" s="37" t="s">
        <v>528</v>
      </c>
      <c r="R581" s="41">
        <v>46651.0</v>
      </c>
      <c r="S581" s="42">
        <v>0.0</v>
      </c>
      <c r="T581" s="29" t="s">
        <v>1403</v>
      </c>
      <c r="U581" s="45" t="str">
        <f>IF(records[Type]="Room",records[roomNo],records[roomNo]&amp;"-"&amp;SUBSTITUTE(RIGHT(records[roomNo]&amp;records[Type],2),"-",""))</f>
        <v>16-1-091</v>
      </c>
      <c r="V581" s="47" t="str">
        <f t="array" ref="V581">_xlfn.XLOOKUP(records[ID], dAir[roomNo], dAir[roomName])</f>
        <v>CORRIDOR</v>
      </c>
      <c r="W581" s="47" t="str">
        <f t="array" ref="W581">_xlfn.XLOOKUP(records[ID], dAir[roomNo], dAir[building])</f>
        <v>Building 16</v>
      </c>
      <c r="X581" s="47" t="str">
        <f t="array" ref="X581">_xlfn.XLOOKUP(records[ID], dAir[roomNo], dAir[floor])</f>
        <v>Floor 1</v>
      </c>
      <c r="Y581" s="45" t="str">
        <f t="array" ref="Y581">_xlfn.XLOOKUP(records[ID], dAir[roomNo], dAir[Class])</f>
        <v>C</v>
      </c>
      <c r="Z581" s="45">
        <f t="array" ref="Z581">_xlfn.XLOOKUP(records[Method]&amp;"-"&amp;records[Class], dAirSpec[ID], dAirSpec[Spec])</f>
        <v>100</v>
      </c>
      <c r="AA581" s="45" t="str">
        <f t="array" ref="AA581">_xlfn.XLOOKUP(records[Method]&amp;"-"&amp;records[Class], dAirSpec[ID], dAirSpec[Unit])</f>
        <v>cfu/m3</v>
      </c>
      <c r="AB581" s="45">
        <f t="array" ref="AB581">if(S581="","", if(records[Method]="Active Air",_xlfn.xlookup(records[ColonyCount]&amp;records[AirSampler],feller[code],feller[Vc]),records[ColonyCount]))</f>
        <v>0</v>
      </c>
      <c r="AC581" s="60" t="b">
        <f t="shared" si="1"/>
        <v>1</v>
      </c>
      <c r="AD581" s="61" t="b">
        <v>0</v>
      </c>
      <c r="AE581" s="32" t="s">
        <v>235</v>
      </c>
      <c r="AF581" s="46"/>
      <c r="AG581" s="46"/>
      <c r="AH581" s="46"/>
      <c r="AI581" s="46"/>
      <c r="AJ581" s="46"/>
    </row>
    <row r="582" ht="22.5" customHeight="1">
      <c r="A582" s="27">
        <v>46243.0</v>
      </c>
      <c r="B582" s="34" t="str">
        <f t="array" ref="B582">TEXT(A582, "MM-YYYY")</f>
        <v>08-2026</v>
      </c>
      <c r="C582" s="39" t="s">
        <v>1412</v>
      </c>
      <c r="D582" s="36" t="s">
        <v>210</v>
      </c>
      <c r="E582" s="225" t="s">
        <v>213</v>
      </c>
      <c r="F582" s="37" t="s">
        <v>88</v>
      </c>
      <c r="G582" s="29" t="b">
        <v>1</v>
      </c>
      <c r="H582" s="36" t="s">
        <v>214</v>
      </c>
      <c r="I582" s="36" t="s">
        <v>215</v>
      </c>
      <c r="J582" s="214"/>
      <c r="K582" s="215"/>
      <c r="L582" s="37" t="s">
        <v>194</v>
      </c>
      <c r="M582" s="37" t="s">
        <v>194</v>
      </c>
      <c r="N582" s="37" t="s">
        <v>194</v>
      </c>
      <c r="O582" s="37" t="s">
        <v>194</v>
      </c>
      <c r="P582" s="37" t="s">
        <v>527</v>
      </c>
      <c r="Q582" s="37" t="s">
        <v>528</v>
      </c>
      <c r="R582" s="41">
        <v>46651.0</v>
      </c>
      <c r="S582" s="42">
        <v>0.0</v>
      </c>
      <c r="T582" s="44" t="s">
        <v>194</v>
      </c>
      <c r="U582" s="45" t="str">
        <f>IF(records[Type]="Room",records[roomNo],records[roomNo]&amp;"-"&amp;SUBSTITUTE(RIGHT(records[roomNo]&amp;records[Type],2),"-",""))</f>
        <v>16-1-092</v>
      </c>
      <c r="V582" s="47" t="str">
        <f t="array" ref="V582">_xlfn.XLOOKUP(records[ID], dAir[roomNo], dAir[roomName])</f>
        <v>LINEN WASHING</v>
      </c>
      <c r="W582" s="47" t="str">
        <f t="array" ref="W582">_xlfn.XLOOKUP(records[ID], dAir[roomNo], dAir[building])</f>
        <v>Building 16</v>
      </c>
      <c r="X582" s="47" t="str">
        <f t="array" ref="X582">_xlfn.XLOOKUP(records[ID], dAir[roomNo], dAir[floor])</f>
        <v>Floor 1</v>
      </c>
      <c r="Y582" s="45" t="str">
        <f t="array" ref="Y582">_xlfn.XLOOKUP(records[ID], dAir[roomNo], dAir[Class])</f>
        <v>C</v>
      </c>
      <c r="Z582" s="45">
        <f t="array" ref="Z582">_xlfn.XLOOKUP(records[Method]&amp;"-"&amp;records[Class], dAirSpec[ID], dAirSpec[Spec])</f>
        <v>50</v>
      </c>
      <c r="AA582" s="45" t="str">
        <f t="array" ref="AA582">_xlfn.XLOOKUP(records[Method]&amp;"-"&amp;records[Class], dAirSpec[ID], dAirSpec[Unit])</f>
        <v>cfu/plate</v>
      </c>
      <c r="AB582" s="58">
        <f t="array" ref="AB582">if(S582="","", if(records[Method]="Active Air",_xlfn.xlookup(records[ColonyCount]&amp;records[AirSampler],feller[code],feller[Vc]),records[ColonyCount]))</f>
        <v>0</v>
      </c>
      <c r="AC582" s="60" t="b">
        <f t="shared" si="1"/>
        <v>1</v>
      </c>
      <c r="AD582" s="61" t="b">
        <v>0</v>
      </c>
      <c r="AE582" s="32" t="s">
        <v>235</v>
      </c>
      <c r="AF582" s="46"/>
      <c r="AG582" s="46"/>
      <c r="AH582" s="46"/>
      <c r="AI582" s="46"/>
      <c r="AJ582" s="46"/>
    </row>
    <row r="583" ht="22.5" customHeight="1">
      <c r="A583" s="27">
        <v>46243.0</v>
      </c>
      <c r="B583" s="34" t="str">
        <f t="array" ref="B583">TEXT(A583, "MM-YYYY")</f>
        <v>08-2026</v>
      </c>
      <c r="C583" s="39" t="s">
        <v>1417</v>
      </c>
      <c r="D583" s="36" t="s">
        <v>210</v>
      </c>
      <c r="E583" s="225" t="s">
        <v>213</v>
      </c>
      <c r="F583" s="37" t="s">
        <v>88</v>
      </c>
      <c r="G583" s="29" t="b">
        <v>1</v>
      </c>
      <c r="H583" s="36" t="s">
        <v>214</v>
      </c>
      <c r="I583" s="36" t="s">
        <v>215</v>
      </c>
      <c r="J583" s="214"/>
      <c r="K583" s="215"/>
      <c r="L583" s="37" t="s">
        <v>194</v>
      </c>
      <c r="M583" s="37" t="s">
        <v>194</v>
      </c>
      <c r="N583" s="37" t="s">
        <v>194</v>
      </c>
      <c r="O583" s="37" t="s">
        <v>194</v>
      </c>
      <c r="P583" s="37" t="s">
        <v>527</v>
      </c>
      <c r="Q583" s="37" t="s">
        <v>528</v>
      </c>
      <c r="R583" s="41">
        <v>46651.0</v>
      </c>
      <c r="S583" s="42">
        <v>0.0</v>
      </c>
      <c r="T583" s="44" t="s">
        <v>194</v>
      </c>
      <c r="U583" s="45" t="str">
        <f>IF(records[Type]="Room",records[roomNo],records[roomNo]&amp;"-"&amp;SUBSTITUTE(RIGHT(records[roomNo]&amp;records[Type],2),"-",""))</f>
        <v>16-1-093</v>
      </c>
      <c r="V583" s="47" t="str">
        <f t="array" ref="V583">_xlfn.XLOOKUP(records[ID], dAir[roomNo], dAir[roomName])</f>
        <v>LINEN DRY</v>
      </c>
      <c r="W583" s="47" t="str">
        <f t="array" ref="W583">_xlfn.XLOOKUP(records[ID], dAir[roomNo], dAir[building])</f>
        <v>Building 16</v>
      </c>
      <c r="X583" s="47" t="str">
        <f t="array" ref="X583">_xlfn.XLOOKUP(records[ID], dAir[roomNo], dAir[floor])</f>
        <v>Floor 1</v>
      </c>
      <c r="Y583" s="45" t="str">
        <f t="array" ref="Y583">_xlfn.XLOOKUP(records[ID], dAir[roomNo], dAir[Class])</f>
        <v>C</v>
      </c>
      <c r="Z583" s="45">
        <f t="array" ref="Z583">_xlfn.XLOOKUP(records[Method]&amp;"-"&amp;records[Class], dAirSpec[ID], dAirSpec[Spec])</f>
        <v>50</v>
      </c>
      <c r="AA583" s="45" t="str">
        <f t="array" ref="AA583">_xlfn.XLOOKUP(records[Method]&amp;"-"&amp;records[Class], dAirSpec[ID], dAirSpec[Unit])</f>
        <v>cfu/plate</v>
      </c>
      <c r="AB583" s="58">
        <f t="array" ref="AB583">if(S583="","", if(records[Method]="Active Air",_xlfn.xlookup(records[ColonyCount]&amp;records[AirSampler],feller[code],feller[Vc]),records[ColonyCount]))</f>
        <v>0</v>
      </c>
      <c r="AC583" s="60" t="b">
        <f t="shared" si="1"/>
        <v>1</v>
      </c>
      <c r="AD583" s="61" t="b">
        <v>0</v>
      </c>
      <c r="AE583" s="32" t="s">
        <v>235</v>
      </c>
      <c r="AF583" s="46"/>
      <c r="AG583" s="46"/>
      <c r="AH583" s="46"/>
      <c r="AI583" s="46"/>
      <c r="AJ583" s="46"/>
    </row>
    <row r="584" ht="22.5" customHeight="1">
      <c r="A584" s="27">
        <v>46243.0</v>
      </c>
      <c r="B584" s="34" t="str">
        <f t="array" ref="B584">TEXT(A584, "MM-YYYY")</f>
        <v>08-2026</v>
      </c>
      <c r="C584" s="39" t="s">
        <v>1421</v>
      </c>
      <c r="D584" s="36" t="s">
        <v>210</v>
      </c>
      <c r="E584" s="225" t="s">
        <v>213</v>
      </c>
      <c r="F584" s="37" t="s">
        <v>88</v>
      </c>
      <c r="G584" s="29" t="b">
        <v>1</v>
      </c>
      <c r="H584" s="36" t="s">
        <v>214</v>
      </c>
      <c r="I584" s="36" t="s">
        <v>215</v>
      </c>
      <c r="J584" s="214"/>
      <c r="K584" s="215"/>
      <c r="L584" s="37" t="s">
        <v>194</v>
      </c>
      <c r="M584" s="37" t="s">
        <v>194</v>
      </c>
      <c r="N584" s="37" t="s">
        <v>194</v>
      </c>
      <c r="O584" s="37" t="s">
        <v>194</v>
      </c>
      <c r="P584" s="37" t="s">
        <v>527</v>
      </c>
      <c r="Q584" s="37" t="s">
        <v>528</v>
      </c>
      <c r="R584" s="41">
        <v>46651.0</v>
      </c>
      <c r="S584" s="42">
        <v>0.0</v>
      </c>
      <c r="T584" s="44" t="s">
        <v>194</v>
      </c>
      <c r="U584" s="45" t="str">
        <f>IF(records[Type]="Room",records[roomNo],records[roomNo]&amp;"-"&amp;SUBSTITUTE(RIGHT(records[roomNo]&amp;records[Type],2),"-",""))</f>
        <v>16-1-094</v>
      </c>
      <c r="V584" s="47" t="str">
        <f t="array" ref="V584">_xlfn.XLOOKUP(records[ID], dAir[roomNo], dAir[roomName])</f>
        <v>LINEN STORAGE</v>
      </c>
      <c r="W584" s="47" t="str">
        <f t="array" ref="W584">_xlfn.XLOOKUP(records[ID], dAir[roomNo], dAir[building])</f>
        <v>Building 16</v>
      </c>
      <c r="X584" s="47" t="str">
        <f t="array" ref="X584">_xlfn.XLOOKUP(records[ID], dAir[roomNo], dAir[floor])</f>
        <v>Floor 1</v>
      </c>
      <c r="Y584" s="45" t="str">
        <f t="array" ref="Y584">_xlfn.XLOOKUP(records[ID], dAir[roomNo], dAir[Class])</f>
        <v>C</v>
      </c>
      <c r="Z584" s="45">
        <f t="array" ref="Z584">_xlfn.XLOOKUP(records[Method]&amp;"-"&amp;records[Class], dAirSpec[ID], dAirSpec[Spec])</f>
        <v>50</v>
      </c>
      <c r="AA584" s="45" t="str">
        <f t="array" ref="AA584">_xlfn.XLOOKUP(records[Method]&amp;"-"&amp;records[Class], dAirSpec[ID], dAirSpec[Unit])</f>
        <v>cfu/plate</v>
      </c>
      <c r="AB584" s="58">
        <f t="array" ref="AB584">if(S584="","", if(records[Method]="Active Air",_xlfn.xlookup(records[ColonyCount]&amp;records[AirSampler],feller[code],feller[Vc]),records[ColonyCount]))</f>
        <v>0</v>
      </c>
      <c r="AC584" s="60" t="b">
        <f t="shared" si="1"/>
        <v>1</v>
      </c>
      <c r="AD584" s="61" t="b">
        <v>0</v>
      </c>
      <c r="AE584" s="32" t="s">
        <v>235</v>
      </c>
      <c r="AF584" s="46"/>
      <c r="AG584" s="46"/>
      <c r="AH584" s="46"/>
      <c r="AI584" s="46"/>
      <c r="AJ584" s="46"/>
    </row>
    <row r="585" ht="22.5" customHeight="1">
      <c r="A585" s="27">
        <v>46243.0</v>
      </c>
      <c r="B585" s="34" t="str">
        <f t="array" ref="B585">TEXT(A585, "MM-YYYY")</f>
        <v>08-2026</v>
      </c>
      <c r="C585" s="39" t="s">
        <v>1431</v>
      </c>
      <c r="D585" s="36" t="s">
        <v>210</v>
      </c>
      <c r="E585" s="225" t="s">
        <v>213</v>
      </c>
      <c r="F585" s="37" t="s">
        <v>88</v>
      </c>
      <c r="G585" s="29" t="b">
        <v>1</v>
      </c>
      <c r="H585" s="36" t="s">
        <v>214</v>
      </c>
      <c r="I585" s="36" t="s">
        <v>215</v>
      </c>
      <c r="J585" s="214"/>
      <c r="K585" s="215"/>
      <c r="L585" s="37" t="s">
        <v>194</v>
      </c>
      <c r="M585" s="37" t="s">
        <v>194</v>
      </c>
      <c r="N585" s="37" t="s">
        <v>194</v>
      </c>
      <c r="O585" s="37" t="s">
        <v>194</v>
      </c>
      <c r="P585" s="37" t="s">
        <v>527</v>
      </c>
      <c r="Q585" s="37" t="s">
        <v>528</v>
      </c>
      <c r="R585" s="41">
        <v>46651.0</v>
      </c>
      <c r="S585" s="42">
        <v>0.0</v>
      </c>
      <c r="T585" s="44" t="s">
        <v>194</v>
      </c>
      <c r="U585" s="45" t="str">
        <f>IF(records[Type]="Room",records[roomNo],records[roomNo]&amp;"-"&amp;SUBSTITUTE(RIGHT(records[roomNo]&amp;records[Type],2),"-",""))</f>
        <v>16-1-095</v>
      </c>
      <c r="V585" s="47" t="str">
        <f t="array" ref="V585">_xlfn.XLOOKUP(records[ID], dAir[roomNo], dAir[roomName])</f>
        <v>JANITOR</v>
      </c>
      <c r="W585" s="47" t="str">
        <f t="array" ref="W585">_xlfn.XLOOKUP(records[ID], dAir[roomNo], dAir[building])</f>
        <v>Building 16</v>
      </c>
      <c r="X585" s="47" t="str">
        <f t="array" ref="X585">_xlfn.XLOOKUP(records[ID], dAir[roomNo], dAir[floor])</f>
        <v>Floor 1</v>
      </c>
      <c r="Y585" s="45" t="str">
        <f t="array" ref="Y585">_xlfn.XLOOKUP(records[ID], dAir[roomNo], dAir[Class])</f>
        <v>C</v>
      </c>
      <c r="Z585" s="45">
        <f t="array" ref="Z585">_xlfn.XLOOKUP(records[Method]&amp;"-"&amp;records[Class], dAirSpec[ID], dAirSpec[Spec])</f>
        <v>50</v>
      </c>
      <c r="AA585" s="45" t="str">
        <f t="array" ref="AA585">_xlfn.XLOOKUP(records[Method]&amp;"-"&amp;records[Class], dAirSpec[ID], dAirSpec[Unit])</f>
        <v>cfu/plate</v>
      </c>
      <c r="AB585" s="58">
        <f t="array" ref="AB585">if(S585="","", if(records[Method]="Active Air",_xlfn.xlookup(records[ColonyCount]&amp;records[AirSampler],feller[code],feller[Vc]),records[ColonyCount]))</f>
        <v>0</v>
      </c>
      <c r="AC585" s="60" t="b">
        <f t="shared" si="1"/>
        <v>1</v>
      </c>
      <c r="AD585" s="61" t="b">
        <v>0</v>
      </c>
      <c r="AE585" s="32" t="s">
        <v>235</v>
      </c>
      <c r="AF585" s="46"/>
      <c r="AG585" s="46"/>
      <c r="AH585" s="46"/>
      <c r="AI585" s="46"/>
      <c r="AJ585" s="46"/>
    </row>
    <row r="586" ht="22.5" customHeight="1">
      <c r="A586" s="27">
        <v>46243.0</v>
      </c>
      <c r="B586" s="34" t="str">
        <f t="array" ref="B586">TEXT(A586, "MM-YYYY")</f>
        <v>08-2026</v>
      </c>
      <c r="C586" s="39" t="s">
        <v>745</v>
      </c>
      <c r="D586" s="36" t="s">
        <v>210</v>
      </c>
      <c r="E586" s="225" t="s">
        <v>213</v>
      </c>
      <c r="F586" s="37" t="s">
        <v>88</v>
      </c>
      <c r="G586" s="29" t="b">
        <v>1</v>
      </c>
      <c r="H586" s="36" t="s">
        <v>214</v>
      </c>
      <c r="I586" s="36" t="s">
        <v>215</v>
      </c>
      <c r="J586" s="214"/>
      <c r="K586" s="215"/>
      <c r="L586" s="37" t="s">
        <v>194</v>
      </c>
      <c r="M586" s="37" t="s">
        <v>194</v>
      </c>
      <c r="N586" s="37" t="s">
        <v>194</v>
      </c>
      <c r="O586" s="37" t="s">
        <v>194</v>
      </c>
      <c r="P586" s="37" t="s">
        <v>527</v>
      </c>
      <c r="Q586" s="37" t="s">
        <v>528</v>
      </c>
      <c r="R586" s="41">
        <v>46651.0</v>
      </c>
      <c r="S586" s="42">
        <v>0.0</v>
      </c>
      <c r="T586" s="44" t="s">
        <v>194</v>
      </c>
      <c r="U586" s="45" t="str">
        <f>IF(records[Type]="Room",records[roomNo],records[roomNo]&amp;"-"&amp;SUBSTITUTE(RIGHT(records[roomNo]&amp;records[Type],2),"-",""))</f>
        <v>16-1-096</v>
      </c>
      <c r="V586" s="47" t="str">
        <f t="array" ref="V586">_xlfn.XLOOKUP(records[ID], dAir[roomNo], dAir[roomName])</f>
        <v>WASHING / TUNNEL 2</v>
      </c>
      <c r="W586" s="47" t="str">
        <f t="array" ref="W586">_xlfn.XLOOKUP(records[ID], dAir[roomNo], dAir[building])</f>
        <v>Building 16</v>
      </c>
      <c r="X586" s="47" t="str">
        <f t="array" ref="X586">_xlfn.XLOOKUP(records[ID], dAir[roomNo], dAir[floor])</f>
        <v>Floor 1</v>
      </c>
      <c r="Y586" s="45" t="str">
        <f t="array" ref="Y586">_xlfn.XLOOKUP(records[ID], dAir[roomNo], dAir[Class])</f>
        <v>C</v>
      </c>
      <c r="Z586" s="45">
        <f t="array" ref="Z586">_xlfn.XLOOKUP(records[Method]&amp;"-"&amp;records[Class], dAirSpec[ID], dAirSpec[Spec])</f>
        <v>50</v>
      </c>
      <c r="AA586" s="45" t="str">
        <f t="array" ref="AA586">_xlfn.XLOOKUP(records[Method]&amp;"-"&amp;records[Class], dAirSpec[ID], dAirSpec[Unit])</f>
        <v>cfu/plate</v>
      </c>
      <c r="AB586" s="58">
        <f t="array" ref="AB586">if(S586="","", if(records[Method]="Active Air",_xlfn.xlookup(records[ColonyCount]&amp;records[AirSampler],feller[code],feller[Vc]),records[ColonyCount]))</f>
        <v>0</v>
      </c>
      <c r="AC586" s="60" t="b">
        <f t="shared" si="1"/>
        <v>1</v>
      </c>
      <c r="AD586" s="61" t="b">
        <v>0</v>
      </c>
      <c r="AE586" s="32" t="s">
        <v>235</v>
      </c>
      <c r="AF586" s="46"/>
      <c r="AG586" s="46"/>
      <c r="AH586" s="46"/>
      <c r="AI586" s="46"/>
      <c r="AJ586" s="46"/>
    </row>
    <row r="587" ht="22.5" customHeight="1">
      <c r="A587" s="27">
        <v>46243.0</v>
      </c>
      <c r="B587" s="34" t="str">
        <f t="array" ref="B587">TEXT(A587, "MM-YYYY")</f>
        <v>08-2026</v>
      </c>
      <c r="C587" s="39" t="s">
        <v>1471</v>
      </c>
      <c r="D587" s="36" t="s">
        <v>210</v>
      </c>
      <c r="E587" s="225" t="s">
        <v>213</v>
      </c>
      <c r="F587" s="37" t="s">
        <v>88</v>
      </c>
      <c r="G587" s="29" t="b">
        <v>1</v>
      </c>
      <c r="H587" s="36" t="s">
        <v>214</v>
      </c>
      <c r="I587" s="36" t="s">
        <v>215</v>
      </c>
      <c r="J587" s="214"/>
      <c r="K587" s="215"/>
      <c r="L587" s="37" t="s">
        <v>194</v>
      </c>
      <c r="M587" s="37" t="s">
        <v>194</v>
      </c>
      <c r="N587" s="37" t="s">
        <v>194</v>
      </c>
      <c r="O587" s="37" t="s">
        <v>194</v>
      </c>
      <c r="P587" s="37" t="s">
        <v>527</v>
      </c>
      <c r="Q587" s="37" t="s">
        <v>528</v>
      </c>
      <c r="R587" s="41">
        <v>46651.0</v>
      </c>
      <c r="S587" s="42">
        <v>0.0</v>
      </c>
      <c r="T587" s="44" t="s">
        <v>194</v>
      </c>
      <c r="U587" s="45" t="str">
        <f>IF(records[Type]="Room",records[roomNo],records[roomNo]&amp;"-"&amp;SUBSTITUTE(RIGHT(records[roomNo]&amp;records[Type],2),"-",""))</f>
        <v>16-1-097</v>
      </c>
      <c r="V587" s="47" t="str">
        <f t="array" ref="V587">_xlfn.XLOOKUP(records[ID], dAir[roomNo], dAir[roomName])</f>
        <v>VIALS INTERNAL STAGING</v>
      </c>
      <c r="W587" s="47" t="str">
        <f t="array" ref="W587">_xlfn.XLOOKUP(records[ID], dAir[roomNo], dAir[building])</f>
        <v>Building 16</v>
      </c>
      <c r="X587" s="47" t="str">
        <f t="array" ref="X587">_xlfn.XLOOKUP(records[ID], dAir[roomNo], dAir[floor])</f>
        <v>Floor 1</v>
      </c>
      <c r="Y587" s="45" t="str">
        <f t="array" ref="Y587">_xlfn.XLOOKUP(records[ID], dAir[roomNo], dAir[Class])</f>
        <v>C</v>
      </c>
      <c r="Z587" s="45">
        <f t="array" ref="Z587">_xlfn.XLOOKUP(records[Method]&amp;"-"&amp;records[Class], dAirSpec[ID], dAirSpec[Spec])</f>
        <v>50</v>
      </c>
      <c r="AA587" s="45" t="str">
        <f t="array" ref="AA587">_xlfn.XLOOKUP(records[Method]&amp;"-"&amp;records[Class], dAirSpec[ID], dAirSpec[Unit])</f>
        <v>cfu/plate</v>
      </c>
      <c r="AB587" s="58">
        <f t="array" ref="AB587">if(S587="","", if(records[Method]="Active Air",_xlfn.xlookup(records[ColonyCount]&amp;records[AirSampler],feller[code],feller[Vc]),records[ColonyCount]))</f>
        <v>0</v>
      </c>
      <c r="AC587" s="60" t="b">
        <f t="shared" si="1"/>
        <v>1</v>
      </c>
      <c r="AD587" s="61" t="b">
        <v>0</v>
      </c>
      <c r="AE587" s="32" t="s">
        <v>235</v>
      </c>
      <c r="AF587" s="46"/>
      <c r="AG587" s="46"/>
      <c r="AH587" s="46"/>
      <c r="AI587" s="46"/>
      <c r="AJ587" s="46"/>
    </row>
    <row r="588" ht="22.5" customHeight="1">
      <c r="A588" s="27">
        <v>46243.0</v>
      </c>
      <c r="B588" s="34" t="str">
        <f t="array" ref="B588">TEXT(A588, "MM-YYYY")</f>
        <v>08-2026</v>
      </c>
      <c r="C588" s="39" t="s">
        <v>1471</v>
      </c>
      <c r="D588" s="36" t="s">
        <v>1350</v>
      </c>
      <c r="E588" s="225" t="s">
        <v>213</v>
      </c>
      <c r="F588" s="37" t="s">
        <v>88</v>
      </c>
      <c r="G588" s="29" t="b">
        <v>1</v>
      </c>
      <c r="H588" s="36" t="s">
        <v>214</v>
      </c>
      <c r="I588" s="36" t="s">
        <v>215</v>
      </c>
      <c r="J588" s="214"/>
      <c r="K588" s="215"/>
      <c r="L588" s="37" t="s">
        <v>194</v>
      </c>
      <c r="M588" s="37" t="s">
        <v>194</v>
      </c>
      <c r="N588" s="37" t="s">
        <v>194</v>
      </c>
      <c r="O588" s="37" t="s">
        <v>194</v>
      </c>
      <c r="P588" s="37" t="s">
        <v>527</v>
      </c>
      <c r="Q588" s="37" t="s">
        <v>528</v>
      </c>
      <c r="R588" s="41">
        <v>46651.0</v>
      </c>
      <c r="S588" s="42">
        <v>0.0</v>
      </c>
      <c r="T588" s="44" t="s">
        <v>1483</v>
      </c>
      <c r="U588" s="45" t="str">
        <f>IF(records[Type]="Room",records[roomNo],records[roomNo]&amp;"-"&amp;SUBSTITUTE(RIGHT(records[roomNo]&amp;records[Type],2),"-",""))</f>
        <v>16-1-097-PB</v>
      </c>
      <c r="V588" s="47" t="str">
        <f t="array" ref="V588">_xlfn.XLOOKUP(records[ID], dAir[roomNo], dAir[roomName])</f>
        <v>VIALS INTERNAL STAGING (Passbox)</v>
      </c>
      <c r="W588" s="47" t="str">
        <f t="array" ref="W588">_xlfn.XLOOKUP(records[ID], dAir[roomNo], dAir[building])</f>
        <v>Building 16</v>
      </c>
      <c r="X588" s="47" t="str">
        <f t="array" ref="X588">_xlfn.XLOOKUP(records[ID], dAir[roomNo], dAir[floor])</f>
        <v>Floor 1</v>
      </c>
      <c r="Y588" s="45" t="str">
        <f t="array" ref="Y588">_xlfn.XLOOKUP(records[ID], dAir[roomNo], dAir[Class])</f>
        <v>C</v>
      </c>
      <c r="Z588" s="45">
        <f t="array" ref="Z588">_xlfn.XLOOKUP(records[Method]&amp;"-"&amp;records[Class], dAirSpec[ID], dAirSpec[Spec])</f>
        <v>50</v>
      </c>
      <c r="AA588" s="45" t="str">
        <f t="array" ref="AA588">_xlfn.XLOOKUP(records[Method]&amp;"-"&amp;records[Class], dAirSpec[ID], dAirSpec[Unit])</f>
        <v>cfu/plate</v>
      </c>
      <c r="AB588" s="58">
        <f t="array" ref="AB588">if(S588="","", if(records[Method]="Active Air",_xlfn.xlookup(records[ColonyCount]&amp;records[AirSampler],feller[code],feller[Vc]),records[ColonyCount]))</f>
        <v>0</v>
      </c>
      <c r="AC588" s="60" t="b">
        <f t="shared" si="1"/>
        <v>1</v>
      </c>
      <c r="AD588" s="61" t="b">
        <v>0</v>
      </c>
      <c r="AE588" s="32" t="s">
        <v>235</v>
      </c>
      <c r="AF588" s="46"/>
      <c r="AG588" s="46"/>
      <c r="AH588" s="46"/>
      <c r="AI588" s="46"/>
      <c r="AJ588" s="46"/>
    </row>
    <row r="589" ht="22.5" customHeight="1">
      <c r="A589" s="27">
        <v>46243.0</v>
      </c>
      <c r="B589" s="34" t="str">
        <f t="array" ref="B589">TEXT(A589, "MM-YYYY")</f>
        <v>08-2026</v>
      </c>
      <c r="C589" s="39" t="s">
        <v>749</v>
      </c>
      <c r="D589" s="36" t="s">
        <v>210</v>
      </c>
      <c r="E589" s="225" t="s">
        <v>213</v>
      </c>
      <c r="F589" s="37" t="s">
        <v>88</v>
      </c>
      <c r="G589" s="29" t="b">
        <v>1</v>
      </c>
      <c r="H589" s="36" t="s">
        <v>214</v>
      </c>
      <c r="I589" s="36" t="s">
        <v>215</v>
      </c>
      <c r="J589" s="214"/>
      <c r="K589" s="215"/>
      <c r="L589" s="37" t="s">
        <v>194</v>
      </c>
      <c r="M589" s="37" t="s">
        <v>194</v>
      </c>
      <c r="N589" s="37" t="s">
        <v>194</v>
      </c>
      <c r="O589" s="37" t="s">
        <v>194</v>
      </c>
      <c r="P589" s="37" t="s">
        <v>527</v>
      </c>
      <c r="Q589" s="37" t="s">
        <v>528</v>
      </c>
      <c r="R589" s="41">
        <v>46651.0</v>
      </c>
      <c r="S589" s="42">
        <v>0.0</v>
      </c>
      <c r="T589" s="44" t="s">
        <v>194</v>
      </c>
      <c r="U589" s="45" t="str">
        <f>IF(records[Type]="Room",records[roomNo],records[roomNo]&amp;"-"&amp;SUBSTITUTE(RIGHT(records[roomNo]&amp;records[Type],2),"-",""))</f>
        <v>16-1-098</v>
      </c>
      <c r="V589" s="47" t="str">
        <f t="array" ref="V589">_xlfn.XLOOKUP(records[ID], dAir[roomNo], dAir[roomName])</f>
        <v>CIP/SIP</v>
      </c>
      <c r="W589" s="47" t="str">
        <f t="array" ref="W589">_xlfn.XLOOKUP(records[ID], dAir[roomNo], dAir[building])</f>
        <v>Building 16</v>
      </c>
      <c r="X589" s="47" t="str">
        <f t="array" ref="X589">_xlfn.XLOOKUP(records[ID], dAir[roomNo], dAir[floor])</f>
        <v>Floor 1</v>
      </c>
      <c r="Y589" s="45" t="str">
        <f t="array" ref="Y589">_xlfn.XLOOKUP(records[ID], dAir[roomNo], dAir[Class])</f>
        <v>C</v>
      </c>
      <c r="Z589" s="45">
        <f t="array" ref="Z589">_xlfn.XLOOKUP(records[Method]&amp;"-"&amp;records[Class], dAirSpec[ID], dAirSpec[Spec])</f>
        <v>50</v>
      </c>
      <c r="AA589" s="45" t="str">
        <f t="array" ref="AA589">_xlfn.XLOOKUP(records[Method]&amp;"-"&amp;records[Class], dAirSpec[ID], dAirSpec[Unit])</f>
        <v>cfu/plate</v>
      </c>
      <c r="AB589" s="58">
        <f t="array" ref="AB589">if(S589="","", if(records[Method]="Active Air",_xlfn.xlookup(records[ColonyCount]&amp;records[AirSampler],feller[code],feller[Vc]),records[ColonyCount]))</f>
        <v>0</v>
      </c>
      <c r="AC589" s="60" t="b">
        <f t="shared" si="1"/>
        <v>1</v>
      </c>
      <c r="AD589" s="61" t="b">
        <v>0</v>
      </c>
      <c r="AE589" s="32" t="s">
        <v>235</v>
      </c>
      <c r="AF589" s="46"/>
      <c r="AG589" s="46"/>
      <c r="AH589" s="46"/>
      <c r="AI589" s="46"/>
      <c r="AJ589" s="46"/>
    </row>
    <row r="590" ht="22.5" customHeight="1">
      <c r="A590" s="27">
        <v>46243.0</v>
      </c>
      <c r="B590" s="34" t="str">
        <f t="array" ref="B590">TEXT(A590, "MM-YYYY")</f>
        <v>08-2026</v>
      </c>
      <c r="C590" s="39" t="s">
        <v>1484</v>
      </c>
      <c r="D590" s="36" t="s">
        <v>210</v>
      </c>
      <c r="E590" s="225" t="s">
        <v>213</v>
      </c>
      <c r="F590" s="37" t="s">
        <v>88</v>
      </c>
      <c r="G590" s="29" t="b">
        <v>1</v>
      </c>
      <c r="H590" s="36" t="s">
        <v>214</v>
      </c>
      <c r="I590" s="36" t="s">
        <v>215</v>
      </c>
      <c r="J590" s="214"/>
      <c r="K590" s="215"/>
      <c r="L590" s="37" t="s">
        <v>194</v>
      </c>
      <c r="M590" s="37" t="s">
        <v>194</v>
      </c>
      <c r="N590" s="37" t="s">
        <v>194</v>
      </c>
      <c r="O590" s="37" t="s">
        <v>194</v>
      </c>
      <c r="P590" s="37" t="s">
        <v>527</v>
      </c>
      <c r="Q590" s="37" t="s">
        <v>528</v>
      </c>
      <c r="R590" s="41">
        <v>46651.0</v>
      </c>
      <c r="S590" s="42">
        <v>0.0</v>
      </c>
      <c r="T590" s="44" t="s">
        <v>194</v>
      </c>
      <c r="U590" s="45" t="str">
        <f>IF(records[Type]="Room",records[roomNo],records[roomNo]&amp;"-"&amp;SUBSTITUTE(RIGHT(records[roomNo]&amp;records[Type],2),"-",""))</f>
        <v>16-1-099</v>
      </c>
      <c r="V590" s="47" t="str">
        <f t="array" ref="V590">_xlfn.XLOOKUP(records[ID], dAir[roomNo], dAir[roomName])</f>
        <v>MAL</v>
      </c>
      <c r="W590" s="47" t="str">
        <f t="array" ref="W590">_xlfn.XLOOKUP(records[ID], dAir[roomNo], dAir[building])</f>
        <v>Building 16</v>
      </c>
      <c r="X590" s="47" t="str">
        <f t="array" ref="X590">_xlfn.XLOOKUP(records[ID], dAir[roomNo], dAir[floor])</f>
        <v>Floor 1</v>
      </c>
      <c r="Y590" s="45" t="str">
        <f t="array" ref="Y590">_xlfn.XLOOKUP(records[ID], dAir[roomNo], dAir[Class])</f>
        <v>C</v>
      </c>
      <c r="Z590" s="45">
        <f t="array" ref="Z590">_xlfn.XLOOKUP(records[Method]&amp;"-"&amp;records[Class], dAirSpec[ID], dAirSpec[Spec])</f>
        <v>50</v>
      </c>
      <c r="AA590" s="45" t="str">
        <f t="array" ref="AA590">_xlfn.XLOOKUP(records[Method]&amp;"-"&amp;records[Class], dAirSpec[ID], dAirSpec[Unit])</f>
        <v>cfu/plate</v>
      </c>
      <c r="AB590" s="58">
        <f t="array" ref="AB590">if(S590="","", if(records[Method]="Active Air",_xlfn.xlookup(records[ColonyCount]&amp;records[AirSampler],feller[code],feller[Vc]),records[ColonyCount]))</f>
        <v>0</v>
      </c>
      <c r="AC590" s="60" t="b">
        <f t="shared" si="1"/>
        <v>1</v>
      </c>
      <c r="AD590" s="61" t="b">
        <v>0</v>
      </c>
      <c r="AE590" s="32" t="s">
        <v>235</v>
      </c>
      <c r="AF590" s="46"/>
      <c r="AG590" s="46"/>
      <c r="AH590" s="46"/>
      <c r="AI590" s="46"/>
      <c r="AJ590" s="46"/>
    </row>
    <row r="591" ht="22.5" customHeight="1">
      <c r="A591" s="27">
        <v>46243.0</v>
      </c>
      <c r="B591" s="34" t="str">
        <f t="array" ref="B591">TEXT(A591, "MM-YYYY")</f>
        <v>08-2026</v>
      </c>
      <c r="C591" s="39" t="s">
        <v>1485</v>
      </c>
      <c r="D591" s="36" t="s">
        <v>210</v>
      </c>
      <c r="E591" s="225" t="s">
        <v>213</v>
      </c>
      <c r="F591" s="37" t="s">
        <v>88</v>
      </c>
      <c r="G591" s="29" t="b">
        <v>1</v>
      </c>
      <c r="H591" s="36" t="s">
        <v>214</v>
      </c>
      <c r="I591" s="36" t="s">
        <v>215</v>
      </c>
      <c r="J591" s="214"/>
      <c r="K591" s="215"/>
      <c r="L591" s="37" t="s">
        <v>194</v>
      </c>
      <c r="M591" s="37" t="s">
        <v>194</v>
      </c>
      <c r="N591" s="37" t="s">
        <v>194</v>
      </c>
      <c r="O591" s="37" t="s">
        <v>194</v>
      </c>
      <c r="P591" s="37" t="s">
        <v>527</v>
      </c>
      <c r="Q591" s="37" t="s">
        <v>528</v>
      </c>
      <c r="R591" s="41">
        <v>46651.0</v>
      </c>
      <c r="S591" s="42">
        <v>0.0</v>
      </c>
      <c r="T591" s="44" t="s">
        <v>194</v>
      </c>
      <c r="U591" s="45" t="str">
        <f>IF(records[Type]="Room",records[roomNo],records[roomNo]&amp;"-"&amp;SUBSTITUTE(RIGHT(records[roomNo]&amp;records[Type],2),"-",""))</f>
        <v>16-1-100</v>
      </c>
      <c r="V591" s="47" t="str">
        <f t="array" ref="V591">_xlfn.XLOOKUP(records[ID], dAir[roomNo], dAir[roomName])</f>
        <v>MAL</v>
      </c>
      <c r="W591" s="47" t="str">
        <f t="array" ref="W591">_xlfn.XLOOKUP(records[ID], dAir[roomNo], dAir[building])</f>
        <v>Building 16</v>
      </c>
      <c r="X591" s="47" t="str">
        <f t="array" ref="X591">_xlfn.XLOOKUP(records[ID], dAir[roomNo], dAir[floor])</f>
        <v>Floor 1</v>
      </c>
      <c r="Y591" s="45" t="str">
        <f t="array" ref="Y591">_xlfn.XLOOKUP(records[ID], dAir[roomNo], dAir[Class])</f>
        <v>D</v>
      </c>
      <c r="Z591" s="45">
        <f t="array" ref="Z591">_xlfn.XLOOKUP(records[Method]&amp;"-"&amp;records[Class], dAirSpec[ID], dAirSpec[Spec])</f>
        <v>100</v>
      </c>
      <c r="AA591" s="45" t="str">
        <f t="array" ref="AA591">_xlfn.XLOOKUP(records[Method]&amp;"-"&amp;records[Class], dAirSpec[ID], dAirSpec[Unit])</f>
        <v>cfu/plate</v>
      </c>
      <c r="AB591" s="58">
        <f t="array" ref="AB591">if(S591="","", if(records[Method]="Active Air",_xlfn.xlookup(records[ColonyCount]&amp;records[AirSampler],feller[code],feller[Vc]),records[ColonyCount]))</f>
        <v>0</v>
      </c>
      <c r="AC591" s="60" t="b">
        <f t="shared" si="1"/>
        <v>1</v>
      </c>
      <c r="AD591" s="61" t="b">
        <v>0</v>
      </c>
      <c r="AE591" s="32" t="s">
        <v>235</v>
      </c>
      <c r="AF591" s="46"/>
      <c r="AG591" s="46"/>
      <c r="AH591" s="46"/>
      <c r="AI591" s="46"/>
      <c r="AJ591" s="46"/>
    </row>
    <row r="592" ht="22.5" customHeight="1">
      <c r="A592" s="27">
        <v>46243.0</v>
      </c>
      <c r="B592" s="34" t="str">
        <f t="array" ref="B592">TEXT(A592, "MM-YYYY")</f>
        <v>08-2026</v>
      </c>
      <c r="C592" s="39" t="s">
        <v>1486</v>
      </c>
      <c r="D592" s="36" t="s">
        <v>210</v>
      </c>
      <c r="E592" s="225" t="s">
        <v>213</v>
      </c>
      <c r="F592" s="37" t="s">
        <v>88</v>
      </c>
      <c r="G592" s="29" t="b">
        <v>1</v>
      </c>
      <c r="H592" s="36" t="s">
        <v>214</v>
      </c>
      <c r="I592" s="36" t="s">
        <v>215</v>
      </c>
      <c r="J592" s="214"/>
      <c r="K592" s="215"/>
      <c r="L592" s="37" t="s">
        <v>194</v>
      </c>
      <c r="M592" s="37" t="s">
        <v>194</v>
      </c>
      <c r="N592" s="37" t="s">
        <v>194</v>
      </c>
      <c r="O592" s="37" t="s">
        <v>194</v>
      </c>
      <c r="P592" s="37" t="s">
        <v>527</v>
      </c>
      <c r="Q592" s="37" t="s">
        <v>528</v>
      </c>
      <c r="R592" s="41">
        <v>46651.0</v>
      </c>
      <c r="S592" s="42">
        <v>0.0</v>
      </c>
      <c r="T592" s="44" t="s">
        <v>194</v>
      </c>
      <c r="U592" s="45" t="str">
        <f>IF(records[Type]="Room",records[roomNo],records[roomNo]&amp;"-"&amp;SUBSTITUTE(RIGHT(records[roomNo]&amp;records[Type],2),"-",""))</f>
        <v>16-1-101</v>
      </c>
      <c r="V592" s="47" t="str">
        <f t="array" ref="V592">_xlfn.XLOOKUP(records[ID], dAir[roomNo], dAir[roomName])</f>
        <v>AIRLOCK</v>
      </c>
      <c r="W592" s="47" t="str">
        <f t="array" ref="W592">_xlfn.XLOOKUP(records[ID], dAir[roomNo], dAir[building])</f>
        <v>Building 16</v>
      </c>
      <c r="X592" s="47" t="str">
        <f t="array" ref="X592">_xlfn.XLOOKUP(records[ID], dAir[roomNo], dAir[floor])</f>
        <v>Floor 1</v>
      </c>
      <c r="Y592" s="45" t="str">
        <f t="array" ref="Y592">_xlfn.XLOOKUP(records[ID], dAir[roomNo], dAir[Class])</f>
        <v>C</v>
      </c>
      <c r="Z592" s="45">
        <f t="array" ref="Z592">_xlfn.XLOOKUP(records[Method]&amp;"-"&amp;records[Class], dAirSpec[ID], dAirSpec[Spec])</f>
        <v>50</v>
      </c>
      <c r="AA592" s="45" t="str">
        <f t="array" ref="AA592">_xlfn.XLOOKUP(records[Method]&amp;"-"&amp;records[Class], dAirSpec[ID], dAirSpec[Unit])</f>
        <v>cfu/plate</v>
      </c>
      <c r="AB592" s="58">
        <f t="array" ref="AB592">if(S592="","", if(records[Method]="Active Air",_xlfn.xlookup(records[ColonyCount]&amp;records[AirSampler],feller[code],feller[Vc]),records[ColonyCount]))</f>
        <v>0</v>
      </c>
      <c r="AC592" s="60" t="b">
        <f t="shared" si="1"/>
        <v>1</v>
      </c>
      <c r="AD592" s="61" t="b">
        <v>0</v>
      </c>
      <c r="AE592" s="32" t="s">
        <v>235</v>
      </c>
      <c r="AF592" s="46"/>
      <c r="AG592" s="46"/>
      <c r="AH592" s="46"/>
      <c r="AI592" s="46"/>
      <c r="AJ592" s="46"/>
    </row>
    <row r="593" ht="22.5" customHeight="1">
      <c r="A593" s="27">
        <v>46243.0</v>
      </c>
      <c r="B593" s="34" t="str">
        <f t="array" ref="B593">TEXT(A593, "MM-YYYY")</f>
        <v>08-2026</v>
      </c>
      <c r="C593" s="233" t="s">
        <v>1486</v>
      </c>
      <c r="D593" s="234" t="s">
        <v>1350</v>
      </c>
      <c r="E593" s="235" t="s">
        <v>213</v>
      </c>
      <c r="F593" s="37" t="s">
        <v>88</v>
      </c>
      <c r="G593" s="29" t="b">
        <v>1</v>
      </c>
      <c r="H593" s="36" t="s">
        <v>214</v>
      </c>
      <c r="I593" s="36" t="s">
        <v>215</v>
      </c>
      <c r="J593" s="214"/>
      <c r="K593" s="215"/>
      <c r="L593" s="37" t="s">
        <v>194</v>
      </c>
      <c r="M593" s="37" t="s">
        <v>194</v>
      </c>
      <c r="N593" s="37" t="s">
        <v>194</v>
      </c>
      <c r="O593" s="37" t="s">
        <v>194</v>
      </c>
      <c r="P593" s="37" t="s">
        <v>527</v>
      </c>
      <c r="Q593" s="37" t="s">
        <v>528</v>
      </c>
      <c r="R593" s="41">
        <v>46651.0</v>
      </c>
      <c r="S593" s="42">
        <v>0.0</v>
      </c>
      <c r="T593" s="44" t="s">
        <v>1483</v>
      </c>
      <c r="U593" s="45" t="str">
        <f>IF(records[Type]="Room",records[roomNo],records[roomNo]&amp;"-"&amp;SUBSTITUTE(RIGHT(records[roomNo]&amp;records[Type],2),"-",""))</f>
        <v>16-1-101-PB</v>
      </c>
      <c r="V593" s="47" t="str">
        <f t="array" ref="V593">_xlfn.XLOOKUP(records[ID], dAir[roomNo], dAir[roomName])</f>
        <v>AIRLOCK (Passbox)</v>
      </c>
      <c r="W593" s="47" t="str">
        <f t="array" ref="W593">_xlfn.XLOOKUP(records[ID], dAir[roomNo], dAir[building])</f>
        <v>Building 16</v>
      </c>
      <c r="X593" s="47" t="str">
        <f t="array" ref="X593">_xlfn.XLOOKUP(records[ID], dAir[roomNo], dAir[floor])</f>
        <v>Floor 1</v>
      </c>
      <c r="Y593" s="45" t="str">
        <f t="array" ref="Y593">_xlfn.XLOOKUP(records[ID], dAir[roomNo], dAir[Class])</f>
        <v>C</v>
      </c>
      <c r="Z593" s="45">
        <f t="array" ref="Z593">_xlfn.XLOOKUP(records[Method]&amp;"-"&amp;records[Class], dAirSpec[ID], dAirSpec[Spec])</f>
        <v>50</v>
      </c>
      <c r="AA593" s="45" t="str">
        <f t="array" ref="AA593">_xlfn.XLOOKUP(records[Method]&amp;"-"&amp;records[Class], dAirSpec[ID], dAirSpec[Unit])</f>
        <v>cfu/plate</v>
      </c>
      <c r="AB593" s="58">
        <f t="array" ref="AB593">if(S593="","", if(records[Method]="Active Air",_xlfn.xlookup(records[ColonyCount]&amp;records[AirSampler],feller[code],feller[Vc]),records[ColonyCount]))</f>
        <v>0</v>
      </c>
      <c r="AC593" s="60" t="b">
        <f t="shared" si="1"/>
        <v>1</v>
      </c>
      <c r="AD593" s="61" t="b">
        <v>0</v>
      </c>
      <c r="AE593" s="32" t="s">
        <v>235</v>
      </c>
      <c r="AF593" s="46"/>
      <c r="AG593" s="46"/>
      <c r="AH593" s="46"/>
      <c r="AI593" s="46"/>
      <c r="AJ593" s="46"/>
    </row>
    <row r="594" ht="22.5" customHeight="1">
      <c r="A594" s="27">
        <v>46243.0</v>
      </c>
      <c r="B594" s="34" t="str">
        <f t="array" ref="B594">TEXT(A594, "MM-YYYY")</f>
        <v>08-2026</v>
      </c>
      <c r="C594" s="236" t="s">
        <v>786</v>
      </c>
      <c r="D594" s="237" t="s">
        <v>680</v>
      </c>
      <c r="E594" s="238" t="s">
        <v>531</v>
      </c>
      <c r="F594" s="37" t="s">
        <v>88</v>
      </c>
      <c r="G594" s="29" t="b">
        <v>1</v>
      </c>
      <c r="H594" s="36" t="s">
        <v>214</v>
      </c>
      <c r="I594" s="36" t="s">
        <v>534</v>
      </c>
      <c r="J594" s="214"/>
      <c r="K594" s="215"/>
      <c r="L594" s="37" t="s">
        <v>194</v>
      </c>
      <c r="M594" s="37" t="s">
        <v>194</v>
      </c>
      <c r="N594" s="37" t="s">
        <v>194</v>
      </c>
      <c r="O594" s="37" t="s">
        <v>194</v>
      </c>
      <c r="P594" s="37" t="s">
        <v>527</v>
      </c>
      <c r="Q594" s="37" t="s">
        <v>528</v>
      </c>
      <c r="R594" s="41">
        <v>46651.0</v>
      </c>
      <c r="S594" s="42">
        <v>0.0</v>
      </c>
      <c r="T594" s="44" t="s">
        <v>680</v>
      </c>
      <c r="U594" s="45" t="str">
        <f>IF(records[Type]="Room",records[roomNo],records[roomNo]&amp;"-"&amp;SUBSTITUTE(RIGHT(records[roomNo]&amp;records[Type],2),"-",""))</f>
        <v>16-1-102-B</v>
      </c>
      <c r="V594" s="47" t="str">
        <f t="array" ref="V594">_xlfn.XLOOKUP(records[ID], dAir[roomNo], dAir[roomName])</f>
        <v>DISPENSING (Booth)</v>
      </c>
      <c r="W594" s="47" t="str">
        <f t="array" ref="W594">_xlfn.XLOOKUP(records[ID], dAir[roomNo], dAir[building])</f>
        <v>Building 16</v>
      </c>
      <c r="X594" s="47" t="str">
        <f t="array" ref="X594">_xlfn.XLOOKUP(records[ID], dAir[roomNo], dAir[floor])</f>
        <v>Floor 1</v>
      </c>
      <c r="Y594" s="45" t="str">
        <f t="array" ref="Y594">_xlfn.XLOOKUP(records[ID], dAir[roomNo], dAir[Class])</f>
        <v>A</v>
      </c>
      <c r="Z594" s="45">
        <f t="array" ref="Z594">_xlfn.XLOOKUP(records[Method]&amp;"-"&amp;records[Class], dAirSpec[ID], dAirSpec[Spec])</f>
        <v>0</v>
      </c>
      <c r="AA594" s="45" t="str">
        <f t="array" ref="AA594">_xlfn.XLOOKUP(records[Method]&amp;"-"&amp;records[Class], dAirSpec[ID], dAirSpec[Unit])</f>
        <v>cfu/m3</v>
      </c>
      <c r="AB594" s="45">
        <f t="array" ref="AB594">if(S594="","", if(records[Method]="Active Air",_xlfn.xlookup(records[ColonyCount]&amp;records[AirSampler],feller[code],feller[Vc]),records[ColonyCount]))</f>
        <v>0</v>
      </c>
      <c r="AC594" s="60" t="b">
        <f t="shared" si="1"/>
        <v>1</v>
      </c>
      <c r="AD594" s="61" t="b">
        <v>0</v>
      </c>
      <c r="AE594" s="32" t="s">
        <v>235</v>
      </c>
      <c r="AF594" s="46"/>
      <c r="AG594" s="46"/>
      <c r="AH594" s="46"/>
      <c r="AI594" s="46"/>
      <c r="AJ594" s="46"/>
    </row>
    <row r="595" ht="22.5" customHeight="1">
      <c r="A595" s="27">
        <v>46243.0</v>
      </c>
      <c r="B595" s="34" t="str">
        <f t="array" ref="B595">TEXT(A595, "MM-YYYY")</f>
        <v>08-2026</v>
      </c>
      <c r="C595" s="233" t="s">
        <v>786</v>
      </c>
      <c r="D595" s="234" t="s">
        <v>210</v>
      </c>
      <c r="E595" s="235" t="s">
        <v>213</v>
      </c>
      <c r="F595" s="37" t="s">
        <v>88</v>
      </c>
      <c r="G595" s="29" t="b">
        <v>1</v>
      </c>
      <c r="H595" s="36" t="s">
        <v>214</v>
      </c>
      <c r="I595" s="36" t="s">
        <v>215</v>
      </c>
      <c r="J595" s="214"/>
      <c r="K595" s="215"/>
      <c r="L595" s="37" t="s">
        <v>194</v>
      </c>
      <c r="M595" s="37" t="s">
        <v>194</v>
      </c>
      <c r="N595" s="37" t="s">
        <v>194</v>
      </c>
      <c r="O595" s="37" t="s">
        <v>194</v>
      </c>
      <c r="P595" s="37" t="s">
        <v>527</v>
      </c>
      <c r="Q595" s="37" t="s">
        <v>528</v>
      </c>
      <c r="R595" s="41">
        <v>46651.0</v>
      </c>
      <c r="S595" s="42">
        <v>0.0</v>
      </c>
      <c r="T595" s="44" t="s">
        <v>194</v>
      </c>
      <c r="U595" s="45" t="str">
        <f>IF(records[Type]="Room",records[roomNo],records[roomNo]&amp;"-"&amp;SUBSTITUTE(RIGHT(records[roomNo]&amp;records[Type],2),"-",""))</f>
        <v>16-1-102</v>
      </c>
      <c r="V595" s="47" t="str">
        <f t="array" ref="V595">_xlfn.XLOOKUP(records[ID], dAir[roomNo], dAir[roomName])</f>
        <v>DISPENSING</v>
      </c>
      <c r="W595" s="47" t="str">
        <f t="array" ref="W595">_xlfn.XLOOKUP(records[ID], dAir[roomNo], dAir[building])</f>
        <v>Building 16</v>
      </c>
      <c r="X595" s="47" t="str">
        <f t="array" ref="X595">_xlfn.XLOOKUP(records[ID], dAir[roomNo], dAir[floor])</f>
        <v>Floor 1</v>
      </c>
      <c r="Y595" s="45" t="str">
        <f t="array" ref="Y595">_xlfn.XLOOKUP(records[ID], dAir[roomNo], dAir[Class])</f>
        <v>C</v>
      </c>
      <c r="Z595" s="45">
        <f t="array" ref="Z595">_xlfn.XLOOKUP(records[Method]&amp;"-"&amp;records[Class], dAirSpec[ID], dAirSpec[Spec])</f>
        <v>50</v>
      </c>
      <c r="AA595" s="45" t="str">
        <f t="array" ref="AA595">_xlfn.XLOOKUP(records[Method]&amp;"-"&amp;records[Class], dAirSpec[ID], dAirSpec[Unit])</f>
        <v>cfu/plate</v>
      </c>
      <c r="AB595" s="58">
        <f t="array" ref="AB595">if(S595="","", if(records[Method]="Active Air",_xlfn.xlookup(records[ColonyCount]&amp;records[AirSampler],feller[code],feller[Vc]),records[ColonyCount]))</f>
        <v>0</v>
      </c>
      <c r="AC595" s="60" t="b">
        <f t="shared" si="1"/>
        <v>1</v>
      </c>
      <c r="AD595" s="61" t="b">
        <v>0</v>
      </c>
      <c r="AE595" s="32" t="s">
        <v>235</v>
      </c>
      <c r="AF595" s="46"/>
      <c r="AG595" s="46"/>
      <c r="AH595" s="46"/>
      <c r="AI595" s="46"/>
      <c r="AJ595" s="46"/>
    </row>
    <row r="596" ht="22.5" customHeight="1">
      <c r="A596" s="27">
        <v>46243.0</v>
      </c>
      <c r="B596" s="34" t="str">
        <f t="array" ref="B596">TEXT(A596, "MM-YYYY")</f>
        <v>08-2026</v>
      </c>
      <c r="C596" s="239" t="s">
        <v>1492</v>
      </c>
      <c r="D596" s="240" t="s">
        <v>210</v>
      </c>
      <c r="E596" s="238" t="s">
        <v>213</v>
      </c>
      <c r="F596" s="37" t="s">
        <v>88</v>
      </c>
      <c r="G596" s="29" t="b">
        <v>1</v>
      </c>
      <c r="H596" s="36" t="s">
        <v>214</v>
      </c>
      <c r="I596" s="36" t="s">
        <v>215</v>
      </c>
      <c r="J596" s="214"/>
      <c r="K596" s="215"/>
      <c r="L596" s="37" t="s">
        <v>194</v>
      </c>
      <c r="M596" s="37" t="s">
        <v>194</v>
      </c>
      <c r="N596" s="37" t="s">
        <v>194</v>
      </c>
      <c r="O596" s="37" t="s">
        <v>194</v>
      </c>
      <c r="P596" s="37" t="s">
        <v>527</v>
      </c>
      <c r="Q596" s="37" t="s">
        <v>528</v>
      </c>
      <c r="R596" s="41">
        <v>46651.0</v>
      </c>
      <c r="S596" s="42">
        <v>0.0</v>
      </c>
      <c r="T596" s="44" t="s">
        <v>194</v>
      </c>
      <c r="U596" s="45" t="str">
        <f>IF(records[Type]="Room",records[roomNo],records[roomNo]&amp;"-"&amp;SUBSTITUTE(RIGHT(records[roomNo]&amp;records[Type],2),"-",""))</f>
        <v>16-1-103</v>
      </c>
      <c r="V596" s="47" t="str">
        <f t="array" ref="V596">_xlfn.XLOOKUP(records[ID], dAir[roomNo], dAir[roomName])</f>
        <v>DISPENSED MATERIAL STAGING</v>
      </c>
      <c r="W596" s="47" t="str">
        <f t="array" ref="W596">_xlfn.XLOOKUP(records[ID], dAir[roomNo], dAir[building])</f>
        <v>Building 16</v>
      </c>
      <c r="X596" s="47" t="str">
        <f t="array" ref="X596">_xlfn.XLOOKUP(records[ID], dAir[roomNo], dAir[floor])</f>
        <v>Floor 1</v>
      </c>
      <c r="Y596" s="45" t="str">
        <f t="array" ref="Y596">_xlfn.XLOOKUP(records[ID], dAir[roomNo], dAir[Class])</f>
        <v>C</v>
      </c>
      <c r="Z596" s="45">
        <f t="array" ref="Z596">_xlfn.XLOOKUP(records[Method]&amp;"-"&amp;records[Class], dAirSpec[ID], dAirSpec[Spec])</f>
        <v>50</v>
      </c>
      <c r="AA596" s="45" t="str">
        <f t="array" ref="AA596">_xlfn.XLOOKUP(records[Method]&amp;"-"&amp;records[Class], dAirSpec[ID], dAirSpec[Unit])</f>
        <v>cfu/plate</v>
      </c>
      <c r="AB596" s="58">
        <f t="array" ref="AB596">if(S596="","", if(records[Method]="Active Air",_xlfn.xlookup(records[ColonyCount]&amp;records[AirSampler],feller[code],feller[Vc]),records[ColonyCount]))</f>
        <v>0</v>
      </c>
      <c r="AC596" s="60" t="b">
        <f t="shared" si="1"/>
        <v>1</v>
      </c>
      <c r="AD596" s="61" t="b">
        <v>0</v>
      </c>
      <c r="AE596" s="32" t="s">
        <v>235</v>
      </c>
      <c r="AF596" s="46"/>
      <c r="AG596" s="46"/>
      <c r="AH596" s="46"/>
      <c r="AI596" s="46"/>
      <c r="AJ596" s="46"/>
    </row>
    <row r="597" ht="22.5" customHeight="1">
      <c r="A597" s="27">
        <v>46243.0</v>
      </c>
      <c r="B597" s="34" t="str">
        <f t="array" ref="B597">TEXT(A597, "MM-YYYY")</f>
        <v>08-2026</v>
      </c>
      <c r="C597" s="233" t="s">
        <v>1493</v>
      </c>
      <c r="D597" s="234" t="s">
        <v>210</v>
      </c>
      <c r="E597" s="235" t="s">
        <v>213</v>
      </c>
      <c r="F597" s="37" t="s">
        <v>88</v>
      </c>
      <c r="G597" s="29" t="b">
        <v>1</v>
      </c>
      <c r="H597" s="36" t="s">
        <v>214</v>
      </c>
      <c r="I597" s="36" t="s">
        <v>215</v>
      </c>
      <c r="J597" s="214"/>
      <c r="K597" s="215"/>
      <c r="L597" s="37" t="s">
        <v>194</v>
      </c>
      <c r="M597" s="37" t="s">
        <v>194</v>
      </c>
      <c r="N597" s="37" t="s">
        <v>194</v>
      </c>
      <c r="O597" s="37" t="s">
        <v>194</v>
      </c>
      <c r="P597" s="37" t="s">
        <v>527</v>
      </c>
      <c r="Q597" s="37" t="s">
        <v>528</v>
      </c>
      <c r="R597" s="41">
        <v>46651.0</v>
      </c>
      <c r="S597" s="42">
        <v>0.0</v>
      </c>
      <c r="T597" s="44" t="s">
        <v>194</v>
      </c>
      <c r="U597" s="45" t="str">
        <f>IF(records[Type]="Room",records[roomNo],records[roomNo]&amp;"-"&amp;SUBSTITUTE(RIGHT(records[roomNo]&amp;records[Type],2),"-",""))</f>
        <v>16-1-104</v>
      </c>
      <c r="V597" s="47" t="str">
        <f t="array" ref="V597">_xlfn.XLOOKUP(records[ID], dAir[roomNo], dAir[roomName])</f>
        <v>AMPOULES INTERNAL STAGING</v>
      </c>
      <c r="W597" s="47" t="str">
        <f t="array" ref="W597">_xlfn.XLOOKUP(records[ID], dAir[roomNo], dAir[building])</f>
        <v>Building 16</v>
      </c>
      <c r="X597" s="47" t="str">
        <f t="array" ref="X597">_xlfn.XLOOKUP(records[ID], dAir[roomNo], dAir[floor])</f>
        <v>Floor 1</v>
      </c>
      <c r="Y597" s="45" t="str">
        <f t="array" ref="Y597">_xlfn.XLOOKUP(records[ID], dAir[roomNo], dAir[Class])</f>
        <v>C</v>
      </c>
      <c r="Z597" s="45">
        <f t="array" ref="Z597">_xlfn.XLOOKUP(records[Method]&amp;"-"&amp;records[Class], dAirSpec[ID], dAirSpec[Spec])</f>
        <v>50</v>
      </c>
      <c r="AA597" s="45" t="str">
        <f t="array" ref="AA597">_xlfn.XLOOKUP(records[Method]&amp;"-"&amp;records[Class], dAirSpec[ID], dAirSpec[Unit])</f>
        <v>cfu/plate</v>
      </c>
      <c r="AB597" s="58">
        <f t="array" ref="AB597">if(S597="","", if(records[Method]="Active Air",_xlfn.xlookup(records[ColonyCount]&amp;records[AirSampler],feller[code],feller[Vc]),records[ColonyCount]))</f>
        <v>0</v>
      </c>
      <c r="AC597" s="60" t="b">
        <f t="shared" si="1"/>
        <v>1</v>
      </c>
      <c r="AD597" s="61" t="b">
        <v>0</v>
      </c>
      <c r="AE597" s="32" t="s">
        <v>235</v>
      </c>
      <c r="AF597" s="46"/>
      <c r="AG597" s="46"/>
      <c r="AH597" s="46"/>
      <c r="AI597" s="46"/>
      <c r="AJ597" s="46"/>
    </row>
    <row r="598" ht="22.5" customHeight="1">
      <c r="A598" s="27">
        <v>46243.0</v>
      </c>
      <c r="B598" s="34" t="str">
        <f t="array" ref="B598">TEXT(A598, "MM-YYYY")</f>
        <v>08-2026</v>
      </c>
      <c r="C598" s="239" t="s">
        <v>1493</v>
      </c>
      <c r="D598" s="240" t="s">
        <v>1350</v>
      </c>
      <c r="E598" s="238" t="s">
        <v>213</v>
      </c>
      <c r="F598" s="37" t="s">
        <v>88</v>
      </c>
      <c r="G598" s="29" t="b">
        <v>1</v>
      </c>
      <c r="H598" s="36" t="s">
        <v>214</v>
      </c>
      <c r="I598" s="36" t="s">
        <v>215</v>
      </c>
      <c r="J598" s="214"/>
      <c r="K598" s="215"/>
      <c r="L598" s="37" t="s">
        <v>194</v>
      </c>
      <c r="M598" s="37" t="s">
        <v>194</v>
      </c>
      <c r="N598" s="37" t="s">
        <v>194</v>
      </c>
      <c r="O598" s="37" t="s">
        <v>194</v>
      </c>
      <c r="P598" s="37" t="s">
        <v>527</v>
      </c>
      <c r="Q598" s="37" t="s">
        <v>528</v>
      </c>
      <c r="R598" s="41">
        <v>46651.0</v>
      </c>
      <c r="S598" s="42">
        <v>0.0</v>
      </c>
      <c r="T598" s="44" t="s">
        <v>1483</v>
      </c>
      <c r="U598" s="45" t="str">
        <f>IF(records[Type]="Room",records[roomNo],records[roomNo]&amp;"-"&amp;SUBSTITUTE(RIGHT(records[roomNo]&amp;records[Type],2),"-",""))</f>
        <v>16-1-104-PB</v>
      </c>
      <c r="V598" s="47" t="str">
        <f t="array" ref="V598">_xlfn.XLOOKUP(records[ID], dAir[roomNo], dAir[roomName])</f>
        <v>AMPOULES INTERNAL STAGING (Passbox)</v>
      </c>
      <c r="W598" s="47" t="str">
        <f t="array" ref="W598">_xlfn.XLOOKUP(records[ID], dAir[roomNo], dAir[building])</f>
        <v>Building 16</v>
      </c>
      <c r="X598" s="47" t="str">
        <f t="array" ref="X598">_xlfn.XLOOKUP(records[ID], dAir[roomNo], dAir[floor])</f>
        <v>Floor 1</v>
      </c>
      <c r="Y598" s="45" t="str">
        <f t="array" ref="Y598">_xlfn.XLOOKUP(records[ID], dAir[roomNo], dAir[Class])</f>
        <v>C</v>
      </c>
      <c r="Z598" s="45">
        <f t="array" ref="Z598">_xlfn.XLOOKUP(records[Method]&amp;"-"&amp;records[Class], dAirSpec[ID], dAirSpec[Spec])</f>
        <v>50</v>
      </c>
      <c r="AA598" s="45" t="str">
        <f t="array" ref="AA598">_xlfn.XLOOKUP(records[Method]&amp;"-"&amp;records[Class], dAirSpec[ID], dAirSpec[Unit])</f>
        <v>cfu/plate</v>
      </c>
      <c r="AB598" s="58">
        <f t="array" ref="AB598">if(S598="","", if(records[Method]="Active Air",_xlfn.xlookup(records[ColonyCount]&amp;records[AirSampler],feller[code],feller[Vc]),records[ColonyCount]))</f>
        <v>0</v>
      </c>
      <c r="AC598" s="60" t="b">
        <f t="shared" si="1"/>
        <v>1</v>
      </c>
      <c r="AD598" s="61" t="b">
        <v>0</v>
      </c>
      <c r="AE598" s="32" t="s">
        <v>235</v>
      </c>
      <c r="AF598" s="46"/>
      <c r="AG598" s="46"/>
      <c r="AH598" s="46"/>
      <c r="AI598" s="46"/>
      <c r="AJ598" s="46"/>
    </row>
    <row r="599" ht="22.5" customHeight="1">
      <c r="A599" s="27">
        <v>46243.0</v>
      </c>
      <c r="B599" s="34" t="str">
        <f t="array" ref="B599">TEXT(A599, "MM-YYYY")</f>
        <v>08-2026</v>
      </c>
      <c r="C599" s="233" t="s">
        <v>754</v>
      </c>
      <c r="D599" s="234" t="s">
        <v>210</v>
      </c>
      <c r="E599" s="235" t="s">
        <v>213</v>
      </c>
      <c r="F599" s="37" t="s">
        <v>88</v>
      </c>
      <c r="G599" s="29" t="b">
        <v>1</v>
      </c>
      <c r="H599" s="36" t="s">
        <v>214</v>
      </c>
      <c r="I599" s="36" t="s">
        <v>215</v>
      </c>
      <c r="J599" s="214"/>
      <c r="K599" s="215"/>
      <c r="L599" s="37" t="s">
        <v>194</v>
      </c>
      <c r="M599" s="37" t="s">
        <v>194</v>
      </c>
      <c r="N599" s="37" t="s">
        <v>194</v>
      </c>
      <c r="O599" s="37" t="s">
        <v>194</v>
      </c>
      <c r="P599" s="37" t="s">
        <v>527</v>
      </c>
      <c r="Q599" s="37" t="s">
        <v>528</v>
      </c>
      <c r="R599" s="41">
        <v>46651.0</v>
      </c>
      <c r="S599" s="42">
        <v>0.0</v>
      </c>
      <c r="T599" s="44" t="s">
        <v>194</v>
      </c>
      <c r="U599" s="45" t="str">
        <f>IF(records[Type]="Room",records[roomNo],records[roomNo]&amp;"-"&amp;SUBSTITUTE(RIGHT(records[roomNo]&amp;records[Type],2),"-",""))</f>
        <v>16-1-105</v>
      </c>
      <c r="V599" s="47" t="str">
        <f t="array" ref="V599">_xlfn.XLOOKUP(records[ID], dAir[roomNo], dAir[roomName])</f>
        <v>WASHING / TUNNEL 1</v>
      </c>
      <c r="W599" s="47" t="str">
        <f t="array" ref="W599">_xlfn.XLOOKUP(records[ID], dAir[roomNo], dAir[building])</f>
        <v>Building 16</v>
      </c>
      <c r="X599" s="47" t="str">
        <f t="array" ref="X599">_xlfn.XLOOKUP(records[ID], dAir[roomNo], dAir[floor])</f>
        <v>Floor 1</v>
      </c>
      <c r="Y599" s="45" t="str">
        <f t="array" ref="Y599">_xlfn.XLOOKUP(records[ID], dAir[roomNo], dAir[Class])</f>
        <v>C</v>
      </c>
      <c r="Z599" s="45">
        <f t="array" ref="Z599">_xlfn.XLOOKUP(records[Method]&amp;"-"&amp;records[Class], dAirSpec[ID], dAirSpec[Spec])</f>
        <v>50</v>
      </c>
      <c r="AA599" s="45" t="str">
        <f t="array" ref="AA599">_xlfn.XLOOKUP(records[Method]&amp;"-"&amp;records[Class], dAirSpec[ID], dAirSpec[Unit])</f>
        <v>cfu/plate</v>
      </c>
      <c r="AB599" s="58">
        <f t="array" ref="AB599">if(S599="","", if(records[Method]="Active Air",_xlfn.xlookup(records[ColonyCount]&amp;records[AirSampler],feller[code],feller[Vc]),records[ColonyCount]))</f>
        <v>0</v>
      </c>
      <c r="AC599" s="60" t="b">
        <f t="shared" si="1"/>
        <v>1</v>
      </c>
      <c r="AD599" s="61" t="b">
        <v>0</v>
      </c>
      <c r="AE599" s="32" t="s">
        <v>235</v>
      </c>
      <c r="AF599" s="46"/>
      <c r="AG599" s="46"/>
      <c r="AH599" s="46"/>
      <c r="AI599" s="46"/>
      <c r="AJ599" s="46"/>
    </row>
    <row r="600" ht="22.5" customHeight="1">
      <c r="A600" s="27">
        <v>46243.0</v>
      </c>
      <c r="B600" s="34" t="str">
        <f t="array" ref="B600">TEXT(A600, "MM-YYYY")</f>
        <v>08-2026</v>
      </c>
      <c r="C600" s="239" t="s">
        <v>1498</v>
      </c>
      <c r="D600" s="240" t="s">
        <v>210</v>
      </c>
      <c r="E600" s="238" t="s">
        <v>213</v>
      </c>
      <c r="F600" s="37" t="s">
        <v>88</v>
      </c>
      <c r="G600" s="29" t="b">
        <v>1</v>
      </c>
      <c r="H600" s="36" t="s">
        <v>214</v>
      </c>
      <c r="I600" s="36" t="s">
        <v>215</v>
      </c>
      <c r="J600" s="214"/>
      <c r="K600" s="215"/>
      <c r="L600" s="37" t="s">
        <v>194</v>
      </c>
      <c r="M600" s="37" t="s">
        <v>194</v>
      </c>
      <c r="N600" s="37" t="s">
        <v>194</v>
      </c>
      <c r="O600" s="37" t="s">
        <v>194</v>
      </c>
      <c r="P600" s="37" t="s">
        <v>527</v>
      </c>
      <c r="Q600" s="37" t="s">
        <v>528</v>
      </c>
      <c r="R600" s="41">
        <v>46651.0</v>
      </c>
      <c r="S600" s="42">
        <v>0.0</v>
      </c>
      <c r="T600" s="44" t="s">
        <v>194</v>
      </c>
      <c r="U600" s="45" t="str">
        <f>IF(records[Type]="Room",records[roomNo],records[roomNo]&amp;"-"&amp;SUBSTITUTE(RIGHT(records[roomNo]&amp;records[Type],2),"-",""))</f>
        <v>16-1-106</v>
      </c>
      <c r="V600" s="47" t="str">
        <f t="array" ref="V600">_xlfn.XLOOKUP(records[ID], dAir[roomNo], dAir[roomName])</f>
        <v>AIRLOCK</v>
      </c>
      <c r="W600" s="47" t="str">
        <f t="array" ref="W600">_xlfn.XLOOKUP(records[ID], dAir[roomNo], dAir[building])</f>
        <v>Building 16</v>
      </c>
      <c r="X600" s="47" t="str">
        <f t="array" ref="X600">_xlfn.XLOOKUP(records[ID], dAir[roomNo], dAir[floor])</f>
        <v>Floor 1</v>
      </c>
      <c r="Y600" s="45" t="str">
        <f t="array" ref="Y600">_xlfn.XLOOKUP(records[ID], dAir[roomNo], dAir[Class])</f>
        <v>C</v>
      </c>
      <c r="Z600" s="45">
        <f t="array" ref="Z600">_xlfn.XLOOKUP(records[Method]&amp;"-"&amp;records[Class], dAirSpec[ID], dAirSpec[Spec])</f>
        <v>50</v>
      </c>
      <c r="AA600" s="45" t="str">
        <f t="array" ref="AA600">_xlfn.XLOOKUP(records[Method]&amp;"-"&amp;records[Class], dAirSpec[ID], dAirSpec[Unit])</f>
        <v>cfu/plate</v>
      </c>
      <c r="AB600" s="58">
        <f t="array" ref="AB600">if(S600="","", if(records[Method]="Active Air",_xlfn.xlookup(records[ColonyCount]&amp;records[AirSampler],feller[code],feller[Vc]),records[ColonyCount]))</f>
        <v>0</v>
      </c>
      <c r="AC600" s="60" t="b">
        <f t="shared" si="1"/>
        <v>1</v>
      </c>
      <c r="AD600" s="61" t="b">
        <v>0</v>
      </c>
      <c r="AE600" s="32" t="s">
        <v>235</v>
      </c>
      <c r="AF600" s="46"/>
      <c r="AG600" s="46"/>
      <c r="AH600" s="46"/>
      <c r="AI600" s="46"/>
      <c r="AJ600" s="46"/>
    </row>
    <row r="601" ht="22.5" customHeight="1">
      <c r="A601" s="27">
        <v>46243.0</v>
      </c>
      <c r="B601" s="34" t="str">
        <f t="array" ref="B601">TEXT(A601, "MM-YYYY")</f>
        <v>08-2026</v>
      </c>
      <c r="C601" s="39" t="s">
        <v>763</v>
      </c>
      <c r="D601" s="36" t="s">
        <v>210</v>
      </c>
      <c r="E601" s="225" t="s">
        <v>213</v>
      </c>
      <c r="F601" s="37" t="s">
        <v>88</v>
      </c>
      <c r="G601" s="29" t="b">
        <v>1</v>
      </c>
      <c r="H601" s="36" t="s">
        <v>214</v>
      </c>
      <c r="I601" s="36" t="s">
        <v>215</v>
      </c>
      <c r="J601" s="214"/>
      <c r="K601" s="215"/>
      <c r="L601" s="37" t="s">
        <v>194</v>
      </c>
      <c r="M601" s="37" t="s">
        <v>194</v>
      </c>
      <c r="N601" s="37" t="s">
        <v>194</v>
      </c>
      <c r="O601" s="37" t="s">
        <v>194</v>
      </c>
      <c r="P601" s="37" t="s">
        <v>527</v>
      </c>
      <c r="Q601" s="37" t="s">
        <v>528</v>
      </c>
      <c r="R601" s="41">
        <v>46651.0</v>
      </c>
      <c r="S601" s="42">
        <v>0.0</v>
      </c>
      <c r="T601" s="44" t="s">
        <v>194</v>
      </c>
      <c r="U601" s="45" t="str">
        <f>IF(records[Type]="Room",records[roomNo],records[roomNo]&amp;"-"&amp;SUBSTITUTE(RIGHT(records[roomNo]&amp;records[Type],2),"-",""))</f>
        <v>16-1-107</v>
      </c>
      <c r="V601" s="47" t="str">
        <f t="array" ref="V601">_xlfn.XLOOKUP(records[ID], dAir[roomNo], dAir[roomName])</f>
        <v>COMPOUNDING 1</v>
      </c>
      <c r="W601" s="47" t="str">
        <f t="array" ref="W601">_xlfn.XLOOKUP(records[ID], dAir[roomNo], dAir[building])</f>
        <v>Building 16</v>
      </c>
      <c r="X601" s="47" t="str">
        <f t="array" ref="X601">_xlfn.XLOOKUP(records[ID], dAir[roomNo], dAir[floor])</f>
        <v>Floor 1</v>
      </c>
      <c r="Y601" s="45" t="str">
        <f t="array" ref="Y601">_xlfn.XLOOKUP(records[ID], dAir[roomNo], dAir[Class])</f>
        <v>C</v>
      </c>
      <c r="Z601" s="45">
        <f t="array" ref="Z601">_xlfn.XLOOKUP(records[Method]&amp;"-"&amp;records[Class], dAirSpec[ID], dAirSpec[Spec])</f>
        <v>50</v>
      </c>
      <c r="AA601" s="45" t="str">
        <f t="array" ref="AA601">_xlfn.XLOOKUP(records[Method]&amp;"-"&amp;records[Class], dAirSpec[ID], dAirSpec[Unit])</f>
        <v>cfu/plate</v>
      </c>
      <c r="AB601" s="58">
        <f t="array" ref="AB601">if(S601="","", if(records[Method]="Active Air",_xlfn.xlookup(records[ColonyCount]&amp;records[AirSampler],feller[code],feller[Vc]),records[ColonyCount]))</f>
        <v>0</v>
      </c>
      <c r="AC601" s="60" t="b">
        <f t="shared" si="1"/>
        <v>1</v>
      </c>
      <c r="AD601" s="61" t="b">
        <v>0</v>
      </c>
      <c r="AE601" s="32" t="s">
        <v>235</v>
      </c>
      <c r="AF601" s="46"/>
      <c r="AG601" s="46"/>
      <c r="AH601" s="46"/>
      <c r="AI601" s="46"/>
      <c r="AJ601" s="46"/>
    </row>
    <row r="602" ht="22.5" customHeight="1">
      <c r="A602" s="27">
        <v>46243.0</v>
      </c>
      <c r="B602" s="34" t="str">
        <f t="array" ref="B602">TEXT(A602, "MM-YYYY")</f>
        <v>08-2026</v>
      </c>
      <c r="C602" s="39" t="s">
        <v>1499</v>
      </c>
      <c r="D602" s="36" t="s">
        <v>210</v>
      </c>
      <c r="E602" s="225" t="s">
        <v>531</v>
      </c>
      <c r="F602" s="37" t="s">
        <v>88</v>
      </c>
      <c r="G602" s="29" t="b">
        <v>1</v>
      </c>
      <c r="H602" s="36" t="s">
        <v>214</v>
      </c>
      <c r="I602" s="36" t="s">
        <v>534</v>
      </c>
      <c r="J602" s="214"/>
      <c r="K602" s="215"/>
      <c r="L602" s="37" t="s">
        <v>194</v>
      </c>
      <c r="M602" s="37" t="s">
        <v>194</v>
      </c>
      <c r="N602" s="37" t="s">
        <v>194</v>
      </c>
      <c r="O602" s="37" t="s">
        <v>194</v>
      </c>
      <c r="P602" s="37" t="s">
        <v>527</v>
      </c>
      <c r="Q602" s="37" t="s">
        <v>528</v>
      </c>
      <c r="R602" s="41">
        <v>46651.0</v>
      </c>
      <c r="S602" s="42">
        <v>1.0</v>
      </c>
      <c r="T602" s="44" t="s">
        <v>194</v>
      </c>
      <c r="U602" s="45" t="str">
        <f>IF(records[Type]="Room",records[roomNo],records[roomNo]&amp;"-"&amp;SUBSTITUTE(RIGHT(records[roomNo]&amp;records[Type],2),"-",""))</f>
        <v>16-1-108</v>
      </c>
      <c r="V602" s="47" t="str">
        <f t="array" ref="V602">_xlfn.XLOOKUP(records[ID], dAir[roomNo], dAir[roomName])</f>
        <v>CLEANED EQUIPMENT</v>
      </c>
      <c r="W602" s="47" t="str">
        <f t="array" ref="W602">_xlfn.XLOOKUP(records[ID], dAir[roomNo], dAir[building])</f>
        <v>Building 16</v>
      </c>
      <c r="X602" s="47" t="str">
        <f t="array" ref="X602">_xlfn.XLOOKUP(records[ID], dAir[roomNo], dAir[floor])</f>
        <v>Floor 1</v>
      </c>
      <c r="Y602" s="45" t="str">
        <f t="array" ref="Y602">_xlfn.XLOOKUP(records[ID], dAir[roomNo], dAir[Class])</f>
        <v>C</v>
      </c>
      <c r="Z602" s="45">
        <f t="array" ref="Z602">_xlfn.XLOOKUP(records[Method]&amp;"-"&amp;records[Class], dAirSpec[ID], dAirSpec[Spec])</f>
        <v>100</v>
      </c>
      <c r="AA602" s="45" t="str">
        <f t="array" ref="AA602">_xlfn.XLOOKUP(records[Method]&amp;"-"&amp;records[Class], dAirSpec[ID], dAirSpec[Unit])</f>
        <v>cfu/m3</v>
      </c>
      <c r="AB602" s="45">
        <f t="array" ref="AB602">if(S602="","", if(records[Method]="Active Air",_xlfn.xlookup(records[ColonyCount]&amp;records[AirSampler],feller[code],feller[Vc]),records[ColonyCount]))</f>
        <v>1</v>
      </c>
      <c r="AC602" s="60" t="b">
        <f t="shared" si="1"/>
        <v>1</v>
      </c>
      <c r="AD602" s="61" t="b">
        <v>0</v>
      </c>
      <c r="AE602" s="32" t="s">
        <v>235</v>
      </c>
      <c r="AF602" s="46"/>
      <c r="AG602" s="46"/>
      <c r="AH602" s="46"/>
      <c r="AI602" s="46"/>
      <c r="AJ602" s="46"/>
    </row>
    <row r="603" ht="22.5" customHeight="1">
      <c r="A603" s="27">
        <v>46243.0</v>
      </c>
      <c r="B603" s="34" t="str">
        <f t="array" ref="B603">TEXT(A603, "MM-YYYY")</f>
        <v>08-2026</v>
      </c>
      <c r="C603" s="39" t="s">
        <v>769</v>
      </c>
      <c r="D603" s="36" t="s">
        <v>210</v>
      </c>
      <c r="E603" s="225" t="s">
        <v>531</v>
      </c>
      <c r="F603" s="37" t="s">
        <v>88</v>
      </c>
      <c r="G603" s="29" t="b">
        <v>1</v>
      </c>
      <c r="H603" s="36" t="s">
        <v>214</v>
      </c>
      <c r="I603" s="36" t="s">
        <v>203</v>
      </c>
      <c r="J603" s="214"/>
      <c r="K603" s="215"/>
      <c r="L603" s="37" t="s">
        <v>194</v>
      </c>
      <c r="M603" s="37" t="s">
        <v>194</v>
      </c>
      <c r="N603" s="37" t="s">
        <v>194</v>
      </c>
      <c r="O603" s="37" t="s">
        <v>194</v>
      </c>
      <c r="P603" s="37" t="s">
        <v>527</v>
      </c>
      <c r="Q603" s="37" t="s">
        <v>528</v>
      </c>
      <c r="R603" s="41">
        <v>46651.0</v>
      </c>
      <c r="S603" s="42">
        <v>0.0</v>
      </c>
      <c r="T603" s="44" t="s">
        <v>194</v>
      </c>
      <c r="U603" s="45" t="str">
        <f>IF(records[Type]="Room",records[roomNo],records[roomNo]&amp;"-"&amp;SUBSTITUTE(RIGHT(records[roomNo]&amp;records[Type],2),"-",""))</f>
        <v>16-1-109</v>
      </c>
      <c r="V603" s="47" t="str">
        <f t="array" ref="V603">_xlfn.XLOOKUP(records[ID], dAir[roomNo], dAir[roomName])</f>
        <v>DRYING</v>
      </c>
      <c r="W603" s="47" t="str">
        <f t="array" ref="W603">_xlfn.XLOOKUP(records[ID], dAir[roomNo], dAir[building])</f>
        <v>Building 16</v>
      </c>
      <c r="X603" s="47" t="str">
        <f t="array" ref="X603">_xlfn.XLOOKUP(records[ID], dAir[roomNo], dAir[floor])</f>
        <v>Floor 1</v>
      </c>
      <c r="Y603" s="45" t="str">
        <f t="array" ref="Y603">_xlfn.XLOOKUP(records[ID], dAir[roomNo], dAir[Class])</f>
        <v>C</v>
      </c>
      <c r="Z603" s="45">
        <f t="array" ref="Z603">_xlfn.XLOOKUP(records[Method]&amp;"-"&amp;records[Class], dAirSpec[ID], dAirSpec[Spec])</f>
        <v>100</v>
      </c>
      <c r="AA603" s="45" t="str">
        <f t="array" ref="AA603">_xlfn.XLOOKUP(records[Method]&amp;"-"&amp;records[Class], dAirSpec[ID], dAirSpec[Unit])</f>
        <v>cfu/m3</v>
      </c>
      <c r="AB603" s="45">
        <f t="array" ref="AB603">if(S603="","", if(records[Method]="Active Air",_xlfn.xlookup(records[ColonyCount]&amp;records[AirSampler],feller[code],feller[Vc]),records[ColonyCount]))</f>
        <v>0</v>
      </c>
      <c r="AC603" s="60" t="b">
        <f t="shared" si="1"/>
        <v>1</v>
      </c>
      <c r="AD603" s="61" t="b">
        <v>0</v>
      </c>
      <c r="AE603" s="32" t="s">
        <v>235</v>
      </c>
      <c r="AF603" s="46"/>
      <c r="AG603" s="46"/>
      <c r="AH603" s="46"/>
      <c r="AI603" s="46"/>
      <c r="AJ603" s="46"/>
    </row>
    <row r="604" ht="22.5" customHeight="1">
      <c r="A604" s="27">
        <v>46243.0</v>
      </c>
      <c r="B604" s="34" t="str">
        <f t="array" ref="B604">TEXT(A604, "MM-YYYY")</f>
        <v>08-2026</v>
      </c>
      <c r="C604" s="39" t="s">
        <v>1024</v>
      </c>
      <c r="D604" s="36" t="s">
        <v>210</v>
      </c>
      <c r="E604" s="225" t="s">
        <v>213</v>
      </c>
      <c r="F604" s="37" t="s">
        <v>88</v>
      </c>
      <c r="G604" s="29" t="b">
        <v>1</v>
      </c>
      <c r="H604" s="36" t="s">
        <v>214</v>
      </c>
      <c r="I604" s="36" t="s">
        <v>215</v>
      </c>
      <c r="J604" s="214"/>
      <c r="K604" s="215"/>
      <c r="L604" s="37" t="s">
        <v>194</v>
      </c>
      <c r="M604" s="37" t="s">
        <v>194</v>
      </c>
      <c r="N604" s="37" t="s">
        <v>194</v>
      </c>
      <c r="O604" s="37" t="s">
        <v>194</v>
      </c>
      <c r="P604" s="37" t="s">
        <v>527</v>
      </c>
      <c r="Q604" s="37" t="s">
        <v>528</v>
      </c>
      <c r="R604" s="41">
        <v>46651.0</v>
      </c>
      <c r="S604" s="42">
        <v>0.0</v>
      </c>
      <c r="T604" s="44" t="s">
        <v>194</v>
      </c>
      <c r="U604" s="45" t="str">
        <f>IF(records[Type]="Room",records[roomNo],records[roomNo]&amp;"-"&amp;SUBSTITUTE(RIGHT(records[roomNo]&amp;records[Type],2),"-",""))</f>
        <v>16-1-110</v>
      </c>
      <c r="V604" s="47" t="str">
        <f t="array" ref="V604">_xlfn.XLOOKUP(records[ID], dAir[roomNo], dAir[roomName])</f>
        <v>DISINFECTANT PREPARATION</v>
      </c>
      <c r="W604" s="47" t="str">
        <f t="array" ref="W604">_xlfn.XLOOKUP(records[ID], dAir[roomNo], dAir[building])</f>
        <v>Building 16</v>
      </c>
      <c r="X604" s="47" t="str">
        <f t="array" ref="X604">_xlfn.XLOOKUP(records[ID], dAir[roomNo], dAir[floor])</f>
        <v>Floor 1</v>
      </c>
      <c r="Y604" s="45" t="str">
        <f t="array" ref="Y604">_xlfn.XLOOKUP(records[ID], dAir[roomNo], dAir[Class])</f>
        <v>C</v>
      </c>
      <c r="Z604" s="45">
        <f t="array" ref="Z604">_xlfn.XLOOKUP(records[Method]&amp;"-"&amp;records[Class], dAirSpec[ID], dAirSpec[Spec])</f>
        <v>50</v>
      </c>
      <c r="AA604" s="45" t="str">
        <f t="array" ref="AA604">_xlfn.XLOOKUP(records[Method]&amp;"-"&amp;records[Class], dAirSpec[ID], dAirSpec[Unit])</f>
        <v>cfu/plate</v>
      </c>
      <c r="AB604" s="58">
        <f t="array" ref="AB604">if(S604="","", if(records[Method]="Active Air",_xlfn.xlookup(records[ColonyCount]&amp;records[AirSampler],feller[code],feller[Vc]),records[ColonyCount]))</f>
        <v>0</v>
      </c>
      <c r="AC604" s="60" t="b">
        <f t="shared" si="1"/>
        <v>1</v>
      </c>
      <c r="AD604" s="61" t="b">
        <v>0</v>
      </c>
      <c r="AE604" s="32" t="s">
        <v>235</v>
      </c>
      <c r="AF604" s="46"/>
      <c r="AG604" s="46"/>
      <c r="AH604" s="46"/>
      <c r="AI604" s="46"/>
      <c r="AJ604" s="46"/>
    </row>
    <row r="605" ht="22.5" customHeight="1">
      <c r="A605" s="27">
        <v>46243.0</v>
      </c>
      <c r="B605" s="34" t="str">
        <f t="array" ref="B605">TEXT(A605, "MM-YYYY")</f>
        <v>08-2026</v>
      </c>
      <c r="C605" s="39" t="s">
        <v>1500</v>
      </c>
      <c r="D605" s="36" t="s">
        <v>210</v>
      </c>
      <c r="E605" s="225" t="s">
        <v>213</v>
      </c>
      <c r="F605" s="37" t="s">
        <v>88</v>
      </c>
      <c r="G605" s="29" t="b">
        <v>1</v>
      </c>
      <c r="H605" s="36" t="s">
        <v>214</v>
      </c>
      <c r="I605" s="36" t="s">
        <v>215</v>
      </c>
      <c r="J605" s="214"/>
      <c r="K605" s="215"/>
      <c r="L605" s="37" t="s">
        <v>194</v>
      </c>
      <c r="M605" s="37" t="s">
        <v>194</v>
      </c>
      <c r="N605" s="37" t="s">
        <v>194</v>
      </c>
      <c r="O605" s="37" t="s">
        <v>194</v>
      </c>
      <c r="P605" s="37" t="s">
        <v>527</v>
      </c>
      <c r="Q605" s="37" t="s">
        <v>528</v>
      </c>
      <c r="R605" s="41">
        <v>46651.0</v>
      </c>
      <c r="S605" s="42">
        <v>0.0</v>
      </c>
      <c r="T605" s="44" t="s">
        <v>194</v>
      </c>
      <c r="U605" s="45" t="str">
        <f>IF(records[Type]="Room",records[roomNo],records[roomNo]&amp;"-"&amp;SUBSTITUTE(RIGHT(records[roomNo]&amp;records[Type],2),"-",""))</f>
        <v>16-1-111</v>
      </c>
      <c r="V605" s="47" t="str">
        <f t="array" ref="V605">_xlfn.XLOOKUP(records[ID], dAir[roomNo], dAir[roomName])</f>
        <v>COMPONENT PREPARATION</v>
      </c>
      <c r="W605" s="47" t="str">
        <f t="array" ref="W605">_xlfn.XLOOKUP(records[ID], dAir[roomNo], dAir[building])</f>
        <v>Building 16</v>
      </c>
      <c r="X605" s="47" t="str">
        <f t="array" ref="X605">_xlfn.XLOOKUP(records[ID], dAir[roomNo], dAir[floor])</f>
        <v>Floor 1</v>
      </c>
      <c r="Y605" s="45" t="str">
        <f t="array" ref="Y605">_xlfn.XLOOKUP(records[ID], dAir[roomNo], dAir[Class])</f>
        <v>C</v>
      </c>
      <c r="Z605" s="45">
        <f t="array" ref="Z605">_xlfn.XLOOKUP(records[Method]&amp;"-"&amp;records[Class], dAirSpec[ID], dAirSpec[Spec])</f>
        <v>50</v>
      </c>
      <c r="AA605" s="45" t="str">
        <f t="array" ref="AA605">_xlfn.XLOOKUP(records[Method]&amp;"-"&amp;records[Class], dAirSpec[ID], dAirSpec[Unit])</f>
        <v>cfu/plate</v>
      </c>
      <c r="AB605" s="58">
        <f t="array" ref="AB605">if(S605="","", if(records[Method]="Active Air",_xlfn.xlookup(records[ColonyCount]&amp;records[AirSampler],feller[code],feller[Vc]),records[ColonyCount]))</f>
        <v>0</v>
      </c>
      <c r="AC605" s="60" t="b">
        <f t="shared" si="1"/>
        <v>1</v>
      </c>
      <c r="AD605" s="61" t="b">
        <v>0</v>
      </c>
      <c r="AE605" s="32" t="s">
        <v>235</v>
      </c>
      <c r="AF605" s="46"/>
      <c r="AG605" s="46"/>
      <c r="AH605" s="46"/>
      <c r="AI605" s="46"/>
      <c r="AJ605" s="46"/>
    </row>
    <row r="606" ht="22.5" customHeight="1">
      <c r="A606" s="27">
        <v>46243.0</v>
      </c>
      <c r="B606" s="34" t="str">
        <f t="array" ref="B606">TEXT(A606, "MM-YYYY")</f>
        <v>08-2026</v>
      </c>
      <c r="C606" s="39" t="s">
        <v>1502</v>
      </c>
      <c r="D606" s="36" t="s">
        <v>210</v>
      </c>
      <c r="E606" s="225" t="s">
        <v>213</v>
      </c>
      <c r="F606" s="37" t="s">
        <v>88</v>
      </c>
      <c r="G606" s="29" t="b">
        <v>1</v>
      </c>
      <c r="H606" s="36" t="s">
        <v>214</v>
      </c>
      <c r="I606" s="36" t="s">
        <v>215</v>
      </c>
      <c r="J606" s="214"/>
      <c r="K606" s="215"/>
      <c r="L606" s="37" t="s">
        <v>194</v>
      </c>
      <c r="M606" s="37" t="s">
        <v>194</v>
      </c>
      <c r="N606" s="37" t="s">
        <v>194</v>
      </c>
      <c r="O606" s="37" t="s">
        <v>194</v>
      </c>
      <c r="P606" s="37" t="s">
        <v>527</v>
      </c>
      <c r="Q606" s="37" t="s">
        <v>528</v>
      </c>
      <c r="R606" s="41">
        <v>46651.0</v>
      </c>
      <c r="S606" s="42">
        <v>0.0</v>
      </c>
      <c r="T606" s="29" t="s">
        <v>1043</v>
      </c>
      <c r="U606" s="45" t="str">
        <f>IF(records[Type]="Room",records[roomNo],records[roomNo]&amp;"-"&amp;SUBSTITUTE(RIGHT(records[roomNo]&amp;records[Type],2),"-",""))</f>
        <v>16-1-112</v>
      </c>
      <c r="V606" s="47" t="str">
        <f t="array" ref="V606">_xlfn.XLOOKUP(records[ID], dAir[roomNo], dAir[roomName])</f>
        <v>PASSAGE</v>
      </c>
      <c r="W606" s="47" t="str">
        <f t="array" ref="W606">_xlfn.XLOOKUP(records[ID], dAir[roomNo], dAir[building])</f>
        <v>Building 16</v>
      </c>
      <c r="X606" s="47" t="str">
        <f t="array" ref="X606">_xlfn.XLOOKUP(records[ID], dAir[roomNo], dAir[floor])</f>
        <v>Floor 1</v>
      </c>
      <c r="Y606" s="45" t="str">
        <f t="array" ref="Y606">_xlfn.XLOOKUP(records[ID], dAir[roomNo], dAir[Class])</f>
        <v>C</v>
      </c>
      <c r="Z606" s="45">
        <f t="array" ref="Z606">_xlfn.XLOOKUP(records[Method]&amp;"-"&amp;records[Class], dAirSpec[ID], dAirSpec[Spec])</f>
        <v>50</v>
      </c>
      <c r="AA606" s="45" t="str">
        <f t="array" ref="AA606">_xlfn.XLOOKUP(records[Method]&amp;"-"&amp;records[Class], dAirSpec[ID], dAirSpec[Unit])</f>
        <v>cfu/plate</v>
      </c>
      <c r="AB606" s="58">
        <f t="array" ref="AB606">if(S606="","", if(records[Method]="Active Air",_xlfn.xlookup(records[ColonyCount]&amp;records[AirSampler],feller[code],feller[Vc]),records[ColonyCount]))</f>
        <v>0</v>
      </c>
      <c r="AC606" s="60" t="b">
        <f t="shared" si="1"/>
        <v>1</v>
      </c>
      <c r="AD606" s="61" t="b">
        <v>0</v>
      </c>
      <c r="AE606" s="32" t="s">
        <v>235</v>
      </c>
      <c r="AF606" s="46"/>
      <c r="AG606" s="46"/>
      <c r="AH606" s="46"/>
      <c r="AI606" s="46"/>
      <c r="AJ606" s="46"/>
    </row>
    <row r="607" ht="22.5" customHeight="1">
      <c r="A607" s="27">
        <v>46243.0</v>
      </c>
      <c r="B607" s="34" t="str">
        <f t="array" ref="B607">TEXT(A607, "MM-YYYY")</f>
        <v>08-2026</v>
      </c>
      <c r="C607" s="39" t="s">
        <v>1503</v>
      </c>
      <c r="D607" s="36" t="s">
        <v>210</v>
      </c>
      <c r="E607" s="225" t="s">
        <v>213</v>
      </c>
      <c r="F607" s="37" t="s">
        <v>88</v>
      </c>
      <c r="G607" s="29" t="b">
        <v>1</v>
      </c>
      <c r="H607" s="36" t="s">
        <v>214</v>
      </c>
      <c r="I607" s="36" t="s">
        <v>215</v>
      </c>
      <c r="J607" s="214"/>
      <c r="K607" s="215"/>
      <c r="L607" s="37" t="s">
        <v>194</v>
      </c>
      <c r="M607" s="37" t="s">
        <v>194</v>
      </c>
      <c r="N607" s="37" t="s">
        <v>194</v>
      </c>
      <c r="O607" s="37" t="s">
        <v>194</v>
      </c>
      <c r="P607" s="37" t="s">
        <v>527</v>
      </c>
      <c r="Q607" s="37" t="s">
        <v>528</v>
      </c>
      <c r="R607" s="41">
        <v>46651.0</v>
      </c>
      <c r="S607" s="42">
        <v>0.0</v>
      </c>
      <c r="T607" s="44" t="s">
        <v>194</v>
      </c>
      <c r="U607" s="45" t="str">
        <f>IF(records[Type]="Room",records[roomNo],records[roomNo]&amp;"-"&amp;SUBSTITUTE(RIGHT(records[roomNo]&amp;records[Type],2),"-",""))</f>
        <v>16-1-113</v>
      </c>
      <c r="V607" s="47" t="str">
        <f t="array" ref="V607">_xlfn.XLOOKUP(records[ID], dAir[roomNo], dAir[roomName])</f>
        <v>AIRLOCK</v>
      </c>
      <c r="W607" s="47" t="str">
        <f t="array" ref="W607">_xlfn.XLOOKUP(records[ID], dAir[roomNo], dAir[building])</f>
        <v>Building 16</v>
      </c>
      <c r="X607" s="47" t="str">
        <f t="array" ref="X607">_xlfn.XLOOKUP(records[ID], dAir[roomNo], dAir[floor])</f>
        <v>Floor 1</v>
      </c>
      <c r="Y607" s="45" t="str">
        <f t="array" ref="Y607">_xlfn.XLOOKUP(records[ID], dAir[roomNo], dAir[Class])</f>
        <v>C</v>
      </c>
      <c r="Z607" s="45">
        <f t="array" ref="Z607">_xlfn.XLOOKUP(records[Method]&amp;"-"&amp;records[Class], dAirSpec[ID], dAirSpec[Spec])</f>
        <v>50</v>
      </c>
      <c r="AA607" s="45" t="str">
        <f t="array" ref="AA607">_xlfn.XLOOKUP(records[Method]&amp;"-"&amp;records[Class], dAirSpec[ID], dAirSpec[Unit])</f>
        <v>cfu/plate</v>
      </c>
      <c r="AB607" s="58">
        <f t="array" ref="AB607">if(S607="","", if(records[Method]="Active Air",_xlfn.xlookup(records[ColonyCount]&amp;records[AirSampler],feller[code],feller[Vc]),records[ColonyCount]))</f>
        <v>0</v>
      </c>
      <c r="AC607" s="60" t="b">
        <f t="shared" si="1"/>
        <v>1</v>
      </c>
      <c r="AD607" s="61" t="b">
        <v>0</v>
      </c>
      <c r="AE607" s="32" t="s">
        <v>235</v>
      </c>
      <c r="AF607" s="46"/>
      <c r="AG607" s="46"/>
      <c r="AH607" s="46"/>
      <c r="AI607" s="46"/>
      <c r="AJ607" s="46"/>
    </row>
    <row r="608" ht="22.5" customHeight="1">
      <c r="A608" s="27">
        <v>46243.0</v>
      </c>
      <c r="B608" s="34" t="str">
        <f t="array" ref="B608">TEXT(A608, "MM-YYYY")</f>
        <v>08-2026</v>
      </c>
      <c r="C608" s="39" t="s">
        <v>776</v>
      </c>
      <c r="D608" s="36" t="s">
        <v>210</v>
      </c>
      <c r="E608" s="225" t="s">
        <v>213</v>
      </c>
      <c r="F608" s="37" t="s">
        <v>88</v>
      </c>
      <c r="G608" s="29" t="b">
        <v>1</v>
      </c>
      <c r="H608" s="36" t="s">
        <v>214</v>
      </c>
      <c r="I608" s="36" t="s">
        <v>215</v>
      </c>
      <c r="J608" s="214"/>
      <c r="K608" s="215"/>
      <c r="L608" s="37" t="s">
        <v>194</v>
      </c>
      <c r="M608" s="37" t="s">
        <v>194</v>
      </c>
      <c r="N608" s="37" t="s">
        <v>194</v>
      </c>
      <c r="O608" s="37" t="s">
        <v>194</v>
      </c>
      <c r="P608" s="37" t="s">
        <v>527</v>
      </c>
      <c r="Q608" s="37" t="s">
        <v>528</v>
      </c>
      <c r="R608" s="41">
        <v>46651.0</v>
      </c>
      <c r="S608" s="42">
        <v>0.0</v>
      </c>
      <c r="T608" s="44" t="s">
        <v>194</v>
      </c>
      <c r="U608" s="45" t="str">
        <f>IF(records[Type]="Room",records[roomNo],records[roomNo]&amp;"-"&amp;SUBSTITUTE(RIGHT(records[roomNo]&amp;records[Type],2),"-",""))</f>
        <v>16-1-114</v>
      </c>
      <c r="V608" s="47" t="str">
        <f t="array" ref="V608">_xlfn.XLOOKUP(records[ID], dAir[roomNo], dAir[roomName])</f>
        <v>COMPOUNDING 2</v>
      </c>
      <c r="W608" s="47" t="str">
        <f t="array" ref="W608">_xlfn.XLOOKUP(records[ID], dAir[roomNo], dAir[building])</f>
        <v>Building 16</v>
      </c>
      <c r="X608" s="47" t="str">
        <f t="array" ref="X608">_xlfn.XLOOKUP(records[ID], dAir[roomNo], dAir[floor])</f>
        <v>Floor 1</v>
      </c>
      <c r="Y608" s="45" t="str">
        <f t="array" ref="Y608">_xlfn.XLOOKUP(records[ID], dAir[roomNo], dAir[Class])</f>
        <v>C</v>
      </c>
      <c r="Z608" s="45">
        <f t="array" ref="Z608">_xlfn.XLOOKUP(records[Method]&amp;"-"&amp;records[Class], dAirSpec[ID], dAirSpec[Spec])</f>
        <v>50</v>
      </c>
      <c r="AA608" s="45" t="str">
        <f t="array" ref="AA608">_xlfn.XLOOKUP(records[Method]&amp;"-"&amp;records[Class], dAirSpec[ID], dAirSpec[Unit])</f>
        <v>cfu/plate</v>
      </c>
      <c r="AB608" s="58">
        <f t="array" ref="AB608">if(S608="","", if(records[Method]="Active Air",_xlfn.xlookup(records[ColonyCount]&amp;records[AirSampler],feller[code],feller[Vc]),records[ColonyCount]))</f>
        <v>0</v>
      </c>
      <c r="AC608" s="60" t="b">
        <f t="shared" si="1"/>
        <v>1</v>
      </c>
      <c r="AD608" s="61" t="b">
        <v>0</v>
      </c>
      <c r="AE608" s="32" t="s">
        <v>235</v>
      </c>
      <c r="AF608" s="46"/>
      <c r="AG608" s="46"/>
      <c r="AH608" s="46"/>
      <c r="AI608" s="46"/>
      <c r="AJ608" s="46"/>
    </row>
    <row r="609" ht="22.5" customHeight="1">
      <c r="A609" s="27">
        <v>46243.0</v>
      </c>
      <c r="B609" s="34" t="str">
        <f t="array" ref="B609">TEXT(A609, "MM-YYYY")</f>
        <v>08-2026</v>
      </c>
      <c r="C609" s="39" t="s">
        <v>1504</v>
      </c>
      <c r="D609" s="36" t="s">
        <v>210</v>
      </c>
      <c r="E609" s="225" t="s">
        <v>213</v>
      </c>
      <c r="F609" s="37" t="s">
        <v>88</v>
      </c>
      <c r="G609" s="29" t="b">
        <v>1</v>
      </c>
      <c r="H609" s="36" t="s">
        <v>214</v>
      </c>
      <c r="I609" s="36" t="s">
        <v>215</v>
      </c>
      <c r="J609" s="214"/>
      <c r="K609" s="215"/>
      <c r="L609" s="37" t="s">
        <v>194</v>
      </c>
      <c r="M609" s="37" t="s">
        <v>194</v>
      </c>
      <c r="N609" s="37" t="s">
        <v>194</v>
      </c>
      <c r="O609" s="37" t="s">
        <v>194</v>
      </c>
      <c r="P609" s="37" t="s">
        <v>527</v>
      </c>
      <c r="Q609" s="37" t="s">
        <v>528</v>
      </c>
      <c r="R609" s="41">
        <v>46651.0</v>
      </c>
      <c r="S609" s="42">
        <v>0.0</v>
      </c>
      <c r="T609" s="44" t="s">
        <v>194</v>
      </c>
      <c r="U609" s="45" t="str">
        <f>IF(records[Type]="Room",records[roomNo],records[roomNo]&amp;"-"&amp;SUBSTITUTE(RIGHT(records[roomNo]&amp;records[Type],2),"-",""))</f>
        <v>16-1-124</v>
      </c>
      <c r="V609" s="47" t="str">
        <f t="array" ref="V609">_xlfn.XLOOKUP(records[ID], dAir[roomNo], dAir[roomName])</f>
        <v>CORRIDOR</v>
      </c>
      <c r="W609" s="47" t="str">
        <f t="array" ref="W609">_xlfn.XLOOKUP(records[ID], dAir[roomNo], dAir[building])</f>
        <v>Building 16</v>
      </c>
      <c r="X609" s="47" t="str">
        <f t="array" ref="X609">_xlfn.XLOOKUP(records[ID], dAir[roomNo], dAir[floor])</f>
        <v>Floor 1</v>
      </c>
      <c r="Y609" s="45" t="str">
        <f t="array" ref="Y609">_xlfn.XLOOKUP(records[ID], dAir[roomNo], dAir[Class])</f>
        <v>C</v>
      </c>
      <c r="Z609" s="45">
        <f t="array" ref="Z609">_xlfn.XLOOKUP(records[Method]&amp;"-"&amp;records[Class], dAirSpec[ID], dAirSpec[Spec])</f>
        <v>50</v>
      </c>
      <c r="AA609" s="45" t="str">
        <f t="array" ref="AA609">_xlfn.XLOOKUP(records[Method]&amp;"-"&amp;records[Class], dAirSpec[ID], dAirSpec[Unit])</f>
        <v>cfu/plate</v>
      </c>
      <c r="AB609" s="58">
        <f t="array" ref="AB609">if(S609="","", if(records[Method]="Active Air",_xlfn.xlookup(records[ColonyCount]&amp;records[AirSampler],feller[code],feller[Vc]),records[ColonyCount]))</f>
        <v>0</v>
      </c>
      <c r="AC609" s="60" t="b">
        <f t="shared" si="1"/>
        <v>1</v>
      </c>
      <c r="AD609" s="61" t="b">
        <v>0</v>
      </c>
      <c r="AE609" s="32" t="s">
        <v>235</v>
      </c>
      <c r="AF609" s="46"/>
      <c r="AG609" s="46"/>
      <c r="AH609" s="46"/>
      <c r="AI609" s="46"/>
      <c r="AJ609" s="46"/>
    </row>
    <row r="610" ht="22.5" customHeight="1">
      <c r="A610" s="27">
        <v>46243.0</v>
      </c>
      <c r="B610" s="34" t="str">
        <f t="array" ref="B610">TEXT(A610, "MM-YYYY")</f>
        <v>08-2026</v>
      </c>
      <c r="C610" s="39" t="s">
        <v>1505</v>
      </c>
      <c r="D610" s="36" t="s">
        <v>210</v>
      </c>
      <c r="E610" s="225" t="s">
        <v>213</v>
      </c>
      <c r="F610" s="37" t="s">
        <v>88</v>
      </c>
      <c r="G610" s="29" t="b">
        <v>1</v>
      </c>
      <c r="H610" s="36" t="s">
        <v>214</v>
      </c>
      <c r="I610" s="36" t="s">
        <v>215</v>
      </c>
      <c r="J610" s="214"/>
      <c r="K610" s="215"/>
      <c r="L610" s="37" t="s">
        <v>194</v>
      </c>
      <c r="M610" s="37" t="s">
        <v>194</v>
      </c>
      <c r="N610" s="37" t="s">
        <v>194</v>
      </c>
      <c r="O610" s="37" t="s">
        <v>194</v>
      </c>
      <c r="P610" s="37" t="s">
        <v>527</v>
      </c>
      <c r="Q610" s="37" t="s">
        <v>528</v>
      </c>
      <c r="R610" s="41">
        <v>46651.0</v>
      </c>
      <c r="S610" s="42">
        <v>0.0</v>
      </c>
      <c r="T610" s="44" t="s">
        <v>194</v>
      </c>
      <c r="U610" s="45" t="str">
        <f>IF(records[Type]="Room",records[roomNo],records[roomNo]&amp;"-"&amp;SUBSTITUTE(RIGHT(records[roomNo]&amp;records[Type],2),"-",""))</f>
        <v>16-1-125</v>
      </c>
      <c r="V610" s="47" t="str">
        <f t="array" ref="V610">_xlfn.XLOOKUP(records[ID], dAir[roomNo], dAir[roomName])</f>
        <v>CORRIDOR</v>
      </c>
      <c r="W610" s="47" t="str">
        <f t="array" ref="W610">_xlfn.XLOOKUP(records[ID], dAir[roomNo], dAir[building])</f>
        <v>Building 16</v>
      </c>
      <c r="X610" s="47" t="str">
        <f t="array" ref="X610">_xlfn.XLOOKUP(records[ID], dAir[roomNo], dAir[floor])</f>
        <v>Floor 1</v>
      </c>
      <c r="Y610" s="45" t="str">
        <f t="array" ref="Y610">_xlfn.XLOOKUP(records[ID], dAir[roomNo], dAir[Class])</f>
        <v>C</v>
      </c>
      <c r="Z610" s="45">
        <f t="array" ref="Z610">_xlfn.XLOOKUP(records[Method]&amp;"-"&amp;records[Class], dAirSpec[ID], dAirSpec[Spec])</f>
        <v>50</v>
      </c>
      <c r="AA610" s="45" t="str">
        <f t="array" ref="AA610">_xlfn.XLOOKUP(records[Method]&amp;"-"&amp;records[Class], dAirSpec[ID], dAirSpec[Unit])</f>
        <v>cfu/plate</v>
      </c>
      <c r="AB610" s="58">
        <f t="array" ref="AB610">if(S610="","", if(records[Method]="Active Air",_xlfn.xlookup(records[ColonyCount]&amp;records[AirSampler],feller[code],feller[Vc]),records[ColonyCount]))</f>
        <v>0</v>
      </c>
      <c r="AC610" s="60" t="b">
        <f t="shared" si="1"/>
        <v>1</v>
      </c>
      <c r="AD610" s="61" t="b">
        <v>0</v>
      </c>
      <c r="AE610" s="32" t="s">
        <v>235</v>
      </c>
      <c r="AF610" s="46"/>
      <c r="AG610" s="46"/>
      <c r="AH610" s="46"/>
      <c r="AI610" s="46"/>
      <c r="AJ610" s="46"/>
    </row>
    <row r="611" ht="22.5" customHeight="1">
      <c r="A611" s="27">
        <v>46243.0</v>
      </c>
      <c r="B611" s="34" t="str">
        <f t="array" ref="B611">TEXT(A611, "MM-YYYY")</f>
        <v>08-2026</v>
      </c>
      <c r="C611" s="241" t="s">
        <v>795</v>
      </c>
      <c r="D611" s="242" t="s">
        <v>210</v>
      </c>
      <c r="E611" s="243" t="s">
        <v>213</v>
      </c>
      <c r="F611" s="37"/>
      <c r="G611" s="29" t="b">
        <v>0</v>
      </c>
      <c r="H611" s="36" t="s">
        <v>214</v>
      </c>
      <c r="I611" s="36" t="s">
        <v>215</v>
      </c>
      <c r="J611" s="214"/>
      <c r="K611" s="215"/>
      <c r="L611" s="37" t="s">
        <v>194</v>
      </c>
      <c r="M611" s="37" t="s">
        <v>194</v>
      </c>
      <c r="N611" s="37" t="s">
        <v>194</v>
      </c>
      <c r="O611" s="37" t="s">
        <v>194</v>
      </c>
      <c r="P611" s="37" t="s">
        <v>527</v>
      </c>
      <c r="Q611" s="37" t="s">
        <v>528</v>
      </c>
      <c r="R611" s="41">
        <v>46651.0</v>
      </c>
      <c r="S611" s="42">
        <v>4.0</v>
      </c>
      <c r="T611" s="44"/>
      <c r="U611" s="47" t="str">
        <f>IF(records[Type]="Room",records[roomNo],records[roomNo]&amp;"-"&amp;SUBSTITUTE(RIGHT(records[roomNo]&amp;records[Type],2),"-",""))</f>
        <v>12-3-049</v>
      </c>
      <c r="V611" s="47" t="str">
        <f t="array" ref="V611">_xlfn.XLOOKUP(records[ID], dAir[roomNo], dAir[roomName])</f>
        <v>CHANGING ROOM</v>
      </c>
      <c r="W611" s="47" t="str">
        <f t="array" ref="W611">_xlfn.XLOOKUP(records[ID], dAir[roomNo], dAir[building])</f>
        <v>Building 12</v>
      </c>
      <c r="X611" s="47" t="str">
        <f t="array" ref="X611">_xlfn.XLOOKUP(records[ID], dAir[roomNo], dAir[floor])</f>
        <v>Floor 3</v>
      </c>
      <c r="Y611" s="45" t="str">
        <f t="array" ref="Y611">_xlfn.XLOOKUP(records[ID], dAir[roomNo], dAir[Class])</f>
        <v>D</v>
      </c>
      <c r="Z611" s="45">
        <f t="array" ref="Z611">_xlfn.XLOOKUP(records[Method]&amp;"-"&amp;records[Class], dAirSpec[ID], dAirSpec[Spec])</f>
        <v>100</v>
      </c>
      <c r="AA611" s="45" t="str">
        <f t="array" ref="AA611">_xlfn.XLOOKUP(records[Method]&amp;"-"&amp;records[Class], dAirSpec[ID], dAirSpec[Unit])</f>
        <v>cfu/plate</v>
      </c>
      <c r="AB611" s="58">
        <f t="array" ref="AB611">if(S611="","", if(records[Method]="Active Air",_xlfn.xlookup(records[ColonyCount]&amp;records[AirSampler],feller[code],feller[Vc]),records[ColonyCount]))</f>
        <v>4</v>
      </c>
      <c r="AC611" s="60" t="b">
        <f t="shared" si="1"/>
        <v>1</v>
      </c>
      <c r="AD611" s="61" t="b">
        <v>0</v>
      </c>
      <c r="AE611" s="32"/>
      <c r="AF611" s="46"/>
      <c r="AG611" s="46"/>
      <c r="AH611" s="46"/>
      <c r="AI611" s="46"/>
      <c r="AJ611" s="46"/>
    </row>
    <row r="612" ht="22.5" customHeight="1">
      <c r="A612" s="27">
        <v>46243.0</v>
      </c>
      <c r="B612" s="34" t="str">
        <f t="array" ref="B612">TEXT(A612, "MM-YYYY")</f>
        <v>08-2026</v>
      </c>
      <c r="C612" s="244" t="s">
        <v>802</v>
      </c>
      <c r="D612" s="245" t="s">
        <v>210</v>
      </c>
      <c r="E612" s="246" t="s">
        <v>213</v>
      </c>
      <c r="F612" s="37"/>
      <c r="G612" s="29" t="b">
        <v>0</v>
      </c>
      <c r="H612" s="36" t="s">
        <v>214</v>
      </c>
      <c r="I612" s="36" t="s">
        <v>215</v>
      </c>
      <c r="J612" s="214"/>
      <c r="K612" s="215"/>
      <c r="L612" s="37" t="s">
        <v>194</v>
      </c>
      <c r="M612" s="37" t="s">
        <v>194</v>
      </c>
      <c r="N612" s="37" t="s">
        <v>194</v>
      </c>
      <c r="O612" s="37" t="s">
        <v>194</v>
      </c>
      <c r="P612" s="37" t="s">
        <v>527</v>
      </c>
      <c r="Q612" s="37" t="s">
        <v>528</v>
      </c>
      <c r="R612" s="41">
        <v>46651.0</v>
      </c>
      <c r="S612" s="42">
        <v>1.0</v>
      </c>
      <c r="T612" s="44"/>
      <c r="U612" s="47" t="str">
        <f>IF(records[Type]="Room",records[roomNo],records[roomNo]&amp;"-"&amp;SUBSTITUTE(RIGHT(records[roomNo]&amp;records[Type],2),"-",""))</f>
        <v>12-3-050</v>
      </c>
      <c r="V612" s="47" t="str">
        <f t="array" ref="V612">_xlfn.XLOOKUP(records[ID], dAir[roomNo], dAir[roomName])</f>
        <v>CORRIDOR</v>
      </c>
      <c r="W612" s="47" t="str">
        <f t="array" ref="W612">_xlfn.XLOOKUP(records[ID], dAir[roomNo], dAir[building])</f>
        <v>Building 12</v>
      </c>
      <c r="X612" s="47" t="str">
        <f t="array" ref="X612">_xlfn.XLOOKUP(records[ID], dAir[roomNo], dAir[floor])</f>
        <v>Floor 3</v>
      </c>
      <c r="Y612" s="45" t="str">
        <f t="array" ref="Y612">_xlfn.XLOOKUP(records[ID], dAir[roomNo], dAir[Class])</f>
        <v>D</v>
      </c>
      <c r="Z612" s="45">
        <f t="array" ref="Z612">_xlfn.XLOOKUP(records[Method]&amp;"-"&amp;records[Class], dAirSpec[ID], dAirSpec[Spec])</f>
        <v>100</v>
      </c>
      <c r="AA612" s="45" t="str">
        <f t="array" ref="AA612">_xlfn.XLOOKUP(records[Method]&amp;"-"&amp;records[Class], dAirSpec[ID], dAirSpec[Unit])</f>
        <v>cfu/plate</v>
      </c>
      <c r="AB612" s="58">
        <f t="array" ref="AB612">if(S612="","", if(records[Method]="Active Air",_xlfn.xlookup(records[ColonyCount]&amp;records[AirSampler],feller[code],feller[Vc]),records[ColonyCount]))</f>
        <v>1</v>
      </c>
      <c r="AC612" s="60" t="b">
        <f t="shared" si="1"/>
        <v>1</v>
      </c>
      <c r="AD612" s="61" t="b">
        <v>0</v>
      </c>
      <c r="AE612" s="32"/>
      <c r="AF612" s="46"/>
      <c r="AG612" s="46"/>
      <c r="AH612" s="46"/>
      <c r="AI612" s="46"/>
      <c r="AJ612" s="46"/>
    </row>
    <row r="613" ht="22.5" customHeight="1">
      <c r="A613" s="27">
        <v>46243.0</v>
      </c>
      <c r="B613" s="34" t="str">
        <f t="array" ref="B613">TEXT(A613, "MM-YYYY")</f>
        <v>08-2026</v>
      </c>
      <c r="C613" s="247" t="s">
        <v>809</v>
      </c>
      <c r="D613" s="242" t="s">
        <v>210</v>
      </c>
      <c r="E613" s="243" t="s">
        <v>213</v>
      </c>
      <c r="F613" s="37"/>
      <c r="G613" s="29" t="b">
        <v>0</v>
      </c>
      <c r="H613" s="36" t="s">
        <v>214</v>
      </c>
      <c r="I613" s="36" t="s">
        <v>215</v>
      </c>
      <c r="J613" s="214"/>
      <c r="K613" s="215"/>
      <c r="L613" s="37" t="s">
        <v>194</v>
      </c>
      <c r="M613" s="37" t="s">
        <v>194</v>
      </c>
      <c r="N613" s="37" t="s">
        <v>194</v>
      </c>
      <c r="O613" s="37" t="s">
        <v>194</v>
      </c>
      <c r="P613" s="37" t="s">
        <v>527</v>
      </c>
      <c r="Q613" s="37" t="s">
        <v>528</v>
      </c>
      <c r="R613" s="41">
        <v>46651.0</v>
      </c>
      <c r="S613" s="42">
        <v>0.0</v>
      </c>
      <c r="T613" s="44"/>
      <c r="U613" s="83" t="str">
        <f>IF(records[Type]="Room",records[roomNo],records[roomNo]&amp;"-"&amp;SUBSTITUTE(RIGHT(records[roomNo]&amp;records[Type],2),"-",""))</f>
        <v>12-3-053</v>
      </c>
      <c r="V613" s="47" t="str">
        <f t="array" ref="V613">_xlfn.XLOOKUP(records[ID], dAir[roomNo], dAir[roomName])</f>
        <v>MLT 2</v>
      </c>
      <c r="W613" s="47" t="str">
        <f t="array" ref="W613">_xlfn.XLOOKUP(records[ID], dAir[roomNo], dAir[building])</f>
        <v>Building 12</v>
      </c>
      <c r="X613" s="47" t="str">
        <f t="array" ref="X613">_xlfn.XLOOKUP(records[ID], dAir[roomNo], dAir[floor])</f>
        <v>Floor 3</v>
      </c>
      <c r="Y613" s="45" t="str">
        <f t="array" ref="Y613">_xlfn.XLOOKUP(records[ID], dAir[roomNo], dAir[Class])</f>
        <v>D</v>
      </c>
      <c r="Z613" s="45">
        <f t="array" ref="Z613">_xlfn.XLOOKUP(records[Method]&amp;"-"&amp;records[Class], dAirSpec[ID], dAirSpec[Spec])</f>
        <v>100</v>
      </c>
      <c r="AA613" s="45" t="str">
        <f t="array" ref="AA613">_xlfn.XLOOKUP(records[Method]&amp;"-"&amp;records[Class], dAirSpec[ID], dAirSpec[Unit])</f>
        <v>cfu/plate</v>
      </c>
      <c r="AB613" s="58">
        <f t="array" ref="AB613">if(S613="","", if(records[Method]="Active Air",_xlfn.xlookup(records[ColonyCount]&amp;records[AirSampler],feller[code],feller[Vc]),records[ColonyCount]))</f>
        <v>0</v>
      </c>
      <c r="AC613" s="60" t="b">
        <f t="shared" si="1"/>
        <v>1</v>
      </c>
      <c r="AD613" s="61" t="b">
        <v>0</v>
      </c>
      <c r="AE613" s="32"/>
      <c r="AF613" s="46"/>
      <c r="AG613" s="46"/>
      <c r="AH613" s="46"/>
      <c r="AI613" s="46"/>
      <c r="AJ613" s="46"/>
    </row>
    <row r="614" ht="22.5" customHeight="1">
      <c r="A614" s="27">
        <v>46243.0</v>
      </c>
      <c r="B614" s="34" t="str">
        <f t="array" ref="B614">TEXT(A614, "MM-YYYY")</f>
        <v>08-2026</v>
      </c>
      <c r="C614" s="248" t="s">
        <v>814</v>
      </c>
      <c r="D614" s="245" t="s">
        <v>210</v>
      </c>
      <c r="E614" s="249" t="s">
        <v>531</v>
      </c>
      <c r="F614" s="37" t="s">
        <v>91</v>
      </c>
      <c r="G614" s="29" t="b">
        <v>1</v>
      </c>
      <c r="H614" s="36" t="s">
        <v>214</v>
      </c>
      <c r="I614" s="36" t="s">
        <v>215</v>
      </c>
      <c r="J614" s="214"/>
      <c r="K614" s="215"/>
      <c r="L614" s="37" t="s">
        <v>194</v>
      </c>
      <c r="M614" s="37" t="s">
        <v>194</v>
      </c>
      <c r="N614" s="37" t="s">
        <v>194</v>
      </c>
      <c r="O614" s="37" t="s">
        <v>194</v>
      </c>
      <c r="P614" s="37" t="s">
        <v>527</v>
      </c>
      <c r="Q614" s="37" t="s">
        <v>528</v>
      </c>
      <c r="R614" s="41">
        <v>46651.0</v>
      </c>
      <c r="S614" s="42">
        <v>0.0</v>
      </c>
      <c r="T614" s="44"/>
      <c r="U614" s="83" t="str">
        <f>IF(records[Type]="Room",records[roomNo],records[roomNo]&amp;"-"&amp;SUBSTITUTE(RIGHT(records[roomNo]&amp;records[Type],2),"-",""))</f>
        <v>12-3-053-BSC</v>
      </c>
      <c r="V614" s="47" t="str">
        <f t="array" ref="V614">_xlfn.XLOOKUP(records[ID], dAir[roomNo], dAir[roomName])</f>
        <v>MLT 2</v>
      </c>
      <c r="W614" s="47" t="str">
        <f t="array" ref="W614">_xlfn.XLOOKUP(records[ID], dAir[roomNo], dAir[building])</f>
        <v>Building 12</v>
      </c>
      <c r="X614" s="47" t="str">
        <f t="array" ref="X614">_xlfn.XLOOKUP(records[ID], dAir[roomNo], dAir[floor])</f>
        <v>Floor 3</v>
      </c>
      <c r="Y614" s="45" t="str">
        <f t="array" ref="Y614">_xlfn.XLOOKUP(records[ID], dAir[roomNo], dAir[Class])</f>
        <v>A</v>
      </c>
      <c r="Z614" s="45">
        <f t="array" ref="Z614">_xlfn.XLOOKUP(records[Method]&amp;"-"&amp;records[Class], dAirSpec[ID], dAirSpec[Spec])</f>
        <v>0</v>
      </c>
      <c r="AA614" s="45" t="str">
        <f t="array" ref="AA614">_xlfn.XLOOKUP(records[Method]&amp;"-"&amp;records[Class], dAirSpec[ID], dAirSpec[Unit])</f>
        <v>cfu/m3</v>
      </c>
      <c r="AB614" s="45" t="str">
        <f t="array" ref="AB614">if(S614="","", if(records[Method]="Active Air",_xlfn.xlookup(records[ColonyCount]&amp;records[AirSampler],feller[code],feller[Vc]),records[ColonyCount]))</f>
        <v>#N/A</v>
      </c>
      <c r="AC614" s="60" t="str">
        <f t="shared" si="1"/>
        <v>#N/A</v>
      </c>
      <c r="AD614" s="61" t="b">
        <v>0</v>
      </c>
      <c r="AE614" s="32" t="s">
        <v>235</v>
      </c>
      <c r="AF614" s="46"/>
      <c r="AG614" s="46"/>
      <c r="AH614" s="46"/>
      <c r="AI614" s="46"/>
      <c r="AJ614" s="46"/>
    </row>
    <row r="615" ht="22.5" customHeight="1">
      <c r="A615" s="27">
        <v>46243.0</v>
      </c>
      <c r="B615" s="34" t="str">
        <f t="array" ref="B615">TEXT(A615, "MM-YYYY")</f>
        <v>08-2026</v>
      </c>
      <c r="C615" s="241" t="s">
        <v>821</v>
      </c>
      <c r="D615" s="242" t="s">
        <v>210</v>
      </c>
      <c r="E615" s="243" t="s">
        <v>213</v>
      </c>
      <c r="F615" s="37"/>
      <c r="G615" s="29" t="b">
        <v>0</v>
      </c>
      <c r="H615" s="36" t="s">
        <v>214</v>
      </c>
      <c r="I615" s="36" t="s">
        <v>215</v>
      </c>
      <c r="J615" s="214"/>
      <c r="K615" s="215"/>
      <c r="L615" s="37" t="s">
        <v>194</v>
      </c>
      <c r="M615" s="37" t="s">
        <v>194</v>
      </c>
      <c r="N615" s="37" t="s">
        <v>194</v>
      </c>
      <c r="O615" s="37" t="s">
        <v>194</v>
      </c>
      <c r="P615" s="37" t="s">
        <v>527</v>
      </c>
      <c r="Q615" s="37" t="s">
        <v>528</v>
      </c>
      <c r="R615" s="41">
        <v>46651.0</v>
      </c>
      <c r="S615" s="42">
        <v>0.0</v>
      </c>
      <c r="T615" s="44"/>
      <c r="U615" s="47" t="str">
        <f>IF(records[Type]="Room",records[roomNo],records[roomNo]&amp;"-"&amp;SUBSTITUTE(RIGHT(records[roomNo]&amp;records[Type],2),"-",""))</f>
        <v>12-3-054</v>
      </c>
      <c r="V615" s="47" t="str">
        <f t="array" ref="V615">_xlfn.XLOOKUP(records[ID], dAir[roomNo], dAir[roomName])</f>
        <v>MLT 3</v>
      </c>
      <c r="W615" s="47" t="str">
        <f t="array" ref="W615">_xlfn.XLOOKUP(records[ID], dAir[roomNo], dAir[building])</f>
        <v>Building 12</v>
      </c>
      <c r="X615" s="47" t="str">
        <f t="array" ref="X615">_xlfn.XLOOKUP(records[ID], dAir[roomNo], dAir[floor])</f>
        <v>Floor 3</v>
      </c>
      <c r="Y615" s="45" t="str">
        <f t="array" ref="Y615">_xlfn.XLOOKUP(records[ID], dAir[roomNo], dAir[Class])</f>
        <v>D</v>
      </c>
      <c r="Z615" s="45">
        <f t="array" ref="Z615">_xlfn.XLOOKUP(records[Method]&amp;"-"&amp;records[Class], dAirSpec[ID], dAirSpec[Spec])</f>
        <v>100</v>
      </c>
      <c r="AA615" s="45" t="str">
        <f t="array" ref="AA615">_xlfn.XLOOKUP(records[Method]&amp;"-"&amp;records[Class], dAirSpec[ID], dAirSpec[Unit])</f>
        <v>cfu/plate</v>
      </c>
      <c r="AB615" s="58">
        <f t="array" ref="AB615">if(S615="","", if(records[Method]="Active Air",_xlfn.xlookup(records[ColonyCount]&amp;records[AirSampler],feller[code],feller[Vc]),records[ColonyCount]))</f>
        <v>0</v>
      </c>
      <c r="AC615" s="60" t="b">
        <f t="shared" si="1"/>
        <v>1</v>
      </c>
      <c r="AD615" s="61" t="b">
        <v>0</v>
      </c>
      <c r="AE615" s="32"/>
      <c r="AF615" s="46"/>
      <c r="AG615" s="46"/>
      <c r="AH615" s="46"/>
      <c r="AI615" s="46"/>
      <c r="AJ615" s="46"/>
    </row>
    <row r="616" ht="22.5" customHeight="1">
      <c r="A616" s="27">
        <v>46243.0</v>
      </c>
      <c r="B616" s="34" t="str">
        <f t="array" ref="B616">TEXT(A616, "MM-YYYY")</f>
        <v>08-2026</v>
      </c>
      <c r="C616" s="244" t="s">
        <v>825</v>
      </c>
      <c r="D616" s="245" t="s">
        <v>210</v>
      </c>
      <c r="E616" s="249" t="s">
        <v>531</v>
      </c>
      <c r="F616" s="37" t="s">
        <v>91</v>
      </c>
      <c r="G616" s="29" t="b">
        <v>1</v>
      </c>
      <c r="H616" s="36" t="s">
        <v>214</v>
      </c>
      <c r="I616" s="36" t="s">
        <v>215</v>
      </c>
      <c r="J616" s="214"/>
      <c r="K616" s="215"/>
      <c r="L616" s="37" t="s">
        <v>194</v>
      </c>
      <c r="M616" s="37" t="s">
        <v>194</v>
      </c>
      <c r="N616" s="37" t="s">
        <v>194</v>
      </c>
      <c r="O616" s="37" t="s">
        <v>194</v>
      </c>
      <c r="P616" s="37" t="s">
        <v>527</v>
      </c>
      <c r="Q616" s="37" t="s">
        <v>528</v>
      </c>
      <c r="R616" s="41">
        <v>46651.0</v>
      </c>
      <c r="S616" s="42">
        <v>0.0</v>
      </c>
      <c r="T616" s="44"/>
      <c r="U616" s="47" t="str">
        <f>IF(records[Type]="Room",records[roomNo],records[roomNo]&amp;"-"&amp;SUBSTITUTE(RIGHT(records[roomNo]&amp;records[Type],2),"-",""))</f>
        <v>12-3-054-BSC</v>
      </c>
      <c r="V616" s="47" t="str">
        <f t="array" ref="V616">_xlfn.XLOOKUP(records[ID], dAir[roomNo], dAir[roomName])</f>
        <v>MLT 3</v>
      </c>
      <c r="W616" s="47" t="str">
        <f t="array" ref="W616">_xlfn.XLOOKUP(records[ID], dAir[roomNo], dAir[building])</f>
        <v>Building 12</v>
      </c>
      <c r="X616" s="47" t="str">
        <f t="array" ref="X616">_xlfn.XLOOKUP(records[ID], dAir[roomNo], dAir[floor])</f>
        <v>Floor 3</v>
      </c>
      <c r="Y616" s="45" t="str">
        <f t="array" ref="Y616">_xlfn.XLOOKUP(records[ID], dAir[roomNo], dAir[Class])</f>
        <v>A</v>
      </c>
      <c r="Z616" s="45">
        <f t="array" ref="Z616">_xlfn.XLOOKUP(records[Method]&amp;"-"&amp;records[Class], dAirSpec[ID], dAirSpec[Spec])</f>
        <v>0</v>
      </c>
      <c r="AA616" s="45" t="str">
        <f t="array" ref="AA616">_xlfn.XLOOKUP(records[Method]&amp;"-"&amp;records[Class], dAirSpec[ID], dAirSpec[Unit])</f>
        <v>cfu/m3</v>
      </c>
      <c r="AB616" s="45" t="str">
        <f t="array" ref="AB616">if(S616="","", if(records[Method]="Active Air",_xlfn.xlookup(records[ColonyCount]&amp;records[AirSampler],feller[code],feller[Vc]),records[ColonyCount]))</f>
        <v>#N/A</v>
      </c>
      <c r="AC616" s="60" t="str">
        <f t="shared" si="1"/>
        <v>#N/A</v>
      </c>
      <c r="AD616" s="61" t="b">
        <v>0</v>
      </c>
      <c r="AE616" s="32" t="s">
        <v>235</v>
      </c>
      <c r="AF616" s="46"/>
      <c r="AG616" s="46"/>
      <c r="AH616" s="46"/>
      <c r="AI616" s="46"/>
      <c r="AJ616" s="46"/>
    </row>
    <row r="617" ht="22.5" customHeight="1">
      <c r="A617" s="27">
        <v>46243.0</v>
      </c>
      <c r="B617" s="34" t="str">
        <f t="array" ref="B617">TEXT(A617, "MM-YYYY")</f>
        <v>08-2026</v>
      </c>
      <c r="C617" s="241" t="s">
        <v>831</v>
      </c>
      <c r="D617" s="242" t="s">
        <v>210</v>
      </c>
      <c r="E617" s="243" t="s">
        <v>213</v>
      </c>
      <c r="F617" s="37"/>
      <c r="G617" s="29" t="b">
        <v>0</v>
      </c>
      <c r="H617" s="36" t="s">
        <v>214</v>
      </c>
      <c r="I617" s="36" t="s">
        <v>215</v>
      </c>
      <c r="J617" s="214"/>
      <c r="K617" s="215"/>
      <c r="L617" s="37" t="s">
        <v>194</v>
      </c>
      <c r="M617" s="37" t="s">
        <v>194</v>
      </c>
      <c r="N617" s="37" t="s">
        <v>194</v>
      </c>
      <c r="O617" s="37" t="s">
        <v>194</v>
      </c>
      <c r="P617" s="37" t="s">
        <v>527</v>
      </c>
      <c r="Q617" s="37" t="s">
        <v>528</v>
      </c>
      <c r="R617" s="41">
        <v>46651.0</v>
      </c>
      <c r="S617" s="42">
        <v>1.0</v>
      </c>
      <c r="T617" s="44"/>
      <c r="U617" s="47" t="str">
        <f>IF(records[Type]="Room",records[roomNo],records[roomNo]&amp;"-"&amp;SUBSTITUTE(RIGHT(records[roomNo]&amp;records[Type],2),"-",""))</f>
        <v>12-3-055</v>
      </c>
      <c r="V617" s="47" t="str">
        <f t="array" ref="V617">_xlfn.XLOOKUP(records[ID], dAir[roomNo], dAir[roomName])</f>
        <v>SPARE ROOM</v>
      </c>
      <c r="W617" s="47" t="str">
        <f t="array" ref="W617">_xlfn.XLOOKUP(records[ID], dAir[roomNo], dAir[building])</f>
        <v>Building 12</v>
      </c>
      <c r="X617" s="47" t="str">
        <f t="array" ref="X617">_xlfn.XLOOKUP(records[ID], dAir[roomNo], dAir[floor])</f>
        <v>Floor 3</v>
      </c>
      <c r="Y617" s="45" t="str">
        <f t="array" ref="Y617">_xlfn.XLOOKUP(records[ID], dAir[roomNo], dAir[Class])</f>
        <v>D</v>
      </c>
      <c r="Z617" s="45">
        <f t="array" ref="Z617">_xlfn.XLOOKUP(records[Method]&amp;"-"&amp;records[Class], dAirSpec[ID], dAirSpec[Spec])</f>
        <v>100</v>
      </c>
      <c r="AA617" s="45" t="str">
        <f t="array" ref="AA617">_xlfn.XLOOKUP(records[Method]&amp;"-"&amp;records[Class], dAirSpec[ID], dAirSpec[Unit])</f>
        <v>cfu/plate</v>
      </c>
      <c r="AB617" s="58">
        <f t="array" ref="AB617">if(S617="","", if(records[Method]="Active Air",_xlfn.xlookup(records[ColonyCount]&amp;records[AirSampler],feller[code],feller[Vc]),records[ColonyCount]))</f>
        <v>1</v>
      </c>
      <c r="AC617" s="60" t="b">
        <f t="shared" si="1"/>
        <v>1</v>
      </c>
      <c r="AD617" s="61" t="b">
        <v>0</v>
      </c>
      <c r="AE617" s="32"/>
      <c r="AF617" s="46"/>
      <c r="AG617" s="46"/>
      <c r="AH617" s="46"/>
      <c r="AI617" s="46"/>
      <c r="AJ617" s="46"/>
    </row>
    <row r="618" ht="22.5" customHeight="1">
      <c r="A618" s="27">
        <v>46243.0</v>
      </c>
      <c r="B618" s="34" t="str">
        <f t="array" ref="B618">TEXT(A618, "MM-YYYY")</f>
        <v>08-2026</v>
      </c>
      <c r="C618" s="244" t="s">
        <v>831</v>
      </c>
      <c r="D618" s="250" t="s">
        <v>1350</v>
      </c>
      <c r="E618" s="246" t="s">
        <v>213</v>
      </c>
      <c r="F618" s="37"/>
      <c r="G618" s="29" t="b">
        <v>0</v>
      </c>
      <c r="H618" s="36" t="s">
        <v>214</v>
      </c>
      <c r="I618" s="36" t="s">
        <v>215</v>
      </c>
      <c r="J618" s="214"/>
      <c r="K618" s="215"/>
      <c r="L618" s="37" t="s">
        <v>194</v>
      </c>
      <c r="M618" s="37" t="s">
        <v>194</v>
      </c>
      <c r="N618" s="37" t="s">
        <v>194</v>
      </c>
      <c r="O618" s="37" t="s">
        <v>194</v>
      </c>
      <c r="P618" s="37" t="s">
        <v>527</v>
      </c>
      <c r="Q618" s="37" t="s">
        <v>528</v>
      </c>
      <c r="R618" s="41">
        <v>46651.0</v>
      </c>
      <c r="S618" s="42">
        <v>0.0</v>
      </c>
      <c r="T618" s="44"/>
      <c r="U618" s="45" t="str">
        <f>IF(records[Type]="Room",records[roomNo],records[roomNo]&amp;"-"&amp;SUBSTITUTE(RIGHT(records[roomNo]&amp;records[Type],2),"-",""))</f>
        <v>12-3-055-PB</v>
      </c>
      <c r="V618" s="47" t="str">
        <f t="array" ref="V618">_xlfn.XLOOKUP(records[ID], dAir[roomNo], dAir[roomName])</f>
        <v>#N/A</v>
      </c>
      <c r="W618" s="47" t="str">
        <f t="array" ref="W618">_xlfn.XLOOKUP(records[ID], dAir[roomNo], dAir[building])</f>
        <v>#N/A</v>
      </c>
      <c r="X618" s="47" t="str">
        <f t="array" ref="X618">_xlfn.XLOOKUP(records[ID], dAir[roomNo], dAir[floor])</f>
        <v>#N/A</v>
      </c>
      <c r="Y618" s="45" t="str">
        <f t="array" ref="Y618">_xlfn.XLOOKUP(records[ID], dAir[roomNo], dAir[Class])</f>
        <v>#N/A</v>
      </c>
      <c r="Z618" s="45" t="str">
        <f t="array" ref="Z618">_xlfn.XLOOKUP(records[Method]&amp;"-"&amp;records[Class], dAirSpec[ID], dAirSpec[Spec])</f>
        <v>#N/A</v>
      </c>
      <c r="AA618" s="45" t="str">
        <f t="array" ref="AA618">_xlfn.XLOOKUP(records[Method]&amp;"-"&amp;records[Class], dAirSpec[ID], dAirSpec[Unit])</f>
        <v>#N/A</v>
      </c>
      <c r="AB618" s="58">
        <f t="array" ref="AB618">if(S618="","", if(records[Method]="Active Air",_xlfn.xlookup(records[ColonyCount]&amp;records[AirSampler],feller[code],feller[Vc]),records[ColonyCount]))</f>
        <v>0</v>
      </c>
      <c r="AC618" s="60" t="str">
        <f t="shared" si="1"/>
        <v>#N/A</v>
      </c>
      <c r="AD618" s="61" t="b">
        <v>0</v>
      </c>
      <c r="AE618" s="32"/>
      <c r="AF618" s="46"/>
      <c r="AG618" s="46"/>
      <c r="AH618" s="46"/>
      <c r="AI618" s="46"/>
      <c r="AJ618" s="46"/>
    </row>
    <row r="619" ht="22.5" customHeight="1">
      <c r="A619" s="27">
        <v>46244.0</v>
      </c>
      <c r="B619" s="34" t="str">
        <f t="array" ref="B619">TEXT(A619, "MM-YYYY")</f>
        <v>08-2026</v>
      </c>
      <c r="C619" s="39" t="s">
        <v>774</v>
      </c>
      <c r="D619" s="36" t="s">
        <v>210</v>
      </c>
      <c r="E619" s="36" t="s">
        <v>531</v>
      </c>
      <c r="F619" s="37"/>
      <c r="G619" s="29" t="b">
        <v>0</v>
      </c>
      <c r="H619" s="36" t="s">
        <v>1737</v>
      </c>
      <c r="I619" s="36" t="s">
        <v>534</v>
      </c>
      <c r="J619" s="214"/>
      <c r="K619" s="215"/>
      <c r="L619" s="37" t="s">
        <v>194</v>
      </c>
      <c r="M619" s="37" t="s">
        <v>194</v>
      </c>
      <c r="N619" s="37" t="s">
        <v>194</v>
      </c>
      <c r="O619" s="37" t="s">
        <v>194</v>
      </c>
      <c r="P619" s="37" t="s">
        <v>527</v>
      </c>
      <c r="Q619" s="37" t="s">
        <v>528</v>
      </c>
      <c r="R619" s="41">
        <v>46651.0</v>
      </c>
      <c r="S619" s="228">
        <v>1.0</v>
      </c>
      <c r="T619" s="229" t="s">
        <v>2449</v>
      </c>
      <c r="U619" s="45" t="str">
        <f>IF(records[Type]="Room",records[roomNo],records[roomNo]&amp;"-"&amp;SUBSTITUTE(RIGHT(records[roomNo]&amp;records[Type],2),"-",""))</f>
        <v>16-1-084</v>
      </c>
      <c r="V619" s="47" t="str">
        <f t="array" ref="V619">_xlfn.XLOOKUP(records[ID], dAir[roomNo], dAir[roomName])</f>
        <v>FILLING 1</v>
      </c>
      <c r="W619" s="47" t="str">
        <f t="array" ref="W619">_xlfn.XLOOKUP(records[ID], dAir[roomNo], dAir[building])</f>
        <v>Building 16</v>
      </c>
      <c r="X619" s="47" t="str">
        <f t="array" ref="X619">_xlfn.XLOOKUP(records[ID], dAir[roomNo], dAir[floor])</f>
        <v>Floor 1</v>
      </c>
      <c r="Y619" s="45" t="str">
        <f t="array" ref="Y619">_xlfn.XLOOKUP(records[ID], dAir[roomNo], dAir[Class])</f>
        <v>C</v>
      </c>
      <c r="Z619" s="45">
        <f t="array" ref="Z619">_xlfn.XLOOKUP(records[Method]&amp;"-"&amp;records[Class], dAirSpec[ID], dAirSpec[Spec])</f>
        <v>100</v>
      </c>
      <c r="AA619" s="45" t="str">
        <f t="array" ref="AA619">_xlfn.XLOOKUP(records[Method]&amp;"-"&amp;records[Class], dAirSpec[ID], dAirSpec[Unit])</f>
        <v>cfu/m3</v>
      </c>
      <c r="AB619" s="45">
        <f t="array" ref="AB619">if(S619="","", if(records[Method]="Active Air",_xlfn.xlookup(records[ColonyCount]&amp;records[AirSampler],feller[code],feller[Vc]),records[ColonyCount]))</f>
        <v>1</v>
      </c>
      <c r="AC619" s="60" t="b">
        <f t="shared" si="1"/>
        <v>1</v>
      </c>
      <c r="AD619" s="61" t="b">
        <v>0</v>
      </c>
      <c r="AE619" s="32"/>
      <c r="AF619" s="46"/>
      <c r="AG619" s="46"/>
      <c r="AH619" s="46"/>
      <c r="AI619" s="46"/>
      <c r="AJ619" s="46"/>
    </row>
    <row r="620" ht="22.5" customHeight="1">
      <c r="A620" s="27">
        <v>46244.0</v>
      </c>
      <c r="B620" s="34" t="str">
        <f t="array" ref="B620">TEXT(A620, "MM-YYYY")</f>
        <v>08-2026</v>
      </c>
      <c r="C620" s="39" t="s">
        <v>774</v>
      </c>
      <c r="D620" s="36" t="s">
        <v>210</v>
      </c>
      <c r="E620" s="36" t="s">
        <v>531</v>
      </c>
      <c r="F620" s="37"/>
      <c r="G620" s="29" t="b">
        <v>0</v>
      </c>
      <c r="H620" s="36" t="s">
        <v>1737</v>
      </c>
      <c r="I620" s="36" t="s">
        <v>534</v>
      </c>
      <c r="J620" s="214"/>
      <c r="K620" s="215"/>
      <c r="L620" s="37" t="s">
        <v>194</v>
      </c>
      <c r="M620" s="37" t="s">
        <v>194</v>
      </c>
      <c r="N620" s="37" t="s">
        <v>194</v>
      </c>
      <c r="O620" s="37" t="s">
        <v>194</v>
      </c>
      <c r="P620" s="37" t="s">
        <v>527</v>
      </c>
      <c r="Q620" s="37" t="s">
        <v>528</v>
      </c>
      <c r="R620" s="41">
        <v>46651.0</v>
      </c>
      <c r="S620" s="228">
        <v>0.0</v>
      </c>
      <c r="T620" s="229" t="s">
        <v>2450</v>
      </c>
      <c r="U620" s="45" t="str">
        <f>IF(records[Type]="Room",records[roomNo],records[roomNo]&amp;"-"&amp;SUBSTITUTE(RIGHT(records[roomNo]&amp;records[Type],2),"-",""))</f>
        <v>16-1-084</v>
      </c>
      <c r="V620" s="47" t="str">
        <f t="array" ref="V620">_xlfn.XLOOKUP(records[ID], dAir[roomNo], dAir[roomName])</f>
        <v>FILLING 1</v>
      </c>
      <c r="W620" s="47" t="str">
        <f t="array" ref="W620">_xlfn.XLOOKUP(records[ID], dAir[roomNo], dAir[building])</f>
        <v>Building 16</v>
      </c>
      <c r="X620" s="47" t="str">
        <f t="array" ref="X620">_xlfn.XLOOKUP(records[ID], dAir[roomNo], dAir[floor])</f>
        <v>Floor 1</v>
      </c>
      <c r="Y620" s="45" t="str">
        <f t="array" ref="Y620">_xlfn.XLOOKUP(records[ID], dAir[roomNo], dAir[Class])</f>
        <v>C</v>
      </c>
      <c r="Z620" s="45">
        <f t="array" ref="Z620">_xlfn.XLOOKUP(records[Method]&amp;"-"&amp;records[Class], dAirSpec[ID], dAirSpec[Spec])</f>
        <v>100</v>
      </c>
      <c r="AA620" s="45" t="str">
        <f t="array" ref="AA620">_xlfn.XLOOKUP(records[Method]&amp;"-"&amp;records[Class], dAirSpec[ID], dAirSpec[Unit])</f>
        <v>cfu/m3</v>
      </c>
      <c r="AB620" s="45">
        <f t="array" ref="AB620">if(S620="","", if(records[Method]="Active Air",_xlfn.xlookup(records[ColonyCount]&amp;records[AirSampler],feller[code],feller[Vc]),records[ColonyCount]))</f>
        <v>0</v>
      </c>
      <c r="AC620" s="60" t="b">
        <f t="shared" si="1"/>
        <v>1</v>
      </c>
      <c r="AD620" s="61" t="b">
        <v>0</v>
      </c>
      <c r="AE620" s="32"/>
      <c r="AF620" s="46"/>
      <c r="AG620" s="46"/>
      <c r="AH620" s="46"/>
      <c r="AI620" s="46"/>
      <c r="AJ620" s="46"/>
    </row>
    <row r="621" ht="22.5" customHeight="1">
      <c r="A621" s="27">
        <v>46244.0</v>
      </c>
      <c r="B621" s="34" t="str">
        <f t="array" ref="B621">TEXT(A621, "MM-YYYY")</f>
        <v>08-2026</v>
      </c>
      <c r="C621" s="39" t="s">
        <v>774</v>
      </c>
      <c r="D621" s="36" t="s">
        <v>755</v>
      </c>
      <c r="E621" s="36" t="s">
        <v>531</v>
      </c>
      <c r="F621" s="37"/>
      <c r="G621" s="29" t="b">
        <v>0</v>
      </c>
      <c r="H621" s="36" t="s">
        <v>1737</v>
      </c>
      <c r="I621" s="36" t="s">
        <v>534</v>
      </c>
      <c r="J621" s="214"/>
      <c r="K621" s="215"/>
      <c r="L621" s="37" t="s">
        <v>194</v>
      </c>
      <c r="M621" s="37" t="s">
        <v>194</v>
      </c>
      <c r="N621" s="37" t="s">
        <v>194</v>
      </c>
      <c r="O621" s="37" t="s">
        <v>194</v>
      </c>
      <c r="P621" s="37" t="s">
        <v>527</v>
      </c>
      <c r="Q621" s="37" t="s">
        <v>528</v>
      </c>
      <c r="R621" s="41">
        <v>46651.0</v>
      </c>
      <c r="S621" s="230">
        <v>0.0</v>
      </c>
      <c r="T621" s="231" t="s">
        <v>2408</v>
      </c>
      <c r="U621" s="45" t="str">
        <f>IF(records[Type]="Room",records[roomNo],records[roomNo]&amp;"-"&amp;SUBSTITUTE(RIGHT(records[roomNo]&amp;records[Type],2),"-",""))</f>
        <v>16-1-084-M</v>
      </c>
      <c r="V621" s="47" t="str">
        <f t="array" ref="V621">_xlfn.XLOOKUP(records[ID], dAir[roomNo], dAir[roomName])</f>
        <v>FILLING 1 (Machine)</v>
      </c>
      <c r="W621" s="47" t="str">
        <f t="array" ref="W621">_xlfn.XLOOKUP(records[ID], dAir[roomNo], dAir[building])</f>
        <v>Building 16</v>
      </c>
      <c r="X621" s="47" t="str">
        <f t="array" ref="X621">_xlfn.XLOOKUP(records[ID], dAir[roomNo], dAir[floor])</f>
        <v>Floor 1</v>
      </c>
      <c r="Y621" s="45" t="str">
        <f t="array" ref="Y621">_xlfn.XLOOKUP(records[ID], dAir[roomNo], dAir[Class])</f>
        <v>A</v>
      </c>
      <c r="Z621" s="45">
        <f t="array" ref="Z621">_xlfn.XLOOKUP(records[Method]&amp;"-"&amp;records[Class], dAirSpec[ID], dAirSpec[Spec])</f>
        <v>0</v>
      </c>
      <c r="AA621" s="45" t="str">
        <f t="array" ref="AA621">_xlfn.XLOOKUP(records[Method]&amp;"-"&amp;records[Class], dAirSpec[ID], dAirSpec[Unit])</f>
        <v>cfu/m3</v>
      </c>
      <c r="AB621" s="45">
        <f t="array" ref="AB621">if(S621="","", if(records[Method]="Active Air",_xlfn.xlookup(records[ColonyCount]&amp;records[AirSampler],feller[code],feller[Vc]),records[ColonyCount]))</f>
        <v>0</v>
      </c>
      <c r="AC621" s="60" t="b">
        <f t="shared" si="1"/>
        <v>1</v>
      </c>
      <c r="AD621" s="61" t="b">
        <v>0</v>
      </c>
      <c r="AE621" s="32"/>
      <c r="AF621" s="46"/>
      <c r="AG621" s="46"/>
      <c r="AH621" s="46"/>
      <c r="AI621" s="46"/>
      <c r="AJ621" s="46"/>
    </row>
    <row r="622" ht="22.5" customHeight="1">
      <c r="A622" s="27">
        <v>46244.0</v>
      </c>
      <c r="B622" s="34" t="str">
        <f t="array" ref="B622">TEXT(A622, "MM-YYYY")</f>
        <v>08-2026</v>
      </c>
      <c r="C622" s="39" t="s">
        <v>774</v>
      </c>
      <c r="D622" s="36" t="s">
        <v>770</v>
      </c>
      <c r="E622" s="36" t="s">
        <v>531</v>
      </c>
      <c r="F622" s="37"/>
      <c r="G622" s="29" t="b">
        <v>0</v>
      </c>
      <c r="H622" s="36" t="s">
        <v>1737</v>
      </c>
      <c r="I622" s="36" t="s">
        <v>534</v>
      </c>
      <c r="J622" s="214"/>
      <c r="K622" s="215"/>
      <c r="L622" s="37" t="s">
        <v>194</v>
      </c>
      <c r="M622" s="37" t="s">
        <v>194</v>
      </c>
      <c r="N622" s="37" t="s">
        <v>194</v>
      </c>
      <c r="O622" s="37" t="s">
        <v>194</v>
      </c>
      <c r="P622" s="37" t="s">
        <v>527</v>
      </c>
      <c r="Q622" s="37" t="s">
        <v>528</v>
      </c>
      <c r="R622" s="41">
        <v>46651.0</v>
      </c>
      <c r="S622" s="230">
        <v>4.0</v>
      </c>
      <c r="T622" s="231" t="s">
        <v>2451</v>
      </c>
      <c r="U622" s="45" t="str">
        <f>IF(records[Type]="Room",records[roomNo],records[roomNo]&amp;"-"&amp;SUBSTITUTE(RIGHT(records[roomNo]&amp;records[Type],2),"-",""))</f>
        <v>16-1-084-L</v>
      </c>
      <c r="V622" s="47" t="str">
        <f t="array" ref="V622">_xlfn.XLOOKUP(records[ID], dAir[roomNo], dAir[roomName])</f>
        <v>FILLING 1 (Laminar)</v>
      </c>
      <c r="W622" s="47" t="str">
        <f t="array" ref="W622">_xlfn.XLOOKUP(records[ID], dAir[roomNo], dAir[building])</f>
        <v>Building 16</v>
      </c>
      <c r="X622" s="47" t="str">
        <f t="array" ref="X622">_xlfn.XLOOKUP(records[ID], dAir[roomNo], dAir[floor])</f>
        <v>Floor 1</v>
      </c>
      <c r="Y622" s="45" t="str">
        <f t="array" ref="Y622">_xlfn.XLOOKUP(records[ID], dAir[roomNo], dAir[Class])</f>
        <v>A</v>
      </c>
      <c r="Z622" s="45">
        <f t="array" ref="Z622">_xlfn.XLOOKUP(records[Method]&amp;"-"&amp;records[Class], dAirSpec[ID], dAirSpec[Spec])</f>
        <v>0</v>
      </c>
      <c r="AA622" s="45" t="str">
        <f t="array" ref="AA622">_xlfn.XLOOKUP(records[Method]&amp;"-"&amp;records[Class], dAirSpec[ID], dAirSpec[Unit])</f>
        <v>cfu/m3</v>
      </c>
      <c r="AB622" s="232">
        <f t="array" ref="AB622">if(S622="","", if(records[Method]="Active Air",_xlfn.xlookup(records[ColonyCount]&amp;records[AirSampler],feller[code],feller[Vc]),records[ColonyCount]))</f>
        <v>4</v>
      </c>
      <c r="AC622" s="60" t="b">
        <f t="shared" si="1"/>
        <v>0</v>
      </c>
      <c r="AD622" s="61" t="b">
        <v>0</v>
      </c>
      <c r="AE622" s="32"/>
      <c r="AF622" s="46"/>
      <c r="AG622" s="46"/>
      <c r="AH622" s="46"/>
      <c r="AI622" s="46"/>
      <c r="AJ622" s="46"/>
    </row>
    <row r="623" ht="22.5" customHeight="1">
      <c r="A623" s="27">
        <v>46244.0</v>
      </c>
      <c r="B623" s="34" t="str">
        <f t="array" ref="B623">TEXT(A623, "MM-YYYY")</f>
        <v>08-2026</v>
      </c>
      <c r="C623" s="39" t="s">
        <v>786</v>
      </c>
      <c r="D623" s="36" t="s">
        <v>210</v>
      </c>
      <c r="E623" s="36" t="s">
        <v>531</v>
      </c>
      <c r="F623" s="37"/>
      <c r="G623" s="29" t="b">
        <v>0</v>
      </c>
      <c r="H623" s="36" t="s">
        <v>1737</v>
      </c>
      <c r="I623" s="36" t="s">
        <v>534</v>
      </c>
      <c r="J623" s="214"/>
      <c r="K623" s="215"/>
      <c r="L623" s="37" t="s">
        <v>194</v>
      </c>
      <c r="M623" s="37" t="s">
        <v>194</v>
      </c>
      <c r="N623" s="37" t="s">
        <v>194</v>
      </c>
      <c r="O623" s="37" t="s">
        <v>194</v>
      </c>
      <c r="P623" s="37" t="s">
        <v>527</v>
      </c>
      <c r="Q623" s="37" t="s">
        <v>528</v>
      </c>
      <c r="R623" s="41">
        <v>46651.0</v>
      </c>
      <c r="S623" s="228">
        <v>11.0</v>
      </c>
      <c r="T623" s="229" t="s">
        <v>2452</v>
      </c>
      <c r="U623" s="45" t="str">
        <f>IF(records[Type]="Room",records[roomNo],records[roomNo]&amp;"-"&amp;SUBSTITUTE(RIGHT(records[roomNo]&amp;records[Type],2),"-",""))</f>
        <v>16-1-102</v>
      </c>
      <c r="V623" s="47" t="str">
        <f t="array" ref="V623">_xlfn.XLOOKUP(records[ID], dAir[roomNo], dAir[roomName])</f>
        <v>DISPENSING</v>
      </c>
      <c r="W623" s="47" t="str">
        <f t="array" ref="W623">_xlfn.XLOOKUP(records[ID], dAir[roomNo], dAir[building])</f>
        <v>Building 16</v>
      </c>
      <c r="X623" s="47" t="str">
        <f t="array" ref="X623">_xlfn.XLOOKUP(records[ID], dAir[roomNo], dAir[floor])</f>
        <v>Floor 1</v>
      </c>
      <c r="Y623" s="45" t="str">
        <f t="array" ref="Y623">_xlfn.XLOOKUP(records[ID], dAir[roomNo], dAir[Class])</f>
        <v>C</v>
      </c>
      <c r="Z623" s="45">
        <f t="array" ref="Z623">_xlfn.XLOOKUP(records[Method]&amp;"-"&amp;records[Class], dAirSpec[ID], dAirSpec[Spec])</f>
        <v>100</v>
      </c>
      <c r="AA623" s="45" t="str">
        <f t="array" ref="AA623">_xlfn.XLOOKUP(records[Method]&amp;"-"&amp;records[Class], dAirSpec[ID], dAirSpec[Unit])</f>
        <v>cfu/m3</v>
      </c>
      <c r="AB623" s="45">
        <f t="array" ref="AB623">if(S623="","", if(records[Method]="Active Air",_xlfn.xlookup(records[ColonyCount]&amp;records[AirSampler],feller[code],feller[Vc]),records[ColonyCount]))</f>
        <v>11</v>
      </c>
      <c r="AC623" s="60" t="b">
        <f t="shared" si="1"/>
        <v>1</v>
      </c>
      <c r="AD623" s="61" t="b">
        <v>0</v>
      </c>
      <c r="AE623" s="32"/>
      <c r="AF623" s="46"/>
      <c r="AG623" s="46"/>
      <c r="AH623" s="46"/>
      <c r="AI623" s="46"/>
      <c r="AJ623" s="46"/>
    </row>
    <row r="624" ht="22.5" customHeight="1">
      <c r="A624" s="27">
        <v>46244.0</v>
      </c>
      <c r="B624" s="34" t="str">
        <f t="array" ref="B624">TEXT(A624, "MM-YYYY")</f>
        <v>08-2026</v>
      </c>
      <c r="C624" s="39" t="s">
        <v>786</v>
      </c>
      <c r="D624" s="36" t="s">
        <v>680</v>
      </c>
      <c r="E624" s="36" t="s">
        <v>531</v>
      </c>
      <c r="F624" s="37"/>
      <c r="G624" s="29" t="b">
        <v>0</v>
      </c>
      <c r="H624" s="36" t="s">
        <v>1737</v>
      </c>
      <c r="I624" s="36" t="s">
        <v>534</v>
      </c>
      <c r="J624" s="214"/>
      <c r="K624" s="215"/>
      <c r="L624" s="37" t="s">
        <v>194</v>
      </c>
      <c r="M624" s="37" t="s">
        <v>194</v>
      </c>
      <c r="N624" s="37" t="s">
        <v>194</v>
      </c>
      <c r="O624" s="37" t="s">
        <v>194</v>
      </c>
      <c r="P624" s="37" t="s">
        <v>527</v>
      </c>
      <c r="Q624" s="37" t="s">
        <v>528</v>
      </c>
      <c r="R624" s="41">
        <v>46651.0</v>
      </c>
      <c r="S624" s="230">
        <v>0.0</v>
      </c>
      <c r="T624" s="231" t="s">
        <v>2235</v>
      </c>
      <c r="U624" s="45" t="str">
        <f>IF(records[Type]="Room",records[roomNo],records[roomNo]&amp;"-"&amp;SUBSTITUTE(RIGHT(records[roomNo]&amp;records[Type],2),"-",""))</f>
        <v>16-1-102-B</v>
      </c>
      <c r="V624" s="47" t="str">
        <f t="array" ref="V624">_xlfn.XLOOKUP(records[ID], dAir[roomNo], dAir[roomName])</f>
        <v>DISPENSING (Booth)</v>
      </c>
      <c r="W624" s="47" t="str">
        <f t="array" ref="W624">_xlfn.XLOOKUP(records[ID], dAir[roomNo], dAir[building])</f>
        <v>Building 16</v>
      </c>
      <c r="X624" s="47" t="str">
        <f t="array" ref="X624">_xlfn.XLOOKUP(records[ID], dAir[roomNo], dAir[floor])</f>
        <v>Floor 1</v>
      </c>
      <c r="Y624" s="45" t="str">
        <f t="array" ref="Y624">_xlfn.XLOOKUP(records[ID], dAir[roomNo], dAir[Class])</f>
        <v>A</v>
      </c>
      <c r="Z624" s="45">
        <f t="array" ref="Z624">_xlfn.XLOOKUP(records[Method]&amp;"-"&amp;records[Class], dAirSpec[ID], dAirSpec[Spec])</f>
        <v>0</v>
      </c>
      <c r="AA624" s="45" t="str">
        <f t="array" ref="AA624">_xlfn.XLOOKUP(records[Method]&amp;"-"&amp;records[Class], dAirSpec[ID], dAirSpec[Unit])</f>
        <v>cfu/m3</v>
      </c>
      <c r="AB624" s="45">
        <f t="array" ref="AB624">if(S624="","", if(records[Method]="Active Air",_xlfn.xlookup(records[ColonyCount]&amp;records[AirSampler],feller[code],feller[Vc]),records[ColonyCount]))</f>
        <v>0</v>
      </c>
      <c r="AC624" s="60" t="b">
        <f t="shared" si="1"/>
        <v>1</v>
      </c>
      <c r="AD624" s="61" t="b">
        <v>0</v>
      </c>
      <c r="AE624" s="32"/>
      <c r="AF624" s="46"/>
      <c r="AG624" s="46"/>
      <c r="AH624" s="46"/>
      <c r="AI624" s="46"/>
      <c r="AJ624" s="46"/>
    </row>
    <row r="625" ht="22.5" customHeight="1">
      <c r="A625" s="27">
        <v>46244.0</v>
      </c>
      <c r="B625" s="34" t="str">
        <f t="array" ref="B625">TEXT(A625, "MM-YYYY")</f>
        <v>08-2026</v>
      </c>
      <c r="C625" s="39" t="s">
        <v>754</v>
      </c>
      <c r="D625" s="36" t="s">
        <v>210</v>
      </c>
      <c r="E625" s="36" t="s">
        <v>531</v>
      </c>
      <c r="F625" s="37"/>
      <c r="G625" s="29" t="b">
        <v>0</v>
      </c>
      <c r="H625" s="36" t="s">
        <v>1737</v>
      </c>
      <c r="I625" s="36" t="s">
        <v>534</v>
      </c>
      <c r="J625" s="214"/>
      <c r="K625" s="215"/>
      <c r="L625" s="37" t="s">
        <v>194</v>
      </c>
      <c r="M625" s="37" t="s">
        <v>194</v>
      </c>
      <c r="N625" s="37" t="s">
        <v>194</v>
      </c>
      <c r="O625" s="37" t="s">
        <v>194</v>
      </c>
      <c r="P625" s="37" t="s">
        <v>527</v>
      </c>
      <c r="Q625" s="37" t="s">
        <v>528</v>
      </c>
      <c r="R625" s="41">
        <v>46651.0</v>
      </c>
      <c r="S625" s="228">
        <v>17.0</v>
      </c>
      <c r="T625" s="229" t="s">
        <v>2453</v>
      </c>
      <c r="U625" s="45" t="str">
        <f>IF(records[Type]="Room",records[roomNo],records[roomNo]&amp;"-"&amp;SUBSTITUTE(RIGHT(records[roomNo]&amp;records[Type],2),"-",""))</f>
        <v>16-1-105</v>
      </c>
      <c r="V625" s="47" t="str">
        <f t="array" ref="V625">_xlfn.XLOOKUP(records[ID], dAir[roomNo], dAir[roomName])</f>
        <v>WASHING / TUNNEL 1</v>
      </c>
      <c r="W625" s="47" t="str">
        <f t="array" ref="W625">_xlfn.XLOOKUP(records[ID], dAir[roomNo], dAir[building])</f>
        <v>Building 16</v>
      </c>
      <c r="X625" s="47" t="str">
        <f t="array" ref="X625">_xlfn.XLOOKUP(records[ID], dAir[roomNo], dAir[floor])</f>
        <v>Floor 1</v>
      </c>
      <c r="Y625" s="45" t="str">
        <f t="array" ref="Y625">_xlfn.XLOOKUP(records[ID], dAir[roomNo], dAir[Class])</f>
        <v>C</v>
      </c>
      <c r="Z625" s="45">
        <f t="array" ref="Z625">_xlfn.XLOOKUP(records[Method]&amp;"-"&amp;records[Class], dAirSpec[ID], dAirSpec[Spec])</f>
        <v>100</v>
      </c>
      <c r="AA625" s="45" t="str">
        <f t="array" ref="AA625">_xlfn.XLOOKUP(records[Method]&amp;"-"&amp;records[Class], dAirSpec[ID], dAirSpec[Unit])</f>
        <v>cfu/m3</v>
      </c>
      <c r="AB625" s="45">
        <f t="array" ref="AB625">if(S625="","", if(records[Method]="Active Air",_xlfn.xlookup(records[ColonyCount]&amp;records[AirSampler],feller[code],feller[Vc]),records[ColonyCount]))</f>
        <v>18</v>
      </c>
      <c r="AC625" s="60" t="b">
        <f t="shared" si="1"/>
        <v>1</v>
      </c>
      <c r="AD625" s="61" t="b">
        <v>0</v>
      </c>
      <c r="AE625" s="32"/>
      <c r="AF625" s="46"/>
      <c r="AG625" s="46"/>
      <c r="AH625" s="46"/>
      <c r="AI625" s="46"/>
      <c r="AJ625" s="46"/>
    </row>
    <row r="626" ht="22.5" customHeight="1">
      <c r="A626" s="27">
        <v>46244.0</v>
      </c>
      <c r="B626" s="34" t="str">
        <f t="array" ref="B626">TEXT(A626, "MM-YYYY")</f>
        <v>08-2026</v>
      </c>
      <c r="C626" s="39" t="s">
        <v>754</v>
      </c>
      <c r="D626" s="36" t="s">
        <v>755</v>
      </c>
      <c r="E626" s="36" t="s">
        <v>531</v>
      </c>
      <c r="F626" s="37"/>
      <c r="G626" s="29" t="b">
        <v>0</v>
      </c>
      <c r="H626" s="36" t="s">
        <v>1737</v>
      </c>
      <c r="I626" s="36" t="s">
        <v>534</v>
      </c>
      <c r="J626" s="214"/>
      <c r="K626" s="215"/>
      <c r="L626" s="37" t="s">
        <v>194</v>
      </c>
      <c r="M626" s="37" t="s">
        <v>194</v>
      </c>
      <c r="N626" s="37" t="s">
        <v>194</v>
      </c>
      <c r="O626" s="37" t="s">
        <v>194</v>
      </c>
      <c r="P626" s="37" t="s">
        <v>527</v>
      </c>
      <c r="Q626" s="37" t="s">
        <v>528</v>
      </c>
      <c r="R626" s="41">
        <v>46651.0</v>
      </c>
      <c r="S626" s="230">
        <v>0.0</v>
      </c>
      <c r="T626" s="231" t="s">
        <v>2454</v>
      </c>
      <c r="U626" s="45" t="str">
        <f>IF(records[Type]="Room",records[roomNo],records[roomNo]&amp;"-"&amp;SUBSTITUTE(RIGHT(records[roomNo]&amp;records[Type],2),"-",""))</f>
        <v>16-1-105-M</v>
      </c>
      <c r="V626" s="47" t="str">
        <f t="array" ref="V626">_xlfn.XLOOKUP(records[ID], dAir[roomNo], dAir[roomName])</f>
        <v>#N/A</v>
      </c>
      <c r="W626" s="47" t="str">
        <f t="array" ref="W626">_xlfn.XLOOKUP(records[ID], dAir[roomNo], dAir[building])</f>
        <v>#N/A</v>
      </c>
      <c r="X626" s="47" t="str">
        <f t="array" ref="X626">_xlfn.XLOOKUP(records[ID], dAir[roomNo], dAir[floor])</f>
        <v>#N/A</v>
      </c>
      <c r="Y626" s="216" t="s">
        <v>975</v>
      </c>
      <c r="Z626" s="45">
        <f t="array" ref="Z626">_xlfn.XLOOKUP(records[Method]&amp;"-"&amp;records[Class], dAirSpec[ID], dAirSpec[Spec])</f>
        <v>0</v>
      </c>
      <c r="AA626" s="45" t="str">
        <f t="array" ref="AA626">_xlfn.XLOOKUP(records[Method]&amp;"-"&amp;records[Class], dAirSpec[ID], dAirSpec[Unit])</f>
        <v>cfu/m3</v>
      </c>
      <c r="AB626" s="45">
        <f t="array" ref="AB626">if(S626="","", if(records[Method]="Active Air",_xlfn.xlookup(records[ColonyCount]&amp;records[AirSampler],feller[code],feller[Vc]),records[ColonyCount]))</f>
        <v>0</v>
      </c>
      <c r="AC626" s="60" t="b">
        <f t="shared" si="1"/>
        <v>1</v>
      </c>
      <c r="AD626" s="61" t="b">
        <v>0</v>
      </c>
      <c r="AE626" s="32"/>
      <c r="AF626" s="46"/>
      <c r="AG626" s="46"/>
      <c r="AH626" s="46"/>
      <c r="AI626" s="46"/>
      <c r="AJ626" s="46"/>
    </row>
    <row r="627" ht="22.5" customHeight="1">
      <c r="A627" s="27">
        <v>46244.0</v>
      </c>
      <c r="B627" s="34" t="str">
        <f t="array" ref="B627">TEXT(A627, "MM-YYYY")</f>
        <v>08-2026</v>
      </c>
      <c r="C627" s="39" t="s">
        <v>2455</v>
      </c>
      <c r="D627" s="36" t="s">
        <v>210</v>
      </c>
      <c r="E627" s="36" t="s">
        <v>531</v>
      </c>
      <c r="F627" s="37"/>
      <c r="G627" s="29" t="b">
        <v>0</v>
      </c>
      <c r="H627" s="36" t="s">
        <v>1737</v>
      </c>
      <c r="I627" s="36" t="s">
        <v>534</v>
      </c>
      <c r="J627" s="214"/>
      <c r="K627" s="215"/>
      <c r="L627" s="37" t="s">
        <v>194</v>
      </c>
      <c r="M627" s="37" t="s">
        <v>194</v>
      </c>
      <c r="N627" s="37" t="s">
        <v>194</v>
      </c>
      <c r="O627" s="37" t="s">
        <v>194</v>
      </c>
      <c r="P627" s="37" t="s">
        <v>527</v>
      </c>
      <c r="Q627" s="37" t="s">
        <v>528</v>
      </c>
      <c r="R627" s="41">
        <v>46651.0</v>
      </c>
      <c r="S627" s="230">
        <v>2.0</v>
      </c>
      <c r="T627" s="231" t="s">
        <v>2456</v>
      </c>
      <c r="U627" s="45" t="str">
        <f>IF(records[Type]="Room",records[roomNo],records[roomNo]&amp;"-"&amp;SUBSTITUTE(RIGHT(records[roomNo]&amp;records[Type],2),"-",""))</f>
        <v>16-1-063</v>
      </c>
      <c r="V627" s="47" t="str">
        <f t="array" ref="V627">_xlfn.XLOOKUP(records[ID], dAir[roomNo], dAir[roomName])</f>
        <v>#N/A</v>
      </c>
      <c r="W627" s="47" t="str">
        <f t="array" ref="W627">_xlfn.XLOOKUP(records[ID], dAir[roomNo], dAir[building])</f>
        <v>#N/A</v>
      </c>
      <c r="X627" s="47" t="str">
        <f t="array" ref="X627">_xlfn.XLOOKUP(records[ID], dAir[roomNo], dAir[floor])</f>
        <v>#N/A</v>
      </c>
      <c r="Y627" s="216" t="s">
        <v>1060</v>
      </c>
      <c r="Z627" s="45">
        <f t="array" ref="Z627">_xlfn.XLOOKUP(records[Method]&amp;"-"&amp;records[Class], dAirSpec[ID], dAirSpec[Spec])</f>
        <v>100</v>
      </c>
      <c r="AA627" s="45" t="str">
        <f t="array" ref="AA627">_xlfn.XLOOKUP(records[Method]&amp;"-"&amp;records[Class], dAirSpec[ID], dAirSpec[Unit])</f>
        <v>cfu/m3</v>
      </c>
      <c r="AB627" s="45">
        <f t="array" ref="AB627">if(S627="","", if(records[Method]="Active Air",_xlfn.xlookup(records[ColonyCount]&amp;records[AirSampler],feller[code],feller[Vc]),records[ColonyCount]))</f>
        <v>2</v>
      </c>
      <c r="AC627" s="60" t="b">
        <f t="shared" si="1"/>
        <v>1</v>
      </c>
      <c r="AD627" s="61" t="b">
        <v>0</v>
      </c>
      <c r="AE627" s="32"/>
      <c r="AF627" s="46"/>
      <c r="AG627" s="46"/>
      <c r="AH627" s="46"/>
      <c r="AI627" s="46"/>
      <c r="AJ627" s="46"/>
    </row>
    <row r="628" ht="22.5" customHeight="1">
      <c r="A628" s="27">
        <v>46246.0</v>
      </c>
      <c r="B628" s="34" t="str">
        <f t="array" ref="B628">TEXT(A628, "MM-YYYY")</f>
        <v>08-2026</v>
      </c>
      <c r="C628" s="32" t="s">
        <v>1360</v>
      </c>
      <c r="D628" s="36" t="s">
        <v>210</v>
      </c>
      <c r="E628" s="21" t="s">
        <v>213</v>
      </c>
      <c r="F628" s="37" t="s">
        <v>95</v>
      </c>
      <c r="G628" s="29" t="b">
        <v>1</v>
      </c>
      <c r="H628" s="36" t="s">
        <v>214</v>
      </c>
      <c r="I628" s="36" t="s">
        <v>215</v>
      </c>
      <c r="J628" s="214"/>
      <c r="K628" s="215"/>
      <c r="L628" s="37" t="s">
        <v>194</v>
      </c>
      <c r="M628" s="37" t="s">
        <v>194</v>
      </c>
      <c r="N628" s="37" t="s">
        <v>194</v>
      </c>
      <c r="O628" s="37" t="s">
        <v>194</v>
      </c>
      <c r="P628" s="37" t="s">
        <v>527</v>
      </c>
      <c r="Q628" s="37" t="s">
        <v>528</v>
      </c>
      <c r="R628" s="41">
        <v>46651.0</v>
      </c>
      <c r="S628" s="42">
        <v>0.0</v>
      </c>
      <c r="T628" s="44"/>
      <c r="U628" s="45" t="str">
        <f>IF(records[Type]="Room",records[roomNo],records[roomNo]&amp;"-"&amp;SUBSTITUTE(RIGHT(records[roomNo]&amp;records[Type],2),"-",""))</f>
        <v>12-1-034</v>
      </c>
      <c r="V628" s="47" t="str">
        <f t="array" ref="V628">_xlfn.XLOOKUP(records[ID], dAir[roomNo], dAir[roomName])</f>
        <v>CHANGING ROOM</v>
      </c>
      <c r="W628" s="47" t="str">
        <f t="array" ref="W628">_xlfn.XLOOKUP(records[ID], dAir[roomNo], dAir[building])</f>
        <v>Building 12</v>
      </c>
      <c r="X628" s="47" t="str">
        <f t="array" ref="X628">_xlfn.XLOOKUP(records[ID], dAir[roomNo], dAir[floor])</f>
        <v>Floor 1</v>
      </c>
      <c r="Y628" s="45" t="str">
        <f t="array" ref="Y628">_xlfn.XLOOKUP(records[ID], dAir[roomNo], dAir[Class])</f>
        <v>D</v>
      </c>
      <c r="Z628" s="45">
        <f t="array" ref="Z628">_xlfn.XLOOKUP(records[Method]&amp;"-"&amp;records[Class], dAirSpec[ID], dAirSpec[Spec])</f>
        <v>100</v>
      </c>
      <c r="AA628" s="45" t="str">
        <f t="array" ref="AA628">_xlfn.XLOOKUP(records[Method]&amp;"-"&amp;records[Class], dAirSpec[ID], dAirSpec[Unit])</f>
        <v>cfu/plate</v>
      </c>
      <c r="AB628" s="58">
        <f t="array" ref="AB628">if(S628="","", if(records[Method]="Active Air",_xlfn.xlookup(records[ColonyCount]&amp;records[AirSampler],feller[code],feller[Vc]),records[ColonyCount]))</f>
        <v>0</v>
      </c>
      <c r="AC628" s="60" t="b">
        <f t="shared" si="1"/>
        <v>1</v>
      </c>
      <c r="AD628" s="61" t="b">
        <v>0</v>
      </c>
      <c r="AE628" s="32" t="s">
        <v>235</v>
      </c>
      <c r="AF628" s="46"/>
      <c r="AG628" s="46"/>
      <c r="AH628" s="46"/>
      <c r="AI628" s="46"/>
      <c r="AJ628" s="46"/>
    </row>
    <row r="629" ht="22.5" customHeight="1">
      <c r="A629" s="27">
        <v>46246.0</v>
      </c>
      <c r="B629" s="34" t="str">
        <f t="array" ref="B629">TEXT(A629, "MM-YYYY")</f>
        <v>08-2026</v>
      </c>
      <c r="C629" s="39" t="s">
        <v>1362</v>
      </c>
      <c r="D629" s="36" t="s">
        <v>210</v>
      </c>
      <c r="E629" s="36" t="s">
        <v>213</v>
      </c>
      <c r="F629" s="37" t="s">
        <v>95</v>
      </c>
      <c r="G629" s="29" t="b">
        <v>1</v>
      </c>
      <c r="H629" s="36" t="s">
        <v>214</v>
      </c>
      <c r="I629" s="36" t="s">
        <v>215</v>
      </c>
      <c r="J629" s="214"/>
      <c r="K629" s="215"/>
      <c r="L629" s="37" t="s">
        <v>194</v>
      </c>
      <c r="M629" s="37" t="s">
        <v>194</v>
      </c>
      <c r="N629" s="37" t="s">
        <v>194</v>
      </c>
      <c r="O629" s="37" t="s">
        <v>194</v>
      </c>
      <c r="P629" s="37" t="s">
        <v>527</v>
      </c>
      <c r="Q629" s="37" t="s">
        <v>528</v>
      </c>
      <c r="R629" s="41">
        <v>46651.0</v>
      </c>
      <c r="S629" s="42">
        <v>0.0</v>
      </c>
      <c r="T629" s="44"/>
      <c r="U629" s="45" t="str">
        <f>IF(records[Type]="Room",records[roomNo],records[roomNo]&amp;"-"&amp;SUBSTITUTE(RIGHT(records[roomNo]&amp;records[Type],2),"-",""))</f>
        <v>12-1-035</v>
      </c>
      <c r="V629" s="47" t="str">
        <f t="array" ref="V629">_xlfn.XLOOKUP(records[ID], dAir[roomNo], dAir[roomName])</f>
        <v>SUGAR TRANSFERRING</v>
      </c>
      <c r="W629" s="47" t="str">
        <f t="array" ref="W629">_xlfn.XLOOKUP(records[ID], dAir[roomNo], dAir[building])</f>
        <v>Building 12</v>
      </c>
      <c r="X629" s="47" t="str">
        <f t="array" ref="X629">_xlfn.XLOOKUP(records[ID], dAir[roomNo], dAir[floor])</f>
        <v>Floor 1</v>
      </c>
      <c r="Y629" s="45" t="str">
        <f t="array" ref="Y629">_xlfn.XLOOKUP(records[ID], dAir[roomNo], dAir[Class])</f>
        <v>D</v>
      </c>
      <c r="Z629" s="45">
        <f t="array" ref="Z629">_xlfn.XLOOKUP(records[Method]&amp;"-"&amp;records[Class], dAirSpec[ID], dAirSpec[Spec])</f>
        <v>100</v>
      </c>
      <c r="AA629" s="45" t="str">
        <f t="array" ref="AA629">_xlfn.XLOOKUP(records[Method]&amp;"-"&amp;records[Class], dAirSpec[ID], dAirSpec[Unit])</f>
        <v>cfu/plate</v>
      </c>
      <c r="AB629" s="58">
        <f t="array" ref="AB629">if(S629="","", if(records[Method]="Active Air",_xlfn.xlookup(records[ColonyCount]&amp;records[AirSampler],feller[code],feller[Vc]),records[ColonyCount]))</f>
        <v>0</v>
      </c>
      <c r="AC629" s="60" t="b">
        <f t="shared" si="1"/>
        <v>1</v>
      </c>
      <c r="AD629" s="61" t="b">
        <v>0</v>
      </c>
      <c r="AE629" s="32" t="s">
        <v>235</v>
      </c>
      <c r="AF629" s="46"/>
      <c r="AG629" s="46"/>
      <c r="AH629" s="46"/>
      <c r="AI629" s="46"/>
      <c r="AJ629" s="46"/>
    </row>
    <row r="630" ht="22.5" customHeight="1">
      <c r="A630" s="27">
        <v>46246.0</v>
      </c>
      <c r="B630" s="34" t="str">
        <f t="array" ref="B630">TEXT(A630, "MM-YYYY")</f>
        <v>08-2026</v>
      </c>
      <c r="C630" s="39" t="s">
        <v>1365</v>
      </c>
      <c r="D630" s="36" t="s">
        <v>210</v>
      </c>
      <c r="E630" s="36" t="s">
        <v>213</v>
      </c>
      <c r="F630" s="37" t="s">
        <v>95</v>
      </c>
      <c r="G630" s="29" t="b">
        <v>1</v>
      </c>
      <c r="H630" s="36" t="s">
        <v>214</v>
      </c>
      <c r="I630" s="36" t="s">
        <v>215</v>
      </c>
      <c r="J630" s="214"/>
      <c r="K630" s="215"/>
      <c r="L630" s="37" t="s">
        <v>194</v>
      </c>
      <c r="M630" s="37" t="s">
        <v>194</v>
      </c>
      <c r="N630" s="37" t="s">
        <v>194</v>
      </c>
      <c r="O630" s="37" t="s">
        <v>194</v>
      </c>
      <c r="P630" s="37" t="s">
        <v>527</v>
      </c>
      <c r="Q630" s="37" t="s">
        <v>528</v>
      </c>
      <c r="R630" s="41">
        <v>46651.0</v>
      </c>
      <c r="S630" s="42">
        <v>0.0</v>
      </c>
      <c r="T630" s="44"/>
      <c r="U630" s="45" t="str">
        <f>IF(records[Type]="Room",records[roomNo],records[roomNo]&amp;"-"&amp;SUBSTITUTE(RIGHT(records[roomNo]&amp;records[Type],2),"-",""))</f>
        <v>12-1-049</v>
      </c>
      <c r="V630" s="47" t="str">
        <f t="array" ref="V630">_xlfn.XLOOKUP(records[ID], dAir[roomNo], dAir[roomName])</f>
        <v>PROCESS CHANGE</v>
      </c>
      <c r="W630" s="47" t="str">
        <f t="array" ref="W630">_xlfn.XLOOKUP(records[ID], dAir[roomNo], dAir[building])</f>
        <v>Building 12</v>
      </c>
      <c r="X630" s="47" t="str">
        <f t="array" ref="X630">_xlfn.XLOOKUP(records[ID], dAir[roomNo], dAir[floor])</f>
        <v>Floor 1</v>
      </c>
      <c r="Y630" s="45" t="str">
        <f t="array" ref="Y630">_xlfn.XLOOKUP(records[ID], dAir[roomNo], dAir[Class])</f>
        <v>D</v>
      </c>
      <c r="Z630" s="45">
        <f t="array" ref="Z630">_xlfn.XLOOKUP(records[Method]&amp;"-"&amp;records[Class], dAirSpec[ID], dAirSpec[Spec])</f>
        <v>100</v>
      </c>
      <c r="AA630" s="45" t="str">
        <f t="array" ref="AA630">_xlfn.XLOOKUP(records[Method]&amp;"-"&amp;records[Class], dAirSpec[ID], dAirSpec[Unit])</f>
        <v>cfu/plate</v>
      </c>
      <c r="AB630" s="58">
        <f t="array" ref="AB630">if(S630="","", if(records[Method]="Active Air",_xlfn.xlookup(records[ColonyCount]&amp;records[AirSampler],feller[code],feller[Vc]),records[ColonyCount]))</f>
        <v>0</v>
      </c>
      <c r="AC630" s="60" t="b">
        <f t="shared" si="1"/>
        <v>1</v>
      </c>
      <c r="AD630" s="61" t="b">
        <v>0</v>
      </c>
      <c r="AE630" s="32" t="s">
        <v>235</v>
      </c>
      <c r="AF630" s="46"/>
      <c r="AG630" s="46"/>
      <c r="AH630" s="46"/>
      <c r="AI630" s="46"/>
      <c r="AJ630" s="46"/>
    </row>
    <row r="631" ht="22.5" customHeight="1">
      <c r="A631" s="27">
        <v>46246.0</v>
      </c>
      <c r="B631" s="34" t="str">
        <f t="array" ref="B631">TEXT(A631, "MM-YYYY")</f>
        <v>08-2026</v>
      </c>
      <c r="C631" s="39" t="s">
        <v>1366</v>
      </c>
      <c r="D631" s="36" t="s">
        <v>210</v>
      </c>
      <c r="E631" s="36" t="s">
        <v>213</v>
      </c>
      <c r="F631" s="37" t="s">
        <v>95</v>
      </c>
      <c r="G631" s="29" t="b">
        <v>1</v>
      </c>
      <c r="H631" s="36" t="s">
        <v>214</v>
      </c>
      <c r="I631" s="36" t="s">
        <v>215</v>
      </c>
      <c r="J631" s="214"/>
      <c r="K631" s="215"/>
      <c r="L631" s="37" t="s">
        <v>194</v>
      </c>
      <c r="M631" s="37" t="s">
        <v>194</v>
      </c>
      <c r="N631" s="37" t="s">
        <v>194</v>
      </c>
      <c r="O631" s="37" t="s">
        <v>194</v>
      </c>
      <c r="P631" s="37" t="s">
        <v>527</v>
      </c>
      <c r="Q631" s="37" t="s">
        <v>528</v>
      </c>
      <c r="R631" s="41">
        <v>46651.0</v>
      </c>
      <c r="S631" s="42">
        <v>0.0</v>
      </c>
      <c r="T631" s="44"/>
      <c r="U631" s="45" t="str">
        <f>IF(records[Type]="Room",records[roomNo],records[roomNo]&amp;"-"&amp;SUBSTITUTE(RIGHT(records[roomNo]&amp;records[Type],2),"-",""))</f>
        <v>12-1-050</v>
      </c>
      <c r="V631" s="47" t="str">
        <f t="array" ref="V631">_xlfn.XLOOKUP(records[ID], dAir[roomNo], dAir[roomName])</f>
        <v>CORRIDOR</v>
      </c>
      <c r="W631" s="47" t="str">
        <f t="array" ref="W631">_xlfn.XLOOKUP(records[ID], dAir[roomNo], dAir[building])</f>
        <v>Building 12</v>
      </c>
      <c r="X631" s="47" t="str">
        <f t="array" ref="X631">_xlfn.XLOOKUP(records[ID], dAir[roomNo], dAir[floor])</f>
        <v>Floor 1</v>
      </c>
      <c r="Y631" s="45" t="str">
        <f t="array" ref="Y631">_xlfn.XLOOKUP(records[ID], dAir[roomNo], dAir[Class])</f>
        <v>D</v>
      </c>
      <c r="Z631" s="45">
        <f t="array" ref="Z631">_xlfn.XLOOKUP(records[Method]&amp;"-"&amp;records[Class], dAirSpec[ID], dAirSpec[Spec])</f>
        <v>100</v>
      </c>
      <c r="AA631" s="45" t="str">
        <f t="array" ref="AA631">_xlfn.XLOOKUP(records[Method]&amp;"-"&amp;records[Class], dAirSpec[ID], dAirSpec[Unit])</f>
        <v>cfu/plate</v>
      </c>
      <c r="AB631" s="58">
        <f t="array" ref="AB631">if(S631="","", if(records[Method]="Active Air",_xlfn.xlookup(records[ColonyCount]&amp;records[AirSampler],feller[code],feller[Vc]),records[ColonyCount]))</f>
        <v>0</v>
      </c>
      <c r="AC631" s="60" t="b">
        <f t="shared" si="1"/>
        <v>1</v>
      </c>
      <c r="AD631" s="61" t="b">
        <v>0</v>
      </c>
      <c r="AE631" s="32" t="s">
        <v>235</v>
      </c>
      <c r="AF631" s="46"/>
      <c r="AG631" s="46"/>
      <c r="AH631" s="46"/>
      <c r="AI631" s="46"/>
      <c r="AJ631" s="46"/>
    </row>
    <row r="632" ht="22.5" customHeight="1">
      <c r="A632" s="27">
        <v>46246.0</v>
      </c>
      <c r="B632" s="34" t="str">
        <f t="array" ref="B632">TEXT(A632, "MM-YYYY")</f>
        <v>08-2026</v>
      </c>
      <c r="C632" s="39" t="s">
        <v>1367</v>
      </c>
      <c r="D632" s="36" t="s">
        <v>210</v>
      </c>
      <c r="E632" s="36" t="s">
        <v>213</v>
      </c>
      <c r="F632" s="37" t="s">
        <v>95</v>
      </c>
      <c r="G632" s="29" t="b">
        <v>1</v>
      </c>
      <c r="H632" s="36" t="s">
        <v>214</v>
      </c>
      <c r="I632" s="36" t="s">
        <v>215</v>
      </c>
      <c r="J632" s="214"/>
      <c r="K632" s="215"/>
      <c r="L632" s="37" t="s">
        <v>194</v>
      </c>
      <c r="M632" s="37" t="s">
        <v>194</v>
      </c>
      <c r="N632" s="37" t="s">
        <v>194</v>
      </c>
      <c r="O632" s="37" t="s">
        <v>194</v>
      </c>
      <c r="P632" s="37" t="s">
        <v>527</v>
      </c>
      <c r="Q632" s="37" t="s">
        <v>528</v>
      </c>
      <c r="R632" s="41">
        <v>46651.0</v>
      </c>
      <c r="S632" s="42">
        <v>0.0</v>
      </c>
      <c r="T632" s="44"/>
      <c r="U632" s="45" t="str">
        <f>IF(records[Type]="Room",records[roomNo],records[roomNo]&amp;"-"&amp;SUBSTITUTE(RIGHT(records[roomNo]&amp;records[Type],2),"-",""))</f>
        <v>12-1-051</v>
      </c>
      <c r="V632" s="47" t="str">
        <f t="array" ref="V632">_xlfn.XLOOKUP(records[ID], dAir[roomNo], dAir[roomName])</f>
        <v>CORRIDOR</v>
      </c>
      <c r="W632" s="47" t="str">
        <f t="array" ref="W632">_xlfn.XLOOKUP(records[ID], dAir[roomNo], dAir[building])</f>
        <v>Building 12</v>
      </c>
      <c r="X632" s="47" t="str">
        <f t="array" ref="X632">_xlfn.XLOOKUP(records[ID], dAir[roomNo], dAir[floor])</f>
        <v>Floor 1</v>
      </c>
      <c r="Y632" s="45" t="str">
        <f t="array" ref="Y632">_xlfn.XLOOKUP(records[ID], dAir[roomNo], dAir[Class])</f>
        <v>D</v>
      </c>
      <c r="Z632" s="45">
        <f t="array" ref="Z632">_xlfn.XLOOKUP(records[Method]&amp;"-"&amp;records[Class], dAirSpec[ID], dAirSpec[Spec])</f>
        <v>100</v>
      </c>
      <c r="AA632" s="45" t="str">
        <f t="array" ref="AA632">_xlfn.XLOOKUP(records[Method]&amp;"-"&amp;records[Class], dAirSpec[ID], dAirSpec[Unit])</f>
        <v>cfu/plate</v>
      </c>
      <c r="AB632" s="58">
        <f t="array" ref="AB632">if(S632="","", if(records[Method]="Active Air",_xlfn.xlookup(records[ColonyCount]&amp;records[AirSampler],feller[code],feller[Vc]),records[ColonyCount]))</f>
        <v>0</v>
      </c>
      <c r="AC632" s="60" t="b">
        <f t="shared" si="1"/>
        <v>1</v>
      </c>
      <c r="AD632" s="61" t="b">
        <v>0</v>
      </c>
      <c r="AE632" s="32" t="s">
        <v>235</v>
      </c>
      <c r="AF632" s="46"/>
      <c r="AG632" s="46"/>
      <c r="AH632" s="46"/>
      <c r="AI632" s="46"/>
      <c r="AJ632" s="46"/>
    </row>
    <row r="633" ht="22.5" customHeight="1">
      <c r="A633" s="27">
        <v>46246.0</v>
      </c>
      <c r="B633" s="34" t="str">
        <f t="array" ref="B633">TEXT(A633, "MM-YYYY")</f>
        <v>08-2026</v>
      </c>
      <c r="C633" s="39" t="s">
        <v>1368</v>
      </c>
      <c r="D633" s="36" t="s">
        <v>210</v>
      </c>
      <c r="E633" s="36" t="s">
        <v>213</v>
      </c>
      <c r="F633" s="37" t="s">
        <v>95</v>
      </c>
      <c r="G633" s="29" t="b">
        <v>1</v>
      </c>
      <c r="H633" s="36" t="s">
        <v>214</v>
      </c>
      <c r="I633" s="36" t="s">
        <v>215</v>
      </c>
      <c r="J633" s="214"/>
      <c r="K633" s="215"/>
      <c r="L633" s="37" t="s">
        <v>194</v>
      </c>
      <c r="M633" s="37" t="s">
        <v>194</v>
      </c>
      <c r="N633" s="37" t="s">
        <v>194</v>
      </c>
      <c r="O633" s="37" t="s">
        <v>194</v>
      </c>
      <c r="P633" s="37" t="s">
        <v>527</v>
      </c>
      <c r="Q633" s="37" t="s">
        <v>528</v>
      </c>
      <c r="R633" s="41">
        <v>46651.0</v>
      </c>
      <c r="S633" s="42">
        <v>0.0</v>
      </c>
      <c r="T633" s="44"/>
      <c r="U633" s="45" t="str">
        <f>IF(records[Type]="Room",records[roomNo],records[roomNo]&amp;"-"&amp;SUBSTITUTE(RIGHT(records[roomNo]&amp;records[Type],2),"-",""))</f>
        <v>12-1-052</v>
      </c>
      <c r="V633" s="47" t="str">
        <f t="array" ref="V633">_xlfn.XLOOKUP(records[ID], dAir[roomNo], dAir[roomName])</f>
        <v>LINEN WASHING</v>
      </c>
      <c r="W633" s="47" t="str">
        <f t="array" ref="W633">_xlfn.XLOOKUP(records[ID], dAir[roomNo], dAir[building])</f>
        <v>Building 12</v>
      </c>
      <c r="X633" s="47" t="str">
        <f t="array" ref="X633">_xlfn.XLOOKUP(records[ID], dAir[roomNo], dAir[floor])</f>
        <v>Floor 1</v>
      </c>
      <c r="Y633" s="45" t="str">
        <f t="array" ref="Y633">_xlfn.XLOOKUP(records[ID], dAir[roomNo], dAir[Class])</f>
        <v>D</v>
      </c>
      <c r="Z633" s="45">
        <f t="array" ref="Z633">_xlfn.XLOOKUP(records[Method]&amp;"-"&amp;records[Class], dAirSpec[ID], dAirSpec[Spec])</f>
        <v>100</v>
      </c>
      <c r="AA633" s="45" t="str">
        <f t="array" ref="AA633">_xlfn.XLOOKUP(records[Method]&amp;"-"&amp;records[Class], dAirSpec[ID], dAirSpec[Unit])</f>
        <v>cfu/plate</v>
      </c>
      <c r="AB633" s="58">
        <f t="array" ref="AB633">if(S633="","", if(records[Method]="Active Air",_xlfn.xlookup(records[ColonyCount]&amp;records[AirSampler],feller[code],feller[Vc]),records[ColonyCount]))</f>
        <v>0</v>
      </c>
      <c r="AC633" s="60" t="b">
        <f t="shared" si="1"/>
        <v>1</v>
      </c>
      <c r="AD633" s="61" t="b">
        <v>0</v>
      </c>
      <c r="AE633" s="32" t="s">
        <v>235</v>
      </c>
      <c r="AF633" s="46"/>
      <c r="AG633" s="46"/>
      <c r="AH633" s="46"/>
      <c r="AI633" s="46"/>
      <c r="AJ633" s="46"/>
    </row>
    <row r="634" ht="22.5" customHeight="1">
      <c r="A634" s="27">
        <v>46246.0</v>
      </c>
      <c r="B634" s="34" t="str">
        <f t="array" ref="B634">TEXT(A634, "MM-YYYY")</f>
        <v>08-2026</v>
      </c>
      <c r="C634" s="39" t="s">
        <v>1369</v>
      </c>
      <c r="D634" s="36" t="s">
        <v>210</v>
      </c>
      <c r="E634" s="36" t="s">
        <v>213</v>
      </c>
      <c r="F634" s="37" t="s">
        <v>95</v>
      </c>
      <c r="G634" s="29" t="b">
        <v>1</v>
      </c>
      <c r="H634" s="36" t="s">
        <v>214</v>
      </c>
      <c r="I634" s="36" t="s">
        <v>215</v>
      </c>
      <c r="J634" s="214"/>
      <c r="K634" s="215"/>
      <c r="L634" s="37" t="s">
        <v>194</v>
      </c>
      <c r="M634" s="37" t="s">
        <v>194</v>
      </c>
      <c r="N634" s="37" t="s">
        <v>194</v>
      </c>
      <c r="O634" s="37" t="s">
        <v>194</v>
      </c>
      <c r="P634" s="37" t="s">
        <v>527</v>
      </c>
      <c r="Q634" s="37" t="s">
        <v>528</v>
      </c>
      <c r="R634" s="41">
        <v>46651.0</v>
      </c>
      <c r="S634" s="42">
        <v>0.0</v>
      </c>
      <c r="T634" s="44"/>
      <c r="U634" s="45" t="str">
        <f>IF(records[Type]="Room",records[roomNo],records[roomNo]&amp;"-"&amp;SUBSTITUTE(RIGHT(records[roomNo]&amp;records[Type],2),"-",""))</f>
        <v>12-1-053</v>
      </c>
      <c r="V634" s="47" t="str">
        <f t="array" ref="V634">_xlfn.XLOOKUP(records[ID], dAir[roomNo], dAir[roomName])</f>
        <v>LINEN DRY</v>
      </c>
      <c r="W634" s="47" t="str">
        <f t="array" ref="W634">_xlfn.XLOOKUP(records[ID], dAir[roomNo], dAir[building])</f>
        <v>Building 12</v>
      </c>
      <c r="X634" s="47" t="str">
        <f t="array" ref="X634">_xlfn.XLOOKUP(records[ID], dAir[roomNo], dAir[floor])</f>
        <v>Floor 1</v>
      </c>
      <c r="Y634" s="45" t="str">
        <f t="array" ref="Y634">_xlfn.XLOOKUP(records[ID], dAir[roomNo], dAir[Class])</f>
        <v>D</v>
      </c>
      <c r="Z634" s="45">
        <f t="array" ref="Z634">_xlfn.XLOOKUP(records[Method]&amp;"-"&amp;records[Class], dAirSpec[ID], dAirSpec[Spec])</f>
        <v>100</v>
      </c>
      <c r="AA634" s="45" t="str">
        <f t="array" ref="AA634">_xlfn.XLOOKUP(records[Method]&amp;"-"&amp;records[Class], dAirSpec[ID], dAirSpec[Unit])</f>
        <v>cfu/plate</v>
      </c>
      <c r="AB634" s="58">
        <f t="array" ref="AB634">if(S634="","", if(records[Method]="Active Air",_xlfn.xlookup(records[ColonyCount]&amp;records[AirSampler],feller[code],feller[Vc]),records[ColonyCount]))</f>
        <v>0</v>
      </c>
      <c r="AC634" s="60" t="b">
        <f t="shared" si="1"/>
        <v>1</v>
      </c>
      <c r="AD634" s="61" t="b">
        <v>0</v>
      </c>
      <c r="AE634" s="32" t="s">
        <v>235</v>
      </c>
      <c r="AF634" s="46"/>
      <c r="AG634" s="46"/>
      <c r="AH634" s="46"/>
      <c r="AI634" s="46"/>
      <c r="AJ634" s="46"/>
    </row>
    <row r="635" ht="22.5" customHeight="1">
      <c r="A635" s="27">
        <v>46246.0</v>
      </c>
      <c r="B635" s="34" t="str">
        <f t="array" ref="B635">TEXT(A635, "MM-YYYY")</f>
        <v>08-2026</v>
      </c>
      <c r="C635" s="39" t="s">
        <v>1370</v>
      </c>
      <c r="D635" s="36" t="s">
        <v>210</v>
      </c>
      <c r="E635" s="36" t="s">
        <v>213</v>
      </c>
      <c r="F635" s="37" t="s">
        <v>95</v>
      </c>
      <c r="G635" s="29" t="b">
        <v>1</v>
      </c>
      <c r="H635" s="36" t="s">
        <v>214</v>
      </c>
      <c r="I635" s="36" t="s">
        <v>215</v>
      </c>
      <c r="J635" s="214"/>
      <c r="K635" s="215"/>
      <c r="L635" s="37" t="s">
        <v>194</v>
      </c>
      <c r="M635" s="37" t="s">
        <v>194</v>
      </c>
      <c r="N635" s="37" t="s">
        <v>194</v>
      </c>
      <c r="O635" s="37" t="s">
        <v>194</v>
      </c>
      <c r="P635" s="37" t="s">
        <v>527</v>
      </c>
      <c r="Q635" s="37" t="s">
        <v>528</v>
      </c>
      <c r="R635" s="41">
        <v>46651.0</v>
      </c>
      <c r="S635" s="42">
        <v>0.0</v>
      </c>
      <c r="T635" s="44"/>
      <c r="U635" s="45" t="str">
        <f>IF(records[Type]="Room",records[roomNo],records[roomNo]&amp;"-"&amp;SUBSTITUTE(RIGHT(records[roomNo]&amp;records[Type],2),"-",""))</f>
        <v>12-1-054</v>
      </c>
      <c r="V635" s="47" t="str">
        <f t="array" ref="V635">_xlfn.XLOOKUP(records[ID], dAir[roomNo], dAir[roomName])</f>
        <v>PALLET TRUCK ROOM</v>
      </c>
      <c r="W635" s="47" t="str">
        <f t="array" ref="W635">_xlfn.XLOOKUP(records[ID], dAir[roomNo], dAir[building])</f>
        <v>Building 12</v>
      </c>
      <c r="X635" s="47" t="str">
        <f t="array" ref="X635">_xlfn.XLOOKUP(records[ID], dAir[roomNo], dAir[floor])</f>
        <v>Floor 1</v>
      </c>
      <c r="Y635" s="45" t="str">
        <f t="array" ref="Y635">_xlfn.XLOOKUP(records[ID], dAir[roomNo], dAir[Class])</f>
        <v>D</v>
      </c>
      <c r="Z635" s="45">
        <f t="array" ref="Z635">_xlfn.XLOOKUP(records[Method]&amp;"-"&amp;records[Class], dAirSpec[ID], dAirSpec[Spec])</f>
        <v>100</v>
      </c>
      <c r="AA635" s="45" t="str">
        <f t="array" ref="AA635">_xlfn.XLOOKUP(records[Method]&amp;"-"&amp;records[Class], dAirSpec[ID], dAirSpec[Unit])</f>
        <v>cfu/plate</v>
      </c>
      <c r="AB635" s="58">
        <f t="array" ref="AB635">if(S635="","", if(records[Method]="Active Air",_xlfn.xlookup(records[ColonyCount]&amp;records[AirSampler],feller[code],feller[Vc]),records[ColonyCount]))</f>
        <v>0</v>
      </c>
      <c r="AC635" s="60" t="b">
        <f t="shared" si="1"/>
        <v>1</v>
      </c>
      <c r="AD635" s="61" t="b">
        <v>0</v>
      </c>
      <c r="AE635" s="32" t="s">
        <v>235</v>
      </c>
      <c r="AF635" s="46"/>
      <c r="AG635" s="46"/>
      <c r="AH635" s="46"/>
      <c r="AI635" s="46"/>
      <c r="AJ635" s="46"/>
    </row>
    <row r="636" ht="22.5" customHeight="1">
      <c r="A636" s="27">
        <v>46246.0</v>
      </c>
      <c r="B636" s="34" t="str">
        <f t="array" ref="B636">TEXT(A636, "MM-YYYY")</f>
        <v>08-2026</v>
      </c>
      <c r="C636" s="39" t="s">
        <v>1372</v>
      </c>
      <c r="D636" s="36" t="s">
        <v>210</v>
      </c>
      <c r="E636" s="36" t="s">
        <v>213</v>
      </c>
      <c r="F636" s="37" t="s">
        <v>95</v>
      </c>
      <c r="G636" s="29" t="b">
        <v>1</v>
      </c>
      <c r="H636" s="36" t="s">
        <v>214</v>
      </c>
      <c r="I636" s="36" t="s">
        <v>215</v>
      </c>
      <c r="J636" s="214"/>
      <c r="K636" s="215"/>
      <c r="L636" s="37" t="s">
        <v>194</v>
      </c>
      <c r="M636" s="37" t="s">
        <v>194</v>
      </c>
      <c r="N636" s="37" t="s">
        <v>194</v>
      </c>
      <c r="O636" s="37" t="s">
        <v>194</v>
      </c>
      <c r="P636" s="37" t="s">
        <v>527</v>
      </c>
      <c r="Q636" s="37" t="s">
        <v>528</v>
      </c>
      <c r="R636" s="41">
        <v>46651.0</v>
      </c>
      <c r="S636" s="42">
        <v>0.0</v>
      </c>
      <c r="T636" s="44"/>
      <c r="U636" s="45" t="str">
        <f>IF(records[Type]="Room",records[roomNo],records[roomNo]&amp;"-"&amp;SUBSTITUTE(RIGHT(records[roomNo]&amp;records[Type],2),"-",""))</f>
        <v>12-1-055</v>
      </c>
      <c r="V636" s="47" t="str">
        <f t="array" ref="V636">_xlfn.XLOOKUP(records[ID], dAir[roomNo], dAir[roomName])</f>
        <v>AIRLOCK</v>
      </c>
      <c r="W636" s="47" t="str">
        <f t="array" ref="W636">_xlfn.XLOOKUP(records[ID], dAir[roomNo], dAir[building])</f>
        <v>Building 12</v>
      </c>
      <c r="X636" s="47" t="str">
        <f t="array" ref="X636">_xlfn.XLOOKUP(records[ID], dAir[roomNo], dAir[floor])</f>
        <v>Floor 1</v>
      </c>
      <c r="Y636" s="45" t="str">
        <f t="array" ref="Y636">_xlfn.XLOOKUP(records[ID], dAir[roomNo], dAir[Class])</f>
        <v>D</v>
      </c>
      <c r="Z636" s="45">
        <f t="array" ref="Z636">_xlfn.XLOOKUP(records[Method]&amp;"-"&amp;records[Class], dAirSpec[ID], dAirSpec[Spec])</f>
        <v>100</v>
      </c>
      <c r="AA636" s="45" t="str">
        <f t="array" ref="AA636">_xlfn.XLOOKUP(records[Method]&amp;"-"&amp;records[Class], dAirSpec[ID], dAirSpec[Unit])</f>
        <v>cfu/plate</v>
      </c>
      <c r="AB636" s="58">
        <f t="array" ref="AB636">if(S636="","", if(records[Method]="Active Air",_xlfn.xlookup(records[ColonyCount]&amp;records[AirSampler],feller[code],feller[Vc]),records[ColonyCount]))</f>
        <v>0</v>
      </c>
      <c r="AC636" s="60" t="b">
        <f t="shared" si="1"/>
        <v>1</v>
      </c>
      <c r="AD636" s="61" t="b">
        <v>0</v>
      </c>
      <c r="AE636" s="32" t="s">
        <v>235</v>
      </c>
      <c r="AF636" s="46"/>
      <c r="AG636" s="46"/>
      <c r="AH636" s="46"/>
      <c r="AI636" s="46"/>
      <c r="AJ636" s="46"/>
    </row>
    <row r="637" ht="22.5" customHeight="1">
      <c r="A637" s="27">
        <v>46246.0</v>
      </c>
      <c r="B637" s="34" t="str">
        <f t="array" ref="B637">TEXT(A637, "MM-YYYY")</f>
        <v>08-2026</v>
      </c>
      <c r="C637" s="39" t="s">
        <v>1373</v>
      </c>
      <c r="D637" s="36" t="s">
        <v>210</v>
      </c>
      <c r="E637" s="36" t="s">
        <v>213</v>
      </c>
      <c r="F637" s="37" t="s">
        <v>95</v>
      </c>
      <c r="G637" s="29" t="b">
        <v>1</v>
      </c>
      <c r="H637" s="36" t="s">
        <v>214</v>
      </c>
      <c r="I637" s="36" t="s">
        <v>215</v>
      </c>
      <c r="J637" s="214"/>
      <c r="K637" s="215"/>
      <c r="L637" s="37" t="s">
        <v>194</v>
      </c>
      <c r="M637" s="37" t="s">
        <v>194</v>
      </c>
      <c r="N637" s="37" t="s">
        <v>194</v>
      </c>
      <c r="O637" s="37" t="s">
        <v>194</v>
      </c>
      <c r="P637" s="37" t="s">
        <v>527</v>
      </c>
      <c r="Q637" s="37" t="s">
        <v>528</v>
      </c>
      <c r="R637" s="41">
        <v>46651.0</v>
      </c>
      <c r="S637" s="42">
        <v>0.0</v>
      </c>
      <c r="T637" s="44"/>
      <c r="U637" s="45" t="str">
        <f>IF(records[Type]="Room",records[roomNo],records[roomNo]&amp;"-"&amp;SUBSTITUTE(RIGHT(records[roomNo]&amp;records[Type],2),"-",""))</f>
        <v>12-1-056</v>
      </c>
      <c r="V637" s="47" t="str">
        <f t="array" ref="V637">_xlfn.XLOOKUP(records[ID], dAir[roomNo], dAir[roomName])</f>
        <v>AIRLOCK</v>
      </c>
      <c r="W637" s="47" t="str">
        <f t="array" ref="W637">_xlfn.XLOOKUP(records[ID], dAir[roomNo], dAir[building])</f>
        <v>Building 12</v>
      </c>
      <c r="X637" s="47" t="str">
        <f t="array" ref="X637">_xlfn.XLOOKUP(records[ID], dAir[roomNo], dAir[floor])</f>
        <v>Floor 1</v>
      </c>
      <c r="Y637" s="45" t="str">
        <f t="array" ref="Y637">_xlfn.XLOOKUP(records[ID], dAir[roomNo], dAir[Class])</f>
        <v>D</v>
      </c>
      <c r="Z637" s="45">
        <f t="array" ref="Z637">_xlfn.XLOOKUP(records[Method]&amp;"-"&amp;records[Class], dAirSpec[ID], dAirSpec[Spec])</f>
        <v>100</v>
      </c>
      <c r="AA637" s="45" t="str">
        <f t="array" ref="AA637">_xlfn.XLOOKUP(records[Method]&amp;"-"&amp;records[Class], dAirSpec[ID], dAirSpec[Unit])</f>
        <v>cfu/plate</v>
      </c>
      <c r="AB637" s="58">
        <f t="array" ref="AB637">if(S637="","", if(records[Method]="Active Air",_xlfn.xlookup(records[ColonyCount]&amp;records[AirSampler],feller[code],feller[Vc]),records[ColonyCount]))</f>
        <v>0</v>
      </c>
      <c r="AC637" s="60" t="b">
        <f t="shared" si="1"/>
        <v>1</v>
      </c>
      <c r="AD637" s="61" t="b">
        <v>0</v>
      </c>
      <c r="AE637" s="32" t="s">
        <v>235</v>
      </c>
      <c r="AF637" s="46"/>
      <c r="AG637" s="46"/>
      <c r="AH637" s="46"/>
      <c r="AI637" s="46"/>
      <c r="AJ637" s="46"/>
    </row>
    <row r="638" ht="22.5" customHeight="1">
      <c r="A638" s="27">
        <v>46246.0</v>
      </c>
      <c r="B638" s="34" t="str">
        <f t="array" ref="B638">TEXT(A638, "MM-YYYY")</f>
        <v>08-2026</v>
      </c>
      <c r="C638" s="39" t="s">
        <v>1374</v>
      </c>
      <c r="D638" s="36" t="s">
        <v>210</v>
      </c>
      <c r="E638" s="36" t="s">
        <v>213</v>
      </c>
      <c r="F638" s="37" t="s">
        <v>95</v>
      </c>
      <c r="G638" s="29" t="b">
        <v>1</v>
      </c>
      <c r="H638" s="36" t="s">
        <v>214</v>
      </c>
      <c r="I638" s="36" t="s">
        <v>215</v>
      </c>
      <c r="J638" s="214"/>
      <c r="K638" s="215"/>
      <c r="L638" s="37" t="s">
        <v>194</v>
      </c>
      <c r="M638" s="37" t="s">
        <v>194</v>
      </c>
      <c r="N638" s="37" t="s">
        <v>194</v>
      </c>
      <c r="O638" s="37" t="s">
        <v>194</v>
      </c>
      <c r="P638" s="37" t="s">
        <v>527</v>
      </c>
      <c r="Q638" s="37" t="s">
        <v>528</v>
      </c>
      <c r="R638" s="41">
        <v>46651.0</v>
      </c>
      <c r="S638" s="42">
        <v>0.0</v>
      </c>
      <c r="T638" s="44"/>
      <c r="U638" s="45" t="str">
        <f>IF(records[Type]="Room",records[roomNo],records[roomNo]&amp;"-"&amp;SUBSTITUTE(RIGHT(records[roomNo]&amp;records[Type],2),"-",""))</f>
        <v>12-1-057</v>
      </c>
      <c r="V638" s="47" t="str">
        <f t="array" ref="V638">_xlfn.XLOOKUP(records[ID], dAir[roomNo], dAir[roomName])</f>
        <v>IPQC</v>
      </c>
      <c r="W638" s="47" t="str">
        <f t="array" ref="W638">_xlfn.XLOOKUP(records[ID], dAir[roomNo], dAir[building])</f>
        <v>Building 12</v>
      </c>
      <c r="X638" s="47" t="str">
        <f t="array" ref="X638">_xlfn.XLOOKUP(records[ID], dAir[roomNo], dAir[floor])</f>
        <v>Floor 1</v>
      </c>
      <c r="Y638" s="45" t="str">
        <f t="array" ref="Y638">_xlfn.XLOOKUP(records[ID], dAir[roomNo], dAir[Class])</f>
        <v>D</v>
      </c>
      <c r="Z638" s="45">
        <f t="array" ref="Z638">_xlfn.XLOOKUP(records[Method]&amp;"-"&amp;records[Class], dAirSpec[ID], dAirSpec[Spec])</f>
        <v>100</v>
      </c>
      <c r="AA638" s="45" t="str">
        <f t="array" ref="AA638">_xlfn.XLOOKUP(records[Method]&amp;"-"&amp;records[Class], dAirSpec[ID], dAirSpec[Unit])</f>
        <v>cfu/plate</v>
      </c>
      <c r="AB638" s="58">
        <f t="array" ref="AB638">if(S638="","", if(records[Method]="Active Air",_xlfn.xlookup(records[ColonyCount]&amp;records[AirSampler],feller[code],feller[Vc]),records[ColonyCount]))</f>
        <v>0</v>
      </c>
      <c r="AC638" s="60" t="b">
        <f t="shared" si="1"/>
        <v>1</v>
      </c>
      <c r="AD638" s="61" t="b">
        <v>0</v>
      </c>
      <c r="AE638" s="32" t="s">
        <v>235</v>
      </c>
      <c r="AF638" s="46"/>
      <c r="AG638" s="46"/>
      <c r="AH638" s="46"/>
      <c r="AI638" s="46"/>
      <c r="AJ638" s="46"/>
    </row>
    <row r="639" ht="22.5" customHeight="1">
      <c r="A639" s="27">
        <v>46246.0</v>
      </c>
      <c r="B639" s="34" t="str">
        <f t="array" ref="B639">TEXT(A639, "MM-YYYY")</f>
        <v>08-2026</v>
      </c>
      <c r="C639" s="39" t="s">
        <v>1375</v>
      </c>
      <c r="D639" s="36" t="s">
        <v>210</v>
      </c>
      <c r="E639" s="36" t="s">
        <v>213</v>
      </c>
      <c r="F639" s="37" t="s">
        <v>95</v>
      </c>
      <c r="G639" s="29" t="b">
        <v>1</v>
      </c>
      <c r="H639" s="36" t="s">
        <v>214</v>
      </c>
      <c r="I639" s="36" t="s">
        <v>215</v>
      </c>
      <c r="J639" s="214"/>
      <c r="K639" s="215"/>
      <c r="L639" s="37" t="s">
        <v>194</v>
      </c>
      <c r="M639" s="37" t="s">
        <v>194</v>
      </c>
      <c r="N639" s="37" t="s">
        <v>194</v>
      </c>
      <c r="O639" s="37" t="s">
        <v>194</v>
      </c>
      <c r="P639" s="37" t="s">
        <v>527</v>
      </c>
      <c r="Q639" s="37" t="s">
        <v>528</v>
      </c>
      <c r="R639" s="41">
        <v>46651.0</v>
      </c>
      <c r="S639" s="42">
        <v>0.0</v>
      </c>
      <c r="T639" s="44"/>
      <c r="U639" s="45" t="str">
        <f>IF(records[Type]="Room",records[roomNo],records[roomNo]&amp;"-"&amp;SUBSTITUTE(RIGHT(records[roomNo]&amp;records[Type],2),"-",""))</f>
        <v>12-1-058</v>
      </c>
      <c r="V639" s="47" t="str">
        <f t="array" ref="V639">_xlfn.XLOOKUP(records[ID], dAir[roomNo], dAir[roomName])</f>
        <v>CHANGE PART STORAGE</v>
      </c>
      <c r="W639" s="47" t="str">
        <f t="array" ref="W639">_xlfn.XLOOKUP(records[ID], dAir[roomNo], dAir[building])</f>
        <v>Building 12</v>
      </c>
      <c r="X639" s="47" t="str">
        <f t="array" ref="X639">_xlfn.XLOOKUP(records[ID], dAir[roomNo], dAir[floor])</f>
        <v>Floor 1</v>
      </c>
      <c r="Y639" s="45" t="str">
        <f t="array" ref="Y639">_xlfn.XLOOKUP(records[ID], dAir[roomNo], dAir[Class])</f>
        <v>D</v>
      </c>
      <c r="Z639" s="45">
        <f t="array" ref="Z639">_xlfn.XLOOKUP(records[Method]&amp;"-"&amp;records[Class], dAirSpec[ID], dAirSpec[Spec])</f>
        <v>100</v>
      </c>
      <c r="AA639" s="45" t="str">
        <f t="array" ref="AA639">_xlfn.XLOOKUP(records[Method]&amp;"-"&amp;records[Class], dAirSpec[ID], dAirSpec[Unit])</f>
        <v>cfu/plate</v>
      </c>
      <c r="AB639" s="58">
        <f t="array" ref="AB639">if(S639="","", if(records[Method]="Active Air",_xlfn.xlookup(records[ColonyCount]&amp;records[AirSampler],feller[code],feller[Vc]),records[ColonyCount]))</f>
        <v>0</v>
      </c>
      <c r="AC639" s="60" t="b">
        <f t="shared" si="1"/>
        <v>1</v>
      </c>
      <c r="AD639" s="61" t="b">
        <v>0</v>
      </c>
      <c r="AE639" s="32" t="s">
        <v>235</v>
      </c>
      <c r="AF639" s="46"/>
      <c r="AG639" s="46"/>
      <c r="AH639" s="46"/>
      <c r="AI639" s="46"/>
      <c r="AJ639" s="46"/>
    </row>
    <row r="640" ht="22.5" customHeight="1">
      <c r="A640" s="27">
        <v>46246.0</v>
      </c>
      <c r="B640" s="34" t="str">
        <f t="array" ref="B640">TEXT(A640, "MM-YYYY")</f>
        <v>08-2026</v>
      </c>
      <c r="C640" s="39" t="s">
        <v>1377</v>
      </c>
      <c r="D640" s="36" t="s">
        <v>210</v>
      </c>
      <c r="E640" s="36" t="s">
        <v>213</v>
      </c>
      <c r="F640" s="37" t="s">
        <v>95</v>
      </c>
      <c r="G640" s="29" t="b">
        <v>1</v>
      </c>
      <c r="H640" s="36" t="s">
        <v>214</v>
      </c>
      <c r="I640" s="36" t="s">
        <v>215</v>
      </c>
      <c r="J640" s="214"/>
      <c r="K640" s="215"/>
      <c r="L640" s="37" t="s">
        <v>194</v>
      </c>
      <c r="M640" s="37" t="s">
        <v>194</v>
      </c>
      <c r="N640" s="37" t="s">
        <v>194</v>
      </c>
      <c r="O640" s="37" t="s">
        <v>194</v>
      </c>
      <c r="P640" s="37" t="s">
        <v>527</v>
      </c>
      <c r="Q640" s="37" t="s">
        <v>528</v>
      </c>
      <c r="R640" s="41">
        <v>46651.0</v>
      </c>
      <c r="S640" s="42">
        <v>3.0</v>
      </c>
      <c r="T640" s="44"/>
      <c r="U640" s="45" t="str">
        <f>IF(records[Type]="Room",records[roomNo],records[roomNo]&amp;"-"&amp;SUBSTITUTE(RIGHT(records[roomNo]&amp;records[Type],2),"-",""))</f>
        <v>12-1-059</v>
      </c>
      <c r="V640" s="47" t="str">
        <f t="array" ref="V640">_xlfn.XLOOKUP(records[ID], dAir[roomNo], dAir[roomName])</f>
        <v>AIRLOCK</v>
      </c>
      <c r="W640" s="47" t="str">
        <f t="array" ref="W640">_xlfn.XLOOKUP(records[ID], dAir[roomNo], dAir[building])</f>
        <v>Building 12</v>
      </c>
      <c r="X640" s="47" t="str">
        <f t="array" ref="X640">_xlfn.XLOOKUP(records[ID], dAir[roomNo], dAir[floor])</f>
        <v>Floor 1</v>
      </c>
      <c r="Y640" s="45" t="str">
        <f t="array" ref="Y640">_xlfn.XLOOKUP(records[ID], dAir[roomNo], dAir[Class])</f>
        <v>D</v>
      </c>
      <c r="Z640" s="45">
        <f t="array" ref="Z640">_xlfn.XLOOKUP(records[Method]&amp;"-"&amp;records[Class], dAirSpec[ID], dAirSpec[Spec])</f>
        <v>100</v>
      </c>
      <c r="AA640" s="45" t="str">
        <f t="array" ref="AA640">_xlfn.XLOOKUP(records[Method]&amp;"-"&amp;records[Class], dAirSpec[ID], dAirSpec[Unit])</f>
        <v>cfu/plate</v>
      </c>
      <c r="AB640" s="58">
        <f t="array" ref="AB640">if(S640="","", if(records[Method]="Active Air",_xlfn.xlookup(records[ColonyCount]&amp;records[AirSampler],feller[code],feller[Vc]),records[ColonyCount]))</f>
        <v>3</v>
      </c>
      <c r="AC640" s="60" t="b">
        <f t="shared" si="1"/>
        <v>1</v>
      </c>
      <c r="AD640" s="61" t="b">
        <v>0</v>
      </c>
      <c r="AE640" s="32" t="s">
        <v>235</v>
      </c>
      <c r="AF640" s="46"/>
      <c r="AG640" s="46"/>
      <c r="AH640" s="46"/>
      <c r="AI640" s="46"/>
      <c r="AJ640" s="46"/>
    </row>
    <row r="641" ht="22.5" customHeight="1">
      <c r="A641" s="27">
        <v>46246.0</v>
      </c>
      <c r="B641" s="34" t="str">
        <f t="array" ref="B641">TEXT(A641, "MM-YYYY")</f>
        <v>08-2026</v>
      </c>
      <c r="C641" s="39" t="s">
        <v>1378</v>
      </c>
      <c r="D641" s="36" t="s">
        <v>210</v>
      </c>
      <c r="E641" s="36" t="s">
        <v>213</v>
      </c>
      <c r="F641" s="37" t="s">
        <v>95</v>
      </c>
      <c r="G641" s="29" t="b">
        <v>1</v>
      </c>
      <c r="H641" s="36" t="s">
        <v>214</v>
      </c>
      <c r="I641" s="36" t="s">
        <v>215</v>
      </c>
      <c r="J641" s="214"/>
      <c r="K641" s="215"/>
      <c r="L641" s="37" t="s">
        <v>194</v>
      </c>
      <c r="M641" s="37" t="s">
        <v>194</v>
      </c>
      <c r="N641" s="37" t="s">
        <v>194</v>
      </c>
      <c r="O641" s="37" t="s">
        <v>194</v>
      </c>
      <c r="P641" s="37" t="s">
        <v>527</v>
      </c>
      <c r="Q641" s="37" t="s">
        <v>528</v>
      </c>
      <c r="R641" s="41">
        <v>46651.0</v>
      </c>
      <c r="S641" s="42">
        <v>0.0</v>
      </c>
      <c r="T641" s="44"/>
      <c r="U641" s="45" t="str">
        <f>IF(records[Type]="Room",records[roomNo],records[roomNo]&amp;"-"&amp;SUBSTITUTE(RIGHT(records[roomNo]&amp;records[Type],2),"-",""))</f>
        <v>12-1-060</v>
      </c>
      <c r="V641" s="47" t="str">
        <f t="array" ref="V641">_xlfn.XLOOKUP(records[ID], dAir[roomNo], dAir[roomName])</f>
        <v>CORRIDOR</v>
      </c>
      <c r="W641" s="47" t="str">
        <f t="array" ref="W641">_xlfn.XLOOKUP(records[ID], dAir[roomNo], dAir[building])</f>
        <v>Building 12</v>
      </c>
      <c r="X641" s="47" t="str">
        <f t="array" ref="X641">_xlfn.XLOOKUP(records[ID], dAir[roomNo], dAir[floor])</f>
        <v>Floor 1</v>
      </c>
      <c r="Y641" s="45" t="str">
        <f t="array" ref="Y641">_xlfn.XLOOKUP(records[ID], dAir[roomNo], dAir[Class])</f>
        <v>D</v>
      </c>
      <c r="Z641" s="45">
        <f t="array" ref="Z641">_xlfn.XLOOKUP(records[Method]&amp;"-"&amp;records[Class], dAirSpec[ID], dAirSpec[Spec])</f>
        <v>100</v>
      </c>
      <c r="AA641" s="45" t="str">
        <f t="array" ref="AA641">_xlfn.XLOOKUP(records[Method]&amp;"-"&amp;records[Class], dAirSpec[ID], dAirSpec[Unit])</f>
        <v>cfu/plate</v>
      </c>
      <c r="AB641" s="58">
        <f t="array" ref="AB641">if(S641="","", if(records[Method]="Active Air",_xlfn.xlookup(records[ColonyCount]&amp;records[AirSampler],feller[code],feller[Vc]),records[ColonyCount]))</f>
        <v>0</v>
      </c>
      <c r="AC641" s="60" t="b">
        <f t="shared" si="1"/>
        <v>1</v>
      </c>
      <c r="AD641" s="61" t="b">
        <v>0</v>
      </c>
      <c r="AE641" s="32" t="s">
        <v>235</v>
      </c>
      <c r="AF641" s="46"/>
      <c r="AG641" s="46"/>
      <c r="AH641" s="46"/>
      <c r="AI641" s="46"/>
      <c r="AJ641" s="46"/>
    </row>
    <row r="642" ht="22.5" customHeight="1">
      <c r="A642" s="27">
        <v>46246.0</v>
      </c>
      <c r="B642" s="34" t="str">
        <f t="array" ref="B642">TEXT(A642, "MM-YYYY")</f>
        <v>08-2026</v>
      </c>
      <c r="C642" s="39" t="s">
        <v>1379</v>
      </c>
      <c r="D642" s="36" t="s">
        <v>210</v>
      </c>
      <c r="E642" s="36" t="s">
        <v>213</v>
      </c>
      <c r="F642" s="37" t="s">
        <v>95</v>
      </c>
      <c r="G642" s="29" t="b">
        <v>1</v>
      </c>
      <c r="H642" s="36" t="s">
        <v>214</v>
      </c>
      <c r="I642" s="36" t="s">
        <v>215</v>
      </c>
      <c r="J642" s="214"/>
      <c r="K642" s="215"/>
      <c r="L642" s="37" t="s">
        <v>194</v>
      </c>
      <c r="M642" s="37" t="s">
        <v>194</v>
      </c>
      <c r="N642" s="37" t="s">
        <v>194</v>
      </c>
      <c r="O642" s="37" t="s">
        <v>194</v>
      </c>
      <c r="P642" s="37" t="s">
        <v>527</v>
      </c>
      <c r="Q642" s="37" t="s">
        <v>528</v>
      </c>
      <c r="R642" s="41">
        <v>46651.0</v>
      </c>
      <c r="S642" s="42">
        <v>0.0</v>
      </c>
      <c r="T642" s="44"/>
      <c r="U642" s="45" t="str">
        <f>IF(records[Type]="Room",records[roomNo],records[roomNo]&amp;"-"&amp;SUBSTITUTE(RIGHT(records[roomNo]&amp;records[Type],2),"-",""))</f>
        <v>12-1-061</v>
      </c>
      <c r="V642" s="47" t="str">
        <f t="array" ref="V642">_xlfn.XLOOKUP(records[ID], dAir[roomNo], dAir[roomName])</f>
        <v>JANITOR</v>
      </c>
      <c r="W642" s="47" t="str">
        <f t="array" ref="W642">_xlfn.XLOOKUP(records[ID], dAir[roomNo], dAir[building])</f>
        <v>Building 12</v>
      </c>
      <c r="X642" s="47" t="str">
        <f t="array" ref="X642">_xlfn.XLOOKUP(records[ID], dAir[roomNo], dAir[floor])</f>
        <v>Floor 1</v>
      </c>
      <c r="Y642" s="45" t="str">
        <f t="array" ref="Y642">_xlfn.XLOOKUP(records[ID], dAir[roomNo], dAir[Class])</f>
        <v>D</v>
      </c>
      <c r="Z642" s="45">
        <f t="array" ref="Z642">_xlfn.XLOOKUP(records[Method]&amp;"-"&amp;records[Class], dAirSpec[ID], dAirSpec[Spec])</f>
        <v>100</v>
      </c>
      <c r="AA642" s="45" t="str">
        <f t="array" ref="AA642">_xlfn.XLOOKUP(records[Method]&amp;"-"&amp;records[Class], dAirSpec[ID], dAirSpec[Unit])</f>
        <v>cfu/plate</v>
      </c>
      <c r="AB642" s="58">
        <f t="array" ref="AB642">if(S642="","", if(records[Method]="Active Air",_xlfn.xlookup(records[ColonyCount]&amp;records[AirSampler],feller[code],feller[Vc]),records[ColonyCount]))</f>
        <v>0</v>
      </c>
      <c r="AC642" s="60" t="b">
        <f t="shared" si="1"/>
        <v>1</v>
      </c>
      <c r="AD642" s="61" t="b">
        <v>0</v>
      </c>
      <c r="AE642" s="32" t="s">
        <v>235</v>
      </c>
      <c r="AF642" s="46"/>
      <c r="AG642" s="46"/>
      <c r="AH642" s="46"/>
      <c r="AI642" s="46"/>
      <c r="AJ642" s="46"/>
    </row>
    <row r="643" ht="22.5" customHeight="1">
      <c r="A643" s="27">
        <v>46246.0</v>
      </c>
      <c r="B643" s="34" t="str">
        <f t="array" ref="B643">TEXT(A643, "MM-YYYY")</f>
        <v>08-2026</v>
      </c>
      <c r="C643" s="39" t="s">
        <v>1383</v>
      </c>
      <c r="D643" s="36" t="s">
        <v>210</v>
      </c>
      <c r="E643" s="36" t="s">
        <v>213</v>
      </c>
      <c r="F643" s="37" t="s">
        <v>95</v>
      </c>
      <c r="G643" s="29" t="b">
        <v>1</v>
      </c>
      <c r="H643" s="36" t="s">
        <v>214</v>
      </c>
      <c r="I643" s="36" t="s">
        <v>215</v>
      </c>
      <c r="J643" s="214"/>
      <c r="K643" s="215"/>
      <c r="L643" s="37" t="s">
        <v>194</v>
      </c>
      <c r="M643" s="37" t="s">
        <v>194</v>
      </c>
      <c r="N643" s="37" t="s">
        <v>194</v>
      </c>
      <c r="O643" s="37" t="s">
        <v>194</v>
      </c>
      <c r="P643" s="37" t="s">
        <v>527</v>
      </c>
      <c r="Q643" s="37" t="s">
        <v>528</v>
      </c>
      <c r="R643" s="41">
        <v>46651.0</v>
      </c>
      <c r="S643" s="42">
        <v>0.0</v>
      </c>
      <c r="T643" s="44"/>
      <c r="U643" s="45" t="str">
        <f>IF(records[Type]="Room",records[roomNo],records[roomNo]&amp;"-"&amp;SUBSTITUTE(RIGHT(records[roomNo]&amp;records[Type],2),"-",""))</f>
        <v>12-1-062</v>
      </c>
      <c r="V643" s="47" t="str">
        <f t="array" ref="V643">_xlfn.XLOOKUP(records[ID], dAir[roomNo], dAir[roomName])</f>
        <v>CLEANED EQUIPMENT</v>
      </c>
      <c r="W643" s="47" t="str">
        <f t="array" ref="W643">_xlfn.XLOOKUP(records[ID], dAir[roomNo], dAir[building])</f>
        <v>Building 12</v>
      </c>
      <c r="X643" s="47" t="str">
        <f t="array" ref="X643">_xlfn.XLOOKUP(records[ID], dAir[roomNo], dAir[floor])</f>
        <v>Floor 1</v>
      </c>
      <c r="Y643" s="45" t="str">
        <f t="array" ref="Y643">_xlfn.XLOOKUP(records[ID], dAir[roomNo], dAir[Class])</f>
        <v>D</v>
      </c>
      <c r="Z643" s="45">
        <f t="array" ref="Z643">_xlfn.XLOOKUP(records[Method]&amp;"-"&amp;records[Class], dAirSpec[ID], dAirSpec[Spec])</f>
        <v>100</v>
      </c>
      <c r="AA643" s="45" t="str">
        <f t="array" ref="AA643">_xlfn.XLOOKUP(records[Method]&amp;"-"&amp;records[Class], dAirSpec[ID], dAirSpec[Unit])</f>
        <v>cfu/plate</v>
      </c>
      <c r="AB643" s="58">
        <f t="array" ref="AB643">if(S643="","", if(records[Method]="Active Air",_xlfn.xlookup(records[ColonyCount]&amp;records[AirSampler],feller[code],feller[Vc]),records[ColonyCount]))</f>
        <v>0</v>
      </c>
      <c r="AC643" s="60" t="b">
        <f t="shared" si="1"/>
        <v>1</v>
      </c>
      <c r="AD643" s="61" t="b">
        <v>0</v>
      </c>
      <c r="AE643" s="32" t="s">
        <v>235</v>
      </c>
      <c r="AF643" s="46"/>
      <c r="AG643" s="46"/>
      <c r="AH643" s="46"/>
      <c r="AI643" s="46"/>
      <c r="AJ643" s="46"/>
    </row>
    <row r="644" ht="22.5" customHeight="1">
      <c r="A644" s="27">
        <v>46246.0</v>
      </c>
      <c r="B644" s="34" t="str">
        <f t="array" ref="B644">TEXT(A644, "MM-YYYY")</f>
        <v>08-2026</v>
      </c>
      <c r="C644" s="39" t="s">
        <v>779</v>
      </c>
      <c r="D644" s="36" t="s">
        <v>210</v>
      </c>
      <c r="E644" s="36" t="s">
        <v>213</v>
      </c>
      <c r="F644" s="37" t="s">
        <v>95</v>
      </c>
      <c r="G644" s="29" t="b">
        <v>1</v>
      </c>
      <c r="H644" s="36" t="s">
        <v>214</v>
      </c>
      <c r="I644" s="36" t="s">
        <v>215</v>
      </c>
      <c r="J644" s="214"/>
      <c r="K644" s="215"/>
      <c r="L644" s="37" t="s">
        <v>194</v>
      </c>
      <c r="M644" s="37" t="s">
        <v>194</v>
      </c>
      <c r="N644" s="37" t="s">
        <v>194</v>
      </c>
      <c r="O644" s="37" t="s">
        <v>194</v>
      </c>
      <c r="P644" s="37" t="s">
        <v>527</v>
      </c>
      <c r="Q644" s="37" t="s">
        <v>528</v>
      </c>
      <c r="R644" s="41">
        <v>46651.0</v>
      </c>
      <c r="S644" s="42">
        <v>0.0</v>
      </c>
      <c r="T644" s="44"/>
      <c r="U644" s="45" t="str">
        <f>IF(records[Type]="Room",records[roomNo],records[roomNo]&amp;"-"&amp;SUBSTITUTE(RIGHT(records[roomNo]&amp;records[Type],2),"-",""))</f>
        <v>12-1-063</v>
      </c>
      <c r="V644" s="47" t="str">
        <f t="array" ref="V644">_xlfn.XLOOKUP(records[ID], dAir[roomNo], dAir[roomName])</f>
        <v>DRYING</v>
      </c>
      <c r="W644" s="47" t="str">
        <f t="array" ref="W644">_xlfn.XLOOKUP(records[ID], dAir[roomNo], dAir[building])</f>
        <v>Building 12</v>
      </c>
      <c r="X644" s="47" t="str">
        <f t="array" ref="X644">_xlfn.XLOOKUP(records[ID], dAir[roomNo], dAir[floor])</f>
        <v>Floor 1</v>
      </c>
      <c r="Y644" s="45" t="str">
        <f t="array" ref="Y644">_xlfn.XLOOKUP(records[ID], dAir[roomNo], dAir[Class])</f>
        <v>D</v>
      </c>
      <c r="Z644" s="45">
        <f t="array" ref="Z644">_xlfn.XLOOKUP(records[Method]&amp;"-"&amp;records[Class], dAirSpec[ID], dAirSpec[Spec])</f>
        <v>100</v>
      </c>
      <c r="AA644" s="45" t="str">
        <f t="array" ref="AA644">_xlfn.XLOOKUP(records[Method]&amp;"-"&amp;records[Class], dAirSpec[ID], dAirSpec[Unit])</f>
        <v>cfu/plate</v>
      </c>
      <c r="AB644" s="58">
        <f t="array" ref="AB644">if(S644="","", if(records[Method]="Active Air",_xlfn.xlookup(records[ColonyCount]&amp;records[AirSampler],feller[code],feller[Vc]),records[ColonyCount]))</f>
        <v>0</v>
      </c>
      <c r="AC644" s="60" t="b">
        <f t="shared" si="1"/>
        <v>1</v>
      </c>
      <c r="AD644" s="61" t="b">
        <v>0</v>
      </c>
      <c r="AE644" s="32" t="s">
        <v>235</v>
      </c>
      <c r="AF644" s="46"/>
      <c r="AG644" s="46"/>
      <c r="AH644" s="46"/>
      <c r="AI644" s="46"/>
      <c r="AJ644" s="46"/>
    </row>
    <row r="645" ht="22.5" customHeight="1">
      <c r="A645" s="27">
        <v>46246.0</v>
      </c>
      <c r="B645" s="34" t="str">
        <f t="array" ref="B645">TEXT(A645, "MM-YYYY")</f>
        <v>08-2026</v>
      </c>
      <c r="C645" s="39" t="s">
        <v>789</v>
      </c>
      <c r="D645" s="36" t="s">
        <v>210</v>
      </c>
      <c r="E645" s="36" t="s">
        <v>213</v>
      </c>
      <c r="F645" s="37" t="s">
        <v>95</v>
      </c>
      <c r="G645" s="29" t="b">
        <v>1</v>
      </c>
      <c r="H645" s="36" t="s">
        <v>214</v>
      </c>
      <c r="I645" s="36" t="s">
        <v>215</v>
      </c>
      <c r="J645" s="214"/>
      <c r="K645" s="215"/>
      <c r="L645" s="37" t="s">
        <v>194</v>
      </c>
      <c r="M645" s="37" t="s">
        <v>194</v>
      </c>
      <c r="N645" s="37" t="s">
        <v>194</v>
      </c>
      <c r="O645" s="37" t="s">
        <v>194</v>
      </c>
      <c r="P645" s="37" t="s">
        <v>527</v>
      </c>
      <c r="Q645" s="37" t="s">
        <v>528</v>
      </c>
      <c r="R645" s="41">
        <v>46651.0</v>
      </c>
      <c r="S645" s="42">
        <v>0.0</v>
      </c>
      <c r="T645" s="44"/>
      <c r="U645" s="45" t="str">
        <f>IF(records[Type]="Room",records[roomNo],records[roomNo]&amp;"-"&amp;SUBSTITUTE(RIGHT(records[roomNo]&amp;records[Type],2),"-",""))</f>
        <v>12-1-064</v>
      </c>
      <c r="V645" s="47" t="str">
        <f t="array" ref="V645">_xlfn.XLOOKUP(records[ID], dAir[roomNo], dAir[roomName])</f>
        <v>WASHING</v>
      </c>
      <c r="W645" s="47" t="str">
        <f t="array" ref="W645">_xlfn.XLOOKUP(records[ID], dAir[roomNo], dAir[building])</f>
        <v>Building 12</v>
      </c>
      <c r="X645" s="47" t="str">
        <f t="array" ref="X645">_xlfn.XLOOKUP(records[ID], dAir[roomNo], dAir[floor])</f>
        <v>Floor 1</v>
      </c>
      <c r="Y645" s="45" t="str">
        <f t="array" ref="Y645">_xlfn.XLOOKUP(records[ID], dAir[roomNo], dAir[Class])</f>
        <v>D</v>
      </c>
      <c r="Z645" s="45">
        <f t="array" ref="Z645">_xlfn.XLOOKUP(records[Method]&amp;"-"&amp;records[Class], dAirSpec[ID], dAirSpec[Spec])</f>
        <v>100</v>
      </c>
      <c r="AA645" s="45" t="str">
        <f t="array" ref="AA645">_xlfn.XLOOKUP(records[Method]&amp;"-"&amp;records[Class], dAirSpec[ID], dAirSpec[Unit])</f>
        <v>cfu/plate</v>
      </c>
      <c r="AB645" s="58">
        <f t="array" ref="AB645">if(S645="","", if(records[Method]="Active Air",_xlfn.xlookup(records[ColonyCount]&amp;records[AirSampler],feller[code],feller[Vc]),records[ColonyCount]))</f>
        <v>0</v>
      </c>
      <c r="AC645" s="60" t="b">
        <f t="shared" si="1"/>
        <v>1</v>
      </c>
      <c r="AD645" s="61" t="b">
        <v>0</v>
      </c>
      <c r="AE645" s="32" t="s">
        <v>235</v>
      </c>
      <c r="AF645" s="46"/>
      <c r="AG645" s="46"/>
      <c r="AH645" s="46"/>
      <c r="AI645" s="46"/>
      <c r="AJ645" s="46"/>
    </row>
    <row r="646" ht="22.5" customHeight="1">
      <c r="A646" s="27">
        <v>46246.0</v>
      </c>
      <c r="B646" s="34" t="str">
        <f t="array" ref="B646">TEXT(A646, "MM-YYYY")</f>
        <v>08-2026</v>
      </c>
      <c r="C646" s="32" t="s">
        <v>796</v>
      </c>
      <c r="D646" s="36" t="s">
        <v>210</v>
      </c>
      <c r="E646" s="36" t="s">
        <v>213</v>
      </c>
      <c r="F646" s="37" t="s">
        <v>95</v>
      </c>
      <c r="G646" s="29" t="b">
        <v>1</v>
      </c>
      <c r="H646" s="36" t="s">
        <v>214</v>
      </c>
      <c r="I646" s="36" t="s">
        <v>215</v>
      </c>
      <c r="J646" s="214"/>
      <c r="K646" s="215"/>
      <c r="L646" s="37" t="s">
        <v>194</v>
      </c>
      <c r="M646" s="37" t="s">
        <v>194</v>
      </c>
      <c r="N646" s="37" t="s">
        <v>194</v>
      </c>
      <c r="O646" s="37" t="s">
        <v>194</v>
      </c>
      <c r="P646" s="37" t="s">
        <v>527</v>
      </c>
      <c r="Q646" s="37" t="s">
        <v>528</v>
      </c>
      <c r="R646" s="41">
        <v>46651.0</v>
      </c>
      <c r="S646" s="42">
        <v>0.0</v>
      </c>
      <c r="T646" s="44"/>
      <c r="U646" s="45" t="str">
        <f>IF(records[Type]="Room",records[roomNo],records[roomNo]&amp;"-"&amp;SUBSTITUTE(RIGHT(records[roomNo]&amp;records[Type],2),"-",""))</f>
        <v>12-1-065</v>
      </c>
      <c r="V646" s="47" t="str">
        <f t="array" ref="V646">_xlfn.XLOOKUP(records[ID], dAir[roomNo], dAir[roomName])</f>
        <v>BOTTLE CLEANING 1</v>
      </c>
      <c r="W646" s="47" t="str">
        <f t="array" ref="W646">_xlfn.XLOOKUP(records[ID], dAir[roomNo], dAir[building])</f>
        <v>Building 12</v>
      </c>
      <c r="X646" s="47" t="str">
        <f t="array" ref="X646">_xlfn.XLOOKUP(records[ID], dAir[roomNo], dAir[floor])</f>
        <v>Floor 1</v>
      </c>
      <c r="Y646" s="45" t="str">
        <f t="array" ref="Y646">_xlfn.XLOOKUP(records[ID], dAir[roomNo], dAir[Class])</f>
        <v>D</v>
      </c>
      <c r="Z646" s="45">
        <f t="array" ref="Z646">_xlfn.XLOOKUP(records[Method]&amp;"-"&amp;records[Class], dAirSpec[ID], dAirSpec[Spec])</f>
        <v>100</v>
      </c>
      <c r="AA646" s="45" t="str">
        <f t="array" ref="AA646">_xlfn.XLOOKUP(records[Method]&amp;"-"&amp;records[Class], dAirSpec[ID], dAirSpec[Unit])</f>
        <v>cfu/plate</v>
      </c>
      <c r="AB646" s="58">
        <f t="array" ref="AB646">if(S646="","", if(records[Method]="Active Air",_xlfn.xlookup(records[ColonyCount]&amp;records[AirSampler],feller[code],feller[Vc]),records[ColonyCount]))</f>
        <v>0</v>
      </c>
      <c r="AC646" s="60" t="b">
        <f t="shared" si="1"/>
        <v>1</v>
      </c>
      <c r="AD646" s="61" t="b">
        <v>0</v>
      </c>
      <c r="AE646" s="32" t="s">
        <v>235</v>
      </c>
      <c r="AF646" s="46"/>
      <c r="AG646" s="46"/>
      <c r="AH646" s="46"/>
      <c r="AI646" s="46"/>
      <c r="AJ646" s="46"/>
    </row>
    <row r="647" ht="22.5" customHeight="1">
      <c r="A647" s="27">
        <v>46246.0</v>
      </c>
      <c r="B647" s="34" t="str">
        <f t="array" ref="B647">TEXT(A647, "MM-YYYY")</f>
        <v>08-2026</v>
      </c>
      <c r="C647" s="32" t="s">
        <v>1385</v>
      </c>
      <c r="D647" s="36" t="s">
        <v>210</v>
      </c>
      <c r="E647" s="36" t="s">
        <v>213</v>
      </c>
      <c r="F647" s="37" t="s">
        <v>95</v>
      </c>
      <c r="G647" s="29" t="b">
        <v>1</v>
      </c>
      <c r="H647" s="36" t="s">
        <v>214</v>
      </c>
      <c r="I647" s="36" t="s">
        <v>215</v>
      </c>
      <c r="J647" s="214"/>
      <c r="K647" s="215"/>
      <c r="L647" s="37" t="s">
        <v>194</v>
      </c>
      <c r="M647" s="37" t="s">
        <v>194</v>
      </c>
      <c r="N647" s="37" t="s">
        <v>194</v>
      </c>
      <c r="O647" s="37" t="s">
        <v>194</v>
      </c>
      <c r="P647" s="37" t="s">
        <v>527</v>
      </c>
      <c r="Q647" s="37" t="s">
        <v>528</v>
      </c>
      <c r="R647" s="41">
        <v>46651.0</v>
      </c>
      <c r="S647" s="42">
        <v>0.0</v>
      </c>
      <c r="T647" s="44"/>
      <c r="U647" s="45" t="str">
        <f>IF(records[Type]="Room",records[roomNo],records[roomNo]&amp;"-"&amp;SUBSTITUTE(RIGHT(records[roomNo]&amp;records[Type],2),"-",""))</f>
        <v>12-1-066</v>
      </c>
      <c r="V647" s="47" t="str">
        <f t="array" ref="V647">_xlfn.XLOOKUP(records[ID], dAir[roomNo], dAir[roomName])</f>
        <v>CORRIDOR</v>
      </c>
      <c r="W647" s="47" t="str">
        <f t="array" ref="W647">_xlfn.XLOOKUP(records[ID], dAir[roomNo], dAir[building])</f>
        <v>Building 12</v>
      </c>
      <c r="X647" s="47" t="str">
        <f t="array" ref="X647">_xlfn.XLOOKUP(records[ID], dAir[roomNo], dAir[floor])</f>
        <v>Floor 1</v>
      </c>
      <c r="Y647" s="45" t="str">
        <f t="array" ref="Y647">_xlfn.XLOOKUP(records[ID], dAir[roomNo], dAir[Class])</f>
        <v>D</v>
      </c>
      <c r="Z647" s="45">
        <f t="array" ref="Z647">_xlfn.XLOOKUP(records[Method]&amp;"-"&amp;records[Class], dAirSpec[ID], dAirSpec[Spec])</f>
        <v>100</v>
      </c>
      <c r="AA647" s="45" t="str">
        <f t="array" ref="AA647">_xlfn.XLOOKUP(records[Method]&amp;"-"&amp;records[Class], dAirSpec[ID], dAirSpec[Unit])</f>
        <v>cfu/plate</v>
      </c>
      <c r="AB647" s="58">
        <f t="array" ref="AB647">if(S647="","", if(records[Method]="Active Air",_xlfn.xlookup(records[ColonyCount]&amp;records[AirSampler],feller[code],feller[Vc]),records[ColonyCount]))</f>
        <v>0</v>
      </c>
      <c r="AC647" s="60" t="b">
        <f t="shared" si="1"/>
        <v>1</v>
      </c>
      <c r="AD647" s="61" t="b">
        <v>0</v>
      </c>
      <c r="AE647" s="32" t="s">
        <v>235</v>
      </c>
      <c r="AF647" s="46"/>
      <c r="AG647" s="46"/>
      <c r="AH647" s="46"/>
      <c r="AI647" s="46"/>
      <c r="AJ647" s="46"/>
    </row>
    <row r="648" ht="22.5" customHeight="1">
      <c r="A648" s="27">
        <v>46246.0</v>
      </c>
      <c r="B648" s="34" t="str">
        <f t="array" ref="B648">TEXT(A648, "MM-YYYY")</f>
        <v>08-2026</v>
      </c>
      <c r="C648" s="32" t="s">
        <v>1386</v>
      </c>
      <c r="D648" s="36" t="s">
        <v>210</v>
      </c>
      <c r="E648" s="36" t="s">
        <v>213</v>
      </c>
      <c r="F648" s="37" t="s">
        <v>95</v>
      </c>
      <c r="G648" s="29" t="b">
        <v>1</v>
      </c>
      <c r="H648" s="36" t="s">
        <v>214</v>
      </c>
      <c r="I648" s="36" t="s">
        <v>215</v>
      </c>
      <c r="J648" s="214"/>
      <c r="K648" s="215"/>
      <c r="L648" s="37" t="s">
        <v>194</v>
      </c>
      <c r="M648" s="37" t="s">
        <v>194</v>
      </c>
      <c r="N648" s="37" t="s">
        <v>194</v>
      </c>
      <c r="O648" s="37" t="s">
        <v>194</v>
      </c>
      <c r="P648" s="37" t="s">
        <v>527</v>
      </c>
      <c r="Q648" s="37" t="s">
        <v>528</v>
      </c>
      <c r="R648" s="41">
        <v>46651.0</v>
      </c>
      <c r="S648" s="42">
        <v>1.0</v>
      </c>
      <c r="T648" s="44"/>
      <c r="U648" s="45" t="str">
        <f>IF(records[Type]="Room",records[roomNo],records[roomNo]&amp;"-"&amp;SUBSTITUTE(RIGHT(records[roomNo]&amp;records[Type],2),"-",""))</f>
        <v>12-1-067</v>
      </c>
      <c r="V648" s="47" t="str">
        <f t="array" ref="V648">_xlfn.XLOOKUP(records[ID], dAir[roomNo], dAir[roomName])</f>
        <v>FILLING LINE 1</v>
      </c>
      <c r="W648" s="47" t="str">
        <f t="array" ref="W648">_xlfn.XLOOKUP(records[ID], dAir[roomNo], dAir[building])</f>
        <v>Building 12</v>
      </c>
      <c r="X648" s="47" t="str">
        <f t="array" ref="X648">_xlfn.XLOOKUP(records[ID], dAir[roomNo], dAir[floor])</f>
        <v>Floor 1</v>
      </c>
      <c r="Y648" s="45" t="str">
        <f t="array" ref="Y648">_xlfn.XLOOKUP(records[ID], dAir[roomNo], dAir[Class])</f>
        <v>D</v>
      </c>
      <c r="Z648" s="45">
        <f t="array" ref="Z648">_xlfn.XLOOKUP(records[Method]&amp;"-"&amp;records[Class], dAirSpec[ID], dAirSpec[Spec])</f>
        <v>100</v>
      </c>
      <c r="AA648" s="45" t="str">
        <f t="array" ref="AA648">_xlfn.XLOOKUP(records[Method]&amp;"-"&amp;records[Class], dAirSpec[ID], dAirSpec[Unit])</f>
        <v>cfu/plate</v>
      </c>
      <c r="AB648" s="58">
        <f t="array" ref="AB648">if(S648="","", if(records[Method]="Active Air",_xlfn.xlookup(records[ColonyCount]&amp;records[AirSampler],feller[code],feller[Vc]),records[ColonyCount]))</f>
        <v>1</v>
      </c>
      <c r="AC648" s="60" t="b">
        <f t="shared" si="1"/>
        <v>1</v>
      </c>
      <c r="AD648" s="61" t="b">
        <v>0</v>
      </c>
      <c r="AE648" s="32" t="s">
        <v>235</v>
      </c>
      <c r="AF648" s="46"/>
      <c r="AG648" s="46"/>
      <c r="AH648" s="46"/>
      <c r="AI648" s="46"/>
      <c r="AJ648" s="46"/>
    </row>
    <row r="649" ht="22.5" customHeight="1">
      <c r="A649" s="27">
        <v>46246.0</v>
      </c>
      <c r="B649" s="34" t="str">
        <f t="array" ref="B649">TEXT(A649, "MM-YYYY")</f>
        <v>08-2026</v>
      </c>
      <c r="C649" s="32" t="s">
        <v>1388</v>
      </c>
      <c r="D649" s="36" t="s">
        <v>210</v>
      </c>
      <c r="E649" s="36" t="s">
        <v>213</v>
      </c>
      <c r="F649" s="37" t="s">
        <v>95</v>
      </c>
      <c r="G649" s="29" t="b">
        <v>1</v>
      </c>
      <c r="H649" s="36" t="s">
        <v>214</v>
      </c>
      <c r="I649" s="36" t="s">
        <v>215</v>
      </c>
      <c r="J649" s="214"/>
      <c r="K649" s="215"/>
      <c r="L649" s="37" t="s">
        <v>194</v>
      </c>
      <c r="M649" s="37" t="s">
        <v>194</v>
      </c>
      <c r="N649" s="37" t="s">
        <v>194</v>
      </c>
      <c r="O649" s="37" t="s">
        <v>194</v>
      </c>
      <c r="P649" s="37" t="s">
        <v>527</v>
      </c>
      <c r="Q649" s="37" t="s">
        <v>528</v>
      </c>
      <c r="R649" s="41">
        <v>46651.0</v>
      </c>
      <c r="S649" s="42">
        <v>0.0</v>
      </c>
      <c r="T649" s="44"/>
      <c r="U649" s="45" t="str">
        <f>IF(records[Type]="Room",records[roomNo],records[roomNo]&amp;"-"&amp;SUBSTITUTE(RIGHT(records[roomNo]&amp;records[Type],2),"-",""))</f>
        <v>12-1-068</v>
      </c>
      <c r="V649" s="47" t="str">
        <f t="array" ref="V649">_xlfn.XLOOKUP(records[ID], dAir[roomNo], dAir[roomName])</f>
        <v>FILLING LINE 2</v>
      </c>
      <c r="W649" s="47" t="str">
        <f t="array" ref="W649">_xlfn.XLOOKUP(records[ID], dAir[roomNo], dAir[building])</f>
        <v>Building 12</v>
      </c>
      <c r="X649" s="47" t="str">
        <f t="array" ref="X649">_xlfn.XLOOKUP(records[ID], dAir[roomNo], dAir[floor])</f>
        <v>Floor 1</v>
      </c>
      <c r="Y649" s="45" t="str">
        <f t="array" ref="Y649">_xlfn.XLOOKUP(records[ID], dAir[roomNo], dAir[Class])</f>
        <v>D</v>
      </c>
      <c r="Z649" s="45">
        <f t="array" ref="Z649">_xlfn.XLOOKUP(records[Method]&amp;"-"&amp;records[Class], dAirSpec[ID], dAirSpec[Spec])</f>
        <v>100</v>
      </c>
      <c r="AA649" s="45" t="str">
        <f t="array" ref="AA649">_xlfn.XLOOKUP(records[Method]&amp;"-"&amp;records[Class], dAirSpec[ID], dAirSpec[Unit])</f>
        <v>cfu/plate</v>
      </c>
      <c r="AB649" s="58">
        <f t="array" ref="AB649">if(S649="","", if(records[Method]="Active Air",_xlfn.xlookup(records[ColonyCount]&amp;records[AirSampler],feller[code],feller[Vc]),records[ColonyCount]))</f>
        <v>0</v>
      </c>
      <c r="AC649" s="60" t="b">
        <f t="shared" si="1"/>
        <v>1</v>
      </c>
      <c r="AD649" s="61" t="b">
        <v>0</v>
      </c>
      <c r="AE649" s="32" t="s">
        <v>235</v>
      </c>
      <c r="AF649" s="46"/>
      <c r="AG649" s="46"/>
      <c r="AH649" s="46"/>
      <c r="AI649" s="46"/>
      <c r="AJ649" s="46"/>
    </row>
    <row r="650" ht="22.5" customHeight="1">
      <c r="A650" s="27">
        <v>46246.0</v>
      </c>
      <c r="B650" s="34" t="str">
        <f t="array" ref="B650">TEXT(A650, "MM-YYYY")</f>
        <v>08-2026</v>
      </c>
      <c r="C650" s="32" t="s">
        <v>804</v>
      </c>
      <c r="D650" s="36" t="s">
        <v>210</v>
      </c>
      <c r="E650" s="36" t="s">
        <v>213</v>
      </c>
      <c r="F650" s="37" t="s">
        <v>95</v>
      </c>
      <c r="G650" s="29" t="b">
        <v>1</v>
      </c>
      <c r="H650" s="36" t="s">
        <v>214</v>
      </c>
      <c r="I650" s="36" t="s">
        <v>215</v>
      </c>
      <c r="J650" s="214"/>
      <c r="K650" s="215"/>
      <c r="L650" s="37" t="s">
        <v>194</v>
      </c>
      <c r="M650" s="37" t="s">
        <v>194</v>
      </c>
      <c r="N650" s="37" t="s">
        <v>194</v>
      </c>
      <c r="O650" s="37" t="s">
        <v>194</v>
      </c>
      <c r="P650" s="37" t="s">
        <v>527</v>
      </c>
      <c r="Q650" s="37" t="s">
        <v>528</v>
      </c>
      <c r="R650" s="41">
        <v>46651.0</v>
      </c>
      <c r="S650" s="42">
        <v>1.0</v>
      </c>
      <c r="T650" s="44"/>
      <c r="U650" s="45" t="str">
        <f>IF(records[Type]="Room",records[roomNo],records[roomNo]&amp;"-"&amp;SUBSTITUTE(RIGHT(records[roomNo]&amp;records[Type],2),"-",""))</f>
        <v>12-1-069</v>
      </c>
      <c r="V650" s="47" t="str">
        <f t="array" ref="V650">_xlfn.XLOOKUP(records[ID], dAir[roomNo], dAir[roomName])</f>
        <v>BOTTLE CLEANING 2</v>
      </c>
      <c r="W650" s="47" t="str">
        <f t="array" ref="W650">_xlfn.XLOOKUP(records[ID], dAir[roomNo], dAir[building])</f>
        <v>Building 12</v>
      </c>
      <c r="X650" s="47" t="str">
        <f t="array" ref="X650">_xlfn.XLOOKUP(records[ID], dAir[roomNo], dAir[floor])</f>
        <v>Floor 1</v>
      </c>
      <c r="Y650" s="45" t="str">
        <f t="array" ref="Y650">_xlfn.XLOOKUP(records[ID], dAir[roomNo], dAir[Class])</f>
        <v>D</v>
      </c>
      <c r="Z650" s="45">
        <f t="array" ref="Z650">_xlfn.XLOOKUP(records[Method]&amp;"-"&amp;records[Class], dAirSpec[ID], dAirSpec[Spec])</f>
        <v>100</v>
      </c>
      <c r="AA650" s="45" t="str">
        <f t="array" ref="AA650">_xlfn.XLOOKUP(records[Method]&amp;"-"&amp;records[Class], dAirSpec[ID], dAirSpec[Unit])</f>
        <v>cfu/plate</v>
      </c>
      <c r="AB650" s="58">
        <f t="array" ref="AB650">if(S650="","", if(records[Method]="Active Air",_xlfn.xlookup(records[ColonyCount]&amp;records[AirSampler],feller[code],feller[Vc]),records[ColonyCount]))</f>
        <v>1</v>
      </c>
      <c r="AC650" s="60" t="b">
        <f t="shared" si="1"/>
        <v>1</v>
      </c>
      <c r="AD650" s="61" t="b">
        <v>0</v>
      </c>
      <c r="AE650" s="32" t="s">
        <v>235</v>
      </c>
      <c r="AF650" s="46"/>
      <c r="AG650" s="46"/>
      <c r="AH650" s="46"/>
      <c r="AI650" s="46"/>
      <c r="AJ650" s="46"/>
    </row>
    <row r="651" ht="22.5" customHeight="1">
      <c r="A651" s="27">
        <v>46246.0</v>
      </c>
      <c r="B651" s="34" t="str">
        <f t="array" ref="B651">TEXT(A651, "MM-YYYY")</f>
        <v>08-2026</v>
      </c>
      <c r="C651" s="32" t="s">
        <v>812</v>
      </c>
      <c r="D651" s="36" t="s">
        <v>210</v>
      </c>
      <c r="E651" s="36" t="s">
        <v>213</v>
      </c>
      <c r="F651" s="37" t="s">
        <v>95</v>
      </c>
      <c r="G651" s="29" t="b">
        <v>1</v>
      </c>
      <c r="H651" s="36" t="s">
        <v>214</v>
      </c>
      <c r="I651" s="36" t="s">
        <v>215</v>
      </c>
      <c r="J651" s="214"/>
      <c r="K651" s="215"/>
      <c r="L651" s="37" t="s">
        <v>194</v>
      </c>
      <c r="M651" s="37" t="s">
        <v>194</v>
      </c>
      <c r="N651" s="37" t="s">
        <v>194</v>
      </c>
      <c r="O651" s="37" t="s">
        <v>194</v>
      </c>
      <c r="P651" s="37" t="s">
        <v>527</v>
      </c>
      <c r="Q651" s="37" t="s">
        <v>528</v>
      </c>
      <c r="R651" s="41">
        <v>46651.0</v>
      </c>
      <c r="S651" s="42">
        <v>0.0</v>
      </c>
      <c r="T651" s="44"/>
      <c r="U651" s="45" t="str">
        <f>IF(records[Type]="Room",records[roomNo],records[roomNo]&amp;"-"&amp;SUBSTITUTE(RIGHT(records[roomNo]&amp;records[Type],2),"-",""))</f>
        <v>12-1-070</v>
      </c>
      <c r="V651" s="47" t="str">
        <f t="array" ref="V651">_xlfn.XLOOKUP(records[ID], dAir[roomNo], dAir[roomName])</f>
        <v>BOTTLE CLEANING 3</v>
      </c>
      <c r="W651" s="47" t="str">
        <f t="array" ref="W651">_xlfn.XLOOKUP(records[ID], dAir[roomNo], dAir[building])</f>
        <v>Building 12</v>
      </c>
      <c r="X651" s="47" t="str">
        <f t="array" ref="X651">_xlfn.XLOOKUP(records[ID], dAir[roomNo], dAir[floor])</f>
        <v>Floor 1</v>
      </c>
      <c r="Y651" s="45" t="str">
        <f t="array" ref="Y651">_xlfn.XLOOKUP(records[ID], dAir[roomNo], dAir[Class])</f>
        <v>D</v>
      </c>
      <c r="Z651" s="45">
        <f t="array" ref="Z651">_xlfn.XLOOKUP(records[Method]&amp;"-"&amp;records[Class], dAirSpec[ID], dAirSpec[Spec])</f>
        <v>100</v>
      </c>
      <c r="AA651" s="45" t="str">
        <f t="array" ref="AA651">_xlfn.XLOOKUP(records[Method]&amp;"-"&amp;records[Class], dAirSpec[ID], dAirSpec[Unit])</f>
        <v>cfu/plate</v>
      </c>
      <c r="AB651" s="58">
        <f t="array" ref="AB651">if(S651="","", if(records[Method]="Active Air",_xlfn.xlookup(records[ColonyCount]&amp;records[AirSampler],feller[code],feller[Vc]),records[ColonyCount]))</f>
        <v>0</v>
      </c>
      <c r="AC651" s="60" t="b">
        <f t="shared" si="1"/>
        <v>1</v>
      </c>
      <c r="AD651" s="61" t="b">
        <v>0</v>
      </c>
      <c r="AE651" s="32" t="s">
        <v>235</v>
      </c>
      <c r="AF651" s="46"/>
      <c r="AG651" s="46"/>
      <c r="AH651" s="46"/>
      <c r="AI651" s="46"/>
      <c r="AJ651" s="46"/>
    </row>
    <row r="652" ht="22.5" customHeight="1">
      <c r="A652" s="27">
        <v>46246.0</v>
      </c>
      <c r="B652" s="34" t="str">
        <f t="array" ref="B652">TEXT(A652, "MM-YYYY")</f>
        <v>08-2026</v>
      </c>
      <c r="C652" s="32" t="s">
        <v>1390</v>
      </c>
      <c r="D652" s="36" t="s">
        <v>210</v>
      </c>
      <c r="E652" s="36" t="s">
        <v>213</v>
      </c>
      <c r="F652" s="37" t="s">
        <v>95</v>
      </c>
      <c r="G652" s="29" t="b">
        <v>1</v>
      </c>
      <c r="H652" s="36" t="s">
        <v>214</v>
      </c>
      <c r="I652" s="36" t="s">
        <v>215</v>
      </c>
      <c r="J652" s="214"/>
      <c r="K652" s="215"/>
      <c r="L652" s="37" t="s">
        <v>194</v>
      </c>
      <c r="M652" s="37" t="s">
        <v>194</v>
      </c>
      <c r="N652" s="37" t="s">
        <v>194</v>
      </c>
      <c r="O652" s="37" t="s">
        <v>194</v>
      </c>
      <c r="P652" s="37" t="s">
        <v>527</v>
      </c>
      <c r="Q652" s="37" t="s">
        <v>528</v>
      </c>
      <c r="R652" s="41">
        <v>46651.0</v>
      </c>
      <c r="S652" s="42">
        <v>0.0</v>
      </c>
      <c r="T652" s="44"/>
      <c r="U652" s="45" t="str">
        <f>IF(records[Type]="Room",records[roomNo],records[roomNo]&amp;"-"&amp;SUBSTITUTE(RIGHT(records[roomNo]&amp;records[Type],2),"-",""))</f>
        <v>12-1-071</v>
      </c>
      <c r="V652" s="47" t="str">
        <f t="array" ref="V652">_xlfn.XLOOKUP(records[ID], dAir[roomNo], dAir[roomName])</f>
        <v>CORRIDOR</v>
      </c>
      <c r="W652" s="47" t="str">
        <f t="array" ref="W652">_xlfn.XLOOKUP(records[ID], dAir[roomNo], dAir[building])</f>
        <v>Building 12</v>
      </c>
      <c r="X652" s="47" t="str">
        <f t="array" ref="X652">_xlfn.XLOOKUP(records[ID], dAir[roomNo], dAir[floor])</f>
        <v>Floor 1</v>
      </c>
      <c r="Y652" s="45" t="str">
        <f t="array" ref="Y652">_xlfn.XLOOKUP(records[ID], dAir[roomNo], dAir[Class])</f>
        <v>D</v>
      </c>
      <c r="Z652" s="45">
        <f t="array" ref="Z652">_xlfn.XLOOKUP(records[Method]&amp;"-"&amp;records[Class], dAirSpec[ID], dAirSpec[Spec])</f>
        <v>100</v>
      </c>
      <c r="AA652" s="45" t="str">
        <f t="array" ref="AA652">_xlfn.XLOOKUP(records[Method]&amp;"-"&amp;records[Class], dAirSpec[ID], dAirSpec[Unit])</f>
        <v>cfu/plate</v>
      </c>
      <c r="AB652" s="58">
        <f t="array" ref="AB652">if(S652="","", if(records[Method]="Active Air",_xlfn.xlookup(records[ColonyCount]&amp;records[AirSampler],feller[code],feller[Vc]),records[ColonyCount]))</f>
        <v>0</v>
      </c>
      <c r="AC652" s="60" t="b">
        <f t="shared" si="1"/>
        <v>1</v>
      </c>
      <c r="AD652" s="61" t="b">
        <v>0</v>
      </c>
      <c r="AE652" s="32" t="s">
        <v>235</v>
      </c>
      <c r="AF652" s="46"/>
      <c r="AG652" s="46"/>
      <c r="AH652" s="46"/>
      <c r="AI652" s="46"/>
      <c r="AJ652" s="46"/>
    </row>
    <row r="653" ht="22.5" customHeight="1">
      <c r="A653" s="27">
        <v>46246.0</v>
      </c>
      <c r="B653" s="34" t="str">
        <f t="array" ref="B653">TEXT(A653, "MM-YYYY")</f>
        <v>08-2026</v>
      </c>
      <c r="C653" s="32" t="s">
        <v>1391</v>
      </c>
      <c r="D653" s="36" t="s">
        <v>210</v>
      </c>
      <c r="E653" s="36" t="s">
        <v>213</v>
      </c>
      <c r="F653" s="37" t="s">
        <v>95</v>
      </c>
      <c r="G653" s="29" t="b">
        <v>1</v>
      </c>
      <c r="H653" s="36" t="s">
        <v>214</v>
      </c>
      <c r="I653" s="36" t="s">
        <v>215</v>
      </c>
      <c r="J653" s="214"/>
      <c r="K653" s="215"/>
      <c r="L653" s="37" t="s">
        <v>194</v>
      </c>
      <c r="M653" s="37" t="s">
        <v>194</v>
      </c>
      <c r="N653" s="37" t="s">
        <v>194</v>
      </c>
      <c r="O653" s="37" t="s">
        <v>194</v>
      </c>
      <c r="P653" s="37" t="s">
        <v>527</v>
      </c>
      <c r="Q653" s="37" t="s">
        <v>528</v>
      </c>
      <c r="R653" s="41">
        <v>46651.0</v>
      </c>
      <c r="S653" s="42">
        <v>0.0</v>
      </c>
      <c r="T653" s="44"/>
      <c r="U653" s="45" t="str">
        <f>IF(records[Type]="Room",records[roomNo],records[roomNo]&amp;"-"&amp;SUBSTITUTE(RIGHT(records[roomNo]&amp;records[Type],2),"-",""))</f>
        <v>12-1-072</v>
      </c>
      <c r="V653" s="47" t="str">
        <f t="array" ref="V653">_xlfn.XLOOKUP(records[ID], dAir[roomNo], dAir[roomName])</f>
        <v>FILLING LINE 3</v>
      </c>
      <c r="W653" s="47" t="str">
        <f t="array" ref="W653">_xlfn.XLOOKUP(records[ID], dAir[roomNo], dAir[building])</f>
        <v>Building 12</v>
      </c>
      <c r="X653" s="47" t="str">
        <f t="array" ref="X653">_xlfn.XLOOKUP(records[ID], dAir[roomNo], dAir[floor])</f>
        <v>Floor 1</v>
      </c>
      <c r="Y653" s="45" t="str">
        <f t="array" ref="Y653">_xlfn.XLOOKUP(records[ID], dAir[roomNo], dAir[Class])</f>
        <v>D</v>
      </c>
      <c r="Z653" s="45">
        <f t="array" ref="Z653">_xlfn.XLOOKUP(records[Method]&amp;"-"&amp;records[Class], dAirSpec[ID], dAirSpec[Spec])</f>
        <v>100</v>
      </c>
      <c r="AA653" s="45" t="str">
        <f t="array" ref="AA653">_xlfn.XLOOKUP(records[Method]&amp;"-"&amp;records[Class], dAirSpec[ID], dAirSpec[Unit])</f>
        <v>cfu/plate</v>
      </c>
      <c r="AB653" s="58">
        <f t="array" ref="AB653">if(S653="","", if(records[Method]="Active Air",_xlfn.xlookup(records[ColonyCount]&amp;records[AirSampler],feller[code],feller[Vc]),records[ColonyCount]))</f>
        <v>0</v>
      </c>
      <c r="AC653" s="60" t="b">
        <f t="shared" si="1"/>
        <v>1</v>
      </c>
      <c r="AD653" s="61" t="b">
        <v>0</v>
      </c>
      <c r="AE653" s="32" t="s">
        <v>235</v>
      </c>
      <c r="AF653" s="46"/>
      <c r="AG653" s="46"/>
      <c r="AH653" s="46"/>
      <c r="AI653" s="46"/>
      <c r="AJ653" s="46"/>
    </row>
    <row r="654" ht="22.5" customHeight="1">
      <c r="A654" s="27">
        <v>46246.0</v>
      </c>
      <c r="B654" s="34" t="str">
        <f t="array" ref="B654">TEXT(A654, "MM-YYYY")</f>
        <v>08-2026</v>
      </c>
      <c r="C654" s="32" t="s">
        <v>1393</v>
      </c>
      <c r="D654" s="36" t="s">
        <v>210</v>
      </c>
      <c r="E654" s="36" t="s">
        <v>213</v>
      </c>
      <c r="F654" s="37" t="s">
        <v>95</v>
      </c>
      <c r="G654" s="29" t="b">
        <v>1</v>
      </c>
      <c r="H654" s="36" t="s">
        <v>214</v>
      </c>
      <c r="I654" s="36" t="s">
        <v>215</v>
      </c>
      <c r="J654" s="214"/>
      <c r="K654" s="215"/>
      <c r="L654" s="37" t="s">
        <v>194</v>
      </c>
      <c r="M654" s="37" t="s">
        <v>194</v>
      </c>
      <c r="N654" s="37" t="s">
        <v>194</v>
      </c>
      <c r="O654" s="37" t="s">
        <v>194</v>
      </c>
      <c r="P654" s="37" t="s">
        <v>527</v>
      </c>
      <c r="Q654" s="37" t="s">
        <v>528</v>
      </c>
      <c r="R654" s="41">
        <v>46651.0</v>
      </c>
      <c r="S654" s="42">
        <v>0.0</v>
      </c>
      <c r="T654" s="44"/>
      <c r="U654" s="45" t="str">
        <f>IF(records[Type]="Room",records[roomNo],records[roomNo]&amp;"-"&amp;SUBSTITUTE(RIGHT(records[roomNo]&amp;records[Type],2),"-",""))</f>
        <v>12-1-073</v>
      </c>
      <c r="V654" s="47" t="str">
        <f t="array" ref="V654">_xlfn.XLOOKUP(records[ID], dAir[roomNo], dAir[roomName])</f>
        <v>FILLING LINE 4</v>
      </c>
      <c r="W654" s="47" t="str">
        <f t="array" ref="W654">_xlfn.XLOOKUP(records[ID], dAir[roomNo], dAir[building])</f>
        <v>Building 12</v>
      </c>
      <c r="X654" s="47" t="str">
        <f t="array" ref="X654">_xlfn.XLOOKUP(records[ID], dAir[roomNo], dAir[floor])</f>
        <v>Floor 1</v>
      </c>
      <c r="Y654" s="45" t="str">
        <f t="array" ref="Y654">_xlfn.XLOOKUP(records[ID], dAir[roomNo], dAir[Class])</f>
        <v>D</v>
      </c>
      <c r="Z654" s="45">
        <f t="array" ref="Z654">_xlfn.XLOOKUP(records[Method]&amp;"-"&amp;records[Class], dAirSpec[ID], dAirSpec[Spec])</f>
        <v>100</v>
      </c>
      <c r="AA654" s="45" t="str">
        <f t="array" ref="AA654">_xlfn.XLOOKUP(records[Method]&amp;"-"&amp;records[Class], dAirSpec[ID], dAirSpec[Unit])</f>
        <v>cfu/plate</v>
      </c>
      <c r="AB654" s="58">
        <f t="array" ref="AB654">if(S654="","", if(records[Method]="Active Air",_xlfn.xlookup(records[ColonyCount]&amp;records[AirSampler],feller[code],feller[Vc]),records[ColonyCount]))</f>
        <v>0</v>
      </c>
      <c r="AC654" s="60" t="b">
        <f t="shared" si="1"/>
        <v>1</v>
      </c>
      <c r="AD654" s="61" t="b">
        <v>0</v>
      </c>
      <c r="AE654" s="32" t="s">
        <v>235</v>
      </c>
      <c r="AF654" s="46"/>
      <c r="AG654" s="46"/>
      <c r="AH654" s="46"/>
      <c r="AI654" s="46"/>
      <c r="AJ654" s="46"/>
    </row>
    <row r="655" ht="22.5" customHeight="1">
      <c r="A655" s="27">
        <v>46246.0</v>
      </c>
      <c r="B655" s="34" t="str">
        <f t="array" ref="B655">TEXT(A655, "MM-YYYY")</f>
        <v>08-2026</v>
      </c>
      <c r="C655" s="32" t="s">
        <v>815</v>
      </c>
      <c r="D655" s="36" t="s">
        <v>210</v>
      </c>
      <c r="E655" s="36" t="s">
        <v>213</v>
      </c>
      <c r="F655" s="37" t="s">
        <v>95</v>
      </c>
      <c r="G655" s="29" t="b">
        <v>1</v>
      </c>
      <c r="H655" s="36" t="s">
        <v>214</v>
      </c>
      <c r="I655" s="36" t="s">
        <v>215</v>
      </c>
      <c r="J655" s="214"/>
      <c r="K655" s="215"/>
      <c r="L655" s="37" t="s">
        <v>194</v>
      </c>
      <c r="M655" s="37" t="s">
        <v>194</v>
      </c>
      <c r="N655" s="37" t="s">
        <v>194</v>
      </c>
      <c r="O655" s="37" t="s">
        <v>194</v>
      </c>
      <c r="P655" s="37" t="s">
        <v>527</v>
      </c>
      <c r="Q655" s="37" t="s">
        <v>528</v>
      </c>
      <c r="R655" s="41">
        <v>46651.0</v>
      </c>
      <c r="S655" s="42">
        <v>0.0</v>
      </c>
      <c r="T655" s="44"/>
      <c r="U655" s="45" t="str">
        <f>IF(records[Type]="Room",records[roomNo],records[roomNo]&amp;"-"&amp;SUBSTITUTE(RIGHT(records[roomNo]&amp;records[Type],2),"-",""))</f>
        <v>12-1-074</v>
      </c>
      <c r="V655" s="47" t="str">
        <f t="array" ref="V655">_xlfn.XLOOKUP(records[ID], dAir[roomNo], dAir[roomName])</f>
        <v>BOTTLE CLEANING 4</v>
      </c>
      <c r="W655" s="47" t="str">
        <f t="array" ref="W655">_xlfn.XLOOKUP(records[ID], dAir[roomNo], dAir[building])</f>
        <v>Building 12</v>
      </c>
      <c r="X655" s="47" t="str">
        <f t="array" ref="X655">_xlfn.XLOOKUP(records[ID], dAir[roomNo], dAir[floor])</f>
        <v>Floor 1</v>
      </c>
      <c r="Y655" s="45" t="str">
        <f t="array" ref="Y655">_xlfn.XLOOKUP(records[ID], dAir[roomNo], dAir[Class])</f>
        <v>D</v>
      </c>
      <c r="Z655" s="45">
        <f t="array" ref="Z655">_xlfn.XLOOKUP(records[Method]&amp;"-"&amp;records[Class], dAirSpec[ID], dAirSpec[Spec])</f>
        <v>100</v>
      </c>
      <c r="AA655" s="45" t="str">
        <f t="array" ref="AA655">_xlfn.XLOOKUP(records[Method]&amp;"-"&amp;records[Class], dAirSpec[ID], dAirSpec[Unit])</f>
        <v>cfu/plate</v>
      </c>
      <c r="AB655" s="58">
        <f t="array" ref="AB655">if(S655="","", if(records[Method]="Active Air",_xlfn.xlookup(records[ColonyCount]&amp;records[AirSampler],feller[code],feller[Vc]),records[ColonyCount]))</f>
        <v>0</v>
      </c>
      <c r="AC655" s="60" t="b">
        <f t="shared" si="1"/>
        <v>1</v>
      </c>
      <c r="AD655" s="61" t="b">
        <v>0</v>
      </c>
      <c r="AE655" s="32" t="s">
        <v>235</v>
      </c>
      <c r="AF655" s="46"/>
      <c r="AG655" s="46"/>
      <c r="AH655" s="46"/>
      <c r="AI655" s="46"/>
      <c r="AJ655" s="46"/>
    </row>
    <row r="656" ht="22.5" customHeight="1">
      <c r="A656" s="27">
        <v>46246.0</v>
      </c>
      <c r="B656" s="34" t="str">
        <f t="array" ref="B656">TEXT(A656, "MM-YYYY")</f>
        <v>08-2026</v>
      </c>
      <c r="C656" s="39" t="s">
        <v>1395</v>
      </c>
      <c r="D656" s="36" t="s">
        <v>210</v>
      </c>
      <c r="E656" s="36" t="s">
        <v>213</v>
      </c>
      <c r="F656" s="37" t="s">
        <v>95</v>
      </c>
      <c r="G656" s="29" t="b">
        <v>1</v>
      </c>
      <c r="H656" s="36" t="s">
        <v>214</v>
      </c>
      <c r="I656" s="36" t="s">
        <v>215</v>
      </c>
      <c r="J656" s="214"/>
      <c r="K656" s="215"/>
      <c r="L656" s="37" t="s">
        <v>194</v>
      </c>
      <c r="M656" s="37" t="s">
        <v>194</v>
      </c>
      <c r="N656" s="37" t="s">
        <v>194</v>
      </c>
      <c r="O656" s="37" t="s">
        <v>194</v>
      </c>
      <c r="P656" s="37" t="s">
        <v>527</v>
      </c>
      <c r="Q656" s="37" t="s">
        <v>528</v>
      </c>
      <c r="R656" s="41">
        <v>46651.0</v>
      </c>
      <c r="S656" s="42">
        <v>2.0</v>
      </c>
      <c r="T656" s="44"/>
      <c r="U656" s="45" t="str">
        <f>IF(records[Type]="Room",records[roomNo],records[roomNo]&amp;"-"&amp;SUBSTITUTE(RIGHT(records[roomNo]&amp;records[Type],2),"-",""))</f>
        <v>12-1-076</v>
      </c>
      <c r="V656" s="47" t="str">
        <f t="array" ref="V656">_xlfn.XLOOKUP(records[ID], dAir[roomNo], dAir[roomName])</f>
        <v>PAL</v>
      </c>
      <c r="W656" s="47" t="str">
        <f t="array" ref="W656">_xlfn.XLOOKUP(records[ID], dAir[roomNo], dAir[building])</f>
        <v>Building 12</v>
      </c>
      <c r="X656" s="47" t="str">
        <f t="array" ref="X656">_xlfn.XLOOKUP(records[ID], dAir[roomNo], dAir[floor])</f>
        <v>Floor 1</v>
      </c>
      <c r="Y656" s="45" t="str">
        <f t="array" ref="Y656">_xlfn.XLOOKUP(records[ID], dAir[roomNo], dAir[Class])</f>
        <v>D</v>
      </c>
      <c r="Z656" s="45">
        <f t="array" ref="Z656">_xlfn.XLOOKUP(records[Method]&amp;"-"&amp;records[Class], dAirSpec[ID], dAirSpec[Spec])</f>
        <v>100</v>
      </c>
      <c r="AA656" s="45" t="str">
        <f t="array" ref="AA656">_xlfn.XLOOKUP(records[Method]&amp;"-"&amp;records[Class], dAirSpec[ID], dAirSpec[Unit])</f>
        <v>cfu/plate</v>
      </c>
      <c r="AB656" s="58">
        <f t="array" ref="AB656">if(S656="","", if(records[Method]="Active Air",_xlfn.xlookup(records[ColonyCount]&amp;records[AirSampler],feller[code],feller[Vc]),records[ColonyCount]))</f>
        <v>2</v>
      </c>
      <c r="AC656" s="60" t="b">
        <f t="shared" si="1"/>
        <v>1</v>
      </c>
      <c r="AD656" s="61" t="b">
        <v>0</v>
      </c>
      <c r="AE656" s="32" t="s">
        <v>235</v>
      </c>
      <c r="AF656" s="46"/>
      <c r="AG656" s="46"/>
      <c r="AH656" s="46"/>
      <c r="AI656" s="46"/>
      <c r="AJ656" s="46"/>
    </row>
    <row r="657" ht="22.5" customHeight="1">
      <c r="A657" s="27">
        <v>46246.0</v>
      </c>
      <c r="B657" s="34" t="str">
        <f t="array" ref="B657">TEXT(A657, "MM-YYYY")</f>
        <v>08-2026</v>
      </c>
      <c r="C657" s="39" t="s">
        <v>1397</v>
      </c>
      <c r="D657" s="36" t="s">
        <v>210</v>
      </c>
      <c r="E657" s="36" t="s">
        <v>213</v>
      </c>
      <c r="F657" s="37" t="s">
        <v>95</v>
      </c>
      <c r="G657" s="29" t="b">
        <v>1</v>
      </c>
      <c r="H657" s="36" t="s">
        <v>214</v>
      </c>
      <c r="I657" s="36" t="s">
        <v>215</v>
      </c>
      <c r="J657" s="214"/>
      <c r="K657" s="215"/>
      <c r="L657" s="37" t="s">
        <v>194</v>
      </c>
      <c r="M657" s="37" t="s">
        <v>194</v>
      </c>
      <c r="N657" s="37" t="s">
        <v>194</v>
      </c>
      <c r="O657" s="37" t="s">
        <v>194</v>
      </c>
      <c r="P657" s="37" t="s">
        <v>527</v>
      </c>
      <c r="Q657" s="37" t="s">
        <v>528</v>
      </c>
      <c r="R657" s="41">
        <v>46651.0</v>
      </c>
      <c r="S657" s="42">
        <v>0.0</v>
      </c>
      <c r="T657" s="44"/>
      <c r="U657" s="45" t="str">
        <f>IF(records[Type]="Room",records[roomNo],records[roomNo]&amp;"-"&amp;SUBSTITUTE(RIGHT(records[roomNo]&amp;records[Type],2),"-",""))</f>
        <v>12-1-077</v>
      </c>
      <c r="V657" s="47" t="str">
        <f t="array" ref="V657">_xlfn.XLOOKUP(records[ID], dAir[roomNo], dAir[roomName])</f>
        <v>MAL</v>
      </c>
      <c r="W657" s="47" t="str">
        <f t="array" ref="W657">_xlfn.XLOOKUP(records[ID], dAir[roomNo], dAir[building])</f>
        <v>Building 12</v>
      </c>
      <c r="X657" s="47" t="str">
        <f t="array" ref="X657">_xlfn.XLOOKUP(records[ID], dAir[roomNo], dAir[floor])</f>
        <v>Floor 1</v>
      </c>
      <c r="Y657" s="45" t="str">
        <f t="array" ref="Y657">_xlfn.XLOOKUP(records[ID], dAir[roomNo], dAir[Class])</f>
        <v>D</v>
      </c>
      <c r="Z657" s="45">
        <f t="array" ref="Z657">_xlfn.XLOOKUP(records[Method]&amp;"-"&amp;records[Class], dAirSpec[ID], dAirSpec[Spec])</f>
        <v>100</v>
      </c>
      <c r="AA657" s="45" t="str">
        <f t="array" ref="AA657">_xlfn.XLOOKUP(records[Method]&amp;"-"&amp;records[Class], dAirSpec[ID], dAirSpec[Unit])</f>
        <v>cfu/plate</v>
      </c>
      <c r="AB657" s="58">
        <f t="array" ref="AB657">if(S657="","", if(records[Method]="Active Air",_xlfn.xlookup(records[ColonyCount]&amp;records[AirSampler],feller[code],feller[Vc]),records[ColonyCount]))</f>
        <v>0</v>
      </c>
      <c r="AC657" s="60" t="b">
        <f t="shared" si="1"/>
        <v>1</v>
      </c>
      <c r="AD657" s="61" t="b">
        <v>0</v>
      </c>
      <c r="AE657" s="32" t="s">
        <v>235</v>
      </c>
      <c r="AF657" s="46"/>
      <c r="AG657" s="46"/>
      <c r="AH657" s="46"/>
      <c r="AI657" s="46"/>
      <c r="AJ657" s="46"/>
    </row>
    <row r="658" ht="22.5" customHeight="1">
      <c r="A658" s="27">
        <v>46246.0</v>
      </c>
      <c r="B658" s="34" t="str">
        <f t="array" ref="B658">TEXT(A658, "MM-YYYY")</f>
        <v>08-2026</v>
      </c>
      <c r="C658" s="39" t="s">
        <v>945</v>
      </c>
      <c r="D658" s="36" t="s">
        <v>210</v>
      </c>
      <c r="E658" s="36" t="s">
        <v>213</v>
      </c>
      <c r="F658" s="37" t="s">
        <v>95</v>
      </c>
      <c r="G658" s="29" t="b">
        <v>1</v>
      </c>
      <c r="H658" s="36" t="s">
        <v>214</v>
      </c>
      <c r="I658" s="36" t="s">
        <v>215</v>
      </c>
      <c r="J658" s="214"/>
      <c r="K658" s="215"/>
      <c r="L658" s="37" t="s">
        <v>194</v>
      </c>
      <c r="M658" s="37" t="s">
        <v>194</v>
      </c>
      <c r="N658" s="37" t="s">
        <v>194</v>
      </c>
      <c r="O658" s="37" t="s">
        <v>194</v>
      </c>
      <c r="P658" s="37" t="s">
        <v>527</v>
      </c>
      <c r="Q658" s="37" t="s">
        <v>528</v>
      </c>
      <c r="R658" s="41">
        <v>46651.0</v>
      </c>
      <c r="S658" s="42">
        <v>1.0</v>
      </c>
      <c r="T658" s="44"/>
      <c r="U658" s="45" t="str">
        <f>IF(records[Type]="Room",records[roomNo],records[roomNo]&amp;"-"&amp;SUBSTITUTE(RIGHT(records[roomNo]&amp;records[Type],2),"-",""))</f>
        <v>12-1-078</v>
      </c>
      <c r="V658" s="47" t="str">
        <f t="array" ref="V658">_xlfn.XLOOKUP(records[ID], dAir[roomNo], dAir[roomName])</f>
        <v>SOLVENTS UNLOADING</v>
      </c>
      <c r="W658" s="47" t="str">
        <f t="array" ref="W658">_xlfn.XLOOKUP(records[ID], dAir[roomNo], dAir[building])</f>
        <v>Building 12</v>
      </c>
      <c r="X658" s="47" t="str">
        <f t="array" ref="X658">_xlfn.XLOOKUP(records[ID], dAir[roomNo], dAir[floor])</f>
        <v>Floor 1</v>
      </c>
      <c r="Y658" s="45" t="str">
        <f t="array" ref="Y658">_xlfn.XLOOKUP(records[ID], dAir[roomNo], dAir[Class])</f>
        <v>D</v>
      </c>
      <c r="Z658" s="45">
        <f t="array" ref="Z658">_xlfn.XLOOKUP(records[Method]&amp;"-"&amp;records[Class], dAirSpec[ID], dAirSpec[Spec])</f>
        <v>100</v>
      </c>
      <c r="AA658" s="45" t="str">
        <f t="array" ref="AA658">_xlfn.XLOOKUP(records[Method]&amp;"-"&amp;records[Class], dAirSpec[ID], dAirSpec[Unit])</f>
        <v>cfu/plate</v>
      </c>
      <c r="AB658" s="58">
        <f t="array" ref="AB658">if(S658="","", if(records[Method]="Active Air",_xlfn.xlookup(records[ColonyCount]&amp;records[AirSampler],feller[code],feller[Vc]),records[ColonyCount]))</f>
        <v>1</v>
      </c>
      <c r="AC658" s="60" t="b">
        <f t="shared" si="1"/>
        <v>1</v>
      </c>
      <c r="AD658" s="61" t="b">
        <v>0</v>
      </c>
      <c r="AE658" s="32" t="s">
        <v>235</v>
      </c>
      <c r="AF658" s="46"/>
      <c r="AG658" s="46"/>
      <c r="AH658" s="46"/>
      <c r="AI658" s="46"/>
      <c r="AJ658" s="46"/>
    </row>
    <row r="659" ht="22.5" customHeight="1">
      <c r="A659" s="27">
        <v>46246.0</v>
      </c>
      <c r="B659" s="34" t="str">
        <f t="array" ref="B659">TEXT(A659, "MM-YYYY")</f>
        <v>08-2026</v>
      </c>
      <c r="C659" s="39" t="s">
        <v>1399</v>
      </c>
      <c r="D659" s="36" t="s">
        <v>210</v>
      </c>
      <c r="E659" s="36" t="s">
        <v>213</v>
      </c>
      <c r="F659" s="37" t="s">
        <v>95</v>
      </c>
      <c r="G659" s="29" t="b">
        <v>1</v>
      </c>
      <c r="H659" s="36" t="s">
        <v>214</v>
      </c>
      <c r="I659" s="36" t="s">
        <v>215</v>
      </c>
      <c r="J659" s="214"/>
      <c r="K659" s="215"/>
      <c r="L659" s="37" t="s">
        <v>194</v>
      </c>
      <c r="M659" s="37" t="s">
        <v>194</v>
      </c>
      <c r="N659" s="37" t="s">
        <v>194</v>
      </c>
      <c r="O659" s="37" t="s">
        <v>194</v>
      </c>
      <c r="P659" s="37" t="s">
        <v>527</v>
      </c>
      <c r="Q659" s="37" t="s">
        <v>528</v>
      </c>
      <c r="R659" s="41">
        <v>46651.0</v>
      </c>
      <c r="S659" s="42">
        <v>0.0</v>
      </c>
      <c r="T659" s="44"/>
      <c r="U659" s="45" t="str">
        <f>IF(records[Type]="Room",records[roomNo],records[roomNo]&amp;"-"&amp;SUBSTITUTE(RIGHT(records[roomNo]&amp;records[Type],2),"-",""))</f>
        <v>12-1-086</v>
      </c>
      <c r="V659" s="47" t="str">
        <f t="array" ref="V659">_xlfn.XLOOKUP(records[ID], dAir[roomNo], dAir[roomName])</f>
        <v>LINEN STORAGE</v>
      </c>
      <c r="W659" s="47" t="str">
        <f t="array" ref="W659">_xlfn.XLOOKUP(records[ID], dAir[roomNo], dAir[building])</f>
        <v>Building 12</v>
      </c>
      <c r="X659" s="47" t="str">
        <f t="array" ref="X659">_xlfn.XLOOKUP(records[ID], dAir[roomNo], dAir[floor])</f>
        <v>Floor 1</v>
      </c>
      <c r="Y659" s="45" t="str">
        <f t="array" ref="Y659">_xlfn.XLOOKUP(records[ID], dAir[roomNo], dAir[Class])</f>
        <v>D</v>
      </c>
      <c r="Z659" s="45">
        <f t="array" ref="Z659">_xlfn.XLOOKUP(records[Method]&amp;"-"&amp;records[Class], dAirSpec[ID], dAirSpec[Spec])</f>
        <v>100</v>
      </c>
      <c r="AA659" s="45" t="str">
        <f t="array" ref="AA659">_xlfn.XLOOKUP(records[Method]&amp;"-"&amp;records[Class], dAirSpec[ID], dAirSpec[Unit])</f>
        <v>cfu/plate</v>
      </c>
      <c r="AB659" s="58">
        <f t="array" ref="AB659">if(S659="","", if(records[Method]="Active Air",_xlfn.xlookup(records[ColonyCount]&amp;records[AirSampler],feller[code],feller[Vc]),records[ColonyCount]))</f>
        <v>0</v>
      </c>
      <c r="AC659" s="60" t="b">
        <f t="shared" si="1"/>
        <v>1</v>
      </c>
      <c r="AD659" s="61" t="b">
        <v>0</v>
      </c>
      <c r="AE659" s="32" t="s">
        <v>235</v>
      </c>
      <c r="AF659" s="46"/>
      <c r="AG659" s="46"/>
      <c r="AH659" s="46"/>
      <c r="AI659" s="46"/>
      <c r="AJ659" s="46"/>
    </row>
    <row r="660" ht="22.5" customHeight="1">
      <c r="A660" s="27">
        <v>46246.0</v>
      </c>
      <c r="B660" s="34" t="str">
        <f t="array" ref="B660">TEXT(A660, "MM-YYYY")</f>
        <v>08-2026</v>
      </c>
      <c r="C660" s="39" t="s">
        <v>1400</v>
      </c>
      <c r="D660" s="36" t="s">
        <v>210</v>
      </c>
      <c r="E660" s="36" t="s">
        <v>213</v>
      </c>
      <c r="F660" s="37" t="s">
        <v>95</v>
      </c>
      <c r="G660" s="29" t="b">
        <v>1</v>
      </c>
      <c r="H660" s="36" t="s">
        <v>214</v>
      </c>
      <c r="I660" s="36" t="s">
        <v>215</v>
      </c>
      <c r="J660" s="214"/>
      <c r="K660" s="215"/>
      <c r="L660" s="37" t="s">
        <v>194</v>
      </c>
      <c r="M660" s="37" t="s">
        <v>194</v>
      </c>
      <c r="N660" s="37" t="s">
        <v>194</v>
      </c>
      <c r="O660" s="37" t="s">
        <v>194</v>
      </c>
      <c r="P660" s="37" t="s">
        <v>527</v>
      </c>
      <c r="Q660" s="37" t="s">
        <v>528</v>
      </c>
      <c r="R660" s="41">
        <v>46651.0</v>
      </c>
      <c r="S660" s="42">
        <v>0.0</v>
      </c>
      <c r="T660" s="44"/>
      <c r="U660" s="45" t="str">
        <f>IF(records[Type]="Room",records[roomNo],records[roomNo]&amp;"-"&amp;SUBSTITUTE(RIGHT(records[roomNo]&amp;records[Type],2),"-",""))</f>
        <v>12-1-087</v>
      </c>
      <c r="V660" s="47" t="str">
        <f t="array" ref="V660">_xlfn.XLOOKUP(records[ID], dAir[roomNo], dAir[roomName])</f>
        <v>CORRIDOR</v>
      </c>
      <c r="W660" s="47" t="str">
        <f t="array" ref="W660">_xlfn.XLOOKUP(records[ID], dAir[roomNo], dAir[building])</f>
        <v>Building 12</v>
      </c>
      <c r="X660" s="47" t="str">
        <f t="array" ref="X660">_xlfn.XLOOKUP(records[ID], dAir[roomNo], dAir[floor])</f>
        <v>Floor 1</v>
      </c>
      <c r="Y660" s="45" t="str">
        <f t="array" ref="Y660">_xlfn.XLOOKUP(records[ID], dAir[roomNo], dAir[Class])</f>
        <v>D</v>
      </c>
      <c r="Z660" s="45">
        <f t="array" ref="Z660">_xlfn.XLOOKUP(records[Method]&amp;"-"&amp;records[Class], dAirSpec[ID], dAirSpec[Spec])</f>
        <v>100</v>
      </c>
      <c r="AA660" s="45" t="str">
        <f t="array" ref="AA660">_xlfn.XLOOKUP(records[Method]&amp;"-"&amp;records[Class], dAirSpec[ID], dAirSpec[Unit])</f>
        <v>cfu/plate</v>
      </c>
      <c r="AB660" s="58">
        <f t="array" ref="AB660">if(S660="","", if(records[Method]="Active Air",_xlfn.xlookup(records[ColonyCount]&amp;records[AirSampler],feller[code],feller[Vc]),records[ColonyCount]))</f>
        <v>0</v>
      </c>
      <c r="AC660" s="60" t="b">
        <f t="shared" si="1"/>
        <v>1</v>
      </c>
      <c r="AD660" s="61" t="b">
        <v>0</v>
      </c>
      <c r="AE660" s="32" t="s">
        <v>235</v>
      </c>
      <c r="AF660" s="46"/>
      <c r="AG660" s="46"/>
      <c r="AH660" s="46"/>
      <c r="AI660" s="46"/>
      <c r="AJ660" s="46"/>
    </row>
    <row r="661" ht="22.5" customHeight="1">
      <c r="A661" s="27">
        <v>46249.0</v>
      </c>
      <c r="B661" s="34" t="str">
        <f t="array" ref="B661">TEXT(A661, "MM-YYYY")</f>
        <v>08-2026</v>
      </c>
      <c r="C661" s="32" t="s">
        <v>774</v>
      </c>
      <c r="D661" s="21" t="s">
        <v>770</v>
      </c>
      <c r="E661" s="225" t="s">
        <v>531</v>
      </c>
      <c r="F661" s="37"/>
      <c r="G661" s="29" t="b">
        <v>0</v>
      </c>
      <c r="H661" s="36" t="s">
        <v>1737</v>
      </c>
      <c r="I661" s="36" t="s">
        <v>534</v>
      </c>
      <c r="J661" s="214"/>
      <c r="K661" s="215"/>
      <c r="L661" s="37" t="s">
        <v>194</v>
      </c>
      <c r="M661" s="37" t="s">
        <v>194</v>
      </c>
      <c r="N661" s="37" t="s">
        <v>194</v>
      </c>
      <c r="O661" s="37" t="s">
        <v>194</v>
      </c>
      <c r="P661" s="37" t="s">
        <v>2471</v>
      </c>
      <c r="Q661" s="37"/>
      <c r="R661" s="41">
        <v>47022.0</v>
      </c>
      <c r="S661" s="42">
        <v>0.0</v>
      </c>
      <c r="T661" s="44" t="s">
        <v>2472</v>
      </c>
      <c r="U661" s="45" t="str">
        <f>IF(records[Type]="Room",records[roomNo],records[roomNo]&amp;"-"&amp;SUBSTITUTE(RIGHT(records[roomNo]&amp;records[Type],2),"-",""))</f>
        <v>16-1-084-L</v>
      </c>
      <c r="V661" s="47" t="str">
        <f t="array" ref="V661">_xlfn.XLOOKUP(records[ID], dAir[roomNo], dAir[roomName])</f>
        <v>FILLING 1 (Laminar)</v>
      </c>
      <c r="W661" s="47" t="str">
        <f t="array" ref="W661">_xlfn.XLOOKUP(records[ID], dAir[roomNo], dAir[building])</f>
        <v>Building 16</v>
      </c>
      <c r="X661" s="47" t="str">
        <f t="array" ref="X661">_xlfn.XLOOKUP(records[ID], dAir[roomNo], dAir[floor])</f>
        <v>Floor 1</v>
      </c>
      <c r="Y661" s="45" t="str">
        <f t="array" ref="Y661">_xlfn.XLOOKUP(records[ID], dAir[roomNo], dAir[Class])</f>
        <v>A</v>
      </c>
      <c r="Z661" s="45">
        <f t="array" ref="Z661">_xlfn.XLOOKUP(records[Method]&amp;"-"&amp;records[Class], dAirSpec[ID], dAirSpec[Spec])</f>
        <v>0</v>
      </c>
      <c r="AA661" s="45" t="str">
        <f t="array" ref="AA661">_xlfn.XLOOKUP(records[Method]&amp;"-"&amp;records[Class], dAirSpec[ID], dAirSpec[Unit])</f>
        <v>cfu/m3</v>
      </c>
      <c r="AB661" s="45">
        <f t="array" ref="AB661">if(S661="","", if(records[Method]="Active Air",_xlfn.xlookup(records[ColonyCount]&amp;records[AirSampler],feller[code],feller[Vc]),records[ColonyCount]))</f>
        <v>0</v>
      </c>
      <c r="AC661" s="60" t="b">
        <f t="shared" si="1"/>
        <v>1</v>
      </c>
      <c r="AD661" s="61" t="b">
        <v>0</v>
      </c>
      <c r="AE661" s="32"/>
      <c r="AF661" s="46"/>
      <c r="AG661" s="46"/>
      <c r="AH661" s="46"/>
      <c r="AI661" s="46"/>
      <c r="AJ661" s="46"/>
    </row>
    <row r="662" ht="22.5" customHeight="1">
      <c r="A662" s="27">
        <v>46249.0</v>
      </c>
      <c r="B662" s="34" t="str">
        <f t="array" ref="B662">TEXT(A662, "MM-YYYY")</f>
        <v>08-2026</v>
      </c>
      <c r="C662" s="32" t="s">
        <v>774</v>
      </c>
      <c r="D662" s="21" t="s">
        <v>755</v>
      </c>
      <c r="E662" s="225" t="s">
        <v>531</v>
      </c>
      <c r="F662" s="37"/>
      <c r="G662" s="29" t="b">
        <v>0</v>
      </c>
      <c r="H662" s="36" t="s">
        <v>1737</v>
      </c>
      <c r="I662" s="36" t="s">
        <v>534</v>
      </c>
      <c r="J662" s="214"/>
      <c r="K662" s="215"/>
      <c r="L662" s="37" t="s">
        <v>194</v>
      </c>
      <c r="M662" s="37" t="s">
        <v>194</v>
      </c>
      <c r="N662" s="37" t="s">
        <v>194</v>
      </c>
      <c r="O662" s="37" t="s">
        <v>194</v>
      </c>
      <c r="P662" s="37" t="s">
        <v>2471</v>
      </c>
      <c r="Q662" s="37"/>
      <c r="R662" s="41">
        <v>47022.0</v>
      </c>
      <c r="S662" s="42">
        <v>0.0</v>
      </c>
      <c r="T662" s="44" t="s">
        <v>2473</v>
      </c>
      <c r="U662" s="45" t="str">
        <f>IF(records[Type]="Room",records[roomNo],records[roomNo]&amp;"-"&amp;SUBSTITUTE(RIGHT(records[roomNo]&amp;records[Type],2),"-",""))</f>
        <v>16-1-084-M</v>
      </c>
      <c r="V662" s="47" t="str">
        <f t="array" ref="V662">_xlfn.XLOOKUP(records[ID], dAir[roomNo], dAir[roomName])</f>
        <v>FILLING 1 (Machine)</v>
      </c>
      <c r="W662" s="47" t="str">
        <f t="array" ref="W662">_xlfn.XLOOKUP(records[ID], dAir[roomNo], dAir[building])</f>
        <v>Building 16</v>
      </c>
      <c r="X662" s="47" t="str">
        <f t="array" ref="X662">_xlfn.XLOOKUP(records[ID], dAir[roomNo], dAir[floor])</f>
        <v>Floor 1</v>
      </c>
      <c r="Y662" s="45" t="str">
        <f t="array" ref="Y662">_xlfn.XLOOKUP(records[ID], dAir[roomNo], dAir[Class])</f>
        <v>A</v>
      </c>
      <c r="Z662" s="45">
        <f t="array" ref="Z662">_xlfn.XLOOKUP(records[Method]&amp;"-"&amp;records[Class], dAirSpec[ID], dAirSpec[Spec])</f>
        <v>0</v>
      </c>
      <c r="AA662" s="45" t="str">
        <f t="array" ref="AA662">_xlfn.XLOOKUP(records[Method]&amp;"-"&amp;records[Class], dAirSpec[ID], dAirSpec[Unit])</f>
        <v>cfu/m3</v>
      </c>
      <c r="AB662" s="45">
        <f t="array" ref="AB662">if(S662="","", if(records[Method]="Active Air",_xlfn.xlookup(records[ColonyCount]&amp;records[AirSampler],feller[code],feller[Vc]),records[ColonyCount]))</f>
        <v>0</v>
      </c>
      <c r="AC662" s="60" t="b">
        <f t="shared" si="1"/>
        <v>1</v>
      </c>
      <c r="AD662" s="61" t="b">
        <v>0</v>
      </c>
      <c r="AE662" s="32"/>
      <c r="AF662" s="46"/>
      <c r="AG662" s="46"/>
      <c r="AH662" s="46"/>
      <c r="AI662" s="46"/>
      <c r="AJ662" s="46"/>
    </row>
    <row r="663" ht="22.5" customHeight="1">
      <c r="A663" s="27">
        <v>46249.0</v>
      </c>
      <c r="B663" s="34" t="str">
        <f t="array" ref="B663">TEXT(A663, "MM-YYYY")</f>
        <v>08-2026</v>
      </c>
      <c r="C663" s="32" t="s">
        <v>765</v>
      </c>
      <c r="D663" s="21" t="s">
        <v>755</v>
      </c>
      <c r="E663" s="225" t="s">
        <v>531</v>
      </c>
      <c r="F663" s="37"/>
      <c r="G663" s="29" t="b">
        <v>0</v>
      </c>
      <c r="H663" s="36" t="s">
        <v>1737</v>
      </c>
      <c r="I663" s="36" t="s">
        <v>534</v>
      </c>
      <c r="J663" s="214"/>
      <c r="K663" s="215"/>
      <c r="L663" s="37" t="s">
        <v>194</v>
      </c>
      <c r="M663" s="37" t="s">
        <v>194</v>
      </c>
      <c r="N663" s="37" t="s">
        <v>194</v>
      </c>
      <c r="O663" s="37" t="s">
        <v>194</v>
      </c>
      <c r="P663" s="37" t="s">
        <v>2471</v>
      </c>
      <c r="Q663" s="37"/>
      <c r="R663" s="41">
        <v>47022.0</v>
      </c>
      <c r="S663" s="42">
        <v>0.0</v>
      </c>
      <c r="T663" s="44" t="s">
        <v>2474</v>
      </c>
      <c r="U663" s="45" t="str">
        <f>IF(records[Type]="Room",records[roomNo],records[roomNo]&amp;"-"&amp;SUBSTITUTE(RIGHT(records[roomNo]&amp;records[Type],2),"-",""))</f>
        <v>16-1-076-M</v>
      </c>
      <c r="V663" s="47" t="str">
        <f t="array" ref="V663">_xlfn.XLOOKUP(records[ID], dAir[roomNo], dAir[roomName])</f>
        <v>FILLING 2 (Machine)</v>
      </c>
      <c r="W663" s="47" t="str">
        <f t="array" ref="W663">_xlfn.XLOOKUP(records[ID], dAir[roomNo], dAir[building])</f>
        <v>Building 16</v>
      </c>
      <c r="X663" s="47" t="str">
        <f t="array" ref="X663">_xlfn.XLOOKUP(records[ID], dAir[roomNo], dAir[floor])</f>
        <v>Floor 1</v>
      </c>
      <c r="Y663" s="45" t="str">
        <f t="array" ref="Y663">_xlfn.XLOOKUP(records[ID], dAir[roomNo], dAir[Class])</f>
        <v>A</v>
      </c>
      <c r="Z663" s="45">
        <f t="array" ref="Z663">_xlfn.XLOOKUP(records[Method]&amp;"-"&amp;records[Class], dAirSpec[ID], dAirSpec[Spec])</f>
        <v>0</v>
      </c>
      <c r="AA663" s="45" t="str">
        <f t="array" ref="AA663">_xlfn.XLOOKUP(records[Method]&amp;"-"&amp;records[Class], dAirSpec[ID], dAirSpec[Unit])</f>
        <v>cfu/m3</v>
      </c>
      <c r="AB663" s="45">
        <f t="array" ref="AB663">if(S663="","", if(records[Method]="Active Air",_xlfn.xlookup(records[ColonyCount]&amp;records[AirSampler],feller[code],feller[Vc]),records[ColonyCount]))</f>
        <v>0</v>
      </c>
      <c r="AC663" s="60" t="b">
        <f t="shared" si="1"/>
        <v>1</v>
      </c>
      <c r="AD663" s="61" t="b">
        <v>0</v>
      </c>
      <c r="AE663" s="32"/>
      <c r="AF663" s="46"/>
      <c r="AG663" s="46"/>
      <c r="AH663" s="46"/>
      <c r="AI663" s="46"/>
      <c r="AJ663" s="46"/>
    </row>
    <row r="664" ht="22.5" customHeight="1">
      <c r="A664" s="27">
        <v>46249.0</v>
      </c>
      <c r="B664" s="34" t="str">
        <f t="array" ref="B664">TEXT(A664, "MM-YYYY")</f>
        <v>08-2026</v>
      </c>
      <c r="C664" s="32" t="s">
        <v>765</v>
      </c>
      <c r="D664" s="21" t="s">
        <v>755</v>
      </c>
      <c r="E664" s="225" t="s">
        <v>531</v>
      </c>
      <c r="F664" s="37"/>
      <c r="G664" s="29" t="b">
        <v>0</v>
      </c>
      <c r="H664" s="36" t="s">
        <v>1737</v>
      </c>
      <c r="I664" s="36" t="s">
        <v>534</v>
      </c>
      <c r="J664" s="214"/>
      <c r="K664" s="215"/>
      <c r="L664" s="37" t="s">
        <v>194</v>
      </c>
      <c r="M664" s="37" t="s">
        <v>194</v>
      </c>
      <c r="N664" s="37" t="s">
        <v>194</v>
      </c>
      <c r="O664" s="37" t="s">
        <v>194</v>
      </c>
      <c r="P664" s="37" t="s">
        <v>2471</v>
      </c>
      <c r="Q664" s="37"/>
      <c r="R664" s="41">
        <v>47022.0</v>
      </c>
      <c r="S664" s="42">
        <v>0.0</v>
      </c>
      <c r="T664" s="44" t="s">
        <v>2476</v>
      </c>
      <c r="U664" s="45" t="str">
        <f>IF(records[Type]="Room",records[roomNo],records[roomNo]&amp;"-"&amp;SUBSTITUTE(RIGHT(records[roomNo]&amp;records[Type],2),"-",""))</f>
        <v>16-1-076-M</v>
      </c>
      <c r="V664" s="47" t="str">
        <f t="array" ref="V664">_xlfn.XLOOKUP(records[ID], dAir[roomNo], dAir[roomName])</f>
        <v>FILLING 2 (Machine)</v>
      </c>
      <c r="W664" s="47" t="str">
        <f t="array" ref="W664">_xlfn.XLOOKUP(records[ID], dAir[roomNo], dAir[building])</f>
        <v>Building 16</v>
      </c>
      <c r="X664" s="47" t="str">
        <f t="array" ref="X664">_xlfn.XLOOKUP(records[ID], dAir[roomNo], dAir[floor])</f>
        <v>Floor 1</v>
      </c>
      <c r="Y664" s="45" t="str">
        <f t="array" ref="Y664">_xlfn.XLOOKUP(records[ID], dAir[roomNo], dAir[Class])</f>
        <v>A</v>
      </c>
      <c r="Z664" s="45">
        <f t="array" ref="Z664">_xlfn.XLOOKUP(records[Method]&amp;"-"&amp;records[Class], dAirSpec[ID], dAirSpec[Spec])</f>
        <v>0</v>
      </c>
      <c r="AA664" s="45" t="str">
        <f t="array" ref="AA664">_xlfn.XLOOKUP(records[Method]&amp;"-"&amp;records[Class], dAirSpec[ID], dAirSpec[Unit])</f>
        <v>cfu/m3</v>
      </c>
      <c r="AB664" s="45">
        <f t="array" ref="AB664">if(S664="","", if(records[Method]="Active Air",_xlfn.xlookup(records[ColonyCount]&amp;records[AirSampler],feller[code],feller[Vc]),records[ColonyCount]))</f>
        <v>0</v>
      </c>
      <c r="AC664" s="60" t="b">
        <f t="shared" si="1"/>
        <v>1</v>
      </c>
      <c r="AD664" s="61" t="b">
        <v>0</v>
      </c>
      <c r="AE664" s="32"/>
      <c r="AF664" s="46"/>
      <c r="AG664" s="46"/>
      <c r="AH664" s="46"/>
      <c r="AI664" s="46"/>
      <c r="AJ664" s="46"/>
    </row>
    <row r="665" ht="22.5" customHeight="1">
      <c r="A665" s="27">
        <v>46249.0</v>
      </c>
      <c r="B665" s="34" t="str">
        <f t="array" ref="B665">TEXT(A665, "MM-YYYY")</f>
        <v>08-2026</v>
      </c>
      <c r="C665" s="32" t="s">
        <v>753</v>
      </c>
      <c r="D665" s="21" t="s">
        <v>755</v>
      </c>
      <c r="E665" s="225" t="s">
        <v>531</v>
      </c>
      <c r="F665" s="37"/>
      <c r="G665" s="29" t="b">
        <v>0</v>
      </c>
      <c r="H665" s="36" t="s">
        <v>1737</v>
      </c>
      <c r="I665" s="36" t="s">
        <v>534</v>
      </c>
      <c r="J665" s="214"/>
      <c r="K665" s="215"/>
      <c r="L665" s="37" t="s">
        <v>194</v>
      </c>
      <c r="M665" s="37" t="s">
        <v>194</v>
      </c>
      <c r="N665" s="37" t="s">
        <v>194</v>
      </c>
      <c r="O665" s="37" t="s">
        <v>194</v>
      </c>
      <c r="P665" s="37" t="s">
        <v>2471</v>
      </c>
      <c r="Q665" s="37"/>
      <c r="R665" s="41">
        <v>47022.0</v>
      </c>
      <c r="S665" s="42">
        <v>0.0</v>
      </c>
      <c r="T665" s="44" t="s">
        <v>2477</v>
      </c>
      <c r="U665" s="45" t="str">
        <f>IF(records[Type]="Room",records[roomNo],records[roomNo]&amp;"-"&amp;SUBSTITUTE(RIGHT(records[roomNo]&amp;records[Type],2),"-",""))</f>
        <v>16-1-075-M</v>
      </c>
      <c r="V665" s="47" t="str">
        <f t="array" ref="V665">_xlfn.XLOOKUP(records[ID], dAir[roomNo], dAir[roomName])</f>
        <v>VIALS CAPPING (Machine)</v>
      </c>
      <c r="W665" s="47" t="str">
        <f t="array" ref="W665">_xlfn.XLOOKUP(records[ID], dAir[roomNo], dAir[building])</f>
        <v>Building 16</v>
      </c>
      <c r="X665" s="47" t="str">
        <f t="array" ref="X665">_xlfn.XLOOKUP(records[ID], dAir[roomNo], dAir[floor])</f>
        <v>Floor 1</v>
      </c>
      <c r="Y665" s="45" t="str">
        <f t="array" ref="Y665">_xlfn.XLOOKUP(records[ID], dAir[roomNo], dAir[Class])</f>
        <v>A</v>
      </c>
      <c r="Z665" s="45">
        <f t="array" ref="Z665">_xlfn.XLOOKUP(records[Method]&amp;"-"&amp;records[Class], dAirSpec[ID], dAirSpec[Spec])</f>
        <v>0</v>
      </c>
      <c r="AA665" s="45" t="str">
        <f t="array" ref="AA665">_xlfn.XLOOKUP(records[Method]&amp;"-"&amp;records[Class], dAirSpec[ID], dAirSpec[Unit])</f>
        <v>cfu/m3</v>
      </c>
      <c r="AB665" s="45">
        <f t="array" ref="AB665">if(S665="","", if(records[Method]="Active Air",_xlfn.xlookup(records[ColonyCount]&amp;records[AirSampler],feller[code],feller[Vc]),records[ColonyCount]))</f>
        <v>0</v>
      </c>
      <c r="AC665" s="60" t="b">
        <f t="shared" si="1"/>
        <v>1</v>
      </c>
      <c r="AD665" s="61" t="b">
        <v>0</v>
      </c>
      <c r="AE665" s="32"/>
      <c r="AF665" s="46"/>
      <c r="AG665" s="46"/>
      <c r="AH665" s="46"/>
      <c r="AI665" s="46"/>
      <c r="AJ665" s="46"/>
    </row>
    <row r="666" ht="22.5" customHeight="1">
      <c r="A666" s="27">
        <v>46249.0</v>
      </c>
      <c r="B666" s="34" t="str">
        <f t="array" ref="B666">TEXT(A666, "MM-YYYY")</f>
        <v>08-2026</v>
      </c>
      <c r="C666" s="32" t="s">
        <v>754</v>
      </c>
      <c r="D666" s="21" t="s">
        <v>770</v>
      </c>
      <c r="E666" s="225" t="s">
        <v>531</v>
      </c>
      <c r="F666" s="37"/>
      <c r="G666" s="29" t="b">
        <v>0</v>
      </c>
      <c r="H666" s="36" t="s">
        <v>1737</v>
      </c>
      <c r="I666" s="36" t="s">
        <v>534</v>
      </c>
      <c r="J666" s="214"/>
      <c r="K666" s="215"/>
      <c r="L666" s="37" t="s">
        <v>194</v>
      </c>
      <c r="M666" s="37" t="s">
        <v>194</v>
      </c>
      <c r="N666" s="37" t="s">
        <v>194</v>
      </c>
      <c r="O666" s="37" t="s">
        <v>194</v>
      </c>
      <c r="P666" s="37" t="s">
        <v>2471</v>
      </c>
      <c r="Q666" s="37"/>
      <c r="R666" s="41">
        <v>47022.0</v>
      </c>
      <c r="S666" s="42">
        <v>0.0</v>
      </c>
      <c r="T666" s="44" t="s">
        <v>2478</v>
      </c>
      <c r="U666" s="45" t="str">
        <f>IF(records[Type]="Room",records[roomNo],records[roomNo]&amp;"-"&amp;SUBSTITUTE(RIGHT(records[roomNo]&amp;records[Type],2),"-",""))</f>
        <v>16-1-105-L</v>
      </c>
      <c r="V666" s="47" t="str">
        <f t="array" ref="V666">_xlfn.XLOOKUP(records[ID], dAir[roomNo], dAir[roomName])</f>
        <v>#N/A</v>
      </c>
      <c r="W666" s="47" t="str">
        <f t="array" ref="W666">_xlfn.XLOOKUP(records[ID], dAir[roomNo], dAir[building])</f>
        <v>#N/A</v>
      </c>
      <c r="X666" s="47" t="str">
        <f t="array" ref="X666">_xlfn.XLOOKUP(records[ID], dAir[roomNo], dAir[floor])</f>
        <v>#N/A</v>
      </c>
      <c r="Y666" s="45" t="str">
        <f t="array" ref="Y666">_xlfn.XLOOKUP(records[ID], dAir[roomNo], dAir[Class])</f>
        <v>#N/A</v>
      </c>
      <c r="Z666" s="45" t="str">
        <f t="array" ref="Z666">_xlfn.XLOOKUP(records[Method]&amp;"-"&amp;records[Class], dAirSpec[ID], dAirSpec[Spec])</f>
        <v>#N/A</v>
      </c>
      <c r="AA666" s="45" t="str">
        <f t="array" ref="AA666">_xlfn.XLOOKUP(records[Method]&amp;"-"&amp;records[Class], dAirSpec[ID], dAirSpec[Unit])</f>
        <v>#N/A</v>
      </c>
      <c r="AB666" s="45">
        <f t="array" ref="AB666">if(S666="","", if(records[Method]="Active Air",_xlfn.xlookup(records[ColonyCount]&amp;records[AirSampler],feller[code],feller[Vc]),records[ColonyCount]))</f>
        <v>0</v>
      </c>
      <c r="AC666" s="60" t="str">
        <f t="shared" si="1"/>
        <v>#N/A</v>
      </c>
      <c r="AD666" s="61" t="b">
        <v>0</v>
      </c>
      <c r="AE666" s="32"/>
      <c r="AF666" s="46"/>
      <c r="AG666" s="46"/>
      <c r="AH666" s="46"/>
      <c r="AI666" s="46"/>
      <c r="AJ666" s="46"/>
    </row>
    <row r="667" ht="22.5" customHeight="1">
      <c r="A667" s="27">
        <v>46249.0</v>
      </c>
      <c r="B667" s="34" t="str">
        <f t="array" ref="B667">TEXT(A667, "MM-YYYY")</f>
        <v>08-2026</v>
      </c>
      <c r="C667" s="251" t="s">
        <v>1493</v>
      </c>
      <c r="D667" s="252" t="s">
        <v>1350</v>
      </c>
      <c r="E667" s="235" t="s">
        <v>531</v>
      </c>
      <c r="F667" s="37"/>
      <c r="G667" s="29" t="b">
        <v>0</v>
      </c>
      <c r="H667" s="36" t="s">
        <v>1737</v>
      </c>
      <c r="I667" s="36" t="s">
        <v>534</v>
      </c>
      <c r="J667" s="214"/>
      <c r="K667" s="215"/>
      <c r="L667" s="37" t="s">
        <v>194</v>
      </c>
      <c r="M667" s="37" t="s">
        <v>194</v>
      </c>
      <c r="N667" s="37" t="s">
        <v>194</v>
      </c>
      <c r="O667" s="37" t="s">
        <v>194</v>
      </c>
      <c r="P667" s="37" t="s">
        <v>2471</v>
      </c>
      <c r="Q667" s="37"/>
      <c r="R667" s="41">
        <v>47022.0</v>
      </c>
      <c r="S667" s="42">
        <v>1.0</v>
      </c>
      <c r="T667" s="44" t="s">
        <v>2480</v>
      </c>
      <c r="U667" s="45" t="str">
        <f>IF(records[Type]="Room",records[roomNo],records[roomNo]&amp;"-"&amp;SUBSTITUTE(RIGHT(records[roomNo]&amp;records[Type],2),"-",""))</f>
        <v>16-1-104-PB</v>
      </c>
      <c r="V667" s="47" t="str">
        <f t="array" ref="V667">_xlfn.XLOOKUP(records[ID], dAir[roomNo], dAir[roomName])</f>
        <v>AMPOULES INTERNAL STAGING (Passbox)</v>
      </c>
      <c r="W667" s="47" t="str">
        <f t="array" ref="W667">_xlfn.XLOOKUP(records[ID], dAir[roomNo], dAir[building])</f>
        <v>Building 16</v>
      </c>
      <c r="X667" s="47" t="str">
        <f t="array" ref="X667">_xlfn.XLOOKUP(records[ID], dAir[roomNo], dAir[floor])</f>
        <v>Floor 1</v>
      </c>
      <c r="Y667" s="45" t="str">
        <f t="array" ref="Y667">_xlfn.XLOOKUP(records[ID], dAir[roomNo], dAir[Class])</f>
        <v>C</v>
      </c>
      <c r="Z667" s="45">
        <f t="array" ref="Z667">_xlfn.XLOOKUP(records[Method]&amp;"-"&amp;records[Class], dAirSpec[ID], dAirSpec[Spec])</f>
        <v>100</v>
      </c>
      <c r="AA667" s="45" t="str">
        <f t="array" ref="AA667">_xlfn.XLOOKUP(records[Method]&amp;"-"&amp;records[Class], dAirSpec[ID], dAirSpec[Unit])</f>
        <v>cfu/m3</v>
      </c>
      <c r="AB667" s="45">
        <f t="array" ref="AB667">if(S667="","", if(records[Method]="Active Air",_xlfn.xlookup(records[ColonyCount]&amp;records[AirSampler],feller[code],feller[Vc]),records[ColonyCount]))</f>
        <v>1</v>
      </c>
      <c r="AC667" s="60" t="b">
        <f t="shared" si="1"/>
        <v>1</v>
      </c>
      <c r="AD667" s="61" t="b">
        <v>0</v>
      </c>
      <c r="AE667" s="32"/>
      <c r="AF667" s="46"/>
      <c r="AG667" s="46"/>
      <c r="AH667" s="46"/>
      <c r="AI667" s="46"/>
      <c r="AJ667" s="46"/>
    </row>
    <row r="668" ht="22.5" customHeight="1">
      <c r="A668" s="27">
        <v>46249.0</v>
      </c>
      <c r="B668" s="34" t="str">
        <f t="array" ref="B668">TEXT(A668, "MM-YYYY")</f>
        <v>08-2026</v>
      </c>
      <c r="C668" s="236" t="s">
        <v>2455</v>
      </c>
      <c r="D668" s="237" t="s">
        <v>755</v>
      </c>
      <c r="E668" s="238" t="s">
        <v>531</v>
      </c>
      <c r="F668" s="37"/>
      <c r="G668" s="29" t="b">
        <v>0</v>
      </c>
      <c r="H668" s="36" t="s">
        <v>1737</v>
      </c>
      <c r="I668" s="36" t="s">
        <v>534</v>
      </c>
      <c r="J668" s="214"/>
      <c r="K668" s="215"/>
      <c r="L668" s="37" t="s">
        <v>194</v>
      </c>
      <c r="M668" s="37" t="s">
        <v>194</v>
      </c>
      <c r="N668" s="37" t="s">
        <v>194</v>
      </c>
      <c r="O668" s="37" t="s">
        <v>194</v>
      </c>
      <c r="P668" s="37" t="s">
        <v>2471</v>
      </c>
      <c r="Q668" s="37"/>
      <c r="R668" s="41">
        <v>47022.0</v>
      </c>
      <c r="S668" s="42">
        <v>0.0</v>
      </c>
      <c r="T668" s="44" t="s">
        <v>2481</v>
      </c>
      <c r="U668" s="45" t="str">
        <f>IF(records[Type]="Room",records[roomNo],records[roomNo]&amp;"-"&amp;SUBSTITUTE(RIGHT(records[roomNo]&amp;records[Type],2),"-",""))</f>
        <v>16-1-063-M</v>
      </c>
      <c r="V668" s="47" t="str">
        <f t="array" ref="V668">_xlfn.XLOOKUP(records[ID], dAir[roomNo], dAir[roomName])</f>
        <v>#N/A</v>
      </c>
      <c r="W668" s="47" t="str">
        <f t="array" ref="W668">_xlfn.XLOOKUP(records[ID], dAir[roomNo], dAir[building])</f>
        <v>#N/A</v>
      </c>
      <c r="X668" s="47" t="str">
        <f t="array" ref="X668">_xlfn.XLOOKUP(records[ID], dAir[roomNo], dAir[floor])</f>
        <v>#N/A</v>
      </c>
      <c r="Y668" s="45" t="str">
        <f t="array" ref="Y668">_xlfn.XLOOKUP(records[ID], dAir[roomNo], dAir[Class])</f>
        <v>#N/A</v>
      </c>
      <c r="Z668" s="45" t="str">
        <f t="array" ref="Z668">_xlfn.XLOOKUP(records[Method]&amp;"-"&amp;records[Class], dAirSpec[ID], dAirSpec[Spec])</f>
        <v>#N/A</v>
      </c>
      <c r="AA668" s="45" t="str">
        <f t="array" ref="AA668">_xlfn.XLOOKUP(records[Method]&amp;"-"&amp;records[Class], dAirSpec[ID], dAirSpec[Unit])</f>
        <v>#N/A</v>
      </c>
      <c r="AB668" s="45">
        <f t="array" ref="AB668">if(S668="","", if(records[Method]="Active Air",_xlfn.xlookup(records[ColonyCount]&amp;records[AirSampler],feller[code],feller[Vc]),records[ColonyCount]))</f>
        <v>0</v>
      </c>
      <c r="AC668" s="60" t="str">
        <f t="shared" si="1"/>
        <v>#N/A</v>
      </c>
      <c r="AD668" s="61" t="b">
        <v>0</v>
      </c>
      <c r="AE668" s="32"/>
      <c r="AF668" s="46"/>
      <c r="AG668" s="46"/>
      <c r="AH668" s="46"/>
      <c r="AI668" s="46"/>
      <c r="AJ668" s="46"/>
    </row>
    <row r="669" ht="22.5" customHeight="1">
      <c r="A669" s="27">
        <v>46249.0</v>
      </c>
      <c r="B669" s="34" t="str">
        <f t="array" ref="B669">TEXT(A669, "MM-YYYY")</f>
        <v>08-2026</v>
      </c>
      <c r="C669" s="251" t="s">
        <v>840</v>
      </c>
      <c r="D669" s="252" t="s">
        <v>770</v>
      </c>
      <c r="E669" s="235" t="s">
        <v>531</v>
      </c>
      <c r="F669" s="37"/>
      <c r="G669" s="29" t="b">
        <v>0</v>
      </c>
      <c r="H669" s="36" t="s">
        <v>1737</v>
      </c>
      <c r="I669" s="36" t="s">
        <v>534</v>
      </c>
      <c r="J669" s="214"/>
      <c r="K669" s="215"/>
      <c r="L669" s="37" t="s">
        <v>194</v>
      </c>
      <c r="M669" s="37" t="s">
        <v>194</v>
      </c>
      <c r="N669" s="37" t="s">
        <v>194</v>
      </c>
      <c r="O669" s="37" t="s">
        <v>194</v>
      </c>
      <c r="P669" s="37" t="s">
        <v>2471</v>
      </c>
      <c r="Q669" s="37"/>
      <c r="R669" s="41">
        <v>47022.0</v>
      </c>
      <c r="S669" s="42">
        <v>0.0</v>
      </c>
      <c r="T669" s="253" t="s">
        <v>2482</v>
      </c>
      <c r="U669" s="195" t="str">
        <f>IF(records[Type]="Room",records[roomNo],records[roomNo]&amp;"-"&amp;SUBSTITUTE(RIGHT(records[roomNo]&amp;records[Type],2),"-",""))</f>
        <v>16-1-069-L</v>
      </c>
      <c r="V669" s="47" t="str">
        <f t="array" ref="V669">_xlfn.XLOOKUP(records[ID], dAir[roomNo], dAir[roomName])</f>
        <v>#N/A</v>
      </c>
      <c r="W669" s="47" t="str">
        <f t="array" ref="W669">_xlfn.XLOOKUP(records[ID], dAir[roomNo], dAir[building])</f>
        <v>#N/A</v>
      </c>
      <c r="X669" s="47" t="str">
        <f t="array" ref="X669">_xlfn.XLOOKUP(records[ID], dAir[roomNo], dAir[floor])</f>
        <v>#N/A</v>
      </c>
      <c r="Y669" s="45" t="str">
        <f t="array" ref="Y669">_xlfn.XLOOKUP(records[ID], dAir[roomNo], dAir[Class])</f>
        <v>#N/A</v>
      </c>
      <c r="Z669" s="45" t="str">
        <f t="array" ref="Z669">_xlfn.XLOOKUP(records[Method]&amp;"-"&amp;records[Class], dAirSpec[ID], dAirSpec[Spec])</f>
        <v>#N/A</v>
      </c>
      <c r="AA669" s="45" t="str">
        <f t="array" ref="AA669">_xlfn.XLOOKUP(records[Method]&amp;"-"&amp;records[Class], dAirSpec[ID], dAirSpec[Unit])</f>
        <v>#N/A</v>
      </c>
      <c r="AB669" s="45">
        <f t="array" ref="AB669">if(S669="","", if(records[Method]="Active Air",_xlfn.xlookup(records[ColonyCount]&amp;records[AirSampler],feller[code],feller[Vc]),records[ColonyCount]))</f>
        <v>0</v>
      </c>
      <c r="AC669" s="60" t="str">
        <f t="shared" si="1"/>
        <v>#N/A</v>
      </c>
      <c r="AD669" s="61" t="b">
        <v>0</v>
      </c>
      <c r="AE669" s="32"/>
      <c r="AF669" s="46"/>
      <c r="AG669" s="46"/>
      <c r="AH669" s="46"/>
      <c r="AI669" s="46"/>
      <c r="AJ669" s="46"/>
    </row>
    <row r="670" ht="22.5" customHeight="1">
      <c r="A670" s="27">
        <v>46249.0</v>
      </c>
      <c r="B670" s="34" t="str">
        <f t="array" ref="B670">TEXT(A670, "MM-YYYY")</f>
        <v>08-2026</v>
      </c>
      <c r="C670" s="236" t="s">
        <v>1471</v>
      </c>
      <c r="D670" s="237" t="s">
        <v>1350</v>
      </c>
      <c r="E670" s="238" t="s">
        <v>531</v>
      </c>
      <c r="F670" s="37"/>
      <c r="G670" s="29" t="b">
        <v>0</v>
      </c>
      <c r="H670" s="36" t="s">
        <v>1737</v>
      </c>
      <c r="I670" s="36" t="s">
        <v>534</v>
      </c>
      <c r="J670" s="214"/>
      <c r="K670" s="215"/>
      <c r="L670" s="37" t="s">
        <v>194</v>
      </c>
      <c r="M670" s="37" t="s">
        <v>194</v>
      </c>
      <c r="N670" s="37" t="s">
        <v>194</v>
      </c>
      <c r="O670" s="37" t="s">
        <v>194</v>
      </c>
      <c r="P670" s="37" t="s">
        <v>2471</v>
      </c>
      <c r="Q670" s="37"/>
      <c r="R670" s="41">
        <v>47022.0</v>
      </c>
      <c r="S670" s="42">
        <v>2.0</v>
      </c>
      <c r="T670" s="44" t="s">
        <v>2483</v>
      </c>
      <c r="U670" s="45" t="str">
        <f>IF(records[Type]="Room",records[roomNo],records[roomNo]&amp;"-"&amp;SUBSTITUTE(RIGHT(records[roomNo]&amp;records[Type],2),"-",""))</f>
        <v>16-1-097-PB</v>
      </c>
      <c r="V670" s="47" t="str">
        <f t="array" ref="V670">_xlfn.XLOOKUP(records[ID], dAir[roomNo], dAir[roomName])</f>
        <v>VIALS INTERNAL STAGING (Passbox)</v>
      </c>
      <c r="W670" s="47" t="str">
        <f t="array" ref="W670">_xlfn.XLOOKUP(records[ID], dAir[roomNo], dAir[building])</f>
        <v>Building 16</v>
      </c>
      <c r="X670" s="47" t="str">
        <f t="array" ref="X670">_xlfn.XLOOKUP(records[ID], dAir[roomNo], dAir[floor])</f>
        <v>Floor 1</v>
      </c>
      <c r="Y670" s="45" t="str">
        <f t="array" ref="Y670">_xlfn.XLOOKUP(records[ID], dAir[roomNo], dAir[Class])</f>
        <v>C</v>
      </c>
      <c r="Z670" s="45">
        <f t="array" ref="Z670">_xlfn.XLOOKUP(records[Method]&amp;"-"&amp;records[Class], dAirSpec[ID], dAirSpec[Spec])</f>
        <v>100</v>
      </c>
      <c r="AA670" s="45" t="str">
        <f t="array" ref="AA670">_xlfn.XLOOKUP(records[Method]&amp;"-"&amp;records[Class], dAirSpec[ID], dAirSpec[Unit])</f>
        <v>cfu/m3</v>
      </c>
      <c r="AB670" s="45">
        <f t="array" ref="AB670">if(S670="","", if(records[Method]="Active Air",_xlfn.xlookup(records[ColonyCount]&amp;records[AirSampler],feller[code],feller[Vc]),records[ColonyCount]))</f>
        <v>2</v>
      </c>
      <c r="AC670" s="60" t="b">
        <f t="shared" si="1"/>
        <v>1</v>
      </c>
      <c r="AD670" s="61" t="b">
        <v>0</v>
      </c>
      <c r="AE670" s="32"/>
      <c r="AF670" s="46"/>
      <c r="AG670" s="46"/>
      <c r="AH670" s="46"/>
      <c r="AI670" s="46"/>
      <c r="AJ670" s="46"/>
    </row>
    <row r="671" ht="22.5" customHeight="1">
      <c r="A671" s="27">
        <v>46249.0</v>
      </c>
      <c r="B671" s="34" t="str">
        <f t="array" ref="B671">TEXT(A671, "MM-YYYY")</f>
        <v>08-2026</v>
      </c>
      <c r="C671" s="251" t="s">
        <v>1486</v>
      </c>
      <c r="D671" s="252" t="s">
        <v>1350</v>
      </c>
      <c r="E671" s="235" t="s">
        <v>531</v>
      </c>
      <c r="F671" s="37"/>
      <c r="G671" s="29" t="b">
        <v>0</v>
      </c>
      <c r="H671" s="36" t="s">
        <v>1737</v>
      </c>
      <c r="I671" s="36" t="s">
        <v>534</v>
      </c>
      <c r="J671" s="214"/>
      <c r="K671" s="215"/>
      <c r="L671" s="37" t="s">
        <v>194</v>
      </c>
      <c r="M671" s="37" t="s">
        <v>194</v>
      </c>
      <c r="N671" s="37" t="s">
        <v>194</v>
      </c>
      <c r="O671" s="37" t="s">
        <v>194</v>
      </c>
      <c r="P671" s="37" t="s">
        <v>2471</v>
      </c>
      <c r="Q671" s="37"/>
      <c r="R671" s="41">
        <v>47022.0</v>
      </c>
      <c r="S671" s="42">
        <v>0.0</v>
      </c>
      <c r="T671" s="44" t="s">
        <v>2484</v>
      </c>
      <c r="U671" s="45" t="str">
        <f>IF(records[Type]="Room",records[roomNo],records[roomNo]&amp;"-"&amp;SUBSTITUTE(RIGHT(records[roomNo]&amp;records[Type],2),"-",""))</f>
        <v>16-1-101-PB</v>
      </c>
      <c r="V671" s="47" t="str">
        <f t="array" ref="V671">_xlfn.XLOOKUP(records[ID], dAir[roomNo], dAir[roomName])</f>
        <v>AIRLOCK (Passbox)</v>
      </c>
      <c r="W671" s="47" t="str">
        <f t="array" ref="W671">_xlfn.XLOOKUP(records[ID], dAir[roomNo], dAir[building])</f>
        <v>Building 16</v>
      </c>
      <c r="X671" s="47" t="str">
        <f t="array" ref="X671">_xlfn.XLOOKUP(records[ID], dAir[roomNo], dAir[floor])</f>
        <v>Floor 1</v>
      </c>
      <c r="Y671" s="45" t="str">
        <f t="array" ref="Y671">_xlfn.XLOOKUP(records[ID], dAir[roomNo], dAir[Class])</f>
        <v>C</v>
      </c>
      <c r="Z671" s="45">
        <f t="array" ref="Z671">_xlfn.XLOOKUP(records[Method]&amp;"-"&amp;records[Class], dAirSpec[ID], dAirSpec[Spec])</f>
        <v>100</v>
      </c>
      <c r="AA671" s="45" t="str">
        <f t="array" ref="AA671">_xlfn.XLOOKUP(records[Method]&amp;"-"&amp;records[Class], dAirSpec[ID], dAirSpec[Unit])</f>
        <v>cfu/m3</v>
      </c>
      <c r="AB671" s="45">
        <f t="array" ref="AB671">if(S671="","", if(records[Method]="Active Air",_xlfn.xlookup(records[ColonyCount]&amp;records[AirSampler],feller[code],feller[Vc]),records[ColonyCount]))</f>
        <v>0</v>
      </c>
      <c r="AC671" s="60" t="b">
        <f t="shared" si="1"/>
        <v>1</v>
      </c>
      <c r="AD671" s="61" t="b">
        <v>0</v>
      </c>
      <c r="AE671" s="32"/>
      <c r="AF671" s="46"/>
      <c r="AG671" s="46"/>
      <c r="AH671" s="46"/>
      <c r="AI671" s="46"/>
      <c r="AJ671" s="46"/>
    </row>
    <row r="672" ht="22.5" customHeight="1">
      <c r="A672" s="27">
        <v>46249.0</v>
      </c>
      <c r="B672" s="34" t="str">
        <f t="array" ref="B672">TEXT(A672, "MM-YYYY")</f>
        <v>08-2026</v>
      </c>
      <c r="C672" s="236" t="s">
        <v>786</v>
      </c>
      <c r="D672" s="237" t="s">
        <v>680</v>
      </c>
      <c r="E672" s="238" t="s">
        <v>531</v>
      </c>
      <c r="F672" s="37"/>
      <c r="G672" s="29" t="b">
        <v>0</v>
      </c>
      <c r="H672" s="36" t="s">
        <v>1737</v>
      </c>
      <c r="I672" s="36" t="s">
        <v>534</v>
      </c>
      <c r="J672" s="214"/>
      <c r="K672" s="215"/>
      <c r="L672" s="37" t="s">
        <v>194</v>
      </c>
      <c r="M672" s="37" t="s">
        <v>194</v>
      </c>
      <c r="N672" s="37" t="s">
        <v>194</v>
      </c>
      <c r="O672" s="37" t="s">
        <v>194</v>
      </c>
      <c r="P672" s="37" t="s">
        <v>2471</v>
      </c>
      <c r="Q672" s="37"/>
      <c r="R672" s="41">
        <v>47022.0</v>
      </c>
      <c r="S672" s="42">
        <v>3.0</v>
      </c>
      <c r="T672" s="44" t="s">
        <v>2485</v>
      </c>
      <c r="U672" s="45" t="str">
        <f>IF(records[Type]="Room",records[roomNo],records[roomNo]&amp;"-"&amp;SUBSTITUTE(RIGHT(records[roomNo]&amp;records[Type],2),"-",""))</f>
        <v>16-1-102-B</v>
      </c>
      <c r="V672" s="47" t="str">
        <f t="array" ref="V672">_xlfn.XLOOKUP(records[ID], dAir[roomNo], dAir[roomName])</f>
        <v>DISPENSING (Booth)</v>
      </c>
      <c r="W672" s="47" t="str">
        <f t="array" ref="W672">_xlfn.XLOOKUP(records[ID], dAir[roomNo], dAir[building])</f>
        <v>Building 16</v>
      </c>
      <c r="X672" s="47" t="str">
        <f t="array" ref="X672">_xlfn.XLOOKUP(records[ID], dAir[roomNo], dAir[floor])</f>
        <v>Floor 1</v>
      </c>
      <c r="Y672" s="45" t="str">
        <f t="array" ref="Y672">_xlfn.XLOOKUP(records[ID], dAir[roomNo], dAir[Class])</f>
        <v>A</v>
      </c>
      <c r="Z672" s="45">
        <f t="array" ref="Z672">_xlfn.XLOOKUP(records[Method]&amp;"-"&amp;records[Class], dAirSpec[ID], dAirSpec[Spec])</f>
        <v>0</v>
      </c>
      <c r="AA672" s="45" t="str">
        <f t="array" ref="AA672">_xlfn.XLOOKUP(records[Method]&amp;"-"&amp;records[Class], dAirSpec[ID], dAirSpec[Unit])</f>
        <v>cfu/m3</v>
      </c>
      <c r="AB672" s="232">
        <f t="array" ref="AB672">if(S672="","", if(records[Method]="Active Air",_xlfn.xlookup(records[ColonyCount]&amp;records[AirSampler],feller[code],feller[Vc]),records[ColonyCount]))</f>
        <v>3</v>
      </c>
      <c r="AC672" s="60" t="b">
        <f t="shared" si="1"/>
        <v>0</v>
      </c>
      <c r="AD672" s="61" t="b">
        <v>0</v>
      </c>
      <c r="AE672" s="32"/>
      <c r="AF672" s="46"/>
      <c r="AG672" s="46"/>
      <c r="AH672" s="46"/>
      <c r="AI672" s="46"/>
      <c r="AJ672" s="46"/>
    </row>
    <row r="673" ht="22.5" customHeight="1">
      <c r="A673" s="27">
        <v>46249.0</v>
      </c>
      <c r="B673" s="34" t="str">
        <f t="array" ref="B673">TEXT(A673, "MM-YYYY")</f>
        <v>08-2026</v>
      </c>
      <c r="C673" s="251" t="s">
        <v>1502</v>
      </c>
      <c r="D673" s="252" t="s">
        <v>210</v>
      </c>
      <c r="E673" s="235" t="s">
        <v>531</v>
      </c>
      <c r="F673" s="37"/>
      <c r="G673" s="29" t="b">
        <v>0</v>
      </c>
      <c r="H673" s="36" t="s">
        <v>1737</v>
      </c>
      <c r="I673" s="36" t="s">
        <v>534</v>
      </c>
      <c r="J673" s="214"/>
      <c r="K673" s="215"/>
      <c r="L673" s="37" t="s">
        <v>194</v>
      </c>
      <c r="M673" s="37" t="s">
        <v>194</v>
      </c>
      <c r="N673" s="37" t="s">
        <v>194</v>
      </c>
      <c r="O673" s="37" t="s">
        <v>194</v>
      </c>
      <c r="P673" s="37" t="s">
        <v>2471</v>
      </c>
      <c r="Q673" s="37"/>
      <c r="R673" s="41">
        <v>47022.0</v>
      </c>
      <c r="S673" s="42">
        <v>31.0</v>
      </c>
      <c r="T673" s="44" t="s">
        <v>2486</v>
      </c>
      <c r="U673" s="45" t="str">
        <f>IF(records[Type]="Room",records[roomNo],records[roomNo]&amp;"-"&amp;SUBSTITUTE(RIGHT(records[roomNo]&amp;records[Type],2),"-",""))</f>
        <v>16-1-112</v>
      </c>
      <c r="V673" s="47" t="str">
        <f t="array" ref="V673">_xlfn.XLOOKUP(records[ID], dAir[roomNo], dAir[roomName])</f>
        <v>PASSAGE</v>
      </c>
      <c r="W673" s="47" t="str">
        <f t="array" ref="W673">_xlfn.XLOOKUP(records[ID], dAir[roomNo], dAir[building])</f>
        <v>Building 16</v>
      </c>
      <c r="X673" s="47" t="str">
        <f t="array" ref="X673">_xlfn.XLOOKUP(records[ID], dAir[roomNo], dAir[floor])</f>
        <v>Floor 1</v>
      </c>
      <c r="Y673" s="45" t="str">
        <f t="array" ref="Y673">_xlfn.XLOOKUP(records[ID], dAir[roomNo], dAir[Class])</f>
        <v>C</v>
      </c>
      <c r="Z673" s="45">
        <f t="array" ref="Z673">_xlfn.XLOOKUP(records[Method]&amp;"-"&amp;records[Class], dAirSpec[ID], dAirSpec[Spec])</f>
        <v>100</v>
      </c>
      <c r="AA673" s="45" t="str">
        <f t="array" ref="AA673">_xlfn.XLOOKUP(records[Method]&amp;"-"&amp;records[Class], dAirSpec[ID], dAirSpec[Unit])</f>
        <v>cfu/m3</v>
      </c>
      <c r="AB673" s="45">
        <f t="array" ref="AB673">if(S673="","", if(records[Method]="Active Air",_xlfn.xlookup(records[ColonyCount]&amp;records[AirSampler],feller[code],feller[Vc]),records[ColonyCount]))</f>
        <v>33</v>
      </c>
      <c r="AC673" s="60" t="b">
        <f t="shared" si="1"/>
        <v>1</v>
      </c>
      <c r="AD673" s="61" t="b">
        <v>0</v>
      </c>
      <c r="AE673" s="32"/>
      <c r="AF673" s="46"/>
      <c r="AG673" s="46"/>
      <c r="AH673" s="46"/>
      <c r="AI673" s="46"/>
      <c r="AJ673" s="46"/>
    </row>
    <row r="674" ht="22.5" customHeight="1">
      <c r="A674" s="27">
        <v>46249.0</v>
      </c>
      <c r="B674" s="34" t="str">
        <f t="array" ref="B674">TEXT(A674, "MM-YYYY")</f>
        <v>08-2026</v>
      </c>
      <c r="C674" s="236" t="s">
        <v>1311</v>
      </c>
      <c r="D674" s="237" t="s">
        <v>1350</v>
      </c>
      <c r="E674" s="238" t="s">
        <v>531</v>
      </c>
      <c r="F674" s="37"/>
      <c r="G674" s="29" t="b">
        <v>0</v>
      </c>
      <c r="H674" s="36" t="s">
        <v>1737</v>
      </c>
      <c r="I674" s="36" t="s">
        <v>534</v>
      </c>
      <c r="J674" s="214"/>
      <c r="K674" s="215"/>
      <c r="L674" s="37" t="s">
        <v>194</v>
      </c>
      <c r="M674" s="37" t="s">
        <v>194</v>
      </c>
      <c r="N674" s="37" t="s">
        <v>194</v>
      </c>
      <c r="O674" s="37" t="s">
        <v>194</v>
      </c>
      <c r="P674" s="37" t="s">
        <v>2471</v>
      </c>
      <c r="Q674" s="37"/>
      <c r="R674" s="41">
        <v>47022.0</v>
      </c>
      <c r="S674" s="42">
        <v>50.0</v>
      </c>
      <c r="T674" s="44" t="s">
        <v>2487</v>
      </c>
      <c r="U674" s="45" t="str">
        <f>IF(records[Type]="Room",records[roomNo],records[roomNo]&amp;"-"&amp;SUBSTITUTE(RIGHT(records[roomNo]&amp;records[Type],2),"-",""))</f>
        <v>16-1-091-PB</v>
      </c>
      <c r="V674" s="47" t="str">
        <f t="array" ref="V674">_xlfn.XLOOKUP(records[ID], dAir[roomNo], dAir[roomName])</f>
        <v>CORRIDOR (Passbox)</v>
      </c>
      <c r="W674" s="47" t="str">
        <f t="array" ref="W674">_xlfn.XLOOKUP(records[ID], dAir[roomNo], dAir[building])</f>
        <v>Building 16</v>
      </c>
      <c r="X674" s="47" t="str">
        <f t="array" ref="X674">_xlfn.XLOOKUP(records[ID], dAir[roomNo], dAir[floor])</f>
        <v>Floor 1</v>
      </c>
      <c r="Y674" s="45" t="str">
        <f t="array" ref="Y674">_xlfn.XLOOKUP(records[ID], dAir[roomNo], dAir[Class])</f>
        <v>C</v>
      </c>
      <c r="Z674" s="45">
        <f t="array" ref="Z674">_xlfn.XLOOKUP(records[Method]&amp;"-"&amp;records[Class], dAirSpec[ID], dAirSpec[Spec])</f>
        <v>100</v>
      </c>
      <c r="AA674" s="45" t="str">
        <f t="array" ref="AA674">_xlfn.XLOOKUP(records[Method]&amp;"-"&amp;records[Class], dAirSpec[ID], dAirSpec[Unit])</f>
        <v>cfu/m3</v>
      </c>
      <c r="AB674" s="45">
        <f t="array" ref="AB674">if(S674="","", if(records[Method]="Active Air",_xlfn.xlookup(records[ColonyCount]&amp;records[AirSampler],feller[code],feller[Vc]),records[ColonyCount]))</f>
        <v>57</v>
      </c>
      <c r="AC674" s="60" t="b">
        <f t="shared" si="1"/>
        <v>1</v>
      </c>
      <c r="AD674" s="61" t="b">
        <v>0</v>
      </c>
      <c r="AE674" s="32"/>
      <c r="AF674" s="46"/>
      <c r="AG674" s="46"/>
      <c r="AH674" s="46"/>
      <c r="AI674" s="46"/>
      <c r="AJ674" s="46"/>
    </row>
    <row r="675" ht="22.5" customHeight="1">
      <c r="A675" s="27">
        <v>46250.0</v>
      </c>
      <c r="B675" s="34" t="str">
        <f t="array" ref="B675">TEXT(A675, "MM-YYYY")</f>
        <v>08-2026</v>
      </c>
      <c r="C675" s="241" t="s">
        <v>795</v>
      </c>
      <c r="D675" s="254" t="s">
        <v>210</v>
      </c>
      <c r="E675" s="255" t="s">
        <v>213</v>
      </c>
      <c r="F675" s="37"/>
      <c r="G675" s="29" t="b">
        <v>0</v>
      </c>
      <c r="H675" s="36" t="s">
        <v>214</v>
      </c>
      <c r="I675" s="36" t="s">
        <v>534</v>
      </c>
      <c r="J675" s="214"/>
      <c r="K675" s="215"/>
      <c r="L675" s="37" t="s">
        <v>194</v>
      </c>
      <c r="M675" s="37" t="s">
        <v>194</v>
      </c>
      <c r="N675" s="37" t="s">
        <v>194</v>
      </c>
      <c r="O675" s="37" t="s">
        <v>194</v>
      </c>
      <c r="P675" s="37" t="s">
        <v>527</v>
      </c>
      <c r="Q675" s="37" t="s">
        <v>528</v>
      </c>
      <c r="R675" s="41">
        <v>46651.0</v>
      </c>
      <c r="S675" s="42">
        <v>3.0</v>
      </c>
      <c r="T675" s="44"/>
      <c r="U675" s="47" t="str">
        <f>IF(records[Type]="Room",records[roomNo],records[roomNo]&amp;"-"&amp;SUBSTITUTE(RIGHT(records[roomNo]&amp;records[Type],2),"-",""))</f>
        <v>12-3-049</v>
      </c>
      <c r="V675" s="47" t="str">
        <f t="array" ref="V675">_xlfn.XLOOKUP(records[ID], dAir[roomNo], dAir[roomName])</f>
        <v>CHANGING ROOM</v>
      </c>
      <c r="W675" s="47" t="str">
        <f t="array" ref="W675">_xlfn.XLOOKUP(records[ID], dAir[roomNo], dAir[building])</f>
        <v>Building 12</v>
      </c>
      <c r="X675" s="47" t="str">
        <f t="array" ref="X675">_xlfn.XLOOKUP(records[ID], dAir[roomNo], dAir[floor])</f>
        <v>Floor 3</v>
      </c>
      <c r="Y675" s="45" t="str">
        <f t="array" ref="Y675">_xlfn.XLOOKUP(records[ID], dAir[roomNo], dAir[Class])</f>
        <v>D</v>
      </c>
      <c r="Z675" s="45">
        <f t="array" ref="Z675">_xlfn.XLOOKUP(records[Method]&amp;"-"&amp;records[Class], dAirSpec[ID], dAirSpec[Spec])</f>
        <v>100</v>
      </c>
      <c r="AA675" s="45" t="str">
        <f t="array" ref="AA675">_xlfn.XLOOKUP(records[Method]&amp;"-"&amp;records[Class], dAirSpec[ID], dAirSpec[Unit])</f>
        <v>cfu/plate</v>
      </c>
      <c r="AB675" s="58">
        <f t="array" ref="AB675">if(S675="","", if(records[Method]="Active Air",_xlfn.xlookup(records[ColonyCount]&amp;records[AirSampler],feller[code],feller[Vc]),records[ColonyCount]))</f>
        <v>3</v>
      </c>
      <c r="AC675" s="60" t="b">
        <f t="shared" si="1"/>
        <v>1</v>
      </c>
      <c r="AD675" s="61" t="b">
        <v>0</v>
      </c>
      <c r="AE675" s="32"/>
      <c r="AF675" s="46"/>
      <c r="AG675" s="46"/>
      <c r="AH675" s="46"/>
      <c r="AI675" s="46"/>
      <c r="AJ675" s="46"/>
    </row>
    <row r="676" ht="22.5" customHeight="1">
      <c r="A676" s="27">
        <v>46250.0</v>
      </c>
      <c r="B676" s="34" t="str">
        <f t="array" ref="B676">TEXT(A676, "MM-YYYY")</f>
        <v>08-2026</v>
      </c>
      <c r="C676" s="244" t="s">
        <v>802</v>
      </c>
      <c r="D676" s="256" t="s">
        <v>210</v>
      </c>
      <c r="E676" s="257" t="s">
        <v>213</v>
      </c>
      <c r="F676" s="37"/>
      <c r="G676" s="29" t="b">
        <v>0</v>
      </c>
      <c r="H676" s="36" t="s">
        <v>214</v>
      </c>
      <c r="I676" s="36" t="s">
        <v>534</v>
      </c>
      <c r="J676" s="214"/>
      <c r="K676" s="215"/>
      <c r="L676" s="37" t="s">
        <v>194</v>
      </c>
      <c r="M676" s="37" t="s">
        <v>194</v>
      </c>
      <c r="N676" s="37" t="s">
        <v>194</v>
      </c>
      <c r="O676" s="37" t="s">
        <v>194</v>
      </c>
      <c r="P676" s="37" t="s">
        <v>527</v>
      </c>
      <c r="Q676" s="37" t="s">
        <v>528</v>
      </c>
      <c r="R676" s="41">
        <v>46651.0</v>
      </c>
      <c r="S676" s="42">
        <v>0.0</v>
      </c>
      <c r="T676" s="44"/>
      <c r="U676" s="47" t="str">
        <f>IF(records[Type]="Room",records[roomNo],records[roomNo]&amp;"-"&amp;SUBSTITUTE(RIGHT(records[roomNo]&amp;records[Type],2),"-",""))</f>
        <v>12-3-050</v>
      </c>
      <c r="V676" s="47" t="str">
        <f t="array" ref="V676">_xlfn.XLOOKUP(records[ID], dAir[roomNo], dAir[roomName])</f>
        <v>CORRIDOR</v>
      </c>
      <c r="W676" s="47" t="str">
        <f t="array" ref="W676">_xlfn.XLOOKUP(records[ID], dAir[roomNo], dAir[building])</f>
        <v>Building 12</v>
      </c>
      <c r="X676" s="47" t="str">
        <f t="array" ref="X676">_xlfn.XLOOKUP(records[ID], dAir[roomNo], dAir[floor])</f>
        <v>Floor 3</v>
      </c>
      <c r="Y676" s="45" t="str">
        <f t="array" ref="Y676">_xlfn.XLOOKUP(records[ID], dAir[roomNo], dAir[Class])</f>
        <v>D</v>
      </c>
      <c r="Z676" s="45">
        <f t="array" ref="Z676">_xlfn.XLOOKUP(records[Method]&amp;"-"&amp;records[Class], dAirSpec[ID], dAirSpec[Spec])</f>
        <v>100</v>
      </c>
      <c r="AA676" s="45" t="str">
        <f t="array" ref="AA676">_xlfn.XLOOKUP(records[Method]&amp;"-"&amp;records[Class], dAirSpec[ID], dAirSpec[Unit])</f>
        <v>cfu/plate</v>
      </c>
      <c r="AB676" s="58">
        <f t="array" ref="AB676">if(S676="","", if(records[Method]="Active Air",_xlfn.xlookup(records[ColonyCount]&amp;records[AirSampler],feller[code],feller[Vc]),records[ColonyCount]))</f>
        <v>0</v>
      </c>
      <c r="AC676" s="60" t="b">
        <f t="shared" si="1"/>
        <v>1</v>
      </c>
      <c r="AD676" s="61" t="b">
        <v>0</v>
      </c>
      <c r="AE676" s="32"/>
      <c r="AF676" s="46"/>
      <c r="AG676" s="46"/>
      <c r="AH676" s="46"/>
      <c r="AI676" s="46"/>
      <c r="AJ676" s="46"/>
    </row>
    <row r="677" ht="22.5" customHeight="1">
      <c r="A677" s="27">
        <v>46250.0</v>
      </c>
      <c r="B677" s="34" t="str">
        <f t="array" ref="B677">TEXT(A677, "MM-YYYY")</f>
        <v>08-2026</v>
      </c>
      <c r="C677" s="247" t="s">
        <v>809</v>
      </c>
      <c r="D677" s="254" t="s">
        <v>210</v>
      </c>
      <c r="E677" s="255" t="s">
        <v>213</v>
      </c>
      <c r="F677" s="37"/>
      <c r="G677" s="29" t="b">
        <v>0</v>
      </c>
      <c r="H677" s="36" t="s">
        <v>214</v>
      </c>
      <c r="I677" s="36" t="s">
        <v>534</v>
      </c>
      <c r="J677" s="214"/>
      <c r="K677" s="215"/>
      <c r="L677" s="37" t="s">
        <v>194</v>
      </c>
      <c r="M677" s="37" t="s">
        <v>194</v>
      </c>
      <c r="N677" s="37" t="s">
        <v>194</v>
      </c>
      <c r="O677" s="37" t="s">
        <v>194</v>
      </c>
      <c r="P677" s="37" t="s">
        <v>527</v>
      </c>
      <c r="Q677" s="37" t="s">
        <v>528</v>
      </c>
      <c r="R677" s="41">
        <v>46651.0</v>
      </c>
      <c r="S677" s="42">
        <v>0.0</v>
      </c>
      <c r="T677" s="44"/>
      <c r="U677" s="83" t="str">
        <f>IF(records[Type]="Room",records[roomNo],records[roomNo]&amp;"-"&amp;SUBSTITUTE(RIGHT(records[roomNo]&amp;records[Type],2),"-",""))</f>
        <v>12-3-053</v>
      </c>
      <c r="V677" s="47" t="str">
        <f t="array" ref="V677">_xlfn.XLOOKUP(records[ID], dAir[roomNo], dAir[roomName])</f>
        <v>MLT 2</v>
      </c>
      <c r="W677" s="47" t="str">
        <f t="array" ref="W677">_xlfn.XLOOKUP(records[ID], dAir[roomNo], dAir[building])</f>
        <v>Building 12</v>
      </c>
      <c r="X677" s="47" t="str">
        <f t="array" ref="X677">_xlfn.XLOOKUP(records[ID], dAir[roomNo], dAir[floor])</f>
        <v>Floor 3</v>
      </c>
      <c r="Y677" s="45" t="str">
        <f t="array" ref="Y677">_xlfn.XLOOKUP(records[ID], dAir[roomNo], dAir[Class])</f>
        <v>D</v>
      </c>
      <c r="Z677" s="45">
        <f t="array" ref="Z677">_xlfn.XLOOKUP(records[Method]&amp;"-"&amp;records[Class], dAirSpec[ID], dAirSpec[Spec])</f>
        <v>100</v>
      </c>
      <c r="AA677" s="45" t="str">
        <f t="array" ref="AA677">_xlfn.XLOOKUP(records[Method]&amp;"-"&amp;records[Class], dAirSpec[ID], dAirSpec[Unit])</f>
        <v>cfu/plate</v>
      </c>
      <c r="AB677" s="58">
        <f t="array" ref="AB677">if(S677="","", if(records[Method]="Active Air",_xlfn.xlookup(records[ColonyCount]&amp;records[AirSampler],feller[code],feller[Vc]),records[ColonyCount]))</f>
        <v>0</v>
      </c>
      <c r="AC677" s="60" t="b">
        <f t="shared" si="1"/>
        <v>1</v>
      </c>
      <c r="AD677" s="61" t="b">
        <v>0</v>
      </c>
      <c r="AE677" s="32"/>
      <c r="AF677" s="46"/>
      <c r="AG677" s="46"/>
      <c r="AH677" s="46"/>
      <c r="AI677" s="46"/>
      <c r="AJ677" s="46"/>
    </row>
    <row r="678" ht="22.5" customHeight="1">
      <c r="A678" s="27">
        <v>46250.0</v>
      </c>
      <c r="B678" s="34" t="str">
        <f t="array" ref="B678">TEXT(A678, "MM-YYYY")</f>
        <v>08-2026</v>
      </c>
      <c r="C678" s="248" t="s">
        <v>814</v>
      </c>
      <c r="D678" s="256" t="s">
        <v>210</v>
      </c>
      <c r="E678" s="258" t="s">
        <v>531</v>
      </c>
      <c r="F678" s="37" t="s">
        <v>114</v>
      </c>
      <c r="G678" s="29" t="b">
        <v>1</v>
      </c>
      <c r="H678" s="36" t="s">
        <v>214</v>
      </c>
      <c r="I678" s="36" t="s">
        <v>534</v>
      </c>
      <c r="J678" s="214"/>
      <c r="K678" s="215"/>
      <c r="L678" s="37" t="s">
        <v>194</v>
      </c>
      <c r="M678" s="37" t="s">
        <v>194</v>
      </c>
      <c r="N678" s="37" t="s">
        <v>194</v>
      </c>
      <c r="O678" s="37" t="s">
        <v>194</v>
      </c>
      <c r="P678" s="37" t="s">
        <v>527</v>
      </c>
      <c r="Q678" s="37" t="s">
        <v>528</v>
      </c>
      <c r="R678" s="41">
        <v>46651.0</v>
      </c>
      <c r="S678" s="42">
        <v>0.0</v>
      </c>
      <c r="T678" s="44"/>
      <c r="U678" s="83" t="str">
        <f>IF(records[Type]="Room",records[roomNo],records[roomNo]&amp;"-"&amp;SUBSTITUTE(RIGHT(records[roomNo]&amp;records[Type],2),"-",""))</f>
        <v>12-3-053-BSC</v>
      </c>
      <c r="V678" s="47" t="str">
        <f t="array" ref="V678">_xlfn.XLOOKUP(records[ID], dAir[roomNo], dAir[roomName])</f>
        <v>MLT 2</v>
      </c>
      <c r="W678" s="47" t="str">
        <f t="array" ref="W678">_xlfn.XLOOKUP(records[ID], dAir[roomNo], dAir[building])</f>
        <v>Building 12</v>
      </c>
      <c r="X678" s="47" t="str">
        <f t="array" ref="X678">_xlfn.XLOOKUP(records[ID], dAir[roomNo], dAir[floor])</f>
        <v>Floor 3</v>
      </c>
      <c r="Y678" s="45" t="str">
        <f t="array" ref="Y678">_xlfn.XLOOKUP(records[ID], dAir[roomNo], dAir[Class])</f>
        <v>A</v>
      </c>
      <c r="Z678" s="45">
        <f t="array" ref="Z678">_xlfn.XLOOKUP(records[Method]&amp;"-"&amp;records[Class], dAirSpec[ID], dAirSpec[Spec])</f>
        <v>0</v>
      </c>
      <c r="AA678" s="45" t="str">
        <f t="array" ref="AA678">_xlfn.XLOOKUP(records[Method]&amp;"-"&amp;records[Class], dAirSpec[ID], dAirSpec[Unit])</f>
        <v>cfu/m3</v>
      </c>
      <c r="AB678" s="45">
        <f t="array" ref="AB678">if(S678="","", if(records[Method]="Active Air",_xlfn.xlookup(records[ColonyCount]&amp;records[AirSampler],feller[code],feller[Vc]),records[ColonyCount]))</f>
        <v>0</v>
      </c>
      <c r="AC678" s="60" t="b">
        <f t="shared" si="1"/>
        <v>1</v>
      </c>
      <c r="AD678" s="61" t="b">
        <v>0</v>
      </c>
      <c r="AE678" s="32" t="s">
        <v>235</v>
      </c>
      <c r="AF678" s="46"/>
      <c r="AG678" s="46"/>
      <c r="AH678" s="46"/>
      <c r="AI678" s="46"/>
      <c r="AJ678" s="46"/>
    </row>
    <row r="679" ht="22.5" customHeight="1">
      <c r="A679" s="27">
        <v>46250.0</v>
      </c>
      <c r="B679" s="34" t="str">
        <f t="array" ref="B679">TEXT(A679, "MM-YYYY")</f>
        <v>08-2026</v>
      </c>
      <c r="C679" s="241" t="s">
        <v>821</v>
      </c>
      <c r="D679" s="254" t="s">
        <v>210</v>
      </c>
      <c r="E679" s="255" t="s">
        <v>213</v>
      </c>
      <c r="F679" s="37"/>
      <c r="G679" s="29" t="b">
        <v>0</v>
      </c>
      <c r="H679" s="36" t="s">
        <v>214</v>
      </c>
      <c r="I679" s="36" t="s">
        <v>534</v>
      </c>
      <c r="J679" s="214"/>
      <c r="K679" s="215"/>
      <c r="L679" s="37" t="s">
        <v>194</v>
      </c>
      <c r="M679" s="37" t="s">
        <v>194</v>
      </c>
      <c r="N679" s="37" t="s">
        <v>194</v>
      </c>
      <c r="O679" s="37" t="s">
        <v>194</v>
      </c>
      <c r="P679" s="37" t="s">
        <v>527</v>
      </c>
      <c r="Q679" s="37" t="s">
        <v>528</v>
      </c>
      <c r="R679" s="41">
        <v>46651.0</v>
      </c>
      <c r="S679" s="42">
        <v>4.0</v>
      </c>
      <c r="T679" s="44"/>
      <c r="U679" s="47" t="str">
        <f>IF(records[Type]="Room",records[roomNo],records[roomNo]&amp;"-"&amp;SUBSTITUTE(RIGHT(records[roomNo]&amp;records[Type],2),"-",""))</f>
        <v>12-3-054</v>
      </c>
      <c r="V679" s="47" t="str">
        <f t="array" ref="V679">_xlfn.XLOOKUP(records[ID], dAir[roomNo], dAir[roomName])</f>
        <v>MLT 3</v>
      </c>
      <c r="W679" s="47" t="str">
        <f t="array" ref="W679">_xlfn.XLOOKUP(records[ID], dAir[roomNo], dAir[building])</f>
        <v>Building 12</v>
      </c>
      <c r="X679" s="47" t="str">
        <f t="array" ref="X679">_xlfn.XLOOKUP(records[ID], dAir[roomNo], dAir[floor])</f>
        <v>Floor 3</v>
      </c>
      <c r="Y679" s="45" t="str">
        <f t="array" ref="Y679">_xlfn.XLOOKUP(records[ID], dAir[roomNo], dAir[Class])</f>
        <v>D</v>
      </c>
      <c r="Z679" s="45">
        <f t="array" ref="Z679">_xlfn.XLOOKUP(records[Method]&amp;"-"&amp;records[Class], dAirSpec[ID], dAirSpec[Spec])</f>
        <v>100</v>
      </c>
      <c r="AA679" s="45" t="str">
        <f t="array" ref="AA679">_xlfn.XLOOKUP(records[Method]&amp;"-"&amp;records[Class], dAirSpec[ID], dAirSpec[Unit])</f>
        <v>cfu/plate</v>
      </c>
      <c r="AB679" s="58">
        <f t="array" ref="AB679">if(S679="","", if(records[Method]="Active Air",_xlfn.xlookup(records[ColonyCount]&amp;records[AirSampler],feller[code],feller[Vc]),records[ColonyCount]))</f>
        <v>4</v>
      </c>
      <c r="AC679" s="60" t="b">
        <f t="shared" si="1"/>
        <v>1</v>
      </c>
      <c r="AD679" s="61" t="b">
        <v>0</v>
      </c>
      <c r="AE679" s="32"/>
      <c r="AF679" s="46"/>
      <c r="AG679" s="46"/>
      <c r="AH679" s="46"/>
      <c r="AI679" s="46"/>
      <c r="AJ679" s="46"/>
    </row>
    <row r="680" ht="22.5" customHeight="1">
      <c r="A680" s="27">
        <v>46250.0</v>
      </c>
      <c r="B680" s="34" t="str">
        <f t="array" ref="B680">TEXT(A680, "MM-YYYY")</f>
        <v>08-2026</v>
      </c>
      <c r="C680" s="244" t="s">
        <v>825</v>
      </c>
      <c r="D680" s="256" t="s">
        <v>210</v>
      </c>
      <c r="E680" s="258" t="s">
        <v>531</v>
      </c>
      <c r="F680" s="37" t="s">
        <v>114</v>
      </c>
      <c r="G680" s="29" t="b">
        <v>1</v>
      </c>
      <c r="H680" s="36" t="s">
        <v>214</v>
      </c>
      <c r="I680" s="36" t="s">
        <v>534</v>
      </c>
      <c r="J680" s="214"/>
      <c r="K680" s="215"/>
      <c r="L680" s="37" t="s">
        <v>194</v>
      </c>
      <c r="M680" s="37" t="s">
        <v>194</v>
      </c>
      <c r="N680" s="37" t="s">
        <v>194</v>
      </c>
      <c r="O680" s="37" t="s">
        <v>194</v>
      </c>
      <c r="P680" s="37" t="s">
        <v>527</v>
      </c>
      <c r="Q680" s="37" t="s">
        <v>528</v>
      </c>
      <c r="R680" s="41">
        <v>46651.0</v>
      </c>
      <c r="S680" s="42">
        <v>0.0</v>
      </c>
      <c r="T680" s="44"/>
      <c r="U680" s="47" t="str">
        <f>IF(records[Type]="Room",records[roomNo],records[roomNo]&amp;"-"&amp;SUBSTITUTE(RIGHT(records[roomNo]&amp;records[Type],2),"-",""))</f>
        <v>12-3-054-BSC</v>
      </c>
      <c r="V680" s="47" t="str">
        <f t="array" ref="V680">_xlfn.XLOOKUP(records[ID], dAir[roomNo], dAir[roomName])</f>
        <v>MLT 3</v>
      </c>
      <c r="W680" s="47" t="str">
        <f t="array" ref="W680">_xlfn.XLOOKUP(records[ID], dAir[roomNo], dAir[building])</f>
        <v>Building 12</v>
      </c>
      <c r="X680" s="47" t="str">
        <f t="array" ref="X680">_xlfn.XLOOKUP(records[ID], dAir[roomNo], dAir[floor])</f>
        <v>Floor 3</v>
      </c>
      <c r="Y680" s="45" t="str">
        <f t="array" ref="Y680">_xlfn.XLOOKUP(records[ID], dAir[roomNo], dAir[Class])</f>
        <v>A</v>
      </c>
      <c r="Z680" s="45">
        <f t="array" ref="Z680">_xlfn.XLOOKUP(records[Method]&amp;"-"&amp;records[Class], dAirSpec[ID], dAirSpec[Spec])</f>
        <v>0</v>
      </c>
      <c r="AA680" s="45" t="str">
        <f t="array" ref="AA680">_xlfn.XLOOKUP(records[Method]&amp;"-"&amp;records[Class], dAirSpec[ID], dAirSpec[Unit])</f>
        <v>cfu/m3</v>
      </c>
      <c r="AB680" s="45">
        <f t="array" ref="AB680">if(S680="","", if(records[Method]="Active Air",_xlfn.xlookup(records[ColonyCount]&amp;records[AirSampler],feller[code],feller[Vc]),records[ColonyCount]))</f>
        <v>0</v>
      </c>
      <c r="AC680" s="60" t="b">
        <f t="shared" si="1"/>
        <v>1</v>
      </c>
      <c r="AD680" s="61" t="b">
        <v>0</v>
      </c>
      <c r="AE680" s="32" t="s">
        <v>235</v>
      </c>
      <c r="AF680" s="46"/>
      <c r="AG680" s="46"/>
      <c r="AH680" s="46"/>
      <c r="AI680" s="46"/>
      <c r="AJ680" s="46"/>
    </row>
    <row r="681" ht="22.5" customHeight="1">
      <c r="A681" s="27">
        <v>46250.0</v>
      </c>
      <c r="B681" s="34" t="str">
        <f t="array" ref="B681">TEXT(A681, "MM-YYYY")</f>
        <v>08-2026</v>
      </c>
      <c r="C681" s="241" t="s">
        <v>831</v>
      </c>
      <c r="D681" s="254" t="s">
        <v>210</v>
      </c>
      <c r="E681" s="255" t="s">
        <v>213</v>
      </c>
      <c r="F681" s="37"/>
      <c r="G681" s="29" t="b">
        <v>0</v>
      </c>
      <c r="H681" s="36" t="s">
        <v>214</v>
      </c>
      <c r="I681" s="36" t="s">
        <v>534</v>
      </c>
      <c r="J681" s="214"/>
      <c r="K681" s="215"/>
      <c r="L681" s="37" t="s">
        <v>194</v>
      </c>
      <c r="M681" s="37" t="s">
        <v>194</v>
      </c>
      <c r="N681" s="37" t="s">
        <v>194</v>
      </c>
      <c r="O681" s="37" t="s">
        <v>194</v>
      </c>
      <c r="P681" s="37" t="s">
        <v>527</v>
      </c>
      <c r="Q681" s="37" t="s">
        <v>528</v>
      </c>
      <c r="R681" s="41">
        <v>46651.0</v>
      </c>
      <c r="S681" s="42">
        <v>0.0</v>
      </c>
      <c r="T681" s="44"/>
      <c r="U681" s="47" t="str">
        <f>IF(records[Type]="Room",records[roomNo],records[roomNo]&amp;"-"&amp;SUBSTITUTE(RIGHT(records[roomNo]&amp;records[Type],2),"-",""))</f>
        <v>12-3-055</v>
      </c>
      <c r="V681" s="47" t="str">
        <f t="array" ref="V681">_xlfn.XLOOKUP(records[ID], dAir[roomNo], dAir[roomName])</f>
        <v>SPARE ROOM</v>
      </c>
      <c r="W681" s="47" t="str">
        <f t="array" ref="W681">_xlfn.XLOOKUP(records[ID], dAir[roomNo], dAir[building])</f>
        <v>Building 12</v>
      </c>
      <c r="X681" s="47" t="str">
        <f t="array" ref="X681">_xlfn.XLOOKUP(records[ID], dAir[roomNo], dAir[floor])</f>
        <v>Floor 3</v>
      </c>
      <c r="Y681" s="45" t="str">
        <f t="array" ref="Y681">_xlfn.XLOOKUP(records[ID], dAir[roomNo], dAir[Class])</f>
        <v>D</v>
      </c>
      <c r="Z681" s="45">
        <f t="array" ref="Z681">_xlfn.XLOOKUP(records[Method]&amp;"-"&amp;records[Class], dAirSpec[ID], dAirSpec[Spec])</f>
        <v>100</v>
      </c>
      <c r="AA681" s="45" t="str">
        <f t="array" ref="AA681">_xlfn.XLOOKUP(records[Method]&amp;"-"&amp;records[Class], dAirSpec[ID], dAirSpec[Unit])</f>
        <v>cfu/plate</v>
      </c>
      <c r="AB681" s="58">
        <f t="array" ref="AB681">if(S681="","", if(records[Method]="Active Air",_xlfn.xlookup(records[ColonyCount]&amp;records[AirSampler],feller[code],feller[Vc]),records[ColonyCount]))</f>
        <v>0</v>
      </c>
      <c r="AC681" s="60" t="b">
        <f t="shared" si="1"/>
        <v>1</v>
      </c>
      <c r="AD681" s="61" t="b">
        <v>0</v>
      </c>
      <c r="AE681" s="32"/>
      <c r="AF681" s="46"/>
      <c r="AG681" s="46"/>
      <c r="AH681" s="46"/>
      <c r="AI681" s="46"/>
      <c r="AJ681" s="46"/>
    </row>
    <row r="682" ht="22.5" customHeight="1">
      <c r="A682" s="27">
        <v>46250.0</v>
      </c>
      <c r="B682" s="34" t="str">
        <f t="array" ref="B682">TEXT(A682, "MM-YYYY")</f>
        <v>08-2026</v>
      </c>
      <c r="C682" s="244" t="s">
        <v>831</v>
      </c>
      <c r="D682" s="259" t="s">
        <v>1350</v>
      </c>
      <c r="E682" s="257" t="s">
        <v>213</v>
      </c>
      <c r="F682" s="37"/>
      <c r="G682" s="29" t="b">
        <v>0</v>
      </c>
      <c r="H682" s="36" t="s">
        <v>214</v>
      </c>
      <c r="I682" s="36" t="s">
        <v>534</v>
      </c>
      <c r="J682" s="214"/>
      <c r="K682" s="215"/>
      <c r="L682" s="37" t="s">
        <v>194</v>
      </c>
      <c r="M682" s="37" t="s">
        <v>194</v>
      </c>
      <c r="N682" s="37" t="s">
        <v>194</v>
      </c>
      <c r="O682" s="37" t="s">
        <v>194</v>
      </c>
      <c r="P682" s="37" t="s">
        <v>527</v>
      </c>
      <c r="Q682" s="37" t="s">
        <v>528</v>
      </c>
      <c r="R682" s="41">
        <v>46651.0</v>
      </c>
      <c r="S682" s="42">
        <v>0.0</v>
      </c>
      <c r="T682" s="44"/>
      <c r="U682" s="45" t="str">
        <f>IF(records[Type]="Room",records[roomNo],records[roomNo]&amp;"-"&amp;SUBSTITUTE(RIGHT(records[roomNo]&amp;records[Type],2),"-",""))</f>
        <v>12-3-055-PB</v>
      </c>
      <c r="V682" s="47" t="str">
        <f t="array" ref="V682">_xlfn.XLOOKUP(records[ID], dAir[roomNo], dAir[roomName])</f>
        <v>#N/A</v>
      </c>
      <c r="W682" s="47" t="str">
        <f t="array" ref="W682">_xlfn.XLOOKUP(records[ID], dAir[roomNo], dAir[building])</f>
        <v>#N/A</v>
      </c>
      <c r="X682" s="47" t="str">
        <f t="array" ref="X682">_xlfn.XLOOKUP(records[ID], dAir[roomNo], dAir[floor])</f>
        <v>#N/A</v>
      </c>
      <c r="Y682" s="45" t="str">
        <f t="array" ref="Y682">_xlfn.XLOOKUP(records[ID], dAir[roomNo], dAir[Class])</f>
        <v>#N/A</v>
      </c>
      <c r="Z682" s="45" t="str">
        <f t="array" ref="Z682">_xlfn.XLOOKUP(records[Method]&amp;"-"&amp;records[Class], dAirSpec[ID], dAirSpec[Spec])</f>
        <v>#N/A</v>
      </c>
      <c r="AA682" s="45" t="str">
        <f t="array" ref="AA682">_xlfn.XLOOKUP(records[Method]&amp;"-"&amp;records[Class], dAirSpec[ID], dAirSpec[Unit])</f>
        <v>#N/A</v>
      </c>
      <c r="AB682" s="58">
        <f t="array" ref="AB682">if(S682="","", if(records[Method]="Active Air",_xlfn.xlookup(records[ColonyCount]&amp;records[AirSampler],feller[code],feller[Vc]),records[ColonyCount]))</f>
        <v>0</v>
      </c>
      <c r="AC682" s="60" t="str">
        <f t="shared" si="1"/>
        <v>#N/A</v>
      </c>
      <c r="AD682" s="61" t="b">
        <v>0</v>
      </c>
      <c r="AE682" s="32"/>
      <c r="AF682" s="46"/>
      <c r="AG682" s="46"/>
      <c r="AH682" s="46"/>
      <c r="AI682" s="46"/>
      <c r="AJ682" s="46"/>
    </row>
    <row r="683" ht="22.5" customHeight="1">
      <c r="A683" s="27">
        <v>46251.0</v>
      </c>
      <c r="B683" s="34" t="str">
        <f t="array" ref="B683">TEXT(A683, "MM-YYYY")</f>
        <v>08-2026</v>
      </c>
      <c r="C683" s="39" t="s">
        <v>753</v>
      </c>
      <c r="D683" s="36" t="s">
        <v>755</v>
      </c>
      <c r="E683" s="225" t="s">
        <v>531</v>
      </c>
      <c r="F683" s="37" t="s">
        <v>116</v>
      </c>
      <c r="G683" s="29" t="b">
        <v>1</v>
      </c>
      <c r="H683" s="36" t="s">
        <v>214</v>
      </c>
      <c r="I683" s="36" t="s">
        <v>534</v>
      </c>
      <c r="J683" s="214"/>
      <c r="K683" s="215"/>
      <c r="L683" s="37" t="s">
        <v>298</v>
      </c>
      <c r="M683" s="37" t="s">
        <v>2489</v>
      </c>
      <c r="N683" s="37" t="s">
        <v>194</v>
      </c>
      <c r="O683" s="37" t="s">
        <v>194</v>
      </c>
      <c r="P683" s="37" t="s">
        <v>2471</v>
      </c>
      <c r="Q683" s="37"/>
      <c r="R683" s="41">
        <v>47022.0</v>
      </c>
      <c r="S683" s="42">
        <v>0.0</v>
      </c>
      <c r="T683" s="44"/>
      <c r="U683" s="45" t="str">
        <f>IF(records[Type]="Room",records[roomNo],records[roomNo]&amp;"-"&amp;SUBSTITUTE(RIGHT(records[roomNo]&amp;records[Type],2),"-",""))</f>
        <v>16-1-075-M</v>
      </c>
      <c r="V683" s="47" t="str">
        <f t="array" ref="V683">_xlfn.XLOOKUP(records[ID], dAir[roomNo], dAir[roomName])</f>
        <v>VIALS CAPPING (Machine)</v>
      </c>
      <c r="W683" s="47" t="str">
        <f t="array" ref="W683">_xlfn.XLOOKUP(records[ID], dAir[roomNo], dAir[building])</f>
        <v>Building 16</v>
      </c>
      <c r="X683" s="47" t="str">
        <f t="array" ref="X683">_xlfn.XLOOKUP(records[ID], dAir[roomNo], dAir[floor])</f>
        <v>Floor 1</v>
      </c>
      <c r="Y683" s="45" t="str">
        <f t="array" ref="Y683">_xlfn.XLOOKUP(records[ID], dAir[roomNo], dAir[Class])</f>
        <v>A</v>
      </c>
      <c r="Z683" s="45">
        <f t="array" ref="Z683">_xlfn.XLOOKUP(records[Method]&amp;"-"&amp;records[Class], dAirSpec[ID], dAirSpec[Spec])</f>
        <v>0</v>
      </c>
      <c r="AA683" s="45" t="str">
        <f t="array" ref="AA683">_xlfn.XLOOKUP(records[Method]&amp;"-"&amp;records[Class], dAirSpec[ID], dAirSpec[Unit])</f>
        <v>cfu/m3</v>
      </c>
      <c r="AB683" s="45">
        <f t="array" ref="AB683">if(S683="","", if(records[Method]="Active Air",_xlfn.xlookup(records[ColonyCount]&amp;records[AirSampler],feller[code],feller[Vc]),records[ColonyCount]))</f>
        <v>0</v>
      </c>
      <c r="AC683" s="60" t="b">
        <f t="shared" si="1"/>
        <v>1</v>
      </c>
      <c r="AD683" s="61" t="b">
        <v>0</v>
      </c>
      <c r="AE683" s="32" t="s">
        <v>235</v>
      </c>
      <c r="AF683" s="46"/>
      <c r="AG683" s="46"/>
      <c r="AH683" s="46"/>
      <c r="AI683" s="46"/>
      <c r="AJ683" s="46"/>
    </row>
    <row r="684" ht="22.5" customHeight="1">
      <c r="A684" s="27">
        <v>46251.0</v>
      </c>
      <c r="B684" s="34" t="str">
        <f t="array" ref="B684">TEXT(A684, "MM-YYYY")</f>
        <v>08-2026</v>
      </c>
      <c r="C684" s="39" t="s">
        <v>765</v>
      </c>
      <c r="D684" s="36" t="s">
        <v>755</v>
      </c>
      <c r="E684" s="225" t="s">
        <v>531</v>
      </c>
      <c r="F684" s="37" t="s">
        <v>116</v>
      </c>
      <c r="G684" s="29" t="b">
        <v>1</v>
      </c>
      <c r="H684" s="36" t="s">
        <v>214</v>
      </c>
      <c r="I684" s="36" t="s">
        <v>534</v>
      </c>
      <c r="J684" s="214"/>
      <c r="K684" s="215"/>
      <c r="L684" s="37" t="s">
        <v>469</v>
      </c>
      <c r="M684" s="37" t="s">
        <v>1808</v>
      </c>
      <c r="N684" s="37" t="s">
        <v>194</v>
      </c>
      <c r="O684" s="37" t="s">
        <v>194</v>
      </c>
      <c r="P684" s="37" t="s">
        <v>2471</v>
      </c>
      <c r="Q684" s="37"/>
      <c r="R684" s="41">
        <v>47022.0</v>
      </c>
      <c r="S684" s="42">
        <v>0.0</v>
      </c>
      <c r="T684" s="44"/>
      <c r="U684" s="45" t="str">
        <f>IF(records[Type]="Room",records[roomNo],records[roomNo]&amp;"-"&amp;SUBSTITUTE(RIGHT(records[roomNo]&amp;records[Type],2),"-",""))</f>
        <v>16-1-076-M</v>
      </c>
      <c r="V684" s="47" t="str">
        <f t="array" ref="V684">_xlfn.XLOOKUP(records[ID], dAir[roomNo], dAir[roomName])</f>
        <v>FILLING 2 (Machine)</v>
      </c>
      <c r="W684" s="47" t="str">
        <f t="array" ref="W684">_xlfn.XLOOKUP(records[ID], dAir[roomNo], dAir[building])</f>
        <v>Building 16</v>
      </c>
      <c r="X684" s="47" t="str">
        <f t="array" ref="X684">_xlfn.XLOOKUP(records[ID], dAir[roomNo], dAir[floor])</f>
        <v>Floor 1</v>
      </c>
      <c r="Y684" s="45" t="str">
        <f t="array" ref="Y684">_xlfn.XLOOKUP(records[ID], dAir[roomNo], dAir[Class])</f>
        <v>A</v>
      </c>
      <c r="Z684" s="45">
        <f t="array" ref="Z684">_xlfn.XLOOKUP(records[Method]&amp;"-"&amp;records[Class], dAirSpec[ID], dAirSpec[Spec])</f>
        <v>0</v>
      </c>
      <c r="AA684" s="45" t="str">
        <f t="array" ref="AA684">_xlfn.XLOOKUP(records[Method]&amp;"-"&amp;records[Class], dAirSpec[ID], dAirSpec[Unit])</f>
        <v>cfu/m3</v>
      </c>
      <c r="AB684" s="45">
        <f t="array" ref="AB684">if(S684="","", if(records[Method]="Active Air",_xlfn.xlookup(records[ColonyCount]&amp;records[AirSampler],feller[code],feller[Vc]),records[ColonyCount]))</f>
        <v>0</v>
      </c>
      <c r="AC684" s="60" t="b">
        <f t="shared" si="1"/>
        <v>1</v>
      </c>
      <c r="AD684" s="61" t="b">
        <v>0</v>
      </c>
      <c r="AE684" s="32" t="s">
        <v>235</v>
      </c>
      <c r="AF684" s="46"/>
      <c r="AG684" s="46"/>
      <c r="AH684" s="46"/>
      <c r="AI684" s="46"/>
      <c r="AJ684" s="46"/>
    </row>
    <row r="685" ht="22.5" customHeight="1">
      <c r="A685" s="27">
        <v>46251.0</v>
      </c>
      <c r="B685" s="34" t="str">
        <f t="array" ref="B685">TEXT(A685, "MM-YYYY")</f>
        <v>08-2026</v>
      </c>
      <c r="C685" s="39" t="s">
        <v>765</v>
      </c>
      <c r="D685" s="36" t="s">
        <v>770</v>
      </c>
      <c r="E685" s="225" t="s">
        <v>531</v>
      </c>
      <c r="F685" s="37" t="s">
        <v>116</v>
      </c>
      <c r="G685" s="29" t="b">
        <v>1</v>
      </c>
      <c r="H685" s="36" t="s">
        <v>214</v>
      </c>
      <c r="I685" s="36" t="s">
        <v>534</v>
      </c>
      <c r="J685" s="214"/>
      <c r="K685" s="215"/>
      <c r="L685" s="37" t="s">
        <v>469</v>
      </c>
      <c r="M685" s="37" t="s">
        <v>1808</v>
      </c>
      <c r="N685" s="37" t="s">
        <v>194</v>
      </c>
      <c r="O685" s="37" t="s">
        <v>194</v>
      </c>
      <c r="P685" s="37" t="s">
        <v>2471</v>
      </c>
      <c r="Q685" s="37"/>
      <c r="R685" s="41">
        <v>47022.0</v>
      </c>
      <c r="S685" s="42">
        <v>0.0</v>
      </c>
      <c r="T685" s="44"/>
      <c r="U685" s="45" t="str">
        <f>IF(records[Type]="Room",records[roomNo],records[roomNo]&amp;"-"&amp;SUBSTITUTE(RIGHT(records[roomNo]&amp;records[Type],2),"-",""))</f>
        <v>16-1-076-L</v>
      </c>
      <c r="V685" s="47" t="str">
        <f t="array" ref="V685">_xlfn.XLOOKUP(records[ID], dAir[roomNo], dAir[roomName])</f>
        <v>FILLING 2 (Laminar)</v>
      </c>
      <c r="W685" s="47" t="str">
        <f t="array" ref="W685">_xlfn.XLOOKUP(records[ID], dAir[roomNo], dAir[building])</f>
        <v>Building 16</v>
      </c>
      <c r="X685" s="47" t="str">
        <f t="array" ref="X685">_xlfn.XLOOKUP(records[ID], dAir[roomNo], dAir[floor])</f>
        <v>Floor 1</v>
      </c>
      <c r="Y685" s="45" t="str">
        <f t="array" ref="Y685">_xlfn.XLOOKUP(records[ID], dAir[roomNo], dAir[Class])</f>
        <v>A</v>
      </c>
      <c r="Z685" s="45">
        <f t="array" ref="Z685">_xlfn.XLOOKUP(records[Method]&amp;"-"&amp;records[Class], dAirSpec[ID], dAirSpec[Spec])</f>
        <v>0</v>
      </c>
      <c r="AA685" s="45" t="str">
        <f t="array" ref="AA685">_xlfn.XLOOKUP(records[Method]&amp;"-"&amp;records[Class], dAirSpec[ID], dAirSpec[Unit])</f>
        <v>cfu/m3</v>
      </c>
      <c r="AB685" s="45">
        <f t="array" ref="AB685">if(S685="","", if(records[Method]="Active Air",_xlfn.xlookup(records[ColonyCount]&amp;records[AirSampler],feller[code],feller[Vc]),records[ColonyCount]))</f>
        <v>0</v>
      </c>
      <c r="AC685" s="60" t="b">
        <f t="shared" si="1"/>
        <v>1</v>
      </c>
      <c r="AD685" s="61" t="b">
        <v>0</v>
      </c>
      <c r="AE685" s="32" t="s">
        <v>235</v>
      </c>
      <c r="AF685" s="46"/>
      <c r="AG685" s="46"/>
      <c r="AH685" s="46"/>
      <c r="AI685" s="46"/>
      <c r="AJ685" s="46"/>
    </row>
    <row r="686" ht="22.5" customHeight="1">
      <c r="A686" s="27">
        <v>46251.0</v>
      </c>
      <c r="B686" s="34" t="str">
        <f t="array" ref="B686">TEXT(A686, "MM-YYYY")</f>
        <v>08-2026</v>
      </c>
      <c r="C686" s="39" t="s">
        <v>774</v>
      </c>
      <c r="D686" s="36" t="s">
        <v>755</v>
      </c>
      <c r="E686" s="225" t="s">
        <v>531</v>
      </c>
      <c r="F686" s="37" t="s">
        <v>116</v>
      </c>
      <c r="G686" s="29" t="b">
        <v>1</v>
      </c>
      <c r="H686" s="36" t="s">
        <v>214</v>
      </c>
      <c r="I686" s="36" t="s">
        <v>534</v>
      </c>
      <c r="J686" s="214"/>
      <c r="K686" s="215"/>
      <c r="L686" s="37" t="s">
        <v>326</v>
      </c>
      <c r="M686" s="37" t="s">
        <v>485</v>
      </c>
      <c r="N686" s="37" t="s">
        <v>194</v>
      </c>
      <c r="O686" s="37" t="s">
        <v>194</v>
      </c>
      <c r="P686" s="37" t="s">
        <v>2471</v>
      </c>
      <c r="Q686" s="37"/>
      <c r="R686" s="41">
        <v>47022.0</v>
      </c>
      <c r="S686" s="42">
        <v>0.0</v>
      </c>
      <c r="T686" s="44"/>
      <c r="U686" s="45" t="str">
        <f>IF(records[Type]="Room",records[roomNo],records[roomNo]&amp;"-"&amp;SUBSTITUTE(RIGHT(records[roomNo]&amp;records[Type],2),"-",""))</f>
        <v>16-1-084-M</v>
      </c>
      <c r="V686" s="47" t="str">
        <f t="array" ref="V686">_xlfn.XLOOKUP(records[ID], dAir[roomNo], dAir[roomName])</f>
        <v>FILLING 1 (Machine)</v>
      </c>
      <c r="W686" s="47" t="str">
        <f t="array" ref="W686">_xlfn.XLOOKUP(records[ID], dAir[roomNo], dAir[building])</f>
        <v>Building 16</v>
      </c>
      <c r="X686" s="47" t="str">
        <f t="array" ref="X686">_xlfn.XLOOKUP(records[ID], dAir[roomNo], dAir[floor])</f>
        <v>Floor 1</v>
      </c>
      <c r="Y686" s="45" t="str">
        <f t="array" ref="Y686">_xlfn.XLOOKUP(records[ID], dAir[roomNo], dAir[Class])</f>
        <v>A</v>
      </c>
      <c r="Z686" s="45">
        <f t="array" ref="Z686">_xlfn.XLOOKUP(records[Method]&amp;"-"&amp;records[Class], dAirSpec[ID], dAirSpec[Spec])</f>
        <v>0</v>
      </c>
      <c r="AA686" s="45" t="str">
        <f t="array" ref="AA686">_xlfn.XLOOKUP(records[Method]&amp;"-"&amp;records[Class], dAirSpec[ID], dAirSpec[Unit])</f>
        <v>cfu/m3</v>
      </c>
      <c r="AB686" s="45">
        <f t="array" ref="AB686">if(S686="","", if(records[Method]="Active Air",_xlfn.xlookup(records[ColonyCount]&amp;records[AirSampler],feller[code],feller[Vc]),records[ColonyCount]))</f>
        <v>0</v>
      </c>
      <c r="AC686" s="60" t="b">
        <f t="shared" si="1"/>
        <v>1</v>
      </c>
      <c r="AD686" s="61" t="b">
        <v>0</v>
      </c>
      <c r="AE686" s="32" t="s">
        <v>235</v>
      </c>
      <c r="AF686" s="46"/>
      <c r="AG686" s="46"/>
      <c r="AH686" s="46"/>
      <c r="AI686" s="46"/>
      <c r="AJ686" s="46"/>
    </row>
    <row r="687" ht="22.5" customHeight="1">
      <c r="A687" s="27">
        <v>46251.0</v>
      </c>
      <c r="B687" s="34" t="str">
        <f t="array" ref="B687">TEXT(A687, "MM-YYYY")</f>
        <v>08-2026</v>
      </c>
      <c r="C687" s="39" t="s">
        <v>774</v>
      </c>
      <c r="D687" s="36" t="s">
        <v>770</v>
      </c>
      <c r="E687" s="225" t="s">
        <v>531</v>
      </c>
      <c r="F687" s="37" t="s">
        <v>116</v>
      </c>
      <c r="G687" s="29" t="b">
        <v>1</v>
      </c>
      <c r="H687" s="36" t="s">
        <v>214</v>
      </c>
      <c r="I687" s="36" t="s">
        <v>534</v>
      </c>
      <c r="J687" s="214"/>
      <c r="K687" s="215"/>
      <c r="L687" s="37" t="s">
        <v>326</v>
      </c>
      <c r="M687" s="37" t="s">
        <v>485</v>
      </c>
      <c r="N687" s="37" t="s">
        <v>194</v>
      </c>
      <c r="O687" s="37" t="s">
        <v>194</v>
      </c>
      <c r="P687" s="37" t="s">
        <v>2471</v>
      </c>
      <c r="Q687" s="37"/>
      <c r="R687" s="41">
        <v>47022.0</v>
      </c>
      <c r="S687" s="42">
        <v>0.0</v>
      </c>
      <c r="T687" s="44"/>
      <c r="U687" s="45" t="str">
        <f>IF(records[Type]="Room",records[roomNo],records[roomNo]&amp;"-"&amp;SUBSTITUTE(RIGHT(records[roomNo]&amp;records[Type],2),"-",""))</f>
        <v>16-1-084-L</v>
      </c>
      <c r="V687" s="47" t="str">
        <f t="array" ref="V687">_xlfn.XLOOKUP(records[ID], dAir[roomNo], dAir[roomName])</f>
        <v>FILLING 1 (Laminar)</v>
      </c>
      <c r="W687" s="47" t="str">
        <f t="array" ref="W687">_xlfn.XLOOKUP(records[ID], dAir[roomNo], dAir[building])</f>
        <v>Building 16</v>
      </c>
      <c r="X687" s="47" t="str">
        <f t="array" ref="X687">_xlfn.XLOOKUP(records[ID], dAir[roomNo], dAir[floor])</f>
        <v>Floor 1</v>
      </c>
      <c r="Y687" s="45" t="str">
        <f t="array" ref="Y687">_xlfn.XLOOKUP(records[ID], dAir[roomNo], dAir[Class])</f>
        <v>A</v>
      </c>
      <c r="Z687" s="45">
        <f t="array" ref="Z687">_xlfn.XLOOKUP(records[Method]&amp;"-"&amp;records[Class], dAirSpec[ID], dAirSpec[Spec])</f>
        <v>0</v>
      </c>
      <c r="AA687" s="45" t="str">
        <f t="array" ref="AA687">_xlfn.XLOOKUP(records[Method]&amp;"-"&amp;records[Class], dAirSpec[ID], dAirSpec[Unit])</f>
        <v>cfu/m3</v>
      </c>
      <c r="AB687" s="45">
        <f t="array" ref="AB687">if(S687="","", if(records[Method]="Active Air",_xlfn.xlookup(records[ColonyCount]&amp;records[AirSampler],feller[code],feller[Vc]),records[ColonyCount]))</f>
        <v>0</v>
      </c>
      <c r="AC687" s="60" t="b">
        <f t="shared" si="1"/>
        <v>1</v>
      </c>
      <c r="AD687" s="61" t="b">
        <v>0</v>
      </c>
      <c r="AE687" s="32" t="s">
        <v>235</v>
      </c>
      <c r="AF687" s="46"/>
      <c r="AG687" s="46"/>
      <c r="AH687" s="46"/>
      <c r="AI687" s="46"/>
      <c r="AJ687" s="46"/>
    </row>
    <row r="688" ht="22.5" customHeight="1">
      <c r="A688" s="27">
        <v>46251.0</v>
      </c>
      <c r="B688" s="34" t="str">
        <f t="array" ref="B688">TEXT(A688, "MM-YYYY")</f>
        <v>08-2026</v>
      </c>
      <c r="C688" s="32" t="s">
        <v>786</v>
      </c>
      <c r="D688" s="21" t="s">
        <v>680</v>
      </c>
      <c r="E688" s="225" t="s">
        <v>531</v>
      </c>
      <c r="F688" s="37" t="s">
        <v>116</v>
      </c>
      <c r="G688" s="29" t="b">
        <v>1</v>
      </c>
      <c r="H688" s="36" t="s">
        <v>214</v>
      </c>
      <c r="I688" s="36" t="s">
        <v>534</v>
      </c>
      <c r="J688" s="214"/>
      <c r="K688" s="215"/>
      <c r="L688" s="37" t="s">
        <v>435</v>
      </c>
      <c r="M688" s="37" t="s">
        <v>792</v>
      </c>
      <c r="N688" s="37" t="s">
        <v>194</v>
      </c>
      <c r="O688" s="37" t="s">
        <v>194</v>
      </c>
      <c r="P688" s="37" t="s">
        <v>2471</v>
      </c>
      <c r="Q688" s="37"/>
      <c r="R688" s="41">
        <v>47022.0</v>
      </c>
      <c r="S688" s="42">
        <v>0.0</v>
      </c>
      <c r="T688" s="44"/>
      <c r="U688" s="45" t="str">
        <f>IF(records[Type]="Room",records[roomNo],records[roomNo]&amp;"-"&amp;SUBSTITUTE(RIGHT(records[roomNo]&amp;records[Type],2),"-",""))</f>
        <v>16-1-102-B</v>
      </c>
      <c r="V688" s="47" t="str">
        <f t="array" ref="V688">_xlfn.XLOOKUP(records[ID], dAir[roomNo], dAir[roomName])</f>
        <v>DISPENSING (Booth)</v>
      </c>
      <c r="W688" s="47" t="str">
        <f t="array" ref="W688">_xlfn.XLOOKUP(records[ID], dAir[roomNo], dAir[building])</f>
        <v>Building 16</v>
      </c>
      <c r="X688" s="47" t="str">
        <f t="array" ref="X688">_xlfn.XLOOKUP(records[ID], dAir[roomNo], dAir[floor])</f>
        <v>Floor 1</v>
      </c>
      <c r="Y688" s="45" t="str">
        <f t="array" ref="Y688">_xlfn.XLOOKUP(records[ID], dAir[roomNo], dAir[Class])</f>
        <v>A</v>
      </c>
      <c r="Z688" s="45">
        <f t="array" ref="Z688">_xlfn.XLOOKUP(records[Method]&amp;"-"&amp;records[Class], dAirSpec[ID], dAirSpec[Spec])</f>
        <v>0</v>
      </c>
      <c r="AA688" s="45" t="str">
        <f t="array" ref="AA688">_xlfn.XLOOKUP(records[Method]&amp;"-"&amp;records[Class], dAirSpec[ID], dAirSpec[Unit])</f>
        <v>cfu/m3</v>
      </c>
      <c r="AB688" s="45">
        <f t="array" ref="AB688">if(S688="","", if(records[Method]="Active Air",_xlfn.xlookup(records[ColonyCount]&amp;records[AirSampler],feller[code],feller[Vc]),records[ColonyCount]))</f>
        <v>0</v>
      </c>
      <c r="AC688" s="60" t="b">
        <f t="shared" si="1"/>
        <v>1</v>
      </c>
      <c r="AD688" s="61" t="b">
        <v>0</v>
      </c>
      <c r="AE688" s="32" t="s">
        <v>235</v>
      </c>
      <c r="AF688" s="46"/>
      <c r="AG688" s="46"/>
      <c r="AH688" s="46"/>
      <c r="AI688" s="46"/>
      <c r="AJ688" s="46"/>
    </row>
    <row r="689" ht="22.5" customHeight="1">
      <c r="A689" s="27">
        <v>46253.0</v>
      </c>
      <c r="B689" s="34" t="str">
        <f t="array" ref="B689">TEXT(A689, "MM-YYYY")</f>
        <v>08-2026</v>
      </c>
      <c r="C689" s="260" t="s">
        <v>1315</v>
      </c>
      <c r="D689" s="261" t="s">
        <v>210</v>
      </c>
      <c r="E689" s="261" t="s">
        <v>213</v>
      </c>
      <c r="F689" s="262" t="s">
        <v>123</v>
      </c>
      <c r="G689" s="263" t="b">
        <v>1</v>
      </c>
      <c r="H689" s="36" t="s">
        <v>214</v>
      </c>
      <c r="I689" s="36" t="s">
        <v>215</v>
      </c>
      <c r="J689" s="214"/>
      <c r="K689" s="215"/>
      <c r="L689" s="187" t="s">
        <v>194</v>
      </c>
      <c r="M689" s="187" t="s">
        <v>194</v>
      </c>
      <c r="N689" s="187" t="s">
        <v>194</v>
      </c>
      <c r="O689" s="187" t="s">
        <v>194</v>
      </c>
      <c r="P689" s="37" t="s">
        <v>692</v>
      </c>
      <c r="Q689" s="37" t="s">
        <v>693</v>
      </c>
      <c r="R689" s="41">
        <v>46306.0</v>
      </c>
      <c r="S689" s="42">
        <v>3.0</v>
      </c>
      <c r="T689" s="44"/>
      <c r="U689" s="47" t="str">
        <f>IF(records[Type]="Room",records[roomNo],records[roomNo]&amp;"-"&amp;SUBSTITUTE(RIGHT(records[roomNo]&amp;records[Type],2),"-",""))</f>
        <v>11-1-012</v>
      </c>
      <c r="V689" s="47" t="str">
        <f t="array" ref="V689">_xlfn.XLOOKUP(records[ID], dAir[roomNo], dAir[roomName])</f>
        <v>MAL 2</v>
      </c>
      <c r="W689" s="47" t="str">
        <f t="array" ref="W689">_xlfn.XLOOKUP(records[ID], dAir[roomNo], dAir[building])</f>
        <v>Building 11</v>
      </c>
      <c r="X689" s="47" t="str">
        <f t="array" ref="X689">_xlfn.XLOOKUP(records[ID], dAir[roomNo], dAir[floor])</f>
        <v>Floor 1</v>
      </c>
      <c r="Y689" s="45" t="str">
        <f t="array" ref="Y689">_xlfn.XLOOKUP(records[ID], dAir[roomNo], dAir[Class])</f>
        <v>D</v>
      </c>
      <c r="Z689" s="45">
        <f t="array" ref="Z689">_xlfn.XLOOKUP(records[Method]&amp;"-"&amp;records[Class], dAirSpec[ID], dAirSpec[Spec])</f>
        <v>100</v>
      </c>
      <c r="AA689" s="45" t="str">
        <f t="array" ref="AA689">_xlfn.XLOOKUP(records[Method]&amp;"-"&amp;records[Class], dAirSpec[ID], dAirSpec[Unit])</f>
        <v>cfu/plate</v>
      </c>
      <c r="AB689" s="58">
        <f t="array" ref="AB689">if(S689="","", if(records[Method]="Active Air",_xlfn.xlookup(records[ColonyCount]&amp;records[AirSampler],feller[code],feller[Vc]),records[ColonyCount]))</f>
        <v>3</v>
      </c>
      <c r="AC689" s="60" t="b">
        <f t="shared" si="1"/>
        <v>1</v>
      </c>
      <c r="AD689" s="61" t="b">
        <v>0</v>
      </c>
      <c r="AE689" s="32" t="s">
        <v>235</v>
      </c>
      <c r="AF689" s="46"/>
      <c r="AG689" s="46"/>
      <c r="AH689" s="46"/>
      <c r="AI689" s="46"/>
      <c r="AJ689" s="46"/>
    </row>
    <row r="690" ht="22.5" customHeight="1">
      <c r="A690" s="27">
        <v>46253.0</v>
      </c>
      <c r="B690" s="34" t="str">
        <f t="array" ref="B690">TEXT(A690, "MM-YYYY")</f>
        <v>08-2026</v>
      </c>
      <c r="C690" s="34" t="s">
        <v>1319</v>
      </c>
      <c r="D690" s="36" t="s">
        <v>210</v>
      </c>
      <c r="E690" s="36" t="s">
        <v>213</v>
      </c>
      <c r="F690" s="37" t="s">
        <v>123</v>
      </c>
      <c r="G690" s="263" t="b">
        <v>1</v>
      </c>
      <c r="H690" s="36" t="s">
        <v>214</v>
      </c>
      <c r="I690" s="36" t="s">
        <v>215</v>
      </c>
      <c r="J690" s="214"/>
      <c r="K690" s="215"/>
      <c r="L690" s="187" t="s">
        <v>194</v>
      </c>
      <c r="M690" s="187" t="s">
        <v>194</v>
      </c>
      <c r="N690" s="187" t="s">
        <v>194</v>
      </c>
      <c r="O690" s="187" t="s">
        <v>194</v>
      </c>
      <c r="P690" s="37" t="s">
        <v>692</v>
      </c>
      <c r="Q690" s="37" t="s">
        <v>693</v>
      </c>
      <c r="R690" s="41">
        <v>46306.0</v>
      </c>
      <c r="S690" s="42">
        <v>999.0</v>
      </c>
      <c r="T690" s="44"/>
      <c r="U690" s="47" t="str">
        <f>IF(records[Type]="Room",records[roomNo],records[roomNo]&amp;"-"&amp;SUBSTITUTE(RIGHT(records[roomNo]&amp;records[Type],2),"-",""))</f>
        <v>11-1-013</v>
      </c>
      <c r="V690" s="47" t="str">
        <f t="array" ref="V690">_xlfn.XLOOKUP(records[ID], dAir[roomNo], dAir[roomName])</f>
        <v>PAL 2</v>
      </c>
      <c r="W690" s="47" t="str">
        <f t="array" ref="W690">_xlfn.XLOOKUP(records[ID], dAir[roomNo], dAir[building])</f>
        <v>Building 11</v>
      </c>
      <c r="X690" s="47" t="str">
        <f t="array" ref="X690">_xlfn.XLOOKUP(records[ID], dAir[roomNo], dAir[floor])</f>
        <v>Floor 1</v>
      </c>
      <c r="Y690" s="45" t="str">
        <f t="array" ref="Y690">_xlfn.XLOOKUP(records[ID], dAir[roomNo], dAir[Class])</f>
        <v>D</v>
      </c>
      <c r="Z690" s="45">
        <f t="array" ref="Z690">_xlfn.XLOOKUP(records[Method]&amp;"-"&amp;records[Class], dAirSpec[ID], dAirSpec[Spec])</f>
        <v>100</v>
      </c>
      <c r="AA690" s="45" t="str">
        <f t="array" ref="AA690">_xlfn.XLOOKUP(records[Method]&amp;"-"&amp;records[Class], dAirSpec[ID], dAirSpec[Unit])</f>
        <v>cfu/plate</v>
      </c>
      <c r="AB690" s="58">
        <f t="array" ref="AB690">if(S690="","", if(records[Method]="Active Air",_xlfn.xlookup(records[ColonyCount]&amp;records[AirSampler],feller[code],feller[Vc]),records[ColonyCount]))</f>
        <v>999</v>
      </c>
      <c r="AC690" s="60" t="b">
        <f t="shared" si="1"/>
        <v>0</v>
      </c>
      <c r="AD690" s="61" t="b">
        <v>0</v>
      </c>
      <c r="AE690" s="32" t="s">
        <v>235</v>
      </c>
      <c r="AF690" s="46"/>
      <c r="AG690" s="46"/>
      <c r="AH690" s="46"/>
      <c r="AI690" s="46"/>
      <c r="AJ690" s="46"/>
    </row>
    <row r="691" ht="22.5" customHeight="1">
      <c r="A691" s="27">
        <v>46253.0</v>
      </c>
      <c r="B691" s="34" t="str">
        <f t="array" ref="B691">TEXT(A691, "MM-YYYY")</f>
        <v>08-2026</v>
      </c>
      <c r="C691" s="34" t="s">
        <v>1321</v>
      </c>
      <c r="D691" s="36" t="s">
        <v>210</v>
      </c>
      <c r="E691" s="36" t="s">
        <v>213</v>
      </c>
      <c r="F691" s="37" t="s">
        <v>123</v>
      </c>
      <c r="G691" s="263" t="b">
        <v>1</v>
      </c>
      <c r="H691" s="36" t="s">
        <v>214</v>
      </c>
      <c r="I691" s="36" t="s">
        <v>215</v>
      </c>
      <c r="J691" s="214"/>
      <c r="K691" s="215"/>
      <c r="L691" s="187" t="s">
        <v>194</v>
      </c>
      <c r="M691" s="187" t="s">
        <v>194</v>
      </c>
      <c r="N691" s="187" t="s">
        <v>194</v>
      </c>
      <c r="O691" s="187" t="s">
        <v>194</v>
      </c>
      <c r="P691" s="37" t="s">
        <v>692</v>
      </c>
      <c r="Q691" s="37" t="s">
        <v>693</v>
      </c>
      <c r="R691" s="41">
        <v>46306.0</v>
      </c>
      <c r="S691" s="42">
        <v>0.0</v>
      </c>
      <c r="T691" s="44"/>
      <c r="U691" s="47" t="str">
        <f>IF(records[Type]="Room",records[roomNo],records[roomNo]&amp;"-"&amp;SUBSTITUTE(RIGHT(records[roomNo]&amp;records[Type],2),"-",""))</f>
        <v>11-1-014</v>
      </c>
      <c r="V691" s="47" t="str">
        <f t="array" ref="V691">_xlfn.XLOOKUP(records[ID], dAir[roomNo], dAir[roomName])</f>
        <v>PPM SAMPLING</v>
      </c>
      <c r="W691" s="47" t="str">
        <f t="array" ref="W691">_xlfn.XLOOKUP(records[ID], dAir[roomNo], dAir[building])</f>
        <v>Building 11</v>
      </c>
      <c r="X691" s="47" t="str">
        <f t="array" ref="X691">_xlfn.XLOOKUP(records[ID], dAir[roomNo], dAir[floor])</f>
        <v>Floor 1</v>
      </c>
      <c r="Y691" s="45" t="str">
        <f t="array" ref="Y691">_xlfn.XLOOKUP(records[ID], dAir[roomNo], dAir[Class])</f>
        <v>D</v>
      </c>
      <c r="Z691" s="45">
        <f t="array" ref="Z691">_xlfn.XLOOKUP(records[Method]&amp;"-"&amp;records[Class], dAirSpec[ID], dAirSpec[Spec])</f>
        <v>100</v>
      </c>
      <c r="AA691" s="45" t="str">
        <f t="array" ref="AA691">_xlfn.XLOOKUP(records[Method]&amp;"-"&amp;records[Class], dAirSpec[ID], dAirSpec[Unit])</f>
        <v>cfu/plate</v>
      </c>
      <c r="AB691" s="58">
        <f t="array" ref="AB691">if(S691="","", if(records[Method]="Active Air",_xlfn.xlookup(records[ColonyCount]&amp;records[AirSampler],feller[code],feller[Vc]),records[ColonyCount]))</f>
        <v>0</v>
      </c>
      <c r="AC691" s="60" t="b">
        <f t="shared" si="1"/>
        <v>1</v>
      </c>
      <c r="AD691" s="61" t="b">
        <v>0</v>
      </c>
      <c r="AE691" s="32" t="s">
        <v>235</v>
      </c>
      <c r="AF691" s="46"/>
      <c r="AG691" s="46"/>
      <c r="AH691" s="46"/>
      <c r="AI691" s="46"/>
      <c r="AJ691" s="46"/>
    </row>
    <row r="692" ht="22.5" customHeight="1">
      <c r="A692" s="27">
        <v>46253.0</v>
      </c>
      <c r="B692" s="34" t="str">
        <f t="array" ref="B692">TEXT(A692, "MM-YYYY")</f>
        <v>08-2026</v>
      </c>
      <c r="C692" s="34" t="s">
        <v>1321</v>
      </c>
      <c r="D692" s="36" t="s">
        <v>680</v>
      </c>
      <c r="E692" s="36" t="s">
        <v>213</v>
      </c>
      <c r="F692" s="37" t="s">
        <v>123</v>
      </c>
      <c r="G692" s="263" t="b">
        <v>1</v>
      </c>
      <c r="H692" s="36" t="s">
        <v>214</v>
      </c>
      <c r="I692" s="36" t="s">
        <v>215</v>
      </c>
      <c r="J692" s="214"/>
      <c r="K692" s="215"/>
      <c r="L692" s="187" t="s">
        <v>194</v>
      </c>
      <c r="M692" s="187" t="s">
        <v>194</v>
      </c>
      <c r="N692" s="187" t="s">
        <v>194</v>
      </c>
      <c r="O692" s="187" t="s">
        <v>194</v>
      </c>
      <c r="P692" s="37" t="s">
        <v>692</v>
      </c>
      <c r="Q692" s="37" t="s">
        <v>693</v>
      </c>
      <c r="R692" s="41">
        <v>46306.0</v>
      </c>
      <c r="S692" s="42">
        <v>7.0</v>
      </c>
      <c r="T692" s="44" t="s">
        <v>2235</v>
      </c>
      <c r="U692" s="45" t="str">
        <f>IF(records[Type]="Room",records[roomNo],records[roomNo]&amp;"-"&amp;SUBSTITUTE(RIGHT(records[roomNo]&amp;records[Type],2),"-",""))</f>
        <v>11-1-014-B</v>
      </c>
      <c r="V692" s="47" t="str">
        <f t="array" ref="V692">_xlfn.XLOOKUP(records[ID], dAir[roomNo], dAir[roomName])</f>
        <v>PPM SAMPLING (Booth)</v>
      </c>
      <c r="W692" s="47" t="str">
        <f t="array" ref="W692">_xlfn.XLOOKUP(records[ID], dAir[roomNo], dAir[building])</f>
        <v>Building 11</v>
      </c>
      <c r="X692" s="47" t="str">
        <f t="array" ref="X692">_xlfn.XLOOKUP(records[ID], dAir[roomNo], dAir[floor])</f>
        <v>Floor 1</v>
      </c>
      <c r="Y692" s="45" t="str">
        <f t="array" ref="Y692">_xlfn.XLOOKUP(records[ID], dAir[roomNo], dAir[Class])</f>
        <v>D</v>
      </c>
      <c r="Z692" s="45">
        <f t="array" ref="Z692">_xlfn.XLOOKUP(records[Method]&amp;"-"&amp;records[Class], dAirSpec[ID], dAirSpec[Spec])</f>
        <v>100</v>
      </c>
      <c r="AA692" s="45" t="str">
        <f t="array" ref="AA692">_xlfn.XLOOKUP(records[Method]&amp;"-"&amp;records[Class], dAirSpec[ID], dAirSpec[Unit])</f>
        <v>cfu/plate</v>
      </c>
      <c r="AB692" s="58">
        <f t="array" ref="AB692">if(S692="","", if(records[Method]="Active Air",_xlfn.xlookup(records[ColonyCount]&amp;records[AirSampler],feller[code],feller[Vc]),records[ColonyCount]))</f>
        <v>7</v>
      </c>
      <c r="AC692" s="60" t="b">
        <f t="shared" si="1"/>
        <v>1</v>
      </c>
      <c r="AD692" s="61" t="b">
        <v>0</v>
      </c>
      <c r="AE692" s="32" t="s">
        <v>235</v>
      </c>
      <c r="AF692" s="46"/>
      <c r="AG692" s="46"/>
      <c r="AH692" s="46"/>
      <c r="AI692" s="46"/>
      <c r="AJ692" s="46"/>
    </row>
    <row r="693" ht="22.5" customHeight="1">
      <c r="A693" s="27">
        <v>46253.0</v>
      </c>
      <c r="B693" s="34" t="str">
        <f t="array" ref="B693">TEXT(A693, "MM-YYYY")</f>
        <v>08-2026</v>
      </c>
      <c r="C693" s="34" t="s">
        <v>1325</v>
      </c>
      <c r="D693" s="36" t="s">
        <v>210</v>
      </c>
      <c r="E693" s="36" t="s">
        <v>213</v>
      </c>
      <c r="F693" s="37" t="s">
        <v>123</v>
      </c>
      <c r="G693" s="263" t="b">
        <v>1</v>
      </c>
      <c r="H693" s="36" t="s">
        <v>214</v>
      </c>
      <c r="I693" s="36" t="s">
        <v>215</v>
      </c>
      <c r="J693" s="214"/>
      <c r="K693" s="215"/>
      <c r="L693" s="187" t="s">
        <v>194</v>
      </c>
      <c r="M693" s="187" t="s">
        <v>194</v>
      </c>
      <c r="N693" s="187" t="s">
        <v>194</v>
      </c>
      <c r="O693" s="187" t="s">
        <v>194</v>
      </c>
      <c r="P693" s="37" t="s">
        <v>692</v>
      </c>
      <c r="Q693" s="37" t="s">
        <v>693</v>
      </c>
      <c r="R693" s="41">
        <v>46306.0</v>
      </c>
      <c r="S693" s="42">
        <v>24.0</v>
      </c>
      <c r="T693" s="44"/>
      <c r="U693" s="47" t="str">
        <f>IF(records[Type]="Room",records[roomNo],records[roomNo]&amp;"-"&amp;SUBSTITUTE(RIGHT(records[roomNo]&amp;records[Type],2),"-",""))</f>
        <v>11-1-015</v>
      </c>
      <c r="V693" s="47" t="str">
        <f t="array" ref="V693">_xlfn.XLOOKUP(records[ID], dAir[roomNo], dAir[roomName])</f>
        <v>PAL-1</v>
      </c>
      <c r="W693" s="47" t="str">
        <f t="array" ref="W693">_xlfn.XLOOKUP(records[ID], dAir[roomNo], dAir[building])</f>
        <v>Building 11</v>
      </c>
      <c r="X693" s="47" t="str">
        <f t="array" ref="X693">_xlfn.XLOOKUP(records[ID], dAir[roomNo], dAir[floor])</f>
        <v>Floor 1</v>
      </c>
      <c r="Y693" s="45" t="str">
        <f t="array" ref="Y693">_xlfn.XLOOKUP(records[ID], dAir[roomNo], dAir[Class])</f>
        <v>D</v>
      </c>
      <c r="Z693" s="45">
        <f t="array" ref="Z693">_xlfn.XLOOKUP(records[Method]&amp;"-"&amp;records[Class], dAirSpec[ID], dAirSpec[Spec])</f>
        <v>100</v>
      </c>
      <c r="AA693" s="45" t="str">
        <f t="array" ref="AA693">_xlfn.XLOOKUP(records[Method]&amp;"-"&amp;records[Class], dAirSpec[ID], dAirSpec[Unit])</f>
        <v>cfu/plate</v>
      </c>
      <c r="AB693" s="58">
        <f t="array" ref="AB693">if(S693="","", if(records[Method]="Active Air",_xlfn.xlookup(records[ColonyCount]&amp;records[AirSampler],feller[code],feller[Vc]),records[ColonyCount]))</f>
        <v>24</v>
      </c>
      <c r="AC693" s="60" t="b">
        <f t="shared" si="1"/>
        <v>1</v>
      </c>
      <c r="AD693" s="61" t="b">
        <v>0</v>
      </c>
      <c r="AE693" s="32" t="s">
        <v>235</v>
      </c>
      <c r="AF693" s="46"/>
      <c r="AG693" s="46"/>
      <c r="AH693" s="46"/>
      <c r="AI693" s="46"/>
      <c r="AJ693" s="46"/>
    </row>
    <row r="694" ht="22.5" customHeight="1">
      <c r="A694" s="27">
        <v>46253.0</v>
      </c>
      <c r="B694" s="34" t="str">
        <f t="array" ref="B694">TEXT(A694, "MM-YYYY")</f>
        <v>08-2026</v>
      </c>
      <c r="C694" s="34" t="s">
        <v>1327</v>
      </c>
      <c r="D694" s="36" t="s">
        <v>210</v>
      </c>
      <c r="E694" s="36" t="s">
        <v>213</v>
      </c>
      <c r="F694" s="37" t="s">
        <v>123</v>
      </c>
      <c r="G694" s="263" t="b">
        <v>1</v>
      </c>
      <c r="H694" s="36" t="s">
        <v>214</v>
      </c>
      <c r="I694" s="36" t="s">
        <v>215</v>
      </c>
      <c r="J694" s="214"/>
      <c r="K694" s="215"/>
      <c r="L694" s="187" t="s">
        <v>194</v>
      </c>
      <c r="M694" s="187" t="s">
        <v>194</v>
      </c>
      <c r="N694" s="187" t="s">
        <v>194</v>
      </c>
      <c r="O694" s="187" t="s">
        <v>194</v>
      </c>
      <c r="P694" s="37" t="s">
        <v>692</v>
      </c>
      <c r="Q694" s="37" t="s">
        <v>693</v>
      </c>
      <c r="R694" s="41">
        <v>46306.0</v>
      </c>
      <c r="S694" s="42">
        <v>0.0</v>
      </c>
      <c r="T694" s="44"/>
      <c r="U694" s="47" t="str">
        <f>IF(records[Type]="Room",records[roomNo],records[roomNo]&amp;"-"&amp;SUBSTITUTE(RIGHT(records[roomNo]&amp;records[Type],2),"-",""))</f>
        <v>11-1-016</v>
      </c>
      <c r="V694" s="47" t="str">
        <f t="array" ref="V694">_xlfn.XLOOKUP(records[ID], dAir[roomNo], dAir[roomName])</f>
        <v>CORRIDOR</v>
      </c>
      <c r="W694" s="47" t="str">
        <f t="array" ref="W694">_xlfn.XLOOKUP(records[ID], dAir[roomNo], dAir[building])</f>
        <v>Building 11</v>
      </c>
      <c r="X694" s="47" t="str">
        <f t="array" ref="X694">_xlfn.XLOOKUP(records[ID], dAir[roomNo], dAir[floor])</f>
        <v>Floor 1</v>
      </c>
      <c r="Y694" s="45" t="str">
        <f t="array" ref="Y694">_xlfn.XLOOKUP(records[ID], dAir[roomNo], dAir[Class])</f>
        <v>D</v>
      </c>
      <c r="Z694" s="45">
        <f t="array" ref="Z694">_xlfn.XLOOKUP(records[Method]&amp;"-"&amp;records[Class], dAirSpec[ID], dAirSpec[Spec])</f>
        <v>100</v>
      </c>
      <c r="AA694" s="45" t="str">
        <f t="array" ref="AA694">_xlfn.XLOOKUP(records[Method]&amp;"-"&amp;records[Class], dAirSpec[ID], dAirSpec[Unit])</f>
        <v>cfu/plate</v>
      </c>
      <c r="AB694" s="58">
        <f t="array" ref="AB694">if(S694="","", if(records[Method]="Active Air",_xlfn.xlookup(records[ColonyCount]&amp;records[AirSampler],feller[code],feller[Vc]),records[ColonyCount]))</f>
        <v>0</v>
      </c>
      <c r="AC694" s="60" t="b">
        <f t="shared" si="1"/>
        <v>1</v>
      </c>
      <c r="AD694" s="61" t="b">
        <v>0</v>
      </c>
      <c r="AE694" s="32" t="s">
        <v>235</v>
      </c>
      <c r="AF694" s="46"/>
      <c r="AG694" s="46"/>
      <c r="AH694" s="46"/>
      <c r="AI694" s="46"/>
      <c r="AJ694" s="46"/>
    </row>
    <row r="695" ht="22.5" customHeight="1">
      <c r="A695" s="27">
        <v>46253.0</v>
      </c>
      <c r="B695" s="34" t="str">
        <f t="array" ref="B695">TEXT(A695, "MM-YYYY")</f>
        <v>08-2026</v>
      </c>
      <c r="C695" s="34" t="s">
        <v>1328</v>
      </c>
      <c r="D695" s="36" t="s">
        <v>210</v>
      </c>
      <c r="E695" s="36" t="s">
        <v>213</v>
      </c>
      <c r="F695" s="37" t="s">
        <v>123</v>
      </c>
      <c r="G695" s="263" t="b">
        <v>1</v>
      </c>
      <c r="H695" s="36" t="s">
        <v>214</v>
      </c>
      <c r="I695" s="36" t="s">
        <v>215</v>
      </c>
      <c r="J695" s="214"/>
      <c r="K695" s="215"/>
      <c r="L695" s="187" t="s">
        <v>194</v>
      </c>
      <c r="M695" s="187" t="s">
        <v>194</v>
      </c>
      <c r="N695" s="187" t="s">
        <v>194</v>
      </c>
      <c r="O695" s="187" t="s">
        <v>194</v>
      </c>
      <c r="P695" s="37" t="s">
        <v>692</v>
      </c>
      <c r="Q695" s="37" t="s">
        <v>693</v>
      </c>
      <c r="R695" s="41">
        <v>46306.0</v>
      </c>
      <c r="S695" s="42">
        <v>0.0</v>
      </c>
      <c r="T695" s="44"/>
      <c r="U695" s="47" t="str">
        <f>IF(records[Type]="Room",records[roomNo],records[roomNo]&amp;"-"&amp;SUBSTITUTE(RIGHT(records[roomNo]&amp;records[Type],2),"-",""))</f>
        <v>11-1-017</v>
      </c>
      <c r="V695" s="47" t="str">
        <f t="array" ref="V695">_xlfn.XLOOKUP(records[ID], dAir[roomNo], dAir[roomName])</f>
        <v>SAMPLING 1-P</v>
      </c>
      <c r="W695" s="47" t="str">
        <f t="array" ref="W695">_xlfn.XLOOKUP(records[ID], dAir[roomNo], dAir[building])</f>
        <v>Building 11</v>
      </c>
      <c r="X695" s="47" t="str">
        <f t="array" ref="X695">_xlfn.XLOOKUP(records[ID], dAir[roomNo], dAir[floor])</f>
        <v>Floor 1</v>
      </c>
      <c r="Y695" s="45" t="str">
        <f t="array" ref="Y695">_xlfn.XLOOKUP(records[ID], dAir[roomNo], dAir[Class])</f>
        <v>D</v>
      </c>
      <c r="Z695" s="45">
        <f t="array" ref="Z695">_xlfn.XLOOKUP(records[Method]&amp;"-"&amp;records[Class], dAirSpec[ID], dAirSpec[Spec])</f>
        <v>100</v>
      </c>
      <c r="AA695" s="45" t="str">
        <f t="array" ref="AA695">_xlfn.XLOOKUP(records[Method]&amp;"-"&amp;records[Class], dAirSpec[ID], dAirSpec[Unit])</f>
        <v>cfu/plate</v>
      </c>
      <c r="AB695" s="58">
        <f t="array" ref="AB695">if(S695="","", if(records[Method]="Active Air",_xlfn.xlookup(records[ColonyCount]&amp;records[AirSampler],feller[code],feller[Vc]),records[ColonyCount]))</f>
        <v>0</v>
      </c>
      <c r="AC695" s="60" t="b">
        <f t="shared" si="1"/>
        <v>1</v>
      </c>
      <c r="AD695" s="61" t="b">
        <v>0</v>
      </c>
      <c r="AE695" s="32" t="s">
        <v>235</v>
      </c>
      <c r="AF695" s="46"/>
      <c r="AG695" s="46"/>
      <c r="AH695" s="46"/>
      <c r="AI695" s="46"/>
      <c r="AJ695" s="46"/>
    </row>
    <row r="696" ht="22.5" customHeight="1">
      <c r="A696" s="27">
        <v>46253.0</v>
      </c>
      <c r="B696" s="34" t="str">
        <f t="array" ref="B696">TEXT(A696, "MM-YYYY")</f>
        <v>08-2026</v>
      </c>
      <c r="C696" s="34" t="s">
        <v>1330</v>
      </c>
      <c r="D696" s="36" t="s">
        <v>210</v>
      </c>
      <c r="E696" s="36" t="s">
        <v>213</v>
      </c>
      <c r="F696" s="37" t="s">
        <v>123</v>
      </c>
      <c r="G696" s="263" t="b">
        <v>1</v>
      </c>
      <c r="H696" s="36" t="s">
        <v>214</v>
      </c>
      <c r="I696" s="36" t="s">
        <v>215</v>
      </c>
      <c r="J696" s="214"/>
      <c r="K696" s="215"/>
      <c r="L696" s="187" t="s">
        <v>194</v>
      </c>
      <c r="M696" s="187" t="s">
        <v>194</v>
      </c>
      <c r="N696" s="187" t="s">
        <v>194</v>
      </c>
      <c r="O696" s="187" t="s">
        <v>194</v>
      </c>
      <c r="P696" s="37" t="s">
        <v>692</v>
      </c>
      <c r="Q696" s="37" t="s">
        <v>693</v>
      </c>
      <c r="R696" s="41">
        <v>46306.0</v>
      </c>
      <c r="S696" s="42">
        <v>1.0</v>
      </c>
      <c r="T696" s="44"/>
      <c r="U696" s="47" t="str">
        <f>IF(records[Type]="Room",records[roomNo],records[roomNo]&amp;"-"&amp;SUBSTITUTE(RIGHT(records[roomNo]&amp;records[Type],2),"-",""))</f>
        <v>11-1-018</v>
      </c>
      <c r="V696" s="47" t="str">
        <f t="array" ref="V696">_xlfn.XLOOKUP(records[ID], dAir[roomNo], dAir[roomName])</f>
        <v>SAMPLING 2 (LOW RH)</v>
      </c>
      <c r="W696" s="47" t="str">
        <f t="array" ref="W696">_xlfn.XLOOKUP(records[ID], dAir[roomNo], dAir[building])</f>
        <v>Building 11</v>
      </c>
      <c r="X696" s="47" t="str">
        <f t="array" ref="X696">_xlfn.XLOOKUP(records[ID], dAir[roomNo], dAir[floor])</f>
        <v>Floor 1</v>
      </c>
      <c r="Y696" s="45" t="str">
        <f t="array" ref="Y696">_xlfn.XLOOKUP(records[ID], dAir[roomNo], dAir[Class])</f>
        <v>D</v>
      </c>
      <c r="Z696" s="45">
        <f t="array" ref="Z696">_xlfn.XLOOKUP(records[Method]&amp;"-"&amp;records[Class], dAirSpec[ID], dAirSpec[Spec])</f>
        <v>100</v>
      </c>
      <c r="AA696" s="45" t="str">
        <f t="array" ref="AA696">_xlfn.XLOOKUP(records[Method]&amp;"-"&amp;records[Class], dAirSpec[ID], dAirSpec[Unit])</f>
        <v>cfu/plate</v>
      </c>
      <c r="AB696" s="58">
        <f t="array" ref="AB696">if(S696="","", if(records[Method]="Active Air",_xlfn.xlookup(records[ColonyCount]&amp;records[AirSampler],feller[code],feller[Vc]),records[ColonyCount]))</f>
        <v>1</v>
      </c>
      <c r="AC696" s="60" t="b">
        <f t="shared" si="1"/>
        <v>1</v>
      </c>
      <c r="AD696" s="61" t="b">
        <v>0</v>
      </c>
      <c r="AE696" s="32" t="s">
        <v>235</v>
      </c>
      <c r="AF696" s="46"/>
      <c r="AG696" s="46"/>
      <c r="AH696" s="46"/>
      <c r="AI696" s="46"/>
      <c r="AJ696" s="46"/>
    </row>
    <row r="697" ht="22.5" customHeight="1">
      <c r="A697" s="27">
        <v>46253.0</v>
      </c>
      <c r="B697" s="34" t="str">
        <f t="array" ref="B697">TEXT(A697, "MM-YYYY")</f>
        <v>08-2026</v>
      </c>
      <c r="C697" s="34" t="s">
        <v>1330</v>
      </c>
      <c r="D697" s="36" t="s">
        <v>680</v>
      </c>
      <c r="E697" s="36" t="s">
        <v>213</v>
      </c>
      <c r="F697" s="37" t="s">
        <v>123</v>
      </c>
      <c r="G697" s="263" t="b">
        <v>1</v>
      </c>
      <c r="H697" s="36" t="s">
        <v>214</v>
      </c>
      <c r="I697" s="36" t="s">
        <v>215</v>
      </c>
      <c r="J697" s="214"/>
      <c r="K697" s="215"/>
      <c r="L697" s="187" t="s">
        <v>194</v>
      </c>
      <c r="M697" s="187" t="s">
        <v>194</v>
      </c>
      <c r="N697" s="187" t="s">
        <v>194</v>
      </c>
      <c r="O697" s="187" t="s">
        <v>194</v>
      </c>
      <c r="P697" s="37" t="s">
        <v>692</v>
      </c>
      <c r="Q697" s="37" t="s">
        <v>693</v>
      </c>
      <c r="R697" s="41">
        <v>46306.0</v>
      </c>
      <c r="S697" s="42">
        <v>0.0</v>
      </c>
      <c r="T697" s="44" t="s">
        <v>2235</v>
      </c>
      <c r="U697" s="45" t="str">
        <f>IF(records[Type]="Room",records[roomNo],records[roomNo]&amp;"-"&amp;SUBSTITUTE(RIGHT(records[roomNo]&amp;records[Type],2),"-",""))</f>
        <v>11-1-018-B</v>
      </c>
      <c r="V697" s="47" t="str">
        <f t="array" ref="V697">_xlfn.XLOOKUP(records[ID], dAir[roomNo], dAir[roomName])</f>
        <v>SAMPLING 2 (LOW RH) (Booth)</v>
      </c>
      <c r="W697" s="47" t="str">
        <f t="array" ref="W697">_xlfn.XLOOKUP(records[ID], dAir[roomNo], dAir[building])</f>
        <v>Building 11</v>
      </c>
      <c r="X697" s="47" t="str">
        <f t="array" ref="X697">_xlfn.XLOOKUP(records[ID], dAir[roomNo], dAir[floor])</f>
        <v>Floor 1</v>
      </c>
      <c r="Y697" s="45" t="str">
        <f t="array" ref="Y697">_xlfn.XLOOKUP(records[ID], dAir[roomNo], dAir[Class])</f>
        <v>D</v>
      </c>
      <c r="Z697" s="45">
        <f t="array" ref="Z697">_xlfn.XLOOKUP(records[Method]&amp;"-"&amp;records[Class], dAirSpec[ID], dAirSpec[Spec])</f>
        <v>100</v>
      </c>
      <c r="AA697" s="45" t="str">
        <f t="array" ref="AA697">_xlfn.XLOOKUP(records[Method]&amp;"-"&amp;records[Class], dAirSpec[ID], dAirSpec[Unit])</f>
        <v>cfu/plate</v>
      </c>
      <c r="AB697" s="58">
        <f t="array" ref="AB697">if(S697="","", if(records[Method]="Active Air",_xlfn.xlookup(records[ColonyCount]&amp;records[AirSampler],feller[code],feller[Vc]),records[ColonyCount]))</f>
        <v>0</v>
      </c>
      <c r="AC697" s="60" t="b">
        <f t="shared" si="1"/>
        <v>1</v>
      </c>
      <c r="AD697" s="61" t="b">
        <v>0</v>
      </c>
      <c r="AE697" s="32" t="s">
        <v>235</v>
      </c>
      <c r="AF697" s="46"/>
      <c r="AG697" s="46"/>
      <c r="AH697" s="46"/>
      <c r="AI697" s="46"/>
      <c r="AJ697" s="46"/>
    </row>
    <row r="698" ht="22.5" customHeight="1">
      <c r="A698" s="27">
        <v>46253.0</v>
      </c>
      <c r="B698" s="34" t="str">
        <f t="array" ref="B698">TEXT(A698, "MM-YYYY")</f>
        <v>08-2026</v>
      </c>
      <c r="C698" s="34" t="s">
        <v>1335</v>
      </c>
      <c r="D698" s="36" t="s">
        <v>210</v>
      </c>
      <c r="E698" s="36" t="s">
        <v>213</v>
      </c>
      <c r="F698" s="37" t="s">
        <v>123</v>
      </c>
      <c r="G698" s="263" t="b">
        <v>1</v>
      </c>
      <c r="H698" s="36" t="s">
        <v>214</v>
      </c>
      <c r="I698" s="36" t="s">
        <v>215</v>
      </c>
      <c r="J698" s="214"/>
      <c r="K698" s="215"/>
      <c r="L698" s="187" t="s">
        <v>194</v>
      </c>
      <c r="M698" s="187" t="s">
        <v>194</v>
      </c>
      <c r="N698" s="187" t="s">
        <v>194</v>
      </c>
      <c r="O698" s="187" t="s">
        <v>194</v>
      </c>
      <c r="P698" s="37" t="s">
        <v>692</v>
      </c>
      <c r="Q698" s="37" t="s">
        <v>693</v>
      </c>
      <c r="R698" s="41">
        <v>46306.0</v>
      </c>
      <c r="S698" s="42">
        <v>0.0</v>
      </c>
      <c r="T698" s="44"/>
      <c r="U698" s="47" t="str">
        <f>IF(records[Type]="Room",records[roomNo],records[roomNo]&amp;"-"&amp;SUBSTITUTE(RIGHT(records[roomNo]&amp;records[Type],2),"-",""))</f>
        <v>11-1-019</v>
      </c>
      <c r="V698" s="47" t="str">
        <f t="array" ref="V698">_xlfn.XLOOKUP(records[ID], dAir[roomNo], dAir[roomName])</f>
        <v>MAL 1</v>
      </c>
      <c r="W698" s="47" t="str">
        <f t="array" ref="W698">_xlfn.XLOOKUP(records[ID], dAir[roomNo], dAir[building])</f>
        <v>Building 11</v>
      </c>
      <c r="X698" s="47" t="str">
        <f t="array" ref="X698">_xlfn.XLOOKUP(records[ID], dAir[roomNo], dAir[floor])</f>
        <v>Floor 1</v>
      </c>
      <c r="Y698" s="45" t="str">
        <f t="array" ref="Y698">_xlfn.XLOOKUP(records[ID], dAir[roomNo], dAir[Class])</f>
        <v>D</v>
      </c>
      <c r="Z698" s="45">
        <f t="array" ref="Z698">_xlfn.XLOOKUP(records[Method]&amp;"-"&amp;records[Class], dAirSpec[ID], dAirSpec[Spec])</f>
        <v>100</v>
      </c>
      <c r="AA698" s="45" t="str">
        <f t="array" ref="AA698">_xlfn.XLOOKUP(records[Method]&amp;"-"&amp;records[Class], dAirSpec[ID], dAirSpec[Unit])</f>
        <v>cfu/plate</v>
      </c>
      <c r="AB698" s="58">
        <f t="array" ref="AB698">if(S698="","", if(records[Method]="Active Air",_xlfn.xlookup(records[ColonyCount]&amp;records[AirSampler],feller[code],feller[Vc]),records[ColonyCount]))</f>
        <v>0</v>
      </c>
      <c r="AC698" s="60" t="b">
        <f t="shared" si="1"/>
        <v>1</v>
      </c>
      <c r="AD698" s="61" t="b">
        <v>0</v>
      </c>
      <c r="AE698" s="32" t="s">
        <v>235</v>
      </c>
      <c r="AF698" s="46"/>
      <c r="AG698" s="46"/>
      <c r="AH698" s="46"/>
      <c r="AI698" s="46"/>
      <c r="AJ698" s="46"/>
    </row>
    <row r="699" ht="22.5" customHeight="1">
      <c r="A699" s="27">
        <v>46253.0</v>
      </c>
      <c r="B699" s="34" t="str">
        <f t="array" ref="B699">TEXT(A699, "MM-YYYY")</f>
        <v>08-2026</v>
      </c>
      <c r="C699" s="34" t="s">
        <v>1337</v>
      </c>
      <c r="D699" s="36" t="s">
        <v>210</v>
      </c>
      <c r="E699" s="36" t="s">
        <v>531</v>
      </c>
      <c r="F699" s="37" t="s">
        <v>123</v>
      </c>
      <c r="G699" s="263" t="b">
        <v>1</v>
      </c>
      <c r="H699" s="36" t="s">
        <v>214</v>
      </c>
      <c r="I699" s="36" t="s">
        <v>534</v>
      </c>
      <c r="J699" s="214" t="s">
        <v>1792</v>
      </c>
      <c r="K699" s="215">
        <v>46472.0</v>
      </c>
      <c r="L699" s="187" t="s">
        <v>194</v>
      </c>
      <c r="M699" s="187" t="s">
        <v>194</v>
      </c>
      <c r="N699" s="187" t="s">
        <v>194</v>
      </c>
      <c r="O699" s="187" t="s">
        <v>194</v>
      </c>
      <c r="P699" s="37" t="s">
        <v>692</v>
      </c>
      <c r="Q699" s="37" t="s">
        <v>693</v>
      </c>
      <c r="R699" s="41">
        <v>46306.0</v>
      </c>
      <c r="S699" s="42">
        <v>0.0</v>
      </c>
      <c r="T699" s="44"/>
      <c r="U699" s="47" t="str">
        <f>IF(records[Type]="Room",records[roomNo],records[roomNo]&amp;"-"&amp;SUBSTITUTE(RIGHT(records[roomNo]&amp;records[Type],2),"-",""))</f>
        <v>11-1-020</v>
      </c>
      <c r="V699" s="47" t="str">
        <f t="array" ref="V699">_xlfn.XLOOKUP(records[ID], dAir[roomNo], dAir[roomName])</f>
        <v>CHANGING ROOM</v>
      </c>
      <c r="W699" s="47" t="str">
        <f t="array" ref="W699">_xlfn.XLOOKUP(records[ID], dAir[roomNo], dAir[building])</f>
        <v>Building 11</v>
      </c>
      <c r="X699" s="47" t="str">
        <f t="array" ref="X699">_xlfn.XLOOKUP(records[ID], dAir[roomNo], dAir[floor])</f>
        <v>Floor 1</v>
      </c>
      <c r="Y699" s="45" t="str">
        <f t="array" ref="Y699">_xlfn.XLOOKUP(records[ID], dAir[roomNo], dAir[Class])</f>
        <v>C</v>
      </c>
      <c r="Z699" s="45">
        <f t="array" ref="Z699">_xlfn.XLOOKUP(records[Method]&amp;"-"&amp;records[Class], dAirSpec[ID], dAirSpec[Spec])</f>
        <v>100</v>
      </c>
      <c r="AA699" s="45" t="str">
        <f t="array" ref="AA699">_xlfn.XLOOKUP(records[Method]&amp;"-"&amp;records[Class], dAirSpec[ID], dAirSpec[Unit])</f>
        <v>cfu/m3</v>
      </c>
      <c r="AB699" s="45">
        <f t="array" ref="AB699">if(S699="","", if(records[Method]="Active Air",_xlfn.xlookup(records[ColonyCount]&amp;records[AirSampler],feller[code],feller[Vc]),records[ColonyCount]))</f>
        <v>0</v>
      </c>
      <c r="AC699" s="60" t="b">
        <f t="shared" si="1"/>
        <v>1</v>
      </c>
      <c r="AD699" s="61" t="b">
        <v>0</v>
      </c>
      <c r="AE699" s="32" t="s">
        <v>235</v>
      </c>
      <c r="AF699" s="46"/>
      <c r="AG699" s="46"/>
      <c r="AH699" s="46"/>
      <c r="AI699" s="46"/>
      <c r="AJ699" s="46"/>
    </row>
    <row r="700" ht="22.5" customHeight="1">
      <c r="A700" s="27">
        <v>46253.0</v>
      </c>
      <c r="B700" s="34" t="str">
        <f t="array" ref="B700">TEXT(A700, "MM-YYYY")</f>
        <v>08-2026</v>
      </c>
      <c r="C700" s="34" t="s">
        <v>1339</v>
      </c>
      <c r="D700" s="36" t="s">
        <v>210</v>
      </c>
      <c r="E700" s="36" t="s">
        <v>531</v>
      </c>
      <c r="F700" s="37" t="s">
        <v>123</v>
      </c>
      <c r="G700" s="263" t="b">
        <v>1</v>
      </c>
      <c r="H700" s="36" t="s">
        <v>214</v>
      </c>
      <c r="I700" s="36" t="s">
        <v>534</v>
      </c>
      <c r="J700" s="214" t="s">
        <v>1792</v>
      </c>
      <c r="K700" s="215">
        <v>46472.0</v>
      </c>
      <c r="L700" s="187" t="s">
        <v>194</v>
      </c>
      <c r="M700" s="187" t="s">
        <v>194</v>
      </c>
      <c r="N700" s="187" t="s">
        <v>194</v>
      </c>
      <c r="O700" s="187" t="s">
        <v>194</v>
      </c>
      <c r="P700" s="37" t="s">
        <v>692</v>
      </c>
      <c r="Q700" s="37" t="s">
        <v>693</v>
      </c>
      <c r="R700" s="41">
        <v>46306.0</v>
      </c>
      <c r="S700" s="42">
        <v>2.0</v>
      </c>
      <c r="T700" s="44"/>
      <c r="U700" s="47" t="str">
        <f>IF(records[Type]="Room",records[roomNo],records[roomNo]&amp;"-"&amp;SUBSTITUTE(RIGHT(records[roomNo]&amp;records[Type],2),"-",""))</f>
        <v>11-1-021</v>
      </c>
      <c r="V700" s="47" t="str">
        <f t="array" ref="V700">_xlfn.XLOOKUP(records[ID], dAir[roomNo], dAir[roomName])</f>
        <v>AIRLOCK</v>
      </c>
      <c r="W700" s="47" t="str">
        <f t="array" ref="W700">_xlfn.XLOOKUP(records[ID], dAir[roomNo], dAir[building])</f>
        <v>Building 11</v>
      </c>
      <c r="X700" s="47" t="str">
        <f t="array" ref="X700">_xlfn.XLOOKUP(records[ID], dAir[roomNo], dAir[floor])</f>
        <v>Floor 1</v>
      </c>
      <c r="Y700" s="45" t="str">
        <f t="array" ref="Y700">_xlfn.XLOOKUP(records[ID], dAir[roomNo], dAir[Class])</f>
        <v>C</v>
      </c>
      <c r="Z700" s="45">
        <f t="array" ref="Z700">_xlfn.XLOOKUP(records[Method]&amp;"-"&amp;records[Class], dAirSpec[ID], dAirSpec[Spec])</f>
        <v>100</v>
      </c>
      <c r="AA700" s="45" t="str">
        <f t="array" ref="AA700">_xlfn.XLOOKUP(records[Method]&amp;"-"&amp;records[Class], dAirSpec[ID], dAirSpec[Unit])</f>
        <v>cfu/m3</v>
      </c>
      <c r="AB700" s="45">
        <f t="array" ref="AB700">if(S700="","", if(records[Method]="Active Air",_xlfn.xlookup(records[ColonyCount]&amp;records[AirSampler],feller[code],feller[Vc]),records[ColonyCount]))</f>
        <v>2</v>
      </c>
      <c r="AC700" s="60" t="b">
        <f t="shared" si="1"/>
        <v>1</v>
      </c>
      <c r="AD700" s="61" t="b">
        <v>0</v>
      </c>
      <c r="AE700" s="32" t="s">
        <v>235</v>
      </c>
      <c r="AF700" s="46"/>
      <c r="AG700" s="46"/>
      <c r="AH700" s="46"/>
      <c r="AI700" s="46"/>
      <c r="AJ700" s="46"/>
    </row>
    <row r="701" ht="22.5" customHeight="1">
      <c r="A701" s="27">
        <v>46253.0</v>
      </c>
      <c r="B701" s="34" t="str">
        <f t="array" ref="B701">TEXT(A701, "MM-YYYY")</f>
        <v>08-2026</v>
      </c>
      <c r="C701" s="34" t="s">
        <v>1339</v>
      </c>
      <c r="D701" s="36" t="s">
        <v>1350</v>
      </c>
      <c r="E701" s="36" t="s">
        <v>531</v>
      </c>
      <c r="F701" s="37" t="s">
        <v>123</v>
      </c>
      <c r="G701" s="263" t="b">
        <v>1</v>
      </c>
      <c r="H701" s="36" t="s">
        <v>214</v>
      </c>
      <c r="I701" s="36" t="s">
        <v>534</v>
      </c>
      <c r="J701" s="214" t="s">
        <v>1792</v>
      </c>
      <c r="K701" s="215">
        <v>46472.0</v>
      </c>
      <c r="L701" s="187" t="s">
        <v>194</v>
      </c>
      <c r="M701" s="187" t="s">
        <v>194</v>
      </c>
      <c r="N701" s="187" t="s">
        <v>194</v>
      </c>
      <c r="O701" s="187" t="s">
        <v>194</v>
      </c>
      <c r="P701" s="37" t="s">
        <v>692</v>
      </c>
      <c r="Q701" s="37" t="s">
        <v>693</v>
      </c>
      <c r="R701" s="41">
        <v>46306.0</v>
      </c>
      <c r="S701" s="42">
        <v>19.0</v>
      </c>
      <c r="T701" s="44" t="s">
        <v>1483</v>
      </c>
      <c r="U701" s="45" t="str">
        <f>IF(records[Type]="Room",records[roomNo],records[roomNo]&amp;"-"&amp;SUBSTITUTE(RIGHT(records[roomNo]&amp;records[Type],2),"-",""))</f>
        <v>11-1-021-PB</v>
      </c>
      <c r="V701" s="47" t="str">
        <f t="array" ref="V701">_xlfn.XLOOKUP(records[ID], dAir[roomNo], dAir[roomName])</f>
        <v>AIRLOCK  (Passbox)</v>
      </c>
      <c r="W701" s="47" t="str">
        <f t="array" ref="W701">_xlfn.XLOOKUP(records[ID], dAir[roomNo], dAir[building])</f>
        <v>Building 11</v>
      </c>
      <c r="X701" s="47" t="str">
        <f t="array" ref="X701">_xlfn.XLOOKUP(records[ID], dAir[roomNo], dAir[floor])</f>
        <v>Floor 1</v>
      </c>
      <c r="Y701" s="45" t="str">
        <f t="array" ref="Y701">_xlfn.XLOOKUP(records[ID], dAir[roomNo], dAir[Class])</f>
        <v>C</v>
      </c>
      <c r="Z701" s="45">
        <f t="array" ref="Z701">_xlfn.XLOOKUP(records[Method]&amp;"-"&amp;records[Class], dAirSpec[ID], dAirSpec[Spec])</f>
        <v>100</v>
      </c>
      <c r="AA701" s="45" t="str">
        <f t="array" ref="AA701">_xlfn.XLOOKUP(records[Method]&amp;"-"&amp;records[Class], dAirSpec[ID], dAirSpec[Unit])</f>
        <v>cfu/m3</v>
      </c>
      <c r="AB701" s="45">
        <f t="array" ref="AB701">if(S701="","", if(records[Method]="Active Air",_xlfn.xlookup(records[ColonyCount]&amp;records[AirSampler],feller[code],feller[Vc]),records[ColonyCount]))</f>
        <v>20</v>
      </c>
      <c r="AC701" s="60" t="b">
        <f t="shared" si="1"/>
        <v>1</v>
      </c>
      <c r="AD701" s="61" t="b">
        <v>0</v>
      </c>
      <c r="AE701" s="32" t="s">
        <v>235</v>
      </c>
      <c r="AF701" s="46"/>
      <c r="AG701" s="46"/>
      <c r="AH701" s="46"/>
      <c r="AI701" s="46"/>
      <c r="AJ701" s="46"/>
    </row>
    <row r="702" ht="22.5" customHeight="1">
      <c r="A702" s="27">
        <v>46253.0</v>
      </c>
      <c r="B702" s="34" t="str">
        <f t="array" ref="B702">TEXT(A702, "MM-YYYY")</f>
        <v>08-2026</v>
      </c>
      <c r="C702" s="34" t="s">
        <v>1342</v>
      </c>
      <c r="D702" s="36" t="s">
        <v>210</v>
      </c>
      <c r="E702" s="36" t="s">
        <v>531</v>
      </c>
      <c r="F702" s="37" t="s">
        <v>123</v>
      </c>
      <c r="G702" s="263" t="b">
        <v>1</v>
      </c>
      <c r="H702" s="36" t="s">
        <v>214</v>
      </c>
      <c r="I702" s="36" t="s">
        <v>534</v>
      </c>
      <c r="J702" s="214" t="s">
        <v>1792</v>
      </c>
      <c r="K702" s="215">
        <v>46472.0</v>
      </c>
      <c r="L702" s="187" t="s">
        <v>194</v>
      </c>
      <c r="M702" s="187" t="s">
        <v>194</v>
      </c>
      <c r="N702" s="187" t="s">
        <v>194</v>
      </c>
      <c r="O702" s="187" t="s">
        <v>194</v>
      </c>
      <c r="P702" s="37" t="s">
        <v>692</v>
      </c>
      <c r="Q702" s="37" t="s">
        <v>693</v>
      </c>
      <c r="R702" s="41">
        <v>46306.0</v>
      </c>
      <c r="S702" s="42">
        <v>2.0</v>
      </c>
      <c r="T702" s="44"/>
      <c r="U702" s="47" t="str">
        <f>IF(records[Type]="Room",records[roomNo],records[roomNo]&amp;"-"&amp;SUBSTITUTE(RIGHT(records[roomNo]&amp;records[Type],2),"-",""))</f>
        <v>11-1-022</v>
      </c>
      <c r="V702" s="47" t="str">
        <f t="array" ref="V702">_xlfn.XLOOKUP(records[ID], dAir[roomNo], dAir[roomName])</f>
        <v>SAMPLING 4</v>
      </c>
      <c r="W702" s="47" t="str">
        <f t="array" ref="W702">_xlfn.XLOOKUP(records[ID], dAir[roomNo], dAir[building])</f>
        <v>Building 11</v>
      </c>
      <c r="X702" s="47" t="str">
        <f t="array" ref="X702">_xlfn.XLOOKUP(records[ID], dAir[roomNo], dAir[floor])</f>
        <v>Floor 1</v>
      </c>
      <c r="Y702" s="45" t="str">
        <f t="array" ref="Y702">_xlfn.XLOOKUP(records[ID], dAir[roomNo], dAir[Class])</f>
        <v>C</v>
      </c>
      <c r="Z702" s="45">
        <f t="array" ref="Z702">_xlfn.XLOOKUP(records[Method]&amp;"-"&amp;records[Class], dAirSpec[ID], dAirSpec[Spec])</f>
        <v>100</v>
      </c>
      <c r="AA702" s="45" t="str">
        <f t="array" ref="AA702">_xlfn.XLOOKUP(records[Method]&amp;"-"&amp;records[Class], dAirSpec[ID], dAirSpec[Unit])</f>
        <v>cfu/m3</v>
      </c>
      <c r="AB702" s="45">
        <f t="array" ref="AB702">if(S702="","", if(records[Method]="Active Air",_xlfn.xlookup(records[ColonyCount]&amp;records[AirSampler],feller[code],feller[Vc]),records[ColonyCount]))</f>
        <v>2</v>
      </c>
      <c r="AC702" s="60" t="b">
        <f t="shared" si="1"/>
        <v>1</v>
      </c>
      <c r="AD702" s="61" t="b">
        <v>0</v>
      </c>
      <c r="AE702" s="32" t="s">
        <v>235</v>
      </c>
      <c r="AF702" s="46"/>
      <c r="AG702" s="46"/>
      <c r="AH702" s="46"/>
      <c r="AI702" s="46"/>
      <c r="AJ702" s="46"/>
    </row>
    <row r="703" ht="22.5" customHeight="1">
      <c r="A703" s="27">
        <v>46253.0</v>
      </c>
      <c r="B703" s="34" t="str">
        <f t="array" ref="B703">TEXT(A703, "MM-YYYY")</f>
        <v>08-2026</v>
      </c>
      <c r="C703" s="34" t="s">
        <v>1342</v>
      </c>
      <c r="D703" s="36" t="s">
        <v>680</v>
      </c>
      <c r="E703" s="36" t="s">
        <v>531</v>
      </c>
      <c r="F703" s="37" t="s">
        <v>123</v>
      </c>
      <c r="G703" s="263" t="b">
        <v>1</v>
      </c>
      <c r="H703" s="36" t="s">
        <v>214</v>
      </c>
      <c r="I703" s="36" t="s">
        <v>534</v>
      </c>
      <c r="J703" s="214" t="s">
        <v>1792</v>
      </c>
      <c r="K703" s="215">
        <v>46472.0</v>
      </c>
      <c r="L703" s="187" t="s">
        <v>194</v>
      </c>
      <c r="M703" s="187" t="s">
        <v>194</v>
      </c>
      <c r="N703" s="187" t="s">
        <v>194</v>
      </c>
      <c r="O703" s="187" t="s">
        <v>194</v>
      </c>
      <c r="P703" s="37" t="s">
        <v>692</v>
      </c>
      <c r="Q703" s="37" t="s">
        <v>693</v>
      </c>
      <c r="R703" s="41">
        <v>46306.0</v>
      </c>
      <c r="S703" s="42">
        <v>2.0</v>
      </c>
      <c r="T703" s="44" t="s">
        <v>2235</v>
      </c>
      <c r="U703" s="45" t="str">
        <f>IF(records[Type]="Room",records[roomNo],records[roomNo]&amp;"-"&amp;SUBSTITUTE(RIGHT(records[roomNo]&amp;records[Type],2),"-",""))</f>
        <v>11-1-022-B</v>
      </c>
      <c r="V703" s="47" t="str">
        <f t="array" ref="V703">_xlfn.XLOOKUP(records[ID], dAir[roomNo], dAir[roomName])</f>
        <v>SAMPLING 4 (Booth)</v>
      </c>
      <c r="W703" s="47" t="str">
        <f t="array" ref="W703">_xlfn.XLOOKUP(records[ID], dAir[roomNo], dAir[building])</f>
        <v>Building 11</v>
      </c>
      <c r="X703" s="47" t="str">
        <f t="array" ref="X703">_xlfn.XLOOKUP(records[ID], dAir[roomNo], dAir[floor])</f>
        <v>Floor 1</v>
      </c>
      <c r="Y703" s="45" t="str">
        <f t="array" ref="Y703">_xlfn.XLOOKUP(records[ID], dAir[roomNo], dAir[Class])</f>
        <v>C</v>
      </c>
      <c r="Z703" s="45">
        <f t="array" ref="Z703">_xlfn.XLOOKUP(records[Method]&amp;"-"&amp;records[Class], dAirSpec[ID], dAirSpec[Spec])</f>
        <v>100</v>
      </c>
      <c r="AA703" s="45" t="str">
        <f t="array" ref="AA703">_xlfn.XLOOKUP(records[Method]&amp;"-"&amp;records[Class], dAirSpec[ID], dAirSpec[Unit])</f>
        <v>cfu/m3</v>
      </c>
      <c r="AB703" s="45">
        <f t="array" ref="AB703">if(S703="","", if(records[Method]="Active Air",_xlfn.xlookup(records[ColonyCount]&amp;records[AirSampler],feller[code],feller[Vc]),records[ColonyCount]))</f>
        <v>2</v>
      </c>
      <c r="AC703" s="60" t="b">
        <f t="shared" si="1"/>
        <v>1</v>
      </c>
      <c r="AD703" s="61" t="b">
        <v>0</v>
      </c>
      <c r="AE703" s="32" t="s">
        <v>235</v>
      </c>
      <c r="AF703" s="46"/>
      <c r="AG703" s="46"/>
      <c r="AH703" s="46"/>
      <c r="AI703" s="46"/>
      <c r="AJ703" s="46"/>
    </row>
    <row r="704" ht="22.5" customHeight="1">
      <c r="A704" s="27">
        <v>46253.0</v>
      </c>
      <c r="B704" s="34" t="str">
        <f t="array" ref="B704">TEXT(A704, "MM-YYYY")</f>
        <v>08-2026</v>
      </c>
      <c r="C704" s="34" t="s">
        <v>1346</v>
      </c>
      <c r="D704" s="36" t="s">
        <v>210</v>
      </c>
      <c r="E704" s="36" t="s">
        <v>213</v>
      </c>
      <c r="F704" s="37" t="s">
        <v>123</v>
      </c>
      <c r="G704" s="263" t="b">
        <v>1</v>
      </c>
      <c r="H704" s="36" t="s">
        <v>214</v>
      </c>
      <c r="I704" s="36" t="s">
        <v>215</v>
      </c>
      <c r="J704" s="214"/>
      <c r="K704" s="215"/>
      <c r="L704" s="187" t="s">
        <v>194</v>
      </c>
      <c r="M704" s="187" t="s">
        <v>194</v>
      </c>
      <c r="N704" s="187" t="s">
        <v>194</v>
      </c>
      <c r="O704" s="187" t="s">
        <v>194</v>
      </c>
      <c r="P704" s="37" t="s">
        <v>692</v>
      </c>
      <c r="Q704" s="37" t="s">
        <v>693</v>
      </c>
      <c r="R704" s="41">
        <v>46306.0</v>
      </c>
      <c r="S704" s="42">
        <v>0.0</v>
      </c>
      <c r="T704" s="44"/>
      <c r="U704" s="47" t="str">
        <f>IF(records[Type]="Room",records[roomNo],records[roomNo]&amp;"-"&amp;SUBSTITUTE(RIGHT(records[roomNo]&amp;records[Type],2),"-",""))</f>
        <v>11-1-023</v>
      </c>
      <c r="V704" s="47" t="str">
        <f t="array" ref="V704">_xlfn.XLOOKUP(records[ID], dAir[roomNo], dAir[roomName])</f>
        <v>SAMPLING 3</v>
      </c>
      <c r="W704" s="47" t="str">
        <f t="array" ref="W704">_xlfn.XLOOKUP(records[ID], dAir[roomNo], dAir[building])</f>
        <v>Building 11</v>
      </c>
      <c r="X704" s="47" t="str">
        <f t="array" ref="X704">_xlfn.XLOOKUP(records[ID], dAir[roomNo], dAir[floor])</f>
        <v>Floor 1</v>
      </c>
      <c r="Y704" s="45" t="str">
        <f t="array" ref="Y704">_xlfn.XLOOKUP(records[ID], dAir[roomNo], dAir[Class])</f>
        <v>D</v>
      </c>
      <c r="Z704" s="45">
        <f t="array" ref="Z704">_xlfn.XLOOKUP(records[Method]&amp;"-"&amp;records[Class], dAirSpec[ID], dAirSpec[Spec])</f>
        <v>100</v>
      </c>
      <c r="AA704" s="45" t="str">
        <f t="array" ref="AA704">_xlfn.XLOOKUP(records[Method]&amp;"-"&amp;records[Class], dAirSpec[ID], dAirSpec[Unit])</f>
        <v>cfu/plate</v>
      </c>
      <c r="AB704" s="58">
        <f t="array" ref="AB704">if(S704="","", if(records[Method]="Active Air",_xlfn.xlookup(records[ColonyCount]&amp;records[AirSampler],feller[code],feller[Vc]),records[ColonyCount]))</f>
        <v>0</v>
      </c>
      <c r="AC704" s="60" t="b">
        <f t="shared" si="1"/>
        <v>1</v>
      </c>
      <c r="AD704" s="61" t="b">
        <v>0</v>
      </c>
      <c r="AE704" s="32" t="s">
        <v>235</v>
      </c>
      <c r="AF704" s="46"/>
      <c r="AG704" s="46"/>
      <c r="AH704" s="46"/>
      <c r="AI704" s="46"/>
      <c r="AJ704" s="46"/>
    </row>
    <row r="705" ht="22.5" customHeight="1">
      <c r="A705" s="27">
        <v>46253.0</v>
      </c>
      <c r="B705" s="34" t="str">
        <f t="array" ref="B705">TEXT(A705, "MM-YYYY")</f>
        <v>08-2026</v>
      </c>
      <c r="C705" s="34" t="s">
        <v>1346</v>
      </c>
      <c r="D705" s="36" t="s">
        <v>680</v>
      </c>
      <c r="E705" s="36" t="s">
        <v>213</v>
      </c>
      <c r="F705" s="37" t="s">
        <v>123</v>
      </c>
      <c r="G705" s="263" t="b">
        <v>1</v>
      </c>
      <c r="H705" s="36" t="s">
        <v>214</v>
      </c>
      <c r="I705" s="36" t="s">
        <v>215</v>
      </c>
      <c r="J705" s="214"/>
      <c r="K705" s="215"/>
      <c r="L705" s="187" t="s">
        <v>194</v>
      </c>
      <c r="M705" s="187" t="s">
        <v>194</v>
      </c>
      <c r="N705" s="187" t="s">
        <v>194</v>
      </c>
      <c r="O705" s="187" t="s">
        <v>194</v>
      </c>
      <c r="P705" s="37" t="s">
        <v>692</v>
      </c>
      <c r="Q705" s="37" t="s">
        <v>693</v>
      </c>
      <c r="R705" s="41">
        <v>46306.0</v>
      </c>
      <c r="S705" s="42">
        <v>0.0</v>
      </c>
      <c r="T705" s="44" t="s">
        <v>2235</v>
      </c>
      <c r="U705" s="45" t="str">
        <f>IF(records[Type]="Room",records[roomNo],records[roomNo]&amp;"-"&amp;SUBSTITUTE(RIGHT(records[roomNo]&amp;records[Type],2),"-",""))</f>
        <v>11-1-023-B</v>
      </c>
      <c r="V705" s="47" t="str">
        <f t="array" ref="V705">_xlfn.XLOOKUP(records[ID], dAir[roomNo], dAir[roomName])</f>
        <v>SAMPLING 3 (Booth)</v>
      </c>
      <c r="W705" s="47" t="str">
        <f t="array" ref="W705">_xlfn.XLOOKUP(records[ID], dAir[roomNo], dAir[building])</f>
        <v>Building 11</v>
      </c>
      <c r="X705" s="47" t="str">
        <f t="array" ref="X705">_xlfn.XLOOKUP(records[ID], dAir[roomNo], dAir[floor])</f>
        <v>Floor 1</v>
      </c>
      <c r="Y705" s="45" t="str">
        <f t="array" ref="Y705">_xlfn.XLOOKUP(records[ID], dAir[roomNo], dAir[Class])</f>
        <v>D</v>
      </c>
      <c r="Z705" s="45">
        <f t="array" ref="Z705">_xlfn.XLOOKUP(records[Method]&amp;"-"&amp;records[Class], dAirSpec[ID], dAirSpec[Spec])</f>
        <v>100</v>
      </c>
      <c r="AA705" s="45" t="str">
        <f t="array" ref="AA705">_xlfn.XLOOKUP(records[Method]&amp;"-"&amp;records[Class], dAirSpec[ID], dAirSpec[Unit])</f>
        <v>cfu/plate</v>
      </c>
      <c r="AB705" s="58">
        <f t="array" ref="AB705">if(S705="","", if(records[Method]="Active Air",_xlfn.xlookup(records[ColonyCount]&amp;records[AirSampler],feller[code],feller[Vc]),records[ColonyCount]))</f>
        <v>0</v>
      </c>
      <c r="AC705" s="60" t="b">
        <f t="shared" si="1"/>
        <v>1</v>
      </c>
      <c r="AD705" s="61" t="b">
        <v>0</v>
      </c>
      <c r="AE705" s="32" t="s">
        <v>235</v>
      </c>
      <c r="AF705" s="46"/>
      <c r="AG705" s="46"/>
      <c r="AH705" s="46"/>
      <c r="AI705" s="46"/>
      <c r="AJ705" s="46"/>
    </row>
    <row r="706" ht="22.5" customHeight="1">
      <c r="A706" s="27">
        <v>46253.0</v>
      </c>
      <c r="B706" s="34" t="str">
        <f t="array" ref="B706">TEXT(A706, "MM-YYYY")</f>
        <v>08-2026</v>
      </c>
      <c r="C706" s="34" t="s">
        <v>1351</v>
      </c>
      <c r="D706" s="36" t="s">
        <v>210</v>
      </c>
      <c r="E706" s="36" t="s">
        <v>213</v>
      </c>
      <c r="F706" s="37" t="s">
        <v>123</v>
      </c>
      <c r="G706" s="263" t="b">
        <v>1</v>
      </c>
      <c r="H706" s="36" t="s">
        <v>214</v>
      </c>
      <c r="I706" s="36" t="s">
        <v>215</v>
      </c>
      <c r="J706" s="214"/>
      <c r="K706" s="215"/>
      <c r="L706" s="187" t="s">
        <v>194</v>
      </c>
      <c r="M706" s="187" t="s">
        <v>194</v>
      </c>
      <c r="N706" s="187" t="s">
        <v>194</v>
      </c>
      <c r="O706" s="187" t="s">
        <v>194</v>
      </c>
      <c r="P706" s="37" t="s">
        <v>692</v>
      </c>
      <c r="Q706" s="37" t="s">
        <v>693</v>
      </c>
      <c r="R706" s="41">
        <v>46306.0</v>
      </c>
      <c r="S706" s="42">
        <v>1.0</v>
      </c>
      <c r="T706" s="44"/>
      <c r="U706" s="47" t="str">
        <f>IF(records[Type]="Room",records[roomNo],records[roomNo]&amp;"-"&amp;SUBSTITUTE(RIGHT(records[roomNo]&amp;records[Type],2),"-",""))</f>
        <v>11-1-024</v>
      </c>
      <c r="V706" s="47" t="str">
        <f t="array" ref="V706">_xlfn.XLOOKUP(records[ID], dAir[roomNo], dAir[roomName])</f>
        <v>CORRIDOR</v>
      </c>
      <c r="W706" s="47" t="str">
        <f t="array" ref="W706">_xlfn.XLOOKUP(records[ID], dAir[roomNo], dAir[building])</f>
        <v>Building 11</v>
      </c>
      <c r="X706" s="47" t="str">
        <f t="array" ref="X706">_xlfn.XLOOKUP(records[ID], dAir[roomNo], dAir[floor])</f>
        <v>Floor 1</v>
      </c>
      <c r="Y706" s="45" t="str">
        <f t="array" ref="Y706">_xlfn.XLOOKUP(records[ID], dAir[roomNo], dAir[Class])</f>
        <v>D</v>
      </c>
      <c r="Z706" s="45">
        <f t="array" ref="Z706">_xlfn.XLOOKUP(records[Method]&amp;"-"&amp;records[Class], dAirSpec[ID], dAirSpec[Spec])</f>
        <v>100</v>
      </c>
      <c r="AA706" s="45" t="str">
        <f t="array" ref="AA706">_xlfn.XLOOKUP(records[Method]&amp;"-"&amp;records[Class], dAirSpec[ID], dAirSpec[Unit])</f>
        <v>cfu/plate</v>
      </c>
      <c r="AB706" s="58">
        <f t="array" ref="AB706">if(S706="","", if(records[Method]="Active Air",_xlfn.xlookup(records[ColonyCount]&amp;records[AirSampler],feller[code],feller[Vc]),records[ColonyCount]))</f>
        <v>1</v>
      </c>
      <c r="AC706" s="60" t="b">
        <f t="shared" si="1"/>
        <v>1</v>
      </c>
      <c r="AD706" s="61" t="b">
        <v>0</v>
      </c>
      <c r="AE706" s="32" t="s">
        <v>235</v>
      </c>
      <c r="AF706" s="46"/>
      <c r="AG706" s="46"/>
      <c r="AH706" s="46"/>
      <c r="AI706" s="46"/>
      <c r="AJ706" s="46"/>
    </row>
    <row r="707" ht="22.5" customHeight="1">
      <c r="A707" s="27">
        <v>46253.0</v>
      </c>
      <c r="B707" s="34" t="str">
        <f t="array" ref="B707">TEXT(A707, "MM-YYYY")</f>
        <v>08-2026</v>
      </c>
      <c r="C707" s="34" t="s">
        <v>1352</v>
      </c>
      <c r="D707" s="36" t="s">
        <v>210</v>
      </c>
      <c r="E707" s="36" t="s">
        <v>213</v>
      </c>
      <c r="F707" s="37" t="s">
        <v>123</v>
      </c>
      <c r="G707" s="263" t="b">
        <v>1</v>
      </c>
      <c r="H707" s="36" t="s">
        <v>214</v>
      </c>
      <c r="I707" s="36" t="s">
        <v>215</v>
      </c>
      <c r="J707" s="214"/>
      <c r="K707" s="215"/>
      <c r="L707" s="187" t="s">
        <v>194</v>
      </c>
      <c r="M707" s="187" t="s">
        <v>194</v>
      </c>
      <c r="N707" s="187" t="s">
        <v>194</v>
      </c>
      <c r="O707" s="187" t="s">
        <v>194</v>
      </c>
      <c r="P707" s="37" t="s">
        <v>692</v>
      </c>
      <c r="Q707" s="37" t="s">
        <v>693</v>
      </c>
      <c r="R707" s="41">
        <v>46306.0</v>
      </c>
      <c r="S707" s="42">
        <v>1.0</v>
      </c>
      <c r="T707" s="44"/>
      <c r="U707" s="47" t="str">
        <f>IF(records[Type]="Room",records[roomNo],records[roomNo]&amp;"-"&amp;SUBSTITUTE(RIGHT(records[roomNo]&amp;records[Type],2),"-",""))</f>
        <v>11-1-025</v>
      </c>
      <c r="V707" s="47" t="str">
        <f t="array" ref="V707">_xlfn.XLOOKUP(records[ID], dAir[roomNo], dAir[roomName])</f>
        <v>JANITOR ROOM</v>
      </c>
      <c r="W707" s="47" t="str">
        <f t="array" ref="W707">_xlfn.XLOOKUP(records[ID], dAir[roomNo], dAir[building])</f>
        <v>Building 11</v>
      </c>
      <c r="X707" s="47" t="str">
        <f t="array" ref="X707">_xlfn.XLOOKUP(records[ID], dAir[roomNo], dAir[floor])</f>
        <v>Floor 1</v>
      </c>
      <c r="Y707" s="45" t="str">
        <f t="array" ref="Y707">_xlfn.XLOOKUP(records[ID], dAir[roomNo], dAir[Class])</f>
        <v>D</v>
      </c>
      <c r="Z707" s="45">
        <f t="array" ref="Z707">_xlfn.XLOOKUP(records[Method]&amp;"-"&amp;records[Class], dAirSpec[ID], dAirSpec[Spec])</f>
        <v>100</v>
      </c>
      <c r="AA707" s="45" t="str">
        <f t="array" ref="AA707">_xlfn.XLOOKUP(records[Method]&amp;"-"&amp;records[Class], dAirSpec[ID], dAirSpec[Unit])</f>
        <v>cfu/plate</v>
      </c>
      <c r="AB707" s="58">
        <f t="array" ref="AB707">if(S707="","", if(records[Method]="Active Air",_xlfn.xlookup(records[ColonyCount]&amp;records[AirSampler],feller[code],feller[Vc]),records[ColonyCount]))</f>
        <v>1</v>
      </c>
      <c r="AC707" s="60" t="b">
        <f t="shared" si="1"/>
        <v>1</v>
      </c>
      <c r="AD707" s="61" t="b">
        <v>0</v>
      </c>
      <c r="AE707" s="32" t="s">
        <v>235</v>
      </c>
      <c r="AF707" s="46"/>
      <c r="AG707" s="46"/>
      <c r="AH707" s="46"/>
      <c r="AI707" s="46"/>
      <c r="AJ707" s="46"/>
    </row>
    <row r="708" ht="22.5" customHeight="1">
      <c r="A708" s="27">
        <v>46253.0</v>
      </c>
      <c r="B708" s="34" t="str">
        <f t="array" ref="B708">TEXT(A708, "MM-YYYY")</f>
        <v>08-2026</v>
      </c>
      <c r="C708" s="34" t="s">
        <v>1355</v>
      </c>
      <c r="D708" s="36" t="s">
        <v>210</v>
      </c>
      <c r="E708" s="36" t="s">
        <v>213</v>
      </c>
      <c r="F708" s="37" t="s">
        <v>123</v>
      </c>
      <c r="G708" s="263" t="b">
        <v>1</v>
      </c>
      <c r="H708" s="36" t="s">
        <v>214</v>
      </c>
      <c r="I708" s="36" t="s">
        <v>215</v>
      </c>
      <c r="J708" s="214"/>
      <c r="K708" s="215"/>
      <c r="L708" s="187" t="s">
        <v>194</v>
      </c>
      <c r="M708" s="187" t="s">
        <v>194</v>
      </c>
      <c r="N708" s="187" t="s">
        <v>194</v>
      </c>
      <c r="O708" s="187" t="s">
        <v>194</v>
      </c>
      <c r="P708" s="37" t="s">
        <v>692</v>
      </c>
      <c r="Q708" s="37" t="s">
        <v>693</v>
      </c>
      <c r="R708" s="41">
        <v>46306.0</v>
      </c>
      <c r="S708" s="42">
        <v>0.0</v>
      </c>
      <c r="T708" s="44"/>
      <c r="U708" s="47" t="str">
        <f>IF(records[Type]="Room",records[roomNo],records[roomNo]&amp;"-"&amp;SUBSTITUTE(RIGHT(records[roomNo]&amp;records[Type],2),"-",""))</f>
        <v>11-1-026</v>
      </c>
      <c r="V708" s="47" t="str">
        <f t="array" ref="V708">_xlfn.XLOOKUP(records[ID], dAir[roomNo], dAir[roomName])</f>
        <v>STORAGE</v>
      </c>
      <c r="W708" s="47" t="str">
        <f t="array" ref="W708">_xlfn.XLOOKUP(records[ID], dAir[roomNo], dAir[building])</f>
        <v>Building 11</v>
      </c>
      <c r="X708" s="47" t="str">
        <f t="array" ref="X708">_xlfn.XLOOKUP(records[ID], dAir[roomNo], dAir[floor])</f>
        <v>Floor 1</v>
      </c>
      <c r="Y708" s="45" t="str">
        <f t="array" ref="Y708">_xlfn.XLOOKUP(records[ID], dAir[roomNo], dAir[Class])</f>
        <v>D</v>
      </c>
      <c r="Z708" s="45">
        <f t="array" ref="Z708">_xlfn.XLOOKUP(records[Method]&amp;"-"&amp;records[Class], dAirSpec[ID], dAirSpec[Spec])</f>
        <v>100</v>
      </c>
      <c r="AA708" s="45" t="str">
        <f t="array" ref="AA708">_xlfn.XLOOKUP(records[Method]&amp;"-"&amp;records[Class], dAirSpec[ID], dAirSpec[Unit])</f>
        <v>cfu/plate</v>
      </c>
      <c r="AB708" s="58">
        <f t="array" ref="AB708">if(S708="","", if(records[Method]="Active Air",_xlfn.xlookup(records[ColonyCount]&amp;records[AirSampler],feller[code],feller[Vc]),records[ColonyCount]))</f>
        <v>0</v>
      </c>
      <c r="AC708" s="60" t="b">
        <f t="shared" si="1"/>
        <v>1</v>
      </c>
      <c r="AD708" s="61" t="b">
        <v>0</v>
      </c>
      <c r="AE708" s="32" t="s">
        <v>235</v>
      </c>
      <c r="AF708" s="46"/>
      <c r="AG708" s="46"/>
      <c r="AH708" s="46"/>
      <c r="AI708" s="46"/>
      <c r="AJ708" s="46"/>
    </row>
    <row r="709" ht="22.5" customHeight="1">
      <c r="A709" s="27">
        <v>46253.0</v>
      </c>
      <c r="B709" s="34" t="str">
        <f t="array" ref="B709">TEXT(A709, "MM-YYYY")</f>
        <v>08-2026</v>
      </c>
      <c r="C709" s="34" t="s">
        <v>1358</v>
      </c>
      <c r="D709" s="36" t="s">
        <v>210</v>
      </c>
      <c r="E709" s="36" t="s">
        <v>213</v>
      </c>
      <c r="F709" s="37" t="s">
        <v>123</v>
      </c>
      <c r="G709" s="263" t="b">
        <v>1</v>
      </c>
      <c r="H709" s="36" t="s">
        <v>214</v>
      </c>
      <c r="I709" s="36" t="s">
        <v>215</v>
      </c>
      <c r="J709" s="214"/>
      <c r="K709" s="215"/>
      <c r="L709" s="187" t="s">
        <v>194</v>
      </c>
      <c r="M709" s="187" t="s">
        <v>194</v>
      </c>
      <c r="N709" s="187" t="s">
        <v>194</v>
      </c>
      <c r="O709" s="187" t="s">
        <v>194</v>
      </c>
      <c r="P709" s="37" t="s">
        <v>692</v>
      </c>
      <c r="Q709" s="37" t="s">
        <v>693</v>
      </c>
      <c r="R709" s="41">
        <v>46306.0</v>
      </c>
      <c r="S709" s="42">
        <v>0.0</v>
      </c>
      <c r="T709" s="44"/>
      <c r="U709" s="47" t="str">
        <f>IF(records[Type]="Room",records[roomNo],records[roomNo]&amp;"-"&amp;SUBSTITUTE(RIGHT(records[roomNo]&amp;records[Type],2),"-",""))</f>
        <v>11-1-027</v>
      </c>
      <c r="V709" s="47" t="str">
        <f t="array" ref="V709">_xlfn.XLOOKUP(records[ID], dAir[roomNo], dAir[roomName])</f>
        <v>DRYING</v>
      </c>
      <c r="W709" s="47" t="str">
        <f t="array" ref="W709">_xlfn.XLOOKUP(records[ID], dAir[roomNo], dAir[building])</f>
        <v>Building 11</v>
      </c>
      <c r="X709" s="47" t="str">
        <f t="array" ref="X709">_xlfn.XLOOKUP(records[ID], dAir[roomNo], dAir[floor])</f>
        <v>Floor 1</v>
      </c>
      <c r="Y709" s="45" t="str">
        <f t="array" ref="Y709">_xlfn.XLOOKUP(records[ID], dAir[roomNo], dAir[Class])</f>
        <v>D</v>
      </c>
      <c r="Z709" s="45">
        <f t="array" ref="Z709">_xlfn.XLOOKUP(records[Method]&amp;"-"&amp;records[Class], dAirSpec[ID], dAirSpec[Spec])</f>
        <v>100</v>
      </c>
      <c r="AA709" s="45" t="str">
        <f t="array" ref="AA709">_xlfn.XLOOKUP(records[Method]&amp;"-"&amp;records[Class], dAirSpec[ID], dAirSpec[Unit])</f>
        <v>cfu/plate</v>
      </c>
      <c r="AB709" s="58">
        <f t="array" ref="AB709">if(S709="","", if(records[Method]="Active Air",_xlfn.xlookup(records[ColonyCount]&amp;records[AirSampler],feller[code],feller[Vc]),records[ColonyCount]))</f>
        <v>0</v>
      </c>
      <c r="AC709" s="60" t="b">
        <f t="shared" si="1"/>
        <v>1</v>
      </c>
      <c r="AD709" s="61" t="b">
        <v>0</v>
      </c>
      <c r="AE709" s="32" t="s">
        <v>235</v>
      </c>
      <c r="AF709" s="46"/>
      <c r="AG709" s="46"/>
      <c r="AH709" s="46"/>
      <c r="AI709" s="46"/>
      <c r="AJ709" s="46"/>
    </row>
    <row r="710" ht="22.5" customHeight="1">
      <c r="A710" s="27">
        <v>46253.0</v>
      </c>
      <c r="B710" s="34" t="str">
        <f t="array" ref="B710">TEXT(A710, "MM-YYYY")</f>
        <v>08-2026</v>
      </c>
      <c r="C710" s="34" t="s">
        <v>1359</v>
      </c>
      <c r="D710" s="36" t="s">
        <v>210</v>
      </c>
      <c r="E710" s="36" t="s">
        <v>213</v>
      </c>
      <c r="F710" s="37" t="s">
        <v>123</v>
      </c>
      <c r="G710" s="263" t="b">
        <v>1</v>
      </c>
      <c r="H710" s="36" t="s">
        <v>214</v>
      </c>
      <c r="I710" s="36" t="s">
        <v>215</v>
      </c>
      <c r="J710" s="214"/>
      <c r="K710" s="215"/>
      <c r="L710" s="187" t="s">
        <v>194</v>
      </c>
      <c r="M710" s="187" t="s">
        <v>194</v>
      </c>
      <c r="N710" s="187" t="s">
        <v>194</v>
      </c>
      <c r="O710" s="187" t="s">
        <v>194</v>
      </c>
      <c r="P710" s="37" t="s">
        <v>692</v>
      </c>
      <c r="Q710" s="37" t="s">
        <v>693</v>
      </c>
      <c r="R710" s="41">
        <v>46306.0</v>
      </c>
      <c r="S710" s="42">
        <v>1.0</v>
      </c>
      <c r="T710" s="44"/>
      <c r="U710" s="47" t="str">
        <f>IF(records[Type]="Room",records[roomNo],records[roomNo]&amp;"-"&amp;SUBSTITUTE(RIGHT(records[roomNo]&amp;records[Type],2),"-",""))</f>
        <v>11-1-028</v>
      </c>
      <c r="V710" s="47" t="str">
        <f t="array" ref="V710">_xlfn.XLOOKUP(records[ID], dAir[roomNo], dAir[roomName])</f>
        <v>WASHING</v>
      </c>
      <c r="W710" s="47" t="str">
        <f t="array" ref="W710">_xlfn.XLOOKUP(records[ID], dAir[roomNo], dAir[building])</f>
        <v>Building 11</v>
      </c>
      <c r="X710" s="47" t="str">
        <f t="array" ref="X710">_xlfn.XLOOKUP(records[ID], dAir[roomNo], dAir[floor])</f>
        <v>Floor 1</v>
      </c>
      <c r="Y710" s="45" t="str">
        <f t="array" ref="Y710">_xlfn.XLOOKUP(records[ID], dAir[roomNo], dAir[Class])</f>
        <v>D</v>
      </c>
      <c r="Z710" s="45">
        <f t="array" ref="Z710">_xlfn.XLOOKUP(records[Method]&amp;"-"&amp;records[Class], dAirSpec[ID], dAirSpec[Spec])</f>
        <v>100</v>
      </c>
      <c r="AA710" s="45" t="str">
        <f t="array" ref="AA710">_xlfn.XLOOKUP(records[Method]&amp;"-"&amp;records[Class], dAirSpec[ID], dAirSpec[Unit])</f>
        <v>cfu/plate</v>
      </c>
      <c r="AB710" s="58">
        <f t="array" ref="AB710">if(S710="","", if(records[Method]="Active Air",_xlfn.xlookup(records[ColonyCount]&amp;records[AirSampler],feller[code],feller[Vc]),records[ColonyCount]))</f>
        <v>1</v>
      </c>
      <c r="AC710" s="60" t="b">
        <f t="shared" si="1"/>
        <v>1</v>
      </c>
      <c r="AD710" s="61" t="b">
        <v>0</v>
      </c>
      <c r="AE710" s="32" t="s">
        <v>235</v>
      </c>
      <c r="AF710" s="46"/>
      <c r="AG710" s="46"/>
      <c r="AH710" s="46"/>
      <c r="AI710" s="46"/>
      <c r="AJ710" s="46"/>
    </row>
    <row r="711" ht="22.5" customHeight="1">
      <c r="A711" s="27">
        <v>46254.0</v>
      </c>
      <c r="B711" s="34" t="str">
        <f t="array" ref="B711">TEXT(A711, "MM-YYYY")</f>
        <v>08-2026</v>
      </c>
      <c r="C711" s="226" t="s">
        <v>765</v>
      </c>
      <c r="D711" s="227" t="s">
        <v>770</v>
      </c>
      <c r="E711" s="225" t="s">
        <v>531</v>
      </c>
      <c r="F711" s="37"/>
      <c r="G711" s="263" t="b">
        <v>0</v>
      </c>
      <c r="H711" s="36" t="s">
        <v>1737</v>
      </c>
      <c r="I711" s="36" t="s">
        <v>534</v>
      </c>
      <c r="J711" s="214"/>
      <c r="K711" s="215"/>
      <c r="L711" s="187" t="s">
        <v>194</v>
      </c>
      <c r="M711" s="187" t="s">
        <v>194</v>
      </c>
      <c r="N711" s="187" t="s">
        <v>194</v>
      </c>
      <c r="O711" s="187" t="s">
        <v>194</v>
      </c>
      <c r="P711" s="37" t="s">
        <v>692</v>
      </c>
      <c r="Q711" s="37" t="s">
        <v>693</v>
      </c>
      <c r="R711" s="41">
        <v>46306.0</v>
      </c>
      <c r="S711" s="228">
        <v>0.0</v>
      </c>
      <c r="T711" s="44"/>
      <c r="U711" s="45" t="str">
        <f>IF(records[Type]="Room",records[roomNo],records[roomNo]&amp;"-"&amp;SUBSTITUTE(RIGHT(records[roomNo]&amp;records[Type],2),"-",""))</f>
        <v>16-1-076-L</v>
      </c>
      <c r="V711" s="47" t="str">
        <f t="array" ref="V711">_xlfn.XLOOKUP(records[ID], dAir[roomNo], dAir[roomName])</f>
        <v>FILLING 2 (Laminar)</v>
      </c>
      <c r="W711" s="47" t="str">
        <f t="array" ref="W711">_xlfn.XLOOKUP(records[ID], dAir[roomNo], dAir[building])</f>
        <v>Building 16</v>
      </c>
      <c r="X711" s="47" t="str">
        <f t="array" ref="X711">_xlfn.XLOOKUP(records[ID], dAir[roomNo], dAir[floor])</f>
        <v>Floor 1</v>
      </c>
      <c r="Y711" s="45" t="str">
        <f t="array" ref="Y711">_xlfn.XLOOKUP(records[ID], dAir[roomNo], dAir[Class])</f>
        <v>A</v>
      </c>
      <c r="Z711" s="45">
        <f t="array" ref="Z711">_xlfn.XLOOKUP(records[Method]&amp;"-"&amp;records[Class], dAirSpec[ID], dAirSpec[Spec])</f>
        <v>0</v>
      </c>
      <c r="AA711" s="45" t="str">
        <f t="array" ref="AA711">_xlfn.XLOOKUP(records[Method]&amp;"-"&amp;records[Class], dAirSpec[ID], dAirSpec[Unit])</f>
        <v>cfu/m3</v>
      </c>
      <c r="AB711" s="45">
        <f t="array" ref="AB711">if(S711="","", if(records[Method]="Active Air",_xlfn.xlookup(records[ColonyCount]&amp;records[AirSampler],feller[code],feller[Vc]),records[ColonyCount]))</f>
        <v>0</v>
      </c>
      <c r="AC711" s="60" t="b">
        <f t="shared" si="1"/>
        <v>1</v>
      </c>
      <c r="AD711" s="61" t="b">
        <v>0</v>
      </c>
      <c r="AE711" s="32"/>
      <c r="AF711" s="46"/>
      <c r="AG711" s="46"/>
      <c r="AH711" s="46"/>
      <c r="AI711" s="46"/>
      <c r="AJ711" s="46"/>
    </row>
    <row r="712" ht="22.5" customHeight="1">
      <c r="A712" s="27">
        <v>46257.0</v>
      </c>
      <c r="B712" s="34" t="str">
        <f t="array" ref="B712">TEXT(A712, "MM-YYYY")</f>
        <v>08-2026</v>
      </c>
      <c r="C712" s="20" t="s">
        <v>1506</v>
      </c>
      <c r="D712" s="21" t="s">
        <v>210</v>
      </c>
      <c r="E712" s="139" t="s">
        <v>213</v>
      </c>
      <c r="F712" s="37" t="s">
        <v>126</v>
      </c>
      <c r="G712" s="263" t="b">
        <v>1</v>
      </c>
      <c r="H712" s="36" t="s">
        <v>214</v>
      </c>
      <c r="I712" s="36" t="s">
        <v>215</v>
      </c>
      <c r="J712" s="214"/>
      <c r="K712" s="215"/>
      <c r="L712" s="187" t="s">
        <v>194</v>
      </c>
      <c r="M712" s="187" t="s">
        <v>194</v>
      </c>
      <c r="N712" s="187" t="s">
        <v>194</v>
      </c>
      <c r="O712" s="187" t="s">
        <v>194</v>
      </c>
      <c r="P712" s="37" t="s">
        <v>692</v>
      </c>
      <c r="Q712" s="37" t="s">
        <v>693</v>
      </c>
      <c r="R712" s="41">
        <v>46306.0</v>
      </c>
      <c r="S712" s="42">
        <v>0.0</v>
      </c>
      <c r="T712" s="44"/>
      <c r="U712" s="47" t="str">
        <f>IF(records[Type]="Room",records[roomNo],records[roomNo]&amp;"-"&amp;SUBSTITUTE(RIGHT(records[roomNo]&amp;records[Type],2),"-",""))</f>
        <v>16-3-047</v>
      </c>
      <c r="V712" s="47" t="str">
        <f t="array" ref="V712">_xlfn.XLOOKUP(records[ID], dAir[roomNo], dAir[roomName])</f>
        <v>PROCESS CHANGE</v>
      </c>
      <c r="W712" s="47" t="str">
        <f t="array" ref="W712">_xlfn.XLOOKUP(records[ID], dAir[roomNo], dAir[building])</f>
        <v>Building 16</v>
      </c>
      <c r="X712" s="47" t="str">
        <f t="array" ref="X712">_xlfn.XLOOKUP(records[ID], dAir[roomNo], dAir[floor])</f>
        <v>Floor 3</v>
      </c>
      <c r="Y712" s="45" t="str">
        <f t="array" ref="Y712">_xlfn.XLOOKUP(records[ID], dAir[roomNo], dAir[Class])</f>
        <v>D</v>
      </c>
      <c r="Z712" s="45">
        <f t="array" ref="Z712">_xlfn.XLOOKUP(records[Method]&amp;"-"&amp;records[Class], dAirSpec[ID], dAirSpec[Spec])</f>
        <v>100</v>
      </c>
      <c r="AA712" s="45" t="str">
        <f t="array" ref="AA712">_xlfn.XLOOKUP(records[Method]&amp;"-"&amp;records[Class], dAirSpec[ID], dAirSpec[Unit])</f>
        <v>cfu/plate</v>
      </c>
      <c r="AB712" s="58">
        <f t="array" ref="AB712">if(S712="","", if(records[Method]="Active Air",_xlfn.xlookup(records[ColonyCount]&amp;records[AirSampler],feller[code],feller[Vc]),records[ColonyCount]))</f>
        <v>0</v>
      </c>
      <c r="AC712" s="60" t="b">
        <f t="shared" si="1"/>
        <v>1</v>
      </c>
      <c r="AD712" s="61" t="b">
        <v>0</v>
      </c>
      <c r="AE712" s="32" t="s">
        <v>235</v>
      </c>
      <c r="AF712" s="46"/>
      <c r="AG712" s="46"/>
      <c r="AH712" s="46"/>
      <c r="AI712" s="46"/>
      <c r="AJ712" s="46"/>
    </row>
    <row r="713" ht="22.5" customHeight="1">
      <c r="A713" s="27">
        <v>46257.0</v>
      </c>
      <c r="B713" s="34" t="str">
        <f t="array" ref="B713">TEXT(A713, "MM-YYYY")</f>
        <v>08-2026</v>
      </c>
      <c r="C713" s="39" t="s">
        <v>1507</v>
      </c>
      <c r="D713" s="36" t="s">
        <v>210</v>
      </c>
      <c r="E713" s="36" t="s">
        <v>213</v>
      </c>
      <c r="F713" s="37" t="s">
        <v>126</v>
      </c>
      <c r="G713" s="263" t="b">
        <v>1</v>
      </c>
      <c r="H713" s="36" t="s">
        <v>214</v>
      </c>
      <c r="I713" s="36" t="s">
        <v>215</v>
      </c>
      <c r="J713" s="214"/>
      <c r="K713" s="215"/>
      <c r="L713" s="187" t="s">
        <v>194</v>
      </c>
      <c r="M713" s="187" t="s">
        <v>194</v>
      </c>
      <c r="N713" s="187" t="s">
        <v>194</v>
      </c>
      <c r="O713" s="187" t="s">
        <v>194</v>
      </c>
      <c r="P713" s="37" t="s">
        <v>692</v>
      </c>
      <c r="Q713" s="37" t="s">
        <v>693</v>
      </c>
      <c r="R713" s="41">
        <v>46306.0</v>
      </c>
      <c r="S713" s="42">
        <v>0.0</v>
      </c>
      <c r="T713" s="44" t="s">
        <v>2498</v>
      </c>
      <c r="U713" s="45" t="str">
        <f>IF(records[Type]="Room",records[roomNo],records[roomNo]&amp;"-"&amp;SUBSTITUTE(RIGHT(records[roomNo]&amp;records[Type],2),"-",""))</f>
        <v>16-3-048</v>
      </c>
      <c r="V713" s="47" t="str">
        <f t="array" ref="V713">_xlfn.XLOOKUP(records[ID], dAir[roomNo], dAir[roomName])</f>
        <v>CORRIDOR</v>
      </c>
      <c r="W713" s="47" t="str">
        <f t="array" ref="W713">_xlfn.XLOOKUP(records[ID], dAir[roomNo], dAir[building])</f>
        <v>Building 16</v>
      </c>
      <c r="X713" s="47" t="str">
        <f t="array" ref="X713">_xlfn.XLOOKUP(records[ID], dAir[roomNo], dAir[floor])</f>
        <v>Floor 3</v>
      </c>
      <c r="Y713" s="45" t="str">
        <f t="array" ref="Y713">_xlfn.XLOOKUP(records[ID], dAir[roomNo], dAir[Class])</f>
        <v>D</v>
      </c>
      <c r="Z713" s="45">
        <f t="array" ref="Z713">_xlfn.XLOOKUP(records[Method]&amp;"-"&amp;records[Class], dAirSpec[ID], dAirSpec[Spec])</f>
        <v>100</v>
      </c>
      <c r="AA713" s="45" t="str">
        <f t="array" ref="AA713">_xlfn.XLOOKUP(records[Method]&amp;"-"&amp;records[Class], dAirSpec[ID], dAirSpec[Unit])</f>
        <v>cfu/plate</v>
      </c>
      <c r="AB713" s="58">
        <f t="array" ref="AB713">if(S713="","", if(records[Method]="Active Air",_xlfn.xlookup(records[ColonyCount]&amp;records[AirSampler],feller[code],feller[Vc]),records[ColonyCount]))</f>
        <v>0</v>
      </c>
      <c r="AC713" s="60" t="b">
        <f t="shared" si="1"/>
        <v>1</v>
      </c>
      <c r="AD713" s="61" t="b">
        <v>0</v>
      </c>
      <c r="AE713" s="32" t="s">
        <v>235</v>
      </c>
      <c r="AF713" s="46"/>
      <c r="AG713" s="46"/>
      <c r="AH713" s="46"/>
      <c r="AI713" s="46"/>
      <c r="AJ713" s="46"/>
    </row>
    <row r="714" ht="22.5" customHeight="1">
      <c r="A714" s="27">
        <v>46257.0</v>
      </c>
      <c r="B714" s="34" t="str">
        <f t="array" ref="B714">TEXT(A714, "MM-YYYY")</f>
        <v>08-2026</v>
      </c>
      <c r="C714" s="39" t="s">
        <v>1508</v>
      </c>
      <c r="D714" s="36" t="s">
        <v>210</v>
      </c>
      <c r="E714" s="36" t="s">
        <v>213</v>
      </c>
      <c r="F714" s="37" t="s">
        <v>126</v>
      </c>
      <c r="G714" s="263" t="b">
        <v>1</v>
      </c>
      <c r="H714" s="36" t="s">
        <v>214</v>
      </c>
      <c r="I714" s="36" t="s">
        <v>215</v>
      </c>
      <c r="J714" s="214"/>
      <c r="K714" s="215"/>
      <c r="L714" s="187" t="s">
        <v>194</v>
      </c>
      <c r="M714" s="187" t="s">
        <v>194</v>
      </c>
      <c r="N714" s="187" t="s">
        <v>194</v>
      </c>
      <c r="O714" s="187" t="s">
        <v>194</v>
      </c>
      <c r="P714" s="37" t="s">
        <v>692</v>
      </c>
      <c r="Q714" s="37" t="s">
        <v>693</v>
      </c>
      <c r="R714" s="41">
        <v>46306.0</v>
      </c>
      <c r="S714" s="42">
        <v>0.0</v>
      </c>
      <c r="T714" s="44"/>
      <c r="U714" s="45" t="str">
        <f>IF(records[Type]="Room",records[roomNo],records[roomNo]&amp;"-"&amp;SUBSTITUTE(RIGHT(records[roomNo]&amp;records[Type],2),"-",""))</f>
        <v>16-3-049</v>
      </c>
      <c r="V714" s="47" t="str">
        <f t="array" ref="V714">_xlfn.XLOOKUP(records[ID], dAir[roomNo], dAir[roomName])</f>
        <v>LINEN WASHING</v>
      </c>
      <c r="W714" s="47" t="str">
        <f t="array" ref="W714">_xlfn.XLOOKUP(records[ID], dAir[roomNo], dAir[building])</f>
        <v>Building 16</v>
      </c>
      <c r="X714" s="47" t="str">
        <f t="array" ref="X714">_xlfn.XLOOKUP(records[ID], dAir[roomNo], dAir[floor])</f>
        <v>Floor 3</v>
      </c>
      <c r="Y714" s="45" t="str">
        <f t="array" ref="Y714">_xlfn.XLOOKUP(records[ID], dAir[roomNo], dAir[Class])</f>
        <v>D</v>
      </c>
      <c r="Z714" s="45">
        <f t="array" ref="Z714">_xlfn.XLOOKUP(records[Method]&amp;"-"&amp;records[Class], dAirSpec[ID], dAirSpec[Spec])</f>
        <v>100</v>
      </c>
      <c r="AA714" s="45" t="str">
        <f t="array" ref="AA714">_xlfn.XLOOKUP(records[Method]&amp;"-"&amp;records[Class], dAirSpec[ID], dAirSpec[Unit])</f>
        <v>cfu/plate</v>
      </c>
      <c r="AB714" s="58">
        <f t="array" ref="AB714">if(S714="","", if(records[Method]="Active Air",_xlfn.xlookup(records[ColonyCount]&amp;records[AirSampler],feller[code],feller[Vc]),records[ColonyCount]))</f>
        <v>0</v>
      </c>
      <c r="AC714" s="60" t="b">
        <f t="shared" si="1"/>
        <v>1</v>
      </c>
      <c r="AD714" s="61" t="b">
        <v>0</v>
      </c>
      <c r="AE714" s="32" t="s">
        <v>235</v>
      </c>
      <c r="AF714" s="46"/>
      <c r="AG714" s="46"/>
      <c r="AH714" s="46"/>
      <c r="AI714" s="46"/>
      <c r="AJ714" s="46"/>
    </row>
    <row r="715" ht="22.5" customHeight="1">
      <c r="A715" s="27">
        <v>46257.0</v>
      </c>
      <c r="B715" s="34" t="str">
        <f t="array" ref="B715">TEXT(A715, "MM-YYYY")</f>
        <v>08-2026</v>
      </c>
      <c r="C715" s="39" t="s">
        <v>1509</v>
      </c>
      <c r="D715" s="36" t="s">
        <v>210</v>
      </c>
      <c r="E715" s="36" t="s">
        <v>213</v>
      </c>
      <c r="F715" s="37" t="s">
        <v>126</v>
      </c>
      <c r="G715" s="263" t="b">
        <v>1</v>
      </c>
      <c r="H715" s="36" t="s">
        <v>214</v>
      </c>
      <c r="I715" s="36" t="s">
        <v>215</v>
      </c>
      <c r="J715" s="214"/>
      <c r="K715" s="215"/>
      <c r="L715" s="187" t="s">
        <v>194</v>
      </c>
      <c r="M715" s="187" t="s">
        <v>194</v>
      </c>
      <c r="N715" s="187" t="s">
        <v>194</v>
      </c>
      <c r="O715" s="187" t="s">
        <v>194</v>
      </c>
      <c r="P715" s="37" t="s">
        <v>692</v>
      </c>
      <c r="Q715" s="37" t="s">
        <v>693</v>
      </c>
      <c r="R715" s="41">
        <v>46306.0</v>
      </c>
      <c r="S715" s="42">
        <v>0.0</v>
      </c>
      <c r="T715" s="44"/>
      <c r="U715" s="45" t="str">
        <f>IF(records[Type]="Room",records[roomNo],records[roomNo]&amp;"-"&amp;SUBSTITUTE(RIGHT(records[roomNo]&amp;records[Type],2),"-",""))</f>
        <v>16-3-050</v>
      </c>
      <c r="V715" s="47" t="str">
        <f t="array" ref="V715">_xlfn.XLOOKUP(records[ID], dAir[roomNo], dAir[roomName])</f>
        <v>LINEN DRY</v>
      </c>
      <c r="W715" s="47" t="str">
        <f t="array" ref="W715">_xlfn.XLOOKUP(records[ID], dAir[roomNo], dAir[building])</f>
        <v>Building 16</v>
      </c>
      <c r="X715" s="47" t="str">
        <f t="array" ref="X715">_xlfn.XLOOKUP(records[ID], dAir[roomNo], dAir[floor])</f>
        <v>Floor 3</v>
      </c>
      <c r="Y715" s="45" t="str">
        <f t="array" ref="Y715">_xlfn.XLOOKUP(records[ID], dAir[roomNo], dAir[Class])</f>
        <v>D</v>
      </c>
      <c r="Z715" s="45">
        <f t="array" ref="Z715">_xlfn.XLOOKUP(records[Method]&amp;"-"&amp;records[Class], dAirSpec[ID], dAirSpec[Spec])</f>
        <v>100</v>
      </c>
      <c r="AA715" s="45" t="str">
        <f t="array" ref="AA715">_xlfn.XLOOKUP(records[Method]&amp;"-"&amp;records[Class], dAirSpec[ID], dAirSpec[Unit])</f>
        <v>cfu/plate</v>
      </c>
      <c r="AB715" s="58">
        <f t="array" ref="AB715">if(S715="","", if(records[Method]="Active Air",_xlfn.xlookup(records[ColonyCount]&amp;records[AirSampler],feller[code],feller[Vc]),records[ColonyCount]))</f>
        <v>0</v>
      </c>
      <c r="AC715" s="60" t="b">
        <f t="shared" si="1"/>
        <v>1</v>
      </c>
      <c r="AD715" s="61" t="b">
        <v>0</v>
      </c>
      <c r="AE715" s="32" t="s">
        <v>235</v>
      </c>
      <c r="AF715" s="46"/>
      <c r="AG715" s="46"/>
      <c r="AH715" s="46"/>
      <c r="AI715" s="46"/>
      <c r="AJ715" s="46"/>
    </row>
    <row r="716" ht="22.5" customHeight="1">
      <c r="A716" s="27">
        <v>46257.0</v>
      </c>
      <c r="B716" s="34" t="str">
        <f t="array" ref="B716">TEXT(A716, "MM-YYYY")</f>
        <v>08-2026</v>
      </c>
      <c r="C716" s="39" t="s">
        <v>1510</v>
      </c>
      <c r="D716" s="36" t="s">
        <v>210</v>
      </c>
      <c r="E716" s="36" t="s">
        <v>213</v>
      </c>
      <c r="F716" s="37" t="s">
        <v>126</v>
      </c>
      <c r="G716" s="263" t="b">
        <v>1</v>
      </c>
      <c r="H716" s="36" t="s">
        <v>214</v>
      </c>
      <c r="I716" s="36" t="s">
        <v>215</v>
      </c>
      <c r="J716" s="214"/>
      <c r="K716" s="215"/>
      <c r="L716" s="187" t="s">
        <v>194</v>
      </c>
      <c r="M716" s="187" t="s">
        <v>194</v>
      </c>
      <c r="N716" s="187" t="s">
        <v>194</v>
      </c>
      <c r="O716" s="187" t="s">
        <v>194</v>
      </c>
      <c r="P716" s="37" t="s">
        <v>692</v>
      </c>
      <c r="Q716" s="37" t="s">
        <v>693</v>
      </c>
      <c r="R716" s="41">
        <v>46306.0</v>
      </c>
      <c r="S716" s="42">
        <v>1.0</v>
      </c>
      <c r="T716" s="44"/>
      <c r="U716" s="45" t="str">
        <f>IF(records[Type]="Room",records[roomNo],records[roomNo]&amp;"-"&amp;SUBSTITUTE(RIGHT(records[roomNo]&amp;records[Type],2),"-",""))</f>
        <v>16-3-051</v>
      </c>
      <c r="V716" s="47" t="str">
        <f t="array" ref="V716">_xlfn.XLOOKUP(records[ID], dAir[roomNo], dAir[roomName])</f>
        <v>LINEN STORAGE</v>
      </c>
      <c r="W716" s="47" t="str">
        <f t="array" ref="W716">_xlfn.XLOOKUP(records[ID], dAir[roomNo], dAir[building])</f>
        <v>Building 16</v>
      </c>
      <c r="X716" s="47" t="str">
        <f t="array" ref="X716">_xlfn.XLOOKUP(records[ID], dAir[roomNo], dAir[floor])</f>
        <v>Floor 3</v>
      </c>
      <c r="Y716" s="45" t="str">
        <f t="array" ref="Y716">_xlfn.XLOOKUP(records[ID], dAir[roomNo], dAir[Class])</f>
        <v>D</v>
      </c>
      <c r="Z716" s="45">
        <f t="array" ref="Z716">_xlfn.XLOOKUP(records[Method]&amp;"-"&amp;records[Class], dAirSpec[ID], dAirSpec[Spec])</f>
        <v>100</v>
      </c>
      <c r="AA716" s="45" t="str">
        <f t="array" ref="AA716">_xlfn.XLOOKUP(records[Method]&amp;"-"&amp;records[Class], dAirSpec[ID], dAirSpec[Unit])</f>
        <v>cfu/plate</v>
      </c>
      <c r="AB716" s="58">
        <f t="array" ref="AB716">if(S716="","", if(records[Method]="Active Air",_xlfn.xlookup(records[ColonyCount]&amp;records[AirSampler],feller[code],feller[Vc]),records[ColonyCount]))</f>
        <v>1</v>
      </c>
      <c r="AC716" s="60" t="b">
        <f t="shared" si="1"/>
        <v>1</v>
      </c>
      <c r="AD716" s="61" t="b">
        <v>0</v>
      </c>
      <c r="AE716" s="32" t="s">
        <v>235</v>
      </c>
      <c r="AF716" s="46"/>
      <c r="AG716" s="46"/>
      <c r="AH716" s="46"/>
      <c r="AI716" s="46"/>
      <c r="AJ716" s="46"/>
    </row>
    <row r="717" ht="22.5" customHeight="1">
      <c r="A717" s="27">
        <v>46257.0</v>
      </c>
      <c r="B717" s="34" t="str">
        <f t="array" ref="B717">TEXT(A717, "MM-YYYY")</f>
        <v>08-2026</v>
      </c>
      <c r="C717" s="39" t="s">
        <v>1511</v>
      </c>
      <c r="D717" s="36" t="s">
        <v>210</v>
      </c>
      <c r="E717" s="36" t="s">
        <v>213</v>
      </c>
      <c r="F717" s="37" t="s">
        <v>126</v>
      </c>
      <c r="G717" s="263" t="b">
        <v>1</v>
      </c>
      <c r="H717" s="36" t="s">
        <v>214</v>
      </c>
      <c r="I717" s="36" t="s">
        <v>215</v>
      </c>
      <c r="J717" s="214"/>
      <c r="K717" s="215"/>
      <c r="L717" s="187" t="s">
        <v>194</v>
      </c>
      <c r="M717" s="187" t="s">
        <v>194</v>
      </c>
      <c r="N717" s="187" t="s">
        <v>194</v>
      </c>
      <c r="O717" s="187" t="s">
        <v>194</v>
      </c>
      <c r="P717" s="37" t="s">
        <v>692</v>
      </c>
      <c r="Q717" s="37" t="s">
        <v>693</v>
      </c>
      <c r="R717" s="41">
        <v>46306.0</v>
      </c>
      <c r="S717" s="42">
        <v>0.0</v>
      </c>
      <c r="T717" s="44"/>
      <c r="U717" s="45" t="str">
        <f>IF(records[Type]="Room",records[roomNo],records[roomNo]&amp;"-"&amp;SUBSTITUTE(RIGHT(records[roomNo]&amp;records[Type],2),"-",""))</f>
        <v>16-3-052</v>
      </c>
      <c r="V717" s="47" t="str">
        <f t="array" ref="V717">_xlfn.XLOOKUP(records[ID], dAir[roomNo], dAir[roomName])</f>
        <v>CLEANED EQUIPMENT</v>
      </c>
      <c r="W717" s="47" t="str">
        <f t="array" ref="W717">_xlfn.XLOOKUP(records[ID], dAir[roomNo], dAir[building])</f>
        <v>Building 16</v>
      </c>
      <c r="X717" s="47" t="str">
        <f t="array" ref="X717">_xlfn.XLOOKUP(records[ID], dAir[roomNo], dAir[floor])</f>
        <v>Floor 3</v>
      </c>
      <c r="Y717" s="45" t="str">
        <f t="array" ref="Y717">_xlfn.XLOOKUP(records[ID], dAir[roomNo], dAir[Class])</f>
        <v>D</v>
      </c>
      <c r="Z717" s="45">
        <f t="array" ref="Z717">_xlfn.XLOOKUP(records[Method]&amp;"-"&amp;records[Class], dAirSpec[ID], dAirSpec[Spec])</f>
        <v>100</v>
      </c>
      <c r="AA717" s="45" t="str">
        <f t="array" ref="AA717">_xlfn.XLOOKUP(records[Method]&amp;"-"&amp;records[Class], dAirSpec[ID], dAirSpec[Unit])</f>
        <v>cfu/plate</v>
      </c>
      <c r="AB717" s="58">
        <f t="array" ref="AB717">if(S717="","", if(records[Method]="Active Air",_xlfn.xlookup(records[ColonyCount]&amp;records[AirSampler],feller[code],feller[Vc]),records[ColonyCount]))</f>
        <v>0</v>
      </c>
      <c r="AC717" s="60" t="b">
        <f t="shared" si="1"/>
        <v>1</v>
      </c>
      <c r="AD717" s="61" t="b">
        <v>0</v>
      </c>
      <c r="AE717" s="32" t="s">
        <v>235</v>
      </c>
      <c r="AF717" s="46"/>
      <c r="AG717" s="46"/>
      <c r="AH717" s="46"/>
      <c r="AI717" s="46"/>
      <c r="AJ717" s="46"/>
    </row>
    <row r="718" ht="22.5" customHeight="1">
      <c r="A718" s="27">
        <v>46257.0</v>
      </c>
      <c r="B718" s="34" t="str">
        <f t="array" ref="B718">TEXT(A718, "MM-YYYY")</f>
        <v>08-2026</v>
      </c>
      <c r="C718" s="39" t="s">
        <v>1512</v>
      </c>
      <c r="D718" s="36" t="s">
        <v>210</v>
      </c>
      <c r="E718" s="36" t="s">
        <v>213</v>
      </c>
      <c r="F718" s="37" t="s">
        <v>126</v>
      </c>
      <c r="G718" s="263" t="b">
        <v>1</v>
      </c>
      <c r="H718" s="36" t="s">
        <v>214</v>
      </c>
      <c r="I718" s="36" t="s">
        <v>215</v>
      </c>
      <c r="J718" s="214"/>
      <c r="K718" s="215"/>
      <c r="L718" s="187" t="s">
        <v>194</v>
      </c>
      <c r="M718" s="187" t="s">
        <v>194</v>
      </c>
      <c r="N718" s="187" t="s">
        <v>194</v>
      </c>
      <c r="O718" s="187" t="s">
        <v>194</v>
      </c>
      <c r="P718" s="37" t="s">
        <v>692</v>
      </c>
      <c r="Q718" s="37" t="s">
        <v>693</v>
      </c>
      <c r="R718" s="41">
        <v>46306.0</v>
      </c>
      <c r="S718" s="42">
        <v>0.0</v>
      </c>
      <c r="T718" s="44"/>
      <c r="U718" s="45" t="str">
        <f>IF(records[Type]="Room",records[roomNo],records[roomNo]&amp;"-"&amp;SUBSTITUTE(RIGHT(records[roomNo]&amp;records[Type],2),"-",""))</f>
        <v>16-3-053</v>
      </c>
      <c r="V718" s="47" t="str">
        <f t="array" ref="V718">_xlfn.XLOOKUP(records[ID], dAir[roomNo], dAir[roomName])</f>
        <v>DRYING</v>
      </c>
      <c r="W718" s="47" t="str">
        <f t="array" ref="W718">_xlfn.XLOOKUP(records[ID], dAir[roomNo], dAir[building])</f>
        <v>Building 16</v>
      </c>
      <c r="X718" s="47" t="str">
        <f t="array" ref="X718">_xlfn.XLOOKUP(records[ID], dAir[roomNo], dAir[floor])</f>
        <v>Floor 3</v>
      </c>
      <c r="Y718" s="45" t="str">
        <f t="array" ref="Y718">_xlfn.XLOOKUP(records[ID], dAir[roomNo], dAir[Class])</f>
        <v>D</v>
      </c>
      <c r="Z718" s="45">
        <f t="array" ref="Z718">_xlfn.XLOOKUP(records[Method]&amp;"-"&amp;records[Class], dAirSpec[ID], dAirSpec[Spec])</f>
        <v>100</v>
      </c>
      <c r="AA718" s="45" t="str">
        <f t="array" ref="AA718">_xlfn.XLOOKUP(records[Method]&amp;"-"&amp;records[Class], dAirSpec[ID], dAirSpec[Unit])</f>
        <v>cfu/plate</v>
      </c>
      <c r="AB718" s="58">
        <f t="array" ref="AB718">if(S718="","", if(records[Method]="Active Air",_xlfn.xlookup(records[ColonyCount]&amp;records[AirSampler],feller[code],feller[Vc]),records[ColonyCount]))</f>
        <v>0</v>
      </c>
      <c r="AC718" s="60" t="b">
        <f t="shared" si="1"/>
        <v>1</v>
      </c>
      <c r="AD718" s="61" t="b">
        <v>0</v>
      </c>
      <c r="AE718" s="32" t="s">
        <v>235</v>
      </c>
      <c r="AF718" s="46"/>
      <c r="AG718" s="46"/>
      <c r="AH718" s="46"/>
      <c r="AI718" s="46"/>
      <c r="AJ718" s="46"/>
    </row>
    <row r="719" ht="22.5" customHeight="1">
      <c r="A719" s="27">
        <v>46257.0</v>
      </c>
      <c r="B719" s="34" t="str">
        <f t="array" ref="B719">TEXT(A719, "MM-YYYY")</f>
        <v>08-2026</v>
      </c>
      <c r="C719" s="39" t="s">
        <v>1513</v>
      </c>
      <c r="D719" s="36" t="s">
        <v>210</v>
      </c>
      <c r="E719" s="36" t="s">
        <v>213</v>
      </c>
      <c r="F719" s="37" t="s">
        <v>126</v>
      </c>
      <c r="G719" s="263" t="b">
        <v>1</v>
      </c>
      <c r="H719" s="36" t="s">
        <v>214</v>
      </c>
      <c r="I719" s="36" t="s">
        <v>215</v>
      </c>
      <c r="J719" s="214"/>
      <c r="K719" s="215"/>
      <c r="L719" s="187" t="s">
        <v>194</v>
      </c>
      <c r="M719" s="187" t="s">
        <v>194</v>
      </c>
      <c r="N719" s="187" t="s">
        <v>194</v>
      </c>
      <c r="O719" s="187" t="s">
        <v>194</v>
      </c>
      <c r="P719" s="37" t="s">
        <v>692</v>
      </c>
      <c r="Q719" s="37" t="s">
        <v>693</v>
      </c>
      <c r="R719" s="41">
        <v>46306.0</v>
      </c>
      <c r="S719" s="42">
        <v>3.0</v>
      </c>
      <c r="T719" s="44"/>
      <c r="U719" s="45" t="str">
        <f>IF(records[Type]="Room",records[roomNo],records[roomNo]&amp;"-"&amp;SUBSTITUTE(RIGHT(records[roomNo]&amp;records[Type],2),"-",""))</f>
        <v>16-3-054</v>
      </c>
      <c r="V719" s="47" t="str">
        <f t="array" ref="V719">_xlfn.XLOOKUP(records[ID], dAir[roomNo], dAir[roomName])</f>
        <v>WASHING</v>
      </c>
      <c r="W719" s="47" t="str">
        <f t="array" ref="W719">_xlfn.XLOOKUP(records[ID], dAir[roomNo], dAir[building])</f>
        <v>Building 16</v>
      </c>
      <c r="X719" s="47" t="str">
        <f t="array" ref="X719">_xlfn.XLOOKUP(records[ID], dAir[roomNo], dAir[floor])</f>
        <v>Floor 3</v>
      </c>
      <c r="Y719" s="45" t="str">
        <f t="array" ref="Y719">_xlfn.XLOOKUP(records[ID], dAir[roomNo], dAir[Class])</f>
        <v>D</v>
      </c>
      <c r="Z719" s="45">
        <f t="array" ref="Z719">_xlfn.XLOOKUP(records[Method]&amp;"-"&amp;records[Class], dAirSpec[ID], dAirSpec[Spec])</f>
        <v>100</v>
      </c>
      <c r="AA719" s="45" t="str">
        <f t="array" ref="AA719">_xlfn.XLOOKUP(records[Method]&amp;"-"&amp;records[Class], dAirSpec[ID], dAirSpec[Unit])</f>
        <v>cfu/plate</v>
      </c>
      <c r="AB719" s="58">
        <f t="array" ref="AB719">if(S719="","", if(records[Method]="Active Air",_xlfn.xlookup(records[ColonyCount]&amp;records[AirSampler],feller[code],feller[Vc]),records[ColonyCount]))</f>
        <v>3</v>
      </c>
      <c r="AC719" s="60" t="b">
        <f t="shared" si="1"/>
        <v>1</v>
      </c>
      <c r="AD719" s="61" t="b">
        <v>0</v>
      </c>
      <c r="AE719" s="32" t="s">
        <v>235</v>
      </c>
      <c r="AF719" s="46"/>
      <c r="AG719" s="46"/>
      <c r="AH719" s="46"/>
      <c r="AI719" s="46"/>
      <c r="AJ719" s="46"/>
    </row>
    <row r="720" ht="22.5" customHeight="1">
      <c r="A720" s="27">
        <v>46257.0</v>
      </c>
      <c r="B720" s="34" t="str">
        <f t="array" ref="B720">TEXT(A720, "MM-YYYY")</f>
        <v>08-2026</v>
      </c>
      <c r="C720" s="39" t="s">
        <v>1514</v>
      </c>
      <c r="D720" s="36" t="s">
        <v>210</v>
      </c>
      <c r="E720" s="36" t="s">
        <v>213</v>
      </c>
      <c r="F720" s="37" t="s">
        <v>126</v>
      </c>
      <c r="G720" s="263" t="b">
        <v>1</v>
      </c>
      <c r="H720" s="36" t="s">
        <v>214</v>
      </c>
      <c r="I720" s="36" t="s">
        <v>215</v>
      </c>
      <c r="J720" s="214"/>
      <c r="K720" s="215"/>
      <c r="L720" s="187" t="s">
        <v>194</v>
      </c>
      <c r="M720" s="187" t="s">
        <v>194</v>
      </c>
      <c r="N720" s="187" t="s">
        <v>194</v>
      </c>
      <c r="O720" s="187" t="s">
        <v>194</v>
      </c>
      <c r="P720" s="37" t="s">
        <v>692</v>
      </c>
      <c r="Q720" s="37" t="s">
        <v>693</v>
      </c>
      <c r="R720" s="41">
        <v>46306.0</v>
      </c>
      <c r="S720" s="42">
        <v>1.0</v>
      </c>
      <c r="T720" s="44"/>
      <c r="U720" s="45" t="str">
        <f>IF(records[Type]="Room",records[roomNo],records[roomNo]&amp;"-"&amp;SUBSTITUTE(RIGHT(records[roomNo]&amp;records[Type],2),"-",""))</f>
        <v>16-3-055</v>
      </c>
      <c r="V720" s="47" t="str">
        <f t="array" ref="V720">_xlfn.XLOOKUP(records[ID], dAir[roomNo], dAir[roomName])</f>
        <v>AIRLOCK</v>
      </c>
      <c r="W720" s="47" t="str">
        <f t="array" ref="W720">_xlfn.XLOOKUP(records[ID], dAir[roomNo], dAir[building])</f>
        <v>Building 16</v>
      </c>
      <c r="X720" s="47" t="str">
        <f t="array" ref="X720">_xlfn.XLOOKUP(records[ID], dAir[roomNo], dAir[floor])</f>
        <v>Floor 3</v>
      </c>
      <c r="Y720" s="45" t="str">
        <f t="array" ref="Y720">_xlfn.XLOOKUP(records[ID], dAir[roomNo], dAir[Class])</f>
        <v>D</v>
      </c>
      <c r="Z720" s="45">
        <f t="array" ref="Z720">_xlfn.XLOOKUP(records[Method]&amp;"-"&amp;records[Class], dAirSpec[ID], dAirSpec[Spec])</f>
        <v>100</v>
      </c>
      <c r="AA720" s="45" t="str">
        <f t="array" ref="AA720">_xlfn.XLOOKUP(records[Method]&amp;"-"&amp;records[Class], dAirSpec[ID], dAirSpec[Unit])</f>
        <v>cfu/plate</v>
      </c>
      <c r="AB720" s="58">
        <f t="array" ref="AB720">if(S720="","", if(records[Method]="Active Air",_xlfn.xlookup(records[ColonyCount]&amp;records[AirSampler],feller[code],feller[Vc]),records[ColonyCount]))</f>
        <v>1</v>
      </c>
      <c r="AC720" s="60" t="b">
        <f t="shared" si="1"/>
        <v>1</v>
      </c>
      <c r="AD720" s="61" t="b">
        <v>0</v>
      </c>
      <c r="AE720" s="32" t="s">
        <v>235</v>
      </c>
      <c r="AF720" s="46"/>
      <c r="AG720" s="46"/>
      <c r="AH720" s="46"/>
      <c r="AI720" s="46"/>
      <c r="AJ720" s="46"/>
    </row>
    <row r="721" ht="22.5" customHeight="1">
      <c r="A721" s="27">
        <v>46257.0</v>
      </c>
      <c r="B721" s="34" t="str">
        <f t="array" ref="B721">TEXT(A721, "MM-YYYY")</f>
        <v>08-2026</v>
      </c>
      <c r="C721" s="39" t="s">
        <v>1515</v>
      </c>
      <c r="D721" s="36" t="s">
        <v>210</v>
      </c>
      <c r="E721" s="36" t="s">
        <v>213</v>
      </c>
      <c r="F721" s="37" t="s">
        <v>126</v>
      </c>
      <c r="G721" s="263" t="b">
        <v>1</v>
      </c>
      <c r="H721" s="36" t="s">
        <v>214</v>
      </c>
      <c r="I721" s="36" t="s">
        <v>215</v>
      </c>
      <c r="J721" s="214"/>
      <c r="K721" s="215"/>
      <c r="L721" s="187" t="s">
        <v>194</v>
      </c>
      <c r="M721" s="187" t="s">
        <v>194</v>
      </c>
      <c r="N721" s="187" t="s">
        <v>194</v>
      </c>
      <c r="O721" s="187" t="s">
        <v>194</v>
      </c>
      <c r="P721" s="37" t="s">
        <v>692</v>
      </c>
      <c r="Q721" s="37" t="s">
        <v>693</v>
      </c>
      <c r="R721" s="41">
        <v>46306.0</v>
      </c>
      <c r="S721" s="42">
        <v>0.0</v>
      </c>
      <c r="T721" s="44"/>
      <c r="U721" s="45" t="str">
        <f>IF(records[Type]="Room",records[roomNo],records[roomNo]&amp;"-"&amp;SUBSTITUTE(RIGHT(records[roomNo]&amp;records[Type],2),"-",""))</f>
        <v>16-3-056</v>
      </c>
      <c r="V721" s="47" t="str">
        <f t="array" ref="V721">_xlfn.XLOOKUP(records[ID], dAir[roomNo], dAir[roomName])</f>
        <v>JANITOR</v>
      </c>
      <c r="W721" s="47" t="str">
        <f t="array" ref="W721">_xlfn.XLOOKUP(records[ID], dAir[roomNo], dAir[building])</f>
        <v>Building 16</v>
      </c>
      <c r="X721" s="47" t="str">
        <f t="array" ref="X721">_xlfn.XLOOKUP(records[ID], dAir[roomNo], dAir[floor])</f>
        <v>Floor 3</v>
      </c>
      <c r="Y721" s="45" t="str">
        <f t="array" ref="Y721">_xlfn.XLOOKUP(records[ID], dAir[roomNo], dAir[Class])</f>
        <v>D</v>
      </c>
      <c r="Z721" s="45">
        <f t="array" ref="Z721">_xlfn.XLOOKUP(records[Method]&amp;"-"&amp;records[Class], dAirSpec[ID], dAirSpec[Spec])</f>
        <v>100</v>
      </c>
      <c r="AA721" s="45" t="str">
        <f t="array" ref="AA721">_xlfn.XLOOKUP(records[Method]&amp;"-"&amp;records[Class], dAirSpec[ID], dAirSpec[Unit])</f>
        <v>cfu/plate</v>
      </c>
      <c r="AB721" s="58">
        <f t="array" ref="AB721">if(S721="","", if(records[Method]="Active Air",_xlfn.xlookup(records[ColonyCount]&amp;records[AirSampler],feller[code],feller[Vc]),records[ColonyCount]))</f>
        <v>0</v>
      </c>
      <c r="AC721" s="60" t="b">
        <f t="shared" si="1"/>
        <v>1</v>
      </c>
      <c r="AD721" s="61" t="b">
        <v>0</v>
      </c>
      <c r="AE721" s="32" t="s">
        <v>235</v>
      </c>
      <c r="AF721" s="46"/>
      <c r="AG721" s="46"/>
      <c r="AH721" s="46"/>
      <c r="AI721" s="46"/>
      <c r="AJ721" s="46"/>
    </row>
    <row r="722" ht="22.5" customHeight="1">
      <c r="A722" s="27">
        <v>46257.0</v>
      </c>
      <c r="B722" s="34" t="str">
        <f t="array" ref="B722">TEXT(A722, "MM-YYYY")</f>
        <v>08-2026</v>
      </c>
      <c r="C722" s="39" t="s">
        <v>1516</v>
      </c>
      <c r="D722" s="36" t="s">
        <v>210</v>
      </c>
      <c r="E722" s="36" t="s">
        <v>213</v>
      </c>
      <c r="F722" s="37" t="s">
        <v>126</v>
      </c>
      <c r="G722" s="263" t="b">
        <v>1</v>
      </c>
      <c r="H722" s="36" t="s">
        <v>214</v>
      </c>
      <c r="I722" s="36" t="s">
        <v>215</v>
      </c>
      <c r="J722" s="214"/>
      <c r="K722" s="215"/>
      <c r="L722" s="187" t="s">
        <v>194</v>
      </c>
      <c r="M722" s="187" t="s">
        <v>194</v>
      </c>
      <c r="N722" s="187" t="s">
        <v>194</v>
      </c>
      <c r="O722" s="187" t="s">
        <v>194</v>
      </c>
      <c r="P722" s="37" t="s">
        <v>692</v>
      </c>
      <c r="Q722" s="37" t="s">
        <v>693</v>
      </c>
      <c r="R722" s="41">
        <v>46306.0</v>
      </c>
      <c r="S722" s="42">
        <v>0.0</v>
      </c>
      <c r="T722" s="44"/>
      <c r="U722" s="45" t="str">
        <f>IF(records[Type]="Room",records[roomNo],records[roomNo]&amp;"-"&amp;SUBSTITUTE(RIGHT(records[roomNo]&amp;records[Type],2),"-",""))</f>
        <v>16-3-057</v>
      </c>
      <c r="V722" s="47" t="str">
        <f t="array" ref="V722">_xlfn.XLOOKUP(records[ID], dAir[roomNo], dAir[roomName])</f>
        <v>WAX MELTING</v>
      </c>
      <c r="W722" s="47" t="str">
        <f t="array" ref="W722">_xlfn.XLOOKUP(records[ID], dAir[roomNo], dAir[building])</f>
        <v>Building 16</v>
      </c>
      <c r="X722" s="47" t="str">
        <f t="array" ref="X722">_xlfn.XLOOKUP(records[ID], dAir[roomNo], dAir[floor])</f>
        <v>Floor 3</v>
      </c>
      <c r="Y722" s="45" t="str">
        <f t="array" ref="Y722">_xlfn.XLOOKUP(records[ID], dAir[roomNo], dAir[Class])</f>
        <v>D</v>
      </c>
      <c r="Z722" s="45">
        <f t="array" ref="Z722">_xlfn.XLOOKUP(records[Method]&amp;"-"&amp;records[Class], dAirSpec[ID], dAirSpec[Spec])</f>
        <v>100</v>
      </c>
      <c r="AA722" s="45" t="str">
        <f t="array" ref="AA722">_xlfn.XLOOKUP(records[Method]&amp;"-"&amp;records[Class], dAirSpec[ID], dAirSpec[Unit])</f>
        <v>cfu/plate</v>
      </c>
      <c r="AB722" s="58">
        <f t="array" ref="AB722">if(S722="","", if(records[Method]="Active Air",_xlfn.xlookup(records[ColonyCount]&amp;records[AirSampler],feller[code],feller[Vc]),records[ColonyCount]))</f>
        <v>0</v>
      </c>
      <c r="AC722" s="60" t="b">
        <f t="shared" si="1"/>
        <v>1</v>
      </c>
      <c r="AD722" s="61" t="b">
        <v>0</v>
      </c>
      <c r="AE722" s="32" t="s">
        <v>235</v>
      </c>
      <c r="AF722" s="46"/>
      <c r="AG722" s="46"/>
      <c r="AH722" s="46"/>
      <c r="AI722" s="46"/>
      <c r="AJ722" s="46"/>
    </row>
    <row r="723" ht="22.5" customHeight="1">
      <c r="A723" s="27">
        <v>46257.0</v>
      </c>
      <c r="B723" s="34" t="str">
        <f t="array" ref="B723">TEXT(A723, "MM-YYYY")</f>
        <v>08-2026</v>
      </c>
      <c r="C723" s="39" t="s">
        <v>1518</v>
      </c>
      <c r="D723" s="36" t="s">
        <v>210</v>
      </c>
      <c r="E723" s="36" t="s">
        <v>213</v>
      </c>
      <c r="F723" s="37" t="s">
        <v>126</v>
      </c>
      <c r="G723" s="263" t="b">
        <v>1</v>
      </c>
      <c r="H723" s="36" t="s">
        <v>214</v>
      </c>
      <c r="I723" s="36" t="s">
        <v>215</v>
      </c>
      <c r="J723" s="214"/>
      <c r="K723" s="215"/>
      <c r="L723" s="187" t="s">
        <v>194</v>
      </c>
      <c r="M723" s="187" t="s">
        <v>194</v>
      </c>
      <c r="N723" s="187" t="s">
        <v>194</v>
      </c>
      <c r="O723" s="187" t="s">
        <v>194</v>
      </c>
      <c r="P723" s="37" t="s">
        <v>692</v>
      </c>
      <c r="Q723" s="37" t="s">
        <v>693</v>
      </c>
      <c r="R723" s="41">
        <v>46306.0</v>
      </c>
      <c r="S723" s="42">
        <v>0.0</v>
      </c>
      <c r="T723" s="44"/>
      <c r="U723" s="45" t="str">
        <f>IF(records[Type]="Room",records[roomNo],records[roomNo]&amp;"-"&amp;SUBSTITUTE(RIGHT(records[roomNo]&amp;records[Type],2),"-",""))</f>
        <v>16-3-058</v>
      </c>
      <c r="V723" s="47" t="str">
        <f t="array" ref="V723">_xlfn.XLOOKUP(records[ID], dAir[roomNo], dAir[roomName])</f>
        <v>IPQC</v>
      </c>
      <c r="W723" s="47" t="str">
        <f t="array" ref="W723">_xlfn.XLOOKUP(records[ID], dAir[roomNo], dAir[building])</f>
        <v>Building 16</v>
      </c>
      <c r="X723" s="47" t="str">
        <f t="array" ref="X723">_xlfn.XLOOKUP(records[ID], dAir[roomNo], dAir[floor])</f>
        <v>Floor 3</v>
      </c>
      <c r="Y723" s="45" t="str">
        <f t="array" ref="Y723">_xlfn.XLOOKUP(records[ID], dAir[roomNo], dAir[Class])</f>
        <v>D</v>
      </c>
      <c r="Z723" s="45">
        <f t="array" ref="Z723">_xlfn.XLOOKUP(records[Method]&amp;"-"&amp;records[Class], dAirSpec[ID], dAirSpec[Spec])</f>
        <v>100</v>
      </c>
      <c r="AA723" s="45" t="str">
        <f t="array" ref="AA723">_xlfn.XLOOKUP(records[Method]&amp;"-"&amp;records[Class], dAirSpec[ID], dAirSpec[Unit])</f>
        <v>cfu/plate</v>
      </c>
      <c r="AB723" s="58">
        <f t="array" ref="AB723">if(S723="","", if(records[Method]="Active Air",_xlfn.xlookup(records[ColonyCount]&amp;records[AirSampler],feller[code],feller[Vc]),records[ColonyCount]))</f>
        <v>0</v>
      </c>
      <c r="AC723" s="60" t="b">
        <f t="shared" si="1"/>
        <v>1</v>
      </c>
      <c r="AD723" s="61" t="b">
        <v>0</v>
      </c>
      <c r="AE723" s="32" t="s">
        <v>235</v>
      </c>
      <c r="AF723" s="46"/>
      <c r="AG723" s="46"/>
      <c r="AH723" s="46"/>
      <c r="AI723" s="46"/>
      <c r="AJ723" s="46"/>
    </row>
    <row r="724" ht="22.5" customHeight="1">
      <c r="A724" s="27">
        <v>46257.0</v>
      </c>
      <c r="B724" s="34" t="str">
        <f t="array" ref="B724">TEXT(A724, "MM-YYYY")</f>
        <v>08-2026</v>
      </c>
      <c r="C724" s="39" t="s">
        <v>1519</v>
      </c>
      <c r="D724" s="36" t="s">
        <v>210</v>
      </c>
      <c r="E724" s="36" t="s">
        <v>213</v>
      </c>
      <c r="F724" s="37" t="s">
        <v>126</v>
      </c>
      <c r="G724" s="263" t="b">
        <v>1</v>
      </c>
      <c r="H724" s="36" t="s">
        <v>214</v>
      </c>
      <c r="I724" s="36" t="s">
        <v>215</v>
      </c>
      <c r="J724" s="214"/>
      <c r="K724" s="215"/>
      <c r="L724" s="187" t="s">
        <v>194</v>
      </c>
      <c r="M724" s="187" t="s">
        <v>194</v>
      </c>
      <c r="N724" s="187" t="s">
        <v>194</v>
      </c>
      <c r="O724" s="187" t="s">
        <v>194</v>
      </c>
      <c r="P724" s="37" t="s">
        <v>692</v>
      </c>
      <c r="Q724" s="37" t="s">
        <v>693</v>
      </c>
      <c r="R724" s="41">
        <v>46306.0</v>
      </c>
      <c r="S724" s="42">
        <v>2.0</v>
      </c>
      <c r="T724" s="44"/>
      <c r="U724" s="45" t="str">
        <f>IF(records[Type]="Room",records[roomNo],records[roomNo]&amp;"-"&amp;SUBSTITUTE(RIGHT(records[roomNo]&amp;records[Type],2),"-",""))</f>
        <v>16-3-059</v>
      </c>
      <c r="V724" s="47" t="str">
        <f t="array" ref="V724">_xlfn.XLOOKUP(records[ID], dAir[roomNo], dAir[roomName])</f>
        <v>DISPENSED MATERIAL STAGING</v>
      </c>
      <c r="W724" s="47" t="str">
        <f t="array" ref="W724">_xlfn.XLOOKUP(records[ID], dAir[roomNo], dAir[building])</f>
        <v>Building 16</v>
      </c>
      <c r="X724" s="47" t="str">
        <f t="array" ref="X724">_xlfn.XLOOKUP(records[ID], dAir[roomNo], dAir[floor])</f>
        <v>Floor 3</v>
      </c>
      <c r="Y724" s="45" t="str">
        <f t="array" ref="Y724">_xlfn.XLOOKUP(records[ID], dAir[roomNo], dAir[Class])</f>
        <v>D</v>
      </c>
      <c r="Z724" s="45">
        <f t="array" ref="Z724">_xlfn.XLOOKUP(records[Method]&amp;"-"&amp;records[Class], dAirSpec[ID], dAirSpec[Spec])</f>
        <v>100</v>
      </c>
      <c r="AA724" s="45" t="str">
        <f t="array" ref="AA724">_xlfn.XLOOKUP(records[Method]&amp;"-"&amp;records[Class], dAirSpec[ID], dAirSpec[Unit])</f>
        <v>cfu/plate</v>
      </c>
      <c r="AB724" s="58">
        <f t="array" ref="AB724">if(S724="","", if(records[Method]="Active Air",_xlfn.xlookup(records[ColonyCount]&amp;records[AirSampler],feller[code],feller[Vc]),records[ColonyCount]))</f>
        <v>2</v>
      </c>
      <c r="AC724" s="60" t="b">
        <f t="shared" si="1"/>
        <v>1</v>
      </c>
      <c r="AD724" s="61" t="b">
        <v>0</v>
      </c>
      <c r="AE724" s="32" t="s">
        <v>235</v>
      </c>
      <c r="AF724" s="46"/>
      <c r="AG724" s="46"/>
      <c r="AH724" s="46"/>
      <c r="AI724" s="46"/>
      <c r="AJ724" s="46"/>
    </row>
    <row r="725" ht="22.5" customHeight="1">
      <c r="A725" s="27">
        <v>46257.0</v>
      </c>
      <c r="B725" s="34" t="str">
        <f t="array" ref="B725">TEXT(A725, "MM-YYYY")</f>
        <v>08-2026</v>
      </c>
      <c r="C725" s="39" t="s">
        <v>1520</v>
      </c>
      <c r="D725" s="36" t="s">
        <v>210</v>
      </c>
      <c r="E725" s="36" t="s">
        <v>213</v>
      </c>
      <c r="F725" s="37" t="s">
        <v>126</v>
      </c>
      <c r="G725" s="263" t="b">
        <v>1</v>
      </c>
      <c r="H725" s="36" t="s">
        <v>214</v>
      </c>
      <c r="I725" s="36" t="s">
        <v>215</v>
      </c>
      <c r="J725" s="214"/>
      <c r="K725" s="215"/>
      <c r="L725" s="187" t="s">
        <v>194</v>
      </c>
      <c r="M725" s="187" t="s">
        <v>194</v>
      </c>
      <c r="N725" s="187" t="s">
        <v>194</v>
      </c>
      <c r="O725" s="187" t="s">
        <v>194</v>
      </c>
      <c r="P725" s="37" t="s">
        <v>692</v>
      </c>
      <c r="Q725" s="37" t="s">
        <v>693</v>
      </c>
      <c r="R725" s="41">
        <v>46306.0</v>
      </c>
      <c r="S725" s="42">
        <v>0.0</v>
      </c>
      <c r="T725" s="44"/>
      <c r="U725" s="45" t="str">
        <f>IF(records[Type]="Room",records[roomNo],records[roomNo]&amp;"-"&amp;SUBSTITUTE(RIGHT(records[roomNo]&amp;records[Type],2),"-",""))</f>
        <v>16-3-060</v>
      </c>
      <c r="V725" s="47" t="str">
        <f t="array" ref="V725">_xlfn.XLOOKUP(records[ID], dAir[roomNo], dAir[roomName])</f>
        <v>AIRLOCK</v>
      </c>
      <c r="W725" s="47" t="str">
        <f t="array" ref="W725">_xlfn.XLOOKUP(records[ID], dAir[roomNo], dAir[building])</f>
        <v>Building 16</v>
      </c>
      <c r="X725" s="47" t="str">
        <f t="array" ref="X725">_xlfn.XLOOKUP(records[ID], dAir[roomNo], dAir[floor])</f>
        <v>Floor 3</v>
      </c>
      <c r="Y725" s="45" t="str">
        <f t="array" ref="Y725">_xlfn.XLOOKUP(records[ID], dAir[roomNo], dAir[Class])</f>
        <v>D</v>
      </c>
      <c r="Z725" s="45">
        <f t="array" ref="Z725">_xlfn.XLOOKUP(records[Method]&amp;"-"&amp;records[Class], dAirSpec[ID], dAirSpec[Spec])</f>
        <v>100</v>
      </c>
      <c r="AA725" s="45" t="str">
        <f t="array" ref="AA725">_xlfn.XLOOKUP(records[Method]&amp;"-"&amp;records[Class], dAirSpec[ID], dAirSpec[Unit])</f>
        <v>cfu/plate</v>
      </c>
      <c r="AB725" s="58">
        <f t="array" ref="AB725">if(S725="","", if(records[Method]="Active Air",_xlfn.xlookup(records[ColonyCount]&amp;records[AirSampler],feller[code],feller[Vc]),records[ColonyCount]))</f>
        <v>0</v>
      </c>
      <c r="AC725" s="60" t="b">
        <f t="shared" si="1"/>
        <v>1</v>
      </c>
      <c r="AD725" s="61" t="b">
        <v>0</v>
      </c>
      <c r="AE725" s="32" t="s">
        <v>235</v>
      </c>
      <c r="AF725" s="46"/>
      <c r="AG725" s="46"/>
      <c r="AH725" s="46"/>
      <c r="AI725" s="46"/>
      <c r="AJ725" s="46"/>
    </row>
    <row r="726" ht="22.5" customHeight="1">
      <c r="A726" s="27">
        <v>46257.0</v>
      </c>
      <c r="B726" s="34" t="str">
        <f t="array" ref="B726">TEXT(A726, "MM-YYYY")</f>
        <v>08-2026</v>
      </c>
      <c r="C726" s="39" t="s">
        <v>1523</v>
      </c>
      <c r="D726" s="36" t="s">
        <v>680</v>
      </c>
      <c r="E726" s="36" t="s">
        <v>213</v>
      </c>
      <c r="F726" s="37" t="s">
        <v>126</v>
      </c>
      <c r="G726" s="263" t="b">
        <v>1</v>
      </c>
      <c r="H726" s="36" t="s">
        <v>214</v>
      </c>
      <c r="I726" s="36" t="s">
        <v>215</v>
      </c>
      <c r="J726" s="214"/>
      <c r="K726" s="215"/>
      <c r="L726" s="187" t="s">
        <v>194</v>
      </c>
      <c r="M726" s="187" t="s">
        <v>194</v>
      </c>
      <c r="N726" s="187" t="s">
        <v>194</v>
      </c>
      <c r="O726" s="187" t="s">
        <v>194</v>
      </c>
      <c r="P726" s="37" t="s">
        <v>692</v>
      </c>
      <c r="Q726" s="37" t="s">
        <v>693</v>
      </c>
      <c r="R726" s="41">
        <v>46306.0</v>
      </c>
      <c r="S726" s="42">
        <v>0.0</v>
      </c>
      <c r="T726" s="44" t="s">
        <v>2235</v>
      </c>
      <c r="U726" s="45" t="str">
        <f>IF(records[Type]="Room",records[roomNo],records[roomNo]&amp;"-"&amp;SUBSTITUTE(RIGHT(records[roomNo]&amp;records[Type],2),"-",""))</f>
        <v>16-3-061-B</v>
      </c>
      <c r="V726" s="47" t="str">
        <f t="array" ref="V726">_xlfn.XLOOKUP(records[ID], dAir[roomNo], dAir[roomName])</f>
        <v>DISPENSING 1 (Booth)</v>
      </c>
      <c r="W726" s="47" t="str">
        <f t="array" ref="W726">_xlfn.XLOOKUP(records[ID], dAir[roomNo], dAir[building])</f>
        <v>Building 16</v>
      </c>
      <c r="X726" s="47" t="str">
        <f t="array" ref="X726">_xlfn.XLOOKUP(records[ID], dAir[roomNo], dAir[floor])</f>
        <v>Floor 3</v>
      </c>
      <c r="Y726" s="45" t="str">
        <f t="array" ref="Y726">_xlfn.XLOOKUP(records[ID], dAir[roomNo], dAir[Class])</f>
        <v>D</v>
      </c>
      <c r="Z726" s="45">
        <f t="array" ref="Z726">_xlfn.XLOOKUP(records[Method]&amp;"-"&amp;records[Class], dAirSpec[ID], dAirSpec[Spec])</f>
        <v>100</v>
      </c>
      <c r="AA726" s="45" t="str">
        <f t="array" ref="AA726">_xlfn.XLOOKUP(records[Method]&amp;"-"&amp;records[Class], dAirSpec[ID], dAirSpec[Unit])</f>
        <v>cfu/plate</v>
      </c>
      <c r="AB726" s="58">
        <f t="array" ref="AB726">if(S726="","", if(records[Method]="Active Air",_xlfn.xlookup(records[ColonyCount]&amp;records[AirSampler],feller[code],feller[Vc]),records[ColonyCount]))</f>
        <v>0</v>
      </c>
      <c r="AC726" s="60" t="b">
        <f t="shared" si="1"/>
        <v>1</v>
      </c>
      <c r="AD726" s="61" t="b">
        <v>0</v>
      </c>
      <c r="AE726" s="32" t="s">
        <v>235</v>
      </c>
      <c r="AF726" s="46"/>
      <c r="AG726" s="46"/>
      <c r="AH726" s="46"/>
      <c r="AI726" s="46"/>
      <c r="AJ726" s="46"/>
    </row>
    <row r="727" ht="22.5" customHeight="1">
      <c r="A727" s="27">
        <v>46257.0</v>
      </c>
      <c r="B727" s="34" t="str">
        <f t="array" ref="B727">TEXT(A727, "MM-YYYY")</f>
        <v>08-2026</v>
      </c>
      <c r="C727" s="39" t="s">
        <v>1523</v>
      </c>
      <c r="D727" s="36" t="s">
        <v>210</v>
      </c>
      <c r="E727" s="36" t="s">
        <v>213</v>
      </c>
      <c r="F727" s="37" t="s">
        <v>126</v>
      </c>
      <c r="G727" s="263" t="b">
        <v>1</v>
      </c>
      <c r="H727" s="36" t="s">
        <v>214</v>
      </c>
      <c r="I727" s="36" t="s">
        <v>215</v>
      </c>
      <c r="J727" s="214"/>
      <c r="K727" s="215"/>
      <c r="L727" s="187" t="s">
        <v>194</v>
      </c>
      <c r="M727" s="187" t="s">
        <v>194</v>
      </c>
      <c r="N727" s="187" t="s">
        <v>194</v>
      </c>
      <c r="O727" s="187" t="s">
        <v>194</v>
      </c>
      <c r="P727" s="37" t="s">
        <v>692</v>
      </c>
      <c r="Q727" s="37" t="s">
        <v>693</v>
      </c>
      <c r="R727" s="41">
        <v>46306.0</v>
      </c>
      <c r="S727" s="42">
        <v>1.0</v>
      </c>
      <c r="T727" s="44"/>
      <c r="U727" s="45" t="str">
        <f>IF(records[Type]="Room",records[roomNo],records[roomNo]&amp;"-"&amp;SUBSTITUTE(RIGHT(records[roomNo]&amp;records[Type],2),"-",""))</f>
        <v>16-3-061</v>
      </c>
      <c r="V727" s="47" t="str">
        <f t="array" ref="V727">_xlfn.XLOOKUP(records[ID], dAir[roomNo], dAir[roomName])</f>
        <v>DISPENSING 1</v>
      </c>
      <c r="W727" s="47" t="str">
        <f t="array" ref="W727">_xlfn.XLOOKUP(records[ID], dAir[roomNo], dAir[building])</f>
        <v>Building 16</v>
      </c>
      <c r="X727" s="47" t="str">
        <f t="array" ref="X727">_xlfn.XLOOKUP(records[ID], dAir[roomNo], dAir[floor])</f>
        <v>Floor 3</v>
      </c>
      <c r="Y727" s="45" t="str">
        <f t="array" ref="Y727">_xlfn.XLOOKUP(records[ID], dAir[roomNo], dAir[Class])</f>
        <v>D</v>
      </c>
      <c r="Z727" s="45">
        <f t="array" ref="Z727">_xlfn.XLOOKUP(records[Method]&amp;"-"&amp;records[Class], dAirSpec[ID], dAirSpec[Spec])</f>
        <v>100</v>
      </c>
      <c r="AA727" s="45" t="str">
        <f t="array" ref="AA727">_xlfn.XLOOKUP(records[Method]&amp;"-"&amp;records[Class], dAirSpec[ID], dAirSpec[Unit])</f>
        <v>cfu/plate</v>
      </c>
      <c r="AB727" s="58">
        <f t="array" ref="AB727">if(S727="","", if(records[Method]="Active Air",_xlfn.xlookup(records[ColonyCount]&amp;records[AirSampler],feller[code],feller[Vc]),records[ColonyCount]))</f>
        <v>1</v>
      </c>
      <c r="AC727" s="60" t="b">
        <f t="shared" si="1"/>
        <v>1</v>
      </c>
      <c r="AD727" s="61" t="b">
        <v>0</v>
      </c>
      <c r="AE727" s="32" t="s">
        <v>235</v>
      </c>
      <c r="AF727" s="46"/>
      <c r="AG727" s="46"/>
      <c r="AH727" s="46"/>
      <c r="AI727" s="46"/>
      <c r="AJ727" s="46"/>
    </row>
    <row r="728" ht="22.5" customHeight="1">
      <c r="A728" s="27">
        <v>46257.0</v>
      </c>
      <c r="B728" s="34" t="str">
        <f t="array" ref="B728">TEXT(A728, "MM-YYYY")</f>
        <v>08-2026</v>
      </c>
      <c r="C728" s="39" t="s">
        <v>1525</v>
      </c>
      <c r="D728" s="36" t="s">
        <v>210</v>
      </c>
      <c r="E728" s="36" t="s">
        <v>213</v>
      </c>
      <c r="F728" s="37" t="s">
        <v>126</v>
      </c>
      <c r="G728" s="263" t="b">
        <v>1</v>
      </c>
      <c r="H728" s="36" t="s">
        <v>214</v>
      </c>
      <c r="I728" s="36" t="s">
        <v>215</v>
      </c>
      <c r="J728" s="214"/>
      <c r="K728" s="215"/>
      <c r="L728" s="187" t="s">
        <v>194</v>
      </c>
      <c r="M728" s="187" t="s">
        <v>194</v>
      </c>
      <c r="N728" s="187" t="s">
        <v>194</v>
      </c>
      <c r="O728" s="187" t="s">
        <v>194</v>
      </c>
      <c r="P728" s="37" t="s">
        <v>692</v>
      </c>
      <c r="Q728" s="37" t="s">
        <v>693</v>
      </c>
      <c r="R728" s="41">
        <v>46306.0</v>
      </c>
      <c r="S728" s="42">
        <v>1.0</v>
      </c>
      <c r="T728" s="44"/>
      <c r="U728" s="45" t="str">
        <f>IF(records[Type]="Room",records[roomNo],records[roomNo]&amp;"-"&amp;SUBSTITUTE(RIGHT(records[roomNo]&amp;records[Type],2),"-",""))</f>
        <v>16-3-062</v>
      </c>
      <c r="V728" s="47" t="str">
        <f t="array" ref="V728">_xlfn.XLOOKUP(records[ID], dAir[roomNo], dAir[roomName])</f>
        <v>MAL</v>
      </c>
      <c r="W728" s="47" t="str">
        <f t="array" ref="W728">_xlfn.XLOOKUP(records[ID], dAir[roomNo], dAir[building])</f>
        <v>Building 16</v>
      </c>
      <c r="X728" s="47" t="str">
        <f t="array" ref="X728">_xlfn.XLOOKUP(records[ID], dAir[roomNo], dAir[floor])</f>
        <v>Floor 3</v>
      </c>
      <c r="Y728" s="45" t="str">
        <f t="array" ref="Y728">_xlfn.XLOOKUP(records[ID], dAir[roomNo], dAir[Class])</f>
        <v>D</v>
      </c>
      <c r="Z728" s="45">
        <f t="array" ref="Z728">_xlfn.XLOOKUP(records[Method]&amp;"-"&amp;records[Class], dAirSpec[ID], dAirSpec[Spec])</f>
        <v>100</v>
      </c>
      <c r="AA728" s="45" t="str">
        <f t="array" ref="AA728">_xlfn.XLOOKUP(records[Method]&amp;"-"&amp;records[Class], dAirSpec[ID], dAirSpec[Unit])</f>
        <v>cfu/plate</v>
      </c>
      <c r="AB728" s="58">
        <f t="array" ref="AB728">if(S728="","", if(records[Method]="Active Air",_xlfn.xlookup(records[ColonyCount]&amp;records[AirSampler],feller[code],feller[Vc]),records[ColonyCount]))</f>
        <v>1</v>
      </c>
      <c r="AC728" s="60" t="b">
        <f t="shared" si="1"/>
        <v>1</v>
      </c>
      <c r="AD728" s="61" t="b">
        <v>0</v>
      </c>
      <c r="AE728" s="32" t="s">
        <v>235</v>
      </c>
      <c r="AF728" s="46"/>
      <c r="AG728" s="46"/>
      <c r="AH728" s="46"/>
      <c r="AI728" s="46"/>
      <c r="AJ728" s="46"/>
    </row>
    <row r="729" ht="22.5" customHeight="1">
      <c r="A729" s="27">
        <v>46257.0</v>
      </c>
      <c r="B729" s="34" t="str">
        <f t="array" ref="B729">TEXT(A729, "MM-YYYY")</f>
        <v>08-2026</v>
      </c>
      <c r="C729" s="39" t="s">
        <v>1526</v>
      </c>
      <c r="D729" s="36" t="s">
        <v>680</v>
      </c>
      <c r="E729" s="36" t="s">
        <v>213</v>
      </c>
      <c r="F729" s="37" t="s">
        <v>126</v>
      </c>
      <c r="G729" s="263" t="b">
        <v>1</v>
      </c>
      <c r="H729" s="36" t="s">
        <v>214</v>
      </c>
      <c r="I729" s="36" t="s">
        <v>215</v>
      </c>
      <c r="J729" s="214"/>
      <c r="K729" s="215"/>
      <c r="L729" s="187" t="s">
        <v>194</v>
      </c>
      <c r="M729" s="187" t="s">
        <v>194</v>
      </c>
      <c r="N729" s="187" t="s">
        <v>194</v>
      </c>
      <c r="O729" s="187" t="s">
        <v>194</v>
      </c>
      <c r="P729" s="37" t="s">
        <v>692</v>
      </c>
      <c r="Q729" s="37" t="s">
        <v>693</v>
      </c>
      <c r="R729" s="41">
        <v>46306.0</v>
      </c>
      <c r="S729" s="42">
        <v>2.0</v>
      </c>
      <c r="T729" s="44" t="s">
        <v>2235</v>
      </c>
      <c r="U729" s="45" t="str">
        <f>IF(records[Type]="Room",records[roomNo],records[roomNo]&amp;"-"&amp;SUBSTITUTE(RIGHT(records[roomNo]&amp;records[Type],2),"-",""))</f>
        <v>16-3-063-B</v>
      </c>
      <c r="V729" s="47" t="str">
        <f t="array" ref="V729">_xlfn.XLOOKUP(records[ID], dAir[roomNo], dAir[roomName])</f>
        <v>DISPENSING 2 (Booth)</v>
      </c>
      <c r="W729" s="47" t="str">
        <f t="array" ref="W729">_xlfn.XLOOKUP(records[ID], dAir[roomNo], dAir[building])</f>
        <v>Building 16</v>
      </c>
      <c r="X729" s="47" t="str">
        <f t="array" ref="X729">_xlfn.XLOOKUP(records[ID], dAir[roomNo], dAir[floor])</f>
        <v>Floor 3</v>
      </c>
      <c r="Y729" s="45" t="str">
        <f t="array" ref="Y729">_xlfn.XLOOKUP(records[ID], dAir[roomNo], dAir[Class])</f>
        <v>D</v>
      </c>
      <c r="Z729" s="45">
        <f t="array" ref="Z729">_xlfn.XLOOKUP(records[Method]&amp;"-"&amp;records[Class], dAirSpec[ID], dAirSpec[Spec])</f>
        <v>100</v>
      </c>
      <c r="AA729" s="45" t="str">
        <f t="array" ref="AA729">_xlfn.XLOOKUP(records[Method]&amp;"-"&amp;records[Class], dAirSpec[ID], dAirSpec[Unit])</f>
        <v>cfu/plate</v>
      </c>
      <c r="AB729" s="58">
        <f t="array" ref="AB729">if(S729="","", if(records[Method]="Active Air",_xlfn.xlookup(records[ColonyCount]&amp;records[AirSampler],feller[code],feller[Vc]),records[ColonyCount]))</f>
        <v>2</v>
      </c>
      <c r="AC729" s="60" t="b">
        <f t="shared" si="1"/>
        <v>1</v>
      </c>
      <c r="AD729" s="61" t="b">
        <v>0</v>
      </c>
      <c r="AE729" s="32" t="s">
        <v>235</v>
      </c>
      <c r="AF729" s="46"/>
      <c r="AG729" s="46"/>
      <c r="AH729" s="46"/>
      <c r="AI729" s="46"/>
      <c r="AJ729" s="46"/>
    </row>
    <row r="730" ht="22.5" customHeight="1">
      <c r="A730" s="27">
        <v>46257.0</v>
      </c>
      <c r="B730" s="34" t="str">
        <f t="array" ref="B730">TEXT(A730, "MM-YYYY")</f>
        <v>08-2026</v>
      </c>
      <c r="C730" s="39" t="s">
        <v>1526</v>
      </c>
      <c r="D730" s="36" t="s">
        <v>210</v>
      </c>
      <c r="E730" s="36" t="s">
        <v>213</v>
      </c>
      <c r="F730" s="37" t="s">
        <v>126</v>
      </c>
      <c r="G730" s="263" t="b">
        <v>1</v>
      </c>
      <c r="H730" s="36" t="s">
        <v>214</v>
      </c>
      <c r="I730" s="36" t="s">
        <v>215</v>
      </c>
      <c r="J730" s="214"/>
      <c r="K730" s="215"/>
      <c r="L730" s="187" t="s">
        <v>194</v>
      </c>
      <c r="M730" s="187" t="s">
        <v>194</v>
      </c>
      <c r="N730" s="187" t="s">
        <v>194</v>
      </c>
      <c r="O730" s="187" t="s">
        <v>194</v>
      </c>
      <c r="P730" s="37" t="s">
        <v>692</v>
      </c>
      <c r="Q730" s="37" t="s">
        <v>693</v>
      </c>
      <c r="R730" s="41">
        <v>46306.0</v>
      </c>
      <c r="S730" s="42">
        <v>0.0</v>
      </c>
      <c r="T730" s="44"/>
      <c r="U730" s="45" t="str">
        <f>IF(records[Type]="Room",records[roomNo],records[roomNo]&amp;"-"&amp;SUBSTITUTE(RIGHT(records[roomNo]&amp;records[Type],2),"-",""))</f>
        <v>16-3-063</v>
      </c>
      <c r="V730" s="47" t="str">
        <f t="array" ref="V730">_xlfn.XLOOKUP(records[ID], dAir[roomNo], dAir[roomName])</f>
        <v>DISPENSING 2</v>
      </c>
      <c r="W730" s="47" t="str">
        <f t="array" ref="W730">_xlfn.XLOOKUP(records[ID], dAir[roomNo], dAir[building])</f>
        <v>Building 16</v>
      </c>
      <c r="X730" s="47" t="str">
        <f t="array" ref="X730">_xlfn.XLOOKUP(records[ID], dAir[roomNo], dAir[floor])</f>
        <v>Floor 3</v>
      </c>
      <c r="Y730" s="45" t="str">
        <f t="array" ref="Y730">_xlfn.XLOOKUP(records[ID], dAir[roomNo], dAir[Class])</f>
        <v>D</v>
      </c>
      <c r="Z730" s="45">
        <f t="array" ref="Z730">_xlfn.XLOOKUP(records[Method]&amp;"-"&amp;records[Class], dAirSpec[ID], dAirSpec[Spec])</f>
        <v>100</v>
      </c>
      <c r="AA730" s="45" t="str">
        <f t="array" ref="AA730">_xlfn.XLOOKUP(records[Method]&amp;"-"&amp;records[Class], dAirSpec[ID], dAirSpec[Unit])</f>
        <v>cfu/plate</v>
      </c>
      <c r="AB730" s="58">
        <f t="array" ref="AB730">if(S730="","", if(records[Method]="Active Air",_xlfn.xlookup(records[ColonyCount]&amp;records[AirSampler],feller[code],feller[Vc]),records[ColonyCount]))</f>
        <v>0</v>
      </c>
      <c r="AC730" s="60" t="b">
        <f t="shared" si="1"/>
        <v>1</v>
      </c>
      <c r="AD730" s="61" t="b">
        <v>0</v>
      </c>
      <c r="AE730" s="32" t="s">
        <v>235</v>
      </c>
      <c r="AF730" s="46"/>
      <c r="AG730" s="46"/>
      <c r="AH730" s="46"/>
      <c r="AI730" s="46"/>
      <c r="AJ730" s="46"/>
    </row>
    <row r="731" ht="22.5" customHeight="1">
      <c r="A731" s="27">
        <v>46257.0</v>
      </c>
      <c r="B731" s="34" t="str">
        <f t="array" ref="B731">TEXT(A731, "MM-YYYY")</f>
        <v>08-2026</v>
      </c>
      <c r="C731" s="39" t="s">
        <v>1528</v>
      </c>
      <c r="D731" s="36" t="s">
        <v>210</v>
      </c>
      <c r="E731" s="36" t="s">
        <v>213</v>
      </c>
      <c r="F731" s="37" t="s">
        <v>126</v>
      </c>
      <c r="G731" s="263" t="b">
        <v>1</v>
      </c>
      <c r="H731" s="36" t="s">
        <v>214</v>
      </c>
      <c r="I731" s="36" t="s">
        <v>215</v>
      </c>
      <c r="J731" s="214"/>
      <c r="K731" s="215"/>
      <c r="L731" s="187" t="s">
        <v>194</v>
      </c>
      <c r="M731" s="187" t="s">
        <v>194</v>
      </c>
      <c r="N731" s="187" t="s">
        <v>194</v>
      </c>
      <c r="O731" s="187" t="s">
        <v>194</v>
      </c>
      <c r="P731" s="37" t="s">
        <v>692</v>
      </c>
      <c r="Q731" s="37" t="s">
        <v>693</v>
      </c>
      <c r="R731" s="41">
        <v>46306.0</v>
      </c>
      <c r="S731" s="42">
        <v>0.0</v>
      </c>
      <c r="T731" s="44"/>
      <c r="U731" s="45" t="str">
        <f>IF(records[Type]="Room",records[roomNo],records[roomNo]&amp;"-"&amp;SUBSTITUTE(RIGHT(records[roomNo]&amp;records[Type],2),"-",""))</f>
        <v>16-3-064</v>
      </c>
      <c r="V731" s="47" t="str">
        <f t="array" ref="V731">_xlfn.XLOOKUP(records[ID], dAir[roomNo], dAir[roomName])</f>
        <v>AIRLOCK</v>
      </c>
      <c r="W731" s="47" t="str">
        <f t="array" ref="W731">_xlfn.XLOOKUP(records[ID], dAir[roomNo], dAir[building])</f>
        <v>Building 16</v>
      </c>
      <c r="X731" s="47" t="str">
        <f t="array" ref="X731">_xlfn.XLOOKUP(records[ID], dAir[roomNo], dAir[floor])</f>
        <v>Floor 3</v>
      </c>
      <c r="Y731" s="45" t="str">
        <f t="array" ref="Y731">_xlfn.XLOOKUP(records[ID], dAir[roomNo], dAir[Class])</f>
        <v>D</v>
      </c>
      <c r="Z731" s="45">
        <f t="array" ref="Z731">_xlfn.XLOOKUP(records[Method]&amp;"-"&amp;records[Class], dAirSpec[ID], dAirSpec[Spec])</f>
        <v>100</v>
      </c>
      <c r="AA731" s="45" t="str">
        <f t="array" ref="AA731">_xlfn.XLOOKUP(records[Method]&amp;"-"&amp;records[Class], dAirSpec[ID], dAirSpec[Unit])</f>
        <v>cfu/plate</v>
      </c>
      <c r="AB731" s="58">
        <f t="array" ref="AB731">if(S731="","", if(records[Method]="Active Air",_xlfn.xlookup(records[ColonyCount]&amp;records[AirSampler],feller[code],feller[Vc]),records[ColonyCount]))</f>
        <v>0</v>
      </c>
      <c r="AC731" s="60" t="b">
        <f t="shared" si="1"/>
        <v>1</v>
      </c>
      <c r="AD731" s="61" t="b">
        <v>0</v>
      </c>
      <c r="AE731" s="32" t="s">
        <v>235</v>
      </c>
      <c r="AF731" s="46"/>
      <c r="AG731" s="46"/>
      <c r="AH731" s="46"/>
      <c r="AI731" s="46"/>
      <c r="AJ731" s="46"/>
    </row>
    <row r="732" ht="22.5" customHeight="1">
      <c r="A732" s="27">
        <v>46257.0</v>
      </c>
      <c r="B732" s="34" t="str">
        <f t="array" ref="B732">TEXT(A732, "MM-YYYY")</f>
        <v>08-2026</v>
      </c>
      <c r="C732" s="39" t="s">
        <v>1529</v>
      </c>
      <c r="D732" s="36" t="s">
        <v>210</v>
      </c>
      <c r="E732" s="36" t="s">
        <v>213</v>
      </c>
      <c r="F732" s="37" t="s">
        <v>126</v>
      </c>
      <c r="G732" s="263" t="b">
        <v>1</v>
      </c>
      <c r="H732" s="36" t="s">
        <v>214</v>
      </c>
      <c r="I732" s="36" t="s">
        <v>215</v>
      </c>
      <c r="J732" s="214"/>
      <c r="K732" s="215"/>
      <c r="L732" s="187" t="s">
        <v>194</v>
      </c>
      <c r="M732" s="187" t="s">
        <v>194</v>
      </c>
      <c r="N732" s="187" t="s">
        <v>194</v>
      </c>
      <c r="O732" s="187" t="s">
        <v>194</v>
      </c>
      <c r="P732" s="37" t="s">
        <v>692</v>
      </c>
      <c r="Q732" s="37" t="s">
        <v>693</v>
      </c>
      <c r="R732" s="41">
        <v>46306.0</v>
      </c>
      <c r="S732" s="42">
        <v>0.0</v>
      </c>
      <c r="T732" s="44"/>
      <c r="U732" s="45" t="str">
        <f>IF(records[Type]="Room",records[roomNo],records[roomNo]&amp;"-"&amp;SUBSTITUTE(RIGHT(records[roomNo]&amp;records[Type],2),"-",""))</f>
        <v>16-3-065</v>
      </c>
      <c r="V732" s="47" t="str">
        <f t="array" ref="V732">_xlfn.XLOOKUP(records[ID], dAir[roomNo], dAir[roomName])</f>
        <v>ETHANOL STORAGE</v>
      </c>
      <c r="W732" s="47" t="str">
        <f t="array" ref="W732">_xlfn.XLOOKUP(records[ID], dAir[roomNo], dAir[building])</f>
        <v>Building 16</v>
      </c>
      <c r="X732" s="47" t="str">
        <f t="array" ref="X732">_xlfn.XLOOKUP(records[ID], dAir[roomNo], dAir[floor])</f>
        <v>Floor 3</v>
      </c>
      <c r="Y732" s="45" t="str">
        <f t="array" ref="Y732">_xlfn.XLOOKUP(records[ID], dAir[roomNo], dAir[Class])</f>
        <v>D</v>
      </c>
      <c r="Z732" s="45">
        <f t="array" ref="Z732">_xlfn.XLOOKUP(records[Method]&amp;"-"&amp;records[Class], dAirSpec[ID], dAirSpec[Spec])</f>
        <v>100</v>
      </c>
      <c r="AA732" s="45" t="str">
        <f t="array" ref="AA732">_xlfn.XLOOKUP(records[Method]&amp;"-"&amp;records[Class], dAirSpec[ID], dAirSpec[Unit])</f>
        <v>cfu/plate</v>
      </c>
      <c r="AB732" s="58">
        <f t="array" ref="AB732">if(S732="","", if(records[Method]="Active Air",_xlfn.xlookup(records[ColonyCount]&amp;records[AirSampler],feller[code],feller[Vc]),records[ColonyCount]))</f>
        <v>0</v>
      </c>
      <c r="AC732" s="60" t="b">
        <f t="shared" si="1"/>
        <v>1</v>
      </c>
      <c r="AD732" s="61" t="b">
        <v>0</v>
      </c>
      <c r="AE732" s="32" t="s">
        <v>235</v>
      </c>
      <c r="AF732" s="46"/>
      <c r="AG732" s="46"/>
      <c r="AH732" s="46"/>
      <c r="AI732" s="46"/>
      <c r="AJ732" s="46"/>
    </row>
    <row r="733" ht="22.5" customHeight="1">
      <c r="A733" s="27">
        <v>46257.0</v>
      </c>
      <c r="B733" s="34" t="str">
        <f t="array" ref="B733">TEXT(A733, "MM-YYYY")</f>
        <v>08-2026</v>
      </c>
      <c r="C733" s="39" t="s">
        <v>1531</v>
      </c>
      <c r="D733" s="36" t="s">
        <v>210</v>
      </c>
      <c r="E733" s="36" t="s">
        <v>213</v>
      </c>
      <c r="F733" s="37" t="s">
        <v>126</v>
      </c>
      <c r="G733" s="263" t="b">
        <v>1</v>
      </c>
      <c r="H733" s="36" t="s">
        <v>214</v>
      </c>
      <c r="I733" s="36" t="s">
        <v>215</v>
      </c>
      <c r="J733" s="214"/>
      <c r="K733" s="215"/>
      <c r="L733" s="187" t="s">
        <v>194</v>
      </c>
      <c r="M733" s="187" t="s">
        <v>194</v>
      </c>
      <c r="N733" s="187" t="s">
        <v>194</v>
      </c>
      <c r="O733" s="187" t="s">
        <v>194</v>
      </c>
      <c r="P733" s="37" t="s">
        <v>692</v>
      </c>
      <c r="Q733" s="37" t="s">
        <v>693</v>
      </c>
      <c r="R733" s="41">
        <v>46306.0</v>
      </c>
      <c r="S733" s="42">
        <v>0.0</v>
      </c>
      <c r="T733" s="44"/>
      <c r="U733" s="45" t="str">
        <f>IF(records[Type]="Room",records[roomNo],records[roomNo]&amp;"-"&amp;SUBSTITUTE(RIGHT(records[roomNo]&amp;records[Type],2),"-",""))</f>
        <v>16-3-066</v>
      </c>
      <c r="V733" s="47" t="str">
        <f t="array" ref="V733">_xlfn.XLOOKUP(records[ID], dAir[roomNo], dAir[roomName])</f>
        <v>AIRLOCK</v>
      </c>
      <c r="W733" s="47" t="str">
        <f t="array" ref="W733">_xlfn.XLOOKUP(records[ID], dAir[roomNo], dAir[building])</f>
        <v>Building 16</v>
      </c>
      <c r="X733" s="47" t="str">
        <f t="array" ref="X733">_xlfn.XLOOKUP(records[ID], dAir[roomNo], dAir[floor])</f>
        <v>Floor 3</v>
      </c>
      <c r="Y733" s="45" t="str">
        <f t="array" ref="Y733">_xlfn.XLOOKUP(records[ID], dAir[roomNo], dAir[Class])</f>
        <v>D</v>
      </c>
      <c r="Z733" s="45">
        <f t="array" ref="Z733">_xlfn.XLOOKUP(records[Method]&amp;"-"&amp;records[Class], dAirSpec[ID], dAirSpec[Spec])</f>
        <v>100</v>
      </c>
      <c r="AA733" s="45" t="str">
        <f t="array" ref="AA733">_xlfn.XLOOKUP(records[Method]&amp;"-"&amp;records[Class], dAirSpec[ID], dAirSpec[Unit])</f>
        <v>cfu/plate</v>
      </c>
      <c r="AB733" s="58">
        <f t="array" ref="AB733">if(S733="","", if(records[Method]="Active Air",_xlfn.xlookup(records[ColonyCount]&amp;records[AirSampler],feller[code],feller[Vc]),records[ColonyCount]))</f>
        <v>0</v>
      </c>
      <c r="AC733" s="60" t="b">
        <f t="shared" si="1"/>
        <v>1</v>
      </c>
      <c r="AD733" s="61" t="b">
        <v>0</v>
      </c>
      <c r="AE733" s="32" t="s">
        <v>235</v>
      </c>
      <c r="AF733" s="46"/>
      <c r="AG733" s="46"/>
      <c r="AH733" s="46"/>
      <c r="AI733" s="46"/>
      <c r="AJ733" s="46"/>
    </row>
    <row r="734" ht="22.5" customHeight="1">
      <c r="A734" s="27">
        <v>46257.0</v>
      </c>
      <c r="B734" s="34" t="str">
        <f t="array" ref="B734">TEXT(A734, "MM-YYYY")</f>
        <v>08-2026</v>
      </c>
      <c r="C734" s="39" t="s">
        <v>987</v>
      </c>
      <c r="D734" s="36" t="s">
        <v>210</v>
      </c>
      <c r="E734" s="36" t="s">
        <v>213</v>
      </c>
      <c r="F734" s="37" t="s">
        <v>126</v>
      </c>
      <c r="G734" s="263" t="b">
        <v>1</v>
      </c>
      <c r="H734" s="36" t="s">
        <v>214</v>
      </c>
      <c r="I734" s="36" t="s">
        <v>215</v>
      </c>
      <c r="J734" s="214"/>
      <c r="K734" s="215"/>
      <c r="L734" s="187" t="s">
        <v>194</v>
      </c>
      <c r="M734" s="187" t="s">
        <v>194</v>
      </c>
      <c r="N734" s="187" t="s">
        <v>194</v>
      </c>
      <c r="O734" s="187" t="s">
        <v>194</v>
      </c>
      <c r="P734" s="37" t="s">
        <v>692</v>
      </c>
      <c r="Q734" s="37" t="s">
        <v>693</v>
      </c>
      <c r="R734" s="41">
        <v>46306.0</v>
      </c>
      <c r="S734" s="42">
        <v>0.0</v>
      </c>
      <c r="T734" s="44"/>
      <c r="U734" s="45" t="str">
        <f>IF(records[Type]="Room",records[roomNo],records[roomNo]&amp;"-"&amp;SUBSTITUTE(RIGHT(records[roomNo]&amp;records[Type],2),"-",""))</f>
        <v>16-3-067</v>
      </c>
      <c r="V734" s="47" t="str">
        <f t="array" ref="V734">_xlfn.XLOOKUP(records[ID], dAir[roomNo], dAir[roomName])</f>
        <v>MFG 1</v>
      </c>
      <c r="W734" s="47" t="str">
        <f t="array" ref="W734">_xlfn.XLOOKUP(records[ID], dAir[roomNo], dAir[building])</f>
        <v>Building 16</v>
      </c>
      <c r="X734" s="47" t="str">
        <f t="array" ref="X734">_xlfn.XLOOKUP(records[ID], dAir[roomNo], dAir[floor])</f>
        <v>Floor 3</v>
      </c>
      <c r="Y734" s="45" t="str">
        <f t="array" ref="Y734">_xlfn.XLOOKUP(records[ID], dAir[roomNo], dAir[Class])</f>
        <v>D</v>
      </c>
      <c r="Z734" s="45">
        <f t="array" ref="Z734">_xlfn.XLOOKUP(records[Method]&amp;"-"&amp;records[Class], dAirSpec[ID], dAirSpec[Spec])</f>
        <v>100</v>
      </c>
      <c r="AA734" s="45" t="str">
        <f t="array" ref="AA734">_xlfn.XLOOKUP(records[Method]&amp;"-"&amp;records[Class], dAirSpec[ID], dAirSpec[Unit])</f>
        <v>cfu/plate</v>
      </c>
      <c r="AB734" s="58">
        <f t="array" ref="AB734">if(S734="","", if(records[Method]="Active Air",_xlfn.xlookup(records[ColonyCount]&amp;records[AirSampler],feller[code],feller[Vc]),records[ColonyCount]))</f>
        <v>0</v>
      </c>
      <c r="AC734" s="60" t="b">
        <f t="shared" si="1"/>
        <v>1</v>
      </c>
      <c r="AD734" s="61" t="b">
        <v>0</v>
      </c>
      <c r="AE734" s="32" t="s">
        <v>235</v>
      </c>
      <c r="AF734" s="46"/>
      <c r="AG734" s="46"/>
      <c r="AH734" s="46"/>
      <c r="AI734" s="46"/>
      <c r="AJ734" s="46"/>
    </row>
    <row r="735" ht="22.5" customHeight="1">
      <c r="A735" s="27">
        <v>46257.0</v>
      </c>
      <c r="B735" s="34" t="str">
        <f t="array" ref="B735">TEXT(A735, "MM-YYYY")</f>
        <v>08-2026</v>
      </c>
      <c r="C735" s="39" t="s">
        <v>1532</v>
      </c>
      <c r="D735" s="36" t="s">
        <v>210</v>
      </c>
      <c r="E735" s="36" t="s">
        <v>213</v>
      </c>
      <c r="F735" s="37" t="s">
        <v>126</v>
      </c>
      <c r="G735" s="263" t="b">
        <v>1</v>
      </c>
      <c r="H735" s="36" t="s">
        <v>214</v>
      </c>
      <c r="I735" s="36" t="s">
        <v>215</v>
      </c>
      <c r="J735" s="214"/>
      <c r="K735" s="215"/>
      <c r="L735" s="187" t="s">
        <v>194</v>
      </c>
      <c r="M735" s="187" t="s">
        <v>194</v>
      </c>
      <c r="N735" s="187" t="s">
        <v>194</v>
      </c>
      <c r="O735" s="187" t="s">
        <v>194</v>
      </c>
      <c r="P735" s="37" t="s">
        <v>692</v>
      </c>
      <c r="Q735" s="37" t="s">
        <v>693</v>
      </c>
      <c r="R735" s="41">
        <v>46306.0</v>
      </c>
      <c r="S735" s="42">
        <v>0.0</v>
      </c>
      <c r="T735" s="44"/>
      <c r="U735" s="45" t="str">
        <f>IF(records[Type]="Room",records[roomNo],records[roomNo]&amp;"-"&amp;SUBSTITUTE(RIGHT(records[roomNo]&amp;records[Type],2),"-",""))</f>
        <v>16-3-068</v>
      </c>
      <c r="V735" s="47" t="str">
        <f t="array" ref="V735">_xlfn.XLOOKUP(records[ID], dAir[roomNo], dAir[roomName])</f>
        <v>AIRLOCK</v>
      </c>
      <c r="W735" s="47" t="str">
        <f t="array" ref="W735">_xlfn.XLOOKUP(records[ID], dAir[roomNo], dAir[building])</f>
        <v>Building 16</v>
      </c>
      <c r="X735" s="47" t="str">
        <f t="array" ref="X735">_xlfn.XLOOKUP(records[ID], dAir[roomNo], dAir[floor])</f>
        <v>Floor 3</v>
      </c>
      <c r="Y735" s="45" t="str">
        <f t="array" ref="Y735">_xlfn.XLOOKUP(records[ID], dAir[roomNo], dAir[Class])</f>
        <v>D</v>
      </c>
      <c r="Z735" s="45">
        <f t="array" ref="Z735">_xlfn.XLOOKUP(records[Method]&amp;"-"&amp;records[Class], dAirSpec[ID], dAirSpec[Spec])</f>
        <v>100</v>
      </c>
      <c r="AA735" s="45" t="str">
        <f t="array" ref="AA735">_xlfn.XLOOKUP(records[Method]&amp;"-"&amp;records[Class], dAirSpec[ID], dAirSpec[Unit])</f>
        <v>cfu/plate</v>
      </c>
      <c r="AB735" s="58">
        <f t="array" ref="AB735">if(S735="","", if(records[Method]="Active Air",_xlfn.xlookup(records[ColonyCount]&amp;records[AirSampler],feller[code],feller[Vc]),records[ColonyCount]))</f>
        <v>0</v>
      </c>
      <c r="AC735" s="60" t="b">
        <f t="shared" si="1"/>
        <v>1</v>
      </c>
      <c r="AD735" s="61" t="b">
        <v>0</v>
      </c>
      <c r="AE735" s="32" t="s">
        <v>235</v>
      </c>
      <c r="AF735" s="46"/>
      <c r="AG735" s="46"/>
      <c r="AH735" s="46"/>
      <c r="AI735" s="46"/>
      <c r="AJ735" s="46"/>
    </row>
    <row r="736" ht="22.5" customHeight="1">
      <c r="A736" s="27">
        <v>46257.0</v>
      </c>
      <c r="B736" s="34" t="str">
        <f t="array" ref="B736">TEXT(A736, "MM-YYYY")</f>
        <v>08-2026</v>
      </c>
      <c r="C736" s="39" t="s">
        <v>1533</v>
      </c>
      <c r="D736" s="36" t="s">
        <v>210</v>
      </c>
      <c r="E736" s="36" t="s">
        <v>213</v>
      </c>
      <c r="F736" s="37" t="s">
        <v>126</v>
      </c>
      <c r="G736" s="263" t="b">
        <v>1</v>
      </c>
      <c r="H736" s="36" t="s">
        <v>214</v>
      </c>
      <c r="I736" s="36" t="s">
        <v>215</v>
      </c>
      <c r="J736" s="214"/>
      <c r="K736" s="215"/>
      <c r="L736" s="187" t="s">
        <v>194</v>
      </c>
      <c r="M736" s="187" t="s">
        <v>194</v>
      </c>
      <c r="N736" s="187" t="s">
        <v>194</v>
      </c>
      <c r="O736" s="187" t="s">
        <v>194</v>
      </c>
      <c r="P736" s="37" t="s">
        <v>692</v>
      </c>
      <c r="Q736" s="37" t="s">
        <v>693</v>
      </c>
      <c r="R736" s="41">
        <v>46306.0</v>
      </c>
      <c r="S736" s="42">
        <v>214.0</v>
      </c>
      <c r="T736" s="44"/>
      <c r="U736" s="45" t="str">
        <f>IF(records[Type]="Room",records[roomNo],records[roomNo]&amp;"-"&amp;SUBSTITUTE(RIGHT(records[roomNo]&amp;records[Type],2),"-",""))</f>
        <v>16-3-069</v>
      </c>
      <c r="V736" s="47" t="str">
        <f t="array" ref="V736">_xlfn.XLOOKUP(records[ID], dAir[roomNo], dAir[roomName])</f>
        <v>MFG 2</v>
      </c>
      <c r="W736" s="47" t="str">
        <f t="array" ref="W736">_xlfn.XLOOKUP(records[ID], dAir[roomNo], dAir[building])</f>
        <v>Building 16</v>
      </c>
      <c r="X736" s="47" t="str">
        <f t="array" ref="X736">_xlfn.XLOOKUP(records[ID], dAir[roomNo], dAir[floor])</f>
        <v>Floor 3</v>
      </c>
      <c r="Y736" s="45" t="str">
        <f t="array" ref="Y736">_xlfn.XLOOKUP(records[ID], dAir[roomNo], dAir[Class])</f>
        <v>D</v>
      </c>
      <c r="Z736" s="45">
        <f t="array" ref="Z736">_xlfn.XLOOKUP(records[Method]&amp;"-"&amp;records[Class], dAirSpec[ID], dAirSpec[Spec])</f>
        <v>100</v>
      </c>
      <c r="AA736" s="45" t="str">
        <f t="array" ref="AA736">_xlfn.XLOOKUP(records[Method]&amp;"-"&amp;records[Class], dAirSpec[ID], dAirSpec[Unit])</f>
        <v>cfu/plate</v>
      </c>
      <c r="AB736" s="58">
        <f t="array" ref="AB736">if(S736="","", if(records[Method]="Active Air",_xlfn.xlookup(records[ColonyCount]&amp;records[AirSampler],feller[code],feller[Vc]),records[ColonyCount]))</f>
        <v>214</v>
      </c>
      <c r="AC736" s="60" t="b">
        <f t="shared" si="1"/>
        <v>0</v>
      </c>
      <c r="AD736" s="61" t="b">
        <v>0</v>
      </c>
      <c r="AE736" s="32" t="s">
        <v>235</v>
      </c>
      <c r="AF736" s="46"/>
      <c r="AG736" s="46"/>
      <c r="AH736" s="46"/>
      <c r="AI736" s="46"/>
      <c r="AJ736" s="46"/>
    </row>
    <row r="737" ht="22.5" customHeight="1">
      <c r="A737" s="27">
        <v>46257.0</v>
      </c>
      <c r="B737" s="34" t="str">
        <f t="array" ref="B737">TEXT(A737, "MM-YYYY")</f>
        <v>08-2026</v>
      </c>
      <c r="C737" s="39" t="s">
        <v>1534</v>
      </c>
      <c r="D737" s="36" t="s">
        <v>210</v>
      </c>
      <c r="E737" s="36" t="s">
        <v>213</v>
      </c>
      <c r="F737" s="37" t="s">
        <v>126</v>
      </c>
      <c r="G737" s="263" t="b">
        <v>1</v>
      </c>
      <c r="H737" s="36" t="s">
        <v>214</v>
      </c>
      <c r="I737" s="36" t="s">
        <v>215</v>
      </c>
      <c r="J737" s="214"/>
      <c r="K737" s="215"/>
      <c r="L737" s="187" t="s">
        <v>194</v>
      </c>
      <c r="M737" s="187" t="s">
        <v>194</v>
      </c>
      <c r="N737" s="187" t="s">
        <v>194</v>
      </c>
      <c r="O737" s="187" t="s">
        <v>194</v>
      </c>
      <c r="P737" s="37" t="s">
        <v>692</v>
      </c>
      <c r="Q737" s="37" t="s">
        <v>693</v>
      </c>
      <c r="R737" s="41">
        <v>46306.0</v>
      </c>
      <c r="S737" s="42">
        <v>2.0</v>
      </c>
      <c r="T737" s="44"/>
      <c r="U737" s="45" t="str">
        <f>IF(records[Type]="Room",records[roomNo],records[roomNo]&amp;"-"&amp;SUBSTITUTE(RIGHT(records[roomNo]&amp;records[Type],2),"-",""))</f>
        <v>16-3-070</v>
      </c>
      <c r="V737" s="47" t="str">
        <f t="array" ref="V737">_xlfn.XLOOKUP(records[ID], dAir[roomNo], dAir[roomName])</f>
        <v>AIRLOCK</v>
      </c>
      <c r="W737" s="47" t="str">
        <f t="array" ref="W737">_xlfn.XLOOKUP(records[ID], dAir[roomNo], dAir[building])</f>
        <v>Building 16</v>
      </c>
      <c r="X737" s="47" t="str">
        <f t="array" ref="X737">_xlfn.XLOOKUP(records[ID], dAir[roomNo], dAir[floor])</f>
        <v>Floor 3</v>
      </c>
      <c r="Y737" s="45" t="str">
        <f t="array" ref="Y737">_xlfn.XLOOKUP(records[ID], dAir[roomNo], dAir[Class])</f>
        <v>D</v>
      </c>
      <c r="Z737" s="45">
        <f t="array" ref="Z737">_xlfn.XLOOKUP(records[Method]&amp;"-"&amp;records[Class], dAirSpec[ID], dAirSpec[Spec])</f>
        <v>100</v>
      </c>
      <c r="AA737" s="45" t="str">
        <f t="array" ref="AA737">_xlfn.XLOOKUP(records[Method]&amp;"-"&amp;records[Class], dAirSpec[ID], dAirSpec[Unit])</f>
        <v>cfu/plate</v>
      </c>
      <c r="AB737" s="58">
        <f t="array" ref="AB737">if(S737="","", if(records[Method]="Active Air",_xlfn.xlookup(records[ColonyCount]&amp;records[AirSampler],feller[code],feller[Vc]),records[ColonyCount]))</f>
        <v>2</v>
      </c>
      <c r="AC737" s="60" t="b">
        <f t="shared" si="1"/>
        <v>1</v>
      </c>
      <c r="AD737" s="61" t="b">
        <v>0</v>
      </c>
      <c r="AE737" s="32" t="s">
        <v>235</v>
      </c>
      <c r="AF737" s="46"/>
      <c r="AG737" s="46"/>
      <c r="AH737" s="46"/>
      <c r="AI737" s="46"/>
      <c r="AJ737" s="46"/>
    </row>
    <row r="738" ht="22.5" customHeight="1">
      <c r="A738" s="27">
        <v>46257.0</v>
      </c>
      <c r="B738" s="34" t="str">
        <f t="array" ref="B738">TEXT(A738, "MM-YYYY")</f>
        <v>08-2026</v>
      </c>
      <c r="C738" s="39" t="s">
        <v>989</v>
      </c>
      <c r="D738" s="36" t="s">
        <v>210</v>
      </c>
      <c r="E738" s="36" t="s">
        <v>213</v>
      </c>
      <c r="F738" s="37" t="s">
        <v>126</v>
      </c>
      <c r="G738" s="263" t="b">
        <v>1</v>
      </c>
      <c r="H738" s="36" t="s">
        <v>214</v>
      </c>
      <c r="I738" s="36" t="s">
        <v>215</v>
      </c>
      <c r="J738" s="214"/>
      <c r="K738" s="215"/>
      <c r="L738" s="187" t="s">
        <v>194</v>
      </c>
      <c r="M738" s="187" t="s">
        <v>194</v>
      </c>
      <c r="N738" s="187" t="s">
        <v>194</v>
      </c>
      <c r="O738" s="187" t="s">
        <v>194</v>
      </c>
      <c r="P738" s="37" t="s">
        <v>692</v>
      </c>
      <c r="Q738" s="37" t="s">
        <v>693</v>
      </c>
      <c r="R738" s="41">
        <v>46306.0</v>
      </c>
      <c r="S738" s="42">
        <v>0.0</v>
      </c>
      <c r="T738" s="44"/>
      <c r="U738" s="45" t="str">
        <f>IF(records[Type]="Room",records[roomNo],records[roomNo]&amp;"-"&amp;SUBSTITUTE(RIGHT(records[roomNo]&amp;records[Type],2),"-",""))</f>
        <v>16-3-071</v>
      </c>
      <c r="V738" s="47" t="str">
        <f t="array" ref="V738">_xlfn.XLOOKUP(records[ID], dAir[roomNo], dAir[roomName])</f>
        <v>MFG 3</v>
      </c>
      <c r="W738" s="47" t="str">
        <f t="array" ref="W738">_xlfn.XLOOKUP(records[ID], dAir[roomNo], dAir[building])</f>
        <v>Building 16</v>
      </c>
      <c r="X738" s="47" t="str">
        <f t="array" ref="X738">_xlfn.XLOOKUP(records[ID], dAir[roomNo], dAir[floor])</f>
        <v>Floor 3</v>
      </c>
      <c r="Y738" s="45" t="str">
        <f t="array" ref="Y738">_xlfn.XLOOKUP(records[ID], dAir[roomNo], dAir[Class])</f>
        <v>D</v>
      </c>
      <c r="Z738" s="45">
        <f t="array" ref="Z738">_xlfn.XLOOKUP(records[Method]&amp;"-"&amp;records[Class], dAirSpec[ID], dAirSpec[Spec])</f>
        <v>100</v>
      </c>
      <c r="AA738" s="45" t="str">
        <f t="array" ref="AA738">_xlfn.XLOOKUP(records[Method]&amp;"-"&amp;records[Class], dAirSpec[ID], dAirSpec[Unit])</f>
        <v>cfu/plate</v>
      </c>
      <c r="AB738" s="58">
        <f t="array" ref="AB738">if(S738="","", if(records[Method]="Active Air",_xlfn.xlookup(records[ColonyCount]&amp;records[AirSampler],feller[code],feller[Vc]),records[ColonyCount]))</f>
        <v>0</v>
      </c>
      <c r="AC738" s="60" t="b">
        <f t="shared" si="1"/>
        <v>1</v>
      </c>
      <c r="AD738" s="61" t="b">
        <v>0</v>
      </c>
      <c r="AE738" s="32" t="s">
        <v>235</v>
      </c>
      <c r="AF738" s="46"/>
      <c r="AG738" s="46"/>
      <c r="AH738" s="46"/>
      <c r="AI738" s="46"/>
      <c r="AJ738" s="46"/>
    </row>
    <row r="739" ht="22.5" customHeight="1">
      <c r="A739" s="27">
        <v>46257.0</v>
      </c>
      <c r="B739" s="34" t="str">
        <f t="array" ref="B739">TEXT(A739, "MM-YYYY")</f>
        <v>08-2026</v>
      </c>
      <c r="C739" s="39" t="s">
        <v>1535</v>
      </c>
      <c r="D739" s="36" t="s">
        <v>210</v>
      </c>
      <c r="E739" s="36" t="s">
        <v>213</v>
      </c>
      <c r="F739" s="37" t="s">
        <v>126</v>
      </c>
      <c r="G739" s="263" t="b">
        <v>1</v>
      </c>
      <c r="H739" s="36" t="s">
        <v>214</v>
      </c>
      <c r="I739" s="36" t="s">
        <v>215</v>
      </c>
      <c r="J739" s="214"/>
      <c r="K739" s="215"/>
      <c r="L739" s="187" t="s">
        <v>194</v>
      </c>
      <c r="M739" s="187" t="s">
        <v>194</v>
      </c>
      <c r="N739" s="187" t="s">
        <v>194</v>
      </c>
      <c r="O739" s="187" t="s">
        <v>194</v>
      </c>
      <c r="P739" s="37" t="s">
        <v>692</v>
      </c>
      <c r="Q739" s="37" t="s">
        <v>693</v>
      </c>
      <c r="R739" s="41">
        <v>46306.0</v>
      </c>
      <c r="S739" s="42">
        <v>0.0</v>
      </c>
      <c r="T739" s="44"/>
      <c r="U739" s="45" t="str">
        <f>IF(records[Type]="Room",records[roomNo],records[roomNo]&amp;"-"&amp;SUBSTITUTE(RIGHT(records[roomNo]&amp;records[Type],2),"-",""))</f>
        <v>16-3-072</v>
      </c>
      <c r="V739" s="47" t="str">
        <f t="array" ref="V739">_xlfn.XLOOKUP(records[ID], dAir[roomNo], dAir[roomName])</f>
        <v>AIRLOCK</v>
      </c>
      <c r="W739" s="47" t="str">
        <f t="array" ref="W739">_xlfn.XLOOKUP(records[ID], dAir[roomNo], dAir[building])</f>
        <v>Building 16</v>
      </c>
      <c r="X739" s="47" t="str">
        <f t="array" ref="X739">_xlfn.XLOOKUP(records[ID], dAir[roomNo], dAir[floor])</f>
        <v>Floor 3</v>
      </c>
      <c r="Y739" s="45" t="str">
        <f t="array" ref="Y739">_xlfn.XLOOKUP(records[ID], dAir[roomNo], dAir[Class])</f>
        <v>D</v>
      </c>
      <c r="Z739" s="45">
        <f t="array" ref="Z739">_xlfn.XLOOKUP(records[Method]&amp;"-"&amp;records[Class], dAirSpec[ID], dAirSpec[Spec])</f>
        <v>100</v>
      </c>
      <c r="AA739" s="45" t="str">
        <f t="array" ref="AA739">_xlfn.XLOOKUP(records[Method]&amp;"-"&amp;records[Class], dAirSpec[ID], dAirSpec[Unit])</f>
        <v>cfu/plate</v>
      </c>
      <c r="AB739" s="58">
        <f t="array" ref="AB739">if(S739="","", if(records[Method]="Active Air",_xlfn.xlookup(records[ColonyCount]&amp;records[AirSampler],feller[code],feller[Vc]),records[ColonyCount]))</f>
        <v>0</v>
      </c>
      <c r="AC739" s="60" t="b">
        <f t="shared" si="1"/>
        <v>1</v>
      </c>
      <c r="AD739" s="61" t="b">
        <v>0</v>
      </c>
      <c r="AE739" s="32" t="s">
        <v>235</v>
      </c>
      <c r="AF739" s="46"/>
      <c r="AG739" s="46"/>
      <c r="AH739" s="46"/>
      <c r="AI739" s="46"/>
      <c r="AJ739" s="46"/>
    </row>
    <row r="740" ht="22.5" customHeight="1">
      <c r="A740" s="27">
        <v>46257.0</v>
      </c>
      <c r="B740" s="34" t="str">
        <f t="array" ref="B740">TEXT(A740, "MM-YYYY")</f>
        <v>08-2026</v>
      </c>
      <c r="C740" s="39" t="s">
        <v>990</v>
      </c>
      <c r="D740" s="36" t="s">
        <v>210</v>
      </c>
      <c r="E740" s="36" t="s">
        <v>213</v>
      </c>
      <c r="F740" s="37" t="s">
        <v>126</v>
      </c>
      <c r="G740" s="263" t="b">
        <v>1</v>
      </c>
      <c r="H740" s="36" t="s">
        <v>214</v>
      </c>
      <c r="I740" s="36" t="s">
        <v>215</v>
      </c>
      <c r="J740" s="214"/>
      <c r="K740" s="215"/>
      <c r="L740" s="187" t="s">
        <v>194</v>
      </c>
      <c r="M740" s="187" t="s">
        <v>194</v>
      </c>
      <c r="N740" s="187" t="s">
        <v>194</v>
      </c>
      <c r="O740" s="187" t="s">
        <v>194</v>
      </c>
      <c r="P740" s="37" t="s">
        <v>692</v>
      </c>
      <c r="Q740" s="37" t="s">
        <v>693</v>
      </c>
      <c r="R740" s="41">
        <v>46306.0</v>
      </c>
      <c r="S740" s="42">
        <v>0.0</v>
      </c>
      <c r="T740" s="44"/>
      <c r="U740" s="45" t="str">
        <f>IF(records[Type]="Room",records[roomNo],records[roomNo]&amp;"-"&amp;SUBSTITUTE(RIGHT(records[roomNo]&amp;records[Type],2),"-",""))</f>
        <v>16-3-073</v>
      </c>
      <c r="V740" s="47" t="str">
        <f t="array" ref="V740">_xlfn.XLOOKUP(records[ID], dAir[roomNo], dAir[roomName])</f>
        <v>MFG 4</v>
      </c>
      <c r="W740" s="47" t="str">
        <f t="array" ref="W740">_xlfn.XLOOKUP(records[ID], dAir[roomNo], dAir[building])</f>
        <v>Building 16</v>
      </c>
      <c r="X740" s="47" t="str">
        <f t="array" ref="X740">_xlfn.XLOOKUP(records[ID], dAir[roomNo], dAir[floor])</f>
        <v>Floor 3</v>
      </c>
      <c r="Y740" s="45" t="str">
        <f t="array" ref="Y740">_xlfn.XLOOKUP(records[ID], dAir[roomNo], dAir[Class])</f>
        <v>D</v>
      </c>
      <c r="Z740" s="45">
        <f t="array" ref="Z740">_xlfn.XLOOKUP(records[Method]&amp;"-"&amp;records[Class], dAirSpec[ID], dAirSpec[Spec])</f>
        <v>100</v>
      </c>
      <c r="AA740" s="45" t="str">
        <f t="array" ref="AA740">_xlfn.XLOOKUP(records[Method]&amp;"-"&amp;records[Class], dAirSpec[ID], dAirSpec[Unit])</f>
        <v>cfu/plate</v>
      </c>
      <c r="AB740" s="58">
        <f t="array" ref="AB740">if(S740="","", if(records[Method]="Active Air",_xlfn.xlookup(records[ColonyCount]&amp;records[AirSampler],feller[code],feller[Vc]),records[ColonyCount]))</f>
        <v>0</v>
      </c>
      <c r="AC740" s="60" t="b">
        <f t="shared" si="1"/>
        <v>1</v>
      </c>
      <c r="AD740" s="61" t="b">
        <v>0</v>
      </c>
      <c r="AE740" s="32" t="s">
        <v>235</v>
      </c>
      <c r="AF740" s="46"/>
      <c r="AG740" s="46"/>
      <c r="AH740" s="46"/>
      <c r="AI740" s="46"/>
      <c r="AJ740" s="46"/>
    </row>
    <row r="741" ht="22.5" customHeight="1">
      <c r="A741" s="27">
        <v>46257.0</v>
      </c>
      <c r="B741" s="34" t="str">
        <f t="array" ref="B741">TEXT(A741, "MM-YYYY")</f>
        <v>08-2026</v>
      </c>
      <c r="C741" s="39" t="s">
        <v>1536</v>
      </c>
      <c r="D741" s="36" t="s">
        <v>210</v>
      </c>
      <c r="E741" s="36" t="s">
        <v>213</v>
      </c>
      <c r="F741" s="37" t="s">
        <v>126</v>
      </c>
      <c r="G741" s="263" t="b">
        <v>1</v>
      </c>
      <c r="H741" s="36" t="s">
        <v>214</v>
      </c>
      <c r="I741" s="36" t="s">
        <v>215</v>
      </c>
      <c r="J741" s="214"/>
      <c r="K741" s="215"/>
      <c r="L741" s="187" t="s">
        <v>194</v>
      </c>
      <c r="M741" s="187" t="s">
        <v>194</v>
      </c>
      <c r="N741" s="187" t="s">
        <v>194</v>
      </c>
      <c r="O741" s="187" t="s">
        <v>194</v>
      </c>
      <c r="P741" s="37" t="s">
        <v>692</v>
      </c>
      <c r="Q741" s="37" t="s">
        <v>693</v>
      </c>
      <c r="R741" s="41">
        <v>46306.0</v>
      </c>
      <c r="S741" s="42">
        <v>1.0</v>
      </c>
      <c r="T741" s="44"/>
      <c r="U741" s="45" t="str">
        <f>IF(records[Type]="Room",records[roomNo],records[roomNo]&amp;"-"&amp;SUBSTITUTE(RIGHT(records[roomNo]&amp;records[Type],2),"-",""))</f>
        <v>16-3-074</v>
      </c>
      <c r="V741" s="47" t="str">
        <f t="array" ref="V741">_xlfn.XLOOKUP(records[ID], dAir[roomNo], dAir[roomName])</f>
        <v>AIRLOCK</v>
      </c>
      <c r="W741" s="47" t="str">
        <f t="array" ref="W741">_xlfn.XLOOKUP(records[ID], dAir[roomNo], dAir[building])</f>
        <v>Building 16</v>
      </c>
      <c r="X741" s="47" t="str">
        <f t="array" ref="X741">_xlfn.XLOOKUP(records[ID], dAir[roomNo], dAir[floor])</f>
        <v>Floor 3</v>
      </c>
      <c r="Y741" s="45" t="str">
        <f t="array" ref="Y741">_xlfn.XLOOKUP(records[ID], dAir[roomNo], dAir[Class])</f>
        <v>D</v>
      </c>
      <c r="Z741" s="45">
        <f t="array" ref="Z741">_xlfn.XLOOKUP(records[Method]&amp;"-"&amp;records[Class], dAirSpec[ID], dAirSpec[Spec])</f>
        <v>100</v>
      </c>
      <c r="AA741" s="45" t="str">
        <f t="array" ref="AA741">_xlfn.XLOOKUP(records[Method]&amp;"-"&amp;records[Class], dAirSpec[ID], dAirSpec[Unit])</f>
        <v>cfu/plate</v>
      </c>
      <c r="AB741" s="58">
        <f t="array" ref="AB741">if(S741="","", if(records[Method]="Active Air",_xlfn.xlookup(records[ColonyCount]&amp;records[AirSampler],feller[code],feller[Vc]),records[ColonyCount]))</f>
        <v>1</v>
      </c>
      <c r="AC741" s="60" t="b">
        <f t="shared" si="1"/>
        <v>1</v>
      </c>
      <c r="AD741" s="61" t="b">
        <v>0</v>
      </c>
      <c r="AE741" s="32" t="s">
        <v>235</v>
      </c>
      <c r="AF741" s="46"/>
      <c r="AG741" s="46"/>
      <c r="AH741" s="46"/>
      <c r="AI741" s="46"/>
      <c r="AJ741" s="46"/>
    </row>
    <row r="742" ht="22.5" customHeight="1">
      <c r="A742" s="27">
        <v>46257.0</v>
      </c>
      <c r="B742" s="34" t="str">
        <f t="array" ref="B742">TEXT(A742, "MM-YYYY")</f>
        <v>08-2026</v>
      </c>
      <c r="C742" s="39" t="s">
        <v>991</v>
      </c>
      <c r="D742" s="36" t="s">
        <v>210</v>
      </c>
      <c r="E742" s="36" t="s">
        <v>213</v>
      </c>
      <c r="F742" s="37" t="s">
        <v>126</v>
      </c>
      <c r="G742" s="263" t="b">
        <v>1</v>
      </c>
      <c r="H742" s="36" t="s">
        <v>214</v>
      </c>
      <c r="I742" s="36" t="s">
        <v>215</v>
      </c>
      <c r="J742" s="214"/>
      <c r="K742" s="215"/>
      <c r="L742" s="187" t="s">
        <v>194</v>
      </c>
      <c r="M742" s="187" t="s">
        <v>194</v>
      </c>
      <c r="N742" s="187" t="s">
        <v>194</v>
      </c>
      <c r="O742" s="187" t="s">
        <v>194</v>
      </c>
      <c r="P742" s="37" t="s">
        <v>692</v>
      </c>
      <c r="Q742" s="37" t="s">
        <v>693</v>
      </c>
      <c r="R742" s="41">
        <v>46306.0</v>
      </c>
      <c r="S742" s="42">
        <v>0.0</v>
      </c>
      <c r="T742" s="44"/>
      <c r="U742" s="45" t="str">
        <f>IF(records[Type]="Room",records[roomNo],records[roomNo]&amp;"-"&amp;SUBSTITUTE(RIGHT(records[roomNo]&amp;records[Type],2),"-",""))</f>
        <v>16-3-075</v>
      </c>
      <c r="V742" s="47" t="str">
        <f t="array" ref="V742">_xlfn.XLOOKUP(records[ID], dAir[roomNo], dAir[roomName])</f>
        <v>MFG 5</v>
      </c>
      <c r="W742" s="47" t="str">
        <f t="array" ref="W742">_xlfn.XLOOKUP(records[ID], dAir[roomNo], dAir[building])</f>
        <v>Building 16</v>
      </c>
      <c r="X742" s="47" t="str">
        <f t="array" ref="X742">_xlfn.XLOOKUP(records[ID], dAir[roomNo], dAir[floor])</f>
        <v>Floor 3</v>
      </c>
      <c r="Y742" s="45" t="str">
        <f t="array" ref="Y742">_xlfn.XLOOKUP(records[ID], dAir[roomNo], dAir[Class])</f>
        <v>D</v>
      </c>
      <c r="Z742" s="45">
        <f t="array" ref="Z742">_xlfn.XLOOKUP(records[Method]&amp;"-"&amp;records[Class], dAirSpec[ID], dAirSpec[Spec])</f>
        <v>100</v>
      </c>
      <c r="AA742" s="45" t="str">
        <f t="array" ref="AA742">_xlfn.XLOOKUP(records[Method]&amp;"-"&amp;records[Class], dAirSpec[ID], dAirSpec[Unit])</f>
        <v>cfu/plate</v>
      </c>
      <c r="AB742" s="58">
        <f t="array" ref="AB742">if(S742="","", if(records[Method]="Active Air",_xlfn.xlookup(records[ColonyCount]&amp;records[AirSampler],feller[code],feller[Vc]),records[ColonyCount]))</f>
        <v>0</v>
      </c>
      <c r="AC742" s="60" t="b">
        <f t="shared" si="1"/>
        <v>1</v>
      </c>
      <c r="AD742" s="61" t="b">
        <v>0</v>
      </c>
      <c r="AE742" s="32" t="s">
        <v>235</v>
      </c>
      <c r="AF742" s="46"/>
      <c r="AG742" s="46"/>
      <c r="AH742" s="46"/>
      <c r="AI742" s="46"/>
      <c r="AJ742" s="46"/>
    </row>
    <row r="743" ht="22.5" customHeight="1">
      <c r="A743" s="27">
        <v>46257.0</v>
      </c>
      <c r="B743" s="34" t="str">
        <f t="array" ref="B743">TEXT(A743, "MM-YYYY")</f>
        <v>08-2026</v>
      </c>
      <c r="C743" s="39" t="s">
        <v>1537</v>
      </c>
      <c r="D743" s="36" t="s">
        <v>210</v>
      </c>
      <c r="E743" s="36" t="s">
        <v>213</v>
      </c>
      <c r="F743" s="37" t="s">
        <v>126</v>
      </c>
      <c r="G743" s="263" t="b">
        <v>1</v>
      </c>
      <c r="H743" s="36" t="s">
        <v>214</v>
      </c>
      <c r="I743" s="36" t="s">
        <v>215</v>
      </c>
      <c r="J743" s="214"/>
      <c r="K743" s="215"/>
      <c r="L743" s="187" t="s">
        <v>194</v>
      </c>
      <c r="M743" s="187" t="s">
        <v>194</v>
      </c>
      <c r="N743" s="187" t="s">
        <v>194</v>
      </c>
      <c r="O743" s="187" t="s">
        <v>194</v>
      </c>
      <c r="P743" s="37" t="s">
        <v>692</v>
      </c>
      <c r="Q743" s="37" t="s">
        <v>693</v>
      </c>
      <c r="R743" s="41">
        <v>46306.0</v>
      </c>
      <c r="S743" s="42">
        <v>0.0</v>
      </c>
      <c r="T743" s="44"/>
      <c r="U743" s="45" t="str">
        <f>IF(records[Type]="Room",records[roomNo],records[roomNo]&amp;"-"&amp;SUBSTITUTE(RIGHT(records[roomNo]&amp;records[Type],2),"-",""))</f>
        <v>16-3-076</v>
      </c>
      <c r="V743" s="47" t="str">
        <f t="array" ref="V743">_xlfn.XLOOKUP(records[ID], dAir[roomNo], dAir[roomName])</f>
        <v>AIRLOCK</v>
      </c>
      <c r="W743" s="47" t="str">
        <f t="array" ref="W743">_xlfn.XLOOKUP(records[ID], dAir[roomNo], dAir[building])</f>
        <v>Building 16</v>
      </c>
      <c r="X743" s="47" t="str">
        <f t="array" ref="X743">_xlfn.XLOOKUP(records[ID], dAir[roomNo], dAir[floor])</f>
        <v>Floor 3</v>
      </c>
      <c r="Y743" s="45" t="str">
        <f t="array" ref="Y743">_xlfn.XLOOKUP(records[ID], dAir[roomNo], dAir[Class])</f>
        <v>D</v>
      </c>
      <c r="Z743" s="45">
        <f t="array" ref="Z743">_xlfn.XLOOKUP(records[Method]&amp;"-"&amp;records[Class], dAirSpec[ID], dAirSpec[Spec])</f>
        <v>100</v>
      </c>
      <c r="AA743" s="45" t="str">
        <f t="array" ref="AA743">_xlfn.XLOOKUP(records[Method]&amp;"-"&amp;records[Class], dAirSpec[ID], dAirSpec[Unit])</f>
        <v>cfu/plate</v>
      </c>
      <c r="AB743" s="58">
        <f t="array" ref="AB743">if(S743="","", if(records[Method]="Active Air",_xlfn.xlookup(records[ColonyCount]&amp;records[AirSampler],feller[code],feller[Vc]),records[ColonyCount]))</f>
        <v>0</v>
      </c>
      <c r="AC743" s="60" t="b">
        <f t="shared" si="1"/>
        <v>1</v>
      </c>
      <c r="AD743" s="61" t="b">
        <v>0</v>
      </c>
      <c r="AE743" s="32" t="s">
        <v>235</v>
      </c>
      <c r="AF743" s="46"/>
      <c r="AG743" s="46"/>
      <c r="AH743" s="46"/>
      <c r="AI743" s="46"/>
      <c r="AJ743" s="46"/>
    </row>
    <row r="744" ht="22.5" customHeight="1">
      <c r="A744" s="27">
        <v>46257.0</v>
      </c>
      <c r="B744" s="34" t="str">
        <f t="array" ref="B744">TEXT(A744, "MM-YYYY")</f>
        <v>08-2026</v>
      </c>
      <c r="C744" s="39" t="s">
        <v>1538</v>
      </c>
      <c r="D744" s="36" t="s">
        <v>210</v>
      </c>
      <c r="E744" s="36" t="s">
        <v>213</v>
      </c>
      <c r="F744" s="37" t="s">
        <v>126</v>
      </c>
      <c r="G744" s="263" t="b">
        <v>1</v>
      </c>
      <c r="H744" s="36" t="s">
        <v>214</v>
      </c>
      <c r="I744" s="36" t="s">
        <v>215</v>
      </c>
      <c r="J744" s="214"/>
      <c r="K744" s="215"/>
      <c r="L744" s="187" t="s">
        <v>194</v>
      </c>
      <c r="M744" s="187" t="s">
        <v>194</v>
      </c>
      <c r="N744" s="187" t="s">
        <v>194</v>
      </c>
      <c r="O744" s="187" t="s">
        <v>194</v>
      </c>
      <c r="P744" s="37" t="s">
        <v>692</v>
      </c>
      <c r="Q744" s="37" t="s">
        <v>693</v>
      </c>
      <c r="R744" s="41">
        <v>46306.0</v>
      </c>
      <c r="S744" s="42">
        <v>0.0</v>
      </c>
      <c r="T744" s="44"/>
      <c r="U744" s="45" t="str">
        <f>IF(records[Type]="Room",records[roomNo],records[roomNo]&amp;"-"&amp;SUBSTITUTE(RIGHT(records[roomNo]&amp;records[Type],2),"-",""))</f>
        <v>16-3-077</v>
      </c>
      <c r="V744" s="47" t="str">
        <f t="array" ref="V744">_xlfn.XLOOKUP(records[ID], dAir[roomNo], dAir[roomName])</f>
        <v>MFG 6</v>
      </c>
      <c r="W744" s="47" t="str">
        <f t="array" ref="W744">_xlfn.XLOOKUP(records[ID], dAir[roomNo], dAir[building])</f>
        <v>Building 16</v>
      </c>
      <c r="X744" s="47" t="str">
        <f t="array" ref="X744">_xlfn.XLOOKUP(records[ID], dAir[roomNo], dAir[floor])</f>
        <v>Floor 3</v>
      </c>
      <c r="Y744" s="45" t="str">
        <f t="array" ref="Y744">_xlfn.XLOOKUP(records[ID], dAir[roomNo], dAir[Class])</f>
        <v>D</v>
      </c>
      <c r="Z744" s="45">
        <f t="array" ref="Z744">_xlfn.XLOOKUP(records[Method]&amp;"-"&amp;records[Class], dAirSpec[ID], dAirSpec[Spec])</f>
        <v>100</v>
      </c>
      <c r="AA744" s="45" t="str">
        <f t="array" ref="AA744">_xlfn.XLOOKUP(records[Method]&amp;"-"&amp;records[Class], dAirSpec[ID], dAirSpec[Unit])</f>
        <v>cfu/plate</v>
      </c>
      <c r="AB744" s="58">
        <f t="array" ref="AB744">if(S744="","", if(records[Method]="Active Air",_xlfn.xlookup(records[ColonyCount]&amp;records[AirSampler],feller[code],feller[Vc]),records[ColonyCount]))</f>
        <v>0</v>
      </c>
      <c r="AC744" s="60" t="b">
        <f t="shared" si="1"/>
        <v>1</v>
      </c>
      <c r="AD744" s="61" t="b">
        <v>0</v>
      </c>
      <c r="AE744" s="32" t="s">
        <v>235</v>
      </c>
      <c r="AF744" s="46"/>
      <c r="AG744" s="46"/>
      <c r="AH744" s="46"/>
      <c r="AI744" s="46"/>
      <c r="AJ744" s="46"/>
    </row>
    <row r="745" ht="22.5" customHeight="1">
      <c r="A745" s="27">
        <v>46257.0</v>
      </c>
      <c r="B745" s="34" t="str">
        <f t="array" ref="B745">TEXT(A745, "MM-YYYY")</f>
        <v>08-2026</v>
      </c>
      <c r="C745" s="39" t="s">
        <v>1540</v>
      </c>
      <c r="D745" s="36" t="s">
        <v>210</v>
      </c>
      <c r="E745" s="36" t="s">
        <v>213</v>
      </c>
      <c r="F745" s="37" t="s">
        <v>126</v>
      </c>
      <c r="G745" s="263" t="b">
        <v>1</v>
      </c>
      <c r="H745" s="36" t="s">
        <v>214</v>
      </c>
      <c r="I745" s="36" t="s">
        <v>215</v>
      </c>
      <c r="J745" s="214"/>
      <c r="K745" s="215"/>
      <c r="L745" s="187" t="s">
        <v>194</v>
      </c>
      <c r="M745" s="187" t="s">
        <v>194</v>
      </c>
      <c r="N745" s="187" t="s">
        <v>194</v>
      </c>
      <c r="O745" s="187" t="s">
        <v>194</v>
      </c>
      <c r="P745" s="37" t="s">
        <v>692</v>
      </c>
      <c r="Q745" s="37" t="s">
        <v>693</v>
      </c>
      <c r="R745" s="41">
        <v>46306.0</v>
      </c>
      <c r="S745" s="42">
        <v>1.0</v>
      </c>
      <c r="T745" s="44" t="s">
        <v>2289</v>
      </c>
      <c r="U745" s="45" t="str">
        <f>IF(records[Type]="Room",records[roomNo],records[roomNo]&amp;"-"&amp;SUBSTITUTE(RIGHT(records[roomNo]&amp;records[Type],2),"-",""))</f>
        <v>16-3-078</v>
      </c>
      <c r="V745" s="47" t="str">
        <f t="array" ref="V745">_xlfn.XLOOKUP(records[ID], dAir[roomNo], dAir[roomName])</f>
        <v>CORRIDOR</v>
      </c>
      <c r="W745" s="47" t="str">
        <f t="array" ref="W745">_xlfn.XLOOKUP(records[ID], dAir[roomNo], dAir[building])</f>
        <v>Building 16</v>
      </c>
      <c r="X745" s="47" t="str">
        <f t="array" ref="X745">_xlfn.XLOOKUP(records[ID], dAir[roomNo], dAir[floor])</f>
        <v>Floor 3</v>
      </c>
      <c r="Y745" s="45" t="str">
        <f t="array" ref="Y745">_xlfn.XLOOKUP(records[ID], dAir[roomNo], dAir[Class])</f>
        <v>D</v>
      </c>
      <c r="Z745" s="45">
        <f t="array" ref="Z745">_xlfn.XLOOKUP(records[Method]&amp;"-"&amp;records[Class], dAirSpec[ID], dAirSpec[Spec])</f>
        <v>100</v>
      </c>
      <c r="AA745" s="45" t="str">
        <f t="array" ref="AA745">_xlfn.XLOOKUP(records[Method]&amp;"-"&amp;records[Class], dAirSpec[ID], dAirSpec[Unit])</f>
        <v>cfu/plate</v>
      </c>
      <c r="AB745" s="58">
        <f t="array" ref="AB745">if(S745="","", if(records[Method]="Active Air",_xlfn.xlookup(records[ColonyCount]&amp;records[AirSampler],feller[code],feller[Vc]),records[ColonyCount]))</f>
        <v>1</v>
      </c>
      <c r="AC745" s="60" t="b">
        <f t="shared" si="1"/>
        <v>1</v>
      </c>
      <c r="AD745" s="61" t="b">
        <v>0</v>
      </c>
      <c r="AE745" s="32" t="s">
        <v>235</v>
      </c>
      <c r="AF745" s="46"/>
      <c r="AG745" s="46"/>
      <c r="AH745" s="46"/>
      <c r="AI745" s="46"/>
      <c r="AJ745" s="46"/>
    </row>
    <row r="746" ht="22.5" customHeight="1">
      <c r="A746" s="27">
        <v>46257.0</v>
      </c>
      <c r="B746" s="34" t="str">
        <f t="array" ref="B746">TEXT(A746, "MM-YYYY")</f>
        <v>08-2026</v>
      </c>
      <c r="C746" s="39" t="s">
        <v>1541</v>
      </c>
      <c r="D746" s="36" t="s">
        <v>210</v>
      </c>
      <c r="E746" s="36" t="s">
        <v>213</v>
      </c>
      <c r="F746" s="37" t="s">
        <v>126</v>
      </c>
      <c r="G746" s="263" t="b">
        <v>1</v>
      </c>
      <c r="H746" s="36" t="s">
        <v>214</v>
      </c>
      <c r="I746" s="36" t="s">
        <v>215</v>
      </c>
      <c r="J746" s="214"/>
      <c r="K746" s="215"/>
      <c r="L746" s="187" t="s">
        <v>194</v>
      </c>
      <c r="M746" s="187" t="s">
        <v>194</v>
      </c>
      <c r="N746" s="187" t="s">
        <v>194</v>
      </c>
      <c r="O746" s="187" t="s">
        <v>194</v>
      </c>
      <c r="P746" s="37" t="s">
        <v>692</v>
      </c>
      <c r="Q746" s="37" t="s">
        <v>693</v>
      </c>
      <c r="R746" s="41">
        <v>46306.0</v>
      </c>
      <c r="S746" s="42">
        <v>0.0</v>
      </c>
      <c r="T746" s="44" t="s">
        <v>2498</v>
      </c>
      <c r="U746" s="45" t="str">
        <f>IF(records[Type]="Room",records[roomNo],records[roomNo]&amp;"-"&amp;SUBSTITUTE(RIGHT(records[roomNo]&amp;records[Type],2),"-",""))</f>
        <v>16-3-079</v>
      </c>
      <c r="V746" s="47" t="str">
        <f t="array" ref="V746">_xlfn.XLOOKUP(records[ID], dAir[roomNo], dAir[roomName])</f>
        <v>CORRIDOR</v>
      </c>
      <c r="W746" s="47" t="str">
        <f t="array" ref="W746">_xlfn.XLOOKUP(records[ID], dAir[roomNo], dAir[building])</f>
        <v>Building 16</v>
      </c>
      <c r="X746" s="47" t="str">
        <f t="array" ref="X746">_xlfn.XLOOKUP(records[ID], dAir[roomNo], dAir[floor])</f>
        <v>Floor 3</v>
      </c>
      <c r="Y746" s="45" t="str">
        <f t="array" ref="Y746">_xlfn.XLOOKUP(records[ID], dAir[roomNo], dAir[Class])</f>
        <v>D</v>
      </c>
      <c r="Z746" s="45">
        <f t="array" ref="Z746">_xlfn.XLOOKUP(records[Method]&amp;"-"&amp;records[Class], dAirSpec[ID], dAirSpec[Spec])</f>
        <v>100</v>
      </c>
      <c r="AA746" s="45" t="str">
        <f t="array" ref="AA746">_xlfn.XLOOKUP(records[Method]&amp;"-"&amp;records[Class], dAirSpec[ID], dAirSpec[Unit])</f>
        <v>cfu/plate</v>
      </c>
      <c r="AB746" s="58">
        <f t="array" ref="AB746">if(S746="","", if(records[Method]="Active Air",_xlfn.xlookup(records[ColonyCount]&amp;records[AirSampler],feller[code],feller[Vc]),records[ColonyCount]))</f>
        <v>0</v>
      </c>
      <c r="AC746" s="60" t="b">
        <f t="shared" si="1"/>
        <v>1</v>
      </c>
      <c r="AD746" s="61" t="b">
        <v>0</v>
      </c>
      <c r="AE746" s="32" t="s">
        <v>235</v>
      </c>
      <c r="AF746" s="46"/>
      <c r="AG746" s="46"/>
      <c r="AH746" s="46"/>
      <c r="AI746" s="46"/>
      <c r="AJ746" s="46"/>
    </row>
    <row r="747" ht="22.5" customHeight="1">
      <c r="A747" s="27">
        <v>46257.0</v>
      </c>
      <c r="B747" s="34" t="str">
        <f t="array" ref="B747">TEXT(A747, "MM-YYYY")</f>
        <v>08-2026</v>
      </c>
      <c r="C747" s="39" t="s">
        <v>994</v>
      </c>
      <c r="D747" s="36" t="s">
        <v>210</v>
      </c>
      <c r="E747" s="36" t="s">
        <v>213</v>
      </c>
      <c r="F747" s="37" t="s">
        <v>126</v>
      </c>
      <c r="G747" s="263" t="b">
        <v>1</v>
      </c>
      <c r="H747" s="36" t="s">
        <v>214</v>
      </c>
      <c r="I747" s="36" t="s">
        <v>215</v>
      </c>
      <c r="J747" s="214"/>
      <c r="K747" s="215"/>
      <c r="L747" s="187" t="s">
        <v>194</v>
      </c>
      <c r="M747" s="187" t="s">
        <v>194</v>
      </c>
      <c r="N747" s="187" t="s">
        <v>194</v>
      </c>
      <c r="O747" s="187" t="s">
        <v>194</v>
      </c>
      <c r="P747" s="37" t="s">
        <v>692</v>
      </c>
      <c r="Q747" s="37" t="s">
        <v>693</v>
      </c>
      <c r="R747" s="41">
        <v>46306.0</v>
      </c>
      <c r="S747" s="42">
        <v>0.0</v>
      </c>
      <c r="T747" s="44"/>
      <c r="U747" s="45" t="str">
        <f>IF(records[Type]="Room",records[roomNo],records[roomNo]&amp;"-"&amp;SUBSTITUTE(RIGHT(records[roomNo]&amp;records[Type],2),"-",""))</f>
        <v>16-3-080</v>
      </c>
      <c r="V747" s="47" t="str">
        <f t="array" ref="V747">_xlfn.XLOOKUP(records[ID], dAir[roomNo], dAir[roomName])</f>
        <v>STAGING 6</v>
      </c>
      <c r="W747" s="47" t="str">
        <f t="array" ref="W747">_xlfn.XLOOKUP(records[ID], dAir[roomNo], dAir[building])</f>
        <v>Building 16</v>
      </c>
      <c r="X747" s="47" t="str">
        <f t="array" ref="X747">_xlfn.XLOOKUP(records[ID], dAir[roomNo], dAir[floor])</f>
        <v>Floor 3</v>
      </c>
      <c r="Y747" s="45" t="str">
        <f t="array" ref="Y747">_xlfn.XLOOKUP(records[ID], dAir[roomNo], dAir[Class])</f>
        <v>D</v>
      </c>
      <c r="Z747" s="45">
        <f t="array" ref="Z747">_xlfn.XLOOKUP(records[Method]&amp;"-"&amp;records[Class], dAirSpec[ID], dAirSpec[Spec])</f>
        <v>100</v>
      </c>
      <c r="AA747" s="45" t="str">
        <f t="array" ref="AA747">_xlfn.XLOOKUP(records[Method]&amp;"-"&amp;records[Class], dAirSpec[ID], dAirSpec[Unit])</f>
        <v>cfu/plate</v>
      </c>
      <c r="AB747" s="58">
        <f t="array" ref="AB747">if(S747="","", if(records[Method]="Active Air",_xlfn.xlookup(records[ColonyCount]&amp;records[AirSampler],feller[code],feller[Vc]),records[ColonyCount]))</f>
        <v>0</v>
      </c>
      <c r="AC747" s="60" t="b">
        <f t="shared" si="1"/>
        <v>1</v>
      </c>
      <c r="AD747" s="61" t="b">
        <v>0</v>
      </c>
      <c r="AE747" s="32" t="s">
        <v>235</v>
      </c>
      <c r="AF747" s="46"/>
      <c r="AG747" s="46"/>
      <c r="AH747" s="46"/>
      <c r="AI747" s="46"/>
      <c r="AJ747" s="46"/>
    </row>
    <row r="748" ht="22.5" customHeight="1">
      <c r="A748" s="27">
        <v>46257.0</v>
      </c>
      <c r="B748" s="34" t="str">
        <f t="array" ref="B748">TEXT(A748, "MM-YYYY")</f>
        <v>08-2026</v>
      </c>
      <c r="C748" s="39" t="s">
        <v>1542</v>
      </c>
      <c r="D748" s="36" t="s">
        <v>210</v>
      </c>
      <c r="E748" s="36" t="s">
        <v>213</v>
      </c>
      <c r="F748" s="37" t="s">
        <v>126</v>
      </c>
      <c r="G748" s="263" t="b">
        <v>1</v>
      </c>
      <c r="H748" s="36" t="s">
        <v>214</v>
      </c>
      <c r="I748" s="36" t="s">
        <v>215</v>
      </c>
      <c r="J748" s="214"/>
      <c r="K748" s="215"/>
      <c r="L748" s="187" t="s">
        <v>194</v>
      </c>
      <c r="M748" s="187" t="s">
        <v>194</v>
      </c>
      <c r="N748" s="187" t="s">
        <v>194</v>
      </c>
      <c r="O748" s="187" t="s">
        <v>194</v>
      </c>
      <c r="P748" s="37" t="s">
        <v>692</v>
      </c>
      <c r="Q748" s="37" t="s">
        <v>693</v>
      </c>
      <c r="R748" s="41">
        <v>46306.0</v>
      </c>
      <c r="S748" s="42">
        <v>2.0</v>
      </c>
      <c r="T748" s="44"/>
      <c r="U748" s="45" t="str">
        <f>IF(records[Type]="Room",records[roomNo],records[roomNo]&amp;"-"&amp;SUBSTITUTE(RIGHT(records[roomNo]&amp;records[Type],2),"-",""))</f>
        <v>16-3-081</v>
      </c>
      <c r="V748" s="47" t="str">
        <f t="array" ref="V748">_xlfn.XLOOKUP(records[ID], dAir[roomNo], dAir[roomName])</f>
        <v>OFFICE</v>
      </c>
      <c r="W748" s="47" t="str">
        <f t="array" ref="W748">_xlfn.XLOOKUP(records[ID], dAir[roomNo], dAir[building])</f>
        <v>Building 16</v>
      </c>
      <c r="X748" s="47" t="str">
        <f t="array" ref="X748">_xlfn.XLOOKUP(records[ID], dAir[roomNo], dAir[floor])</f>
        <v>Floor 3</v>
      </c>
      <c r="Y748" s="45" t="str">
        <f t="array" ref="Y748">_xlfn.XLOOKUP(records[ID], dAir[roomNo], dAir[Class])</f>
        <v>D</v>
      </c>
      <c r="Z748" s="45">
        <f t="array" ref="Z748">_xlfn.XLOOKUP(records[Method]&amp;"-"&amp;records[Class], dAirSpec[ID], dAirSpec[Spec])</f>
        <v>100</v>
      </c>
      <c r="AA748" s="45" t="str">
        <f t="array" ref="AA748">_xlfn.XLOOKUP(records[Method]&amp;"-"&amp;records[Class], dAirSpec[ID], dAirSpec[Unit])</f>
        <v>cfu/plate</v>
      </c>
      <c r="AB748" s="58">
        <f t="array" ref="AB748">if(S748="","", if(records[Method]="Active Air",_xlfn.xlookup(records[ColonyCount]&amp;records[AirSampler],feller[code],feller[Vc]),records[ColonyCount]))</f>
        <v>2</v>
      </c>
      <c r="AC748" s="60" t="b">
        <f t="shared" si="1"/>
        <v>1</v>
      </c>
      <c r="AD748" s="61" t="b">
        <v>0</v>
      </c>
      <c r="AE748" s="32" t="s">
        <v>235</v>
      </c>
      <c r="AF748" s="46"/>
      <c r="AG748" s="46"/>
      <c r="AH748" s="46"/>
      <c r="AI748" s="46"/>
      <c r="AJ748" s="46"/>
    </row>
    <row r="749" ht="22.5" customHeight="1">
      <c r="A749" s="27">
        <v>46257.0</v>
      </c>
      <c r="B749" s="34" t="str">
        <f t="array" ref="B749">TEXT(A749, "MM-YYYY")</f>
        <v>08-2026</v>
      </c>
      <c r="C749" s="39" t="s">
        <v>1543</v>
      </c>
      <c r="D749" s="36" t="s">
        <v>210</v>
      </c>
      <c r="E749" s="36" t="s">
        <v>213</v>
      </c>
      <c r="F749" s="37" t="s">
        <v>126</v>
      </c>
      <c r="G749" s="263" t="b">
        <v>1</v>
      </c>
      <c r="H749" s="36" t="s">
        <v>214</v>
      </c>
      <c r="I749" s="36" t="s">
        <v>215</v>
      </c>
      <c r="J749" s="214"/>
      <c r="K749" s="215"/>
      <c r="L749" s="187" t="s">
        <v>194</v>
      </c>
      <c r="M749" s="187" t="s">
        <v>194</v>
      </c>
      <c r="N749" s="187" t="s">
        <v>194</v>
      </c>
      <c r="O749" s="187" t="s">
        <v>194</v>
      </c>
      <c r="P749" s="37" t="s">
        <v>692</v>
      </c>
      <c r="Q749" s="37" t="s">
        <v>693</v>
      </c>
      <c r="R749" s="41">
        <v>46306.0</v>
      </c>
      <c r="S749" s="42">
        <v>4.0</v>
      </c>
      <c r="T749" s="44"/>
      <c r="U749" s="45" t="str">
        <f>IF(records[Type]="Room",records[roomNo],records[roomNo]&amp;"-"&amp;SUBSTITUTE(RIGHT(records[roomNo]&amp;records[Type],2),"-",""))</f>
        <v>16-3-082</v>
      </c>
      <c r="V749" s="47" t="str">
        <f t="array" ref="V749">_xlfn.XLOOKUP(records[ID], dAir[roomNo], dAir[roomName])</f>
        <v>AIRLOCK</v>
      </c>
      <c r="W749" s="47" t="str">
        <f t="array" ref="W749">_xlfn.XLOOKUP(records[ID], dAir[roomNo], dAir[building])</f>
        <v>Building 16</v>
      </c>
      <c r="X749" s="47" t="str">
        <f t="array" ref="X749">_xlfn.XLOOKUP(records[ID], dAir[roomNo], dAir[floor])</f>
        <v>Floor 3</v>
      </c>
      <c r="Y749" s="45" t="str">
        <f t="array" ref="Y749">_xlfn.XLOOKUP(records[ID], dAir[roomNo], dAir[Class])</f>
        <v>D</v>
      </c>
      <c r="Z749" s="45">
        <f t="array" ref="Z749">_xlfn.XLOOKUP(records[Method]&amp;"-"&amp;records[Class], dAirSpec[ID], dAirSpec[Spec])</f>
        <v>100</v>
      </c>
      <c r="AA749" s="45" t="str">
        <f t="array" ref="AA749">_xlfn.XLOOKUP(records[Method]&amp;"-"&amp;records[Class], dAirSpec[ID], dAirSpec[Unit])</f>
        <v>cfu/plate</v>
      </c>
      <c r="AB749" s="58">
        <f t="array" ref="AB749">if(S749="","", if(records[Method]="Active Air",_xlfn.xlookup(records[ColonyCount]&amp;records[AirSampler],feller[code],feller[Vc]),records[ColonyCount]))</f>
        <v>4</v>
      </c>
      <c r="AC749" s="60" t="b">
        <f t="shared" si="1"/>
        <v>1</v>
      </c>
      <c r="AD749" s="61" t="b">
        <v>0</v>
      </c>
      <c r="AE749" s="32" t="s">
        <v>235</v>
      </c>
      <c r="AF749" s="46"/>
      <c r="AG749" s="46"/>
      <c r="AH749" s="46"/>
      <c r="AI749" s="46"/>
      <c r="AJ749" s="46"/>
    </row>
    <row r="750" ht="22.5" customHeight="1">
      <c r="A750" s="27">
        <v>46257.0</v>
      </c>
      <c r="B750" s="34" t="str">
        <f t="array" ref="B750">TEXT(A750, "MM-YYYY")</f>
        <v>08-2026</v>
      </c>
      <c r="C750" s="39" t="s">
        <v>996</v>
      </c>
      <c r="D750" s="36" t="s">
        <v>210</v>
      </c>
      <c r="E750" s="36" t="s">
        <v>213</v>
      </c>
      <c r="F750" s="37" t="s">
        <v>126</v>
      </c>
      <c r="G750" s="263" t="b">
        <v>1</v>
      </c>
      <c r="H750" s="36" t="s">
        <v>214</v>
      </c>
      <c r="I750" s="36" t="s">
        <v>215</v>
      </c>
      <c r="J750" s="214"/>
      <c r="K750" s="215"/>
      <c r="L750" s="187" t="s">
        <v>194</v>
      </c>
      <c r="M750" s="187" t="s">
        <v>194</v>
      </c>
      <c r="N750" s="187" t="s">
        <v>194</v>
      </c>
      <c r="O750" s="187" t="s">
        <v>194</v>
      </c>
      <c r="P750" s="37" t="s">
        <v>692</v>
      </c>
      <c r="Q750" s="37" t="s">
        <v>693</v>
      </c>
      <c r="R750" s="41">
        <v>46306.0</v>
      </c>
      <c r="S750" s="42">
        <v>1.0</v>
      </c>
      <c r="T750" s="44"/>
      <c r="U750" s="45" t="str">
        <f>IF(records[Type]="Room",records[roomNo],records[roomNo]&amp;"-"&amp;SUBSTITUTE(RIGHT(records[roomNo]&amp;records[Type],2),"-",""))</f>
        <v>16-3-083</v>
      </c>
      <c r="V750" s="47" t="str">
        <f t="array" ref="V750">_xlfn.XLOOKUP(records[ID], dAir[roomNo], dAir[roomName])</f>
        <v>STAGING 5</v>
      </c>
      <c r="W750" s="47" t="str">
        <f t="array" ref="W750">_xlfn.XLOOKUP(records[ID], dAir[roomNo], dAir[building])</f>
        <v>Building 16</v>
      </c>
      <c r="X750" s="47" t="str">
        <f t="array" ref="X750">_xlfn.XLOOKUP(records[ID], dAir[roomNo], dAir[floor])</f>
        <v>Floor 3</v>
      </c>
      <c r="Y750" s="45" t="str">
        <f t="array" ref="Y750">_xlfn.XLOOKUP(records[ID], dAir[roomNo], dAir[Class])</f>
        <v>D</v>
      </c>
      <c r="Z750" s="45">
        <f t="array" ref="Z750">_xlfn.XLOOKUP(records[Method]&amp;"-"&amp;records[Class], dAirSpec[ID], dAirSpec[Spec])</f>
        <v>100</v>
      </c>
      <c r="AA750" s="45" t="str">
        <f t="array" ref="AA750">_xlfn.XLOOKUP(records[Method]&amp;"-"&amp;records[Class], dAirSpec[ID], dAirSpec[Unit])</f>
        <v>cfu/plate</v>
      </c>
      <c r="AB750" s="58">
        <f t="array" ref="AB750">if(S750="","", if(records[Method]="Active Air",_xlfn.xlookup(records[ColonyCount]&amp;records[AirSampler],feller[code],feller[Vc]),records[ColonyCount]))</f>
        <v>1</v>
      </c>
      <c r="AC750" s="60" t="b">
        <f t="shared" si="1"/>
        <v>1</v>
      </c>
      <c r="AD750" s="61" t="b">
        <v>0</v>
      </c>
      <c r="AE750" s="32" t="s">
        <v>235</v>
      </c>
      <c r="AF750" s="46"/>
      <c r="AG750" s="46"/>
      <c r="AH750" s="46"/>
      <c r="AI750" s="46"/>
      <c r="AJ750" s="46"/>
    </row>
    <row r="751" ht="22.5" customHeight="1">
      <c r="A751" s="27">
        <v>46257.0</v>
      </c>
      <c r="B751" s="34" t="str">
        <f t="array" ref="B751">TEXT(A751, "MM-YYYY")</f>
        <v>08-2026</v>
      </c>
      <c r="C751" s="39" t="s">
        <v>1544</v>
      </c>
      <c r="D751" s="36" t="s">
        <v>210</v>
      </c>
      <c r="E751" s="36" t="s">
        <v>213</v>
      </c>
      <c r="F751" s="37" t="s">
        <v>126</v>
      </c>
      <c r="G751" s="263" t="b">
        <v>1</v>
      </c>
      <c r="H751" s="36" t="s">
        <v>214</v>
      </c>
      <c r="I751" s="36" t="s">
        <v>215</v>
      </c>
      <c r="J751" s="214"/>
      <c r="K751" s="215"/>
      <c r="L751" s="187" t="s">
        <v>194</v>
      </c>
      <c r="M751" s="187" t="s">
        <v>194</v>
      </c>
      <c r="N751" s="187" t="s">
        <v>194</v>
      </c>
      <c r="O751" s="187" t="s">
        <v>194</v>
      </c>
      <c r="P751" s="37" t="s">
        <v>692</v>
      </c>
      <c r="Q751" s="37" t="s">
        <v>693</v>
      </c>
      <c r="R751" s="41">
        <v>46306.0</v>
      </c>
      <c r="S751" s="42">
        <v>5.0</v>
      </c>
      <c r="T751" s="44"/>
      <c r="U751" s="45" t="str">
        <f>IF(records[Type]="Room",records[roomNo],records[roomNo]&amp;"-"&amp;SUBSTITUTE(RIGHT(records[roomNo]&amp;records[Type],2),"-",""))</f>
        <v>16-3-084</v>
      </c>
      <c r="V751" s="47" t="str">
        <f t="array" ref="V751">_xlfn.XLOOKUP(records[ID], dAir[roomNo], dAir[roomName])</f>
        <v>IPQC</v>
      </c>
      <c r="W751" s="47" t="str">
        <f t="array" ref="W751">_xlfn.XLOOKUP(records[ID], dAir[roomNo], dAir[building])</f>
        <v>Building 16</v>
      </c>
      <c r="X751" s="47" t="str">
        <f t="array" ref="X751">_xlfn.XLOOKUP(records[ID], dAir[roomNo], dAir[floor])</f>
        <v>Floor 3</v>
      </c>
      <c r="Y751" s="45" t="str">
        <f t="array" ref="Y751">_xlfn.XLOOKUP(records[ID], dAir[roomNo], dAir[Class])</f>
        <v>D</v>
      </c>
      <c r="Z751" s="45">
        <f t="array" ref="Z751">_xlfn.XLOOKUP(records[Method]&amp;"-"&amp;records[Class], dAirSpec[ID], dAirSpec[Spec])</f>
        <v>100</v>
      </c>
      <c r="AA751" s="45" t="str">
        <f t="array" ref="AA751">_xlfn.XLOOKUP(records[Method]&amp;"-"&amp;records[Class], dAirSpec[ID], dAirSpec[Unit])</f>
        <v>cfu/plate</v>
      </c>
      <c r="AB751" s="58">
        <f t="array" ref="AB751">if(S751="","", if(records[Method]="Active Air",_xlfn.xlookup(records[ColonyCount]&amp;records[AirSampler],feller[code],feller[Vc]),records[ColonyCount]))</f>
        <v>5</v>
      </c>
      <c r="AC751" s="60" t="b">
        <f t="shared" si="1"/>
        <v>1</v>
      </c>
      <c r="AD751" s="61" t="b">
        <v>0</v>
      </c>
      <c r="AE751" s="32" t="s">
        <v>235</v>
      </c>
      <c r="AF751" s="46"/>
      <c r="AG751" s="46"/>
      <c r="AH751" s="46"/>
      <c r="AI751" s="46"/>
      <c r="AJ751" s="46"/>
    </row>
    <row r="752" ht="22.5" customHeight="1">
      <c r="A752" s="27">
        <v>46257.0</v>
      </c>
      <c r="B752" s="34" t="str">
        <f t="array" ref="B752">TEXT(A752, "MM-YYYY")</f>
        <v>08-2026</v>
      </c>
      <c r="C752" s="39" t="s">
        <v>998</v>
      </c>
      <c r="D752" s="36" t="s">
        <v>210</v>
      </c>
      <c r="E752" s="36" t="s">
        <v>213</v>
      </c>
      <c r="F752" s="37" t="s">
        <v>126</v>
      </c>
      <c r="G752" s="263" t="b">
        <v>1</v>
      </c>
      <c r="H752" s="36" t="s">
        <v>214</v>
      </c>
      <c r="I752" s="36" t="s">
        <v>215</v>
      </c>
      <c r="J752" s="214"/>
      <c r="K752" s="215"/>
      <c r="L752" s="187" t="s">
        <v>194</v>
      </c>
      <c r="M752" s="187" t="s">
        <v>194</v>
      </c>
      <c r="N752" s="187" t="s">
        <v>194</v>
      </c>
      <c r="O752" s="187" t="s">
        <v>194</v>
      </c>
      <c r="P752" s="37" t="s">
        <v>692</v>
      </c>
      <c r="Q752" s="37" t="s">
        <v>693</v>
      </c>
      <c r="R752" s="41">
        <v>46306.0</v>
      </c>
      <c r="S752" s="42">
        <v>1.0</v>
      </c>
      <c r="T752" s="44"/>
      <c r="U752" s="45" t="str">
        <f>IF(records[Type]="Room",records[roomNo],records[roomNo]&amp;"-"&amp;SUBSTITUTE(RIGHT(records[roomNo]&amp;records[Type],2),"-",""))</f>
        <v>16-3-085</v>
      </c>
      <c r="V752" s="47" t="str">
        <f t="array" ref="V752">_xlfn.XLOOKUP(records[ID], dAir[roomNo], dAir[roomName])</f>
        <v>CIP 3</v>
      </c>
      <c r="W752" s="47" t="str">
        <f t="array" ref="W752">_xlfn.XLOOKUP(records[ID], dAir[roomNo], dAir[building])</f>
        <v>Building 16</v>
      </c>
      <c r="X752" s="47" t="str">
        <f t="array" ref="X752">_xlfn.XLOOKUP(records[ID], dAir[roomNo], dAir[floor])</f>
        <v>Floor 3</v>
      </c>
      <c r="Y752" s="45" t="str">
        <f t="array" ref="Y752">_xlfn.XLOOKUP(records[ID], dAir[roomNo], dAir[Class])</f>
        <v>D</v>
      </c>
      <c r="Z752" s="45">
        <f t="array" ref="Z752">_xlfn.XLOOKUP(records[Method]&amp;"-"&amp;records[Class], dAirSpec[ID], dAirSpec[Spec])</f>
        <v>100</v>
      </c>
      <c r="AA752" s="45" t="str">
        <f t="array" ref="AA752">_xlfn.XLOOKUP(records[Method]&amp;"-"&amp;records[Class], dAirSpec[ID], dAirSpec[Unit])</f>
        <v>cfu/plate</v>
      </c>
      <c r="AB752" s="58">
        <f t="array" ref="AB752">if(S752="","", if(records[Method]="Active Air",_xlfn.xlookup(records[ColonyCount]&amp;records[AirSampler],feller[code],feller[Vc]),records[ColonyCount]))</f>
        <v>1</v>
      </c>
      <c r="AC752" s="60" t="b">
        <f t="shared" si="1"/>
        <v>1</v>
      </c>
      <c r="AD752" s="61" t="b">
        <v>0</v>
      </c>
      <c r="AE752" s="32" t="s">
        <v>235</v>
      </c>
      <c r="AF752" s="46"/>
      <c r="AG752" s="46"/>
      <c r="AH752" s="46"/>
      <c r="AI752" s="46"/>
      <c r="AJ752" s="46"/>
    </row>
    <row r="753" ht="22.5" customHeight="1">
      <c r="A753" s="27">
        <v>46257.0</v>
      </c>
      <c r="B753" s="34" t="str">
        <f t="array" ref="B753">TEXT(A753, "MM-YYYY")</f>
        <v>08-2026</v>
      </c>
      <c r="C753" s="39" t="s">
        <v>1000</v>
      </c>
      <c r="D753" s="36" t="s">
        <v>210</v>
      </c>
      <c r="E753" s="36" t="s">
        <v>213</v>
      </c>
      <c r="F753" s="37" t="s">
        <v>126</v>
      </c>
      <c r="G753" s="263" t="b">
        <v>1</v>
      </c>
      <c r="H753" s="36" t="s">
        <v>214</v>
      </c>
      <c r="I753" s="36" t="s">
        <v>215</v>
      </c>
      <c r="J753" s="214"/>
      <c r="K753" s="215"/>
      <c r="L753" s="187" t="s">
        <v>194</v>
      </c>
      <c r="M753" s="187" t="s">
        <v>194</v>
      </c>
      <c r="N753" s="187" t="s">
        <v>194</v>
      </c>
      <c r="O753" s="187" t="s">
        <v>194</v>
      </c>
      <c r="P753" s="37" t="s">
        <v>692</v>
      </c>
      <c r="Q753" s="37" t="s">
        <v>693</v>
      </c>
      <c r="R753" s="41">
        <v>46306.0</v>
      </c>
      <c r="S753" s="42">
        <v>37.0</v>
      </c>
      <c r="T753" s="44"/>
      <c r="U753" s="45" t="str">
        <f>IF(records[Type]="Room",records[roomNo],records[roomNo]&amp;"-"&amp;SUBSTITUTE(RIGHT(records[roomNo]&amp;records[Type],2),"-",""))</f>
        <v>16-3-086</v>
      </c>
      <c r="V753" s="47" t="str">
        <f t="array" ref="V753">_xlfn.XLOOKUP(records[ID], dAir[roomNo], dAir[roomName])</f>
        <v>STAGING 4</v>
      </c>
      <c r="W753" s="47" t="str">
        <f t="array" ref="W753">_xlfn.XLOOKUP(records[ID], dAir[roomNo], dAir[building])</f>
        <v>Building 16</v>
      </c>
      <c r="X753" s="47" t="str">
        <f t="array" ref="X753">_xlfn.XLOOKUP(records[ID], dAir[roomNo], dAir[floor])</f>
        <v>Floor 3</v>
      </c>
      <c r="Y753" s="45" t="str">
        <f t="array" ref="Y753">_xlfn.XLOOKUP(records[ID], dAir[roomNo], dAir[Class])</f>
        <v>D</v>
      </c>
      <c r="Z753" s="45">
        <f t="array" ref="Z753">_xlfn.XLOOKUP(records[Method]&amp;"-"&amp;records[Class], dAirSpec[ID], dAirSpec[Spec])</f>
        <v>100</v>
      </c>
      <c r="AA753" s="45" t="str">
        <f t="array" ref="AA753">_xlfn.XLOOKUP(records[Method]&amp;"-"&amp;records[Class], dAirSpec[ID], dAirSpec[Unit])</f>
        <v>cfu/plate</v>
      </c>
      <c r="AB753" s="58">
        <f t="array" ref="AB753">if(S753="","", if(records[Method]="Active Air",_xlfn.xlookup(records[ColonyCount]&amp;records[AirSampler],feller[code],feller[Vc]),records[ColonyCount]))</f>
        <v>37</v>
      </c>
      <c r="AC753" s="60" t="b">
        <f t="shared" si="1"/>
        <v>1</v>
      </c>
      <c r="AD753" s="61" t="b">
        <v>0</v>
      </c>
      <c r="AE753" s="32" t="s">
        <v>235</v>
      </c>
      <c r="AF753" s="46"/>
      <c r="AG753" s="46"/>
      <c r="AH753" s="46"/>
      <c r="AI753" s="46"/>
      <c r="AJ753" s="46"/>
    </row>
    <row r="754" ht="22.5" customHeight="1">
      <c r="A754" s="27">
        <v>46257.0</v>
      </c>
      <c r="B754" s="34" t="str">
        <f t="array" ref="B754">TEXT(A754, "MM-YYYY")</f>
        <v>08-2026</v>
      </c>
      <c r="C754" s="39" t="s">
        <v>1002</v>
      </c>
      <c r="D754" s="36" t="s">
        <v>210</v>
      </c>
      <c r="E754" s="36" t="s">
        <v>213</v>
      </c>
      <c r="F754" s="37" t="s">
        <v>126</v>
      </c>
      <c r="G754" s="263" t="b">
        <v>1</v>
      </c>
      <c r="H754" s="36" t="s">
        <v>214</v>
      </c>
      <c r="I754" s="36" t="s">
        <v>215</v>
      </c>
      <c r="J754" s="214"/>
      <c r="K754" s="215"/>
      <c r="L754" s="187" t="s">
        <v>194</v>
      </c>
      <c r="M754" s="187" t="s">
        <v>194</v>
      </c>
      <c r="N754" s="187" t="s">
        <v>194</v>
      </c>
      <c r="O754" s="187" t="s">
        <v>194</v>
      </c>
      <c r="P754" s="37" t="s">
        <v>692</v>
      </c>
      <c r="Q754" s="37" t="s">
        <v>693</v>
      </c>
      <c r="R754" s="41">
        <v>46306.0</v>
      </c>
      <c r="S754" s="42">
        <v>1.0</v>
      </c>
      <c r="T754" s="44"/>
      <c r="U754" s="45" t="str">
        <f>IF(records[Type]="Room",records[roomNo],records[roomNo]&amp;"-"&amp;SUBSTITUTE(RIGHT(records[roomNo]&amp;records[Type],2),"-",""))</f>
        <v>16-3-087</v>
      </c>
      <c r="V754" s="47" t="str">
        <f t="array" ref="V754">_xlfn.XLOOKUP(records[ID], dAir[roomNo], dAir[roomName])</f>
        <v>CIP 2</v>
      </c>
      <c r="W754" s="47" t="str">
        <f t="array" ref="W754">_xlfn.XLOOKUP(records[ID], dAir[roomNo], dAir[building])</f>
        <v>Building 16</v>
      </c>
      <c r="X754" s="47" t="str">
        <f t="array" ref="X754">_xlfn.XLOOKUP(records[ID], dAir[roomNo], dAir[floor])</f>
        <v>Floor 3</v>
      </c>
      <c r="Y754" s="45" t="str">
        <f t="array" ref="Y754">_xlfn.XLOOKUP(records[ID], dAir[roomNo], dAir[Class])</f>
        <v>D</v>
      </c>
      <c r="Z754" s="45">
        <f t="array" ref="Z754">_xlfn.XLOOKUP(records[Method]&amp;"-"&amp;records[Class], dAirSpec[ID], dAirSpec[Spec])</f>
        <v>100</v>
      </c>
      <c r="AA754" s="45" t="str">
        <f t="array" ref="AA754">_xlfn.XLOOKUP(records[Method]&amp;"-"&amp;records[Class], dAirSpec[ID], dAirSpec[Unit])</f>
        <v>cfu/plate</v>
      </c>
      <c r="AB754" s="58">
        <f t="array" ref="AB754">if(S754="","", if(records[Method]="Active Air",_xlfn.xlookup(records[ColonyCount]&amp;records[AirSampler],feller[code],feller[Vc]),records[ColonyCount]))</f>
        <v>1</v>
      </c>
      <c r="AC754" s="60" t="b">
        <f t="shared" si="1"/>
        <v>1</v>
      </c>
      <c r="AD754" s="61" t="b">
        <v>0</v>
      </c>
      <c r="AE754" s="32" t="s">
        <v>235</v>
      </c>
      <c r="AF754" s="46"/>
      <c r="AG754" s="46"/>
      <c r="AH754" s="46"/>
      <c r="AI754" s="46"/>
      <c r="AJ754" s="46"/>
    </row>
    <row r="755" ht="22.5" customHeight="1">
      <c r="A755" s="27">
        <v>46257.0</v>
      </c>
      <c r="B755" s="34" t="str">
        <f t="array" ref="B755">TEXT(A755, "MM-YYYY")</f>
        <v>08-2026</v>
      </c>
      <c r="C755" s="39" t="s">
        <v>1003</v>
      </c>
      <c r="D755" s="36" t="s">
        <v>210</v>
      </c>
      <c r="E755" s="36" t="s">
        <v>213</v>
      </c>
      <c r="F755" s="37" t="s">
        <v>126</v>
      </c>
      <c r="G755" s="263" t="b">
        <v>1</v>
      </c>
      <c r="H755" s="36" t="s">
        <v>214</v>
      </c>
      <c r="I755" s="36" t="s">
        <v>215</v>
      </c>
      <c r="J755" s="214"/>
      <c r="K755" s="215"/>
      <c r="L755" s="187" t="s">
        <v>194</v>
      </c>
      <c r="M755" s="187" t="s">
        <v>194</v>
      </c>
      <c r="N755" s="187" t="s">
        <v>194</v>
      </c>
      <c r="O755" s="187" t="s">
        <v>194</v>
      </c>
      <c r="P755" s="37" t="s">
        <v>692</v>
      </c>
      <c r="Q755" s="37" t="s">
        <v>693</v>
      </c>
      <c r="R755" s="41">
        <v>46306.0</v>
      </c>
      <c r="S755" s="42">
        <v>18.0</v>
      </c>
      <c r="T755" s="44"/>
      <c r="U755" s="45" t="str">
        <f>IF(records[Type]="Room",records[roomNo],records[roomNo]&amp;"-"&amp;SUBSTITUTE(RIGHT(records[roomNo]&amp;records[Type],2),"-",""))</f>
        <v>16-3-088</v>
      </c>
      <c r="V755" s="47" t="str">
        <f t="array" ref="V755">_xlfn.XLOOKUP(records[ID], dAir[roomNo], dAir[roomName])</f>
        <v>STAGING 3</v>
      </c>
      <c r="W755" s="47" t="str">
        <f t="array" ref="W755">_xlfn.XLOOKUP(records[ID], dAir[roomNo], dAir[building])</f>
        <v>Building 16</v>
      </c>
      <c r="X755" s="47" t="str">
        <f t="array" ref="X755">_xlfn.XLOOKUP(records[ID], dAir[roomNo], dAir[floor])</f>
        <v>Floor 3</v>
      </c>
      <c r="Y755" s="45" t="str">
        <f t="array" ref="Y755">_xlfn.XLOOKUP(records[ID], dAir[roomNo], dAir[Class])</f>
        <v>D</v>
      </c>
      <c r="Z755" s="45">
        <f t="array" ref="Z755">_xlfn.XLOOKUP(records[Method]&amp;"-"&amp;records[Class], dAirSpec[ID], dAirSpec[Spec])</f>
        <v>100</v>
      </c>
      <c r="AA755" s="45" t="str">
        <f t="array" ref="AA755">_xlfn.XLOOKUP(records[Method]&amp;"-"&amp;records[Class], dAirSpec[ID], dAirSpec[Unit])</f>
        <v>cfu/plate</v>
      </c>
      <c r="AB755" s="58">
        <f t="array" ref="AB755">if(S755="","", if(records[Method]="Active Air",_xlfn.xlookup(records[ColonyCount]&amp;records[AirSampler],feller[code],feller[Vc]),records[ColonyCount]))</f>
        <v>18</v>
      </c>
      <c r="AC755" s="60" t="b">
        <f t="shared" si="1"/>
        <v>1</v>
      </c>
      <c r="AD755" s="61" t="b">
        <v>0</v>
      </c>
      <c r="AE755" s="32" t="s">
        <v>235</v>
      </c>
      <c r="AF755" s="46"/>
      <c r="AG755" s="46"/>
      <c r="AH755" s="46"/>
      <c r="AI755" s="46"/>
      <c r="AJ755" s="46"/>
    </row>
    <row r="756" ht="22.5" customHeight="1">
      <c r="A756" s="27">
        <v>46257.0</v>
      </c>
      <c r="B756" s="34" t="str">
        <f t="array" ref="B756">TEXT(A756, "MM-YYYY")</f>
        <v>08-2026</v>
      </c>
      <c r="C756" s="39" t="s">
        <v>1545</v>
      </c>
      <c r="D756" s="36" t="s">
        <v>210</v>
      </c>
      <c r="E756" s="36" t="s">
        <v>213</v>
      </c>
      <c r="F756" s="37" t="s">
        <v>126</v>
      </c>
      <c r="G756" s="263" t="b">
        <v>1</v>
      </c>
      <c r="H756" s="36" t="s">
        <v>214</v>
      </c>
      <c r="I756" s="36" t="s">
        <v>215</v>
      </c>
      <c r="J756" s="214"/>
      <c r="K756" s="215"/>
      <c r="L756" s="187" t="s">
        <v>194</v>
      </c>
      <c r="M756" s="187" t="s">
        <v>194</v>
      </c>
      <c r="N756" s="187" t="s">
        <v>194</v>
      </c>
      <c r="O756" s="187" t="s">
        <v>194</v>
      </c>
      <c r="P756" s="37" t="s">
        <v>692</v>
      </c>
      <c r="Q756" s="37" t="s">
        <v>693</v>
      </c>
      <c r="R756" s="41">
        <v>46306.0</v>
      </c>
      <c r="S756" s="42">
        <v>0.0</v>
      </c>
      <c r="T756" s="44"/>
      <c r="U756" s="45" t="str">
        <f>IF(records[Type]="Room",records[roomNo],records[roomNo]&amp;"-"&amp;SUBSTITUTE(RIGHT(records[roomNo]&amp;records[Type],2),"-",""))</f>
        <v>16-3-089</v>
      </c>
      <c r="V756" s="47" t="str">
        <f t="array" ref="V756">_xlfn.XLOOKUP(records[ID], dAir[roomNo], dAir[roomName])</f>
        <v>STAGING 2</v>
      </c>
      <c r="W756" s="47" t="str">
        <f t="array" ref="W756">_xlfn.XLOOKUP(records[ID], dAir[roomNo], dAir[building])</f>
        <v>Building 16</v>
      </c>
      <c r="X756" s="47" t="str">
        <f t="array" ref="X756">_xlfn.XLOOKUP(records[ID], dAir[roomNo], dAir[floor])</f>
        <v>Floor 3</v>
      </c>
      <c r="Y756" s="45" t="str">
        <f t="array" ref="Y756">_xlfn.XLOOKUP(records[ID], dAir[roomNo], dAir[Class])</f>
        <v>D</v>
      </c>
      <c r="Z756" s="45">
        <f t="array" ref="Z756">_xlfn.XLOOKUP(records[Method]&amp;"-"&amp;records[Class], dAirSpec[ID], dAirSpec[Spec])</f>
        <v>100</v>
      </c>
      <c r="AA756" s="45" t="str">
        <f t="array" ref="AA756">_xlfn.XLOOKUP(records[Method]&amp;"-"&amp;records[Class], dAirSpec[ID], dAirSpec[Unit])</f>
        <v>cfu/plate</v>
      </c>
      <c r="AB756" s="58">
        <f t="array" ref="AB756">if(S756="","", if(records[Method]="Active Air",_xlfn.xlookup(records[ColonyCount]&amp;records[AirSampler],feller[code],feller[Vc]),records[ColonyCount]))</f>
        <v>0</v>
      </c>
      <c r="AC756" s="60" t="b">
        <f t="shared" si="1"/>
        <v>1</v>
      </c>
      <c r="AD756" s="61" t="b">
        <v>0</v>
      </c>
      <c r="AE756" s="32" t="s">
        <v>235</v>
      </c>
      <c r="AF756" s="46"/>
      <c r="AG756" s="46"/>
      <c r="AH756" s="46"/>
      <c r="AI756" s="46"/>
      <c r="AJ756" s="46"/>
    </row>
    <row r="757" ht="22.5" customHeight="1">
      <c r="A757" s="27">
        <v>46257.0</v>
      </c>
      <c r="B757" s="34" t="str">
        <f t="array" ref="B757">TEXT(A757, "MM-YYYY")</f>
        <v>08-2026</v>
      </c>
      <c r="C757" s="39" t="s">
        <v>1004</v>
      </c>
      <c r="D757" s="36" t="s">
        <v>210</v>
      </c>
      <c r="E757" s="36" t="s">
        <v>213</v>
      </c>
      <c r="F757" s="37" t="s">
        <v>126</v>
      </c>
      <c r="G757" s="263" t="b">
        <v>1</v>
      </c>
      <c r="H757" s="36" t="s">
        <v>214</v>
      </c>
      <c r="I757" s="36" t="s">
        <v>215</v>
      </c>
      <c r="J757" s="214"/>
      <c r="K757" s="215"/>
      <c r="L757" s="187" t="s">
        <v>194</v>
      </c>
      <c r="M757" s="187" t="s">
        <v>194</v>
      </c>
      <c r="N757" s="187" t="s">
        <v>194</v>
      </c>
      <c r="O757" s="187" t="s">
        <v>194</v>
      </c>
      <c r="P757" s="37" t="s">
        <v>692</v>
      </c>
      <c r="Q757" s="37" t="s">
        <v>693</v>
      </c>
      <c r="R757" s="41">
        <v>46306.0</v>
      </c>
      <c r="S757" s="42">
        <v>0.0</v>
      </c>
      <c r="T757" s="44"/>
      <c r="U757" s="45" t="str">
        <f>IF(records[Type]="Room",records[roomNo],records[roomNo]&amp;"-"&amp;SUBSTITUTE(RIGHT(records[roomNo]&amp;records[Type],2),"-",""))</f>
        <v>16-3-090</v>
      </c>
      <c r="V757" s="47" t="str">
        <f t="array" ref="V757">_xlfn.XLOOKUP(records[ID], dAir[roomNo], dAir[roomName])</f>
        <v>CIP 1</v>
      </c>
      <c r="W757" s="47" t="str">
        <f t="array" ref="W757">_xlfn.XLOOKUP(records[ID], dAir[roomNo], dAir[building])</f>
        <v>Building 16</v>
      </c>
      <c r="X757" s="47" t="str">
        <f t="array" ref="X757">_xlfn.XLOOKUP(records[ID], dAir[roomNo], dAir[floor])</f>
        <v>Floor 3</v>
      </c>
      <c r="Y757" s="45" t="str">
        <f t="array" ref="Y757">_xlfn.XLOOKUP(records[ID], dAir[roomNo], dAir[Class])</f>
        <v>D</v>
      </c>
      <c r="Z757" s="45">
        <f t="array" ref="Z757">_xlfn.XLOOKUP(records[Method]&amp;"-"&amp;records[Class], dAirSpec[ID], dAirSpec[Spec])</f>
        <v>100</v>
      </c>
      <c r="AA757" s="45" t="str">
        <f t="array" ref="AA757">_xlfn.XLOOKUP(records[Method]&amp;"-"&amp;records[Class], dAirSpec[ID], dAirSpec[Unit])</f>
        <v>cfu/plate</v>
      </c>
      <c r="AB757" s="58">
        <f t="array" ref="AB757">if(S757="","", if(records[Method]="Active Air",_xlfn.xlookup(records[ColonyCount]&amp;records[AirSampler],feller[code],feller[Vc]),records[ColonyCount]))</f>
        <v>0</v>
      </c>
      <c r="AC757" s="60" t="b">
        <f t="shared" si="1"/>
        <v>1</v>
      </c>
      <c r="AD757" s="61" t="b">
        <v>0</v>
      </c>
      <c r="AE757" s="32" t="s">
        <v>235</v>
      </c>
      <c r="AF757" s="46"/>
      <c r="AG757" s="46"/>
      <c r="AH757" s="46"/>
      <c r="AI757" s="46"/>
      <c r="AJ757" s="46"/>
    </row>
    <row r="758" ht="22.5" customHeight="1">
      <c r="A758" s="27">
        <v>46257.0</v>
      </c>
      <c r="B758" s="34" t="str">
        <f t="array" ref="B758">TEXT(A758, "MM-YYYY")</f>
        <v>08-2026</v>
      </c>
      <c r="C758" s="39" t="s">
        <v>1007</v>
      </c>
      <c r="D758" s="36" t="s">
        <v>210</v>
      </c>
      <c r="E758" s="36" t="s">
        <v>213</v>
      </c>
      <c r="F758" s="37" t="s">
        <v>126</v>
      </c>
      <c r="G758" s="263" t="b">
        <v>1</v>
      </c>
      <c r="H758" s="36" t="s">
        <v>214</v>
      </c>
      <c r="I758" s="36" t="s">
        <v>215</v>
      </c>
      <c r="J758" s="214"/>
      <c r="K758" s="215"/>
      <c r="L758" s="187" t="s">
        <v>194</v>
      </c>
      <c r="M758" s="187" t="s">
        <v>194</v>
      </c>
      <c r="N758" s="187" t="s">
        <v>194</v>
      </c>
      <c r="O758" s="187" t="s">
        <v>194</v>
      </c>
      <c r="P758" s="37" t="s">
        <v>692</v>
      </c>
      <c r="Q758" s="37" t="s">
        <v>693</v>
      </c>
      <c r="R758" s="41">
        <v>46306.0</v>
      </c>
      <c r="S758" s="42">
        <v>1.0</v>
      </c>
      <c r="T758" s="44"/>
      <c r="U758" s="45" t="str">
        <f>IF(records[Type]="Room",records[roomNo],records[roomNo]&amp;"-"&amp;SUBSTITUTE(RIGHT(records[roomNo]&amp;records[Type],2),"-",""))</f>
        <v>16-3-091</v>
      </c>
      <c r="V758" s="47" t="str">
        <f t="array" ref="V758">_xlfn.XLOOKUP(records[ID], dAir[roomNo], dAir[roomName])</f>
        <v>STAGING 1</v>
      </c>
      <c r="W758" s="47" t="str">
        <f t="array" ref="W758">_xlfn.XLOOKUP(records[ID], dAir[roomNo], dAir[building])</f>
        <v>Building 16</v>
      </c>
      <c r="X758" s="47" t="str">
        <f t="array" ref="X758">_xlfn.XLOOKUP(records[ID], dAir[roomNo], dAir[floor])</f>
        <v>Floor 3</v>
      </c>
      <c r="Y758" s="45" t="str">
        <f t="array" ref="Y758">_xlfn.XLOOKUP(records[ID], dAir[roomNo], dAir[Class])</f>
        <v>D</v>
      </c>
      <c r="Z758" s="45">
        <f t="array" ref="Z758">_xlfn.XLOOKUP(records[Method]&amp;"-"&amp;records[Class], dAirSpec[ID], dAirSpec[Spec])</f>
        <v>100</v>
      </c>
      <c r="AA758" s="45" t="str">
        <f t="array" ref="AA758">_xlfn.XLOOKUP(records[Method]&amp;"-"&amp;records[Class], dAirSpec[ID], dAirSpec[Unit])</f>
        <v>cfu/plate</v>
      </c>
      <c r="AB758" s="58">
        <f t="array" ref="AB758">if(S758="","", if(records[Method]="Active Air",_xlfn.xlookup(records[ColonyCount]&amp;records[AirSampler],feller[code],feller[Vc]),records[ColonyCount]))</f>
        <v>1</v>
      </c>
      <c r="AC758" s="60" t="b">
        <f t="shared" si="1"/>
        <v>1</v>
      </c>
      <c r="AD758" s="61" t="b">
        <v>0</v>
      </c>
      <c r="AE758" s="32" t="s">
        <v>235</v>
      </c>
      <c r="AF758" s="46"/>
      <c r="AG758" s="46"/>
      <c r="AH758" s="46"/>
      <c r="AI758" s="46"/>
      <c r="AJ758" s="46"/>
    </row>
    <row r="759" ht="22.5" customHeight="1">
      <c r="A759" s="27">
        <v>46257.0</v>
      </c>
      <c r="B759" s="34" t="str">
        <f t="array" ref="B759">TEXT(A759, "MM-YYYY")</f>
        <v>08-2026</v>
      </c>
      <c r="C759" s="39" t="s">
        <v>1547</v>
      </c>
      <c r="D759" s="36" t="s">
        <v>210</v>
      </c>
      <c r="E759" s="36" t="s">
        <v>213</v>
      </c>
      <c r="F759" s="37" t="s">
        <v>126</v>
      </c>
      <c r="G759" s="263" t="b">
        <v>1</v>
      </c>
      <c r="H759" s="36" t="s">
        <v>214</v>
      </c>
      <c r="I759" s="36" t="s">
        <v>215</v>
      </c>
      <c r="J759" s="214"/>
      <c r="K759" s="215"/>
      <c r="L759" s="187" t="s">
        <v>194</v>
      </c>
      <c r="M759" s="187" t="s">
        <v>194</v>
      </c>
      <c r="N759" s="187" t="s">
        <v>194</v>
      </c>
      <c r="O759" s="187" t="s">
        <v>194</v>
      </c>
      <c r="P759" s="37" t="s">
        <v>692</v>
      </c>
      <c r="Q759" s="37" t="s">
        <v>693</v>
      </c>
      <c r="R759" s="41">
        <v>46306.0</v>
      </c>
      <c r="S759" s="42">
        <v>0.0</v>
      </c>
      <c r="T759" s="44"/>
      <c r="U759" s="45" t="str">
        <f>IF(records[Type]="Room",records[roomNo],records[roomNo]&amp;"-"&amp;SUBSTITUTE(RIGHT(records[roomNo]&amp;records[Type],2),"-",""))</f>
        <v>16-3-092</v>
      </c>
      <c r="V759" s="47" t="str">
        <f t="array" ref="V759">_xlfn.XLOOKUP(records[ID], dAir[roomNo], dAir[roomName])</f>
        <v>AIRLOCK</v>
      </c>
      <c r="W759" s="47" t="str">
        <f t="array" ref="W759">_xlfn.XLOOKUP(records[ID], dAir[roomNo], dAir[building])</f>
        <v>Building 16</v>
      </c>
      <c r="X759" s="47" t="str">
        <f t="array" ref="X759">_xlfn.XLOOKUP(records[ID], dAir[roomNo], dAir[floor])</f>
        <v>Floor 3</v>
      </c>
      <c r="Y759" s="45" t="str">
        <f t="array" ref="Y759">_xlfn.XLOOKUP(records[ID], dAir[roomNo], dAir[Class])</f>
        <v>D</v>
      </c>
      <c r="Z759" s="45">
        <f t="array" ref="Z759">_xlfn.XLOOKUP(records[Method]&amp;"-"&amp;records[Class], dAirSpec[ID], dAirSpec[Spec])</f>
        <v>100</v>
      </c>
      <c r="AA759" s="45" t="str">
        <f t="array" ref="AA759">_xlfn.XLOOKUP(records[Method]&amp;"-"&amp;records[Class], dAirSpec[ID], dAirSpec[Unit])</f>
        <v>cfu/plate</v>
      </c>
      <c r="AB759" s="58">
        <f t="array" ref="AB759">if(S759="","", if(records[Method]="Active Air",_xlfn.xlookup(records[ColonyCount]&amp;records[AirSampler],feller[code],feller[Vc]),records[ColonyCount]))</f>
        <v>0</v>
      </c>
      <c r="AC759" s="60" t="b">
        <f t="shared" si="1"/>
        <v>1</v>
      </c>
      <c r="AD759" s="61" t="b">
        <v>0</v>
      </c>
      <c r="AE759" s="32" t="s">
        <v>235</v>
      </c>
      <c r="AF759" s="46"/>
      <c r="AG759" s="46"/>
      <c r="AH759" s="46"/>
      <c r="AI759" s="46"/>
      <c r="AJ759" s="46"/>
    </row>
    <row r="760" ht="22.5" customHeight="1">
      <c r="A760" s="27">
        <v>46257.0</v>
      </c>
      <c r="B760" s="34" t="str">
        <f t="array" ref="B760">TEXT(A760, "MM-YYYY")</f>
        <v>08-2026</v>
      </c>
      <c r="C760" s="39" t="s">
        <v>1009</v>
      </c>
      <c r="D760" s="36" t="s">
        <v>210</v>
      </c>
      <c r="E760" s="36" t="s">
        <v>213</v>
      </c>
      <c r="F760" s="37" t="s">
        <v>126</v>
      </c>
      <c r="G760" s="263" t="b">
        <v>1</v>
      </c>
      <c r="H760" s="36" t="s">
        <v>214</v>
      </c>
      <c r="I760" s="36" t="s">
        <v>215</v>
      </c>
      <c r="J760" s="214"/>
      <c r="K760" s="215"/>
      <c r="L760" s="187" t="s">
        <v>194</v>
      </c>
      <c r="M760" s="187" t="s">
        <v>194</v>
      </c>
      <c r="N760" s="187" t="s">
        <v>194</v>
      </c>
      <c r="O760" s="187" t="s">
        <v>194</v>
      </c>
      <c r="P760" s="37" t="s">
        <v>692</v>
      </c>
      <c r="Q760" s="37" t="s">
        <v>693</v>
      </c>
      <c r="R760" s="41">
        <v>46306.0</v>
      </c>
      <c r="S760" s="42">
        <v>0.0</v>
      </c>
      <c r="T760" s="44"/>
      <c r="U760" s="45" t="str">
        <f>IF(records[Type]="Room",records[roomNo],records[roomNo]&amp;"-"&amp;SUBSTITUTE(RIGHT(records[roomNo]&amp;records[Type],2),"-",""))</f>
        <v>16-3-093</v>
      </c>
      <c r="V760" s="47" t="str">
        <f t="array" ref="V760">_xlfn.XLOOKUP(records[ID], dAir[roomNo], dAir[roomName])</f>
        <v>PPM CLEANING</v>
      </c>
      <c r="W760" s="47" t="str">
        <f t="array" ref="W760">_xlfn.XLOOKUP(records[ID], dAir[roomNo], dAir[building])</f>
        <v>Building 16</v>
      </c>
      <c r="X760" s="47" t="str">
        <f t="array" ref="X760">_xlfn.XLOOKUP(records[ID], dAir[roomNo], dAir[floor])</f>
        <v>Floor 3</v>
      </c>
      <c r="Y760" s="45" t="str">
        <f t="array" ref="Y760">_xlfn.XLOOKUP(records[ID], dAir[roomNo], dAir[Class])</f>
        <v>D</v>
      </c>
      <c r="Z760" s="45">
        <f t="array" ref="Z760">_xlfn.XLOOKUP(records[Method]&amp;"-"&amp;records[Class], dAirSpec[ID], dAirSpec[Spec])</f>
        <v>100</v>
      </c>
      <c r="AA760" s="45" t="str">
        <f t="array" ref="AA760">_xlfn.XLOOKUP(records[Method]&amp;"-"&amp;records[Class], dAirSpec[ID], dAirSpec[Unit])</f>
        <v>cfu/plate</v>
      </c>
      <c r="AB760" s="58">
        <f t="array" ref="AB760">if(S760="","", if(records[Method]="Active Air",_xlfn.xlookup(records[ColonyCount]&amp;records[AirSampler],feller[code],feller[Vc]),records[ColonyCount]))</f>
        <v>0</v>
      </c>
      <c r="AC760" s="60" t="b">
        <f t="shared" si="1"/>
        <v>1</v>
      </c>
      <c r="AD760" s="61" t="b">
        <v>0</v>
      </c>
      <c r="AE760" s="32" t="s">
        <v>235</v>
      </c>
      <c r="AF760" s="46"/>
      <c r="AG760" s="46"/>
      <c r="AH760" s="46"/>
      <c r="AI760" s="46"/>
      <c r="AJ760" s="46"/>
    </row>
    <row r="761" ht="22.5" customHeight="1">
      <c r="A761" s="27">
        <v>46257.0</v>
      </c>
      <c r="B761" s="34" t="str">
        <f t="array" ref="B761">TEXT(A761, "MM-YYYY")</f>
        <v>08-2026</v>
      </c>
      <c r="C761" s="39" t="s">
        <v>1548</v>
      </c>
      <c r="D761" s="36" t="s">
        <v>210</v>
      </c>
      <c r="E761" s="36" t="s">
        <v>213</v>
      </c>
      <c r="F761" s="37" t="s">
        <v>126</v>
      </c>
      <c r="G761" s="263" t="b">
        <v>1</v>
      </c>
      <c r="H761" s="36" t="s">
        <v>214</v>
      </c>
      <c r="I761" s="36" t="s">
        <v>215</v>
      </c>
      <c r="J761" s="214"/>
      <c r="K761" s="215"/>
      <c r="L761" s="187" t="s">
        <v>194</v>
      </c>
      <c r="M761" s="187" t="s">
        <v>194</v>
      </c>
      <c r="N761" s="187" t="s">
        <v>194</v>
      </c>
      <c r="O761" s="187" t="s">
        <v>194</v>
      </c>
      <c r="P761" s="37" t="s">
        <v>692</v>
      </c>
      <c r="Q761" s="37" t="s">
        <v>693</v>
      </c>
      <c r="R761" s="41">
        <v>46306.0</v>
      </c>
      <c r="S761" s="42">
        <v>0.0</v>
      </c>
      <c r="T761" s="44"/>
      <c r="U761" s="45" t="str">
        <f>IF(records[Type]="Room",records[roomNo],records[roomNo]&amp;"-"&amp;SUBSTITUTE(RIGHT(records[roomNo]&amp;records[Type],2),"-",""))</f>
        <v>16-3-094</v>
      </c>
      <c r="V761" s="47" t="str">
        <f t="array" ref="V761">_xlfn.XLOOKUP(records[ID], dAir[roomNo], dAir[roomName])</f>
        <v>PPM STORAGE</v>
      </c>
      <c r="W761" s="47" t="str">
        <f t="array" ref="W761">_xlfn.XLOOKUP(records[ID], dAir[roomNo], dAir[building])</f>
        <v>Building 16</v>
      </c>
      <c r="X761" s="47" t="str">
        <f t="array" ref="X761">_xlfn.XLOOKUP(records[ID], dAir[roomNo], dAir[floor])</f>
        <v>Floor 3</v>
      </c>
      <c r="Y761" s="45" t="str">
        <f t="array" ref="Y761">_xlfn.XLOOKUP(records[ID], dAir[roomNo], dAir[Class])</f>
        <v>D</v>
      </c>
      <c r="Z761" s="45">
        <f t="array" ref="Z761">_xlfn.XLOOKUP(records[Method]&amp;"-"&amp;records[Class], dAirSpec[ID], dAirSpec[Spec])</f>
        <v>100</v>
      </c>
      <c r="AA761" s="45" t="str">
        <f t="array" ref="AA761">_xlfn.XLOOKUP(records[Method]&amp;"-"&amp;records[Class], dAirSpec[ID], dAirSpec[Unit])</f>
        <v>cfu/plate</v>
      </c>
      <c r="AB761" s="58">
        <f t="array" ref="AB761">if(S761="","", if(records[Method]="Active Air",_xlfn.xlookup(records[ColonyCount]&amp;records[AirSampler],feller[code],feller[Vc]),records[ColonyCount]))</f>
        <v>0</v>
      </c>
      <c r="AC761" s="60" t="b">
        <f t="shared" si="1"/>
        <v>1</v>
      </c>
      <c r="AD761" s="61" t="b">
        <v>0</v>
      </c>
      <c r="AE761" s="32" t="s">
        <v>235</v>
      </c>
      <c r="AF761" s="46"/>
      <c r="AG761" s="46"/>
      <c r="AH761" s="46"/>
      <c r="AI761" s="46"/>
      <c r="AJ761" s="46"/>
    </row>
    <row r="762" ht="22.5" customHeight="1">
      <c r="A762" s="27">
        <v>46257.0</v>
      </c>
      <c r="B762" s="34" t="str">
        <f t="array" ref="B762">TEXT(A762, "MM-YYYY")</f>
        <v>08-2026</v>
      </c>
      <c r="C762" s="39" t="s">
        <v>1550</v>
      </c>
      <c r="D762" s="36" t="s">
        <v>210</v>
      </c>
      <c r="E762" s="36" t="s">
        <v>213</v>
      </c>
      <c r="F762" s="37" t="s">
        <v>126</v>
      </c>
      <c r="G762" s="263" t="b">
        <v>1</v>
      </c>
      <c r="H762" s="36" t="s">
        <v>214</v>
      </c>
      <c r="I762" s="36" t="s">
        <v>215</v>
      </c>
      <c r="J762" s="214"/>
      <c r="K762" s="215"/>
      <c r="L762" s="187" t="s">
        <v>194</v>
      </c>
      <c r="M762" s="187" t="s">
        <v>194</v>
      </c>
      <c r="N762" s="187" t="s">
        <v>194</v>
      </c>
      <c r="O762" s="187" t="s">
        <v>194</v>
      </c>
      <c r="P762" s="37" t="s">
        <v>692</v>
      </c>
      <c r="Q762" s="37" t="s">
        <v>693</v>
      </c>
      <c r="R762" s="41">
        <v>46306.0</v>
      </c>
      <c r="S762" s="42">
        <v>1.0</v>
      </c>
      <c r="T762" s="44"/>
      <c r="U762" s="45" t="str">
        <f>IF(records[Type]="Room",records[roomNo],records[roomNo]&amp;"-"&amp;SUBSTITUTE(RIGHT(records[roomNo]&amp;records[Type],2),"-",""))</f>
        <v>16-3-095</v>
      </c>
      <c r="V762" s="47" t="str">
        <f t="array" ref="V762">_xlfn.XLOOKUP(records[ID], dAir[roomNo], dAir[roomName])</f>
        <v>AIRLOCK</v>
      </c>
      <c r="W762" s="47" t="str">
        <f t="array" ref="W762">_xlfn.XLOOKUP(records[ID], dAir[roomNo], dAir[building])</f>
        <v>Building 16</v>
      </c>
      <c r="X762" s="47" t="str">
        <f t="array" ref="X762">_xlfn.XLOOKUP(records[ID], dAir[roomNo], dAir[floor])</f>
        <v>Floor 3</v>
      </c>
      <c r="Y762" s="45" t="str">
        <f t="array" ref="Y762">_xlfn.XLOOKUP(records[ID], dAir[roomNo], dAir[Class])</f>
        <v>D</v>
      </c>
      <c r="Z762" s="45">
        <f t="array" ref="Z762">_xlfn.XLOOKUP(records[Method]&amp;"-"&amp;records[Class], dAirSpec[ID], dAirSpec[Spec])</f>
        <v>100</v>
      </c>
      <c r="AA762" s="45" t="str">
        <f t="array" ref="AA762">_xlfn.XLOOKUP(records[Method]&amp;"-"&amp;records[Class], dAirSpec[ID], dAirSpec[Unit])</f>
        <v>cfu/plate</v>
      </c>
      <c r="AB762" s="58">
        <f t="array" ref="AB762">if(S762="","", if(records[Method]="Active Air",_xlfn.xlookup(records[ColonyCount]&amp;records[AirSampler],feller[code],feller[Vc]),records[ColonyCount]))</f>
        <v>1</v>
      </c>
      <c r="AC762" s="60" t="b">
        <f t="shared" si="1"/>
        <v>1</v>
      </c>
      <c r="AD762" s="61" t="b">
        <v>0</v>
      </c>
      <c r="AE762" s="32" t="s">
        <v>235</v>
      </c>
      <c r="AF762" s="46"/>
      <c r="AG762" s="46"/>
      <c r="AH762" s="46"/>
      <c r="AI762" s="46"/>
      <c r="AJ762" s="46"/>
    </row>
    <row r="763" ht="22.5" customHeight="1">
      <c r="A763" s="27">
        <v>46257.0</v>
      </c>
      <c r="B763" s="34" t="str">
        <f t="array" ref="B763">TEXT(A763, "MM-YYYY")</f>
        <v>08-2026</v>
      </c>
      <c r="C763" s="39" t="s">
        <v>1014</v>
      </c>
      <c r="D763" s="36" t="s">
        <v>210</v>
      </c>
      <c r="E763" s="36" t="s">
        <v>213</v>
      </c>
      <c r="F763" s="37" t="s">
        <v>126</v>
      </c>
      <c r="G763" s="263" t="b">
        <v>1</v>
      </c>
      <c r="H763" s="36" t="s">
        <v>214</v>
      </c>
      <c r="I763" s="36" t="s">
        <v>215</v>
      </c>
      <c r="J763" s="214"/>
      <c r="K763" s="215"/>
      <c r="L763" s="187" t="s">
        <v>194</v>
      </c>
      <c r="M763" s="187" t="s">
        <v>194</v>
      </c>
      <c r="N763" s="187" t="s">
        <v>194</v>
      </c>
      <c r="O763" s="187" t="s">
        <v>194</v>
      </c>
      <c r="P763" s="37" t="s">
        <v>692</v>
      </c>
      <c r="Q763" s="37" t="s">
        <v>693</v>
      </c>
      <c r="R763" s="41">
        <v>46306.0</v>
      </c>
      <c r="S763" s="42">
        <v>0.0</v>
      </c>
      <c r="T763" s="44"/>
      <c r="U763" s="45" t="str">
        <f>IF(records[Type]="Room",records[roomNo],records[roomNo]&amp;"-"&amp;SUBSTITUTE(RIGHT(records[roomNo]&amp;records[Type],2),"-",""))</f>
        <v>16-3-096</v>
      </c>
      <c r="V763" s="47" t="str">
        <f t="array" ref="V763">_xlfn.XLOOKUP(records[ID], dAir[roomNo], dAir[roomName])</f>
        <v>FILLING 1</v>
      </c>
      <c r="W763" s="47" t="str">
        <f t="array" ref="W763">_xlfn.XLOOKUP(records[ID], dAir[roomNo], dAir[building])</f>
        <v>Building 16</v>
      </c>
      <c r="X763" s="47" t="str">
        <f t="array" ref="X763">_xlfn.XLOOKUP(records[ID], dAir[roomNo], dAir[floor])</f>
        <v>Floor 3</v>
      </c>
      <c r="Y763" s="45" t="str">
        <f t="array" ref="Y763">_xlfn.XLOOKUP(records[ID], dAir[roomNo], dAir[Class])</f>
        <v>D</v>
      </c>
      <c r="Z763" s="45">
        <f t="array" ref="Z763">_xlfn.XLOOKUP(records[Method]&amp;"-"&amp;records[Class], dAirSpec[ID], dAirSpec[Spec])</f>
        <v>100</v>
      </c>
      <c r="AA763" s="45" t="str">
        <f t="array" ref="AA763">_xlfn.XLOOKUP(records[Method]&amp;"-"&amp;records[Class], dAirSpec[ID], dAirSpec[Unit])</f>
        <v>cfu/plate</v>
      </c>
      <c r="AB763" s="58">
        <f t="array" ref="AB763">if(S763="","", if(records[Method]="Active Air",_xlfn.xlookup(records[ColonyCount]&amp;records[AirSampler],feller[code],feller[Vc]),records[ColonyCount]))</f>
        <v>0</v>
      </c>
      <c r="AC763" s="60" t="b">
        <f t="shared" si="1"/>
        <v>1</v>
      </c>
      <c r="AD763" s="61" t="b">
        <v>0</v>
      </c>
      <c r="AE763" s="32" t="s">
        <v>235</v>
      </c>
      <c r="AF763" s="46"/>
      <c r="AG763" s="46"/>
      <c r="AH763" s="46"/>
      <c r="AI763" s="46"/>
      <c r="AJ763" s="46"/>
    </row>
    <row r="764" ht="22.5" customHeight="1">
      <c r="A764" s="27">
        <v>46257.0</v>
      </c>
      <c r="B764" s="34" t="str">
        <f t="array" ref="B764">TEXT(A764, "MM-YYYY")</f>
        <v>08-2026</v>
      </c>
      <c r="C764" s="39" t="s">
        <v>1551</v>
      </c>
      <c r="D764" s="36" t="s">
        <v>210</v>
      </c>
      <c r="E764" s="36" t="s">
        <v>213</v>
      </c>
      <c r="F764" s="37" t="s">
        <v>126</v>
      </c>
      <c r="G764" s="263" t="b">
        <v>1</v>
      </c>
      <c r="H764" s="36" t="s">
        <v>214</v>
      </c>
      <c r="I764" s="36" t="s">
        <v>215</v>
      </c>
      <c r="J764" s="214"/>
      <c r="K764" s="215"/>
      <c r="L764" s="187" t="s">
        <v>194</v>
      </c>
      <c r="M764" s="187" t="s">
        <v>194</v>
      </c>
      <c r="N764" s="187" t="s">
        <v>194</v>
      </c>
      <c r="O764" s="187" t="s">
        <v>194</v>
      </c>
      <c r="P764" s="37" t="s">
        <v>692</v>
      </c>
      <c r="Q764" s="37" t="s">
        <v>693</v>
      </c>
      <c r="R764" s="41">
        <v>46306.0</v>
      </c>
      <c r="S764" s="42">
        <v>3.0</v>
      </c>
      <c r="T764" s="44"/>
      <c r="U764" s="45" t="str">
        <f>IF(records[Type]="Room",records[roomNo],records[roomNo]&amp;"-"&amp;SUBSTITUTE(RIGHT(records[roomNo]&amp;records[Type],2),"-",""))</f>
        <v>16-3-097</v>
      </c>
      <c r="V764" s="47" t="str">
        <f t="array" ref="V764">_xlfn.XLOOKUP(records[ID], dAir[roomNo], dAir[roomName])</f>
        <v>JANITOR</v>
      </c>
      <c r="W764" s="47" t="str">
        <f t="array" ref="W764">_xlfn.XLOOKUP(records[ID], dAir[roomNo], dAir[building])</f>
        <v>Building 16</v>
      </c>
      <c r="X764" s="47" t="str">
        <f t="array" ref="X764">_xlfn.XLOOKUP(records[ID], dAir[roomNo], dAir[floor])</f>
        <v>Floor 3</v>
      </c>
      <c r="Y764" s="45" t="str">
        <f t="array" ref="Y764">_xlfn.XLOOKUP(records[ID], dAir[roomNo], dAir[Class])</f>
        <v>D</v>
      </c>
      <c r="Z764" s="45">
        <f t="array" ref="Z764">_xlfn.XLOOKUP(records[Method]&amp;"-"&amp;records[Class], dAirSpec[ID], dAirSpec[Spec])</f>
        <v>100</v>
      </c>
      <c r="AA764" s="45" t="str">
        <f t="array" ref="AA764">_xlfn.XLOOKUP(records[Method]&amp;"-"&amp;records[Class], dAirSpec[ID], dAirSpec[Unit])</f>
        <v>cfu/plate</v>
      </c>
      <c r="AB764" s="58">
        <f t="array" ref="AB764">if(S764="","", if(records[Method]="Active Air",_xlfn.xlookup(records[ColonyCount]&amp;records[AirSampler],feller[code],feller[Vc]),records[ColonyCount]))</f>
        <v>3</v>
      </c>
      <c r="AC764" s="60" t="b">
        <f t="shared" si="1"/>
        <v>1</v>
      </c>
      <c r="AD764" s="61" t="b">
        <v>0</v>
      </c>
      <c r="AE764" s="32" t="s">
        <v>235</v>
      </c>
      <c r="AF764" s="46"/>
      <c r="AG764" s="46"/>
      <c r="AH764" s="46"/>
      <c r="AI764" s="46"/>
      <c r="AJ764" s="46"/>
    </row>
    <row r="765" ht="22.5" customHeight="1">
      <c r="A765" s="27">
        <v>46257.0</v>
      </c>
      <c r="B765" s="34" t="str">
        <f t="array" ref="B765">TEXT(A765, "MM-YYYY")</f>
        <v>08-2026</v>
      </c>
      <c r="C765" s="39" t="s">
        <v>1552</v>
      </c>
      <c r="D765" s="36" t="s">
        <v>210</v>
      </c>
      <c r="E765" s="36" t="s">
        <v>213</v>
      </c>
      <c r="F765" s="37" t="s">
        <v>126</v>
      </c>
      <c r="G765" s="263" t="b">
        <v>1</v>
      </c>
      <c r="H765" s="36" t="s">
        <v>214</v>
      </c>
      <c r="I765" s="36" t="s">
        <v>215</v>
      </c>
      <c r="J765" s="214"/>
      <c r="K765" s="215"/>
      <c r="L765" s="187" t="s">
        <v>194</v>
      </c>
      <c r="M765" s="187" t="s">
        <v>194</v>
      </c>
      <c r="N765" s="187" t="s">
        <v>194</v>
      </c>
      <c r="O765" s="187" t="s">
        <v>194</v>
      </c>
      <c r="P765" s="37" t="s">
        <v>692</v>
      </c>
      <c r="Q765" s="37" t="s">
        <v>693</v>
      </c>
      <c r="R765" s="41">
        <v>46306.0</v>
      </c>
      <c r="S765" s="42">
        <v>0.0</v>
      </c>
      <c r="T765" s="44"/>
      <c r="U765" s="45" t="str">
        <f>IF(records[Type]="Room",records[roomNo],records[roomNo]&amp;"-"&amp;SUBSTITUTE(RIGHT(records[roomNo]&amp;records[Type],2),"-",""))</f>
        <v>16-3-098</v>
      </c>
      <c r="V765" s="47" t="str">
        <f t="array" ref="V765">_xlfn.XLOOKUP(records[ID], dAir[roomNo], dAir[roomName])</f>
        <v>AIRLOCK</v>
      </c>
      <c r="W765" s="47" t="str">
        <f t="array" ref="W765">_xlfn.XLOOKUP(records[ID], dAir[roomNo], dAir[building])</f>
        <v>Building 16</v>
      </c>
      <c r="X765" s="47" t="str">
        <f t="array" ref="X765">_xlfn.XLOOKUP(records[ID], dAir[roomNo], dAir[floor])</f>
        <v>Floor 3</v>
      </c>
      <c r="Y765" s="45" t="str">
        <f t="array" ref="Y765">_xlfn.XLOOKUP(records[ID], dAir[roomNo], dAir[Class])</f>
        <v>D</v>
      </c>
      <c r="Z765" s="45">
        <f t="array" ref="Z765">_xlfn.XLOOKUP(records[Method]&amp;"-"&amp;records[Class], dAirSpec[ID], dAirSpec[Spec])</f>
        <v>100</v>
      </c>
      <c r="AA765" s="45" t="str">
        <f t="array" ref="AA765">_xlfn.XLOOKUP(records[Method]&amp;"-"&amp;records[Class], dAirSpec[ID], dAirSpec[Unit])</f>
        <v>cfu/plate</v>
      </c>
      <c r="AB765" s="58">
        <f t="array" ref="AB765">if(S765="","", if(records[Method]="Active Air",_xlfn.xlookup(records[ColonyCount]&amp;records[AirSampler],feller[code],feller[Vc]),records[ColonyCount]))</f>
        <v>0</v>
      </c>
      <c r="AC765" s="60" t="b">
        <f t="shared" si="1"/>
        <v>1</v>
      </c>
      <c r="AD765" s="61" t="b">
        <v>0</v>
      </c>
      <c r="AE765" s="32" t="s">
        <v>235</v>
      </c>
      <c r="AF765" s="46"/>
      <c r="AG765" s="46"/>
      <c r="AH765" s="46"/>
      <c r="AI765" s="46"/>
      <c r="AJ765" s="46"/>
    </row>
    <row r="766" ht="22.5" customHeight="1">
      <c r="A766" s="27">
        <v>46257.0</v>
      </c>
      <c r="B766" s="34" t="str">
        <f t="array" ref="B766">TEXT(A766, "MM-YYYY")</f>
        <v>08-2026</v>
      </c>
      <c r="C766" s="39" t="s">
        <v>1553</v>
      </c>
      <c r="D766" s="36" t="s">
        <v>210</v>
      </c>
      <c r="E766" s="36" t="s">
        <v>213</v>
      </c>
      <c r="F766" s="37" t="s">
        <v>126</v>
      </c>
      <c r="G766" s="263" t="b">
        <v>1</v>
      </c>
      <c r="H766" s="36" t="s">
        <v>214</v>
      </c>
      <c r="I766" s="36" t="s">
        <v>215</v>
      </c>
      <c r="J766" s="214"/>
      <c r="K766" s="215"/>
      <c r="L766" s="187" t="s">
        <v>194</v>
      </c>
      <c r="M766" s="187" t="s">
        <v>194</v>
      </c>
      <c r="N766" s="187" t="s">
        <v>194</v>
      </c>
      <c r="O766" s="187" t="s">
        <v>194</v>
      </c>
      <c r="P766" s="37" t="s">
        <v>692</v>
      </c>
      <c r="Q766" s="37" t="s">
        <v>693</v>
      </c>
      <c r="R766" s="41">
        <v>46306.0</v>
      </c>
      <c r="S766" s="42">
        <v>0.0</v>
      </c>
      <c r="T766" s="44"/>
      <c r="U766" s="45" t="str">
        <f>IF(records[Type]="Room",records[roomNo],records[roomNo]&amp;"-"&amp;SUBSTITUTE(RIGHT(records[roomNo]&amp;records[Type],2),"-",""))</f>
        <v>16-3-099</v>
      </c>
      <c r="V766" s="47" t="str">
        <f t="array" ref="V766">_xlfn.XLOOKUP(records[ID], dAir[roomNo], dAir[roomName])</f>
        <v>FILLING 2</v>
      </c>
      <c r="W766" s="47" t="str">
        <f t="array" ref="W766">_xlfn.XLOOKUP(records[ID], dAir[roomNo], dAir[building])</f>
        <v>Building 16</v>
      </c>
      <c r="X766" s="47" t="str">
        <f t="array" ref="X766">_xlfn.XLOOKUP(records[ID], dAir[roomNo], dAir[floor])</f>
        <v>Floor 3</v>
      </c>
      <c r="Y766" s="45" t="str">
        <f t="array" ref="Y766">_xlfn.XLOOKUP(records[ID], dAir[roomNo], dAir[Class])</f>
        <v>D</v>
      </c>
      <c r="Z766" s="45">
        <f t="array" ref="Z766">_xlfn.XLOOKUP(records[Method]&amp;"-"&amp;records[Class], dAirSpec[ID], dAirSpec[Spec])</f>
        <v>100</v>
      </c>
      <c r="AA766" s="45" t="str">
        <f t="array" ref="AA766">_xlfn.XLOOKUP(records[Method]&amp;"-"&amp;records[Class], dAirSpec[ID], dAirSpec[Unit])</f>
        <v>cfu/plate</v>
      </c>
      <c r="AB766" s="58">
        <f t="array" ref="AB766">if(S766="","", if(records[Method]="Active Air",_xlfn.xlookup(records[ColonyCount]&amp;records[AirSampler],feller[code],feller[Vc]),records[ColonyCount]))</f>
        <v>0</v>
      </c>
      <c r="AC766" s="60" t="b">
        <f t="shared" si="1"/>
        <v>1</v>
      </c>
      <c r="AD766" s="61" t="b">
        <v>0</v>
      </c>
      <c r="AE766" s="32" t="s">
        <v>235</v>
      </c>
      <c r="AF766" s="46"/>
      <c r="AG766" s="46"/>
      <c r="AH766" s="46"/>
      <c r="AI766" s="46"/>
      <c r="AJ766" s="46"/>
    </row>
    <row r="767" ht="22.5" customHeight="1">
      <c r="A767" s="27">
        <v>46257.0</v>
      </c>
      <c r="B767" s="34" t="str">
        <f t="array" ref="B767">TEXT(A767, "MM-YYYY")</f>
        <v>08-2026</v>
      </c>
      <c r="C767" s="39" t="s">
        <v>1554</v>
      </c>
      <c r="D767" s="36" t="s">
        <v>210</v>
      </c>
      <c r="E767" s="36" t="s">
        <v>213</v>
      </c>
      <c r="F767" s="37" t="s">
        <v>126</v>
      </c>
      <c r="G767" s="263" t="b">
        <v>1</v>
      </c>
      <c r="H767" s="36" t="s">
        <v>214</v>
      </c>
      <c r="I767" s="36" t="s">
        <v>215</v>
      </c>
      <c r="J767" s="214"/>
      <c r="K767" s="215"/>
      <c r="L767" s="187" t="s">
        <v>194</v>
      </c>
      <c r="M767" s="187" t="s">
        <v>194</v>
      </c>
      <c r="N767" s="187" t="s">
        <v>194</v>
      </c>
      <c r="O767" s="187" t="s">
        <v>194</v>
      </c>
      <c r="P767" s="37" t="s">
        <v>692</v>
      </c>
      <c r="Q767" s="37" t="s">
        <v>693</v>
      </c>
      <c r="R767" s="41">
        <v>46306.0</v>
      </c>
      <c r="S767" s="42">
        <v>0.0</v>
      </c>
      <c r="T767" s="44"/>
      <c r="U767" s="45" t="str">
        <f>IF(records[Type]="Room",records[roomNo],records[roomNo]&amp;"-"&amp;SUBSTITUTE(RIGHT(records[roomNo]&amp;records[Type],2),"-",""))</f>
        <v>16-3-100</v>
      </c>
      <c r="V767" s="47" t="str">
        <f t="array" ref="V767">_xlfn.XLOOKUP(records[ID], dAir[roomNo], dAir[roomName])</f>
        <v>AIRLOCK</v>
      </c>
      <c r="W767" s="47" t="str">
        <f t="array" ref="W767">_xlfn.XLOOKUP(records[ID], dAir[roomNo], dAir[building])</f>
        <v>Building 16</v>
      </c>
      <c r="X767" s="47" t="str">
        <f t="array" ref="X767">_xlfn.XLOOKUP(records[ID], dAir[roomNo], dAir[floor])</f>
        <v>Floor 3</v>
      </c>
      <c r="Y767" s="45" t="str">
        <f t="array" ref="Y767">_xlfn.XLOOKUP(records[ID], dAir[roomNo], dAir[Class])</f>
        <v>D</v>
      </c>
      <c r="Z767" s="45">
        <f t="array" ref="Z767">_xlfn.XLOOKUP(records[Method]&amp;"-"&amp;records[Class], dAirSpec[ID], dAirSpec[Spec])</f>
        <v>100</v>
      </c>
      <c r="AA767" s="45" t="str">
        <f t="array" ref="AA767">_xlfn.XLOOKUP(records[Method]&amp;"-"&amp;records[Class], dAirSpec[ID], dAirSpec[Unit])</f>
        <v>cfu/plate</v>
      </c>
      <c r="AB767" s="58">
        <f t="array" ref="AB767">if(S767="","", if(records[Method]="Active Air",_xlfn.xlookup(records[ColonyCount]&amp;records[AirSampler],feller[code],feller[Vc]),records[ColonyCount]))</f>
        <v>0</v>
      </c>
      <c r="AC767" s="60" t="b">
        <f t="shared" si="1"/>
        <v>1</v>
      </c>
      <c r="AD767" s="61" t="b">
        <v>0</v>
      </c>
      <c r="AE767" s="32" t="s">
        <v>235</v>
      </c>
      <c r="AF767" s="46"/>
      <c r="AG767" s="46"/>
      <c r="AH767" s="46"/>
      <c r="AI767" s="46"/>
      <c r="AJ767" s="46"/>
    </row>
    <row r="768" ht="22.5" customHeight="1">
      <c r="A768" s="27">
        <v>46257.0</v>
      </c>
      <c r="B768" s="34" t="str">
        <f t="array" ref="B768">TEXT(A768, "MM-YYYY")</f>
        <v>08-2026</v>
      </c>
      <c r="C768" s="39" t="s">
        <v>1555</v>
      </c>
      <c r="D768" s="36" t="s">
        <v>210</v>
      </c>
      <c r="E768" s="36" t="s">
        <v>213</v>
      </c>
      <c r="F768" s="37" t="s">
        <v>126</v>
      </c>
      <c r="G768" s="263" t="b">
        <v>1</v>
      </c>
      <c r="H768" s="36" t="s">
        <v>214</v>
      </c>
      <c r="I768" s="36" t="s">
        <v>215</v>
      </c>
      <c r="J768" s="214"/>
      <c r="K768" s="215"/>
      <c r="L768" s="187" t="s">
        <v>194</v>
      </c>
      <c r="M768" s="187" t="s">
        <v>194</v>
      </c>
      <c r="N768" s="187" t="s">
        <v>194</v>
      </c>
      <c r="O768" s="187" t="s">
        <v>194</v>
      </c>
      <c r="P768" s="37" t="s">
        <v>692</v>
      </c>
      <c r="Q768" s="37" t="s">
        <v>693</v>
      </c>
      <c r="R768" s="41">
        <v>46306.0</v>
      </c>
      <c r="S768" s="42">
        <v>0.0</v>
      </c>
      <c r="T768" s="44"/>
      <c r="U768" s="45" t="str">
        <f>IF(records[Type]="Room",records[roomNo],records[roomNo]&amp;"-"&amp;SUBSTITUTE(RIGHT(records[roomNo]&amp;records[Type],2),"-",""))</f>
        <v>16-3-101</v>
      </c>
      <c r="V768" s="47" t="str">
        <f t="array" ref="V768">_xlfn.XLOOKUP(records[ID], dAir[roomNo], dAir[roomName])</f>
        <v>FILLING 3</v>
      </c>
      <c r="W768" s="47" t="str">
        <f t="array" ref="W768">_xlfn.XLOOKUP(records[ID], dAir[roomNo], dAir[building])</f>
        <v>Building 16</v>
      </c>
      <c r="X768" s="47" t="str">
        <f t="array" ref="X768">_xlfn.XLOOKUP(records[ID], dAir[roomNo], dAir[floor])</f>
        <v>Floor 3</v>
      </c>
      <c r="Y768" s="45" t="str">
        <f t="array" ref="Y768">_xlfn.XLOOKUP(records[ID], dAir[roomNo], dAir[Class])</f>
        <v>D</v>
      </c>
      <c r="Z768" s="45">
        <f t="array" ref="Z768">_xlfn.XLOOKUP(records[Method]&amp;"-"&amp;records[Class], dAirSpec[ID], dAirSpec[Spec])</f>
        <v>100</v>
      </c>
      <c r="AA768" s="45" t="str">
        <f t="array" ref="AA768">_xlfn.XLOOKUP(records[Method]&amp;"-"&amp;records[Class], dAirSpec[ID], dAirSpec[Unit])</f>
        <v>cfu/plate</v>
      </c>
      <c r="AB768" s="58">
        <f t="array" ref="AB768">if(S768="","", if(records[Method]="Active Air",_xlfn.xlookup(records[ColonyCount]&amp;records[AirSampler],feller[code],feller[Vc]),records[ColonyCount]))</f>
        <v>0</v>
      </c>
      <c r="AC768" s="60" t="b">
        <f t="shared" si="1"/>
        <v>1</v>
      </c>
      <c r="AD768" s="61" t="b">
        <v>0</v>
      </c>
      <c r="AE768" s="32" t="s">
        <v>235</v>
      </c>
      <c r="AF768" s="46"/>
      <c r="AG768" s="46"/>
      <c r="AH768" s="46"/>
      <c r="AI768" s="46"/>
      <c r="AJ768" s="46"/>
    </row>
    <row r="769" ht="22.5" customHeight="1">
      <c r="A769" s="27">
        <v>46257.0</v>
      </c>
      <c r="B769" s="34" t="str">
        <f t="array" ref="B769">TEXT(A769, "MM-YYYY")</f>
        <v>08-2026</v>
      </c>
      <c r="C769" s="39" t="s">
        <v>1557</v>
      </c>
      <c r="D769" s="36" t="s">
        <v>210</v>
      </c>
      <c r="E769" s="36" t="s">
        <v>213</v>
      </c>
      <c r="F769" s="37" t="s">
        <v>126</v>
      </c>
      <c r="G769" s="263" t="b">
        <v>1</v>
      </c>
      <c r="H769" s="36" t="s">
        <v>214</v>
      </c>
      <c r="I769" s="36" t="s">
        <v>215</v>
      </c>
      <c r="J769" s="214"/>
      <c r="K769" s="215"/>
      <c r="L769" s="187" t="s">
        <v>194</v>
      </c>
      <c r="M769" s="187" t="s">
        <v>194</v>
      </c>
      <c r="N769" s="187" t="s">
        <v>194</v>
      </c>
      <c r="O769" s="187" t="s">
        <v>194</v>
      </c>
      <c r="P769" s="37" t="s">
        <v>692</v>
      </c>
      <c r="Q769" s="37" t="s">
        <v>693</v>
      </c>
      <c r="R769" s="41">
        <v>46306.0</v>
      </c>
      <c r="S769" s="42">
        <v>0.0</v>
      </c>
      <c r="T769" s="44"/>
      <c r="U769" s="45" t="str">
        <f>IF(records[Type]="Room",records[roomNo],records[roomNo]&amp;"-"&amp;SUBSTITUTE(RIGHT(records[roomNo]&amp;records[Type],2),"-",""))</f>
        <v>16-3-102</v>
      </c>
      <c r="V769" s="47" t="str">
        <f t="array" ref="V769">_xlfn.XLOOKUP(records[ID], dAir[roomNo], dAir[roomName])</f>
        <v>AIRLOCK</v>
      </c>
      <c r="W769" s="47" t="str">
        <f t="array" ref="W769">_xlfn.XLOOKUP(records[ID], dAir[roomNo], dAir[building])</f>
        <v>Building 16</v>
      </c>
      <c r="X769" s="47" t="str">
        <f t="array" ref="X769">_xlfn.XLOOKUP(records[ID], dAir[roomNo], dAir[floor])</f>
        <v>Floor 3</v>
      </c>
      <c r="Y769" s="45" t="str">
        <f t="array" ref="Y769">_xlfn.XLOOKUP(records[ID], dAir[roomNo], dAir[Class])</f>
        <v>D</v>
      </c>
      <c r="Z769" s="45">
        <f t="array" ref="Z769">_xlfn.XLOOKUP(records[Method]&amp;"-"&amp;records[Class], dAirSpec[ID], dAirSpec[Spec])</f>
        <v>100</v>
      </c>
      <c r="AA769" s="45" t="str">
        <f t="array" ref="AA769">_xlfn.XLOOKUP(records[Method]&amp;"-"&amp;records[Class], dAirSpec[ID], dAirSpec[Unit])</f>
        <v>cfu/plate</v>
      </c>
      <c r="AB769" s="58">
        <f t="array" ref="AB769">if(S769="","", if(records[Method]="Active Air",_xlfn.xlookup(records[ColonyCount]&amp;records[AirSampler],feller[code],feller[Vc]),records[ColonyCount]))</f>
        <v>0</v>
      </c>
      <c r="AC769" s="60" t="b">
        <f t="shared" si="1"/>
        <v>1</v>
      </c>
      <c r="AD769" s="61" t="b">
        <v>0</v>
      </c>
      <c r="AE769" s="32" t="s">
        <v>235</v>
      </c>
      <c r="AF769" s="46"/>
      <c r="AG769" s="46"/>
      <c r="AH769" s="46"/>
      <c r="AI769" s="46"/>
      <c r="AJ769" s="46"/>
    </row>
    <row r="770" ht="22.5" customHeight="1">
      <c r="A770" s="27">
        <v>46257.0</v>
      </c>
      <c r="B770" s="34" t="str">
        <f t="array" ref="B770">TEXT(A770, "MM-YYYY")</f>
        <v>08-2026</v>
      </c>
      <c r="C770" s="39" t="s">
        <v>1558</v>
      </c>
      <c r="D770" s="36" t="s">
        <v>210</v>
      </c>
      <c r="E770" s="36" t="s">
        <v>213</v>
      </c>
      <c r="F770" s="37" t="s">
        <v>126</v>
      </c>
      <c r="G770" s="263" t="b">
        <v>1</v>
      </c>
      <c r="H770" s="36" t="s">
        <v>214</v>
      </c>
      <c r="I770" s="36" t="s">
        <v>215</v>
      </c>
      <c r="J770" s="214"/>
      <c r="K770" s="215"/>
      <c r="L770" s="187" t="s">
        <v>194</v>
      </c>
      <c r="M770" s="187" t="s">
        <v>194</v>
      </c>
      <c r="N770" s="187" t="s">
        <v>194</v>
      </c>
      <c r="O770" s="187" t="s">
        <v>194</v>
      </c>
      <c r="P770" s="37" t="s">
        <v>692</v>
      </c>
      <c r="Q770" s="37" t="s">
        <v>693</v>
      </c>
      <c r="R770" s="41">
        <v>46306.0</v>
      </c>
      <c r="S770" s="42">
        <v>0.0</v>
      </c>
      <c r="T770" s="44"/>
      <c r="U770" s="45" t="str">
        <f>IF(records[Type]="Room",records[roomNo],records[roomNo]&amp;"-"&amp;SUBSTITUTE(RIGHT(records[roomNo]&amp;records[Type],2),"-",""))</f>
        <v>16-3-103</v>
      </c>
      <c r="V770" s="47" t="str">
        <f t="array" ref="V770">_xlfn.XLOOKUP(records[ID], dAir[roomNo], dAir[roomName])</f>
        <v>FILLING 4</v>
      </c>
      <c r="W770" s="47" t="str">
        <f t="array" ref="W770">_xlfn.XLOOKUP(records[ID], dAir[roomNo], dAir[building])</f>
        <v>Building 16</v>
      </c>
      <c r="X770" s="47" t="str">
        <f t="array" ref="X770">_xlfn.XLOOKUP(records[ID], dAir[roomNo], dAir[floor])</f>
        <v>Floor 3</v>
      </c>
      <c r="Y770" s="45" t="str">
        <f t="array" ref="Y770">_xlfn.XLOOKUP(records[ID], dAir[roomNo], dAir[Class])</f>
        <v>D</v>
      </c>
      <c r="Z770" s="45">
        <f t="array" ref="Z770">_xlfn.XLOOKUP(records[Method]&amp;"-"&amp;records[Class], dAirSpec[ID], dAirSpec[Spec])</f>
        <v>100</v>
      </c>
      <c r="AA770" s="45" t="str">
        <f t="array" ref="AA770">_xlfn.XLOOKUP(records[Method]&amp;"-"&amp;records[Class], dAirSpec[ID], dAirSpec[Unit])</f>
        <v>cfu/plate</v>
      </c>
      <c r="AB770" s="58">
        <f t="array" ref="AB770">if(S770="","", if(records[Method]="Active Air",_xlfn.xlookup(records[ColonyCount]&amp;records[AirSampler],feller[code],feller[Vc]),records[ColonyCount]))</f>
        <v>0</v>
      </c>
      <c r="AC770" s="60" t="b">
        <f t="shared" si="1"/>
        <v>1</v>
      </c>
      <c r="AD770" s="61" t="b">
        <v>0</v>
      </c>
      <c r="AE770" s="32" t="s">
        <v>235</v>
      </c>
      <c r="AF770" s="46"/>
      <c r="AG770" s="46"/>
      <c r="AH770" s="46"/>
      <c r="AI770" s="46"/>
      <c r="AJ770" s="46"/>
    </row>
    <row r="771" ht="22.5" customHeight="1">
      <c r="A771" s="27">
        <v>46257.0</v>
      </c>
      <c r="B771" s="34" t="str">
        <f t="array" ref="B771">TEXT(A771, "MM-YYYY")</f>
        <v>08-2026</v>
      </c>
      <c r="C771" s="39" t="s">
        <v>1560</v>
      </c>
      <c r="D771" s="36" t="s">
        <v>210</v>
      </c>
      <c r="E771" s="36" t="s">
        <v>213</v>
      </c>
      <c r="F771" s="37" t="s">
        <v>126</v>
      </c>
      <c r="G771" s="263" t="b">
        <v>1</v>
      </c>
      <c r="H771" s="36" t="s">
        <v>214</v>
      </c>
      <c r="I771" s="36" t="s">
        <v>215</v>
      </c>
      <c r="J771" s="214"/>
      <c r="K771" s="215"/>
      <c r="L771" s="187" t="s">
        <v>194</v>
      </c>
      <c r="M771" s="187" t="s">
        <v>194</v>
      </c>
      <c r="N771" s="187" t="s">
        <v>194</v>
      </c>
      <c r="O771" s="187" t="s">
        <v>194</v>
      </c>
      <c r="P771" s="37" t="s">
        <v>692</v>
      </c>
      <c r="Q771" s="37" t="s">
        <v>693</v>
      </c>
      <c r="R771" s="41">
        <v>46306.0</v>
      </c>
      <c r="S771" s="42">
        <v>0.0</v>
      </c>
      <c r="T771" s="44"/>
      <c r="U771" s="45" t="str">
        <f>IF(records[Type]="Room",records[roomNo],records[roomNo]&amp;"-"&amp;SUBSTITUTE(RIGHT(records[roomNo]&amp;records[Type],2),"-",""))</f>
        <v>16-3-104</v>
      </c>
      <c r="V771" s="47" t="str">
        <f t="array" ref="V771">_xlfn.XLOOKUP(records[ID], dAir[roomNo], dAir[roomName])</f>
        <v>AIRLOCK</v>
      </c>
      <c r="W771" s="47" t="str">
        <f t="array" ref="W771">_xlfn.XLOOKUP(records[ID], dAir[roomNo], dAir[building])</f>
        <v>Building 16</v>
      </c>
      <c r="X771" s="47" t="str">
        <f t="array" ref="X771">_xlfn.XLOOKUP(records[ID], dAir[roomNo], dAir[floor])</f>
        <v>Floor 3</v>
      </c>
      <c r="Y771" s="45" t="str">
        <f t="array" ref="Y771">_xlfn.XLOOKUP(records[ID], dAir[roomNo], dAir[Class])</f>
        <v>D</v>
      </c>
      <c r="Z771" s="45">
        <f t="array" ref="Z771">_xlfn.XLOOKUP(records[Method]&amp;"-"&amp;records[Class], dAirSpec[ID], dAirSpec[Spec])</f>
        <v>100</v>
      </c>
      <c r="AA771" s="45" t="str">
        <f t="array" ref="AA771">_xlfn.XLOOKUP(records[Method]&amp;"-"&amp;records[Class], dAirSpec[ID], dAirSpec[Unit])</f>
        <v>cfu/plate</v>
      </c>
      <c r="AB771" s="58">
        <f t="array" ref="AB771">if(S771="","", if(records[Method]="Active Air",_xlfn.xlookup(records[ColonyCount]&amp;records[AirSampler],feller[code],feller[Vc]),records[ColonyCount]))</f>
        <v>0</v>
      </c>
      <c r="AC771" s="60" t="b">
        <f t="shared" si="1"/>
        <v>1</v>
      </c>
      <c r="AD771" s="61" t="b">
        <v>0</v>
      </c>
      <c r="AE771" s="32" t="s">
        <v>235</v>
      </c>
      <c r="AF771" s="46"/>
      <c r="AG771" s="46"/>
      <c r="AH771" s="46"/>
      <c r="AI771" s="46"/>
      <c r="AJ771" s="46"/>
    </row>
    <row r="772" ht="22.5" customHeight="1">
      <c r="A772" s="27">
        <v>46257.0</v>
      </c>
      <c r="B772" s="34" t="str">
        <f t="array" ref="B772">TEXT(A772, "MM-YYYY")</f>
        <v>08-2026</v>
      </c>
      <c r="C772" s="39" t="s">
        <v>1561</v>
      </c>
      <c r="D772" s="36" t="s">
        <v>210</v>
      </c>
      <c r="E772" s="36" t="s">
        <v>213</v>
      </c>
      <c r="F772" s="37" t="s">
        <v>126</v>
      </c>
      <c r="G772" s="263" t="b">
        <v>1</v>
      </c>
      <c r="H772" s="36" t="s">
        <v>214</v>
      </c>
      <c r="I772" s="36" t="s">
        <v>215</v>
      </c>
      <c r="J772" s="214"/>
      <c r="K772" s="215"/>
      <c r="L772" s="187" t="s">
        <v>194</v>
      </c>
      <c r="M772" s="187" t="s">
        <v>194</v>
      </c>
      <c r="N772" s="187" t="s">
        <v>194</v>
      </c>
      <c r="O772" s="187" t="s">
        <v>194</v>
      </c>
      <c r="P772" s="37" t="s">
        <v>692</v>
      </c>
      <c r="Q772" s="37" t="s">
        <v>693</v>
      </c>
      <c r="R772" s="41">
        <v>46306.0</v>
      </c>
      <c r="S772" s="42">
        <v>5.0</v>
      </c>
      <c r="T772" s="44"/>
      <c r="U772" s="45" t="str">
        <f>IF(records[Type]="Room",records[roomNo],records[roomNo]&amp;"-"&amp;SUBSTITUTE(RIGHT(records[roomNo]&amp;records[Type],2),"-",""))</f>
        <v>16-3-105</v>
      </c>
      <c r="V772" s="47" t="str">
        <f t="array" ref="V772">_xlfn.XLOOKUP(records[ID], dAir[roomNo], dAir[roomName])</f>
        <v>FILLING 5</v>
      </c>
      <c r="W772" s="47" t="str">
        <f t="array" ref="W772">_xlfn.XLOOKUP(records[ID], dAir[roomNo], dAir[building])</f>
        <v>Building 16</v>
      </c>
      <c r="X772" s="47" t="str">
        <f t="array" ref="X772">_xlfn.XLOOKUP(records[ID], dAir[roomNo], dAir[floor])</f>
        <v>Floor 3</v>
      </c>
      <c r="Y772" s="45" t="str">
        <f t="array" ref="Y772">_xlfn.XLOOKUP(records[ID], dAir[roomNo], dAir[Class])</f>
        <v>D</v>
      </c>
      <c r="Z772" s="45">
        <f t="array" ref="Z772">_xlfn.XLOOKUP(records[Method]&amp;"-"&amp;records[Class], dAirSpec[ID], dAirSpec[Spec])</f>
        <v>100</v>
      </c>
      <c r="AA772" s="45" t="str">
        <f t="array" ref="AA772">_xlfn.XLOOKUP(records[Method]&amp;"-"&amp;records[Class], dAirSpec[ID], dAirSpec[Unit])</f>
        <v>cfu/plate</v>
      </c>
      <c r="AB772" s="58">
        <f t="array" ref="AB772">if(S772="","", if(records[Method]="Active Air",_xlfn.xlookup(records[ColonyCount]&amp;records[AirSampler],feller[code],feller[Vc]),records[ColonyCount]))</f>
        <v>5</v>
      </c>
      <c r="AC772" s="60" t="b">
        <f t="shared" si="1"/>
        <v>1</v>
      </c>
      <c r="AD772" s="61" t="b">
        <v>0</v>
      </c>
      <c r="AE772" s="32" t="s">
        <v>235</v>
      </c>
      <c r="AF772" s="46"/>
      <c r="AG772" s="46"/>
      <c r="AH772" s="46"/>
      <c r="AI772" s="46"/>
      <c r="AJ772" s="46"/>
    </row>
    <row r="773" ht="22.5" customHeight="1">
      <c r="A773" s="27">
        <v>46257.0</v>
      </c>
      <c r="B773" s="34" t="str">
        <f t="array" ref="B773">TEXT(A773, "MM-YYYY")</f>
        <v>08-2026</v>
      </c>
      <c r="C773" s="39" t="s">
        <v>1563</v>
      </c>
      <c r="D773" s="36" t="s">
        <v>210</v>
      </c>
      <c r="E773" s="36" t="s">
        <v>213</v>
      </c>
      <c r="F773" s="37" t="s">
        <v>126</v>
      </c>
      <c r="G773" s="263" t="b">
        <v>1</v>
      </c>
      <c r="H773" s="36" t="s">
        <v>214</v>
      </c>
      <c r="I773" s="36" t="s">
        <v>215</v>
      </c>
      <c r="J773" s="214"/>
      <c r="K773" s="215"/>
      <c r="L773" s="187" t="s">
        <v>194</v>
      </c>
      <c r="M773" s="187" t="s">
        <v>194</v>
      </c>
      <c r="N773" s="187" t="s">
        <v>194</v>
      </c>
      <c r="O773" s="187" t="s">
        <v>194</v>
      </c>
      <c r="P773" s="37" t="s">
        <v>692</v>
      </c>
      <c r="Q773" s="37" t="s">
        <v>693</v>
      </c>
      <c r="R773" s="41">
        <v>46306.0</v>
      </c>
      <c r="S773" s="42">
        <v>0.0</v>
      </c>
      <c r="T773" s="44"/>
      <c r="U773" s="45" t="str">
        <f>IF(records[Type]="Room",records[roomNo],records[roomNo]&amp;"-"&amp;SUBSTITUTE(RIGHT(records[roomNo]&amp;records[Type],2),"-",""))</f>
        <v>16-3-106</v>
      </c>
      <c r="V773" s="47" t="str">
        <f t="array" ref="V773">_xlfn.XLOOKUP(records[ID], dAir[roomNo], dAir[roomName])</f>
        <v>AIRLOCK</v>
      </c>
      <c r="W773" s="47" t="str">
        <f t="array" ref="W773">_xlfn.XLOOKUP(records[ID], dAir[roomNo], dAir[building])</f>
        <v>Building 16</v>
      </c>
      <c r="X773" s="47" t="str">
        <f t="array" ref="X773">_xlfn.XLOOKUP(records[ID], dAir[roomNo], dAir[floor])</f>
        <v>Floor 3</v>
      </c>
      <c r="Y773" s="45" t="str">
        <f t="array" ref="Y773">_xlfn.XLOOKUP(records[ID], dAir[roomNo], dAir[Class])</f>
        <v>D</v>
      </c>
      <c r="Z773" s="45">
        <f t="array" ref="Z773">_xlfn.XLOOKUP(records[Method]&amp;"-"&amp;records[Class], dAirSpec[ID], dAirSpec[Spec])</f>
        <v>100</v>
      </c>
      <c r="AA773" s="45" t="str">
        <f t="array" ref="AA773">_xlfn.XLOOKUP(records[Method]&amp;"-"&amp;records[Class], dAirSpec[ID], dAirSpec[Unit])</f>
        <v>cfu/plate</v>
      </c>
      <c r="AB773" s="58">
        <f t="array" ref="AB773">if(S773="","", if(records[Method]="Active Air",_xlfn.xlookup(records[ColonyCount]&amp;records[AirSampler],feller[code],feller[Vc]),records[ColonyCount]))</f>
        <v>0</v>
      </c>
      <c r="AC773" s="60" t="b">
        <f t="shared" si="1"/>
        <v>1</v>
      </c>
      <c r="AD773" s="61" t="b">
        <v>0</v>
      </c>
      <c r="AE773" s="32" t="s">
        <v>235</v>
      </c>
      <c r="AF773" s="46"/>
      <c r="AG773" s="46"/>
      <c r="AH773" s="46"/>
      <c r="AI773" s="46"/>
      <c r="AJ773" s="46"/>
    </row>
    <row r="774" ht="22.5" customHeight="1">
      <c r="A774" s="27">
        <v>46257.0</v>
      </c>
      <c r="B774" s="34" t="str">
        <f t="array" ref="B774">TEXT(A774, "MM-YYYY")</f>
        <v>08-2026</v>
      </c>
      <c r="C774" s="39" t="s">
        <v>1564</v>
      </c>
      <c r="D774" s="36" t="s">
        <v>210</v>
      </c>
      <c r="E774" s="36" t="s">
        <v>213</v>
      </c>
      <c r="F774" s="37" t="s">
        <v>126</v>
      </c>
      <c r="G774" s="263" t="b">
        <v>1</v>
      </c>
      <c r="H774" s="36" t="s">
        <v>214</v>
      </c>
      <c r="I774" s="36" t="s">
        <v>215</v>
      </c>
      <c r="J774" s="214"/>
      <c r="K774" s="215"/>
      <c r="L774" s="187" t="s">
        <v>194</v>
      </c>
      <c r="M774" s="187" t="s">
        <v>194</v>
      </c>
      <c r="N774" s="187" t="s">
        <v>194</v>
      </c>
      <c r="O774" s="187" t="s">
        <v>194</v>
      </c>
      <c r="P774" s="37" t="s">
        <v>692</v>
      </c>
      <c r="Q774" s="37" t="s">
        <v>693</v>
      </c>
      <c r="R774" s="41">
        <v>46306.0</v>
      </c>
      <c r="S774" s="42">
        <v>1.0</v>
      </c>
      <c r="T774" s="44"/>
      <c r="U774" s="45" t="str">
        <f>IF(records[Type]="Room",records[roomNo],records[roomNo]&amp;"-"&amp;SUBSTITUTE(RIGHT(records[roomNo]&amp;records[Type],2),"-",""))</f>
        <v>16-3-107</v>
      </c>
      <c r="V774" s="47" t="str">
        <f t="array" ref="V774">_xlfn.XLOOKUP(records[ID], dAir[roomNo], dAir[roomName])</f>
        <v>FILLING 6</v>
      </c>
      <c r="W774" s="47" t="str">
        <f t="array" ref="W774">_xlfn.XLOOKUP(records[ID], dAir[roomNo], dAir[building])</f>
        <v>Building 16</v>
      </c>
      <c r="X774" s="47" t="str">
        <f t="array" ref="X774">_xlfn.XLOOKUP(records[ID], dAir[roomNo], dAir[floor])</f>
        <v>Floor 3</v>
      </c>
      <c r="Y774" s="45" t="str">
        <f t="array" ref="Y774">_xlfn.XLOOKUP(records[ID], dAir[roomNo], dAir[Class])</f>
        <v>D</v>
      </c>
      <c r="Z774" s="45">
        <f t="array" ref="Z774">_xlfn.XLOOKUP(records[Method]&amp;"-"&amp;records[Class], dAirSpec[ID], dAirSpec[Spec])</f>
        <v>100</v>
      </c>
      <c r="AA774" s="45" t="str">
        <f t="array" ref="AA774">_xlfn.XLOOKUP(records[Method]&amp;"-"&amp;records[Class], dAirSpec[ID], dAirSpec[Unit])</f>
        <v>cfu/plate</v>
      </c>
      <c r="AB774" s="58">
        <f t="array" ref="AB774">if(S774="","", if(records[Method]="Active Air",_xlfn.xlookup(records[ColonyCount]&amp;records[AirSampler],feller[code],feller[Vc]),records[ColonyCount]))</f>
        <v>1</v>
      </c>
      <c r="AC774" s="60" t="b">
        <f t="shared" si="1"/>
        <v>1</v>
      </c>
      <c r="AD774" s="61" t="b">
        <v>0</v>
      </c>
      <c r="AE774" s="32" t="s">
        <v>235</v>
      </c>
      <c r="AF774" s="46"/>
      <c r="AG774" s="46"/>
      <c r="AH774" s="46"/>
      <c r="AI774" s="46"/>
      <c r="AJ774" s="46"/>
    </row>
    <row r="775" ht="22.5" customHeight="1">
      <c r="A775" s="27">
        <v>46257.0</v>
      </c>
      <c r="B775" s="34" t="str">
        <f t="array" ref="B775">TEXT(A775, "MM-YYYY")</f>
        <v>08-2026</v>
      </c>
      <c r="C775" s="39" t="s">
        <v>1566</v>
      </c>
      <c r="D775" s="36" t="s">
        <v>210</v>
      </c>
      <c r="E775" s="36" t="s">
        <v>213</v>
      </c>
      <c r="F775" s="37" t="s">
        <v>126</v>
      </c>
      <c r="G775" s="263" t="b">
        <v>1</v>
      </c>
      <c r="H775" s="36" t="s">
        <v>214</v>
      </c>
      <c r="I775" s="36" t="s">
        <v>215</v>
      </c>
      <c r="J775" s="214"/>
      <c r="K775" s="215"/>
      <c r="L775" s="187" t="s">
        <v>194</v>
      </c>
      <c r="M775" s="187" t="s">
        <v>194</v>
      </c>
      <c r="N775" s="187" t="s">
        <v>194</v>
      </c>
      <c r="O775" s="187" t="s">
        <v>194</v>
      </c>
      <c r="P775" s="37" t="s">
        <v>692</v>
      </c>
      <c r="Q775" s="37" t="s">
        <v>693</v>
      </c>
      <c r="R775" s="41">
        <v>46306.0</v>
      </c>
      <c r="S775" s="42">
        <v>0.0</v>
      </c>
      <c r="T775" s="44"/>
      <c r="U775" s="45" t="str">
        <f>IF(records[Type]="Room",records[roomNo],records[roomNo]&amp;"-"&amp;SUBSTITUTE(RIGHT(records[roomNo]&amp;records[Type],2),"-",""))</f>
        <v>16-3-108</v>
      </c>
      <c r="V775" s="47" t="str">
        <f t="array" ref="V775">_xlfn.XLOOKUP(records[ID], dAir[roomNo], dAir[roomName])</f>
        <v>AIRLOCK</v>
      </c>
      <c r="W775" s="47" t="str">
        <f t="array" ref="W775">_xlfn.XLOOKUP(records[ID], dAir[roomNo], dAir[building])</f>
        <v>Building 16</v>
      </c>
      <c r="X775" s="47" t="str">
        <f t="array" ref="X775">_xlfn.XLOOKUP(records[ID], dAir[roomNo], dAir[floor])</f>
        <v>Floor 3</v>
      </c>
      <c r="Y775" s="45" t="str">
        <f t="array" ref="Y775">_xlfn.XLOOKUP(records[ID], dAir[roomNo], dAir[Class])</f>
        <v>D</v>
      </c>
      <c r="Z775" s="45">
        <f t="array" ref="Z775">_xlfn.XLOOKUP(records[Method]&amp;"-"&amp;records[Class], dAirSpec[ID], dAirSpec[Spec])</f>
        <v>100</v>
      </c>
      <c r="AA775" s="45" t="str">
        <f t="array" ref="AA775">_xlfn.XLOOKUP(records[Method]&amp;"-"&amp;records[Class], dAirSpec[ID], dAirSpec[Unit])</f>
        <v>cfu/plate</v>
      </c>
      <c r="AB775" s="58">
        <f t="array" ref="AB775">if(S775="","", if(records[Method]="Active Air",_xlfn.xlookup(records[ColonyCount]&amp;records[AirSampler],feller[code],feller[Vc]),records[ColonyCount]))</f>
        <v>0</v>
      </c>
      <c r="AC775" s="60" t="b">
        <f t="shared" si="1"/>
        <v>1</v>
      </c>
      <c r="AD775" s="61" t="b">
        <v>0</v>
      </c>
      <c r="AE775" s="32" t="s">
        <v>235</v>
      </c>
      <c r="AF775" s="46"/>
      <c r="AG775" s="46"/>
      <c r="AH775" s="46"/>
      <c r="AI775" s="46"/>
      <c r="AJ775" s="46"/>
    </row>
    <row r="776" ht="22.5" customHeight="1">
      <c r="A776" s="27">
        <v>46257.0</v>
      </c>
      <c r="B776" s="34" t="str">
        <f t="array" ref="B776">TEXT(A776, "MM-YYYY")</f>
        <v>08-2026</v>
      </c>
      <c r="C776" s="39" t="s">
        <v>1018</v>
      </c>
      <c r="D776" s="36" t="s">
        <v>210</v>
      </c>
      <c r="E776" s="36" t="s">
        <v>213</v>
      </c>
      <c r="F776" s="37" t="s">
        <v>126</v>
      </c>
      <c r="G776" s="263" t="b">
        <v>1</v>
      </c>
      <c r="H776" s="36" t="s">
        <v>214</v>
      </c>
      <c r="I776" s="36" t="s">
        <v>215</v>
      </c>
      <c r="J776" s="214"/>
      <c r="K776" s="215"/>
      <c r="L776" s="187" t="s">
        <v>194</v>
      </c>
      <c r="M776" s="187" t="s">
        <v>194</v>
      </c>
      <c r="N776" s="187" t="s">
        <v>194</v>
      </c>
      <c r="O776" s="187" t="s">
        <v>194</v>
      </c>
      <c r="P776" s="37" t="s">
        <v>692</v>
      </c>
      <c r="Q776" s="37" t="s">
        <v>693</v>
      </c>
      <c r="R776" s="41">
        <v>46306.0</v>
      </c>
      <c r="S776" s="42">
        <v>0.0</v>
      </c>
      <c r="T776" s="44"/>
      <c r="U776" s="45" t="str">
        <f>IF(records[Type]="Room",records[roomNo],records[roomNo]&amp;"-"&amp;SUBSTITUTE(RIGHT(records[roomNo]&amp;records[Type],2),"-",""))</f>
        <v>16-3-109</v>
      </c>
      <c r="V776" s="47" t="str">
        <f t="array" ref="V776">_xlfn.XLOOKUP(records[ID], dAir[roomNo], dAir[roomName])</f>
        <v>FILLING 7</v>
      </c>
      <c r="W776" s="47" t="str">
        <f t="array" ref="W776">_xlfn.XLOOKUP(records[ID], dAir[roomNo], dAir[building])</f>
        <v>Building 16</v>
      </c>
      <c r="X776" s="47" t="str">
        <f t="array" ref="X776">_xlfn.XLOOKUP(records[ID], dAir[roomNo], dAir[floor])</f>
        <v>Floor 3</v>
      </c>
      <c r="Y776" s="45" t="str">
        <f t="array" ref="Y776">_xlfn.XLOOKUP(records[ID], dAir[roomNo], dAir[Class])</f>
        <v>D</v>
      </c>
      <c r="Z776" s="45">
        <f t="array" ref="Z776">_xlfn.XLOOKUP(records[Method]&amp;"-"&amp;records[Class], dAirSpec[ID], dAirSpec[Spec])</f>
        <v>100</v>
      </c>
      <c r="AA776" s="45" t="str">
        <f t="array" ref="AA776">_xlfn.XLOOKUP(records[Method]&amp;"-"&amp;records[Class], dAirSpec[ID], dAirSpec[Unit])</f>
        <v>cfu/plate</v>
      </c>
      <c r="AB776" s="58">
        <f t="array" ref="AB776">if(S776="","", if(records[Method]="Active Air",_xlfn.xlookup(records[ColonyCount]&amp;records[AirSampler],feller[code],feller[Vc]),records[ColonyCount]))</f>
        <v>0</v>
      </c>
      <c r="AC776" s="60" t="b">
        <f t="shared" si="1"/>
        <v>1</v>
      </c>
      <c r="AD776" s="61" t="b">
        <v>0</v>
      </c>
      <c r="AE776" s="32" t="s">
        <v>235</v>
      </c>
      <c r="AF776" s="46"/>
      <c r="AG776" s="46"/>
      <c r="AH776" s="46"/>
      <c r="AI776" s="46"/>
      <c r="AJ776" s="46"/>
    </row>
    <row r="777" ht="22.5" customHeight="1">
      <c r="A777" s="27">
        <v>46257.0</v>
      </c>
      <c r="B777" s="34" t="str">
        <f t="array" ref="B777">TEXT(A777, "MM-YYYY")</f>
        <v>08-2026</v>
      </c>
      <c r="C777" s="39" t="s">
        <v>1567</v>
      </c>
      <c r="D777" s="36" t="s">
        <v>210</v>
      </c>
      <c r="E777" s="36" t="s">
        <v>213</v>
      </c>
      <c r="F777" s="37" t="s">
        <v>126</v>
      </c>
      <c r="G777" s="263" t="b">
        <v>1</v>
      </c>
      <c r="H777" s="36" t="s">
        <v>214</v>
      </c>
      <c r="I777" s="36" t="s">
        <v>215</v>
      </c>
      <c r="J777" s="214"/>
      <c r="K777" s="215"/>
      <c r="L777" s="187" t="s">
        <v>194</v>
      </c>
      <c r="M777" s="187" t="s">
        <v>194</v>
      </c>
      <c r="N777" s="187" t="s">
        <v>194</v>
      </c>
      <c r="O777" s="187" t="s">
        <v>194</v>
      </c>
      <c r="P777" s="37" t="s">
        <v>692</v>
      </c>
      <c r="Q777" s="37" t="s">
        <v>693</v>
      </c>
      <c r="R777" s="41">
        <v>46306.0</v>
      </c>
      <c r="S777" s="42">
        <v>0.0</v>
      </c>
      <c r="T777" s="44"/>
      <c r="U777" s="45" t="str">
        <f>IF(records[Type]="Room",records[roomNo],records[roomNo]&amp;"-"&amp;SUBSTITUTE(RIGHT(records[roomNo]&amp;records[Type],2),"-",""))</f>
        <v>16-3-114</v>
      </c>
      <c r="V777" s="47" t="str">
        <f t="array" ref="V777">_xlfn.XLOOKUP(records[ID], dAir[roomNo], dAir[roomName])</f>
        <v>MAL</v>
      </c>
      <c r="W777" s="47" t="str">
        <f t="array" ref="W777">_xlfn.XLOOKUP(records[ID], dAir[roomNo], dAir[building])</f>
        <v>Building 16</v>
      </c>
      <c r="X777" s="47" t="str">
        <f t="array" ref="X777">_xlfn.XLOOKUP(records[ID], dAir[roomNo], dAir[floor])</f>
        <v>Floor 3</v>
      </c>
      <c r="Y777" s="45" t="str">
        <f t="array" ref="Y777">_xlfn.XLOOKUP(records[ID], dAir[roomNo], dAir[Class])</f>
        <v>D</v>
      </c>
      <c r="Z777" s="45">
        <f t="array" ref="Z777">_xlfn.XLOOKUP(records[Method]&amp;"-"&amp;records[Class], dAirSpec[ID], dAirSpec[Spec])</f>
        <v>100</v>
      </c>
      <c r="AA777" s="45" t="str">
        <f t="array" ref="AA777">_xlfn.XLOOKUP(records[Method]&amp;"-"&amp;records[Class], dAirSpec[ID], dAirSpec[Unit])</f>
        <v>cfu/plate</v>
      </c>
      <c r="AB777" s="58">
        <f t="array" ref="AB777">if(S777="","", if(records[Method]="Active Air",_xlfn.xlookup(records[ColonyCount]&amp;records[AirSampler],feller[code],feller[Vc]),records[ColonyCount]))</f>
        <v>0</v>
      </c>
      <c r="AC777" s="60" t="b">
        <f t="shared" si="1"/>
        <v>1</v>
      </c>
      <c r="AD777" s="61" t="b">
        <v>0</v>
      </c>
      <c r="AE777" s="32" t="s">
        <v>235</v>
      </c>
      <c r="AF777" s="46"/>
      <c r="AG777" s="46"/>
      <c r="AH777" s="46"/>
      <c r="AI777" s="46"/>
      <c r="AJ777" s="46"/>
    </row>
    <row r="778" ht="22.5" customHeight="1">
      <c r="A778" s="27">
        <v>46257.0</v>
      </c>
      <c r="B778" s="34" t="str">
        <f t="array" ref="B778">TEXT(A778, "MM-YYYY")</f>
        <v>08-2026</v>
      </c>
      <c r="C778" s="39" t="s">
        <v>1568</v>
      </c>
      <c r="D778" s="36" t="s">
        <v>210</v>
      </c>
      <c r="E778" s="36" t="s">
        <v>213</v>
      </c>
      <c r="F778" s="37" t="s">
        <v>126</v>
      </c>
      <c r="G778" s="263" t="b">
        <v>1</v>
      </c>
      <c r="H778" s="36" t="s">
        <v>214</v>
      </c>
      <c r="I778" s="36" t="s">
        <v>215</v>
      </c>
      <c r="J778" s="214"/>
      <c r="K778" s="215"/>
      <c r="L778" s="187" t="s">
        <v>194</v>
      </c>
      <c r="M778" s="187" t="s">
        <v>194</v>
      </c>
      <c r="N778" s="187" t="s">
        <v>194</v>
      </c>
      <c r="O778" s="187" t="s">
        <v>194</v>
      </c>
      <c r="P778" s="37" t="s">
        <v>692</v>
      </c>
      <c r="Q778" s="37" t="s">
        <v>693</v>
      </c>
      <c r="R778" s="41">
        <v>46306.0</v>
      </c>
      <c r="S778" s="42">
        <v>0.0</v>
      </c>
      <c r="T778" s="44"/>
      <c r="U778" s="45" t="str">
        <f>IF(records[Type]="Room",records[roomNo],records[roomNo]&amp;"-"&amp;SUBSTITUTE(RIGHT(records[roomNo]&amp;records[Type],2),"-",""))</f>
        <v>16-3-115</v>
      </c>
      <c r="V778" s="47" t="str">
        <f t="array" ref="V778">_xlfn.XLOOKUP(records[ID], dAir[roomNo], dAir[roomName])</f>
        <v>CORRIDOR</v>
      </c>
      <c r="W778" s="47" t="str">
        <f t="array" ref="W778">_xlfn.XLOOKUP(records[ID], dAir[roomNo], dAir[building])</f>
        <v>Building 16</v>
      </c>
      <c r="X778" s="47" t="str">
        <f t="array" ref="X778">_xlfn.XLOOKUP(records[ID], dAir[roomNo], dAir[floor])</f>
        <v>Floor 3</v>
      </c>
      <c r="Y778" s="45" t="str">
        <f t="array" ref="Y778">_xlfn.XLOOKUP(records[ID], dAir[roomNo], dAir[Class])</f>
        <v>D</v>
      </c>
      <c r="Z778" s="45">
        <f t="array" ref="Z778">_xlfn.XLOOKUP(records[Method]&amp;"-"&amp;records[Class], dAirSpec[ID], dAirSpec[Spec])</f>
        <v>100</v>
      </c>
      <c r="AA778" s="45" t="str">
        <f t="array" ref="AA778">_xlfn.XLOOKUP(records[Method]&amp;"-"&amp;records[Class], dAirSpec[ID], dAirSpec[Unit])</f>
        <v>cfu/plate</v>
      </c>
      <c r="AB778" s="58">
        <f t="array" ref="AB778">if(S778="","", if(records[Method]="Active Air",_xlfn.xlookup(records[ColonyCount]&amp;records[AirSampler],feller[code],feller[Vc]),records[ColonyCount]))</f>
        <v>0</v>
      </c>
      <c r="AC778" s="60" t="b">
        <f t="shared" si="1"/>
        <v>1</v>
      </c>
      <c r="AD778" s="61" t="b">
        <v>0</v>
      </c>
      <c r="AE778" s="32" t="s">
        <v>235</v>
      </c>
      <c r="AF778" s="46"/>
      <c r="AG778" s="46"/>
      <c r="AH778" s="46"/>
      <c r="AI778" s="46"/>
      <c r="AJ778" s="46"/>
    </row>
    <row r="779" ht="22.5" customHeight="1">
      <c r="A779" s="27">
        <v>46257.0</v>
      </c>
      <c r="B779" s="34" t="str">
        <f t="array" ref="B779">TEXT(A779, "MM-YYYY")</f>
        <v>08-2026</v>
      </c>
      <c r="C779" s="233" t="s">
        <v>1569</v>
      </c>
      <c r="D779" s="234" t="s">
        <v>210</v>
      </c>
      <c r="E779" s="234" t="s">
        <v>213</v>
      </c>
      <c r="F779" s="37" t="s">
        <v>126</v>
      </c>
      <c r="G779" s="263" t="b">
        <v>1</v>
      </c>
      <c r="H779" s="36" t="s">
        <v>214</v>
      </c>
      <c r="I779" s="36" t="s">
        <v>215</v>
      </c>
      <c r="J779" s="214"/>
      <c r="K779" s="215"/>
      <c r="L779" s="187" t="s">
        <v>194</v>
      </c>
      <c r="M779" s="187" t="s">
        <v>194</v>
      </c>
      <c r="N779" s="187" t="s">
        <v>194</v>
      </c>
      <c r="O779" s="187" t="s">
        <v>194</v>
      </c>
      <c r="P779" s="37" t="s">
        <v>692</v>
      </c>
      <c r="Q779" s="37" t="s">
        <v>693</v>
      </c>
      <c r="R779" s="41">
        <v>46306.0</v>
      </c>
      <c r="S779" s="42">
        <v>1.0</v>
      </c>
      <c r="T779" s="44"/>
      <c r="U779" s="45" t="str">
        <f>IF(records[Type]="Room",records[roomNo],records[roomNo]&amp;"-"&amp;SUBSTITUTE(RIGHT(records[roomNo]&amp;records[Type],2),"-",""))</f>
        <v>16-3-116</v>
      </c>
      <c r="V779" s="47" t="str">
        <f t="array" ref="V779">_xlfn.XLOOKUP(records[ID], dAir[roomNo], dAir[roomName])</f>
        <v>CORRIDOR</v>
      </c>
      <c r="W779" s="47" t="str">
        <f t="array" ref="W779">_xlfn.XLOOKUP(records[ID], dAir[roomNo], dAir[building])</f>
        <v>Building 16</v>
      </c>
      <c r="X779" s="47" t="str">
        <f t="array" ref="X779">_xlfn.XLOOKUP(records[ID], dAir[roomNo], dAir[floor])</f>
        <v>Floor 3</v>
      </c>
      <c r="Y779" s="45" t="str">
        <f t="array" ref="Y779">_xlfn.XLOOKUP(records[ID], dAir[roomNo], dAir[Class])</f>
        <v>D</v>
      </c>
      <c r="Z779" s="45">
        <f t="array" ref="Z779">_xlfn.XLOOKUP(records[Method]&amp;"-"&amp;records[Class], dAirSpec[ID], dAirSpec[Spec])</f>
        <v>100</v>
      </c>
      <c r="AA779" s="45" t="str">
        <f t="array" ref="AA779">_xlfn.XLOOKUP(records[Method]&amp;"-"&amp;records[Class], dAirSpec[ID], dAirSpec[Unit])</f>
        <v>cfu/plate</v>
      </c>
      <c r="AB779" s="58">
        <f t="array" ref="AB779">if(S779="","", if(records[Method]="Active Air",_xlfn.xlookup(records[ColonyCount]&amp;records[AirSampler],feller[code],feller[Vc]),records[ColonyCount]))</f>
        <v>1</v>
      </c>
      <c r="AC779" s="60" t="b">
        <f t="shared" si="1"/>
        <v>1</v>
      </c>
      <c r="AD779" s="61" t="b">
        <v>0</v>
      </c>
      <c r="AE779" s="32" t="s">
        <v>235</v>
      </c>
      <c r="AF779" s="46"/>
      <c r="AG779" s="46"/>
      <c r="AH779" s="46"/>
      <c r="AI779" s="46"/>
      <c r="AJ779" s="46"/>
    </row>
    <row r="780" ht="22.5" customHeight="1">
      <c r="A780" s="27">
        <v>46257.0</v>
      </c>
      <c r="B780" s="34" t="str">
        <f t="array" ref="B780">TEXT(A780, "MM-YYYY")</f>
        <v>08-2026</v>
      </c>
      <c r="C780" s="283" t="s">
        <v>795</v>
      </c>
      <c r="D780" s="284" t="s">
        <v>210</v>
      </c>
      <c r="E780" s="285" t="s">
        <v>213</v>
      </c>
      <c r="F780" s="37"/>
      <c r="G780" s="263" t="b">
        <v>0</v>
      </c>
      <c r="H780" s="36" t="s">
        <v>214</v>
      </c>
      <c r="I780" s="36" t="s">
        <v>215</v>
      </c>
      <c r="J780" s="214"/>
      <c r="K780" s="215"/>
      <c r="L780" s="187" t="s">
        <v>194</v>
      </c>
      <c r="M780" s="187" t="s">
        <v>194</v>
      </c>
      <c r="N780" s="187" t="s">
        <v>194</v>
      </c>
      <c r="O780" s="187" t="s">
        <v>194</v>
      </c>
      <c r="P780" s="37" t="s">
        <v>692</v>
      </c>
      <c r="Q780" s="37" t="s">
        <v>693</v>
      </c>
      <c r="R780" s="41">
        <v>46306.0</v>
      </c>
      <c r="S780" s="42">
        <v>1.0</v>
      </c>
      <c r="T780" s="44"/>
      <c r="U780" s="47" t="str">
        <f>IF(records[Type]="Room",records[roomNo],records[roomNo]&amp;"-"&amp;SUBSTITUTE(RIGHT(records[roomNo]&amp;records[Type],2),"-",""))</f>
        <v>12-3-049</v>
      </c>
      <c r="V780" s="47" t="str">
        <f t="array" ref="V780">_xlfn.XLOOKUP(records[ID], dAir[roomNo], dAir[roomName])</f>
        <v>CHANGING ROOM</v>
      </c>
      <c r="W780" s="47" t="str">
        <f t="array" ref="W780">_xlfn.XLOOKUP(records[ID], dAir[roomNo], dAir[building])</f>
        <v>Building 12</v>
      </c>
      <c r="X780" s="47" t="str">
        <f t="array" ref="X780">_xlfn.XLOOKUP(records[ID], dAir[roomNo], dAir[floor])</f>
        <v>Floor 3</v>
      </c>
      <c r="Y780" s="45" t="str">
        <f t="array" ref="Y780">_xlfn.XLOOKUP(records[ID], dAir[roomNo], dAir[Class])</f>
        <v>D</v>
      </c>
      <c r="Z780" s="45">
        <f t="array" ref="Z780">_xlfn.XLOOKUP(records[Method]&amp;"-"&amp;records[Class], dAirSpec[ID], dAirSpec[Spec])</f>
        <v>100</v>
      </c>
      <c r="AA780" s="45" t="str">
        <f t="array" ref="AA780">_xlfn.XLOOKUP(records[Method]&amp;"-"&amp;records[Class], dAirSpec[ID], dAirSpec[Unit])</f>
        <v>cfu/plate</v>
      </c>
      <c r="AB780" s="58">
        <f t="array" ref="AB780">if(S780="","", if(records[Method]="Active Air",_xlfn.xlookup(records[ColonyCount]&amp;records[AirSampler],feller[code],feller[Vc]),records[ColonyCount]))</f>
        <v>1</v>
      </c>
      <c r="AC780" s="60" t="b">
        <f t="shared" si="1"/>
        <v>1</v>
      </c>
      <c r="AD780" s="61" t="b">
        <v>0</v>
      </c>
      <c r="AE780" s="32"/>
      <c r="AF780" s="46"/>
      <c r="AG780" s="46"/>
      <c r="AH780" s="46"/>
      <c r="AI780" s="46"/>
      <c r="AJ780" s="46"/>
    </row>
    <row r="781" ht="22.5" customHeight="1">
      <c r="A781" s="27">
        <v>46257.0</v>
      </c>
      <c r="B781" s="34" t="str">
        <f t="array" ref="B781">TEXT(A781, "MM-YYYY")</f>
        <v>08-2026</v>
      </c>
      <c r="C781" s="286" t="s">
        <v>802</v>
      </c>
      <c r="D781" s="287" t="s">
        <v>210</v>
      </c>
      <c r="E781" s="288" t="s">
        <v>213</v>
      </c>
      <c r="F781" s="37"/>
      <c r="G781" s="263" t="b">
        <v>0</v>
      </c>
      <c r="H781" s="36" t="s">
        <v>214</v>
      </c>
      <c r="I781" s="36" t="s">
        <v>215</v>
      </c>
      <c r="J781" s="214"/>
      <c r="K781" s="215"/>
      <c r="L781" s="187" t="s">
        <v>194</v>
      </c>
      <c r="M781" s="187" t="s">
        <v>194</v>
      </c>
      <c r="N781" s="187" t="s">
        <v>194</v>
      </c>
      <c r="O781" s="187" t="s">
        <v>194</v>
      </c>
      <c r="P781" s="37" t="s">
        <v>692</v>
      </c>
      <c r="Q781" s="37" t="s">
        <v>693</v>
      </c>
      <c r="R781" s="41">
        <v>46306.0</v>
      </c>
      <c r="S781" s="42">
        <v>3.0</v>
      </c>
      <c r="T781" s="44"/>
      <c r="U781" s="47" t="str">
        <f>IF(records[Type]="Room",records[roomNo],records[roomNo]&amp;"-"&amp;SUBSTITUTE(RIGHT(records[roomNo]&amp;records[Type],2),"-",""))</f>
        <v>12-3-050</v>
      </c>
      <c r="V781" s="47" t="str">
        <f t="array" ref="V781">_xlfn.XLOOKUP(records[ID], dAir[roomNo], dAir[roomName])</f>
        <v>CORRIDOR</v>
      </c>
      <c r="W781" s="47" t="str">
        <f t="array" ref="W781">_xlfn.XLOOKUP(records[ID], dAir[roomNo], dAir[building])</f>
        <v>Building 12</v>
      </c>
      <c r="X781" s="47" t="str">
        <f t="array" ref="X781">_xlfn.XLOOKUP(records[ID], dAir[roomNo], dAir[floor])</f>
        <v>Floor 3</v>
      </c>
      <c r="Y781" s="45" t="str">
        <f t="array" ref="Y781">_xlfn.XLOOKUP(records[ID], dAir[roomNo], dAir[Class])</f>
        <v>D</v>
      </c>
      <c r="Z781" s="45">
        <f t="array" ref="Z781">_xlfn.XLOOKUP(records[Method]&amp;"-"&amp;records[Class], dAirSpec[ID], dAirSpec[Spec])</f>
        <v>100</v>
      </c>
      <c r="AA781" s="45" t="str">
        <f t="array" ref="AA781">_xlfn.XLOOKUP(records[Method]&amp;"-"&amp;records[Class], dAirSpec[ID], dAirSpec[Unit])</f>
        <v>cfu/plate</v>
      </c>
      <c r="AB781" s="58">
        <f t="array" ref="AB781">if(S781="","", if(records[Method]="Active Air",_xlfn.xlookup(records[ColonyCount]&amp;records[AirSampler],feller[code],feller[Vc]),records[ColonyCount]))</f>
        <v>3</v>
      </c>
      <c r="AC781" s="60" t="b">
        <f t="shared" si="1"/>
        <v>1</v>
      </c>
      <c r="AD781" s="61" t="b">
        <v>0</v>
      </c>
      <c r="AE781" s="32"/>
      <c r="AF781" s="46"/>
      <c r="AG781" s="46"/>
      <c r="AH781" s="46"/>
      <c r="AI781" s="46"/>
      <c r="AJ781" s="46"/>
    </row>
    <row r="782" ht="22.5" customHeight="1">
      <c r="A782" s="27">
        <v>46257.0</v>
      </c>
      <c r="B782" s="34" t="str">
        <f t="array" ref="B782">TEXT(A782, "MM-YYYY")</f>
        <v>08-2026</v>
      </c>
      <c r="C782" s="289" t="s">
        <v>809</v>
      </c>
      <c r="D782" s="284" t="s">
        <v>210</v>
      </c>
      <c r="E782" s="285" t="s">
        <v>213</v>
      </c>
      <c r="F782" s="37"/>
      <c r="G782" s="263" t="b">
        <v>0</v>
      </c>
      <c r="H782" s="36" t="s">
        <v>214</v>
      </c>
      <c r="I782" s="36" t="s">
        <v>215</v>
      </c>
      <c r="J782" s="214"/>
      <c r="K782" s="215"/>
      <c r="L782" s="187" t="s">
        <v>194</v>
      </c>
      <c r="M782" s="187" t="s">
        <v>194</v>
      </c>
      <c r="N782" s="187" t="s">
        <v>194</v>
      </c>
      <c r="O782" s="187" t="s">
        <v>194</v>
      </c>
      <c r="P782" s="37" t="s">
        <v>692</v>
      </c>
      <c r="Q782" s="37" t="s">
        <v>693</v>
      </c>
      <c r="R782" s="41">
        <v>46306.0</v>
      </c>
      <c r="S782" s="42">
        <v>0.0</v>
      </c>
      <c r="T782" s="44"/>
      <c r="U782" s="83" t="str">
        <f>IF(records[Type]="Room",records[roomNo],records[roomNo]&amp;"-"&amp;SUBSTITUTE(RIGHT(records[roomNo]&amp;records[Type],2),"-",""))</f>
        <v>12-3-053</v>
      </c>
      <c r="V782" s="47" t="str">
        <f t="array" ref="V782">_xlfn.XLOOKUP(records[ID], dAir[roomNo], dAir[roomName])</f>
        <v>MLT 2</v>
      </c>
      <c r="W782" s="47" t="str">
        <f t="array" ref="W782">_xlfn.XLOOKUP(records[ID], dAir[roomNo], dAir[building])</f>
        <v>Building 12</v>
      </c>
      <c r="X782" s="47" t="str">
        <f t="array" ref="X782">_xlfn.XLOOKUP(records[ID], dAir[roomNo], dAir[floor])</f>
        <v>Floor 3</v>
      </c>
      <c r="Y782" s="45" t="str">
        <f t="array" ref="Y782">_xlfn.XLOOKUP(records[ID], dAir[roomNo], dAir[Class])</f>
        <v>D</v>
      </c>
      <c r="Z782" s="45">
        <f t="array" ref="Z782">_xlfn.XLOOKUP(records[Method]&amp;"-"&amp;records[Class], dAirSpec[ID], dAirSpec[Spec])</f>
        <v>100</v>
      </c>
      <c r="AA782" s="45" t="str">
        <f t="array" ref="AA782">_xlfn.XLOOKUP(records[Method]&amp;"-"&amp;records[Class], dAirSpec[ID], dAirSpec[Unit])</f>
        <v>cfu/plate</v>
      </c>
      <c r="AB782" s="58">
        <f t="array" ref="AB782">if(S782="","", if(records[Method]="Active Air",_xlfn.xlookup(records[ColonyCount]&amp;records[AirSampler],feller[code],feller[Vc]),records[ColonyCount]))</f>
        <v>0</v>
      </c>
      <c r="AC782" s="60" t="b">
        <f t="shared" si="1"/>
        <v>1</v>
      </c>
      <c r="AD782" s="61" t="b">
        <v>0</v>
      </c>
      <c r="AE782" s="32"/>
      <c r="AF782" s="46"/>
      <c r="AG782" s="46"/>
      <c r="AH782" s="46"/>
      <c r="AI782" s="46"/>
      <c r="AJ782" s="46"/>
    </row>
    <row r="783" ht="22.5" customHeight="1">
      <c r="A783" s="27">
        <v>46257.0</v>
      </c>
      <c r="B783" s="34" t="str">
        <f t="array" ref="B783">TEXT(A783, "MM-YYYY")</f>
        <v>08-2026</v>
      </c>
      <c r="C783" s="290" t="s">
        <v>814</v>
      </c>
      <c r="D783" s="287" t="s">
        <v>210</v>
      </c>
      <c r="E783" s="291" t="s">
        <v>531</v>
      </c>
      <c r="F783" s="37" t="s">
        <v>130</v>
      </c>
      <c r="G783" s="263" t="b">
        <v>1</v>
      </c>
      <c r="H783" s="36" t="s">
        <v>214</v>
      </c>
      <c r="I783" s="36" t="s">
        <v>534</v>
      </c>
      <c r="J783" s="136" t="s">
        <v>1769</v>
      </c>
      <c r="K783" s="40">
        <v>46420.0</v>
      </c>
      <c r="L783" s="187" t="s">
        <v>194</v>
      </c>
      <c r="M783" s="187" t="s">
        <v>194</v>
      </c>
      <c r="N783" s="187" t="s">
        <v>194</v>
      </c>
      <c r="O783" s="187" t="s">
        <v>194</v>
      </c>
      <c r="P783" s="37" t="s">
        <v>692</v>
      </c>
      <c r="Q783" s="37" t="s">
        <v>693</v>
      </c>
      <c r="R783" s="41">
        <v>46306.0</v>
      </c>
      <c r="S783" s="42">
        <v>0.0</v>
      </c>
      <c r="T783" s="44"/>
      <c r="U783" s="83" t="str">
        <f>IF(records[Type]="Room",records[roomNo],records[roomNo]&amp;"-"&amp;SUBSTITUTE(RIGHT(records[roomNo]&amp;records[Type],2),"-",""))</f>
        <v>12-3-053-BSC</v>
      </c>
      <c r="V783" s="47" t="str">
        <f t="array" ref="V783">_xlfn.XLOOKUP(records[ID], dAir[roomNo], dAir[roomName])</f>
        <v>MLT 2</v>
      </c>
      <c r="W783" s="47" t="str">
        <f t="array" ref="W783">_xlfn.XLOOKUP(records[ID], dAir[roomNo], dAir[building])</f>
        <v>Building 12</v>
      </c>
      <c r="X783" s="47" t="str">
        <f t="array" ref="X783">_xlfn.XLOOKUP(records[ID], dAir[roomNo], dAir[floor])</f>
        <v>Floor 3</v>
      </c>
      <c r="Y783" s="45" t="str">
        <f t="array" ref="Y783">_xlfn.XLOOKUP(records[ID], dAir[roomNo], dAir[Class])</f>
        <v>A</v>
      </c>
      <c r="Z783" s="45">
        <f t="array" ref="Z783">_xlfn.XLOOKUP(records[Method]&amp;"-"&amp;records[Class], dAirSpec[ID], dAirSpec[Spec])</f>
        <v>0</v>
      </c>
      <c r="AA783" s="45" t="str">
        <f t="array" ref="AA783">_xlfn.XLOOKUP(records[Method]&amp;"-"&amp;records[Class], dAirSpec[ID], dAirSpec[Unit])</f>
        <v>cfu/m3</v>
      </c>
      <c r="AB783" s="45">
        <f t="array" ref="AB783">if(S783="","", if(records[Method]="Active Air",_xlfn.xlookup(records[ColonyCount]&amp;records[AirSampler],feller[code],feller[Vc]),records[ColonyCount]))</f>
        <v>0</v>
      </c>
      <c r="AC783" s="60" t="b">
        <f t="shared" si="1"/>
        <v>1</v>
      </c>
      <c r="AD783" s="61" t="b">
        <v>0</v>
      </c>
      <c r="AE783" s="32" t="s">
        <v>235</v>
      </c>
      <c r="AF783" s="46"/>
      <c r="AG783" s="46"/>
      <c r="AH783" s="46"/>
      <c r="AI783" s="46"/>
      <c r="AJ783" s="46"/>
    </row>
    <row r="784" ht="22.5" customHeight="1">
      <c r="A784" s="27">
        <v>46257.0</v>
      </c>
      <c r="B784" s="34" t="str">
        <f t="array" ref="B784">TEXT(A784, "MM-YYYY")</f>
        <v>08-2026</v>
      </c>
      <c r="C784" s="283" t="s">
        <v>821</v>
      </c>
      <c r="D784" s="284" t="s">
        <v>210</v>
      </c>
      <c r="E784" s="285" t="s">
        <v>213</v>
      </c>
      <c r="F784" s="37"/>
      <c r="G784" s="263" t="b">
        <v>0</v>
      </c>
      <c r="H784" s="36" t="s">
        <v>214</v>
      </c>
      <c r="I784" s="36" t="s">
        <v>215</v>
      </c>
      <c r="J784" s="214"/>
      <c r="K784" s="215"/>
      <c r="L784" s="187" t="s">
        <v>194</v>
      </c>
      <c r="M784" s="187" t="s">
        <v>194</v>
      </c>
      <c r="N784" s="187" t="s">
        <v>194</v>
      </c>
      <c r="O784" s="187" t="s">
        <v>194</v>
      </c>
      <c r="P784" s="37" t="s">
        <v>692</v>
      </c>
      <c r="Q784" s="37" t="s">
        <v>693</v>
      </c>
      <c r="R784" s="41">
        <v>46306.0</v>
      </c>
      <c r="S784" s="42">
        <v>37.0</v>
      </c>
      <c r="T784" s="44"/>
      <c r="U784" s="47" t="str">
        <f>IF(records[Type]="Room",records[roomNo],records[roomNo]&amp;"-"&amp;SUBSTITUTE(RIGHT(records[roomNo]&amp;records[Type],2),"-",""))</f>
        <v>12-3-054</v>
      </c>
      <c r="V784" s="47" t="str">
        <f t="array" ref="V784">_xlfn.XLOOKUP(records[ID], dAir[roomNo], dAir[roomName])</f>
        <v>MLT 3</v>
      </c>
      <c r="W784" s="47" t="str">
        <f t="array" ref="W784">_xlfn.XLOOKUP(records[ID], dAir[roomNo], dAir[building])</f>
        <v>Building 12</v>
      </c>
      <c r="X784" s="47" t="str">
        <f t="array" ref="X784">_xlfn.XLOOKUP(records[ID], dAir[roomNo], dAir[floor])</f>
        <v>Floor 3</v>
      </c>
      <c r="Y784" s="45" t="str">
        <f t="array" ref="Y784">_xlfn.XLOOKUP(records[ID], dAir[roomNo], dAir[Class])</f>
        <v>D</v>
      </c>
      <c r="Z784" s="45">
        <f t="array" ref="Z784">_xlfn.XLOOKUP(records[Method]&amp;"-"&amp;records[Class], dAirSpec[ID], dAirSpec[Spec])</f>
        <v>100</v>
      </c>
      <c r="AA784" s="45" t="str">
        <f t="array" ref="AA784">_xlfn.XLOOKUP(records[Method]&amp;"-"&amp;records[Class], dAirSpec[ID], dAirSpec[Unit])</f>
        <v>cfu/plate</v>
      </c>
      <c r="AB784" s="58">
        <f t="array" ref="AB784">if(S784="","", if(records[Method]="Active Air",_xlfn.xlookup(records[ColonyCount]&amp;records[AirSampler],feller[code],feller[Vc]),records[ColonyCount]))</f>
        <v>37</v>
      </c>
      <c r="AC784" s="60" t="b">
        <f t="shared" si="1"/>
        <v>1</v>
      </c>
      <c r="AD784" s="61" t="b">
        <v>0</v>
      </c>
      <c r="AE784" s="32"/>
      <c r="AF784" s="46"/>
      <c r="AG784" s="46"/>
      <c r="AH784" s="46"/>
      <c r="AI784" s="46"/>
      <c r="AJ784" s="46"/>
    </row>
    <row r="785" ht="22.5" customHeight="1">
      <c r="A785" s="27">
        <v>46257.0</v>
      </c>
      <c r="B785" s="34" t="str">
        <f t="array" ref="B785">TEXT(A785, "MM-YYYY")</f>
        <v>08-2026</v>
      </c>
      <c r="C785" s="286" t="s">
        <v>825</v>
      </c>
      <c r="D785" s="287" t="s">
        <v>210</v>
      </c>
      <c r="E785" s="291" t="s">
        <v>531</v>
      </c>
      <c r="F785" s="37" t="s">
        <v>130</v>
      </c>
      <c r="G785" s="263" t="b">
        <v>1</v>
      </c>
      <c r="H785" s="36" t="s">
        <v>214</v>
      </c>
      <c r="I785" s="36" t="s">
        <v>534</v>
      </c>
      <c r="J785" s="136" t="s">
        <v>1769</v>
      </c>
      <c r="K785" s="40">
        <v>46420.0</v>
      </c>
      <c r="L785" s="187" t="s">
        <v>194</v>
      </c>
      <c r="M785" s="187" t="s">
        <v>194</v>
      </c>
      <c r="N785" s="187" t="s">
        <v>194</v>
      </c>
      <c r="O785" s="187" t="s">
        <v>194</v>
      </c>
      <c r="P785" s="37" t="s">
        <v>692</v>
      </c>
      <c r="Q785" s="37" t="s">
        <v>693</v>
      </c>
      <c r="R785" s="41">
        <v>46306.0</v>
      </c>
      <c r="S785" s="42">
        <v>0.0</v>
      </c>
      <c r="T785" s="44"/>
      <c r="U785" s="47" t="str">
        <f>IF(records[Type]="Room",records[roomNo],records[roomNo]&amp;"-"&amp;SUBSTITUTE(RIGHT(records[roomNo]&amp;records[Type],2),"-",""))</f>
        <v>12-3-054-BSC</v>
      </c>
      <c r="V785" s="47" t="str">
        <f t="array" ref="V785">_xlfn.XLOOKUP(records[ID], dAir[roomNo], dAir[roomName])</f>
        <v>MLT 3</v>
      </c>
      <c r="W785" s="47" t="str">
        <f t="array" ref="W785">_xlfn.XLOOKUP(records[ID], dAir[roomNo], dAir[building])</f>
        <v>Building 12</v>
      </c>
      <c r="X785" s="47" t="str">
        <f t="array" ref="X785">_xlfn.XLOOKUP(records[ID], dAir[roomNo], dAir[floor])</f>
        <v>Floor 3</v>
      </c>
      <c r="Y785" s="45" t="str">
        <f t="array" ref="Y785">_xlfn.XLOOKUP(records[ID], dAir[roomNo], dAir[Class])</f>
        <v>A</v>
      </c>
      <c r="Z785" s="45">
        <f t="array" ref="Z785">_xlfn.XLOOKUP(records[Method]&amp;"-"&amp;records[Class], dAirSpec[ID], dAirSpec[Spec])</f>
        <v>0</v>
      </c>
      <c r="AA785" s="45" t="str">
        <f t="array" ref="AA785">_xlfn.XLOOKUP(records[Method]&amp;"-"&amp;records[Class], dAirSpec[ID], dAirSpec[Unit])</f>
        <v>cfu/m3</v>
      </c>
      <c r="AB785" s="45">
        <f t="array" ref="AB785">if(S785="","", if(records[Method]="Active Air",_xlfn.xlookup(records[ColonyCount]&amp;records[AirSampler],feller[code],feller[Vc]),records[ColonyCount]))</f>
        <v>0</v>
      </c>
      <c r="AC785" s="60" t="b">
        <f t="shared" si="1"/>
        <v>1</v>
      </c>
      <c r="AD785" s="61" t="b">
        <v>0</v>
      </c>
      <c r="AE785" s="32" t="s">
        <v>235</v>
      </c>
      <c r="AF785" s="46"/>
      <c r="AG785" s="46"/>
      <c r="AH785" s="46"/>
      <c r="AI785" s="46"/>
      <c r="AJ785" s="46"/>
    </row>
    <row r="786" ht="22.5" customHeight="1">
      <c r="A786" s="27">
        <v>46257.0</v>
      </c>
      <c r="B786" s="34" t="str">
        <f t="array" ref="B786">TEXT(A786, "MM-YYYY")</f>
        <v>08-2026</v>
      </c>
      <c r="C786" s="283" t="s">
        <v>831</v>
      </c>
      <c r="D786" s="284" t="s">
        <v>210</v>
      </c>
      <c r="E786" s="285" t="s">
        <v>213</v>
      </c>
      <c r="F786" s="37"/>
      <c r="G786" s="263" t="b">
        <v>0</v>
      </c>
      <c r="H786" s="36" t="s">
        <v>214</v>
      </c>
      <c r="I786" s="36" t="s">
        <v>215</v>
      </c>
      <c r="J786" s="214"/>
      <c r="K786" s="215"/>
      <c r="L786" s="187" t="s">
        <v>194</v>
      </c>
      <c r="M786" s="187" t="s">
        <v>194</v>
      </c>
      <c r="N786" s="187" t="s">
        <v>194</v>
      </c>
      <c r="O786" s="187" t="s">
        <v>194</v>
      </c>
      <c r="P786" s="37" t="s">
        <v>692</v>
      </c>
      <c r="Q786" s="37" t="s">
        <v>693</v>
      </c>
      <c r="R786" s="41">
        <v>46306.0</v>
      </c>
      <c r="S786" s="42">
        <v>0.0</v>
      </c>
      <c r="T786" s="44"/>
      <c r="U786" s="47" t="str">
        <f>IF(records[Type]="Room",records[roomNo],records[roomNo]&amp;"-"&amp;SUBSTITUTE(RIGHT(records[roomNo]&amp;records[Type],2),"-",""))</f>
        <v>12-3-055</v>
      </c>
      <c r="V786" s="47" t="str">
        <f t="array" ref="V786">_xlfn.XLOOKUP(records[ID], dAir[roomNo], dAir[roomName])</f>
        <v>SPARE ROOM</v>
      </c>
      <c r="W786" s="47" t="str">
        <f t="array" ref="W786">_xlfn.XLOOKUP(records[ID], dAir[roomNo], dAir[building])</f>
        <v>Building 12</v>
      </c>
      <c r="X786" s="47" t="str">
        <f t="array" ref="X786">_xlfn.XLOOKUP(records[ID], dAir[roomNo], dAir[floor])</f>
        <v>Floor 3</v>
      </c>
      <c r="Y786" s="45" t="str">
        <f t="array" ref="Y786">_xlfn.XLOOKUP(records[ID], dAir[roomNo], dAir[Class])</f>
        <v>D</v>
      </c>
      <c r="Z786" s="45">
        <f t="array" ref="Z786">_xlfn.XLOOKUP(records[Method]&amp;"-"&amp;records[Class], dAirSpec[ID], dAirSpec[Spec])</f>
        <v>100</v>
      </c>
      <c r="AA786" s="45" t="str">
        <f t="array" ref="AA786">_xlfn.XLOOKUP(records[Method]&amp;"-"&amp;records[Class], dAirSpec[ID], dAirSpec[Unit])</f>
        <v>cfu/plate</v>
      </c>
      <c r="AB786" s="58">
        <f t="array" ref="AB786">if(S786="","", if(records[Method]="Active Air",_xlfn.xlookup(records[ColonyCount]&amp;records[AirSampler],feller[code],feller[Vc]),records[ColonyCount]))</f>
        <v>0</v>
      </c>
      <c r="AC786" s="60" t="b">
        <f t="shared" si="1"/>
        <v>1</v>
      </c>
      <c r="AD786" s="61" t="b">
        <v>0</v>
      </c>
      <c r="AE786" s="32"/>
      <c r="AF786" s="46"/>
      <c r="AG786" s="46"/>
      <c r="AH786" s="46"/>
      <c r="AI786" s="46"/>
      <c r="AJ786" s="46"/>
    </row>
    <row r="787" ht="22.5" customHeight="1">
      <c r="A787" s="27">
        <v>46257.0</v>
      </c>
      <c r="B787" s="34" t="str">
        <f t="array" ref="B787">TEXT(A787, "MM-YYYY")</f>
        <v>08-2026</v>
      </c>
      <c r="C787" s="244" t="s">
        <v>831</v>
      </c>
      <c r="D787" s="259" t="s">
        <v>1350</v>
      </c>
      <c r="E787" s="257" t="s">
        <v>213</v>
      </c>
      <c r="F787" s="37"/>
      <c r="G787" s="263" t="b">
        <v>0</v>
      </c>
      <c r="H787" s="36" t="s">
        <v>214</v>
      </c>
      <c r="I787" s="36" t="s">
        <v>215</v>
      </c>
      <c r="J787" s="214"/>
      <c r="K787" s="215"/>
      <c r="L787" s="187" t="s">
        <v>194</v>
      </c>
      <c r="M787" s="187" t="s">
        <v>194</v>
      </c>
      <c r="N787" s="187" t="s">
        <v>194</v>
      </c>
      <c r="O787" s="187" t="s">
        <v>194</v>
      </c>
      <c r="P787" s="37" t="s">
        <v>692</v>
      </c>
      <c r="Q787" s="37" t="s">
        <v>693</v>
      </c>
      <c r="R787" s="41">
        <v>46306.0</v>
      </c>
      <c r="S787" s="42">
        <v>0.0</v>
      </c>
      <c r="T787" s="44"/>
      <c r="U787" s="45" t="str">
        <f>IF(records[Type]="Room",records[roomNo],records[roomNo]&amp;"-"&amp;SUBSTITUTE(RIGHT(records[roomNo]&amp;records[Type],2),"-",""))</f>
        <v>12-3-055-PB</v>
      </c>
      <c r="V787" s="47" t="str">
        <f t="array" ref="V787">_xlfn.XLOOKUP(records[ID], dAir[roomNo], dAir[roomName])</f>
        <v>#N/A</v>
      </c>
      <c r="W787" s="47" t="str">
        <f t="array" ref="W787">_xlfn.XLOOKUP(records[ID], dAir[roomNo], dAir[building])</f>
        <v>#N/A</v>
      </c>
      <c r="X787" s="47" t="str">
        <f t="array" ref="X787">_xlfn.XLOOKUP(records[ID], dAir[roomNo], dAir[floor])</f>
        <v>#N/A</v>
      </c>
      <c r="Y787" s="45" t="str">
        <f t="array" ref="Y787">_xlfn.XLOOKUP(records[ID], dAir[roomNo], dAir[Class])</f>
        <v>#N/A</v>
      </c>
      <c r="Z787" s="45" t="str">
        <f t="array" ref="Z787">_xlfn.XLOOKUP(records[Method]&amp;"-"&amp;records[Class], dAirSpec[ID], dAirSpec[Spec])</f>
        <v>#N/A</v>
      </c>
      <c r="AA787" s="45" t="str">
        <f t="array" ref="AA787">_xlfn.XLOOKUP(records[Method]&amp;"-"&amp;records[Class], dAirSpec[ID], dAirSpec[Unit])</f>
        <v>#N/A</v>
      </c>
      <c r="AB787" s="58">
        <f t="array" ref="AB787">if(S787="","", if(records[Method]="Active Air",_xlfn.xlookup(records[ColonyCount]&amp;records[AirSampler],feller[code],feller[Vc]),records[ColonyCount]))</f>
        <v>0</v>
      </c>
      <c r="AC787" s="60" t="str">
        <f t="shared" si="1"/>
        <v>#N/A</v>
      </c>
      <c r="AD787" s="61" t="b">
        <v>0</v>
      </c>
      <c r="AE787" s="32"/>
      <c r="AF787" s="46"/>
      <c r="AG787" s="46"/>
      <c r="AH787" s="46"/>
      <c r="AI787" s="46"/>
      <c r="AJ787" s="46"/>
    </row>
    <row r="788" ht="22.5" customHeight="1">
      <c r="A788" s="27">
        <v>46258.0</v>
      </c>
      <c r="B788" s="34" t="str">
        <f t="array" ref="B788">TEXT(A788, "MM-YYYY")</f>
        <v>08-2026</v>
      </c>
      <c r="C788" s="39" t="s">
        <v>753</v>
      </c>
      <c r="D788" s="36" t="s">
        <v>755</v>
      </c>
      <c r="E788" s="225" t="s">
        <v>531</v>
      </c>
      <c r="F788" s="37" t="s">
        <v>137</v>
      </c>
      <c r="G788" s="263" t="b">
        <v>1</v>
      </c>
      <c r="H788" s="36" t="s">
        <v>214</v>
      </c>
      <c r="I788" s="36" t="s">
        <v>534</v>
      </c>
      <c r="J788" s="136" t="s">
        <v>1769</v>
      </c>
      <c r="K788" s="40">
        <v>46420.0</v>
      </c>
      <c r="L788" s="292" t="s">
        <v>452</v>
      </c>
      <c r="M788" s="292" t="s">
        <v>2507</v>
      </c>
      <c r="N788" s="187" t="s">
        <v>194</v>
      </c>
      <c r="O788" s="187" t="s">
        <v>194</v>
      </c>
      <c r="P788" s="37" t="s">
        <v>692</v>
      </c>
      <c r="Q788" s="37" t="s">
        <v>693</v>
      </c>
      <c r="R788" s="41">
        <v>46306.0</v>
      </c>
      <c r="S788" s="42">
        <v>0.0</v>
      </c>
      <c r="T788" s="44" t="s">
        <v>755</v>
      </c>
      <c r="U788" s="45" t="str">
        <f>IF(records[Type]="Room",records[roomNo],records[roomNo]&amp;"-"&amp;SUBSTITUTE(RIGHT(records[roomNo]&amp;records[Type],2),"-",""))</f>
        <v>16-1-075-M</v>
      </c>
      <c r="V788" s="47" t="str">
        <f t="array" ref="V788">_xlfn.XLOOKUP(records[ID], dAir[roomNo], dAir[roomName])</f>
        <v>VIALS CAPPING (Machine)</v>
      </c>
      <c r="W788" s="47" t="str">
        <f t="array" ref="W788">_xlfn.XLOOKUP(records[ID], dAir[roomNo], dAir[building])</f>
        <v>Building 16</v>
      </c>
      <c r="X788" s="47" t="str">
        <f t="array" ref="X788">_xlfn.XLOOKUP(records[ID], dAir[roomNo], dAir[floor])</f>
        <v>Floor 1</v>
      </c>
      <c r="Y788" s="45" t="str">
        <f t="array" ref="Y788">_xlfn.XLOOKUP(records[ID], dAir[roomNo], dAir[Class])</f>
        <v>A</v>
      </c>
      <c r="Z788" s="45">
        <f t="array" ref="Z788">_xlfn.XLOOKUP(records[Method]&amp;"-"&amp;records[Class], dAirSpec[ID], dAirSpec[Spec])</f>
        <v>0</v>
      </c>
      <c r="AA788" s="45" t="str">
        <f t="array" ref="AA788">_xlfn.XLOOKUP(records[Method]&amp;"-"&amp;records[Class], dAirSpec[ID], dAirSpec[Unit])</f>
        <v>cfu/m3</v>
      </c>
      <c r="AB788" s="45">
        <f t="array" ref="AB788">if(S788="","", if(records[Method]="Active Air",_xlfn.xlookup(records[ColonyCount]&amp;records[AirSampler],feller[code],feller[Vc]),records[ColonyCount]))</f>
        <v>0</v>
      </c>
      <c r="AC788" s="60" t="b">
        <f t="shared" si="1"/>
        <v>1</v>
      </c>
      <c r="AD788" s="61" t="b">
        <v>0</v>
      </c>
      <c r="AE788" s="32" t="s">
        <v>235</v>
      </c>
      <c r="AF788" s="46"/>
      <c r="AG788" s="46"/>
      <c r="AH788" s="46"/>
      <c r="AI788" s="46"/>
      <c r="AJ788" s="46"/>
    </row>
    <row r="789" ht="22.5" customHeight="1">
      <c r="A789" s="27">
        <v>46258.0</v>
      </c>
      <c r="B789" s="34" t="str">
        <f t="array" ref="B789">TEXT(A789, "MM-YYYY")</f>
        <v>08-2026</v>
      </c>
      <c r="C789" s="39" t="s">
        <v>765</v>
      </c>
      <c r="D789" s="36" t="s">
        <v>755</v>
      </c>
      <c r="E789" s="225" t="s">
        <v>531</v>
      </c>
      <c r="F789" s="37" t="s">
        <v>137</v>
      </c>
      <c r="G789" s="263" t="b">
        <v>1</v>
      </c>
      <c r="H789" s="36" t="s">
        <v>214</v>
      </c>
      <c r="I789" s="36" t="s">
        <v>534</v>
      </c>
      <c r="J789" s="136" t="s">
        <v>1769</v>
      </c>
      <c r="K789" s="40">
        <v>46420.0</v>
      </c>
      <c r="L789" s="292" t="s">
        <v>310</v>
      </c>
      <c r="M789" s="292" t="s">
        <v>526</v>
      </c>
      <c r="N789" s="187" t="s">
        <v>194</v>
      </c>
      <c r="O789" s="187" t="s">
        <v>194</v>
      </c>
      <c r="P789" s="37" t="s">
        <v>692</v>
      </c>
      <c r="Q789" s="37" t="s">
        <v>693</v>
      </c>
      <c r="R789" s="41">
        <v>46306.0</v>
      </c>
      <c r="S789" s="42">
        <v>0.0</v>
      </c>
      <c r="T789" s="44" t="s">
        <v>755</v>
      </c>
      <c r="U789" s="45" t="str">
        <f>IF(records[Type]="Room",records[roomNo],records[roomNo]&amp;"-"&amp;SUBSTITUTE(RIGHT(records[roomNo]&amp;records[Type],2),"-",""))</f>
        <v>16-1-076-M</v>
      </c>
      <c r="V789" s="47" t="str">
        <f t="array" ref="V789">_xlfn.XLOOKUP(records[ID], dAir[roomNo], dAir[roomName])</f>
        <v>FILLING 2 (Machine)</v>
      </c>
      <c r="W789" s="47" t="str">
        <f t="array" ref="W789">_xlfn.XLOOKUP(records[ID], dAir[roomNo], dAir[building])</f>
        <v>Building 16</v>
      </c>
      <c r="X789" s="47" t="str">
        <f t="array" ref="X789">_xlfn.XLOOKUP(records[ID], dAir[roomNo], dAir[floor])</f>
        <v>Floor 1</v>
      </c>
      <c r="Y789" s="45" t="str">
        <f t="array" ref="Y789">_xlfn.XLOOKUP(records[ID], dAir[roomNo], dAir[Class])</f>
        <v>A</v>
      </c>
      <c r="Z789" s="45">
        <f t="array" ref="Z789">_xlfn.XLOOKUP(records[Method]&amp;"-"&amp;records[Class], dAirSpec[ID], dAirSpec[Spec])</f>
        <v>0</v>
      </c>
      <c r="AA789" s="45" t="str">
        <f t="array" ref="AA789">_xlfn.XLOOKUP(records[Method]&amp;"-"&amp;records[Class], dAirSpec[ID], dAirSpec[Unit])</f>
        <v>cfu/m3</v>
      </c>
      <c r="AB789" s="45">
        <f t="array" ref="AB789">if(S789="","", if(records[Method]="Active Air",_xlfn.xlookup(records[ColonyCount]&amp;records[AirSampler],feller[code],feller[Vc]),records[ColonyCount]))</f>
        <v>0</v>
      </c>
      <c r="AC789" s="60" t="b">
        <f t="shared" si="1"/>
        <v>1</v>
      </c>
      <c r="AD789" s="61" t="b">
        <v>0</v>
      </c>
      <c r="AE789" s="32" t="s">
        <v>235</v>
      </c>
      <c r="AF789" s="46"/>
      <c r="AG789" s="46"/>
      <c r="AH789" s="46"/>
      <c r="AI789" s="46"/>
      <c r="AJ789" s="46"/>
    </row>
    <row r="790" ht="22.5" customHeight="1">
      <c r="A790" s="27">
        <v>46258.0</v>
      </c>
      <c r="B790" s="34" t="str">
        <f t="array" ref="B790">TEXT(A790, "MM-YYYY")</f>
        <v>08-2026</v>
      </c>
      <c r="C790" s="39" t="s">
        <v>765</v>
      </c>
      <c r="D790" s="36" t="s">
        <v>770</v>
      </c>
      <c r="E790" s="225" t="s">
        <v>531</v>
      </c>
      <c r="F790" s="37" t="s">
        <v>137</v>
      </c>
      <c r="G790" s="263" t="b">
        <v>1</v>
      </c>
      <c r="H790" s="36" t="s">
        <v>214</v>
      </c>
      <c r="I790" s="36" t="s">
        <v>534</v>
      </c>
      <c r="J790" s="136" t="s">
        <v>1769</v>
      </c>
      <c r="K790" s="40">
        <v>46420.0</v>
      </c>
      <c r="L790" s="292" t="s">
        <v>310</v>
      </c>
      <c r="M790" s="292" t="s">
        <v>526</v>
      </c>
      <c r="N790" s="187" t="s">
        <v>194</v>
      </c>
      <c r="O790" s="187" t="s">
        <v>194</v>
      </c>
      <c r="P790" s="37" t="s">
        <v>692</v>
      </c>
      <c r="Q790" s="37" t="s">
        <v>693</v>
      </c>
      <c r="R790" s="41">
        <v>46306.0</v>
      </c>
      <c r="S790" s="42">
        <v>0.0</v>
      </c>
      <c r="T790" s="44" t="s">
        <v>770</v>
      </c>
      <c r="U790" s="45" t="str">
        <f>IF(records[Type]="Room",records[roomNo],records[roomNo]&amp;"-"&amp;SUBSTITUTE(RIGHT(records[roomNo]&amp;records[Type],2),"-",""))</f>
        <v>16-1-076-L</v>
      </c>
      <c r="V790" s="47" t="str">
        <f t="array" ref="V790">_xlfn.XLOOKUP(records[ID], dAir[roomNo], dAir[roomName])</f>
        <v>FILLING 2 (Laminar)</v>
      </c>
      <c r="W790" s="47" t="str">
        <f t="array" ref="W790">_xlfn.XLOOKUP(records[ID], dAir[roomNo], dAir[building])</f>
        <v>Building 16</v>
      </c>
      <c r="X790" s="47" t="str">
        <f t="array" ref="X790">_xlfn.XLOOKUP(records[ID], dAir[roomNo], dAir[floor])</f>
        <v>Floor 1</v>
      </c>
      <c r="Y790" s="45" t="str">
        <f t="array" ref="Y790">_xlfn.XLOOKUP(records[ID], dAir[roomNo], dAir[Class])</f>
        <v>A</v>
      </c>
      <c r="Z790" s="45">
        <f t="array" ref="Z790">_xlfn.XLOOKUP(records[Method]&amp;"-"&amp;records[Class], dAirSpec[ID], dAirSpec[Spec])</f>
        <v>0</v>
      </c>
      <c r="AA790" s="45" t="str">
        <f t="array" ref="AA790">_xlfn.XLOOKUP(records[Method]&amp;"-"&amp;records[Class], dAirSpec[ID], dAirSpec[Unit])</f>
        <v>cfu/m3</v>
      </c>
      <c r="AB790" s="45">
        <f t="array" ref="AB790">if(S790="","", if(records[Method]="Active Air",_xlfn.xlookup(records[ColonyCount]&amp;records[AirSampler],feller[code],feller[Vc]),records[ColonyCount]))</f>
        <v>0</v>
      </c>
      <c r="AC790" s="60" t="b">
        <f t="shared" si="1"/>
        <v>1</v>
      </c>
      <c r="AD790" s="61" t="b">
        <v>0</v>
      </c>
      <c r="AE790" s="32" t="s">
        <v>235</v>
      </c>
      <c r="AF790" s="46"/>
      <c r="AG790" s="46"/>
      <c r="AH790" s="46"/>
      <c r="AI790" s="46"/>
      <c r="AJ790" s="46"/>
    </row>
    <row r="791" ht="22.5" customHeight="1">
      <c r="A791" s="27">
        <v>46258.0</v>
      </c>
      <c r="B791" s="34" t="str">
        <f t="array" ref="B791">TEXT(A791, "MM-YYYY")</f>
        <v>08-2026</v>
      </c>
      <c r="C791" s="39" t="s">
        <v>774</v>
      </c>
      <c r="D791" s="36" t="s">
        <v>755</v>
      </c>
      <c r="E791" s="225" t="s">
        <v>531</v>
      </c>
      <c r="F791" s="37" t="s">
        <v>137</v>
      </c>
      <c r="G791" s="263" t="b">
        <v>1</v>
      </c>
      <c r="H791" s="36" t="s">
        <v>214</v>
      </c>
      <c r="I791" s="36" t="s">
        <v>534</v>
      </c>
      <c r="J791" s="136" t="s">
        <v>1769</v>
      </c>
      <c r="K791" s="40">
        <v>46420.0</v>
      </c>
      <c r="L791" s="292" t="s">
        <v>292</v>
      </c>
      <c r="M791" s="292" t="s">
        <v>1787</v>
      </c>
      <c r="N791" s="187" t="s">
        <v>194</v>
      </c>
      <c r="O791" s="187" t="s">
        <v>194</v>
      </c>
      <c r="P791" s="37" t="s">
        <v>692</v>
      </c>
      <c r="Q791" s="37" t="s">
        <v>693</v>
      </c>
      <c r="R791" s="41">
        <v>46306.0</v>
      </c>
      <c r="S791" s="42">
        <v>0.0</v>
      </c>
      <c r="T791" s="44" t="s">
        <v>755</v>
      </c>
      <c r="U791" s="45" t="str">
        <f>IF(records[Type]="Room",records[roomNo],records[roomNo]&amp;"-"&amp;SUBSTITUTE(RIGHT(records[roomNo]&amp;records[Type],2),"-",""))</f>
        <v>16-1-084-M</v>
      </c>
      <c r="V791" s="47" t="str">
        <f t="array" ref="V791">_xlfn.XLOOKUP(records[ID], dAir[roomNo], dAir[roomName])</f>
        <v>FILLING 1 (Machine)</v>
      </c>
      <c r="W791" s="47" t="str">
        <f t="array" ref="W791">_xlfn.XLOOKUP(records[ID], dAir[roomNo], dAir[building])</f>
        <v>Building 16</v>
      </c>
      <c r="X791" s="47" t="str">
        <f t="array" ref="X791">_xlfn.XLOOKUP(records[ID], dAir[roomNo], dAir[floor])</f>
        <v>Floor 1</v>
      </c>
      <c r="Y791" s="45" t="str">
        <f t="array" ref="Y791">_xlfn.XLOOKUP(records[ID], dAir[roomNo], dAir[Class])</f>
        <v>A</v>
      </c>
      <c r="Z791" s="45">
        <f t="array" ref="Z791">_xlfn.XLOOKUP(records[Method]&amp;"-"&amp;records[Class], dAirSpec[ID], dAirSpec[Spec])</f>
        <v>0</v>
      </c>
      <c r="AA791" s="45" t="str">
        <f t="array" ref="AA791">_xlfn.XLOOKUP(records[Method]&amp;"-"&amp;records[Class], dAirSpec[ID], dAirSpec[Unit])</f>
        <v>cfu/m3</v>
      </c>
      <c r="AB791" s="45">
        <f t="array" ref="AB791">if(S791="","", if(records[Method]="Active Air",_xlfn.xlookup(records[ColonyCount]&amp;records[AirSampler],feller[code],feller[Vc]),records[ColonyCount]))</f>
        <v>0</v>
      </c>
      <c r="AC791" s="60" t="b">
        <f t="shared" si="1"/>
        <v>1</v>
      </c>
      <c r="AD791" s="61" t="b">
        <v>0</v>
      </c>
      <c r="AE791" s="32" t="s">
        <v>235</v>
      </c>
      <c r="AF791" s="46"/>
      <c r="AG791" s="46"/>
      <c r="AH791" s="46"/>
      <c r="AI791" s="46"/>
      <c r="AJ791" s="46"/>
    </row>
    <row r="792" ht="22.5" customHeight="1">
      <c r="A792" s="27">
        <v>46258.0</v>
      </c>
      <c r="B792" s="34" t="str">
        <f t="array" ref="B792">TEXT(A792, "MM-YYYY")</f>
        <v>08-2026</v>
      </c>
      <c r="C792" s="39" t="s">
        <v>774</v>
      </c>
      <c r="D792" s="36" t="s">
        <v>770</v>
      </c>
      <c r="E792" s="225" t="s">
        <v>531</v>
      </c>
      <c r="F792" s="37" t="s">
        <v>137</v>
      </c>
      <c r="G792" s="263" t="b">
        <v>1</v>
      </c>
      <c r="H792" s="36" t="s">
        <v>214</v>
      </c>
      <c r="I792" s="36" t="s">
        <v>534</v>
      </c>
      <c r="J792" s="136" t="s">
        <v>1769</v>
      </c>
      <c r="K792" s="40">
        <v>46420.0</v>
      </c>
      <c r="L792" s="292" t="s">
        <v>292</v>
      </c>
      <c r="M792" s="292" t="s">
        <v>1787</v>
      </c>
      <c r="N792" s="187" t="s">
        <v>194</v>
      </c>
      <c r="O792" s="187" t="s">
        <v>194</v>
      </c>
      <c r="P792" s="37" t="s">
        <v>692</v>
      </c>
      <c r="Q792" s="37" t="s">
        <v>693</v>
      </c>
      <c r="R792" s="41">
        <v>46306.0</v>
      </c>
      <c r="S792" s="42">
        <v>0.0</v>
      </c>
      <c r="T792" s="44" t="s">
        <v>770</v>
      </c>
      <c r="U792" s="45" t="str">
        <f>IF(records[Type]="Room",records[roomNo],records[roomNo]&amp;"-"&amp;SUBSTITUTE(RIGHT(records[roomNo]&amp;records[Type],2),"-",""))</f>
        <v>16-1-084-L</v>
      </c>
      <c r="V792" s="47" t="str">
        <f t="array" ref="V792">_xlfn.XLOOKUP(records[ID], dAir[roomNo], dAir[roomName])</f>
        <v>FILLING 1 (Laminar)</v>
      </c>
      <c r="W792" s="47" t="str">
        <f t="array" ref="W792">_xlfn.XLOOKUP(records[ID], dAir[roomNo], dAir[building])</f>
        <v>Building 16</v>
      </c>
      <c r="X792" s="47" t="str">
        <f t="array" ref="X792">_xlfn.XLOOKUP(records[ID], dAir[roomNo], dAir[floor])</f>
        <v>Floor 1</v>
      </c>
      <c r="Y792" s="45" t="str">
        <f t="array" ref="Y792">_xlfn.XLOOKUP(records[ID], dAir[roomNo], dAir[Class])</f>
        <v>A</v>
      </c>
      <c r="Z792" s="45">
        <f t="array" ref="Z792">_xlfn.XLOOKUP(records[Method]&amp;"-"&amp;records[Class], dAirSpec[ID], dAirSpec[Spec])</f>
        <v>0</v>
      </c>
      <c r="AA792" s="45" t="str">
        <f t="array" ref="AA792">_xlfn.XLOOKUP(records[Method]&amp;"-"&amp;records[Class], dAirSpec[ID], dAirSpec[Unit])</f>
        <v>cfu/m3</v>
      </c>
      <c r="AB792" s="45">
        <f t="array" ref="AB792">if(S792="","", if(records[Method]="Active Air",_xlfn.xlookup(records[ColonyCount]&amp;records[AirSampler],feller[code],feller[Vc]),records[ColonyCount]))</f>
        <v>0</v>
      </c>
      <c r="AC792" s="60" t="b">
        <f t="shared" si="1"/>
        <v>1</v>
      </c>
      <c r="AD792" s="61" t="b">
        <v>0</v>
      </c>
      <c r="AE792" s="32" t="s">
        <v>235</v>
      </c>
      <c r="AF792" s="46"/>
      <c r="AG792" s="46"/>
      <c r="AH792" s="46"/>
      <c r="AI792" s="46"/>
      <c r="AJ792" s="46"/>
    </row>
    <row r="793" ht="22.5" customHeight="1">
      <c r="A793" s="27">
        <v>46258.0</v>
      </c>
      <c r="B793" s="34" t="str">
        <f t="array" ref="B793">TEXT(A793, "MM-YYYY")</f>
        <v>08-2026</v>
      </c>
      <c r="C793" s="32" t="s">
        <v>786</v>
      </c>
      <c r="D793" s="21" t="s">
        <v>680</v>
      </c>
      <c r="E793" s="225" t="s">
        <v>531</v>
      </c>
      <c r="F793" s="37" t="s">
        <v>137</v>
      </c>
      <c r="G793" s="263" t="b">
        <v>1</v>
      </c>
      <c r="H793" s="36" t="s">
        <v>214</v>
      </c>
      <c r="I793" s="36" t="s">
        <v>534</v>
      </c>
      <c r="J793" s="136" t="s">
        <v>1769</v>
      </c>
      <c r="K793" s="40">
        <v>46420.0</v>
      </c>
      <c r="L793" s="292" t="s">
        <v>402</v>
      </c>
      <c r="M793" s="292" t="s">
        <v>331</v>
      </c>
      <c r="N793" s="187" t="s">
        <v>194</v>
      </c>
      <c r="O793" s="187" t="s">
        <v>194</v>
      </c>
      <c r="P793" s="37" t="s">
        <v>692</v>
      </c>
      <c r="Q793" s="37" t="s">
        <v>693</v>
      </c>
      <c r="R793" s="41">
        <v>46306.0</v>
      </c>
      <c r="S793" s="42">
        <v>0.0</v>
      </c>
      <c r="T793" s="44" t="s">
        <v>680</v>
      </c>
      <c r="U793" s="45" t="str">
        <f>IF(records[Type]="Room",records[roomNo],records[roomNo]&amp;"-"&amp;SUBSTITUTE(RIGHT(records[roomNo]&amp;records[Type],2),"-",""))</f>
        <v>16-1-102-B</v>
      </c>
      <c r="V793" s="47" t="str">
        <f t="array" ref="V793">_xlfn.XLOOKUP(records[ID], dAir[roomNo], dAir[roomName])</f>
        <v>DISPENSING (Booth)</v>
      </c>
      <c r="W793" s="47" t="str">
        <f t="array" ref="W793">_xlfn.XLOOKUP(records[ID], dAir[roomNo], dAir[building])</f>
        <v>Building 16</v>
      </c>
      <c r="X793" s="47" t="str">
        <f t="array" ref="X793">_xlfn.XLOOKUP(records[ID], dAir[roomNo], dAir[floor])</f>
        <v>Floor 1</v>
      </c>
      <c r="Y793" s="45" t="str">
        <f t="array" ref="Y793">_xlfn.XLOOKUP(records[ID], dAir[roomNo], dAir[Class])</f>
        <v>A</v>
      </c>
      <c r="Z793" s="45">
        <f t="array" ref="Z793">_xlfn.XLOOKUP(records[Method]&amp;"-"&amp;records[Class], dAirSpec[ID], dAirSpec[Spec])</f>
        <v>0</v>
      </c>
      <c r="AA793" s="45" t="str">
        <f t="array" ref="AA793">_xlfn.XLOOKUP(records[Method]&amp;"-"&amp;records[Class], dAirSpec[ID], dAirSpec[Unit])</f>
        <v>cfu/m3</v>
      </c>
      <c r="AB793" s="45">
        <f t="array" ref="AB793">if(S793="","", if(records[Method]="Active Air",_xlfn.xlookup(records[ColonyCount]&amp;records[AirSampler],feller[code],feller[Vc]),records[ColonyCount]))</f>
        <v>0</v>
      </c>
      <c r="AC793" s="60" t="b">
        <f t="shared" si="1"/>
        <v>1</v>
      </c>
      <c r="AD793" s="61" t="b">
        <v>0</v>
      </c>
      <c r="AE793" s="32" t="s">
        <v>235</v>
      </c>
      <c r="AF793" s="46"/>
      <c r="AG793" s="46"/>
      <c r="AH793" s="46"/>
      <c r="AI793" s="46"/>
      <c r="AJ793" s="46"/>
    </row>
    <row r="794" ht="22.5" customHeight="1">
      <c r="A794" s="27">
        <v>46259.0</v>
      </c>
      <c r="B794" s="34" t="str">
        <f t="array" ref="B794">TEXT(A794, "MM-YYYY")</f>
        <v>08-2026</v>
      </c>
      <c r="C794" s="32" t="s">
        <v>207</v>
      </c>
      <c r="D794" s="21" t="s">
        <v>210</v>
      </c>
      <c r="E794" s="21" t="s">
        <v>213</v>
      </c>
      <c r="F794" s="37" t="s">
        <v>149</v>
      </c>
      <c r="G794" s="263" t="b">
        <v>1</v>
      </c>
      <c r="H794" s="36" t="s">
        <v>214</v>
      </c>
      <c r="I794" s="36" t="s">
        <v>215</v>
      </c>
      <c r="J794" s="214"/>
      <c r="K794" s="215"/>
      <c r="L794" s="187" t="s">
        <v>194</v>
      </c>
      <c r="M794" s="187" t="s">
        <v>194</v>
      </c>
      <c r="N794" s="187" t="s">
        <v>194</v>
      </c>
      <c r="O794" s="187" t="s">
        <v>194</v>
      </c>
      <c r="P794" s="37" t="s">
        <v>692</v>
      </c>
      <c r="Q794" s="37" t="s">
        <v>693</v>
      </c>
      <c r="R794" s="41">
        <v>46306.0</v>
      </c>
      <c r="S794" s="42">
        <v>19.0</v>
      </c>
      <c r="T794" s="44"/>
      <c r="U794" s="45" t="str">
        <f>IF(records[Type]="Room",records[roomNo],records[roomNo]&amp;"-"&amp;SUBSTITUTE(RIGHT(records[roomNo]&amp;records[Type],2),"-",""))</f>
        <v>12-2-021</v>
      </c>
      <c r="V794" s="47" t="str">
        <f t="array" ref="V794">_xlfn.XLOOKUP(records[ID], dAir[roomNo], dAir[roomName])</f>
        <v>PROCESS CHANGE</v>
      </c>
      <c r="W794" s="47" t="str">
        <f t="array" ref="W794">_xlfn.XLOOKUP(records[ID], dAir[roomNo], dAir[building])</f>
        <v>Building 12</v>
      </c>
      <c r="X794" s="47" t="str">
        <f t="array" ref="X794">_xlfn.XLOOKUP(records[ID], dAir[roomNo], dAir[floor])</f>
        <v>Floor 2</v>
      </c>
      <c r="Y794" s="45" t="str">
        <f t="array" ref="Y794">_xlfn.XLOOKUP(records[ID], dAir[roomNo], dAir[Class])</f>
        <v>D</v>
      </c>
      <c r="Z794" s="45">
        <f t="array" ref="Z794">_xlfn.XLOOKUP(records[Method]&amp;"-"&amp;records[Class], dAirSpec[ID], dAirSpec[Spec])</f>
        <v>100</v>
      </c>
      <c r="AA794" s="45" t="str">
        <f t="array" ref="AA794">_xlfn.XLOOKUP(records[Method]&amp;"-"&amp;records[Class], dAirSpec[ID], dAirSpec[Unit])</f>
        <v>cfu/plate</v>
      </c>
      <c r="AB794" s="58">
        <f t="array" ref="AB794">if(S794="","", if(records[Method]="Active Air",_xlfn.xlookup(records[ColonyCount]&amp;records[AirSampler],feller[code],feller[Vc]),records[ColonyCount]))</f>
        <v>19</v>
      </c>
      <c r="AC794" s="60" t="b">
        <f t="shared" si="1"/>
        <v>1</v>
      </c>
      <c r="AD794" s="61" t="b">
        <v>0</v>
      </c>
      <c r="AE794" s="32" t="s">
        <v>235</v>
      </c>
      <c r="AF794" s="46"/>
      <c r="AG794" s="46"/>
      <c r="AH794" s="46"/>
      <c r="AI794" s="46"/>
      <c r="AJ794" s="46"/>
    </row>
    <row r="795" ht="22.5" customHeight="1">
      <c r="A795" s="27">
        <v>46259.0</v>
      </c>
      <c r="B795" s="34" t="str">
        <f t="array" ref="B795">TEXT(A795, "MM-YYYY")</f>
        <v>08-2026</v>
      </c>
      <c r="C795" s="39" t="s">
        <v>277</v>
      </c>
      <c r="D795" s="36" t="s">
        <v>210</v>
      </c>
      <c r="E795" s="36" t="s">
        <v>213</v>
      </c>
      <c r="F795" s="37" t="s">
        <v>149</v>
      </c>
      <c r="G795" s="263" t="b">
        <v>1</v>
      </c>
      <c r="H795" s="36" t="s">
        <v>214</v>
      </c>
      <c r="I795" s="36" t="s">
        <v>215</v>
      </c>
      <c r="J795" s="214"/>
      <c r="K795" s="215"/>
      <c r="L795" s="187" t="s">
        <v>194</v>
      </c>
      <c r="M795" s="187" t="s">
        <v>194</v>
      </c>
      <c r="N795" s="187" t="s">
        <v>194</v>
      </c>
      <c r="O795" s="187" t="s">
        <v>194</v>
      </c>
      <c r="P795" s="37" t="s">
        <v>692</v>
      </c>
      <c r="Q795" s="37" t="s">
        <v>693</v>
      </c>
      <c r="R795" s="41">
        <v>46306.0</v>
      </c>
      <c r="S795" s="42">
        <v>2.0</v>
      </c>
      <c r="T795" s="44"/>
      <c r="U795" s="45" t="str">
        <f>IF(records[Type]="Room",records[roomNo],records[roomNo]&amp;"-"&amp;SUBSTITUTE(RIGHT(records[roomNo]&amp;records[Type],2),"-",""))</f>
        <v>12-2-022</v>
      </c>
      <c r="V795" s="47" t="str">
        <f t="array" ref="V795">_xlfn.XLOOKUP(records[ID], dAir[roomNo], dAir[roomName])</f>
        <v>CORRIDOR</v>
      </c>
      <c r="W795" s="47" t="str">
        <f t="array" ref="W795">_xlfn.XLOOKUP(records[ID], dAir[roomNo], dAir[building])</f>
        <v>Building 12</v>
      </c>
      <c r="X795" s="47" t="str">
        <f t="array" ref="X795">_xlfn.XLOOKUP(records[ID], dAir[roomNo], dAir[floor])</f>
        <v>Floor 2</v>
      </c>
      <c r="Y795" s="45" t="str">
        <f t="array" ref="Y795">_xlfn.XLOOKUP(records[ID], dAir[roomNo], dAir[Class])</f>
        <v>D</v>
      </c>
      <c r="Z795" s="45">
        <f t="array" ref="Z795">_xlfn.XLOOKUP(records[Method]&amp;"-"&amp;records[Class], dAirSpec[ID], dAirSpec[Spec])</f>
        <v>100</v>
      </c>
      <c r="AA795" s="45" t="str">
        <f t="array" ref="AA795">_xlfn.XLOOKUP(records[Method]&amp;"-"&amp;records[Class], dAirSpec[ID], dAirSpec[Unit])</f>
        <v>cfu/plate</v>
      </c>
      <c r="AB795" s="58">
        <f t="array" ref="AB795">if(S795="","", if(records[Method]="Active Air",_xlfn.xlookup(records[ColonyCount]&amp;records[AirSampler],feller[code],feller[Vc]),records[ColonyCount]))</f>
        <v>2</v>
      </c>
      <c r="AC795" s="60" t="b">
        <f t="shared" si="1"/>
        <v>1</v>
      </c>
      <c r="AD795" s="61" t="b">
        <v>0</v>
      </c>
      <c r="AE795" s="32" t="s">
        <v>235</v>
      </c>
      <c r="AF795" s="46"/>
      <c r="AG795" s="46"/>
      <c r="AH795" s="46"/>
      <c r="AI795" s="46"/>
      <c r="AJ795" s="46"/>
    </row>
    <row r="796" ht="22.5" customHeight="1">
      <c r="A796" s="27">
        <v>46259.0</v>
      </c>
      <c r="B796" s="34" t="str">
        <f t="array" ref="B796">TEXT(A796, "MM-YYYY")</f>
        <v>08-2026</v>
      </c>
      <c r="C796" s="39" t="s">
        <v>302</v>
      </c>
      <c r="D796" s="36" t="s">
        <v>210</v>
      </c>
      <c r="E796" s="36" t="s">
        <v>213</v>
      </c>
      <c r="F796" s="37" t="s">
        <v>149</v>
      </c>
      <c r="G796" s="263" t="b">
        <v>1</v>
      </c>
      <c r="H796" s="36" t="s">
        <v>214</v>
      </c>
      <c r="I796" s="36" t="s">
        <v>215</v>
      </c>
      <c r="J796" s="214"/>
      <c r="K796" s="215"/>
      <c r="L796" s="187" t="s">
        <v>194</v>
      </c>
      <c r="M796" s="187" t="s">
        <v>194</v>
      </c>
      <c r="N796" s="187" t="s">
        <v>194</v>
      </c>
      <c r="O796" s="187" t="s">
        <v>194</v>
      </c>
      <c r="P796" s="37" t="s">
        <v>692</v>
      </c>
      <c r="Q796" s="37" t="s">
        <v>693</v>
      </c>
      <c r="R796" s="41">
        <v>46306.0</v>
      </c>
      <c r="S796" s="42">
        <v>0.0</v>
      </c>
      <c r="T796" s="44"/>
      <c r="U796" s="45" t="str">
        <f>IF(records[Type]="Room",records[roomNo],records[roomNo]&amp;"-"&amp;SUBSTITUTE(RIGHT(records[roomNo]&amp;records[Type],2),"-",""))</f>
        <v>12-2-023</v>
      </c>
      <c r="V796" s="47" t="str">
        <f t="array" ref="V796">_xlfn.XLOOKUP(records[ID], dAir[roomNo], dAir[roomName])</f>
        <v>AIRLOCK</v>
      </c>
      <c r="W796" s="47" t="str">
        <f t="array" ref="W796">_xlfn.XLOOKUP(records[ID], dAir[roomNo], dAir[building])</f>
        <v>Building 12</v>
      </c>
      <c r="X796" s="47" t="str">
        <f t="array" ref="X796">_xlfn.XLOOKUP(records[ID], dAir[roomNo], dAir[floor])</f>
        <v>Floor 2</v>
      </c>
      <c r="Y796" s="45" t="str">
        <f t="array" ref="Y796">_xlfn.XLOOKUP(records[ID], dAir[roomNo], dAir[Class])</f>
        <v>D</v>
      </c>
      <c r="Z796" s="45">
        <f t="array" ref="Z796">_xlfn.XLOOKUP(records[Method]&amp;"-"&amp;records[Class], dAirSpec[ID], dAirSpec[Spec])</f>
        <v>100</v>
      </c>
      <c r="AA796" s="45" t="str">
        <f t="array" ref="AA796">_xlfn.XLOOKUP(records[Method]&amp;"-"&amp;records[Class], dAirSpec[ID], dAirSpec[Unit])</f>
        <v>cfu/plate</v>
      </c>
      <c r="AB796" s="58">
        <f t="array" ref="AB796">if(S796="","", if(records[Method]="Active Air",_xlfn.xlookup(records[ColonyCount]&amp;records[AirSampler],feller[code],feller[Vc]),records[ColonyCount]))</f>
        <v>0</v>
      </c>
      <c r="AC796" s="60" t="b">
        <f t="shared" si="1"/>
        <v>1</v>
      </c>
      <c r="AD796" s="61" t="b">
        <v>0</v>
      </c>
      <c r="AE796" s="32" t="s">
        <v>235</v>
      </c>
      <c r="AF796" s="46"/>
      <c r="AG796" s="46"/>
      <c r="AH796" s="46"/>
      <c r="AI796" s="46"/>
      <c r="AJ796" s="46"/>
    </row>
    <row r="797" ht="22.5" customHeight="1">
      <c r="A797" s="27">
        <v>46259.0</v>
      </c>
      <c r="B797" s="34" t="str">
        <f t="array" ref="B797">TEXT(A797, "MM-YYYY")</f>
        <v>08-2026</v>
      </c>
      <c r="C797" s="39" t="s">
        <v>321</v>
      </c>
      <c r="D797" s="36" t="s">
        <v>210</v>
      </c>
      <c r="E797" s="36" t="s">
        <v>213</v>
      </c>
      <c r="F797" s="37" t="s">
        <v>149</v>
      </c>
      <c r="G797" s="263" t="b">
        <v>1</v>
      </c>
      <c r="H797" s="36" t="s">
        <v>214</v>
      </c>
      <c r="I797" s="36" t="s">
        <v>215</v>
      </c>
      <c r="J797" s="214"/>
      <c r="K797" s="215"/>
      <c r="L797" s="187" t="s">
        <v>194</v>
      </c>
      <c r="M797" s="187" t="s">
        <v>194</v>
      </c>
      <c r="N797" s="187" t="s">
        <v>194</v>
      </c>
      <c r="O797" s="187" t="s">
        <v>194</v>
      </c>
      <c r="P797" s="37" t="s">
        <v>692</v>
      </c>
      <c r="Q797" s="37" t="s">
        <v>693</v>
      </c>
      <c r="R797" s="41">
        <v>46306.0</v>
      </c>
      <c r="S797" s="42">
        <v>0.0</v>
      </c>
      <c r="T797" s="44"/>
      <c r="U797" s="45" t="str">
        <f>IF(records[Type]="Room",records[roomNo],records[roomNo]&amp;"-"&amp;SUBSTITUTE(RIGHT(records[roomNo]&amp;records[Type],2),"-",""))</f>
        <v>12-2-024</v>
      </c>
      <c r="V797" s="47" t="str">
        <f t="array" ref="V797">_xlfn.XLOOKUP(records[ID], dAir[roomNo], dAir[roomName])</f>
        <v>LIQUORICE EXTRACT</v>
      </c>
      <c r="W797" s="47" t="str">
        <f t="array" ref="W797">_xlfn.XLOOKUP(records[ID], dAir[roomNo], dAir[building])</f>
        <v>Building 12</v>
      </c>
      <c r="X797" s="47" t="str">
        <f t="array" ref="X797">_xlfn.XLOOKUP(records[ID], dAir[roomNo], dAir[floor])</f>
        <v>Floor 2</v>
      </c>
      <c r="Y797" s="45" t="str">
        <f t="array" ref="Y797">_xlfn.XLOOKUP(records[ID], dAir[roomNo], dAir[Class])</f>
        <v>D</v>
      </c>
      <c r="Z797" s="45">
        <f t="array" ref="Z797">_xlfn.XLOOKUP(records[Method]&amp;"-"&amp;records[Class], dAirSpec[ID], dAirSpec[Spec])</f>
        <v>100</v>
      </c>
      <c r="AA797" s="45" t="str">
        <f t="array" ref="AA797">_xlfn.XLOOKUP(records[Method]&amp;"-"&amp;records[Class], dAirSpec[ID], dAirSpec[Unit])</f>
        <v>cfu/plate</v>
      </c>
      <c r="AB797" s="58">
        <f t="array" ref="AB797">if(S797="","", if(records[Method]="Active Air",_xlfn.xlookup(records[ColonyCount]&amp;records[AirSampler],feller[code],feller[Vc]),records[ColonyCount]))</f>
        <v>0</v>
      </c>
      <c r="AC797" s="60" t="b">
        <f t="shared" si="1"/>
        <v>1</v>
      </c>
      <c r="AD797" s="61" t="b">
        <v>0</v>
      </c>
      <c r="AE797" s="32" t="s">
        <v>235</v>
      </c>
      <c r="AF797" s="46"/>
      <c r="AG797" s="46"/>
      <c r="AH797" s="46"/>
      <c r="AI797" s="46"/>
      <c r="AJ797" s="46"/>
    </row>
    <row r="798" ht="22.5" customHeight="1">
      <c r="A798" s="27">
        <v>46259.0</v>
      </c>
      <c r="B798" s="34" t="str">
        <f t="array" ref="B798">TEXT(A798, "MM-YYYY")</f>
        <v>08-2026</v>
      </c>
      <c r="C798" s="39" t="s">
        <v>337</v>
      </c>
      <c r="D798" s="36" t="s">
        <v>210</v>
      </c>
      <c r="E798" s="36" t="s">
        <v>213</v>
      </c>
      <c r="F798" s="37" t="s">
        <v>149</v>
      </c>
      <c r="G798" s="263" t="b">
        <v>1</v>
      </c>
      <c r="H798" s="36" t="s">
        <v>214</v>
      </c>
      <c r="I798" s="36" t="s">
        <v>215</v>
      </c>
      <c r="J798" s="214"/>
      <c r="K798" s="215"/>
      <c r="L798" s="187" t="s">
        <v>194</v>
      </c>
      <c r="M798" s="187" t="s">
        <v>194</v>
      </c>
      <c r="N798" s="187" t="s">
        <v>194</v>
      </c>
      <c r="O798" s="187" t="s">
        <v>194</v>
      </c>
      <c r="P798" s="37" t="s">
        <v>692</v>
      </c>
      <c r="Q798" s="37" t="s">
        <v>693</v>
      </c>
      <c r="R798" s="41">
        <v>46306.0</v>
      </c>
      <c r="S798" s="42">
        <v>1.0</v>
      </c>
      <c r="T798" s="44"/>
      <c r="U798" s="45" t="str">
        <f>IF(records[Type]="Room",records[roomNo],records[roomNo]&amp;"-"&amp;SUBSTITUTE(RIGHT(records[roomNo]&amp;records[Type],2),"-",""))</f>
        <v>12-2-025</v>
      </c>
      <c r="V798" s="47" t="str">
        <f t="array" ref="V798">_xlfn.XLOOKUP(records[ID], dAir[roomNo], dAir[roomName])</f>
        <v>SOLVENTS STORAGE</v>
      </c>
      <c r="W798" s="47" t="str">
        <f t="array" ref="W798">_xlfn.XLOOKUP(records[ID], dAir[roomNo], dAir[building])</f>
        <v>Building 12</v>
      </c>
      <c r="X798" s="47" t="str">
        <f t="array" ref="X798">_xlfn.XLOOKUP(records[ID], dAir[roomNo], dAir[floor])</f>
        <v>Floor 2</v>
      </c>
      <c r="Y798" s="45" t="str">
        <f t="array" ref="Y798">_xlfn.XLOOKUP(records[ID], dAir[roomNo], dAir[Class])</f>
        <v>D</v>
      </c>
      <c r="Z798" s="45">
        <f t="array" ref="Z798">_xlfn.XLOOKUP(records[Method]&amp;"-"&amp;records[Class], dAirSpec[ID], dAirSpec[Spec])</f>
        <v>100</v>
      </c>
      <c r="AA798" s="45" t="str">
        <f t="array" ref="AA798">_xlfn.XLOOKUP(records[Method]&amp;"-"&amp;records[Class], dAirSpec[ID], dAirSpec[Unit])</f>
        <v>cfu/plate</v>
      </c>
      <c r="AB798" s="58">
        <f t="array" ref="AB798">if(S798="","", if(records[Method]="Active Air",_xlfn.xlookup(records[ColonyCount]&amp;records[AirSampler],feller[code],feller[Vc]),records[ColonyCount]))</f>
        <v>1</v>
      </c>
      <c r="AC798" s="60" t="b">
        <f t="shared" si="1"/>
        <v>1</v>
      </c>
      <c r="AD798" s="61" t="b">
        <v>0</v>
      </c>
      <c r="AE798" s="32" t="s">
        <v>235</v>
      </c>
      <c r="AF798" s="46"/>
      <c r="AG798" s="46"/>
      <c r="AH798" s="46"/>
      <c r="AI798" s="46"/>
      <c r="AJ798" s="46"/>
    </row>
    <row r="799" ht="22.5" customHeight="1">
      <c r="A799" s="27">
        <v>46259.0</v>
      </c>
      <c r="B799" s="34" t="str">
        <f t="array" ref="B799">TEXT(A799, "MM-YYYY")</f>
        <v>08-2026</v>
      </c>
      <c r="C799" s="39" t="s">
        <v>347</v>
      </c>
      <c r="D799" s="36" t="s">
        <v>210</v>
      </c>
      <c r="E799" s="36" t="s">
        <v>213</v>
      </c>
      <c r="F799" s="37" t="s">
        <v>149</v>
      </c>
      <c r="G799" s="263" t="b">
        <v>1</v>
      </c>
      <c r="H799" s="36" t="s">
        <v>214</v>
      </c>
      <c r="I799" s="36" t="s">
        <v>215</v>
      </c>
      <c r="J799" s="214"/>
      <c r="K799" s="215"/>
      <c r="L799" s="187" t="s">
        <v>194</v>
      </c>
      <c r="M799" s="187" t="s">
        <v>194</v>
      </c>
      <c r="N799" s="187" t="s">
        <v>194</v>
      </c>
      <c r="O799" s="187" t="s">
        <v>194</v>
      </c>
      <c r="P799" s="37" t="s">
        <v>692</v>
      </c>
      <c r="Q799" s="37" t="s">
        <v>693</v>
      </c>
      <c r="R799" s="41">
        <v>46306.0</v>
      </c>
      <c r="S799" s="42">
        <v>0.0</v>
      </c>
      <c r="T799" s="44"/>
      <c r="U799" s="45" t="str">
        <f>IF(records[Type]="Room",records[roomNo],records[roomNo]&amp;"-"&amp;SUBSTITUTE(RIGHT(records[roomNo]&amp;records[Type],2),"-",""))</f>
        <v>12-2-026</v>
      </c>
      <c r="V799" s="47" t="str">
        <f t="array" ref="V799">_xlfn.XLOOKUP(records[ID], dAir[roomNo], dAir[roomName])</f>
        <v>CORRIDOR</v>
      </c>
      <c r="W799" s="47" t="str">
        <f t="array" ref="W799">_xlfn.XLOOKUP(records[ID], dAir[roomNo], dAir[building])</f>
        <v>Building 12</v>
      </c>
      <c r="X799" s="47" t="str">
        <f t="array" ref="X799">_xlfn.XLOOKUP(records[ID], dAir[roomNo], dAir[floor])</f>
        <v>Floor 2</v>
      </c>
      <c r="Y799" s="45" t="str">
        <f t="array" ref="Y799">_xlfn.XLOOKUP(records[ID], dAir[roomNo], dAir[Class])</f>
        <v>D</v>
      </c>
      <c r="Z799" s="45">
        <f t="array" ref="Z799">_xlfn.XLOOKUP(records[Method]&amp;"-"&amp;records[Class], dAirSpec[ID], dAirSpec[Spec])</f>
        <v>100</v>
      </c>
      <c r="AA799" s="45" t="str">
        <f t="array" ref="AA799">_xlfn.XLOOKUP(records[Method]&amp;"-"&amp;records[Class], dAirSpec[ID], dAirSpec[Unit])</f>
        <v>cfu/plate</v>
      </c>
      <c r="AB799" s="58">
        <f t="array" ref="AB799">if(S799="","", if(records[Method]="Active Air",_xlfn.xlookup(records[ColonyCount]&amp;records[AirSampler],feller[code],feller[Vc]),records[ColonyCount]))</f>
        <v>0</v>
      </c>
      <c r="AC799" s="60" t="b">
        <f t="shared" si="1"/>
        <v>1</v>
      </c>
      <c r="AD799" s="61" t="b">
        <v>0</v>
      </c>
      <c r="AE799" s="32" t="s">
        <v>235</v>
      </c>
      <c r="AF799" s="46"/>
      <c r="AG799" s="46"/>
      <c r="AH799" s="46"/>
      <c r="AI799" s="46"/>
      <c r="AJ799" s="46"/>
    </row>
    <row r="800" ht="22.5" customHeight="1">
      <c r="A800" s="27">
        <v>46259.0</v>
      </c>
      <c r="B800" s="34" t="str">
        <f t="array" ref="B800">TEXT(A800, "MM-YYYY")</f>
        <v>08-2026</v>
      </c>
      <c r="C800" s="39" t="s">
        <v>365</v>
      </c>
      <c r="D800" s="36" t="s">
        <v>210</v>
      </c>
      <c r="E800" s="36" t="s">
        <v>213</v>
      </c>
      <c r="F800" s="37" t="s">
        <v>149</v>
      </c>
      <c r="G800" s="263" t="b">
        <v>1</v>
      </c>
      <c r="H800" s="36" t="s">
        <v>214</v>
      </c>
      <c r="I800" s="36" t="s">
        <v>215</v>
      </c>
      <c r="J800" s="214"/>
      <c r="K800" s="215"/>
      <c r="L800" s="187" t="s">
        <v>194</v>
      </c>
      <c r="M800" s="187" t="s">
        <v>194</v>
      </c>
      <c r="N800" s="187" t="s">
        <v>194</v>
      </c>
      <c r="O800" s="187" t="s">
        <v>194</v>
      </c>
      <c r="P800" s="37" t="s">
        <v>692</v>
      </c>
      <c r="Q800" s="37" t="s">
        <v>693</v>
      </c>
      <c r="R800" s="41">
        <v>46306.0</v>
      </c>
      <c r="S800" s="42">
        <v>0.0</v>
      </c>
      <c r="T800" s="44"/>
      <c r="U800" s="45" t="str">
        <f>IF(records[Type]="Room",records[roomNo],records[roomNo]&amp;"-"&amp;SUBSTITUTE(RIGHT(records[roomNo]&amp;records[Type],2),"-",""))</f>
        <v>12-2-027</v>
      </c>
      <c r="V800" s="47" t="str">
        <f t="array" ref="V800">_xlfn.XLOOKUP(records[ID], dAir[roomNo], dAir[roomName])</f>
        <v>AIRLOCK</v>
      </c>
      <c r="W800" s="47" t="str">
        <f t="array" ref="W800">_xlfn.XLOOKUP(records[ID], dAir[roomNo], dAir[building])</f>
        <v>Building 12</v>
      </c>
      <c r="X800" s="47" t="str">
        <f t="array" ref="X800">_xlfn.XLOOKUP(records[ID], dAir[roomNo], dAir[floor])</f>
        <v>Floor 2</v>
      </c>
      <c r="Y800" s="45" t="str">
        <f t="array" ref="Y800">_xlfn.XLOOKUP(records[ID], dAir[roomNo], dAir[Class])</f>
        <v>D</v>
      </c>
      <c r="Z800" s="45">
        <f t="array" ref="Z800">_xlfn.XLOOKUP(records[Method]&amp;"-"&amp;records[Class], dAirSpec[ID], dAirSpec[Spec])</f>
        <v>100</v>
      </c>
      <c r="AA800" s="45" t="str">
        <f t="array" ref="AA800">_xlfn.XLOOKUP(records[Method]&amp;"-"&amp;records[Class], dAirSpec[ID], dAirSpec[Unit])</f>
        <v>cfu/plate</v>
      </c>
      <c r="AB800" s="58">
        <f t="array" ref="AB800">if(S800="","", if(records[Method]="Active Air",_xlfn.xlookup(records[ColonyCount]&amp;records[AirSampler],feller[code],feller[Vc]),records[ColonyCount]))</f>
        <v>0</v>
      </c>
      <c r="AC800" s="60" t="b">
        <f t="shared" si="1"/>
        <v>1</v>
      </c>
      <c r="AD800" s="61" t="b">
        <v>0</v>
      </c>
      <c r="AE800" s="32" t="s">
        <v>235</v>
      </c>
      <c r="AF800" s="46"/>
      <c r="AG800" s="46"/>
      <c r="AH800" s="46"/>
      <c r="AI800" s="46"/>
      <c r="AJ800" s="46"/>
    </row>
    <row r="801" ht="22.5" customHeight="1">
      <c r="A801" s="27">
        <v>46259.0</v>
      </c>
      <c r="B801" s="34" t="str">
        <f t="array" ref="B801">TEXT(A801, "MM-YYYY")</f>
        <v>08-2026</v>
      </c>
      <c r="C801" s="39" t="s">
        <v>379</v>
      </c>
      <c r="D801" s="36" t="s">
        <v>210</v>
      </c>
      <c r="E801" s="36" t="s">
        <v>213</v>
      </c>
      <c r="F801" s="37" t="s">
        <v>149</v>
      </c>
      <c r="G801" s="263" t="b">
        <v>1</v>
      </c>
      <c r="H801" s="36" t="s">
        <v>214</v>
      </c>
      <c r="I801" s="36" t="s">
        <v>215</v>
      </c>
      <c r="J801" s="214"/>
      <c r="K801" s="215"/>
      <c r="L801" s="187" t="s">
        <v>194</v>
      </c>
      <c r="M801" s="187" t="s">
        <v>194</v>
      </c>
      <c r="N801" s="187" t="s">
        <v>194</v>
      </c>
      <c r="O801" s="187" t="s">
        <v>194</v>
      </c>
      <c r="P801" s="37" t="s">
        <v>692</v>
      </c>
      <c r="Q801" s="37" t="s">
        <v>693</v>
      </c>
      <c r="R801" s="41">
        <v>46306.0</v>
      </c>
      <c r="S801" s="42">
        <v>0.0</v>
      </c>
      <c r="T801" s="44"/>
      <c r="U801" s="45" t="str">
        <f>IF(records[Type]="Room",records[roomNo],records[roomNo]&amp;"-"&amp;SUBSTITUTE(RIGHT(records[roomNo]&amp;records[Type],2),"-",""))</f>
        <v>12-2-028</v>
      </c>
      <c r="V801" s="47" t="str">
        <f t="array" ref="V801">_xlfn.XLOOKUP(records[ID], dAir[roomNo], dAir[roomName])</f>
        <v>ALCOHOL STORAGE</v>
      </c>
      <c r="W801" s="47" t="str">
        <f t="array" ref="W801">_xlfn.XLOOKUP(records[ID], dAir[roomNo], dAir[building])</f>
        <v>Building 12</v>
      </c>
      <c r="X801" s="47" t="str">
        <f t="array" ref="X801">_xlfn.XLOOKUP(records[ID], dAir[roomNo], dAir[floor])</f>
        <v>Floor 2</v>
      </c>
      <c r="Y801" s="45" t="str">
        <f t="array" ref="Y801">_xlfn.XLOOKUP(records[ID], dAir[roomNo], dAir[Class])</f>
        <v>D</v>
      </c>
      <c r="Z801" s="45">
        <f t="array" ref="Z801">_xlfn.XLOOKUP(records[Method]&amp;"-"&amp;records[Class], dAirSpec[ID], dAirSpec[Spec])</f>
        <v>100</v>
      </c>
      <c r="AA801" s="45" t="str">
        <f t="array" ref="AA801">_xlfn.XLOOKUP(records[Method]&amp;"-"&amp;records[Class], dAirSpec[ID], dAirSpec[Unit])</f>
        <v>cfu/plate</v>
      </c>
      <c r="AB801" s="58">
        <f t="array" ref="AB801">if(S801="","", if(records[Method]="Active Air",_xlfn.xlookup(records[ColonyCount]&amp;records[AirSampler],feller[code],feller[Vc]),records[ColonyCount]))</f>
        <v>0</v>
      </c>
      <c r="AC801" s="60" t="b">
        <f t="shared" si="1"/>
        <v>1</v>
      </c>
      <c r="AD801" s="61" t="b">
        <v>0</v>
      </c>
      <c r="AE801" s="32" t="s">
        <v>235</v>
      </c>
      <c r="AF801" s="46"/>
      <c r="AG801" s="46"/>
      <c r="AH801" s="46"/>
      <c r="AI801" s="46"/>
      <c r="AJ801" s="46"/>
    </row>
    <row r="802" ht="22.5" customHeight="1">
      <c r="A802" s="27">
        <v>46259.0</v>
      </c>
      <c r="B802" s="34" t="str">
        <f t="array" ref="B802">TEXT(A802, "MM-YYYY")</f>
        <v>08-2026</v>
      </c>
      <c r="C802" s="39" t="s">
        <v>391</v>
      </c>
      <c r="D802" s="36" t="s">
        <v>210</v>
      </c>
      <c r="E802" s="36" t="s">
        <v>213</v>
      </c>
      <c r="F802" s="37" t="s">
        <v>149</v>
      </c>
      <c r="G802" s="263" t="b">
        <v>1</v>
      </c>
      <c r="H802" s="36" t="s">
        <v>214</v>
      </c>
      <c r="I802" s="36" t="s">
        <v>215</v>
      </c>
      <c r="J802" s="214"/>
      <c r="K802" s="215"/>
      <c r="L802" s="187" t="s">
        <v>194</v>
      </c>
      <c r="M802" s="187" t="s">
        <v>194</v>
      </c>
      <c r="N802" s="187" t="s">
        <v>194</v>
      </c>
      <c r="O802" s="187" t="s">
        <v>194</v>
      </c>
      <c r="P802" s="37" t="s">
        <v>692</v>
      </c>
      <c r="Q802" s="37" t="s">
        <v>693</v>
      </c>
      <c r="R802" s="41">
        <v>46306.0</v>
      </c>
      <c r="S802" s="42">
        <v>0.0</v>
      </c>
      <c r="T802" s="44"/>
      <c r="U802" s="45" t="str">
        <f>IF(records[Type]="Room",records[roomNo],records[roomNo]&amp;"-"&amp;SUBSTITUTE(RIGHT(records[roomNo]&amp;records[Type],2),"-",""))</f>
        <v>12-2-029</v>
      </c>
      <c r="V802" s="47" t="str">
        <f t="array" ref="V802">_xlfn.XLOOKUP(records[ID], dAir[roomNo], dAir[roomName])</f>
        <v>AIRLOCK</v>
      </c>
      <c r="W802" s="47" t="str">
        <f t="array" ref="W802">_xlfn.XLOOKUP(records[ID], dAir[roomNo], dAir[building])</f>
        <v>Building 12</v>
      </c>
      <c r="X802" s="47" t="str">
        <f t="array" ref="X802">_xlfn.XLOOKUP(records[ID], dAir[roomNo], dAir[floor])</f>
        <v>Floor 2</v>
      </c>
      <c r="Y802" s="45" t="str">
        <f t="array" ref="Y802">_xlfn.XLOOKUP(records[ID], dAir[roomNo], dAir[Class])</f>
        <v>D</v>
      </c>
      <c r="Z802" s="45">
        <f t="array" ref="Z802">_xlfn.XLOOKUP(records[Method]&amp;"-"&amp;records[Class], dAirSpec[ID], dAirSpec[Spec])</f>
        <v>100</v>
      </c>
      <c r="AA802" s="45" t="str">
        <f t="array" ref="AA802">_xlfn.XLOOKUP(records[Method]&amp;"-"&amp;records[Class], dAirSpec[ID], dAirSpec[Unit])</f>
        <v>cfu/plate</v>
      </c>
      <c r="AB802" s="58">
        <f t="array" ref="AB802">if(S802="","", if(records[Method]="Active Air",_xlfn.xlookup(records[ColonyCount]&amp;records[AirSampler],feller[code],feller[Vc]),records[ColonyCount]))</f>
        <v>0</v>
      </c>
      <c r="AC802" s="60" t="b">
        <f t="shared" si="1"/>
        <v>1</v>
      </c>
      <c r="AD802" s="61" t="b">
        <v>0</v>
      </c>
      <c r="AE802" s="32" t="s">
        <v>235</v>
      </c>
      <c r="AF802" s="46"/>
      <c r="AG802" s="46"/>
      <c r="AH802" s="46"/>
      <c r="AI802" s="46"/>
      <c r="AJ802" s="46"/>
    </row>
    <row r="803" ht="22.5" customHeight="1">
      <c r="A803" s="27">
        <v>46259.0</v>
      </c>
      <c r="B803" s="34" t="str">
        <f t="array" ref="B803">TEXT(A803, "MM-YYYY")</f>
        <v>08-2026</v>
      </c>
      <c r="C803" s="39" t="s">
        <v>404</v>
      </c>
      <c r="D803" s="36" t="s">
        <v>210</v>
      </c>
      <c r="E803" s="36" t="s">
        <v>213</v>
      </c>
      <c r="F803" s="37" t="s">
        <v>149</v>
      </c>
      <c r="G803" s="263" t="b">
        <v>1</v>
      </c>
      <c r="H803" s="36" t="s">
        <v>214</v>
      </c>
      <c r="I803" s="36" t="s">
        <v>215</v>
      </c>
      <c r="J803" s="214"/>
      <c r="K803" s="215"/>
      <c r="L803" s="187" t="s">
        <v>194</v>
      </c>
      <c r="M803" s="187" t="s">
        <v>194</v>
      </c>
      <c r="N803" s="187" t="s">
        <v>194</v>
      </c>
      <c r="O803" s="187" t="s">
        <v>194</v>
      </c>
      <c r="P803" s="37" t="s">
        <v>692</v>
      </c>
      <c r="Q803" s="37" t="s">
        <v>693</v>
      </c>
      <c r="R803" s="41">
        <v>46306.0</v>
      </c>
      <c r="S803" s="42">
        <v>0.0</v>
      </c>
      <c r="T803" s="44"/>
      <c r="U803" s="45" t="str">
        <f>IF(records[Type]="Room",records[roomNo],records[roomNo]&amp;"-"&amp;SUBSTITUTE(RIGHT(records[roomNo]&amp;records[Type],2),"-",""))</f>
        <v>12-2-030</v>
      </c>
      <c r="V803" s="47" t="str">
        <f t="array" ref="V803">_xlfn.XLOOKUP(records[ID], dAir[roomNo], dAir[roomName])</f>
        <v>OPIUM TINCTURE</v>
      </c>
      <c r="W803" s="47" t="str">
        <f t="array" ref="W803">_xlfn.XLOOKUP(records[ID], dAir[roomNo], dAir[building])</f>
        <v>Building 12</v>
      </c>
      <c r="X803" s="47" t="str">
        <f t="array" ref="X803">_xlfn.XLOOKUP(records[ID], dAir[roomNo], dAir[floor])</f>
        <v>Floor 2</v>
      </c>
      <c r="Y803" s="45" t="str">
        <f t="array" ref="Y803">_xlfn.XLOOKUP(records[ID], dAir[roomNo], dAir[Class])</f>
        <v>D</v>
      </c>
      <c r="Z803" s="45">
        <f t="array" ref="Z803">_xlfn.XLOOKUP(records[Method]&amp;"-"&amp;records[Class], dAirSpec[ID], dAirSpec[Spec])</f>
        <v>100</v>
      </c>
      <c r="AA803" s="45" t="str">
        <f t="array" ref="AA803">_xlfn.XLOOKUP(records[Method]&amp;"-"&amp;records[Class], dAirSpec[ID], dAirSpec[Unit])</f>
        <v>cfu/plate</v>
      </c>
      <c r="AB803" s="58">
        <f t="array" ref="AB803">if(S803="","", if(records[Method]="Active Air",_xlfn.xlookup(records[ColonyCount]&amp;records[AirSampler],feller[code],feller[Vc]),records[ColonyCount]))</f>
        <v>0</v>
      </c>
      <c r="AC803" s="60" t="b">
        <f t="shared" si="1"/>
        <v>1</v>
      </c>
      <c r="AD803" s="61" t="b">
        <v>0</v>
      </c>
      <c r="AE803" s="32" t="s">
        <v>235</v>
      </c>
      <c r="AF803" s="46"/>
      <c r="AG803" s="46"/>
      <c r="AH803" s="46"/>
      <c r="AI803" s="46"/>
      <c r="AJ803" s="46"/>
    </row>
    <row r="804" ht="22.5" customHeight="1">
      <c r="A804" s="27">
        <v>46259.0</v>
      </c>
      <c r="B804" s="34" t="str">
        <f t="array" ref="B804">TEXT(A804, "MM-YYYY")</f>
        <v>08-2026</v>
      </c>
      <c r="C804" s="39" t="s">
        <v>412</v>
      </c>
      <c r="D804" s="36" t="s">
        <v>210</v>
      </c>
      <c r="E804" s="36" t="s">
        <v>213</v>
      </c>
      <c r="F804" s="37" t="s">
        <v>149</v>
      </c>
      <c r="G804" s="263" t="b">
        <v>1</v>
      </c>
      <c r="H804" s="36" t="s">
        <v>214</v>
      </c>
      <c r="I804" s="36" t="s">
        <v>215</v>
      </c>
      <c r="J804" s="214"/>
      <c r="K804" s="215"/>
      <c r="L804" s="187" t="s">
        <v>194</v>
      </c>
      <c r="M804" s="187" t="s">
        <v>194</v>
      </c>
      <c r="N804" s="187" t="s">
        <v>194</v>
      </c>
      <c r="O804" s="187" t="s">
        <v>194</v>
      </c>
      <c r="P804" s="37" t="s">
        <v>692</v>
      </c>
      <c r="Q804" s="37" t="s">
        <v>693</v>
      </c>
      <c r="R804" s="41">
        <v>46306.0</v>
      </c>
      <c r="S804" s="42">
        <v>0.0</v>
      </c>
      <c r="T804" s="44"/>
      <c r="U804" s="45" t="str">
        <f>IF(records[Type]="Room",records[roomNo],records[roomNo]&amp;"-"&amp;SUBSTITUTE(RIGHT(records[roomNo]&amp;records[Type],2),"-",""))</f>
        <v>12-2-031</v>
      </c>
      <c r="V804" s="47" t="str">
        <f t="array" ref="V804">_xlfn.XLOOKUP(records[ID], dAir[roomNo], dAir[roomName])</f>
        <v>AIRLOCK</v>
      </c>
      <c r="W804" s="47" t="str">
        <f t="array" ref="W804">_xlfn.XLOOKUP(records[ID], dAir[roomNo], dAir[building])</f>
        <v>Building 12</v>
      </c>
      <c r="X804" s="47" t="str">
        <f t="array" ref="X804">_xlfn.XLOOKUP(records[ID], dAir[roomNo], dAir[floor])</f>
        <v>Floor 2</v>
      </c>
      <c r="Y804" s="45" t="str">
        <f t="array" ref="Y804">_xlfn.XLOOKUP(records[ID], dAir[roomNo], dAir[Class])</f>
        <v>D</v>
      </c>
      <c r="Z804" s="45">
        <f t="array" ref="Z804">_xlfn.XLOOKUP(records[Method]&amp;"-"&amp;records[Class], dAirSpec[ID], dAirSpec[Spec])</f>
        <v>100</v>
      </c>
      <c r="AA804" s="45" t="str">
        <f t="array" ref="AA804">_xlfn.XLOOKUP(records[Method]&amp;"-"&amp;records[Class], dAirSpec[ID], dAirSpec[Unit])</f>
        <v>cfu/plate</v>
      </c>
      <c r="AB804" s="58">
        <f t="array" ref="AB804">if(S804="","", if(records[Method]="Active Air",_xlfn.xlookup(records[ColonyCount]&amp;records[AirSampler],feller[code],feller[Vc]),records[ColonyCount]))</f>
        <v>0</v>
      </c>
      <c r="AC804" s="60" t="b">
        <f t="shared" si="1"/>
        <v>1</v>
      </c>
      <c r="AD804" s="61" t="b">
        <v>0</v>
      </c>
      <c r="AE804" s="32" t="s">
        <v>235</v>
      </c>
      <c r="AF804" s="46"/>
      <c r="AG804" s="46"/>
      <c r="AH804" s="46"/>
      <c r="AI804" s="46"/>
      <c r="AJ804" s="46"/>
    </row>
    <row r="805" ht="22.5" customHeight="1">
      <c r="A805" s="27">
        <v>46259.0</v>
      </c>
      <c r="B805" s="34" t="str">
        <f t="array" ref="B805">TEXT(A805, "MM-YYYY")</f>
        <v>08-2026</v>
      </c>
      <c r="C805" s="39" t="s">
        <v>421</v>
      </c>
      <c r="D805" s="36" t="s">
        <v>210</v>
      </c>
      <c r="E805" s="36" t="s">
        <v>213</v>
      </c>
      <c r="F805" s="37" t="s">
        <v>149</v>
      </c>
      <c r="G805" s="263" t="b">
        <v>1</v>
      </c>
      <c r="H805" s="36" t="s">
        <v>214</v>
      </c>
      <c r="I805" s="36" t="s">
        <v>215</v>
      </c>
      <c r="J805" s="214"/>
      <c r="K805" s="215"/>
      <c r="L805" s="187" t="s">
        <v>194</v>
      </c>
      <c r="M805" s="187" t="s">
        <v>194</v>
      </c>
      <c r="N805" s="187" t="s">
        <v>194</v>
      </c>
      <c r="O805" s="187" t="s">
        <v>194</v>
      </c>
      <c r="P805" s="37" t="s">
        <v>692</v>
      </c>
      <c r="Q805" s="37" t="s">
        <v>693</v>
      </c>
      <c r="R805" s="41">
        <v>46306.0</v>
      </c>
      <c r="S805" s="42">
        <v>2.0</v>
      </c>
      <c r="T805" s="44"/>
      <c r="U805" s="45" t="str">
        <f>IF(records[Type]="Room",records[roomNo],records[roomNo]&amp;"-"&amp;SUBSTITUTE(RIGHT(records[roomNo]&amp;records[Type],2),"-",""))</f>
        <v>12-2-032</v>
      </c>
      <c r="V805" s="47" t="str">
        <f t="array" ref="V805">_xlfn.XLOOKUP(records[ID], dAir[roomNo], dAir[roomName])</f>
        <v>CAMPHORATED OPIUM TINCTURE</v>
      </c>
      <c r="W805" s="47" t="str">
        <f t="array" ref="W805">_xlfn.XLOOKUP(records[ID], dAir[roomNo], dAir[building])</f>
        <v>Building 12</v>
      </c>
      <c r="X805" s="47" t="str">
        <f t="array" ref="X805">_xlfn.XLOOKUP(records[ID], dAir[roomNo], dAir[floor])</f>
        <v>Floor 2</v>
      </c>
      <c r="Y805" s="45" t="str">
        <f t="array" ref="Y805">_xlfn.XLOOKUP(records[ID], dAir[roomNo], dAir[Class])</f>
        <v>D</v>
      </c>
      <c r="Z805" s="45">
        <f t="array" ref="Z805">_xlfn.XLOOKUP(records[Method]&amp;"-"&amp;records[Class], dAirSpec[ID], dAirSpec[Spec])</f>
        <v>100</v>
      </c>
      <c r="AA805" s="45" t="str">
        <f t="array" ref="AA805">_xlfn.XLOOKUP(records[Method]&amp;"-"&amp;records[Class], dAirSpec[ID], dAirSpec[Unit])</f>
        <v>cfu/plate</v>
      </c>
      <c r="AB805" s="58">
        <f t="array" ref="AB805">if(S805="","", if(records[Method]="Active Air",_xlfn.xlookup(records[ColonyCount]&amp;records[AirSampler],feller[code],feller[Vc]),records[ColonyCount]))</f>
        <v>2</v>
      </c>
      <c r="AC805" s="60" t="b">
        <f t="shared" si="1"/>
        <v>1</v>
      </c>
      <c r="AD805" s="61" t="b">
        <v>0</v>
      </c>
      <c r="AE805" s="32" t="s">
        <v>235</v>
      </c>
      <c r="AF805" s="46"/>
      <c r="AG805" s="46"/>
      <c r="AH805" s="46"/>
      <c r="AI805" s="46"/>
      <c r="AJ805" s="46"/>
    </row>
    <row r="806" ht="22.5" customHeight="1">
      <c r="A806" s="27">
        <v>46259.0</v>
      </c>
      <c r="B806" s="34" t="str">
        <f t="array" ref="B806">TEXT(A806, "MM-YYYY")</f>
        <v>08-2026</v>
      </c>
      <c r="C806" s="39" t="s">
        <v>432</v>
      </c>
      <c r="D806" s="36" t="s">
        <v>210</v>
      </c>
      <c r="E806" s="36" t="s">
        <v>213</v>
      </c>
      <c r="F806" s="37" t="s">
        <v>149</v>
      </c>
      <c r="G806" s="263" t="b">
        <v>1</v>
      </c>
      <c r="H806" s="36" t="s">
        <v>214</v>
      </c>
      <c r="I806" s="36" t="s">
        <v>215</v>
      </c>
      <c r="J806" s="214"/>
      <c r="K806" s="215"/>
      <c r="L806" s="187" t="s">
        <v>194</v>
      </c>
      <c r="M806" s="187" t="s">
        <v>194</v>
      </c>
      <c r="N806" s="187" t="s">
        <v>194</v>
      </c>
      <c r="O806" s="187" t="s">
        <v>194</v>
      </c>
      <c r="P806" s="37" t="s">
        <v>692</v>
      </c>
      <c r="Q806" s="37" t="s">
        <v>693</v>
      </c>
      <c r="R806" s="41">
        <v>46306.0</v>
      </c>
      <c r="S806" s="42">
        <v>0.0</v>
      </c>
      <c r="T806" s="44"/>
      <c r="U806" s="45" t="str">
        <f>IF(records[Type]="Room",records[roomNo],records[roomNo]&amp;"-"&amp;SUBSTITUTE(RIGHT(records[roomNo]&amp;records[Type],2),"-",""))</f>
        <v>12-2-033</v>
      </c>
      <c r="V806" s="47" t="str">
        <f t="array" ref="V806">_xlfn.XLOOKUP(records[ID], dAir[roomNo], dAir[roomName])</f>
        <v>AIRLOCK</v>
      </c>
      <c r="W806" s="47" t="str">
        <f t="array" ref="W806">_xlfn.XLOOKUP(records[ID], dAir[roomNo], dAir[building])</f>
        <v>Building 12</v>
      </c>
      <c r="X806" s="47" t="str">
        <f t="array" ref="X806">_xlfn.XLOOKUP(records[ID], dAir[roomNo], dAir[floor])</f>
        <v>Floor 2</v>
      </c>
      <c r="Y806" s="45" t="str">
        <f t="array" ref="Y806">_xlfn.XLOOKUP(records[ID], dAir[roomNo], dAir[Class])</f>
        <v>D</v>
      </c>
      <c r="Z806" s="45">
        <f t="array" ref="Z806">_xlfn.XLOOKUP(records[Method]&amp;"-"&amp;records[Class], dAirSpec[ID], dAirSpec[Spec])</f>
        <v>100</v>
      </c>
      <c r="AA806" s="45" t="str">
        <f t="array" ref="AA806">_xlfn.XLOOKUP(records[Method]&amp;"-"&amp;records[Class], dAirSpec[ID], dAirSpec[Unit])</f>
        <v>cfu/plate</v>
      </c>
      <c r="AB806" s="58">
        <f t="array" ref="AB806">if(S806="","", if(records[Method]="Active Air",_xlfn.xlookup(records[ColonyCount]&amp;records[AirSampler],feller[code],feller[Vc]),records[ColonyCount]))</f>
        <v>0</v>
      </c>
      <c r="AC806" s="60" t="b">
        <f t="shared" si="1"/>
        <v>1</v>
      </c>
      <c r="AD806" s="61" t="b">
        <v>0</v>
      </c>
      <c r="AE806" s="32" t="s">
        <v>235</v>
      </c>
      <c r="AF806" s="46"/>
      <c r="AG806" s="46"/>
      <c r="AH806" s="46"/>
      <c r="AI806" s="46"/>
      <c r="AJ806" s="46"/>
    </row>
    <row r="807" ht="22.5" customHeight="1">
      <c r="A807" s="27">
        <v>46259.0</v>
      </c>
      <c r="B807" s="34" t="str">
        <f t="array" ref="B807">TEXT(A807, "MM-YYYY")</f>
        <v>08-2026</v>
      </c>
      <c r="C807" s="39" t="s">
        <v>442</v>
      </c>
      <c r="D807" s="36" t="s">
        <v>210</v>
      </c>
      <c r="E807" s="36" t="s">
        <v>213</v>
      </c>
      <c r="F807" s="37" t="s">
        <v>149</v>
      </c>
      <c r="G807" s="263" t="b">
        <v>1</v>
      </c>
      <c r="H807" s="36" t="s">
        <v>214</v>
      </c>
      <c r="I807" s="36" t="s">
        <v>215</v>
      </c>
      <c r="J807" s="214"/>
      <c r="K807" s="215"/>
      <c r="L807" s="187" t="s">
        <v>194</v>
      </c>
      <c r="M807" s="187" t="s">
        <v>194</v>
      </c>
      <c r="N807" s="187" t="s">
        <v>194</v>
      </c>
      <c r="O807" s="187" t="s">
        <v>194</v>
      </c>
      <c r="P807" s="37" t="s">
        <v>692</v>
      </c>
      <c r="Q807" s="37" t="s">
        <v>693</v>
      </c>
      <c r="R807" s="41">
        <v>46306.0</v>
      </c>
      <c r="S807" s="42">
        <v>0.0</v>
      </c>
      <c r="T807" s="44"/>
      <c r="U807" s="45" t="str">
        <f>IF(records[Type]="Room",records[roomNo],records[roomNo]&amp;"-"&amp;SUBSTITUTE(RIGHT(records[roomNo]&amp;records[Type],2),"-",""))</f>
        <v>12-2-034</v>
      </c>
      <c r="V807" s="47" t="str">
        <f t="array" ref="V807">_xlfn.XLOOKUP(records[ID], dAir[roomNo], dAir[roomName])</f>
        <v>SYRUP PREPARATION</v>
      </c>
      <c r="W807" s="47" t="str">
        <f t="array" ref="W807">_xlfn.XLOOKUP(records[ID], dAir[roomNo], dAir[building])</f>
        <v>Building 12</v>
      </c>
      <c r="X807" s="47" t="str">
        <f t="array" ref="X807">_xlfn.XLOOKUP(records[ID], dAir[roomNo], dAir[floor])</f>
        <v>Floor 2</v>
      </c>
      <c r="Y807" s="45" t="str">
        <f t="array" ref="Y807">_xlfn.XLOOKUP(records[ID], dAir[roomNo], dAir[Class])</f>
        <v>D</v>
      </c>
      <c r="Z807" s="45">
        <f t="array" ref="Z807">_xlfn.XLOOKUP(records[Method]&amp;"-"&amp;records[Class], dAirSpec[ID], dAirSpec[Spec])</f>
        <v>100</v>
      </c>
      <c r="AA807" s="45" t="str">
        <f t="array" ref="AA807">_xlfn.XLOOKUP(records[Method]&amp;"-"&amp;records[Class], dAirSpec[ID], dAirSpec[Unit])</f>
        <v>cfu/plate</v>
      </c>
      <c r="AB807" s="58">
        <f t="array" ref="AB807">if(S807="","", if(records[Method]="Active Air",_xlfn.xlookup(records[ColonyCount]&amp;records[AirSampler],feller[code],feller[Vc]),records[ColonyCount]))</f>
        <v>0</v>
      </c>
      <c r="AC807" s="60" t="b">
        <f t="shared" si="1"/>
        <v>1</v>
      </c>
      <c r="AD807" s="61" t="b">
        <v>0</v>
      </c>
      <c r="AE807" s="32" t="s">
        <v>235</v>
      </c>
      <c r="AF807" s="46"/>
      <c r="AG807" s="46"/>
      <c r="AH807" s="46"/>
      <c r="AI807" s="46"/>
      <c r="AJ807" s="46"/>
    </row>
    <row r="808" ht="22.5" customHeight="1">
      <c r="A808" s="27">
        <v>46259.0</v>
      </c>
      <c r="B808" s="34" t="str">
        <f t="array" ref="B808">TEXT(A808, "MM-YYYY")</f>
        <v>08-2026</v>
      </c>
      <c r="C808" s="34" t="s">
        <v>450</v>
      </c>
      <c r="D808" s="36" t="s">
        <v>210</v>
      </c>
      <c r="E808" s="36" t="s">
        <v>213</v>
      </c>
      <c r="F808" s="37" t="s">
        <v>149</v>
      </c>
      <c r="G808" s="263" t="b">
        <v>1</v>
      </c>
      <c r="H808" s="36" t="s">
        <v>214</v>
      </c>
      <c r="I808" s="36" t="s">
        <v>215</v>
      </c>
      <c r="J808" s="214"/>
      <c r="K808" s="215"/>
      <c r="L808" s="187" t="s">
        <v>194</v>
      </c>
      <c r="M808" s="187" t="s">
        <v>194</v>
      </c>
      <c r="N808" s="187" t="s">
        <v>194</v>
      </c>
      <c r="O808" s="187" t="s">
        <v>194</v>
      </c>
      <c r="P808" s="37" t="s">
        <v>692</v>
      </c>
      <c r="Q808" s="37" t="s">
        <v>693</v>
      </c>
      <c r="R808" s="41">
        <v>46306.0</v>
      </c>
      <c r="S808" s="42">
        <v>3.0</v>
      </c>
      <c r="T808" s="44"/>
      <c r="U808" s="47" t="str">
        <f>IF(records[Type]="Room",records[roomNo],records[roomNo]&amp;"-"&amp;SUBSTITUTE(RIGHT(records[roomNo]&amp;records[Type],2),"-",""))</f>
        <v>12-2-035</v>
      </c>
      <c r="V808" s="47" t="str">
        <f t="array" ref="V808">_xlfn.XLOOKUP(records[ID], dAir[roomNo], dAir[roomName])</f>
        <v>CORRIDOR</v>
      </c>
      <c r="W808" s="47" t="str">
        <f t="array" ref="W808">_xlfn.XLOOKUP(records[ID], dAir[roomNo], dAir[building])</f>
        <v>Building 12</v>
      </c>
      <c r="X808" s="47" t="str">
        <f t="array" ref="X808">_xlfn.XLOOKUP(records[ID], dAir[roomNo], dAir[floor])</f>
        <v>Floor 2</v>
      </c>
      <c r="Y808" s="45" t="str">
        <f t="array" ref="Y808">_xlfn.XLOOKUP(records[ID], dAir[roomNo], dAir[Class])</f>
        <v>D</v>
      </c>
      <c r="Z808" s="45">
        <f t="array" ref="Z808">_xlfn.XLOOKUP(records[Method]&amp;"-"&amp;records[Class], dAirSpec[ID], dAirSpec[Spec])</f>
        <v>100</v>
      </c>
      <c r="AA808" s="45" t="str">
        <f t="array" ref="AA808">_xlfn.XLOOKUP(records[Method]&amp;"-"&amp;records[Class], dAirSpec[ID], dAirSpec[Unit])</f>
        <v>cfu/plate</v>
      </c>
      <c r="AB808" s="58">
        <f t="array" ref="AB808">if(S808="","", if(records[Method]="Active Air",_xlfn.xlookup(records[ColonyCount]&amp;records[AirSampler],feller[code],feller[Vc]),records[ColonyCount]))</f>
        <v>3</v>
      </c>
      <c r="AC808" s="60" t="b">
        <f t="shared" si="1"/>
        <v>1</v>
      </c>
      <c r="AD808" s="61" t="b">
        <v>0</v>
      </c>
      <c r="AE808" s="32" t="s">
        <v>235</v>
      </c>
      <c r="AF808" s="46"/>
      <c r="AG808" s="46"/>
      <c r="AH808" s="46"/>
      <c r="AI808" s="46"/>
      <c r="AJ808" s="46"/>
    </row>
    <row r="809" ht="22.5" customHeight="1">
      <c r="A809" s="27">
        <v>46259.0</v>
      </c>
      <c r="B809" s="34" t="str">
        <f t="array" ref="B809">TEXT(A809, "MM-YYYY")</f>
        <v>08-2026</v>
      </c>
      <c r="C809" s="39" t="s">
        <v>456</v>
      </c>
      <c r="D809" s="36" t="s">
        <v>210</v>
      </c>
      <c r="E809" s="36" t="s">
        <v>213</v>
      </c>
      <c r="F809" s="37" t="s">
        <v>149</v>
      </c>
      <c r="G809" s="263" t="b">
        <v>1</v>
      </c>
      <c r="H809" s="36" t="s">
        <v>214</v>
      </c>
      <c r="I809" s="36" t="s">
        <v>215</v>
      </c>
      <c r="J809" s="214"/>
      <c r="K809" s="215"/>
      <c r="L809" s="187" t="s">
        <v>194</v>
      </c>
      <c r="M809" s="187" t="s">
        <v>194</v>
      </c>
      <c r="N809" s="187" t="s">
        <v>194</v>
      </c>
      <c r="O809" s="187" t="s">
        <v>194</v>
      </c>
      <c r="P809" s="37" t="s">
        <v>692</v>
      </c>
      <c r="Q809" s="37" t="s">
        <v>693</v>
      </c>
      <c r="R809" s="41">
        <v>46306.0</v>
      </c>
      <c r="S809" s="42">
        <v>0.0</v>
      </c>
      <c r="T809" s="44"/>
      <c r="U809" s="45" t="str">
        <f>IF(records[Type]="Room",records[roomNo],records[roomNo]&amp;"-"&amp;SUBSTITUTE(RIGHT(records[roomNo]&amp;records[Type],2),"-",""))</f>
        <v>12-2-036</v>
      </c>
      <c r="V809" s="47" t="str">
        <f t="array" ref="V809">_xlfn.XLOOKUP(records[ID], dAir[roomNo], dAir[roomName])</f>
        <v>CIP 1</v>
      </c>
      <c r="W809" s="47" t="str">
        <f t="array" ref="W809">_xlfn.XLOOKUP(records[ID], dAir[roomNo], dAir[building])</f>
        <v>Building 12</v>
      </c>
      <c r="X809" s="47" t="str">
        <f t="array" ref="X809">_xlfn.XLOOKUP(records[ID], dAir[roomNo], dAir[floor])</f>
        <v>Floor 2</v>
      </c>
      <c r="Y809" s="45" t="str">
        <f t="array" ref="Y809">_xlfn.XLOOKUP(records[ID], dAir[roomNo], dAir[Class])</f>
        <v>D</v>
      </c>
      <c r="Z809" s="45">
        <f t="array" ref="Z809">_xlfn.XLOOKUP(records[Method]&amp;"-"&amp;records[Class], dAirSpec[ID], dAirSpec[Spec])</f>
        <v>100</v>
      </c>
      <c r="AA809" s="45" t="str">
        <f t="array" ref="AA809">_xlfn.XLOOKUP(records[Method]&amp;"-"&amp;records[Class], dAirSpec[ID], dAirSpec[Unit])</f>
        <v>cfu/plate</v>
      </c>
      <c r="AB809" s="58">
        <f t="array" ref="AB809">if(S809="","", if(records[Method]="Active Air",_xlfn.xlookup(records[ColonyCount]&amp;records[AirSampler],feller[code],feller[Vc]),records[ColonyCount]))</f>
        <v>0</v>
      </c>
      <c r="AC809" s="60" t="b">
        <f t="shared" si="1"/>
        <v>1</v>
      </c>
      <c r="AD809" s="61" t="b">
        <v>0</v>
      </c>
      <c r="AE809" s="32" t="s">
        <v>235</v>
      </c>
      <c r="AF809" s="46"/>
      <c r="AG809" s="46"/>
      <c r="AH809" s="46"/>
      <c r="AI809" s="46"/>
      <c r="AJ809" s="46"/>
    </row>
    <row r="810" ht="22.5" customHeight="1">
      <c r="A810" s="27">
        <v>46259.0</v>
      </c>
      <c r="B810" s="34" t="str">
        <f t="array" ref="B810">TEXT(A810, "MM-YYYY")</f>
        <v>08-2026</v>
      </c>
      <c r="C810" s="39" t="s">
        <v>466</v>
      </c>
      <c r="D810" s="36" t="s">
        <v>210</v>
      </c>
      <c r="E810" s="36" t="s">
        <v>213</v>
      </c>
      <c r="F810" s="37" t="s">
        <v>149</v>
      </c>
      <c r="G810" s="263" t="b">
        <v>1</v>
      </c>
      <c r="H810" s="36" t="s">
        <v>214</v>
      </c>
      <c r="I810" s="36" t="s">
        <v>215</v>
      </c>
      <c r="J810" s="214"/>
      <c r="K810" s="215"/>
      <c r="L810" s="187" t="s">
        <v>194</v>
      </c>
      <c r="M810" s="187" t="s">
        <v>194</v>
      </c>
      <c r="N810" s="187" t="s">
        <v>194</v>
      </c>
      <c r="O810" s="187" t="s">
        <v>194</v>
      </c>
      <c r="P810" s="37" t="s">
        <v>692</v>
      </c>
      <c r="Q810" s="37" t="s">
        <v>693</v>
      </c>
      <c r="R810" s="41">
        <v>46306.0</v>
      </c>
      <c r="S810" s="42">
        <v>0.0</v>
      </c>
      <c r="T810" s="44"/>
      <c r="U810" s="45" t="str">
        <f>IF(records[Type]="Room",records[roomNo],records[roomNo]&amp;"-"&amp;SUBSTITUTE(RIGHT(records[roomNo]&amp;records[Type],2),"-",""))</f>
        <v>12-2-037</v>
      </c>
      <c r="V810" s="47" t="str">
        <f t="array" ref="V810">_xlfn.XLOOKUP(records[ID], dAir[roomNo], dAir[roomName])</f>
        <v>DISPENSED MATERIAL STAGING</v>
      </c>
      <c r="W810" s="47" t="str">
        <f t="array" ref="W810">_xlfn.XLOOKUP(records[ID], dAir[roomNo], dAir[building])</f>
        <v>Building 12</v>
      </c>
      <c r="X810" s="47" t="str">
        <f t="array" ref="X810">_xlfn.XLOOKUP(records[ID], dAir[roomNo], dAir[floor])</f>
        <v>Floor 2</v>
      </c>
      <c r="Y810" s="45" t="str">
        <f t="array" ref="Y810">_xlfn.XLOOKUP(records[ID], dAir[roomNo], dAir[Class])</f>
        <v>D</v>
      </c>
      <c r="Z810" s="45">
        <f t="array" ref="Z810">_xlfn.XLOOKUP(records[Method]&amp;"-"&amp;records[Class], dAirSpec[ID], dAirSpec[Spec])</f>
        <v>100</v>
      </c>
      <c r="AA810" s="45" t="str">
        <f t="array" ref="AA810">_xlfn.XLOOKUP(records[Method]&amp;"-"&amp;records[Class], dAirSpec[ID], dAirSpec[Unit])</f>
        <v>cfu/plate</v>
      </c>
      <c r="AB810" s="58">
        <f t="array" ref="AB810">if(S810="","", if(records[Method]="Active Air",_xlfn.xlookup(records[ColonyCount]&amp;records[AirSampler],feller[code],feller[Vc]),records[ColonyCount]))</f>
        <v>0</v>
      </c>
      <c r="AC810" s="60" t="b">
        <f t="shared" si="1"/>
        <v>1</v>
      </c>
      <c r="AD810" s="61" t="b">
        <v>0</v>
      </c>
      <c r="AE810" s="32" t="s">
        <v>235</v>
      </c>
      <c r="AF810" s="46"/>
      <c r="AG810" s="46"/>
      <c r="AH810" s="46"/>
      <c r="AI810" s="46"/>
      <c r="AJ810" s="46"/>
    </row>
    <row r="811" ht="22.5" customHeight="1">
      <c r="A811" s="27">
        <v>46259.0</v>
      </c>
      <c r="B811" s="34" t="str">
        <f t="array" ref="B811">TEXT(A811, "MM-YYYY")</f>
        <v>08-2026</v>
      </c>
      <c r="C811" s="39" t="s">
        <v>479</v>
      </c>
      <c r="D811" s="36" t="s">
        <v>210</v>
      </c>
      <c r="E811" s="36" t="s">
        <v>213</v>
      </c>
      <c r="F811" s="37" t="s">
        <v>149</v>
      </c>
      <c r="G811" s="263" t="b">
        <v>1</v>
      </c>
      <c r="H811" s="36" t="s">
        <v>214</v>
      </c>
      <c r="I811" s="36" t="s">
        <v>215</v>
      </c>
      <c r="J811" s="214"/>
      <c r="K811" s="215"/>
      <c r="L811" s="187" t="s">
        <v>194</v>
      </c>
      <c r="M811" s="187" t="s">
        <v>194</v>
      </c>
      <c r="N811" s="187" t="s">
        <v>194</v>
      </c>
      <c r="O811" s="187" t="s">
        <v>194</v>
      </c>
      <c r="P811" s="37" t="s">
        <v>692</v>
      </c>
      <c r="Q811" s="37" t="s">
        <v>693</v>
      </c>
      <c r="R811" s="41">
        <v>46306.0</v>
      </c>
      <c r="S811" s="42">
        <v>0.0</v>
      </c>
      <c r="T811" s="44"/>
      <c r="U811" s="45" t="str">
        <f>IF(records[Type]="Room",records[roomNo],records[roomNo]&amp;"-"&amp;SUBSTITUTE(RIGHT(records[roomNo]&amp;records[Type],2),"-",""))</f>
        <v>12-2-038</v>
      </c>
      <c r="V811" s="47" t="str">
        <f t="array" ref="V811">_xlfn.XLOOKUP(records[ID], dAir[roomNo], dAir[roomName])</f>
        <v>AIRLOCK</v>
      </c>
      <c r="W811" s="47" t="str">
        <f t="array" ref="W811">_xlfn.XLOOKUP(records[ID], dAir[roomNo], dAir[building])</f>
        <v>Building 12</v>
      </c>
      <c r="X811" s="47" t="str">
        <f t="array" ref="X811">_xlfn.XLOOKUP(records[ID], dAir[roomNo], dAir[floor])</f>
        <v>Floor 2</v>
      </c>
      <c r="Y811" s="45" t="str">
        <f t="array" ref="Y811">_xlfn.XLOOKUP(records[ID], dAir[roomNo], dAir[Class])</f>
        <v>D</v>
      </c>
      <c r="Z811" s="45">
        <f t="array" ref="Z811">_xlfn.XLOOKUP(records[Method]&amp;"-"&amp;records[Class], dAirSpec[ID], dAirSpec[Spec])</f>
        <v>100</v>
      </c>
      <c r="AA811" s="45" t="str">
        <f t="array" ref="AA811">_xlfn.XLOOKUP(records[Method]&amp;"-"&amp;records[Class], dAirSpec[ID], dAirSpec[Unit])</f>
        <v>cfu/plate</v>
      </c>
      <c r="AB811" s="58">
        <f t="array" ref="AB811">if(S811="","", if(records[Method]="Active Air",_xlfn.xlookup(records[ColonyCount]&amp;records[AirSampler],feller[code],feller[Vc]),records[ColonyCount]))</f>
        <v>0</v>
      </c>
      <c r="AC811" s="60" t="b">
        <f t="shared" si="1"/>
        <v>1</v>
      </c>
      <c r="AD811" s="61" t="b">
        <v>0</v>
      </c>
      <c r="AE811" s="32" t="s">
        <v>235</v>
      </c>
      <c r="AF811" s="46"/>
      <c r="AG811" s="46"/>
      <c r="AH811" s="46"/>
      <c r="AI811" s="46"/>
      <c r="AJ811" s="46"/>
    </row>
    <row r="812" ht="22.5" customHeight="1">
      <c r="A812" s="27">
        <v>46259.0</v>
      </c>
      <c r="B812" s="34" t="str">
        <f t="array" ref="B812">TEXT(A812, "MM-YYYY")</f>
        <v>08-2026</v>
      </c>
      <c r="C812" s="39" t="s">
        <v>486</v>
      </c>
      <c r="D812" s="36" t="s">
        <v>210</v>
      </c>
      <c r="E812" s="36" t="s">
        <v>213</v>
      </c>
      <c r="F812" s="37" t="s">
        <v>149</v>
      </c>
      <c r="G812" s="263" t="b">
        <v>1</v>
      </c>
      <c r="H812" s="36" t="s">
        <v>214</v>
      </c>
      <c r="I812" s="36" t="s">
        <v>215</v>
      </c>
      <c r="J812" s="214"/>
      <c r="K812" s="215"/>
      <c r="L812" s="187" t="s">
        <v>194</v>
      </c>
      <c r="M812" s="187" t="s">
        <v>194</v>
      </c>
      <c r="N812" s="187" t="s">
        <v>194</v>
      </c>
      <c r="O812" s="187" t="s">
        <v>194</v>
      </c>
      <c r="P812" s="37" t="s">
        <v>692</v>
      </c>
      <c r="Q812" s="37" t="s">
        <v>693</v>
      </c>
      <c r="R812" s="41">
        <v>46306.0</v>
      </c>
      <c r="S812" s="42">
        <v>0.0</v>
      </c>
      <c r="T812" s="44"/>
      <c r="U812" s="45" t="str">
        <f>IF(records[Type]="Room",records[roomNo],records[roomNo]&amp;"-"&amp;SUBSTITUTE(RIGHT(records[roomNo]&amp;records[Type],2),"-",""))</f>
        <v>12-2-039</v>
      </c>
      <c r="V812" s="47" t="str">
        <f t="array" ref="V812">_xlfn.XLOOKUP(records[ID], dAir[roomNo], dAir[roomName])</f>
        <v>MFG 1</v>
      </c>
      <c r="W812" s="47" t="str">
        <f t="array" ref="W812">_xlfn.XLOOKUP(records[ID], dAir[roomNo], dAir[building])</f>
        <v>Building 12</v>
      </c>
      <c r="X812" s="47" t="str">
        <f t="array" ref="X812">_xlfn.XLOOKUP(records[ID], dAir[roomNo], dAir[floor])</f>
        <v>Floor 2</v>
      </c>
      <c r="Y812" s="45" t="str">
        <f t="array" ref="Y812">_xlfn.XLOOKUP(records[ID], dAir[roomNo], dAir[Class])</f>
        <v>D</v>
      </c>
      <c r="Z812" s="45">
        <f t="array" ref="Z812">_xlfn.XLOOKUP(records[Method]&amp;"-"&amp;records[Class], dAirSpec[ID], dAirSpec[Spec])</f>
        <v>100</v>
      </c>
      <c r="AA812" s="45" t="str">
        <f t="array" ref="AA812">_xlfn.XLOOKUP(records[Method]&amp;"-"&amp;records[Class], dAirSpec[ID], dAirSpec[Unit])</f>
        <v>cfu/plate</v>
      </c>
      <c r="AB812" s="58">
        <f t="array" ref="AB812">if(S812="","", if(records[Method]="Active Air",_xlfn.xlookup(records[ColonyCount]&amp;records[AirSampler],feller[code],feller[Vc]),records[ColonyCount]))</f>
        <v>0</v>
      </c>
      <c r="AC812" s="60" t="b">
        <f t="shared" si="1"/>
        <v>1</v>
      </c>
      <c r="AD812" s="61" t="b">
        <v>0</v>
      </c>
      <c r="AE812" s="32" t="s">
        <v>235</v>
      </c>
      <c r="AF812" s="46"/>
      <c r="AG812" s="46"/>
      <c r="AH812" s="46"/>
      <c r="AI812" s="46"/>
      <c r="AJ812" s="46"/>
    </row>
    <row r="813" ht="22.5" customHeight="1">
      <c r="A813" s="27">
        <v>46259.0</v>
      </c>
      <c r="B813" s="34" t="str">
        <f t="array" ref="B813">TEXT(A813, "MM-YYYY")</f>
        <v>08-2026</v>
      </c>
      <c r="C813" s="39" t="s">
        <v>496</v>
      </c>
      <c r="D813" s="36" t="s">
        <v>210</v>
      </c>
      <c r="E813" s="36" t="s">
        <v>213</v>
      </c>
      <c r="F813" s="37" t="s">
        <v>149</v>
      </c>
      <c r="G813" s="263" t="b">
        <v>1</v>
      </c>
      <c r="H813" s="36" t="s">
        <v>214</v>
      </c>
      <c r="I813" s="36" t="s">
        <v>215</v>
      </c>
      <c r="J813" s="214"/>
      <c r="K813" s="215"/>
      <c r="L813" s="187" t="s">
        <v>194</v>
      </c>
      <c r="M813" s="187" t="s">
        <v>194</v>
      </c>
      <c r="N813" s="187" t="s">
        <v>194</v>
      </c>
      <c r="O813" s="187" t="s">
        <v>194</v>
      </c>
      <c r="P813" s="37" t="s">
        <v>692</v>
      </c>
      <c r="Q813" s="37" t="s">
        <v>693</v>
      </c>
      <c r="R813" s="41">
        <v>46306.0</v>
      </c>
      <c r="S813" s="42">
        <v>0.0</v>
      </c>
      <c r="T813" s="44"/>
      <c r="U813" s="45" t="str">
        <f>IF(records[Type]="Room",records[roomNo],records[roomNo]&amp;"-"&amp;SUBSTITUTE(RIGHT(records[roomNo]&amp;records[Type],2),"-",""))</f>
        <v>12-2-040</v>
      </c>
      <c r="V813" s="47" t="str">
        <f t="array" ref="V813">_xlfn.XLOOKUP(records[ID], dAir[roomNo], dAir[roomName])</f>
        <v>AIRLOCK</v>
      </c>
      <c r="W813" s="47" t="str">
        <f t="array" ref="W813">_xlfn.XLOOKUP(records[ID], dAir[roomNo], dAir[building])</f>
        <v>Building 12</v>
      </c>
      <c r="X813" s="47" t="str">
        <f t="array" ref="X813">_xlfn.XLOOKUP(records[ID], dAir[roomNo], dAir[floor])</f>
        <v>Floor 2</v>
      </c>
      <c r="Y813" s="45" t="str">
        <f t="array" ref="Y813">_xlfn.XLOOKUP(records[ID], dAir[roomNo], dAir[Class])</f>
        <v>D</v>
      </c>
      <c r="Z813" s="45">
        <f t="array" ref="Z813">_xlfn.XLOOKUP(records[Method]&amp;"-"&amp;records[Class], dAirSpec[ID], dAirSpec[Spec])</f>
        <v>100</v>
      </c>
      <c r="AA813" s="45" t="str">
        <f t="array" ref="AA813">_xlfn.XLOOKUP(records[Method]&amp;"-"&amp;records[Class], dAirSpec[ID], dAirSpec[Unit])</f>
        <v>cfu/plate</v>
      </c>
      <c r="AB813" s="58">
        <f t="array" ref="AB813">if(S813="","", if(records[Method]="Active Air",_xlfn.xlookup(records[ColonyCount]&amp;records[AirSampler],feller[code],feller[Vc]),records[ColonyCount]))</f>
        <v>0</v>
      </c>
      <c r="AC813" s="60" t="b">
        <f t="shared" si="1"/>
        <v>1</v>
      </c>
      <c r="AD813" s="61" t="b">
        <v>0</v>
      </c>
      <c r="AE813" s="32" t="s">
        <v>235</v>
      </c>
      <c r="AF813" s="46"/>
      <c r="AG813" s="46"/>
      <c r="AH813" s="46"/>
      <c r="AI813" s="46"/>
      <c r="AJ813" s="46"/>
    </row>
    <row r="814" ht="22.5" customHeight="1">
      <c r="A814" s="27">
        <v>46259.0</v>
      </c>
      <c r="B814" s="34" t="str">
        <f t="array" ref="B814">TEXT(A814, "MM-YYYY")</f>
        <v>08-2026</v>
      </c>
      <c r="C814" s="39" t="s">
        <v>507</v>
      </c>
      <c r="D814" s="36" t="s">
        <v>210</v>
      </c>
      <c r="E814" s="36" t="s">
        <v>213</v>
      </c>
      <c r="F814" s="37" t="s">
        <v>149</v>
      </c>
      <c r="G814" s="263" t="b">
        <v>1</v>
      </c>
      <c r="H814" s="36" t="s">
        <v>214</v>
      </c>
      <c r="I814" s="36" t="s">
        <v>215</v>
      </c>
      <c r="J814" s="214"/>
      <c r="K814" s="215"/>
      <c r="L814" s="187" t="s">
        <v>194</v>
      </c>
      <c r="M814" s="187" t="s">
        <v>194</v>
      </c>
      <c r="N814" s="187" t="s">
        <v>194</v>
      </c>
      <c r="O814" s="187" t="s">
        <v>194</v>
      </c>
      <c r="P814" s="37" t="s">
        <v>692</v>
      </c>
      <c r="Q814" s="37" t="s">
        <v>693</v>
      </c>
      <c r="R814" s="41">
        <v>46306.0</v>
      </c>
      <c r="S814" s="42">
        <v>0.0</v>
      </c>
      <c r="T814" s="44"/>
      <c r="U814" s="45" t="str">
        <f>IF(records[Type]="Room",records[roomNo],records[roomNo]&amp;"-"&amp;SUBSTITUTE(RIGHT(records[roomNo]&amp;records[Type],2),"-",""))</f>
        <v>12-2-041</v>
      </c>
      <c r="V814" s="47" t="str">
        <f t="array" ref="V814">_xlfn.XLOOKUP(records[ID], dAir[roomNo], dAir[roomName])</f>
        <v>MFG 2</v>
      </c>
      <c r="W814" s="47" t="str">
        <f t="array" ref="W814">_xlfn.XLOOKUP(records[ID], dAir[roomNo], dAir[building])</f>
        <v>Building 12</v>
      </c>
      <c r="X814" s="47" t="str">
        <f t="array" ref="X814">_xlfn.XLOOKUP(records[ID], dAir[roomNo], dAir[floor])</f>
        <v>Floor 2</v>
      </c>
      <c r="Y814" s="45" t="str">
        <f t="array" ref="Y814">_xlfn.XLOOKUP(records[ID], dAir[roomNo], dAir[Class])</f>
        <v>D</v>
      </c>
      <c r="Z814" s="45">
        <f t="array" ref="Z814">_xlfn.XLOOKUP(records[Method]&amp;"-"&amp;records[Class], dAirSpec[ID], dAirSpec[Spec])</f>
        <v>100</v>
      </c>
      <c r="AA814" s="45" t="str">
        <f t="array" ref="AA814">_xlfn.XLOOKUP(records[Method]&amp;"-"&amp;records[Class], dAirSpec[ID], dAirSpec[Unit])</f>
        <v>cfu/plate</v>
      </c>
      <c r="AB814" s="58">
        <f t="array" ref="AB814">if(S814="","", if(records[Method]="Active Air",_xlfn.xlookup(records[ColonyCount]&amp;records[AirSampler],feller[code],feller[Vc]),records[ColonyCount]))</f>
        <v>0</v>
      </c>
      <c r="AC814" s="60" t="b">
        <f t="shared" si="1"/>
        <v>1</v>
      </c>
      <c r="AD814" s="61" t="b">
        <v>0</v>
      </c>
      <c r="AE814" s="32" t="s">
        <v>235</v>
      </c>
      <c r="AF814" s="46"/>
      <c r="AG814" s="46"/>
      <c r="AH814" s="46"/>
      <c r="AI814" s="46"/>
      <c r="AJ814" s="46"/>
    </row>
    <row r="815" ht="22.5" customHeight="1">
      <c r="A815" s="27">
        <v>46259.0</v>
      </c>
      <c r="B815" s="34" t="str">
        <f t="array" ref="B815">TEXT(A815, "MM-YYYY")</f>
        <v>08-2026</v>
      </c>
      <c r="C815" s="39" t="s">
        <v>520</v>
      </c>
      <c r="D815" s="36" t="s">
        <v>210</v>
      </c>
      <c r="E815" s="36" t="s">
        <v>213</v>
      </c>
      <c r="F815" s="37" t="s">
        <v>149</v>
      </c>
      <c r="G815" s="263" t="b">
        <v>1</v>
      </c>
      <c r="H815" s="36" t="s">
        <v>214</v>
      </c>
      <c r="I815" s="36" t="s">
        <v>215</v>
      </c>
      <c r="J815" s="214"/>
      <c r="K815" s="215"/>
      <c r="L815" s="187" t="s">
        <v>194</v>
      </c>
      <c r="M815" s="187" t="s">
        <v>194</v>
      </c>
      <c r="N815" s="187" t="s">
        <v>194</v>
      </c>
      <c r="O815" s="187" t="s">
        <v>194</v>
      </c>
      <c r="P815" s="37" t="s">
        <v>692</v>
      </c>
      <c r="Q815" s="37" t="s">
        <v>693</v>
      </c>
      <c r="R815" s="41">
        <v>46306.0</v>
      </c>
      <c r="S815" s="42">
        <v>0.0</v>
      </c>
      <c r="T815" s="44"/>
      <c r="U815" s="45" t="str">
        <f>IF(records[Type]="Room",records[roomNo],records[roomNo]&amp;"-"&amp;SUBSTITUTE(RIGHT(records[roomNo]&amp;records[Type],2),"-",""))</f>
        <v>12-2-042</v>
      </c>
      <c r="V815" s="47" t="str">
        <f t="array" ref="V815">_xlfn.XLOOKUP(records[ID], dAir[roomNo], dAir[roomName])</f>
        <v>AIRLOCK</v>
      </c>
      <c r="W815" s="47" t="str">
        <f t="array" ref="W815">_xlfn.XLOOKUP(records[ID], dAir[roomNo], dAir[building])</f>
        <v>Building 12</v>
      </c>
      <c r="X815" s="47" t="str">
        <f t="array" ref="X815">_xlfn.XLOOKUP(records[ID], dAir[roomNo], dAir[floor])</f>
        <v>Floor 2</v>
      </c>
      <c r="Y815" s="45" t="str">
        <f t="array" ref="Y815">_xlfn.XLOOKUP(records[ID], dAir[roomNo], dAir[Class])</f>
        <v>D</v>
      </c>
      <c r="Z815" s="45">
        <f t="array" ref="Z815">_xlfn.XLOOKUP(records[Method]&amp;"-"&amp;records[Class], dAirSpec[ID], dAirSpec[Spec])</f>
        <v>100</v>
      </c>
      <c r="AA815" s="45" t="str">
        <f t="array" ref="AA815">_xlfn.XLOOKUP(records[Method]&amp;"-"&amp;records[Class], dAirSpec[ID], dAirSpec[Unit])</f>
        <v>cfu/plate</v>
      </c>
      <c r="AB815" s="58">
        <f t="array" ref="AB815">if(S815="","", if(records[Method]="Active Air",_xlfn.xlookup(records[ColonyCount]&amp;records[AirSampler],feller[code],feller[Vc]),records[ColonyCount]))</f>
        <v>0</v>
      </c>
      <c r="AC815" s="60" t="b">
        <f t="shared" si="1"/>
        <v>1</v>
      </c>
      <c r="AD815" s="61" t="b">
        <v>0</v>
      </c>
      <c r="AE815" s="32" t="s">
        <v>235</v>
      </c>
      <c r="AF815" s="46"/>
      <c r="AG815" s="46"/>
      <c r="AH815" s="46"/>
      <c r="AI815" s="46"/>
      <c r="AJ815" s="46"/>
    </row>
    <row r="816" ht="22.5" customHeight="1">
      <c r="A816" s="27">
        <v>46259.0</v>
      </c>
      <c r="B816" s="34" t="str">
        <f t="array" ref="B816">TEXT(A816, "MM-YYYY")</f>
        <v>08-2026</v>
      </c>
      <c r="C816" s="39" t="s">
        <v>530</v>
      </c>
      <c r="D816" s="36" t="s">
        <v>210</v>
      </c>
      <c r="E816" s="36" t="s">
        <v>213</v>
      </c>
      <c r="F816" s="37" t="s">
        <v>149</v>
      </c>
      <c r="G816" s="263" t="b">
        <v>1</v>
      </c>
      <c r="H816" s="36" t="s">
        <v>214</v>
      </c>
      <c r="I816" s="36" t="s">
        <v>215</v>
      </c>
      <c r="J816" s="214"/>
      <c r="K816" s="215"/>
      <c r="L816" s="187" t="s">
        <v>194</v>
      </c>
      <c r="M816" s="187" t="s">
        <v>194</v>
      </c>
      <c r="N816" s="187" t="s">
        <v>194</v>
      </c>
      <c r="O816" s="187" t="s">
        <v>194</v>
      </c>
      <c r="P816" s="37" t="s">
        <v>692</v>
      </c>
      <c r="Q816" s="37" t="s">
        <v>693</v>
      </c>
      <c r="R816" s="41">
        <v>46306.0</v>
      </c>
      <c r="S816" s="42">
        <v>0.0</v>
      </c>
      <c r="T816" s="44"/>
      <c r="U816" s="45" t="str">
        <f>IF(records[Type]="Room",records[roomNo],records[roomNo]&amp;"-"&amp;SUBSTITUTE(RIGHT(records[roomNo]&amp;records[Type],2),"-",""))</f>
        <v>12-2-043</v>
      </c>
      <c r="V816" s="47" t="str">
        <f t="array" ref="V816">_xlfn.XLOOKUP(records[ID], dAir[roomNo], dAir[roomName])</f>
        <v>MFG 3</v>
      </c>
      <c r="W816" s="47" t="str">
        <f t="array" ref="W816">_xlfn.XLOOKUP(records[ID], dAir[roomNo], dAir[building])</f>
        <v>Building 12</v>
      </c>
      <c r="X816" s="47" t="str">
        <f t="array" ref="X816">_xlfn.XLOOKUP(records[ID], dAir[roomNo], dAir[floor])</f>
        <v>Floor 2</v>
      </c>
      <c r="Y816" s="45" t="str">
        <f t="array" ref="Y816">_xlfn.XLOOKUP(records[ID], dAir[roomNo], dAir[Class])</f>
        <v>D</v>
      </c>
      <c r="Z816" s="45">
        <f t="array" ref="Z816">_xlfn.XLOOKUP(records[Method]&amp;"-"&amp;records[Class], dAirSpec[ID], dAirSpec[Spec])</f>
        <v>100</v>
      </c>
      <c r="AA816" s="45" t="str">
        <f t="array" ref="AA816">_xlfn.XLOOKUP(records[Method]&amp;"-"&amp;records[Class], dAirSpec[ID], dAirSpec[Unit])</f>
        <v>cfu/plate</v>
      </c>
      <c r="AB816" s="58">
        <f t="array" ref="AB816">if(S816="","", if(records[Method]="Active Air",_xlfn.xlookup(records[ColonyCount]&amp;records[AirSampler],feller[code],feller[Vc]),records[ColonyCount]))</f>
        <v>0</v>
      </c>
      <c r="AC816" s="60" t="b">
        <f t="shared" si="1"/>
        <v>1</v>
      </c>
      <c r="AD816" s="61" t="b">
        <v>0</v>
      </c>
      <c r="AE816" s="32" t="s">
        <v>235</v>
      </c>
      <c r="AF816" s="46"/>
      <c r="AG816" s="46"/>
      <c r="AH816" s="46"/>
      <c r="AI816" s="46"/>
      <c r="AJ816" s="46"/>
    </row>
    <row r="817" ht="22.5" customHeight="1">
      <c r="A817" s="27">
        <v>46259.0</v>
      </c>
      <c r="B817" s="34" t="str">
        <f t="array" ref="B817">TEXT(A817, "MM-YYYY")</f>
        <v>08-2026</v>
      </c>
      <c r="C817" s="39" t="s">
        <v>543</v>
      </c>
      <c r="D817" s="36" t="s">
        <v>210</v>
      </c>
      <c r="E817" s="36" t="s">
        <v>213</v>
      </c>
      <c r="F817" s="37" t="s">
        <v>149</v>
      </c>
      <c r="G817" s="263" t="b">
        <v>1</v>
      </c>
      <c r="H817" s="36" t="s">
        <v>214</v>
      </c>
      <c r="I817" s="36" t="s">
        <v>215</v>
      </c>
      <c r="J817" s="214"/>
      <c r="K817" s="215"/>
      <c r="L817" s="187" t="s">
        <v>194</v>
      </c>
      <c r="M817" s="187" t="s">
        <v>194</v>
      </c>
      <c r="N817" s="187" t="s">
        <v>194</v>
      </c>
      <c r="O817" s="187" t="s">
        <v>194</v>
      </c>
      <c r="P817" s="37" t="s">
        <v>692</v>
      </c>
      <c r="Q817" s="37" t="s">
        <v>693</v>
      </c>
      <c r="R817" s="41">
        <v>46306.0</v>
      </c>
      <c r="S817" s="42">
        <v>0.0</v>
      </c>
      <c r="T817" s="44"/>
      <c r="U817" s="45" t="str">
        <f>IF(records[Type]="Room",records[roomNo],records[roomNo]&amp;"-"&amp;SUBSTITUTE(RIGHT(records[roomNo]&amp;records[Type],2),"-",""))</f>
        <v>12-2-044</v>
      </c>
      <c r="V817" s="47" t="str">
        <f t="array" ref="V817">_xlfn.XLOOKUP(records[ID], dAir[roomNo], dAir[roomName])</f>
        <v>AIRLOCK</v>
      </c>
      <c r="W817" s="47" t="str">
        <f t="array" ref="W817">_xlfn.XLOOKUP(records[ID], dAir[roomNo], dAir[building])</f>
        <v>Building 12</v>
      </c>
      <c r="X817" s="47" t="str">
        <f t="array" ref="X817">_xlfn.XLOOKUP(records[ID], dAir[roomNo], dAir[floor])</f>
        <v>Floor 2</v>
      </c>
      <c r="Y817" s="45" t="str">
        <f t="array" ref="Y817">_xlfn.XLOOKUP(records[ID], dAir[roomNo], dAir[Class])</f>
        <v>D</v>
      </c>
      <c r="Z817" s="45">
        <f t="array" ref="Z817">_xlfn.XLOOKUP(records[Method]&amp;"-"&amp;records[Class], dAirSpec[ID], dAirSpec[Spec])</f>
        <v>100</v>
      </c>
      <c r="AA817" s="45" t="str">
        <f t="array" ref="AA817">_xlfn.XLOOKUP(records[Method]&amp;"-"&amp;records[Class], dAirSpec[ID], dAirSpec[Unit])</f>
        <v>cfu/plate</v>
      </c>
      <c r="AB817" s="58">
        <f t="array" ref="AB817">if(S817="","", if(records[Method]="Active Air",_xlfn.xlookup(records[ColonyCount]&amp;records[AirSampler],feller[code],feller[Vc]),records[ColonyCount]))</f>
        <v>0</v>
      </c>
      <c r="AC817" s="60" t="b">
        <f t="shared" si="1"/>
        <v>1</v>
      </c>
      <c r="AD817" s="61" t="b">
        <v>0</v>
      </c>
      <c r="AE817" s="32" t="s">
        <v>235</v>
      </c>
      <c r="AF817" s="46"/>
      <c r="AG817" s="46"/>
      <c r="AH817" s="46"/>
      <c r="AI817" s="46"/>
      <c r="AJ817" s="46"/>
    </row>
    <row r="818" ht="22.5" customHeight="1">
      <c r="A818" s="27">
        <v>46259.0</v>
      </c>
      <c r="B818" s="34" t="str">
        <f t="array" ref="B818">TEXT(A818, "MM-YYYY")</f>
        <v>08-2026</v>
      </c>
      <c r="C818" s="39" t="s">
        <v>552</v>
      </c>
      <c r="D818" s="36" t="s">
        <v>210</v>
      </c>
      <c r="E818" s="36" t="s">
        <v>213</v>
      </c>
      <c r="F818" s="37" t="s">
        <v>149</v>
      </c>
      <c r="G818" s="263" t="b">
        <v>1</v>
      </c>
      <c r="H818" s="36" t="s">
        <v>214</v>
      </c>
      <c r="I818" s="36" t="s">
        <v>215</v>
      </c>
      <c r="J818" s="214"/>
      <c r="K818" s="215"/>
      <c r="L818" s="187" t="s">
        <v>194</v>
      </c>
      <c r="M818" s="187" t="s">
        <v>194</v>
      </c>
      <c r="N818" s="187" t="s">
        <v>194</v>
      </c>
      <c r="O818" s="187" t="s">
        <v>194</v>
      </c>
      <c r="P818" s="37" t="s">
        <v>692</v>
      </c>
      <c r="Q818" s="37" t="s">
        <v>693</v>
      </c>
      <c r="R818" s="41">
        <v>46306.0</v>
      </c>
      <c r="S818" s="42">
        <v>0.0</v>
      </c>
      <c r="T818" s="44"/>
      <c r="U818" s="45" t="str">
        <f>IF(records[Type]="Room",records[roomNo],records[roomNo]&amp;"-"&amp;SUBSTITUTE(RIGHT(records[roomNo]&amp;records[Type],2),"-",""))</f>
        <v>12-2-045</v>
      </c>
      <c r="V818" s="47" t="str">
        <f t="array" ref="V818">_xlfn.XLOOKUP(records[ID], dAir[roomNo], dAir[roomName])</f>
        <v>MFG 4</v>
      </c>
      <c r="W818" s="47" t="str">
        <f t="array" ref="W818">_xlfn.XLOOKUP(records[ID], dAir[roomNo], dAir[building])</f>
        <v>Building 12</v>
      </c>
      <c r="X818" s="47" t="str">
        <f t="array" ref="X818">_xlfn.XLOOKUP(records[ID], dAir[roomNo], dAir[floor])</f>
        <v>Floor 2</v>
      </c>
      <c r="Y818" s="45" t="str">
        <f t="array" ref="Y818">_xlfn.XLOOKUP(records[ID], dAir[roomNo], dAir[Class])</f>
        <v>D</v>
      </c>
      <c r="Z818" s="45">
        <f t="array" ref="Z818">_xlfn.XLOOKUP(records[Method]&amp;"-"&amp;records[Class], dAirSpec[ID], dAirSpec[Spec])</f>
        <v>100</v>
      </c>
      <c r="AA818" s="45" t="str">
        <f t="array" ref="AA818">_xlfn.XLOOKUP(records[Method]&amp;"-"&amp;records[Class], dAirSpec[ID], dAirSpec[Unit])</f>
        <v>cfu/plate</v>
      </c>
      <c r="AB818" s="58">
        <f t="array" ref="AB818">if(S818="","", if(records[Method]="Active Air",_xlfn.xlookup(records[ColonyCount]&amp;records[AirSampler],feller[code],feller[Vc]),records[ColonyCount]))</f>
        <v>0</v>
      </c>
      <c r="AC818" s="60" t="b">
        <f t="shared" si="1"/>
        <v>1</v>
      </c>
      <c r="AD818" s="61" t="b">
        <v>0</v>
      </c>
      <c r="AE818" s="32" t="s">
        <v>235</v>
      </c>
      <c r="AF818" s="46"/>
      <c r="AG818" s="46"/>
      <c r="AH818" s="46"/>
      <c r="AI818" s="46"/>
      <c r="AJ818" s="46"/>
    </row>
    <row r="819" ht="22.5" customHeight="1">
      <c r="A819" s="27">
        <v>46259.0</v>
      </c>
      <c r="B819" s="34" t="str">
        <f t="array" ref="B819">TEXT(A819, "MM-YYYY")</f>
        <v>08-2026</v>
      </c>
      <c r="C819" s="39" t="s">
        <v>556</v>
      </c>
      <c r="D819" s="36" t="s">
        <v>210</v>
      </c>
      <c r="E819" s="36" t="s">
        <v>213</v>
      </c>
      <c r="F819" s="37" t="s">
        <v>149</v>
      </c>
      <c r="G819" s="263" t="b">
        <v>1</v>
      </c>
      <c r="H819" s="36" t="s">
        <v>214</v>
      </c>
      <c r="I819" s="36" t="s">
        <v>215</v>
      </c>
      <c r="J819" s="214"/>
      <c r="K819" s="215"/>
      <c r="L819" s="187" t="s">
        <v>194</v>
      </c>
      <c r="M819" s="187" t="s">
        <v>194</v>
      </c>
      <c r="N819" s="187" t="s">
        <v>194</v>
      </c>
      <c r="O819" s="187" t="s">
        <v>194</v>
      </c>
      <c r="P819" s="37" t="s">
        <v>692</v>
      </c>
      <c r="Q819" s="37" t="s">
        <v>693</v>
      </c>
      <c r="R819" s="41">
        <v>46306.0</v>
      </c>
      <c r="S819" s="42">
        <v>0.0</v>
      </c>
      <c r="T819" s="44"/>
      <c r="U819" s="45" t="str">
        <f>IF(records[Type]="Room",records[roomNo],records[roomNo]&amp;"-"&amp;SUBSTITUTE(RIGHT(records[roomNo]&amp;records[Type],2),"-",""))</f>
        <v>12-2-046</v>
      </c>
      <c r="V819" s="47" t="str">
        <f t="array" ref="V819">_xlfn.XLOOKUP(records[ID], dAir[roomNo], dAir[roomName])</f>
        <v>PRO TINCTURE STAGING</v>
      </c>
      <c r="W819" s="47" t="str">
        <f t="array" ref="W819">_xlfn.XLOOKUP(records[ID], dAir[roomNo], dAir[building])</f>
        <v>Building 12</v>
      </c>
      <c r="X819" s="47" t="str">
        <f t="array" ref="X819">_xlfn.XLOOKUP(records[ID], dAir[roomNo], dAir[floor])</f>
        <v>Floor 2</v>
      </c>
      <c r="Y819" s="45" t="str">
        <f t="array" ref="Y819">_xlfn.XLOOKUP(records[ID], dAir[roomNo], dAir[Class])</f>
        <v>D</v>
      </c>
      <c r="Z819" s="45">
        <f t="array" ref="Z819">_xlfn.XLOOKUP(records[Method]&amp;"-"&amp;records[Class], dAirSpec[ID], dAirSpec[Spec])</f>
        <v>100</v>
      </c>
      <c r="AA819" s="45" t="str">
        <f t="array" ref="AA819">_xlfn.XLOOKUP(records[Method]&amp;"-"&amp;records[Class], dAirSpec[ID], dAirSpec[Unit])</f>
        <v>cfu/plate</v>
      </c>
      <c r="AB819" s="58">
        <f t="array" ref="AB819">if(S819="","", if(records[Method]="Active Air",_xlfn.xlookup(records[ColonyCount]&amp;records[AirSampler],feller[code],feller[Vc]),records[ColonyCount]))</f>
        <v>0</v>
      </c>
      <c r="AC819" s="60" t="b">
        <f t="shared" si="1"/>
        <v>1</v>
      </c>
      <c r="AD819" s="61" t="b">
        <v>0</v>
      </c>
      <c r="AE819" s="32" t="s">
        <v>235</v>
      </c>
      <c r="AF819" s="46"/>
      <c r="AG819" s="46"/>
      <c r="AH819" s="46"/>
      <c r="AI819" s="46"/>
      <c r="AJ819" s="46"/>
    </row>
    <row r="820" ht="22.5" customHeight="1">
      <c r="A820" s="27">
        <v>46259.0</v>
      </c>
      <c r="B820" s="34" t="str">
        <f t="array" ref="B820">TEXT(A820, "MM-YYYY")</f>
        <v>08-2026</v>
      </c>
      <c r="C820" s="39" t="s">
        <v>562</v>
      </c>
      <c r="D820" s="36" t="s">
        <v>210</v>
      </c>
      <c r="E820" s="36" t="s">
        <v>213</v>
      </c>
      <c r="F820" s="37" t="s">
        <v>149</v>
      </c>
      <c r="G820" s="263" t="b">
        <v>1</v>
      </c>
      <c r="H820" s="36" t="s">
        <v>214</v>
      </c>
      <c r="I820" s="36" t="s">
        <v>215</v>
      </c>
      <c r="J820" s="214"/>
      <c r="K820" s="215"/>
      <c r="L820" s="187" t="s">
        <v>194</v>
      </c>
      <c r="M820" s="187" t="s">
        <v>194</v>
      </c>
      <c r="N820" s="187" t="s">
        <v>194</v>
      </c>
      <c r="O820" s="187" t="s">
        <v>194</v>
      </c>
      <c r="P820" s="37" t="s">
        <v>692</v>
      </c>
      <c r="Q820" s="37" t="s">
        <v>693</v>
      </c>
      <c r="R820" s="41">
        <v>46306.0</v>
      </c>
      <c r="S820" s="42">
        <v>0.0</v>
      </c>
      <c r="T820" s="44"/>
      <c r="U820" s="45" t="str">
        <f>IF(records[Type]="Room",records[roomNo],records[roomNo]&amp;"-"&amp;SUBSTITUTE(RIGHT(records[roomNo]&amp;records[Type],2),"-",""))</f>
        <v>12-2-047</v>
      </c>
      <c r="V820" s="47" t="str">
        <f t="array" ref="V820">_xlfn.XLOOKUP(records[ID], dAir[roomNo], dAir[roomName])</f>
        <v>AIRLOCK</v>
      </c>
      <c r="W820" s="47" t="str">
        <f t="array" ref="W820">_xlfn.XLOOKUP(records[ID], dAir[roomNo], dAir[building])</f>
        <v>Building 12</v>
      </c>
      <c r="X820" s="47" t="str">
        <f t="array" ref="X820">_xlfn.XLOOKUP(records[ID], dAir[roomNo], dAir[floor])</f>
        <v>Floor 2</v>
      </c>
      <c r="Y820" s="45" t="str">
        <f t="array" ref="Y820">_xlfn.XLOOKUP(records[ID], dAir[roomNo], dAir[Class])</f>
        <v>D</v>
      </c>
      <c r="Z820" s="45">
        <f t="array" ref="Z820">_xlfn.XLOOKUP(records[Method]&amp;"-"&amp;records[Class], dAirSpec[ID], dAirSpec[Spec])</f>
        <v>100</v>
      </c>
      <c r="AA820" s="45" t="str">
        <f t="array" ref="AA820">_xlfn.XLOOKUP(records[Method]&amp;"-"&amp;records[Class], dAirSpec[ID], dAirSpec[Unit])</f>
        <v>cfu/plate</v>
      </c>
      <c r="AB820" s="58">
        <f t="array" ref="AB820">if(S820="","", if(records[Method]="Active Air",_xlfn.xlookup(records[ColonyCount]&amp;records[AirSampler],feller[code],feller[Vc]),records[ColonyCount]))</f>
        <v>0</v>
      </c>
      <c r="AC820" s="60" t="b">
        <f t="shared" si="1"/>
        <v>1</v>
      </c>
      <c r="AD820" s="61" t="b">
        <v>0</v>
      </c>
      <c r="AE820" s="32" t="s">
        <v>235</v>
      </c>
      <c r="AF820" s="46"/>
      <c r="AG820" s="46"/>
      <c r="AH820" s="46"/>
      <c r="AI820" s="46"/>
      <c r="AJ820" s="46"/>
    </row>
    <row r="821" ht="22.5" customHeight="1">
      <c r="A821" s="27">
        <v>46259.0</v>
      </c>
      <c r="B821" s="34" t="str">
        <f t="array" ref="B821">TEXT(A821, "MM-YYYY")</f>
        <v>08-2026</v>
      </c>
      <c r="C821" s="39" t="s">
        <v>572</v>
      </c>
      <c r="D821" s="36" t="s">
        <v>210</v>
      </c>
      <c r="E821" s="36" t="s">
        <v>213</v>
      </c>
      <c r="F821" s="37" t="s">
        <v>149</v>
      </c>
      <c r="G821" s="263" t="b">
        <v>1</v>
      </c>
      <c r="H821" s="36" t="s">
        <v>214</v>
      </c>
      <c r="I821" s="36" t="s">
        <v>215</v>
      </c>
      <c r="J821" s="214"/>
      <c r="K821" s="215"/>
      <c r="L821" s="187" t="s">
        <v>194</v>
      </c>
      <c r="M821" s="187" t="s">
        <v>194</v>
      </c>
      <c r="N821" s="187" t="s">
        <v>194</v>
      </c>
      <c r="O821" s="187" t="s">
        <v>194</v>
      </c>
      <c r="P821" s="37" t="s">
        <v>692</v>
      </c>
      <c r="Q821" s="37" t="s">
        <v>693</v>
      </c>
      <c r="R821" s="41">
        <v>46306.0</v>
      </c>
      <c r="S821" s="42">
        <v>0.0</v>
      </c>
      <c r="T821" s="44"/>
      <c r="U821" s="45" t="str">
        <f>IF(records[Type]="Room",records[roomNo],records[roomNo]&amp;"-"&amp;SUBSTITUTE(RIGHT(records[roomNo]&amp;records[Type],2),"-",""))</f>
        <v>12-2-048</v>
      </c>
      <c r="V821" s="47" t="str">
        <f t="array" ref="V821">_xlfn.XLOOKUP(records[ID], dAir[roomNo], dAir[roomName])</f>
        <v>CORRIDOR</v>
      </c>
      <c r="W821" s="47" t="str">
        <f t="array" ref="W821">_xlfn.XLOOKUP(records[ID], dAir[roomNo], dAir[building])</f>
        <v>Building 12</v>
      </c>
      <c r="X821" s="47" t="str">
        <f t="array" ref="X821">_xlfn.XLOOKUP(records[ID], dAir[roomNo], dAir[floor])</f>
        <v>Floor 2</v>
      </c>
      <c r="Y821" s="45" t="str">
        <f t="array" ref="Y821">_xlfn.XLOOKUP(records[ID], dAir[roomNo], dAir[Class])</f>
        <v>D</v>
      </c>
      <c r="Z821" s="45">
        <f t="array" ref="Z821">_xlfn.XLOOKUP(records[Method]&amp;"-"&amp;records[Class], dAirSpec[ID], dAirSpec[Spec])</f>
        <v>100</v>
      </c>
      <c r="AA821" s="45" t="str">
        <f t="array" ref="AA821">_xlfn.XLOOKUP(records[Method]&amp;"-"&amp;records[Class], dAirSpec[ID], dAirSpec[Unit])</f>
        <v>cfu/plate</v>
      </c>
      <c r="AB821" s="58">
        <f t="array" ref="AB821">if(S821="","", if(records[Method]="Active Air",_xlfn.xlookup(records[ColonyCount]&amp;records[AirSampler],feller[code],feller[Vc]),records[ColonyCount]))</f>
        <v>0</v>
      </c>
      <c r="AC821" s="60" t="b">
        <f t="shared" si="1"/>
        <v>1</v>
      </c>
      <c r="AD821" s="61" t="b">
        <v>0</v>
      </c>
      <c r="AE821" s="32" t="s">
        <v>235</v>
      </c>
      <c r="AF821" s="46"/>
      <c r="AG821" s="46"/>
      <c r="AH821" s="46"/>
      <c r="AI821" s="46"/>
      <c r="AJ821" s="46"/>
    </row>
    <row r="822" ht="22.5" customHeight="1">
      <c r="A822" s="27">
        <v>46259.0</v>
      </c>
      <c r="B822" s="34" t="str">
        <f t="array" ref="B822">TEXT(A822, "MM-YYYY")</f>
        <v>08-2026</v>
      </c>
      <c r="C822" s="39" t="s">
        <v>581</v>
      </c>
      <c r="D822" s="36" t="s">
        <v>210</v>
      </c>
      <c r="E822" s="36" t="s">
        <v>213</v>
      </c>
      <c r="F822" s="37" t="s">
        <v>149</v>
      </c>
      <c r="G822" s="263" t="b">
        <v>1</v>
      </c>
      <c r="H822" s="36" t="s">
        <v>214</v>
      </c>
      <c r="I822" s="36" t="s">
        <v>215</v>
      </c>
      <c r="J822" s="214"/>
      <c r="K822" s="215"/>
      <c r="L822" s="187" t="s">
        <v>194</v>
      </c>
      <c r="M822" s="187" t="s">
        <v>194</v>
      </c>
      <c r="N822" s="187" t="s">
        <v>194</v>
      </c>
      <c r="O822" s="187" t="s">
        <v>194</v>
      </c>
      <c r="P822" s="37" t="s">
        <v>692</v>
      </c>
      <c r="Q822" s="37" t="s">
        <v>693</v>
      </c>
      <c r="R822" s="41">
        <v>46306.0</v>
      </c>
      <c r="S822" s="42">
        <v>0.0</v>
      </c>
      <c r="T822" s="44"/>
      <c r="U822" s="45" t="str">
        <f>IF(records[Type]="Room",records[roomNo],records[roomNo]&amp;"-"&amp;SUBSTITUTE(RIGHT(records[roomNo]&amp;records[Type],2),"-",""))</f>
        <v>12-2-049</v>
      </c>
      <c r="V822" s="47" t="str">
        <f t="array" ref="V822">_xlfn.XLOOKUP(records[ID], dAir[roomNo], dAir[roomName])</f>
        <v>LINEN WASHING</v>
      </c>
      <c r="W822" s="47" t="str">
        <f t="array" ref="W822">_xlfn.XLOOKUP(records[ID], dAir[roomNo], dAir[building])</f>
        <v>Building 12</v>
      </c>
      <c r="X822" s="47" t="str">
        <f t="array" ref="X822">_xlfn.XLOOKUP(records[ID], dAir[roomNo], dAir[floor])</f>
        <v>Floor 2</v>
      </c>
      <c r="Y822" s="45" t="str">
        <f t="array" ref="Y822">_xlfn.XLOOKUP(records[ID], dAir[roomNo], dAir[Class])</f>
        <v>D</v>
      </c>
      <c r="Z822" s="45">
        <f t="array" ref="Z822">_xlfn.XLOOKUP(records[Method]&amp;"-"&amp;records[Class], dAirSpec[ID], dAirSpec[Spec])</f>
        <v>100</v>
      </c>
      <c r="AA822" s="45" t="str">
        <f t="array" ref="AA822">_xlfn.XLOOKUP(records[Method]&amp;"-"&amp;records[Class], dAirSpec[ID], dAirSpec[Unit])</f>
        <v>cfu/plate</v>
      </c>
      <c r="AB822" s="58">
        <f t="array" ref="AB822">if(S822="","", if(records[Method]="Active Air",_xlfn.xlookup(records[ColonyCount]&amp;records[AirSampler],feller[code],feller[Vc]),records[ColonyCount]))</f>
        <v>0</v>
      </c>
      <c r="AC822" s="60" t="b">
        <f t="shared" si="1"/>
        <v>1</v>
      </c>
      <c r="AD822" s="61" t="b">
        <v>0</v>
      </c>
      <c r="AE822" s="32" t="s">
        <v>235</v>
      </c>
      <c r="AF822" s="46"/>
      <c r="AG822" s="46"/>
      <c r="AH822" s="46"/>
      <c r="AI822" s="46"/>
      <c r="AJ822" s="46"/>
    </row>
    <row r="823" ht="22.5" customHeight="1">
      <c r="A823" s="27">
        <v>46259.0</v>
      </c>
      <c r="B823" s="34" t="str">
        <f t="array" ref="B823">TEXT(A823, "MM-YYYY")</f>
        <v>08-2026</v>
      </c>
      <c r="C823" s="39" t="s">
        <v>590</v>
      </c>
      <c r="D823" s="36" t="s">
        <v>210</v>
      </c>
      <c r="E823" s="36" t="s">
        <v>213</v>
      </c>
      <c r="F823" s="37" t="s">
        <v>149</v>
      </c>
      <c r="G823" s="263" t="b">
        <v>1</v>
      </c>
      <c r="H823" s="36" t="s">
        <v>214</v>
      </c>
      <c r="I823" s="36" t="s">
        <v>215</v>
      </c>
      <c r="J823" s="214"/>
      <c r="K823" s="215"/>
      <c r="L823" s="187" t="s">
        <v>194</v>
      </c>
      <c r="M823" s="187" t="s">
        <v>194</v>
      </c>
      <c r="N823" s="187" t="s">
        <v>194</v>
      </c>
      <c r="O823" s="187" t="s">
        <v>194</v>
      </c>
      <c r="P823" s="37" t="s">
        <v>692</v>
      </c>
      <c r="Q823" s="37" t="s">
        <v>693</v>
      </c>
      <c r="R823" s="41">
        <v>46306.0</v>
      </c>
      <c r="S823" s="42">
        <v>0.0</v>
      </c>
      <c r="T823" s="44"/>
      <c r="U823" s="45" t="str">
        <f>IF(records[Type]="Room",records[roomNo],records[roomNo]&amp;"-"&amp;SUBSTITUTE(RIGHT(records[roomNo]&amp;records[Type],2),"-",""))</f>
        <v>12-2-050</v>
      </c>
      <c r="V823" s="47" t="str">
        <f t="array" ref="V823">_xlfn.XLOOKUP(records[ID], dAir[roomNo], dAir[roomName])</f>
        <v>LINEN DRY</v>
      </c>
      <c r="W823" s="47" t="str">
        <f t="array" ref="W823">_xlfn.XLOOKUP(records[ID], dAir[roomNo], dAir[building])</f>
        <v>Building 12</v>
      </c>
      <c r="X823" s="47" t="str">
        <f t="array" ref="X823">_xlfn.XLOOKUP(records[ID], dAir[roomNo], dAir[floor])</f>
        <v>Floor 2</v>
      </c>
      <c r="Y823" s="45" t="str">
        <f t="array" ref="Y823">_xlfn.XLOOKUP(records[ID], dAir[roomNo], dAir[Class])</f>
        <v>D</v>
      </c>
      <c r="Z823" s="45">
        <f t="array" ref="Z823">_xlfn.XLOOKUP(records[Method]&amp;"-"&amp;records[Class], dAirSpec[ID], dAirSpec[Spec])</f>
        <v>100</v>
      </c>
      <c r="AA823" s="45" t="str">
        <f t="array" ref="AA823">_xlfn.XLOOKUP(records[Method]&amp;"-"&amp;records[Class], dAirSpec[ID], dAirSpec[Unit])</f>
        <v>cfu/plate</v>
      </c>
      <c r="AB823" s="58">
        <f t="array" ref="AB823">if(S823="","", if(records[Method]="Active Air",_xlfn.xlookup(records[ColonyCount]&amp;records[AirSampler],feller[code],feller[Vc]),records[ColonyCount]))</f>
        <v>0</v>
      </c>
      <c r="AC823" s="60" t="b">
        <f t="shared" si="1"/>
        <v>1</v>
      </c>
      <c r="AD823" s="61" t="b">
        <v>0</v>
      </c>
      <c r="AE823" s="32" t="s">
        <v>235</v>
      </c>
      <c r="AF823" s="46"/>
      <c r="AG823" s="46"/>
      <c r="AH823" s="46"/>
      <c r="AI823" s="46"/>
      <c r="AJ823" s="46"/>
    </row>
    <row r="824" ht="22.5" customHeight="1">
      <c r="A824" s="27">
        <v>46259.0</v>
      </c>
      <c r="B824" s="34" t="str">
        <f t="array" ref="B824">TEXT(A824, "MM-YYYY")</f>
        <v>08-2026</v>
      </c>
      <c r="C824" s="39" t="s">
        <v>601</v>
      </c>
      <c r="D824" s="36" t="s">
        <v>210</v>
      </c>
      <c r="E824" s="36" t="s">
        <v>213</v>
      </c>
      <c r="F824" s="37" t="s">
        <v>149</v>
      </c>
      <c r="G824" s="263" t="b">
        <v>1</v>
      </c>
      <c r="H824" s="36" t="s">
        <v>214</v>
      </c>
      <c r="I824" s="36" t="s">
        <v>215</v>
      </c>
      <c r="J824" s="214"/>
      <c r="K824" s="215"/>
      <c r="L824" s="187" t="s">
        <v>194</v>
      </c>
      <c r="M824" s="187" t="s">
        <v>194</v>
      </c>
      <c r="N824" s="187" t="s">
        <v>194</v>
      </c>
      <c r="O824" s="187" t="s">
        <v>194</v>
      </c>
      <c r="P824" s="37" t="s">
        <v>692</v>
      </c>
      <c r="Q824" s="37" t="s">
        <v>693</v>
      </c>
      <c r="R824" s="41">
        <v>46306.0</v>
      </c>
      <c r="S824" s="42">
        <v>1.0</v>
      </c>
      <c r="T824" s="44"/>
      <c r="U824" s="45" t="str">
        <f>IF(records[Type]="Room",records[roomNo],records[roomNo]&amp;"-"&amp;SUBSTITUTE(RIGHT(records[roomNo]&amp;records[Type],2),"-",""))</f>
        <v>12-2-051</v>
      </c>
      <c r="V824" s="47" t="str">
        <f t="array" ref="V824">_xlfn.XLOOKUP(records[ID], dAir[roomNo], dAir[roomName])</f>
        <v>SCRAP STORAGE</v>
      </c>
      <c r="W824" s="47" t="str">
        <f t="array" ref="W824">_xlfn.XLOOKUP(records[ID], dAir[roomNo], dAir[building])</f>
        <v>Building 12</v>
      </c>
      <c r="X824" s="47" t="str">
        <f t="array" ref="X824">_xlfn.XLOOKUP(records[ID], dAir[roomNo], dAir[floor])</f>
        <v>Floor 2</v>
      </c>
      <c r="Y824" s="45" t="str">
        <f t="array" ref="Y824">_xlfn.XLOOKUP(records[ID], dAir[roomNo], dAir[Class])</f>
        <v>D</v>
      </c>
      <c r="Z824" s="45">
        <f t="array" ref="Z824">_xlfn.XLOOKUP(records[Method]&amp;"-"&amp;records[Class], dAirSpec[ID], dAirSpec[Spec])</f>
        <v>100</v>
      </c>
      <c r="AA824" s="45" t="str">
        <f t="array" ref="AA824">_xlfn.XLOOKUP(records[Method]&amp;"-"&amp;records[Class], dAirSpec[ID], dAirSpec[Unit])</f>
        <v>cfu/plate</v>
      </c>
      <c r="AB824" s="58">
        <f t="array" ref="AB824">if(S824="","", if(records[Method]="Active Air",_xlfn.xlookup(records[ColonyCount]&amp;records[AirSampler],feller[code],feller[Vc]),records[ColonyCount]))</f>
        <v>1</v>
      </c>
      <c r="AC824" s="60" t="b">
        <f t="shared" si="1"/>
        <v>1</v>
      </c>
      <c r="AD824" s="61" t="b">
        <v>0</v>
      </c>
      <c r="AE824" s="32" t="s">
        <v>235</v>
      </c>
      <c r="AF824" s="46"/>
      <c r="AG824" s="46"/>
      <c r="AH824" s="46"/>
      <c r="AI824" s="46"/>
      <c r="AJ824" s="46"/>
    </row>
    <row r="825" ht="22.5" customHeight="1">
      <c r="A825" s="27">
        <v>46259.0</v>
      </c>
      <c r="B825" s="34" t="str">
        <f t="array" ref="B825">TEXT(A825, "MM-YYYY")</f>
        <v>08-2026</v>
      </c>
      <c r="C825" s="39" t="s">
        <v>610</v>
      </c>
      <c r="D825" s="36" t="s">
        <v>210</v>
      </c>
      <c r="E825" s="36" t="s">
        <v>213</v>
      </c>
      <c r="F825" s="37" t="s">
        <v>149</v>
      </c>
      <c r="G825" s="263" t="b">
        <v>1</v>
      </c>
      <c r="H825" s="36" t="s">
        <v>214</v>
      </c>
      <c r="I825" s="36" t="s">
        <v>215</v>
      </c>
      <c r="J825" s="214"/>
      <c r="K825" s="215"/>
      <c r="L825" s="187" t="s">
        <v>194</v>
      </c>
      <c r="M825" s="187" t="s">
        <v>194</v>
      </c>
      <c r="N825" s="187" t="s">
        <v>194</v>
      </c>
      <c r="O825" s="187" t="s">
        <v>194</v>
      </c>
      <c r="P825" s="37" t="s">
        <v>692</v>
      </c>
      <c r="Q825" s="37" t="s">
        <v>693</v>
      </c>
      <c r="R825" s="41">
        <v>46306.0</v>
      </c>
      <c r="S825" s="42">
        <v>1.0</v>
      </c>
      <c r="T825" s="44"/>
      <c r="U825" s="45" t="str">
        <f>IF(records[Type]="Room",records[roomNo],records[roomNo]&amp;"-"&amp;SUBSTITUTE(RIGHT(records[roomNo]&amp;records[Type],2),"-",""))</f>
        <v>12-2-052</v>
      </c>
      <c r="V825" s="47" t="str">
        <f t="array" ref="V825">_xlfn.XLOOKUP(records[ID], dAir[roomNo], dAir[roomName])</f>
        <v>CORRIDOR</v>
      </c>
      <c r="W825" s="47" t="str">
        <f t="array" ref="W825">_xlfn.XLOOKUP(records[ID], dAir[roomNo], dAir[building])</f>
        <v>Building 12</v>
      </c>
      <c r="X825" s="47" t="str">
        <f t="array" ref="X825">_xlfn.XLOOKUP(records[ID], dAir[roomNo], dAir[floor])</f>
        <v>Floor 2</v>
      </c>
      <c r="Y825" s="45" t="str">
        <f t="array" ref="Y825">_xlfn.XLOOKUP(records[ID], dAir[roomNo], dAir[Class])</f>
        <v>D</v>
      </c>
      <c r="Z825" s="45">
        <f t="array" ref="Z825">_xlfn.XLOOKUP(records[Method]&amp;"-"&amp;records[Class], dAirSpec[ID], dAirSpec[Spec])</f>
        <v>100</v>
      </c>
      <c r="AA825" s="45" t="str">
        <f t="array" ref="AA825">_xlfn.XLOOKUP(records[Method]&amp;"-"&amp;records[Class], dAirSpec[ID], dAirSpec[Unit])</f>
        <v>cfu/plate</v>
      </c>
      <c r="AB825" s="58">
        <f t="array" ref="AB825">if(S825="","", if(records[Method]="Active Air",_xlfn.xlookup(records[ColonyCount]&amp;records[AirSampler],feller[code],feller[Vc]),records[ColonyCount]))</f>
        <v>1</v>
      </c>
      <c r="AC825" s="60" t="b">
        <f t="shared" si="1"/>
        <v>1</v>
      </c>
      <c r="AD825" s="61" t="b">
        <v>0</v>
      </c>
      <c r="AE825" s="32" t="s">
        <v>235</v>
      </c>
      <c r="AF825" s="46"/>
      <c r="AG825" s="46"/>
      <c r="AH825" s="46"/>
      <c r="AI825" s="46"/>
      <c r="AJ825" s="46"/>
    </row>
    <row r="826" ht="22.5" customHeight="1">
      <c r="A826" s="27">
        <v>46259.0</v>
      </c>
      <c r="B826" s="34" t="str">
        <f t="array" ref="B826">TEXT(A826, "MM-YYYY")</f>
        <v>08-2026</v>
      </c>
      <c r="C826" s="39" t="s">
        <v>622</v>
      </c>
      <c r="D826" s="36" t="s">
        <v>210</v>
      </c>
      <c r="E826" s="36" t="s">
        <v>213</v>
      </c>
      <c r="F826" s="37" t="s">
        <v>149</v>
      </c>
      <c r="G826" s="263" t="b">
        <v>1</v>
      </c>
      <c r="H826" s="36" t="s">
        <v>214</v>
      </c>
      <c r="I826" s="36" t="s">
        <v>215</v>
      </c>
      <c r="J826" s="214"/>
      <c r="K826" s="215"/>
      <c r="L826" s="187" t="s">
        <v>194</v>
      </c>
      <c r="M826" s="187" t="s">
        <v>194</v>
      </c>
      <c r="N826" s="187" t="s">
        <v>194</v>
      </c>
      <c r="O826" s="187" t="s">
        <v>194</v>
      </c>
      <c r="P826" s="37" t="s">
        <v>692</v>
      </c>
      <c r="Q826" s="37" t="s">
        <v>693</v>
      </c>
      <c r="R826" s="41">
        <v>46306.0</v>
      </c>
      <c r="S826" s="42">
        <v>0.0</v>
      </c>
      <c r="T826" s="44"/>
      <c r="U826" s="45" t="str">
        <f>IF(records[Type]="Room",records[roomNo],records[roomNo]&amp;"-"&amp;SUBSTITUTE(RIGHT(records[roomNo]&amp;records[Type],2),"-",""))</f>
        <v>12-2-053</v>
      </c>
      <c r="V826" s="47" t="str">
        <f t="array" ref="V826">_xlfn.XLOOKUP(records[ID], dAir[roomNo], dAir[roomName])</f>
        <v>IPQC</v>
      </c>
      <c r="W826" s="47" t="str">
        <f t="array" ref="W826">_xlfn.XLOOKUP(records[ID], dAir[roomNo], dAir[building])</f>
        <v>Building 12</v>
      </c>
      <c r="X826" s="47" t="str">
        <f t="array" ref="X826">_xlfn.XLOOKUP(records[ID], dAir[roomNo], dAir[floor])</f>
        <v>Floor 2</v>
      </c>
      <c r="Y826" s="45" t="str">
        <f t="array" ref="Y826">_xlfn.XLOOKUP(records[ID], dAir[roomNo], dAir[Class])</f>
        <v>D</v>
      </c>
      <c r="Z826" s="45">
        <f t="array" ref="Z826">_xlfn.XLOOKUP(records[Method]&amp;"-"&amp;records[Class], dAirSpec[ID], dAirSpec[Spec])</f>
        <v>100</v>
      </c>
      <c r="AA826" s="45" t="str">
        <f t="array" ref="AA826">_xlfn.XLOOKUP(records[Method]&amp;"-"&amp;records[Class], dAirSpec[ID], dAirSpec[Unit])</f>
        <v>cfu/plate</v>
      </c>
      <c r="AB826" s="58">
        <f t="array" ref="AB826">if(S826="","", if(records[Method]="Active Air",_xlfn.xlookup(records[ColonyCount]&amp;records[AirSampler],feller[code],feller[Vc]),records[ColonyCount]))</f>
        <v>0</v>
      </c>
      <c r="AC826" s="60" t="b">
        <f t="shared" si="1"/>
        <v>1</v>
      </c>
      <c r="AD826" s="61" t="b">
        <v>0</v>
      </c>
      <c r="AE826" s="32" t="s">
        <v>235</v>
      </c>
      <c r="AF826" s="46"/>
      <c r="AG826" s="46"/>
      <c r="AH826" s="46"/>
      <c r="AI826" s="46"/>
      <c r="AJ826" s="46"/>
    </row>
    <row r="827" ht="22.5" customHeight="1">
      <c r="A827" s="27">
        <v>46259.0</v>
      </c>
      <c r="B827" s="34" t="str">
        <f t="array" ref="B827">TEXT(A827, "MM-YYYY")</f>
        <v>08-2026</v>
      </c>
      <c r="C827" s="39" t="s">
        <v>626</v>
      </c>
      <c r="D827" s="36" t="s">
        <v>210</v>
      </c>
      <c r="E827" s="36" t="s">
        <v>213</v>
      </c>
      <c r="F827" s="37" t="s">
        <v>149</v>
      </c>
      <c r="G827" s="263" t="b">
        <v>1</v>
      </c>
      <c r="H827" s="36" t="s">
        <v>214</v>
      </c>
      <c r="I827" s="36" t="s">
        <v>215</v>
      </c>
      <c r="J827" s="214"/>
      <c r="K827" s="215"/>
      <c r="L827" s="187" t="s">
        <v>194</v>
      </c>
      <c r="M827" s="187" t="s">
        <v>194</v>
      </c>
      <c r="N827" s="187" t="s">
        <v>194</v>
      </c>
      <c r="O827" s="187" t="s">
        <v>194</v>
      </c>
      <c r="P827" s="37" t="s">
        <v>692</v>
      </c>
      <c r="Q827" s="37" t="s">
        <v>693</v>
      </c>
      <c r="R827" s="41">
        <v>46306.0</v>
      </c>
      <c r="S827" s="42">
        <v>1.0</v>
      </c>
      <c r="T827" s="44"/>
      <c r="U827" s="45" t="str">
        <f>IF(records[Type]="Room",records[roomNo],records[roomNo]&amp;"-"&amp;SUBSTITUTE(RIGHT(records[roomNo]&amp;records[Type],2),"-",""))</f>
        <v>12-2-054</v>
      </c>
      <c r="V827" s="47" t="str">
        <f t="array" ref="V827">_xlfn.XLOOKUP(records[ID], dAir[roomNo], dAir[roomName])</f>
        <v>STAGING 3</v>
      </c>
      <c r="W827" s="47" t="str">
        <f t="array" ref="W827">_xlfn.XLOOKUP(records[ID], dAir[roomNo], dAir[building])</f>
        <v>Building 12</v>
      </c>
      <c r="X827" s="47" t="str">
        <f t="array" ref="X827">_xlfn.XLOOKUP(records[ID], dAir[roomNo], dAir[floor])</f>
        <v>Floor 2</v>
      </c>
      <c r="Y827" s="45" t="str">
        <f t="array" ref="Y827">_xlfn.XLOOKUP(records[ID], dAir[roomNo], dAir[Class])</f>
        <v>D</v>
      </c>
      <c r="Z827" s="45">
        <f t="array" ref="Z827">_xlfn.XLOOKUP(records[Method]&amp;"-"&amp;records[Class], dAirSpec[ID], dAirSpec[Spec])</f>
        <v>100</v>
      </c>
      <c r="AA827" s="45" t="str">
        <f t="array" ref="AA827">_xlfn.XLOOKUP(records[Method]&amp;"-"&amp;records[Class], dAirSpec[ID], dAirSpec[Unit])</f>
        <v>cfu/plate</v>
      </c>
      <c r="AB827" s="58">
        <f t="array" ref="AB827">if(S827="","", if(records[Method]="Active Air",_xlfn.xlookup(records[ColonyCount]&amp;records[AirSampler],feller[code],feller[Vc]),records[ColonyCount]))</f>
        <v>1</v>
      </c>
      <c r="AC827" s="60" t="b">
        <f t="shared" si="1"/>
        <v>1</v>
      </c>
      <c r="AD827" s="61" t="b">
        <v>0</v>
      </c>
      <c r="AE827" s="32" t="s">
        <v>235</v>
      </c>
      <c r="AF827" s="46"/>
      <c r="AG827" s="46"/>
      <c r="AH827" s="46"/>
      <c r="AI827" s="46"/>
      <c r="AJ827" s="46"/>
    </row>
    <row r="828" ht="22.5" customHeight="1">
      <c r="A828" s="27">
        <v>46259.0</v>
      </c>
      <c r="B828" s="34" t="str">
        <f t="array" ref="B828">TEXT(A828, "MM-YYYY")</f>
        <v>08-2026</v>
      </c>
      <c r="C828" s="39" t="s">
        <v>635</v>
      </c>
      <c r="D828" s="36" t="s">
        <v>210</v>
      </c>
      <c r="E828" s="36" t="s">
        <v>213</v>
      </c>
      <c r="F828" s="37" t="s">
        <v>149</v>
      </c>
      <c r="G828" s="263" t="b">
        <v>1</v>
      </c>
      <c r="H828" s="36" t="s">
        <v>214</v>
      </c>
      <c r="I828" s="36" t="s">
        <v>215</v>
      </c>
      <c r="J828" s="214"/>
      <c r="K828" s="215"/>
      <c r="L828" s="187" t="s">
        <v>194</v>
      </c>
      <c r="M828" s="187" t="s">
        <v>194</v>
      </c>
      <c r="N828" s="187" t="s">
        <v>194</v>
      </c>
      <c r="O828" s="187" t="s">
        <v>194</v>
      </c>
      <c r="P828" s="37" t="s">
        <v>692</v>
      </c>
      <c r="Q828" s="37" t="s">
        <v>693</v>
      </c>
      <c r="R828" s="41">
        <v>46306.0</v>
      </c>
      <c r="S828" s="42">
        <v>0.0</v>
      </c>
      <c r="T828" s="44"/>
      <c r="U828" s="45" t="str">
        <f>IF(records[Type]="Room",records[roomNo],records[roomNo]&amp;"-"&amp;SUBSTITUTE(RIGHT(records[roomNo]&amp;records[Type],2),"-",""))</f>
        <v>12-2-055</v>
      </c>
      <c r="V828" s="47" t="str">
        <f t="array" ref="V828">_xlfn.XLOOKUP(records[ID], dAir[roomNo], dAir[roomName])</f>
        <v>CIP 3</v>
      </c>
      <c r="W828" s="47" t="str">
        <f t="array" ref="W828">_xlfn.XLOOKUP(records[ID], dAir[roomNo], dAir[building])</f>
        <v>Building 12</v>
      </c>
      <c r="X828" s="47" t="str">
        <f t="array" ref="X828">_xlfn.XLOOKUP(records[ID], dAir[roomNo], dAir[floor])</f>
        <v>Floor 2</v>
      </c>
      <c r="Y828" s="45" t="str">
        <f t="array" ref="Y828">_xlfn.XLOOKUP(records[ID], dAir[roomNo], dAir[Class])</f>
        <v>D</v>
      </c>
      <c r="Z828" s="45">
        <f t="array" ref="Z828">_xlfn.XLOOKUP(records[Method]&amp;"-"&amp;records[Class], dAirSpec[ID], dAirSpec[Spec])</f>
        <v>100</v>
      </c>
      <c r="AA828" s="45" t="str">
        <f t="array" ref="AA828">_xlfn.XLOOKUP(records[Method]&amp;"-"&amp;records[Class], dAirSpec[ID], dAirSpec[Unit])</f>
        <v>cfu/plate</v>
      </c>
      <c r="AB828" s="58">
        <f t="array" ref="AB828">if(S828="","", if(records[Method]="Active Air",_xlfn.xlookup(records[ColonyCount]&amp;records[AirSampler],feller[code],feller[Vc]),records[ColonyCount]))</f>
        <v>0</v>
      </c>
      <c r="AC828" s="60" t="b">
        <f t="shared" si="1"/>
        <v>1</v>
      </c>
      <c r="AD828" s="61" t="b">
        <v>0</v>
      </c>
      <c r="AE828" s="32" t="s">
        <v>235</v>
      </c>
      <c r="AF828" s="46"/>
      <c r="AG828" s="46"/>
      <c r="AH828" s="46"/>
      <c r="AI828" s="46"/>
      <c r="AJ828" s="46"/>
    </row>
    <row r="829" ht="22.5" customHeight="1">
      <c r="A829" s="27">
        <v>46259.0</v>
      </c>
      <c r="B829" s="34" t="str">
        <f t="array" ref="B829">TEXT(A829, "MM-YYYY")</f>
        <v>08-2026</v>
      </c>
      <c r="C829" s="39" t="s">
        <v>642</v>
      </c>
      <c r="D829" s="36" t="s">
        <v>210</v>
      </c>
      <c r="E829" s="36" t="s">
        <v>213</v>
      </c>
      <c r="F829" s="37" t="s">
        <v>149</v>
      </c>
      <c r="G829" s="263" t="b">
        <v>1</v>
      </c>
      <c r="H829" s="36" t="s">
        <v>214</v>
      </c>
      <c r="I829" s="36" t="s">
        <v>215</v>
      </c>
      <c r="J829" s="214"/>
      <c r="K829" s="215"/>
      <c r="L829" s="187" t="s">
        <v>194</v>
      </c>
      <c r="M829" s="187" t="s">
        <v>194</v>
      </c>
      <c r="N829" s="187" t="s">
        <v>194</v>
      </c>
      <c r="O829" s="187" t="s">
        <v>194</v>
      </c>
      <c r="P829" s="37" t="s">
        <v>692</v>
      </c>
      <c r="Q829" s="37" t="s">
        <v>693</v>
      </c>
      <c r="R829" s="41">
        <v>46306.0</v>
      </c>
      <c r="S829" s="42">
        <v>0.0</v>
      </c>
      <c r="T829" s="44"/>
      <c r="U829" s="45" t="str">
        <f>IF(records[Type]="Room",records[roomNo],records[roomNo]&amp;"-"&amp;SUBSTITUTE(RIGHT(records[roomNo]&amp;records[Type],2),"-",""))</f>
        <v>12-2-056</v>
      </c>
      <c r="V829" s="47" t="str">
        <f t="array" ref="V829">_xlfn.XLOOKUP(records[ID], dAir[roomNo], dAir[roomName])</f>
        <v>STAGING 2</v>
      </c>
      <c r="W829" s="47" t="str">
        <f t="array" ref="W829">_xlfn.XLOOKUP(records[ID], dAir[roomNo], dAir[building])</f>
        <v>Building 12</v>
      </c>
      <c r="X829" s="47" t="str">
        <f t="array" ref="X829">_xlfn.XLOOKUP(records[ID], dAir[roomNo], dAir[floor])</f>
        <v>Floor 2</v>
      </c>
      <c r="Y829" s="45" t="str">
        <f t="array" ref="Y829">_xlfn.XLOOKUP(records[ID], dAir[roomNo], dAir[Class])</f>
        <v>D</v>
      </c>
      <c r="Z829" s="45">
        <f t="array" ref="Z829">_xlfn.XLOOKUP(records[Method]&amp;"-"&amp;records[Class], dAirSpec[ID], dAirSpec[Spec])</f>
        <v>100</v>
      </c>
      <c r="AA829" s="45" t="str">
        <f t="array" ref="AA829">_xlfn.XLOOKUP(records[Method]&amp;"-"&amp;records[Class], dAirSpec[ID], dAirSpec[Unit])</f>
        <v>cfu/plate</v>
      </c>
      <c r="AB829" s="58">
        <f t="array" ref="AB829">if(S829="","", if(records[Method]="Active Air",_xlfn.xlookup(records[ColonyCount]&amp;records[AirSampler],feller[code],feller[Vc]),records[ColonyCount]))</f>
        <v>0</v>
      </c>
      <c r="AC829" s="60" t="b">
        <f t="shared" si="1"/>
        <v>1</v>
      </c>
      <c r="AD829" s="61" t="b">
        <v>0</v>
      </c>
      <c r="AE829" s="32" t="s">
        <v>235</v>
      </c>
      <c r="AF829" s="46"/>
      <c r="AG829" s="46"/>
      <c r="AH829" s="46"/>
      <c r="AI829" s="46"/>
      <c r="AJ829" s="46"/>
    </row>
    <row r="830" ht="22.5" customHeight="1">
      <c r="A830" s="27">
        <v>46259.0</v>
      </c>
      <c r="B830" s="34" t="str">
        <f t="array" ref="B830">TEXT(A830, "MM-YYYY")</f>
        <v>08-2026</v>
      </c>
      <c r="C830" s="39" t="s">
        <v>648</v>
      </c>
      <c r="D830" s="36" t="s">
        <v>210</v>
      </c>
      <c r="E830" s="36" t="s">
        <v>213</v>
      </c>
      <c r="F830" s="37" t="s">
        <v>149</v>
      </c>
      <c r="G830" s="263" t="b">
        <v>1</v>
      </c>
      <c r="H830" s="36" t="s">
        <v>214</v>
      </c>
      <c r="I830" s="36" t="s">
        <v>215</v>
      </c>
      <c r="J830" s="214"/>
      <c r="K830" s="215"/>
      <c r="L830" s="187" t="s">
        <v>194</v>
      </c>
      <c r="M830" s="187" t="s">
        <v>194</v>
      </c>
      <c r="N830" s="187" t="s">
        <v>194</v>
      </c>
      <c r="O830" s="187" t="s">
        <v>194</v>
      </c>
      <c r="P830" s="37" t="s">
        <v>692</v>
      </c>
      <c r="Q830" s="37" t="s">
        <v>693</v>
      </c>
      <c r="R830" s="41">
        <v>46306.0</v>
      </c>
      <c r="S830" s="42">
        <v>9.0</v>
      </c>
      <c r="T830" s="44"/>
      <c r="U830" s="45" t="str">
        <f>IF(records[Type]="Room",records[roomNo],records[roomNo]&amp;"-"&amp;SUBSTITUTE(RIGHT(records[roomNo]&amp;records[Type],2),"-",""))</f>
        <v>12-2-057</v>
      </c>
      <c r="V830" s="47" t="str">
        <f t="array" ref="V830">_xlfn.XLOOKUP(records[ID], dAir[roomNo], dAir[roomName])</f>
        <v>CIP 2</v>
      </c>
      <c r="W830" s="47" t="str">
        <f t="array" ref="W830">_xlfn.XLOOKUP(records[ID], dAir[roomNo], dAir[building])</f>
        <v>Building 12</v>
      </c>
      <c r="X830" s="47" t="str">
        <f t="array" ref="X830">_xlfn.XLOOKUP(records[ID], dAir[roomNo], dAir[floor])</f>
        <v>Floor 2</v>
      </c>
      <c r="Y830" s="45" t="str">
        <f t="array" ref="Y830">_xlfn.XLOOKUP(records[ID], dAir[roomNo], dAir[Class])</f>
        <v>D</v>
      </c>
      <c r="Z830" s="45">
        <f t="array" ref="Z830">_xlfn.XLOOKUP(records[Method]&amp;"-"&amp;records[Class], dAirSpec[ID], dAirSpec[Spec])</f>
        <v>100</v>
      </c>
      <c r="AA830" s="45" t="str">
        <f t="array" ref="AA830">_xlfn.XLOOKUP(records[Method]&amp;"-"&amp;records[Class], dAirSpec[ID], dAirSpec[Unit])</f>
        <v>cfu/plate</v>
      </c>
      <c r="AB830" s="58">
        <f t="array" ref="AB830">if(S830="","", if(records[Method]="Active Air",_xlfn.xlookup(records[ColonyCount]&amp;records[AirSampler],feller[code],feller[Vc]),records[ColonyCount]))</f>
        <v>9</v>
      </c>
      <c r="AC830" s="60" t="b">
        <f t="shared" si="1"/>
        <v>1</v>
      </c>
      <c r="AD830" s="61" t="b">
        <v>0</v>
      </c>
      <c r="AE830" s="32" t="s">
        <v>235</v>
      </c>
      <c r="AF830" s="46"/>
      <c r="AG830" s="46"/>
      <c r="AH830" s="46"/>
      <c r="AI830" s="46"/>
      <c r="AJ830" s="46"/>
    </row>
    <row r="831" ht="22.5" customHeight="1">
      <c r="A831" s="27">
        <v>46259.0</v>
      </c>
      <c r="B831" s="34" t="str">
        <f t="array" ref="B831">TEXT(A831, "MM-YYYY")</f>
        <v>08-2026</v>
      </c>
      <c r="C831" s="39" t="s">
        <v>655</v>
      </c>
      <c r="D831" s="36" t="s">
        <v>210</v>
      </c>
      <c r="E831" s="36" t="s">
        <v>213</v>
      </c>
      <c r="F831" s="37" t="s">
        <v>149</v>
      </c>
      <c r="G831" s="263" t="b">
        <v>1</v>
      </c>
      <c r="H831" s="36" t="s">
        <v>214</v>
      </c>
      <c r="I831" s="36" t="s">
        <v>215</v>
      </c>
      <c r="J831" s="214"/>
      <c r="K831" s="215"/>
      <c r="L831" s="187" t="s">
        <v>194</v>
      </c>
      <c r="M831" s="187" t="s">
        <v>194</v>
      </c>
      <c r="N831" s="187" t="s">
        <v>194</v>
      </c>
      <c r="O831" s="187" t="s">
        <v>194</v>
      </c>
      <c r="P831" s="37" t="s">
        <v>692</v>
      </c>
      <c r="Q831" s="37" t="s">
        <v>693</v>
      </c>
      <c r="R831" s="41">
        <v>46306.0</v>
      </c>
      <c r="S831" s="42">
        <v>0.0</v>
      </c>
      <c r="T831" s="44"/>
      <c r="U831" s="45" t="str">
        <f>IF(records[Type]="Room",records[roomNo],records[roomNo]&amp;"-"&amp;SUBSTITUTE(RIGHT(records[roomNo]&amp;records[Type],2),"-",""))</f>
        <v>12-2-058</v>
      </c>
      <c r="V831" s="47" t="str">
        <f t="array" ref="V831">_xlfn.XLOOKUP(records[ID], dAir[roomNo], dAir[roomName])</f>
        <v>STAGING 1</v>
      </c>
      <c r="W831" s="47" t="str">
        <f t="array" ref="W831">_xlfn.XLOOKUP(records[ID], dAir[roomNo], dAir[building])</f>
        <v>Building 12</v>
      </c>
      <c r="X831" s="47" t="str">
        <f t="array" ref="X831">_xlfn.XLOOKUP(records[ID], dAir[roomNo], dAir[floor])</f>
        <v>Floor 2</v>
      </c>
      <c r="Y831" s="45" t="str">
        <f t="array" ref="Y831">_xlfn.XLOOKUP(records[ID], dAir[roomNo], dAir[Class])</f>
        <v>D</v>
      </c>
      <c r="Z831" s="45">
        <f t="array" ref="Z831">_xlfn.XLOOKUP(records[Method]&amp;"-"&amp;records[Class], dAirSpec[ID], dAirSpec[Spec])</f>
        <v>100</v>
      </c>
      <c r="AA831" s="45" t="str">
        <f t="array" ref="AA831">_xlfn.XLOOKUP(records[Method]&amp;"-"&amp;records[Class], dAirSpec[ID], dAirSpec[Unit])</f>
        <v>cfu/plate</v>
      </c>
      <c r="AB831" s="58">
        <f t="array" ref="AB831">if(S831="","", if(records[Method]="Active Air",_xlfn.xlookup(records[ColonyCount]&amp;records[AirSampler],feller[code],feller[Vc]),records[ColonyCount]))</f>
        <v>0</v>
      </c>
      <c r="AC831" s="60" t="b">
        <f t="shared" si="1"/>
        <v>1</v>
      </c>
      <c r="AD831" s="61" t="b">
        <v>0</v>
      </c>
      <c r="AE831" s="32" t="s">
        <v>235</v>
      </c>
      <c r="AF831" s="46"/>
      <c r="AG831" s="46"/>
      <c r="AH831" s="46"/>
      <c r="AI831" s="46"/>
      <c r="AJ831" s="46"/>
    </row>
    <row r="832" ht="22.5" customHeight="1">
      <c r="A832" s="27">
        <v>46259.0</v>
      </c>
      <c r="B832" s="34" t="str">
        <f t="array" ref="B832">TEXT(A832, "MM-YYYY")</f>
        <v>08-2026</v>
      </c>
      <c r="C832" s="39" t="s">
        <v>665</v>
      </c>
      <c r="D832" s="36" t="s">
        <v>210</v>
      </c>
      <c r="E832" s="36" t="s">
        <v>213</v>
      </c>
      <c r="F832" s="37" t="s">
        <v>149</v>
      </c>
      <c r="G832" s="263" t="b">
        <v>1</v>
      </c>
      <c r="H832" s="36" t="s">
        <v>214</v>
      </c>
      <c r="I832" s="36" t="s">
        <v>215</v>
      </c>
      <c r="J832" s="214"/>
      <c r="K832" s="215"/>
      <c r="L832" s="187" t="s">
        <v>194</v>
      </c>
      <c r="M832" s="187" t="s">
        <v>194</v>
      </c>
      <c r="N832" s="187" t="s">
        <v>194</v>
      </c>
      <c r="O832" s="187" t="s">
        <v>194</v>
      </c>
      <c r="P832" s="37" t="s">
        <v>692</v>
      </c>
      <c r="Q832" s="37" t="s">
        <v>693</v>
      </c>
      <c r="R832" s="41">
        <v>46306.0</v>
      </c>
      <c r="S832" s="42">
        <v>0.0</v>
      </c>
      <c r="T832" s="44"/>
      <c r="U832" s="45" t="str">
        <f>IF(records[Type]="Room",records[roomNo],records[roomNo]&amp;"-"&amp;SUBSTITUTE(RIGHT(records[roomNo]&amp;records[Type],2),"-",""))</f>
        <v>12-2-059</v>
      </c>
      <c r="V832" s="47" t="str">
        <f t="array" ref="V832">_xlfn.XLOOKUP(records[ID], dAir[roomNo], dAir[roomName])</f>
        <v>CORRIDOR</v>
      </c>
      <c r="W832" s="47" t="str">
        <f t="array" ref="W832">_xlfn.XLOOKUP(records[ID], dAir[roomNo], dAir[building])</f>
        <v>Building 12</v>
      </c>
      <c r="X832" s="47" t="str">
        <f t="array" ref="X832">_xlfn.XLOOKUP(records[ID], dAir[roomNo], dAir[floor])</f>
        <v>Floor 2</v>
      </c>
      <c r="Y832" s="45" t="str">
        <f t="array" ref="Y832">_xlfn.XLOOKUP(records[ID], dAir[roomNo], dAir[Class])</f>
        <v>D</v>
      </c>
      <c r="Z832" s="45">
        <f t="array" ref="Z832">_xlfn.XLOOKUP(records[Method]&amp;"-"&amp;records[Class], dAirSpec[ID], dAirSpec[Spec])</f>
        <v>100</v>
      </c>
      <c r="AA832" s="45" t="str">
        <f t="array" ref="AA832">_xlfn.XLOOKUP(records[Method]&amp;"-"&amp;records[Class], dAirSpec[ID], dAirSpec[Unit])</f>
        <v>cfu/plate</v>
      </c>
      <c r="AB832" s="58">
        <f t="array" ref="AB832">if(S832="","", if(records[Method]="Active Air",_xlfn.xlookup(records[ColonyCount]&amp;records[AirSampler],feller[code],feller[Vc]),records[ColonyCount]))</f>
        <v>0</v>
      </c>
      <c r="AC832" s="60" t="b">
        <f t="shared" si="1"/>
        <v>1</v>
      </c>
      <c r="AD832" s="61" t="b">
        <v>0</v>
      </c>
      <c r="AE832" s="32" t="s">
        <v>235</v>
      </c>
      <c r="AF832" s="46"/>
      <c r="AG832" s="46"/>
      <c r="AH832" s="46"/>
      <c r="AI832" s="46"/>
      <c r="AJ832" s="46"/>
    </row>
    <row r="833" ht="22.5" customHeight="1">
      <c r="A833" s="27">
        <v>46259.0</v>
      </c>
      <c r="B833" s="34" t="str">
        <f t="array" ref="B833">TEXT(A833, "MM-YYYY")</f>
        <v>08-2026</v>
      </c>
      <c r="C833" s="39" t="s">
        <v>673</v>
      </c>
      <c r="D833" s="36" t="s">
        <v>210</v>
      </c>
      <c r="E833" s="36" t="s">
        <v>213</v>
      </c>
      <c r="F833" s="37" t="s">
        <v>149</v>
      </c>
      <c r="G833" s="263" t="b">
        <v>1</v>
      </c>
      <c r="H833" s="36" t="s">
        <v>214</v>
      </c>
      <c r="I833" s="36" t="s">
        <v>215</v>
      </c>
      <c r="J833" s="214"/>
      <c r="K833" s="215"/>
      <c r="L833" s="187" t="s">
        <v>194</v>
      </c>
      <c r="M833" s="187" t="s">
        <v>194</v>
      </c>
      <c r="N833" s="187" t="s">
        <v>194</v>
      </c>
      <c r="O833" s="187" t="s">
        <v>194</v>
      </c>
      <c r="P833" s="37" t="s">
        <v>692</v>
      </c>
      <c r="Q833" s="37" t="s">
        <v>693</v>
      </c>
      <c r="R833" s="41">
        <v>46306.0</v>
      </c>
      <c r="S833" s="42">
        <v>0.0</v>
      </c>
      <c r="T833" s="44"/>
      <c r="U833" s="45" t="str">
        <f>IF(records[Type]="Room",records[roomNo],records[roomNo]&amp;"-"&amp;SUBSTITUTE(RIGHT(records[roomNo]&amp;records[Type],2),"-",""))</f>
        <v>12-2-060</v>
      </c>
      <c r="V833" s="47" t="str">
        <f t="array" ref="V833">_xlfn.XLOOKUP(records[ID], dAir[roomNo], dAir[roomName])</f>
        <v>DISPENSING 1</v>
      </c>
      <c r="W833" s="47" t="str">
        <f t="array" ref="W833">_xlfn.XLOOKUP(records[ID], dAir[roomNo], dAir[building])</f>
        <v>Building 12</v>
      </c>
      <c r="X833" s="47" t="str">
        <f t="array" ref="X833">_xlfn.XLOOKUP(records[ID], dAir[roomNo], dAir[floor])</f>
        <v>Floor 2</v>
      </c>
      <c r="Y833" s="45" t="str">
        <f t="array" ref="Y833">_xlfn.XLOOKUP(records[ID], dAir[roomNo], dAir[Class])</f>
        <v>D</v>
      </c>
      <c r="Z833" s="45">
        <f t="array" ref="Z833">_xlfn.XLOOKUP(records[Method]&amp;"-"&amp;records[Class], dAirSpec[ID], dAirSpec[Spec])</f>
        <v>100</v>
      </c>
      <c r="AA833" s="45" t="str">
        <f t="array" ref="AA833">_xlfn.XLOOKUP(records[Method]&amp;"-"&amp;records[Class], dAirSpec[ID], dAirSpec[Unit])</f>
        <v>cfu/plate</v>
      </c>
      <c r="AB833" s="58">
        <f t="array" ref="AB833">if(S833="","", if(records[Method]="Active Air",_xlfn.xlookup(records[ColonyCount]&amp;records[AirSampler],feller[code],feller[Vc]),records[ColonyCount]))</f>
        <v>0</v>
      </c>
      <c r="AC833" s="60" t="b">
        <f t="shared" si="1"/>
        <v>1</v>
      </c>
      <c r="AD833" s="61" t="b">
        <v>0</v>
      </c>
      <c r="AE833" s="32" t="s">
        <v>235</v>
      </c>
      <c r="AF833" s="46"/>
      <c r="AG833" s="46"/>
      <c r="AH833" s="46"/>
      <c r="AI833" s="46"/>
      <c r="AJ833" s="46"/>
    </row>
    <row r="834" ht="22.5" customHeight="1">
      <c r="A834" s="27">
        <v>46259.0</v>
      </c>
      <c r="B834" s="34" t="str">
        <f t="array" ref="B834">TEXT(A834, "MM-YYYY")</f>
        <v>08-2026</v>
      </c>
      <c r="C834" s="39" t="s">
        <v>673</v>
      </c>
      <c r="D834" s="36" t="s">
        <v>680</v>
      </c>
      <c r="E834" s="36" t="s">
        <v>213</v>
      </c>
      <c r="F834" s="37" t="s">
        <v>149</v>
      </c>
      <c r="G834" s="263" t="b">
        <v>1</v>
      </c>
      <c r="H834" s="36" t="s">
        <v>214</v>
      </c>
      <c r="I834" s="36" t="s">
        <v>215</v>
      </c>
      <c r="J834" s="214"/>
      <c r="K834" s="215"/>
      <c r="L834" s="187" t="s">
        <v>194</v>
      </c>
      <c r="M834" s="187" t="s">
        <v>194</v>
      </c>
      <c r="N834" s="187" t="s">
        <v>194</v>
      </c>
      <c r="O834" s="187" t="s">
        <v>194</v>
      </c>
      <c r="P834" s="37" t="s">
        <v>692</v>
      </c>
      <c r="Q834" s="37" t="s">
        <v>693</v>
      </c>
      <c r="R834" s="41">
        <v>46306.0</v>
      </c>
      <c r="S834" s="42">
        <v>0.0</v>
      </c>
      <c r="T834" s="44"/>
      <c r="U834" s="45" t="str">
        <f>IF(records[Type]="Room",records[roomNo],records[roomNo]&amp;"-"&amp;SUBSTITUTE(RIGHT(records[roomNo]&amp;records[Type],2),"-",""))</f>
        <v>12-2-060-B</v>
      </c>
      <c r="V834" s="47" t="str">
        <f t="array" ref="V834">_xlfn.XLOOKUP(records[ID], dAir[roomNo], dAir[roomName])</f>
        <v>DISPENSING 1 (Booth)</v>
      </c>
      <c r="W834" s="47" t="str">
        <f t="array" ref="W834">_xlfn.XLOOKUP(records[ID], dAir[roomNo], dAir[building])</f>
        <v>Building 12</v>
      </c>
      <c r="X834" s="47" t="str">
        <f t="array" ref="X834">_xlfn.XLOOKUP(records[ID], dAir[roomNo], dAir[floor])</f>
        <v>Floor 2</v>
      </c>
      <c r="Y834" s="45" t="str">
        <f t="array" ref="Y834">_xlfn.XLOOKUP(records[ID], dAir[roomNo], dAir[Class])</f>
        <v>D</v>
      </c>
      <c r="Z834" s="45">
        <f t="array" ref="Z834">_xlfn.XLOOKUP(records[Method]&amp;"-"&amp;records[Class], dAirSpec[ID], dAirSpec[Spec])</f>
        <v>100</v>
      </c>
      <c r="AA834" s="45" t="str">
        <f t="array" ref="AA834">_xlfn.XLOOKUP(records[Method]&amp;"-"&amp;records[Class], dAirSpec[ID], dAirSpec[Unit])</f>
        <v>cfu/plate</v>
      </c>
      <c r="AB834" s="58">
        <f t="array" ref="AB834">if(S834="","", if(records[Method]="Active Air",_xlfn.xlookup(records[ColonyCount]&amp;records[AirSampler],feller[code],feller[Vc]),records[ColonyCount]))</f>
        <v>0</v>
      </c>
      <c r="AC834" s="60" t="b">
        <f t="shared" si="1"/>
        <v>1</v>
      </c>
      <c r="AD834" s="61" t="b">
        <v>0</v>
      </c>
      <c r="AE834" s="32" t="s">
        <v>235</v>
      </c>
      <c r="AF834" s="46"/>
      <c r="AG834" s="46"/>
      <c r="AH834" s="46"/>
      <c r="AI834" s="46"/>
      <c r="AJ834" s="46"/>
    </row>
    <row r="835" ht="22.5" customHeight="1">
      <c r="A835" s="27">
        <v>46259.0</v>
      </c>
      <c r="B835" s="34" t="str">
        <f t="array" ref="B835">TEXT(A835, "MM-YYYY")</f>
        <v>08-2026</v>
      </c>
      <c r="C835" s="39" t="s">
        <v>689</v>
      </c>
      <c r="D835" s="36" t="s">
        <v>210</v>
      </c>
      <c r="E835" s="36" t="s">
        <v>213</v>
      </c>
      <c r="F835" s="37" t="s">
        <v>149</v>
      </c>
      <c r="G835" s="263" t="b">
        <v>1</v>
      </c>
      <c r="H835" s="36" t="s">
        <v>214</v>
      </c>
      <c r="I835" s="36" t="s">
        <v>215</v>
      </c>
      <c r="J835" s="214"/>
      <c r="K835" s="215"/>
      <c r="L835" s="187" t="s">
        <v>194</v>
      </c>
      <c r="M835" s="187" t="s">
        <v>194</v>
      </c>
      <c r="N835" s="187" t="s">
        <v>194</v>
      </c>
      <c r="O835" s="187" t="s">
        <v>194</v>
      </c>
      <c r="P835" s="37" t="s">
        <v>692</v>
      </c>
      <c r="Q835" s="37" t="s">
        <v>693</v>
      </c>
      <c r="R835" s="41">
        <v>46306.0</v>
      </c>
      <c r="S835" s="42">
        <v>0.0</v>
      </c>
      <c r="T835" s="44"/>
      <c r="U835" s="45" t="str">
        <f>IF(records[Type]="Room",records[roomNo],records[roomNo]&amp;"-"&amp;SUBSTITUTE(RIGHT(records[roomNo]&amp;records[Type],2),"-",""))</f>
        <v>12-2-061</v>
      </c>
      <c r="V835" s="47" t="str">
        <f t="array" ref="V835">_xlfn.XLOOKUP(records[ID], dAir[roomNo], dAir[roomName])</f>
        <v>DISPENSING 2</v>
      </c>
      <c r="W835" s="47" t="str">
        <f t="array" ref="W835">_xlfn.XLOOKUP(records[ID], dAir[roomNo], dAir[building])</f>
        <v>Building 12</v>
      </c>
      <c r="X835" s="47" t="str">
        <f t="array" ref="X835">_xlfn.XLOOKUP(records[ID], dAir[roomNo], dAir[floor])</f>
        <v>Floor 2</v>
      </c>
      <c r="Y835" s="45" t="str">
        <f t="array" ref="Y835">_xlfn.XLOOKUP(records[ID], dAir[roomNo], dAir[Class])</f>
        <v>D</v>
      </c>
      <c r="Z835" s="45">
        <f t="array" ref="Z835">_xlfn.XLOOKUP(records[Method]&amp;"-"&amp;records[Class], dAirSpec[ID], dAirSpec[Spec])</f>
        <v>100</v>
      </c>
      <c r="AA835" s="45" t="str">
        <f t="array" ref="AA835">_xlfn.XLOOKUP(records[Method]&amp;"-"&amp;records[Class], dAirSpec[ID], dAirSpec[Unit])</f>
        <v>cfu/plate</v>
      </c>
      <c r="AB835" s="58">
        <f t="array" ref="AB835">if(S835="","", if(records[Method]="Active Air",_xlfn.xlookup(records[ColonyCount]&amp;records[AirSampler],feller[code],feller[Vc]),records[ColonyCount]))</f>
        <v>0</v>
      </c>
      <c r="AC835" s="60" t="b">
        <f t="shared" si="1"/>
        <v>1</v>
      </c>
      <c r="AD835" s="61" t="b">
        <v>0</v>
      </c>
      <c r="AE835" s="32" t="s">
        <v>235</v>
      </c>
      <c r="AF835" s="46"/>
      <c r="AG835" s="46"/>
      <c r="AH835" s="46"/>
      <c r="AI835" s="46"/>
      <c r="AJ835" s="46"/>
    </row>
    <row r="836" ht="22.5" customHeight="1">
      <c r="A836" s="27">
        <v>46259.0</v>
      </c>
      <c r="B836" s="34" t="str">
        <f t="array" ref="B836">TEXT(A836, "MM-YYYY")</f>
        <v>08-2026</v>
      </c>
      <c r="C836" s="39" t="s">
        <v>689</v>
      </c>
      <c r="D836" s="36" t="s">
        <v>680</v>
      </c>
      <c r="E836" s="36" t="s">
        <v>213</v>
      </c>
      <c r="F836" s="37" t="s">
        <v>149</v>
      </c>
      <c r="G836" s="263" t="b">
        <v>1</v>
      </c>
      <c r="H836" s="36" t="s">
        <v>214</v>
      </c>
      <c r="I836" s="36" t="s">
        <v>215</v>
      </c>
      <c r="J836" s="214"/>
      <c r="K836" s="215"/>
      <c r="L836" s="187" t="s">
        <v>194</v>
      </c>
      <c r="M836" s="187" t="s">
        <v>194</v>
      </c>
      <c r="N836" s="187" t="s">
        <v>194</v>
      </c>
      <c r="O836" s="187" t="s">
        <v>194</v>
      </c>
      <c r="P836" s="37" t="s">
        <v>692</v>
      </c>
      <c r="Q836" s="37" t="s">
        <v>693</v>
      </c>
      <c r="R836" s="41">
        <v>46306.0</v>
      </c>
      <c r="S836" s="42">
        <v>1.0</v>
      </c>
      <c r="T836" s="44"/>
      <c r="U836" s="45" t="str">
        <f>IF(records[Type]="Room",records[roomNo],records[roomNo]&amp;"-"&amp;SUBSTITUTE(RIGHT(records[roomNo]&amp;records[Type],2),"-",""))</f>
        <v>12-2-061-B</v>
      </c>
      <c r="V836" s="47" t="str">
        <f t="array" ref="V836">_xlfn.XLOOKUP(records[ID], dAir[roomNo], dAir[roomName])</f>
        <v>DISPENSING 2 (Booth)</v>
      </c>
      <c r="W836" s="47" t="str">
        <f t="array" ref="W836">_xlfn.XLOOKUP(records[ID], dAir[roomNo], dAir[building])</f>
        <v>Building 12</v>
      </c>
      <c r="X836" s="47" t="str">
        <f t="array" ref="X836">_xlfn.XLOOKUP(records[ID], dAir[roomNo], dAir[floor])</f>
        <v>Floor 2</v>
      </c>
      <c r="Y836" s="45" t="str">
        <f t="array" ref="Y836">_xlfn.XLOOKUP(records[ID], dAir[roomNo], dAir[Class])</f>
        <v>D</v>
      </c>
      <c r="Z836" s="45">
        <f t="array" ref="Z836">_xlfn.XLOOKUP(records[Method]&amp;"-"&amp;records[Class], dAirSpec[ID], dAirSpec[Spec])</f>
        <v>100</v>
      </c>
      <c r="AA836" s="45" t="str">
        <f t="array" ref="AA836">_xlfn.XLOOKUP(records[Method]&amp;"-"&amp;records[Class], dAirSpec[ID], dAirSpec[Unit])</f>
        <v>cfu/plate</v>
      </c>
      <c r="AB836" s="58">
        <f t="array" ref="AB836">if(S836="","", if(records[Method]="Active Air",_xlfn.xlookup(records[ColonyCount]&amp;records[AirSampler],feller[code],feller[Vc]),records[ColonyCount]))</f>
        <v>1</v>
      </c>
      <c r="AC836" s="60" t="b">
        <f t="shared" si="1"/>
        <v>1</v>
      </c>
      <c r="AD836" s="61" t="b">
        <v>0</v>
      </c>
      <c r="AE836" s="32" t="s">
        <v>235</v>
      </c>
      <c r="AF836" s="46"/>
      <c r="AG836" s="46"/>
      <c r="AH836" s="46"/>
      <c r="AI836" s="46"/>
      <c r="AJ836" s="46"/>
    </row>
    <row r="837" ht="22.5" customHeight="1">
      <c r="A837" s="27">
        <v>46259.0</v>
      </c>
      <c r="B837" s="34" t="str">
        <f t="array" ref="B837">TEXT(A837, "MM-YYYY")</f>
        <v>08-2026</v>
      </c>
      <c r="C837" s="39" t="s">
        <v>704</v>
      </c>
      <c r="D837" s="36" t="s">
        <v>210</v>
      </c>
      <c r="E837" s="36" t="s">
        <v>213</v>
      </c>
      <c r="F837" s="37" t="s">
        <v>149</v>
      </c>
      <c r="G837" s="263" t="b">
        <v>1</v>
      </c>
      <c r="H837" s="36" t="s">
        <v>214</v>
      </c>
      <c r="I837" s="36" t="s">
        <v>215</v>
      </c>
      <c r="J837" s="214"/>
      <c r="K837" s="215"/>
      <c r="L837" s="187" t="s">
        <v>194</v>
      </c>
      <c r="M837" s="187" t="s">
        <v>194</v>
      </c>
      <c r="N837" s="187" t="s">
        <v>194</v>
      </c>
      <c r="O837" s="187" t="s">
        <v>194</v>
      </c>
      <c r="P837" s="37" t="s">
        <v>692</v>
      </c>
      <c r="Q837" s="37" t="s">
        <v>693</v>
      </c>
      <c r="R837" s="41">
        <v>46306.0</v>
      </c>
      <c r="S837" s="42">
        <v>8.0</v>
      </c>
      <c r="T837" s="44"/>
      <c r="U837" s="45" t="str">
        <f>IF(records[Type]="Room",records[roomNo],records[roomNo]&amp;"-"&amp;SUBSTITUTE(RIGHT(records[roomNo]&amp;records[Type],2),"-",""))</f>
        <v>12-2-062</v>
      </c>
      <c r="V837" s="47" t="str">
        <f t="array" ref="V837">_xlfn.XLOOKUP(records[ID], dAir[roomNo], dAir[roomName])</f>
        <v>RM STAGING</v>
      </c>
      <c r="W837" s="47" t="str">
        <f t="array" ref="W837">_xlfn.XLOOKUP(records[ID], dAir[roomNo], dAir[building])</f>
        <v>Building 12</v>
      </c>
      <c r="X837" s="47" t="str">
        <f t="array" ref="X837">_xlfn.XLOOKUP(records[ID], dAir[roomNo], dAir[floor])</f>
        <v>Floor 2</v>
      </c>
      <c r="Y837" s="45" t="str">
        <f t="array" ref="Y837">_xlfn.XLOOKUP(records[ID], dAir[roomNo], dAir[Class])</f>
        <v>D</v>
      </c>
      <c r="Z837" s="45">
        <f t="array" ref="Z837">_xlfn.XLOOKUP(records[Method]&amp;"-"&amp;records[Class], dAirSpec[ID], dAirSpec[Spec])</f>
        <v>100</v>
      </c>
      <c r="AA837" s="45" t="str">
        <f t="array" ref="AA837">_xlfn.XLOOKUP(records[Method]&amp;"-"&amp;records[Class], dAirSpec[ID], dAirSpec[Unit])</f>
        <v>cfu/plate</v>
      </c>
      <c r="AB837" s="58">
        <f t="array" ref="AB837">if(S837="","", if(records[Method]="Active Air",_xlfn.xlookup(records[ColonyCount]&amp;records[AirSampler],feller[code],feller[Vc]),records[ColonyCount]))</f>
        <v>8</v>
      </c>
      <c r="AC837" s="60" t="b">
        <f t="shared" si="1"/>
        <v>1</v>
      </c>
      <c r="AD837" s="61" t="b">
        <v>0</v>
      </c>
      <c r="AE837" s="32" t="s">
        <v>235</v>
      </c>
      <c r="AF837" s="46"/>
      <c r="AG837" s="46"/>
      <c r="AH837" s="46"/>
      <c r="AI837" s="46"/>
      <c r="AJ837" s="46"/>
    </row>
    <row r="838" ht="22.5" customHeight="1">
      <c r="A838" s="27">
        <v>46259.0</v>
      </c>
      <c r="B838" s="34" t="str">
        <f t="array" ref="B838">TEXT(A838, "MM-YYYY")</f>
        <v>08-2026</v>
      </c>
      <c r="C838" s="39" t="s">
        <v>710</v>
      </c>
      <c r="D838" s="36" t="s">
        <v>210</v>
      </c>
      <c r="E838" s="36" t="s">
        <v>213</v>
      </c>
      <c r="F838" s="37" t="s">
        <v>149</v>
      </c>
      <c r="G838" s="263" t="b">
        <v>1</v>
      </c>
      <c r="H838" s="36" t="s">
        <v>214</v>
      </c>
      <c r="I838" s="36" t="s">
        <v>215</v>
      </c>
      <c r="J838" s="214"/>
      <c r="K838" s="215"/>
      <c r="L838" s="187" t="s">
        <v>194</v>
      </c>
      <c r="M838" s="187" t="s">
        <v>194</v>
      </c>
      <c r="N838" s="187" t="s">
        <v>194</v>
      </c>
      <c r="O838" s="187" t="s">
        <v>194</v>
      </c>
      <c r="P838" s="37" t="s">
        <v>692</v>
      </c>
      <c r="Q838" s="37" t="s">
        <v>693</v>
      </c>
      <c r="R838" s="41">
        <v>46306.0</v>
      </c>
      <c r="S838" s="42">
        <v>0.0</v>
      </c>
      <c r="T838" s="44"/>
      <c r="U838" s="45" t="str">
        <f>IF(records[Type]="Room",records[roomNo],records[roomNo]&amp;"-"&amp;SUBSTITUTE(RIGHT(records[roomNo]&amp;records[Type],2),"-",""))</f>
        <v>12-2-063</v>
      </c>
      <c r="V838" s="47" t="str">
        <f t="array" ref="V838">_xlfn.XLOOKUP(records[ID], dAir[roomNo], dAir[roomName])</f>
        <v>MAL</v>
      </c>
      <c r="W838" s="47" t="str">
        <f t="array" ref="W838">_xlfn.XLOOKUP(records[ID], dAir[roomNo], dAir[building])</f>
        <v>Building 12</v>
      </c>
      <c r="X838" s="47" t="str">
        <f t="array" ref="X838">_xlfn.XLOOKUP(records[ID], dAir[roomNo], dAir[floor])</f>
        <v>Floor 2</v>
      </c>
      <c r="Y838" s="45" t="str">
        <f t="array" ref="Y838">_xlfn.XLOOKUP(records[ID], dAir[roomNo], dAir[Class])</f>
        <v>D</v>
      </c>
      <c r="Z838" s="45">
        <f t="array" ref="Z838">_xlfn.XLOOKUP(records[Method]&amp;"-"&amp;records[Class], dAirSpec[ID], dAirSpec[Spec])</f>
        <v>100</v>
      </c>
      <c r="AA838" s="45" t="str">
        <f t="array" ref="AA838">_xlfn.XLOOKUP(records[Method]&amp;"-"&amp;records[Class], dAirSpec[ID], dAirSpec[Unit])</f>
        <v>cfu/plate</v>
      </c>
      <c r="AB838" s="58">
        <f t="array" ref="AB838">if(S838="","", if(records[Method]="Active Air",_xlfn.xlookup(records[ColonyCount]&amp;records[AirSampler],feller[code],feller[Vc]),records[ColonyCount]))</f>
        <v>0</v>
      </c>
      <c r="AC838" s="60" t="b">
        <f t="shared" si="1"/>
        <v>1</v>
      </c>
      <c r="AD838" s="61" t="b">
        <v>0</v>
      </c>
      <c r="AE838" s="32" t="s">
        <v>235</v>
      </c>
      <c r="AF838" s="46"/>
      <c r="AG838" s="46"/>
      <c r="AH838" s="46"/>
      <c r="AI838" s="46"/>
      <c r="AJ838" s="46"/>
    </row>
    <row r="839" ht="22.5" customHeight="1">
      <c r="A839" s="27">
        <v>46259.0</v>
      </c>
      <c r="B839" s="34" t="str">
        <f t="array" ref="B839">TEXT(A839, "MM-YYYY")</f>
        <v>08-2026</v>
      </c>
      <c r="C839" s="39" t="s">
        <v>714</v>
      </c>
      <c r="D839" s="36" t="s">
        <v>210</v>
      </c>
      <c r="E839" s="36" t="s">
        <v>213</v>
      </c>
      <c r="F839" s="37" t="s">
        <v>149</v>
      </c>
      <c r="G839" s="263" t="b">
        <v>1</v>
      </c>
      <c r="H839" s="36" t="s">
        <v>214</v>
      </c>
      <c r="I839" s="36" t="s">
        <v>215</v>
      </c>
      <c r="J839" s="214"/>
      <c r="K839" s="215"/>
      <c r="L839" s="187" t="s">
        <v>194</v>
      </c>
      <c r="M839" s="187" t="s">
        <v>194</v>
      </c>
      <c r="N839" s="187" t="s">
        <v>194</v>
      </c>
      <c r="O839" s="187" t="s">
        <v>194</v>
      </c>
      <c r="P839" s="37" t="s">
        <v>692</v>
      </c>
      <c r="Q839" s="37" t="s">
        <v>693</v>
      </c>
      <c r="R839" s="41">
        <v>46306.0</v>
      </c>
      <c r="S839" s="42">
        <v>3.0</v>
      </c>
      <c r="T839" s="44"/>
      <c r="U839" s="45" t="str">
        <f>IF(records[Type]="Room",records[roomNo],records[roomNo]&amp;"-"&amp;SUBSTITUTE(RIGHT(records[roomNo]&amp;records[Type],2),"-",""))</f>
        <v>12-2-064</v>
      </c>
      <c r="V839" s="47" t="str">
        <f t="array" ref="V839">_xlfn.XLOOKUP(records[ID], dAir[roomNo], dAir[roomName])</f>
        <v>CORRIDOR</v>
      </c>
      <c r="W839" s="47" t="str">
        <f t="array" ref="W839">_xlfn.XLOOKUP(records[ID], dAir[roomNo], dAir[building])</f>
        <v>Building 12</v>
      </c>
      <c r="X839" s="47" t="str">
        <f t="array" ref="X839">_xlfn.XLOOKUP(records[ID], dAir[roomNo], dAir[floor])</f>
        <v>Floor 2</v>
      </c>
      <c r="Y839" s="45" t="str">
        <f t="array" ref="Y839">_xlfn.XLOOKUP(records[ID], dAir[roomNo], dAir[Class])</f>
        <v>D</v>
      </c>
      <c r="Z839" s="45">
        <f t="array" ref="Z839">_xlfn.XLOOKUP(records[Method]&amp;"-"&amp;records[Class], dAirSpec[ID], dAirSpec[Spec])</f>
        <v>100</v>
      </c>
      <c r="AA839" s="45" t="str">
        <f t="array" ref="AA839">_xlfn.XLOOKUP(records[Method]&amp;"-"&amp;records[Class], dAirSpec[ID], dAirSpec[Unit])</f>
        <v>cfu/plate</v>
      </c>
      <c r="AB839" s="58">
        <f t="array" ref="AB839">if(S839="","", if(records[Method]="Active Air",_xlfn.xlookup(records[ColonyCount]&amp;records[AirSampler],feller[code],feller[Vc]),records[ColonyCount]))</f>
        <v>3</v>
      </c>
      <c r="AC839" s="60" t="b">
        <f t="shared" si="1"/>
        <v>1</v>
      </c>
      <c r="AD839" s="61" t="b">
        <v>0</v>
      </c>
      <c r="AE839" s="32" t="s">
        <v>235</v>
      </c>
      <c r="AF839" s="46"/>
      <c r="AG839" s="46"/>
      <c r="AH839" s="46"/>
      <c r="AI839" s="46"/>
      <c r="AJ839" s="46"/>
    </row>
    <row r="840" ht="22.5" customHeight="1">
      <c r="A840" s="27">
        <v>46259.0</v>
      </c>
      <c r="B840" s="34" t="str">
        <f t="array" ref="B840">TEXT(A840, "MM-YYYY")</f>
        <v>08-2026</v>
      </c>
      <c r="C840" s="39" t="s">
        <v>719</v>
      </c>
      <c r="D840" s="36" t="s">
        <v>210</v>
      </c>
      <c r="E840" s="36" t="s">
        <v>213</v>
      </c>
      <c r="F840" s="37" t="s">
        <v>149</v>
      </c>
      <c r="G840" s="263" t="b">
        <v>1</v>
      </c>
      <c r="H840" s="36" t="s">
        <v>214</v>
      </c>
      <c r="I840" s="36" t="s">
        <v>215</v>
      </c>
      <c r="J840" s="214"/>
      <c r="K840" s="215"/>
      <c r="L840" s="187" t="s">
        <v>194</v>
      </c>
      <c r="M840" s="187" t="s">
        <v>194</v>
      </c>
      <c r="N840" s="187" t="s">
        <v>194</v>
      </c>
      <c r="O840" s="187" t="s">
        <v>194</v>
      </c>
      <c r="P840" s="37" t="s">
        <v>692</v>
      </c>
      <c r="Q840" s="37" t="s">
        <v>693</v>
      </c>
      <c r="R840" s="41">
        <v>46306.0</v>
      </c>
      <c r="S840" s="42">
        <v>0.0</v>
      </c>
      <c r="T840" s="44"/>
      <c r="U840" s="45" t="str">
        <f>IF(records[Type]="Room",records[roomNo],records[roomNo]&amp;"-"&amp;SUBSTITUTE(RIGHT(records[roomNo]&amp;records[Type],2),"-",""))</f>
        <v>12-2-065</v>
      </c>
      <c r="V840" s="47" t="str">
        <f t="array" ref="V840">_xlfn.XLOOKUP(records[ID], dAir[roomNo], dAir[roomName])</f>
        <v>WASHING</v>
      </c>
      <c r="W840" s="47" t="str">
        <f t="array" ref="W840">_xlfn.XLOOKUP(records[ID], dAir[roomNo], dAir[building])</f>
        <v>Building 12</v>
      </c>
      <c r="X840" s="47" t="str">
        <f t="array" ref="X840">_xlfn.XLOOKUP(records[ID], dAir[roomNo], dAir[floor])</f>
        <v>Floor 2</v>
      </c>
      <c r="Y840" s="45" t="str">
        <f t="array" ref="Y840">_xlfn.XLOOKUP(records[ID], dAir[roomNo], dAir[Class])</f>
        <v>D</v>
      </c>
      <c r="Z840" s="45">
        <f t="array" ref="Z840">_xlfn.XLOOKUP(records[Method]&amp;"-"&amp;records[Class], dAirSpec[ID], dAirSpec[Spec])</f>
        <v>100</v>
      </c>
      <c r="AA840" s="45" t="str">
        <f t="array" ref="AA840">_xlfn.XLOOKUP(records[Method]&amp;"-"&amp;records[Class], dAirSpec[ID], dAirSpec[Unit])</f>
        <v>cfu/plate</v>
      </c>
      <c r="AB840" s="58">
        <f t="array" ref="AB840">if(S840="","", if(records[Method]="Active Air",_xlfn.xlookup(records[ColonyCount]&amp;records[AirSampler],feller[code],feller[Vc]),records[ColonyCount]))</f>
        <v>0</v>
      </c>
      <c r="AC840" s="60" t="b">
        <f t="shared" si="1"/>
        <v>1</v>
      </c>
      <c r="AD840" s="61" t="b">
        <v>0</v>
      </c>
      <c r="AE840" s="32" t="s">
        <v>235</v>
      </c>
      <c r="AF840" s="46"/>
      <c r="AG840" s="46"/>
      <c r="AH840" s="46"/>
      <c r="AI840" s="46"/>
      <c r="AJ840" s="46"/>
    </row>
    <row r="841" ht="22.5" customHeight="1">
      <c r="A841" s="27">
        <v>46259.0</v>
      </c>
      <c r="B841" s="34" t="str">
        <f t="array" ref="B841">TEXT(A841, "MM-YYYY")</f>
        <v>08-2026</v>
      </c>
      <c r="C841" s="39" t="s">
        <v>725</v>
      </c>
      <c r="D841" s="36" t="s">
        <v>210</v>
      </c>
      <c r="E841" s="36" t="s">
        <v>213</v>
      </c>
      <c r="F841" s="37" t="s">
        <v>149</v>
      </c>
      <c r="G841" s="263" t="b">
        <v>1</v>
      </c>
      <c r="H841" s="36" t="s">
        <v>214</v>
      </c>
      <c r="I841" s="36" t="s">
        <v>215</v>
      </c>
      <c r="J841" s="214"/>
      <c r="K841" s="215"/>
      <c r="L841" s="187" t="s">
        <v>194</v>
      </c>
      <c r="M841" s="187" t="s">
        <v>194</v>
      </c>
      <c r="N841" s="187" t="s">
        <v>194</v>
      </c>
      <c r="O841" s="187" t="s">
        <v>194</v>
      </c>
      <c r="P841" s="37" t="s">
        <v>692</v>
      </c>
      <c r="Q841" s="37" t="s">
        <v>693</v>
      </c>
      <c r="R841" s="41">
        <v>46306.0</v>
      </c>
      <c r="S841" s="42">
        <v>0.0</v>
      </c>
      <c r="T841" s="44"/>
      <c r="U841" s="45" t="str">
        <f>IF(records[Type]="Room",records[roomNo],records[roomNo]&amp;"-"&amp;SUBSTITUTE(RIGHT(records[roomNo]&amp;records[Type],2),"-",""))</f>
        <v>12-2-066</v>
      </c>
      <c r="V841" s="47" t="str">
        <f t="array" ref="V841">_xlfn.XLOOKUP(records[ID], dAir[roomNo], dAir[roomName])</f>
        <v>DRYING</v>
      </c>
      <c r="W841" s="47" t="str">
        <f t="array" ref="W841">_xlfn.XLOOKUP(records[ID], dAir[roomNo], dAir[building])</f>
        <v>Building 12</v>
      </c>
      <c r="X841" s="47" t="str">
        <f t="array" ref="X841">_xlfn.XLOOKUP(records[ID], dAir[roomNo], dAir[floor])</f>
        <v>Floor 2</v>
      </c>
      <c r="Y841" s="45" t="str">
        <f t="array" ref="Y841">_xlfn.XLOOKUP(records[ID], dAir[roomNo], dAir[Class])</f>
        <v>D</v>
      </c>
      <c r="Z841" s="45">
        <f t="array" ref="Z841">_xlfn.XLOOKUP(records[Method]&amp;"-"&amp;records[Class], dAirSpec[ID], dAirSpec[Spec])</f>
        <v>100</v>
      </c>
      <c r="AA841" s="45" t="str">
        <f t="array" ref="AA841">_xlfn.XLOOKUP(records[Method]&amp;"-"&amp;records[Class], dAirSpec[ID], dAirSpec[Unit])</f>
        <v>cfu/plate</v>
      </c>
      <c r="AB841" s="58">
        <f t="array" ref="AB841">if(S841="","", if(records[Method]="Active Air",_xlfn.xlookup(records[ColonyCount]&amp;records[AirSampler],feller[code],feller[Vc]),records[ColonyCount]))</f>
        <v>0</v>
      </c>
      <c r="AC841" s="60" t="b">
        <f t="shared" si="1"/>
        <v>1</v>
      </c>
      <c r="AD841" s="61" t="b">
        <v>0</v>
      </c>
      <c r="AE841" s="32" t="s">
        <v>235</v>
      </c>
      <c r="AF841" s="46"/>
      <c r="AG841" s="46"/>
      <c r="AH841" s="46"/>
      <c r="AI841" s="46"/>
      <c r="AJ841" s="46"/>
    </row>
    <row r="842" ht="22.5" customHeight="1">
      <c r="A842" s="27">
        <v>46259.0</v>
      </c>
      <c r="B842" s="34" t="str">
        <f t="array" ref="B842">TEXT(A842, "MM-YYYY")</f>
        <v>08-2026</v>
      </c>
      <c r="C842" s="39" t="s">
        <v>728</v>
      </c>
      <c r="D842" s="36" t="s">
        <v>210</v>
      </c>
      <c r="E842" s="36" t="s">
        <v>213</v>
      </c>
      <c r="F842" s="37" t="s">
        <v>149</v>
      </c>
      <c r="G842" s="263" t="b">
        <v>1</v>
      </c>
      <c r="H842" s="36" t="s">
        <v>214</v>
      </c>
      <c r="I842" s="36" t="s">
        <v>215</v>
      </c>
      <c r="J842" s="214"/>
      <c r="K842" s="215"/>
      <c r="L842" s="187" t="s">
        <v>194</v>
      </c>
      <c r="M842" s="187" t="s">
        <v>194</v>
      </c>
      <c r="N842" s="187" t="s">
        <v>194</v>
      </c>
      <c r="O842" s="187" t="s">
        <v>194</v>
      </c>
      <c r="P842" s="37" t="s">
        <v>692</v>
      </c>
      <c r="Q842" s="37" t="s">
        <v>693</v>
      </c>
      <c r="R842" s="41">
        <v>46306.0</v>
      </c>
      <c r="S842" s="42">
        <v>0.0</v>
      </c>
      <c r="T842" s="44"/>
      <c r="U842" s="45" t="str">
        <f>IF(records[Type]="Room",records[roomNo],records[roomNo]&amp;"-"&amp;SUBSTITUTE(RIGHT(records[roomNo]&amp;records[Type],2),"-",""))</f>
        <v>12-2-067</v>
      </c>
      <c r="V842" s="47" t="str">
        <f t="array" ref="V842">_xlfn.XLOOKUP(records[ID], dAir[roomNo], dAir[roomName])</f>
        <v>CLEANED EQUIPMENT</v>
      </c>
      <c r="W842" s="47" t="str">
        <f t="array" ref="W842">_xlfn.XLOOKUP(records[ID], dAir[roomNo], dAir[building])</f>
        <v>Building 12</v>
      </c>
      <c r="X842" s="47" t="str">
        <f t="array" ref="X842">_xlfn.XLOOKUP(records[ID], dAir[roomNo], dAir[floor])</f>
        <v>Floor 2</v>
      </c>
      <c r="Y842" s="45" t="str">
        <f t="array" ref="Y842">_xlfn.XLOOKUP(records[ID], dAir[roomNo], dAir[Class])</f>
        <v>D</v>
      </c>
      <c r="Z842" s="45">
        <f t="array" ref="Z842">_xlfn.XLOOKUP(records[Method]&amp;"-"&amp;records[Class], dAirSpec[ID], dAirSpec[Spec])</f>
        <v>100</v>
      </c>
      <c r="AA842" s="45" t="str">
        <f t="array" ref="AA842">_xlfn.XLOOKUP(records[Method]&amp;"-"&amp;records[Class], dAirSpec[ID], dAirSpec[Unit])</f>
        <v>cfu/plate</v>
      </c>
      <c r="AB842" s="58">
        <f t="array" ref="AB842">if(S842="","", if(records[Method]="Active Air",_xlfn.xlookup(records[ColonyCount]&amp;records[AirSampler],feller[code],feller[Vc]),records[ColonyCount]))</f>
        <v>0</v>
      </c>
      <c r="AC842" s="60" t="b">
        <f t="shared" si="1"/>
        <v>1</v>
      </c>
      <c r="AD842" s="61" t="b">
        <v>0</v>
      </c>
      <c r="AE842" s="32" t="s">
        <v>235</v>
      </c>
      <c r="AF842" s="46"/>
      <c r="AG842" s="46"/>
      <c r="AH842" s="46"/>
      <c r="AI842" s="46"/>
      <c r="AJ842" s="46"/>
    </row>
    <row r="843" ht="22.5" customHeight="1">
      <c r="A843" s="27">
        <v>46259.0</v>
      </c>
      <c r="B843" s="34" t="str">
        <f t="array" ref="B843">TEXT(A843, "MM-YYYY")</f>
        <v>08-2026</v>
      </c>
      <c r="C843" s="39" t="s">
        <v>735</v>
      </c>
      <c r="D843" s="36" t="s">
        <v>210</v>
      </c>
      <c r="E843" s="36" t="s">
        <v>213</v>
      </c>
      <c r="F843" s="37" t="s">
        <v>149</v>
      </c>
      <c r="G843" s="263" t="b">
        <v>1</v>
      </c>
      <c r="H843" s="36" t="s">
        <v>214</v>
      </c>
      <c r="I843" s="36" t="s">
        <v>215</v>
      </c>
      <c r="J843" s="214"/>
      <c r="K843" s="215"/>
      <c r="L843" s="187" t="s">
        <v>194</v>
      </c>
      <c r="M843" s="187" t="s">
        <v>194</v>
      </c>
      <c r="N843" s="187" t="s">
        <v>194</v>
      </c>
      <c r="O843" s="187" t="s">
        <v>194</v>
      </c>
      <c r="P843" s="37" t="s">
        <v>692</v>
      </c>
      <c r="Q843" s="37" t="s">
        <v>693</v>
      </c>
      <c r="R843" s="41">
        <v>46306.0</v>
      </c>
      <c r="S843" s="42">
        <v>6.0</v>
      </c>
      <c r="T843" s="44"/>
      <c r="U843" s="45" t="str">
        <f>IF(records[Type]="Room",records[roomNo],records[roomNo]&amp;"-"&amp;SUBSTITUTE(RIGHT(records[roomNo]&amp;records[Type],2),"-",""))</f>
        <v>12-2-068</v>
      </c>
      <c r="V843" s="47" t="str">
        <f t="array" ref="V843">_xlfn.XLOOKUP(records[ID], dAir[roomNo], dAir[roomName])</f>
        <v>JANITOR</v>
      </c>
      <c r="W843" s="47" t="str">
        <f t="array" ref="W843">_xlfn.XLOOKUP(records[ID], dAir[roomNo], dAir[building])</f>
        <v>Building 12</v>
      </c>
      <c r="X843" s="47" t="str">
        <f t="array" ref="X843">_xlfn.XLOOKUP(records[ID], dAir[roomNo], dAir[floor])</f>
        <v>Floor 2</v>
      </c>
      <c r="Y843" s="45" t="str">
        <f t="array" ref="Y843">_xlfn.XLOOKUP(records[ID], dAir[roomNo], dAir[Class])</f>
        <v>D</v>
      </c>
      <c r="Z843" s="45">
        <f t="array" ref="Z843">_xlfn.XLOOKUP(records[Method]&amp;"-"&amp;records[Class], dAirSpec[ID], dAirSpec[Spec])</f>
        <v>100</v>
      </c>
      <c r="AA843" s="45" t="str">
        <f t="array" ref="AA843">_xlfn.XLOOKUP(records[Method]&amp;"-"&amp;records[Class], dAirSpec[ID], dAirSpec[Unit])</f>
        <v>cfu/plate</v>
      </c>
      <c r="AB843" s="58">
        <f t="array" ref="AB843">if(S843="","", if(records[Method]="Active Air",_xlfn.xlookup(records[ColonyCount]&amp;records[AirSampler],feller[code],feller[Vc]),records[ColonyCount]))</f>
        <v>6</v>
      </c>
      <c r="AC843" s="60" t="b">
        <f t="shared" si="1"/>
        <v>1</v>
      </c>
      <c r="AD843" s="61" t="b">
        <v>0</v>
      </c>
      <c r="AE843" s="32" t="s">
        <v>235</v>
      </c>
      <c r="AF843" s="46"/>
      <c r="AG843" s="46"/>
      <c r="AH843" s="46"/>
      <c r="AI843" s="46"/>
      <c r="AJ843" s="46"/>
    </row>
    <row r="844" ht="22.5" customHeight="1">
      <c r="A844" s="27">
        <v>46259.0</v>
      </c>
      <c r="B844" s="34" t="str">
        <f t="array" ref="B844">TEXT(A844, "MM-YYYY")</f>
        <v>08-2026</v>
      </c>
      <c r="C844" s="39" t="s">
        <v>738</v>
      </c>
      <c r="D844" s="36" t="s">
        <v>210</v>
      </c>
      <c r="E844" s="36" t="s">
        <v>213</v>
      </c>
      <c r="F844" s="37" t="s">
        <v>149</v>
      </c>
      <c r="G844" s="263" t="b">
        <v>1</v>
      </c>
      <c r="H844" s="36" t="s">
        <v>214</v>
      </c>
      <c r="I844" s="36" t="s">
        <v>215</v>
      </c>
      <c r="J844" s="214"/>
      <c r="K844" s="215"/>
      <c r="L844" s="187" t="s">
        <v>194</v>
      </c>
      <c r="M844" s="187" t="s">
        <v>194</v>
      </c>
      <c r="N844" s="187" t="s">
        <v>194</v>
      </c>
      <c r="O844" s="187" t="s">
        <v>194</v>
      </c>
      <c r="P844" s="37" t="s">
        <v>692</v>
      </c>
      <c r="Q844" s="37" t="s">
        <v>693</v>
      </c>
      <c r="R844" s="41">
        <v>46306.0</v>
      </c>
      <c r="S844" s="42">
        <v>0.0</v>
      </c>
      <c r="T844" s="44"/>
      <c r="U844" s="45" t="str">
        <f>IF(records[Type]="Room",records[roomNo],records[roomNo]&amp;"-"&amp;SUBSTITUTE(RIGHT(records[roomNo]&amp;records[Type],2),"-",""))</f>
        <v>12-2-069</v>
      </c>
      <c r="V844" s="47" t="str">
        <f t="array" ref="V844">_xlfn.XLOOKUP(records[ID], dAir[roomNo], dAir[roomName])</f>
        <v>PRODUCTION OFFICE</v>
      </c>
      <c r="W844" s="47" t="str">
        <f t="array" ref="W844">_xlfn.XLOOKUP(records[ID], dAir[roomNo], dAir[building])</f>
        <v>Building 12</v>
      </c>
      <c r="X844" s="47" t="str">
        <f t="array" ref="X844">_xlfn.XLOOKUP(records[ID], dAir[roomNo], dAir[floor])</f>
        <v>Floor 2</v>
      </c>
      <c r="Y844" s="45" t="str">
        <f t="array" ref="Y844">_xlfn.XLOOKUP(records[ID], dAir[roomNo], dAir[Class])</f>
        <v>D</v>
      </c>
      <c r="Z844" s="45">
        <f t="array" ref="Z844">_xlfn.XLOOKUP(records[Method]&amp;"-"&amp;records[Class], dAirSpec[ID], dAirSpec[Spec])</f>
        <v>100</v>
      </c>
      <c r="AA844" s="45" t="str">
        <f t="array" ref="AA844">_xlfn.XLOOKUP(records[Method]&amp;"-"&amp;records[Class], dAirSpec[ID], dAirSpec[Unit])</f>
        <v>cfu/plate</v>
      </c>
      <c r="AB844" s="58">
        <f t="array" ref="AB844">if(S844="","", if(records[Method]="Active Air",_xlfn.xlookup(records[ColonyCount]&amp;records[AirSampler],feller[code],feller[Vc]),records[ColonyCount]))</f>
        <v>0</v>
      </c>
      <c r="AC844" s="60" t="b">
        <f t="shared" si="1"/>
        <v>1</v>
      </c>
      <c r="AD844" s="61" t="b">
        <v>0</v>
      </c>
      <c r="AE844" s="32" t="s">
        <v>235</v>
      </c>
      <c r="AF844" s="46"/>
      <c r="AG844" s="46"/>
      <c r="AH844" s="46"/>
      <c r="AI844" s="46"/>
      <c r="AJ844" s="46"/>
    </row>
    <row r="845" ht="22.5" customHeight="1">
      <c r="A845" s="27">
        <v>46259.0</v>
      </c>
      <c r="B845" s="34" t="str">
        <f t="array" ref="B845">TEXT(A845, "MM-YYYY")</f>
        <v>08-2026</v>
      </c>
      <c r="C845" s="39" t="s">
        <v>744</v>
      </c>
      <c r="D845" s="36" t="s">
        <v>210</v>
      </c>
      <c r="E845" s="36" t="s">
        <v>213</v>
      </c>
      <c r="F845" s="37" t="s">
        <v>149</v>
      </c>
      <c r="G845" s="263" t="b">
        <v>1</v>
      </c>
      <c r="H845" s="36" t="s">
        <v>214</v>
      </c>
      <c r="I845" s="36" t="s">
        <v>215</v>
      </c>
      <c r="J845" s="214"/>
      <c r="K845" s="215"/>
      <c r="L845" s="187" t="s">
        <v>194</v>
      </c>
      <c r="M845" s="187" t="s">
        <v>194</v>
      </c>
      <c r="N845" s="187" t="s">
        <v>194</v>
      </c>
      <c r="O845" s="187" t="s">
        <v>194</v>
      </c>
      <c r="P845" s="37" t="s">
        <v>692</v>
      </c>
      <c r="Q845" s="37" t="s">
        <v>693</v>
      </c>
      <c r="R845" s="41">
        <v>46306.0</v>
      </c>
      <c r="S845" s="42">
        <v>0.0</v>
      </c>
      <c r="T845" s="44"/>
      <c r="U845" s="45" t="str">
        <f>IF(records[Type]="Room",records[roomNo],records[roomNo]&amp;"-"&amp;SUBSTITUTE(RIGHT(records[roomNo]&amp;records[Type],2),"-",""))</f>
        <v>12-2-082</v>
      </c>
      <c r="V845" s="47" t="str">
        <f t="array" ref="V845">_xlfn.XLOOKUP(records[ID], dAir[roomNo], dAir[roomName])</f>
        <v>LINEN STORAGE</v>
      </c>
      <c r="W845" s="47" t="str">
        <f t="array" ref="W845">_xlfn.XLOOKUP(records[ID], dAir[roomNo], dAir[building])</f>
        <v>Building 12</v>
      </c>
      <c r="X845" s="47" t="str">
        <f t="array" ref="X845">_xlfn.XLOOKUP(records[ID], dAir[roomNo], dAir[floor])</f>
        <v>Floor 2</v>
      </c>
      <c r="Y845" s="45" t="str">
        <f t="array" ref="Y845">_xlfn.XLOOKUP(records[ID], dAir[roomNo], dAir[Class])</f>
        <v>D</v>
      </c>
      <c r="Z845" s="45">
        <f t="array" ref="Z845">_xlfn.XLOOKUP(records[Method]&amp;"-"&amp;records[Class], dAirSpec[ID], dAirSpec[Spec])</f>
        <v>100</v>
      </c>
      <c r="AA845" s="45" t="str">
        <f t="array" ref="AA845">_xlfn.XLOOKUP(records[Method]&amp;"-"&amp;records[Class], dAirSpec[ID], dAirSpec[Unit])</f>
        <v>cfu/plate</v>
      </c>
      <c r="AB845" s="58">
        <f t="array" ref="AB845">if(S845="","", if(records[Method]="Active Air",_xlfn.xlookup(records[ColonyCount]&amp;records[AirSampler],feller[code],feller[Vc]),records[ColonyCount]))</f>
        <v>0</v>
      </c>
      <c r="AC845" s="60" t="b">
        <f t="shared" si="1"/>
        <v>1</v>
      </c>
      <c r="AD845" s="61" t="b">
        <v>0</v>
      </c>
      <c r="AE845" s="32" t="s">
        <v>235</v>
      </c>
      <c r="AF845" s="46"/>
      <c r="AG845" s="46"/>
      <c r="AH845" s="46"/>
      <c r="AI845" s="46"/>
      <c r="AJ845" s="46"/>
    </row>
    <row r="846" ht="22.5" customHeight="1">
      <c r="A846" s="27">
        <v>46259.0</v>
      </c>
      <c r="B846" s="34" t="str">
        <f t="array" ref="B846">TEXT(A846, "MM-YYYY")</f>
        <v>08-2026</v>
      </c>
      <c r="C846" s="39" t="s">
        <v>748</v>
      </c>
      <c r="D846" s="36" t="s">
        <v>210</v>
      </c>
      <c r="E846" s="36" t="s">
        <v>213</v>
      </c>
      <c r="F846" s="37" t="s">
        <v>149</v>
      </c>
      <c r="G846" s="263" t="b">
        <v>1</v>
      </c>
      <c r="H846" s="36" t="s">
        <v>214</v>
      </c>
      <c r="I846" s="36" t="s">
        <v>215</v>
      </c>
      <c r="J846" s="214"/>
      <c r="K846" s="215"/>
      <c r="L846" s="187" t="s">
        <v>194</v>
      </c>
      <c r="M846" s="187" t="s">
        <v>194</v>
      </c>
      <c r="N846" s="187" t="s">
        <v>194</v>
      </c>
      <c r="O846" s="187" t="s">
        <v>194</v>
      </c>
      <c r="P846" s="37" t="s">
        <v>692</v>
      </c>
      <c r="Q846" s="37" t="s">
        <v>693</v>
      </c>
      <c r="R846" s="41">
        <v>46306.0</v>
      </c>
      <c r="S846" s="42">
        <v>0.0</v>
      </c>
      <c r="T846" s="44"/>
      <c r="U846" s="45" t="str">
        <f>IF(records[Type]="Room",records[roomNo],records[roomNo]&amp;"-"&amp;SUBSTITUTE(RIGHT(records[roomNo]&amp;records[Type],2),"-",""))</f>
        <v>12-2-083</v>
      </c>
      <c r="V846" s="47" t="str">
        <f t="array" ref="V846">_xlfn.XLOOKUP(records[ID], dAir[roomNo], dAir[roomName])</f>
        <v>CORRIDOR</v>
      </c>
      <c r="W846" s="47" t="str">
        <f t="array" ref="W846">_xlfn.XLOOKUP(records[ID], dAir[roomNo], dAir[building])</f>
        <v>Building 12</v>
      </c>
      <c r="X846" s="47" t="str">
        <f t="array" ref="X846">_xlfn.XLOOKUP(records[ID], dAir[roomNo], dAir[floor])</f>
        <v>Floor 2</v>
      </c>
      <c r="Y846" s="45" t="str">
        <f t="array" ref="Y846">_xlfn.XLOOKUP(records[ID], dAir[roomNo], dAir[Class])</f>
        <v>D</v>
      </c>
      <c r="Z846" s="45">
        <f t="array" ref="Z846">_xlfn.XLOOKUP(records[Method]&amp;"-"&amp;records[Class], dAirSpec[ID], dAirSpec[Spec])</f>
        <v>100</v>
      </c>
      <c r="AA846" s="45" t="str">
        <f t="array" ref="AA846">_xlfn.XLOOKUP(records[Method]&amp;"-"&amp;records[Class], dAirSpec[ID], dAirSpec[Unit])</f>
        <v>cfu/plate</v>
      </c>
      <c r="AB846" s="58">
        <f t="array" ref="AB846">if(S846="","", if(records[Method]="Active Air",_xlfn.xlookup(records[ColonyCount]&amp;records[AirSampler],feller[code],feller[Vc]),records[ColonyCount]))</f>
        <v>0</v>
      </c>
      <c r="AC846" s="60" t="b">
        <f t="shared" si="1"/>
        <v>1</v>
      </c>
      <c r="AD846" s="61" t="b">
        <v>0</v>
      </c>
      <c r="AE846" s="32" t="s">
        <v>235</v>
      </c>
      <c r="AF846" s="46"/>
      <c r="AG846" s="46"/>
      <c r="AH846" s="46"/>
      <c r="AI846" s="46"/>
      <c r="AJ846" s="46"/>
    </row>
    <row r="847" ht="22.5" customHeight="1">
      <c r="A847" s="27">
        <v>46261.0</v>
      </c>
      <c r="B847" s="34" t="str">
        <f t="array" ref="B847">TEXT(A847, "MM-YYYY")</f>
        <v>08-2026</v>
      </c>
      <c r="C847" s="34" t="s">
        <v>1319</v>
      </c>
      <c r="D847" s="36" t="s">
        <v>210</v>
      </c>
      <c r="E847" s="36" t="s">
        <v>531</v>
      </c>
      <c r="F847" s="37" t="s">
        <v>153</v>
      </c>
      <c r="G847" s="263" t="b">
        <v>1</v>
      </c>
      <c r="H847" s="36" t="s">
        <v>2240</v>
      </c>
      <c r="I847" s="36" t="s">
        <v>534</v>
      </c>
      <c r="J847" s="214"/>
      <c r="K847" s="215"/>
      <c r="L847" s="187" t="s">
        <v>194</v>
      </c>
      <c r="M847" s="187" t="s">
        <v>194</v>
      </c>
      <c r="N847" s="187" t="s">
        <v>194</v>
      </c>
      <c r="O847" s="187" t="s">
        <v>194</v>
      </c>
      <c r="P847" s="37" t="s">
        <v>2471</v>
      </c>
      <c r="Q847" s="37"/>
      <c r="R847" s="41">
        <v>46306.0</v>
      </c>
      <c r="S847" s="42">
        <v>63.0</v>
      </c>
      <c r="T847" s="44" t="s">
        <v>2510</v>
      </c>
      <c r="U847" s="47" t="str">
        <f>IF(records[Type]="Room",records[roomNo],records[roomNo]&amp;"-"&amp;SUBSTITUTE(RIGHT(records[roomNo]&amp;records[Type],2),"-",""))</f>
        <v>11-1-013</v>
      </c>
      <c r="V847" s="47" t="str">
        <f t="array" ref="V847">_xlfn.XLOOKUP(records[ID], dAir[roomNo], dAir[roomName])</f>
        <v>PAL 2</v>
      </c>
      <c r="W847" s="47" t="str">
        <f t="array" ref="W847">_xlfn.XLOOKUP(records[ID], dAir[roomNo], dAir[building])</f>
        <v>Building 11</v>
      </c>
      <c r="X847" s="47" t="str">
        <f t="array" ref="X847">_xlfn.XLOOKUP(records[ID], dAir[roomNo], dAir[floor])</f>
        <v>Floor 1</v>
      </c>
      <c r="Y847" s="45" t="str">
        <f t="array" ref="Y847">_xlfn.XLOOKUP(records[ID], dAir[roomNo], dAir[Class])</f>
        <v>D</v>
      </c>
      <c r="Z847" s="45">
        <f t="array" ref="Z847">_xlfn.XLOOKUP(records[Method]&amp;"-"&amp;records[Class], dAirSpec[ID], dAirSpec[Spec])</f>
        <v>200</v>
      </c>
      <c r="AA847" s="45" t="str">
        <f t="array" ref="AA847">_xlfn.XLOOKUP(records[Method]&amp;"-"&amp;records[Class], dAirSpec[ID], dAirSpec[Unit])</f>
        <v>cfu/m3</v>
      </c>
      <c r="AB847" s="45">
        <f t="array" ref="AB847">if(S847="","", if(records[Method]="Active Air",_xlfn.xlookup(records[ColonyCount]&amp;records[AirSampler],feller[code],feller[Vc]),records[ColonyCount]))</f>
        <v>74</v>
      </c>
      <c r="AC847" s="60" t="b">
        <f t="shared" si="1"/>
        <v>1</v>
      </c>
      <c r="AD847" s="61" t="b">
        <v>0</v>
      </c>
      <c r="AE847" s="32" t="s">
        <v>280</v>
      </c>
      <c r="AF847" s="46"/>
      <c r="AG847" s="46"/>
      <c r="AH847" s="46"/>
      <c r="AI847" s="46"/>
      <c r="AJ847" s="46"/>
    </row>
    <row r="848" ht="22.5" customHeight="1">
      <c r="A848" s="27">
        <v>46263.0</v>
      </c>
      <c r="B848" s="34" t="str">
        <f t="array" ref="B848">TEXT(A848, "MM-YYYY")</f>
        <v>08-2026</v>
      </c>
      <c r="C848" s="32" t="s">
        <v>1533</v>
      </c>
      <c r="D848" s="21" t="s">
        <v>210</v>
      </c>
      <c r="E848" s="225" t="s">
        <v>531</v>
      </c>
      <c r="F848" s="37" t="s">
        <v>160</v>
      </c>
      <c r="G848" s="263" t="b">
        <v>1</v>
      </c>
      <c r="H848" s="36" t="s">
        <v>2240</v>
      </c>
      <c r="I848" s="36" t="s">
        <v>534</v>
      </c>
      <c r="J848" s="185" t="s">
        <v>1792</v>
      </c>
      <c r="K848" s="186">
        <v>46472.0</v>
      </c>
      <c r="L848" s="187" t="s">
        <v>194</v>
      </c>
      <c r="M848" s="187" t="s">
        <v>194</v>
      </c>
      <c r="N848" s="187" t="s">
        <v>194</v>
      </c>
      <c r="O848" s="187" t="s">
        <v>194</v>
      </c>
      <c r="P848" s="37" t="s">
        <v>692</v>
      </c>
      <c r="Q848" s="37" t="s">
        <v>693</v>
      </c>
      <c r="R848" s="41">
        <v>46306.0</v>
      </c>
      <c r="S848" s="42">
        <v>50.0</v>
      </c>
      <c r="T848" s="44" t="s">
        <v>2240</v>
      </c>
      <c r="U848" s="45" t="str">
        <f>IF(records[Type]="Room",records[roomNo],records[roomNo]&amp;"-"&amp;SUBSTITUTE(RIGHT(records[roomNo]&amp;records[Type],2),"-",""))</f>
        <v>16-3-069</v>
      </c>
      <c r="V848" s="47" t="str">
        <f t="array" ref="V848">_xlfn.XLOOKUP(records[ID], dAir[roomNo], dAir[roomName])</f>
        <v>MFG 2</v>
      </c>
      <c r="W848" s="47" t="str">
        <f t="array" ref="W848">_xlfn.XLOOKUP(records[ID], dAir[roomNo], dAir[building])</f>
        <v>Building 16</v>
      </c>
      <c r="X848" s="47" t="str">
        <f t="array" ref="X848">_xlfn.XLOOKUP(records[ID], dAir[roomNo], dAir[floor])</f>
        <v>Floor 3</v>
      </c>
      <c r="Y848" s="45" t="str">
        <f t="array" ref="Y848">_xlfn.XLOOKUP(records[ID], dAir[roomNo], dAir[Class])</f>
        <v>D</v>
      </c>
      <c r="Z848" s="45">
        <f t="array" ref="Z848">_xlfn.XLOOKUP(records[Method]&amp;"-"&amp;records[Class], dAirSpec[ID], dAirSpec[Spec])</f>
        <v>200</v>
      </c>
      <c r="AA848" s="45" t="str">
        <f t="array" ref="AA848">_xlfn.XLOOKUP(records[Method]&amp;"-"&amp;records[Class], dAirSpec[ID], dAirSpec[Unit])</f>
        <v>cfu/m3</v>
      </c>
      <c r="AB848" s="45">
        <f t="array" ref="AB848">if(S848="","", if(records[Method]="Active Air",_xlfn.xlookup(records[ColonyCount]&amp;records[AirSampler],feller[code],feller[Vc]),records[ColonyCount]))</f>
        <v>57</v>
      </c>
      <c r="AC848" s="60" t="b">
        <f t="shared" si="1"/>
        <v>1</v>
      </c>
      <c r="AD848" s="61" t="b">
        <v>0</v>
      </c>
      <c r="AE848" s="32" t="s">
        <v>280</v>
      </c>
      <c r="AF848" s="46"/>
      <c r="AG848" s="46"/>
      <c r="AH848" s="46"/>
      <c r="AI848" s="46"/>
      <c r="AJ848" s="46"/>
    </row>
    <row r="849" ht="22.5" customHeight="1">
      <c r="A849" s="27">
        <v>46264.0</v>
      </c>
      <c r="B849" s="34" t="str">
        <f t="array" ref="B849">TEXT(A849, "MM-YYYY")</f>
        <v>08-2026</v>
      </c>
      <c r="C849" s="241" t="s">
        <v>795</v>
      </c>
      <c r="D849" s="254" t="s">
        <v>210</v>
      </c>
      <c r="E849" s="255" t="s">
        <v>213</v>
      </c>
      <c r="F849" s="37"/>
      <c r="G849" s="263" t="b">
        <v>0</v>
      </c>
      <c r="H849" s="36" t="s">
        <v>214</v>
      </c>
      <c r="I849" s="36" t="s">
        <v>215</v>
      </c>
      <c r="J849" s="214"/>
      <c r="K849" s="215"/>
      <c r="L849" s="187" t="s">
        <v>194</v>
      </c>
      <c r="M849" s="187" t="s">
        <v>194</v>
      </c>
      <c r="N849" s="187" t="s">
        <v>194</v>
      </c>
      <c r="O849" s="187" t="s">
        <v>194</v>
      </c>
      <c r="P849" s="37" t="s">
        <v>692</v>
      </c>
      <c r="Q849" s="37" t="s">
        <v>693</v>
      </c>
      <c r="R849" s="41">
        <v>46306.0</v>
      </c>
      <c r="S849" s="42">
        <v>0.0</v>
      </c>
      <c r="T849" s="44"/>
      <c r="U849" s="47" t="str">
        <f>IF(records[Type]="Room",records[roomNo],records[roomNo]&amp;"-"&amp;SUBSTITUTE(RIGHT(records[roomNo]&amp;records[Type],2),"-",""))</f>
        <v>12-3-049</v>
      </c>
      <c r="V849" s="47" t="str">
        <f t="array" ref="V849">_xlfn.XLOOKUP(records[ID], dAir[roomNo], dAir[roomName])</f>
        <v>CHANGING ROOM</v>
      </c>
      <c r="W849" s="47" t="str">
        <f t="array" ref="W849">_xlfn.XLOOKUP(records[ID], dAir[roomNo], dAir[building])</f>
        <v>Building 12</v>
      </c>
      <c r="X849" s="47" t="str">
        <f t="array" ref="X849">_xlfn.XLOOKUP(records[ID], dAir[roomNo], dAir[floor])</f>
        <v>Floor 3</v>
      </c>
      <c r="Y849" s="45" t="str">
        <f t="array" ref="Y849">_xlfn.XLOOKUP(records[ID], dAir[roomNo], dAir[Class])</f>
        <v>D</v>
      </c>
      <c r="Z849" s="45">
        <f t="array" ref="Z849">_xlfn.XLOOKUP(records[Method]&amp;"-"&amp;records[Class], dAirSpec[ID], dAirSpec[Spec])</f>
        <v>100</v>
      </c>
      <c r="AA849" s="45" t="str">
        <f t="array" ref="AA849">_xlfn.XLOOKUP(records[Method]&amp;"-"&amp;records[Class], dAirSpec[ID], dAirSpec[Unit])</f>
        <v>cfu/plate</v>
      </c>
      <c r="AB849" s="58">
        <f t="array" ref="AB849">if(S849="","", if(records[Method]="Active Air",_xlfn.xlookup(records[ColonyCount]&amp;records[AirSampler],feller[code],feller[Vc]),records[ColonyCount]))</f>
        <v>0</v>
      </c>
      <c r="AC849" s="60" t="b">
        <f t="shared" si="1"/>
        <v>1</v>
      </c>
      <c r="AD849" s="61" t="b">
        <v>0</v>
      </c>
      <c r="AE849" s="32"/>
      <c r="AF849" s="46"/>
      <c r="AG849" s="46"/>
      <c r="AH849" s="46"/>
      <c r="AI849" s="46"/>
      <c r="AJ849" s="46"/>
    </row>
    <row r="850" ht="22.5" customHeight="1">
      <c r="A850" s="27">
        <v>46264.0</v>
      </c>
      <c r="B850" s="34" t="str">
        <f t="array" ref="B850">TEXT(A850, "MM-YYYY")</f>
        <v>08-2026</v>
      </c>
      <c r="C850" s="244" t="s">
        <v>802</v>
      </c>
      <c r="D850" s="256" t="s">
        <v>210</v>
      </c>
      <c r="E850" s="257" t="s">
        <v>213</v>
      </c>
      <c r="F850" s="37"/>
      <c r="G850" s="263" t="b">
        <v>0</v>
      </c>
      <c r="H850" s="36" t="s">
        <v>214</v>
      </c>
      <c r="I850" s="36" t="s">
        <v>215</v>
      </c>
      <c r="J850" s="214"/>
      <c r="K850" s="215"/>
      <c r="L850" s="187" t="s">
        <v>194</v>
      </c>
      <c r="M850" s="187" t="s">
        <v>194</v>
      </c>
      <c r="N850" s="187" t="s">
        <v>194</v>
      </c>
      <c r="O850" s="187" t="s">
        <v>194</v>
      </c>
      <c r="P850" s="37" t="s">
        <v>692</v>
      </c>
      <c r="Q850" s="37" t="s">
        <v>693</v>
      </c>
      <c r="R850" s="41">
        <v>46306.0</v>
      </c>
      <c r="S850" s="42">
        <v>0.0</v>
      </c>
      <c r="T850" s="44"/>
      <c r="U850" s="47" t="str">
        <f>IF(records[Type]="Room",records[roomNo],records[roomNo]&amp;"-"&amp;SUBSTITUTE(RIGHT(records[roomNo]&amp;records[Type],2),"-",""))</f>
        <v>12-3-050</v>
      </c>
      <c r="V850" s="47" t="str">
        <f t="array" ref="V850">_xlfn.XLOOKUP(records[ID], dAir[roomNo], dAir[roomName])</f>
        <v>CORRIDOR</v>
      </c>
      <c r="W850" s="47" t="str">
        <f t="array" ref="W850">_xlfn.XLOOKUP(records[ID], dAir[roomNo], dAir[building])</f>
        <v>Building 12</v>
      </c>
      <c r="X850" s="47" t="str">
        <f t="array" ref="X850">_xlfn.XLOOKUP(records[ID], dAir[roomNo], dAir[floor])</f>
        <v>Floor 3</v>
      </c>
      <c r="Y850" s="45" t="str">
        <f t="array" ref="Y850">_xlfn.XLOOKUP(records[ID], dAir[roomNo], dAir[Class])</f>
        <v>D</v>
      </c>
      <c r="Z850" s="45">
        <f t="array" ref="Z850">_xlfn.XLOOKUP(records[Method]&amp;"-"&amp;records[Class], dAirSpec[ID], dAirSpec[Spec])</f>
        <v>100</v>
      </c>
      <c r="AA850" s="45" t="str">
        <f t="array" ref="AA850">_xlfn.XLOOKUP(records[Method]&amp;"-"&amp;records[Class], dAirSpec[ID], dAirSpec[Unit])</f>
        <v>cfu/plate</v>
      </c>
      <c r="AB850" s="58">
        <f t="array" ref="AB850">if(S850="","", if(records[Method]="Active Air",_xlfn.xlookup(records[ColonyCount]&amp;records[AirSampler],feller[code],feller[Vc]),records[ColonyCount]))</f>
        <v>0</v>
      </c>
      <c r="AC850" s="60" t="b">
        <f t="shared" si="1"/>
        <v>1</v>
      </c>
      <c r="AD850" s="61" t="b">
        <v>0</v>
      </c>
      <c r="AE850" s="32"/>
      <c r="AF850" s="46"/>
      <c r="AG850" s="46"/>
      <c r="AH850" s="46"/>
      <c r="AI850" s="46"/>
      <c r="AJ850" s="46"/>
    </row>
    <row r="851" ht="22.5" customHeight="1">
      <c r="A851" s="27">
        <v>46264.0</v>
      </c>
      <c r="B851" s="34" t="str">
        <f t="array" ref="B851">TEXT(A851, "MM-YYYY")</f>
        <v>08-2026</v>
      </c>
      <c r="C851" s="247" t="s">
        <v>809</v>
      </c>
      <c r="D851" s="254" t="s">
        <v>210</v>
      </c>
      <c r="E851" s="255" t="s">
        <v>213</v>
      </c>
      <c r="F851" s="37"/>
      <c r="G851" s="263" t="b">
        <v>0</v>
      </c>
      <c r="H851" s="36" t="s">
        <v>214</v>
      </c>
      <c r="I851" s="36" t="s">
        <v>215</v>
      </c>
      <c r="J851" s="295"/>
      <c r="K851" s="296"/>
      <c r="L851" s="187" t="s">
        <v>194</v>
      </c>
      <c r="M851" s="187" t="s">
        <v>194</v>
      </c>
      <c r="N851" s="187" t="s">
        <v>194</v>
      </c>
      <c r="O851" s="187" t="s">
        <v>194</v>
      </c>
      <c r="P851" s="37" t="s">
        <v>692</v>
      </c>
      <c r="Q851" s="37" t="s">
        <v>693</v>
      </c>
      <c r="R851" s="41">
        <v>46306.0</v>
      </c>
      <c r="S851" s="42">
        <v>0.0</v>
      </c>
      <c r="T851" s="44"/>
      <c r="U851" s="83" t="str">
        <f>IF(records[Type]="Room",records[roomNo],records[roomNo]&amp;"-"&amp;SUBSTITUTE(RIGHT(records[roomNo]&amp;records[Type],2),"-",""))</f>
        <v>12-3-053</v>
      </c>
      <c r="V851" s="47" t="str">
        <f t="array" ref="V851">_xlfn.XLOOKUP(records[ID], dAir[roomNo], dAir[roomName])</f>
        <v>MLT 2</v>
      </c>
      <c r="W851" s="47" t="str">
        <f t="array" ref="W851">_xlfn.XLOOKUP(records[ID], dAir[roomNo], dAir[building])</f>
        <v>Building 12</v>
      </c>
      <c r="X851" s="47" t="str">
        <f t="array" ref="X851">_xlfn.XLOOKUP(records[ID], dAir[roomNo], dAir[floor])</f>
        <v>Floor 3</v>
      </c>
      <c r="Y851" s="45" t="str">
        <f t="array" ref="Y851">_xlfn.XLOOKUP(records[ID], dAir[roomNo], dAir[Class])</f>
        <v>D</v>
      </c>
      <c r="Z851" s="45">
        <f t="array" ref="Z851">_xlfn.XLOOKUP(records[Method]&amp;"-"&amp;records[Class], dAirSpec[ID], dAirSpec[Spec])</f>
        <v>100</v>
      </c>
      <c r="AA851" s="45" t="str">
        <f t="array" ref="AA851">_xlfn.XLOOKUP(records[Method]&amp;"-"&amp;records[Class], dAirSpec[ID], dAirSpec[Unit])</f>
        <v>cfu/plate</v>
      </c>
      <c r="AB851" s="58">
        <f t="array" ref="AB851">if(S851="","", if(records[Method]="Active Air",_xlfn.xlookup(records[ColonyCount]&amp;records[AirSampler],feller[code],feller[Vc]),records[ColonyCount]))</f>
        <v>0</v>
      </c>
      <c r="AC851" s="60" t="b">
        <f t="shared" si="1"/>
        <v>1</v>
      </c>
      <c r="AD851" s="61" t="b">
        <v>0</v>
      </c>
      <c r="AE851" s="32"/>
      <c r="AF851" s="46"/>
      <c r="AG851" s="46"/>
      <c r="AH851" s="46"/>
      <c r="AI851" s="46"/>
      <c r="AJ851" s="46"/>
    </row>
    <row r="852" ht="22.5" customHeight="1">
      <c r="A852" s="27">
        <v>46264.0</v>
      </c>
      <c r="B852" s="34" t="str">
        <f t="array" ref="B852">TEXT(A852, "MM-YYYY")</f>
        <v>08-2026</v>
      </c>
      <c r="C852" s="248" t="s">
        <v>814</v>
      </c>
      <c r="D852" s="256" t="s">
        <v>210</v>
      </c>
      <c r="E852" s="258" t="s">
        <v>531</v>
      </c>
      <c r="F852" s="37" t="s">
        <v>155</v>
      </c>
      <c r="G852" s="263" t="b">
        <v>1</v>
      </c>
      <c r="H852" s="36" t="s">
        <v>214</v>
      </c>
      <c r="I852" s="36" t="s">
        <v>534</v>
      </c>
      <c r="J852" s="297" t="s">
        <v>1792</v>
      </c>
      <c r="K852" s="298">
        <v>46472.0</v>
      </c>
      <c r="L852" s="187" t="s">
        <v>194</v>
      </c>
      <c r="M852" s="187" t="s">
        <v>194</v>
      </c>
      <c r="N852" s="187" t="s">
        <v>194</v>
      </c>
      <c r="O852" s="187" t="s">
        <v>194</v>
      </c>
      <c r="P852" s="37" t="s">
        <v>692</v>
      </c>
      <c r="Q852" s="37" t="s">
        <v>693</v>
      </c>
      <c r="R852" s="41">
        <v>46306.0</v>
      </c>
      <c r="S852" s="42">
        <v>0.0</v>
      </c>
      <c r="T852" s="44"/>
      <c r="U852" s="83" t="str">
        <f>IF(records[Type]="Room",records[roomNo],records[roomNo]&amp;"-"&amp;SUBSTITUTE(RIGHT(records[roomNo]&amp;records[Type],2),"-",""))</f>
        <v>12-3-053-BSC</v>
      </c>
      <c r="V852" s="47" t="str">
        <f t="array" ref="V852">_xlfn.XLOOKUP(records[ID], dAir[roomNo], dAir[roomName])</f>
        <v>MLT 2</v>
      </c>
      <c r="W852" s="47" t="str">
        <f t="array" ref="W852">_xlfn.XLOOKUP(records[ID], dAir[roomNo], dAir[building])</f>
        <v>Building 12</v>
      </c>
      <c r="X852" s="47" t="str">
        <f t="array" ref="X852">_xlfn.XLOOKUP(records[ID], dAir[roomNo], dAir[floor])</f>
        <v>Floor 3</v>
      </c>
      <c r="Y852" s="45" t="str">
        <f t="array" ref="Y852">_xlfn.XLOOKUP(records[ID], dAir[roomNo], dAir[Class])</f>
        <v>A</v>
      </c>
      <c r="Z852" s="45">
        <f t="array" ref="Z852">_xlfn.XLOOKUP(records[Method]&amp;"-"&amp;records[Class], dAirSpec[ID], dAirSpec[Spec])</f>
        <v>0</v>
      </c>
      <c r="AA852" s="45" t="str">
        <f t="array" ref="AA852">_xlfn.XLOOKUP(records[Method]&amp;"-"&amp;records[Class], dAirSpec[ID], dAirSpec[Unit])</f>
        <v>cfu/m3</v>
      </c>
      <c r="AB852" s="45">
        <f t="array" ref="AB852">if(S852="","", if(records[Method]="Active Air",_xlfn.xlookup(records[ColonyCount]&amp;records[AirSampler],feller[code],feller[Vc]),records[ColonyCount]))</f>
        <v>0</v>
      </c>
      <c r="AC852" s="60" t="b">
        <f t="shared" si="1"/>
        <v>1</v>
      </c>
      <c r="AD852" s="61" t="b">
        <v>0</v>
      </c>
      <c r="AE852" s="32" t="s">
        <v>280</v>
      </c>
      <c r="AF852" s="46"/>
      <c r="AG852" s="46"/>
      <c r="AH852" s="46"/>
      <c r="AI852" s="46"/>
      <c r="AJ852" s="46"/>
    </row>
    <row r="853" ht="22.5" customHeight="1">
      <c r="A853" s="27">
        <v>46264.0</v>
      </c>
      <c r="B853" s="34" t="str">
        <f t="array" ref="B853">TEXT(A853, "MM-YYYY")</f>
        <v>08-2026</v>
      </c>
      <c r="C853" s="241" t="s">
        <v>821</v>
      </c>
      <c r="D853" s="254" t="s">
        <v>210</v>
      </c>
      <c r="E853" s="255" t="s">
        <v>213</v>
      </c>
      <c r="F853" s="37"/>
      <c r="G853" s="263" t="b">
        <v>0</v>
      </c>
      <c r="H853" s="36" t="s">
        <v>214</v>
      </c>
      <c r="I853" s="36" t="s">
        <v>215</v>
      </c>
      <c r="J853" s="295"/>
      <c r="K853" s="296"/>
      <c r="L853" s="187" t="s">
        <v>194</v>
      </c>
      <c r="M853" s="187" t="s">
        <v>194</v>
      </c>
      <c r="N853" s="187" t="s">
        <v>194</v>
      </c>
      <c r="O853" s="187" t="s">
        <v>194</v>
      </c>
      <c r="P853" s="37" t="s">
        <v>692</v>
      </c>
      <c r="Q853" s="37" t="s">
        <v>693</v>
      </c>
      <c r="R853" s="41">
        <v>46306.0</v>
      </c>
      <c r="S853" s="42">
        <v>2.0</v>
      </c>
      <c r="T853" s="44"/>
      <c r="U853" s="47" t="str">
        <f>IF(records[Type]="Room",records[roomNo],records[roomNo]&amp;"-"&amp;SUBSTITUTE(RIGHT(records[roomNo]&amp;records[Type],2),"-",""))</f>
        <v>12-3-054</v>
      </c>
      <c r="V853" s="47" t="str">
        <f t="array" ref="V853">_xlfn.XLOOKUP(records[ID], dAir[roomNo], dAir[roomName])</f>
        <v>MLT 3</v>
      </c>
      <c r="W853" s="47" t="str">
        <f t="array" ref="W853">_xlfn.XLOOKUP(records[ID], dAir[roomNo], dAir[building])</f>
        <v>Building 12</v>
      </c>
      <c r="X853" s="47" t="str">
        <f t="array" ref="X853">_xlfn.XLOOKUP(records[ID], dAir[roomNo], dAir[floor])</f>
        <v>Floor 3</v>
      </c>
      <c r="Y853" s="45" t="str">
        <f t="array" ref="Y853">_xlfn.XLOOKUP(records[ID], dAir[roomNo], dAir[Class])</f>
        <v>D</v>
      </c>
      <c r="Z853" s="45">
        <f t="array" ref="Z853">_xlfn.XLOOKUP(records[Method]&amp;"-"&amp;records[Class], dAirSpec[ID], dAirSpec[Spec])</f>
        <v>100</v>
      </c>
      <c r="AA853" s="45" t="str">
        <f t="array" ref="AA853">_xlfn.XLOOKUP(records[Method]&amp;"-"&amp;records[Class], dAirSpec[ID], dAirSpec[Unit])</f>
        <v>cfu/plate</v>
      </c>
      <c r="AB853" s="58">
        <f t="array" ref="AB853">if(S853="","", if(records[Method]="Active Air",_xlfn.xlookup(records[ColonyCount]&amp;records[AirSampler],feller[code],feller[Vc]),records[ColonyCount]))</f>
        <v>2</v>
      </c>
      <c r="AC853" s="60" t="b">
        <f t="shared" si="1"/>
        <v>1</v>
      </c>
      <c r="AD853" s="61" t="b">
        <v>0</v>
      </c>
      <c r="AE853" s="32"/>
      <c r="AF853" s="46"/>
      <c r="AG853" s="46"/>
      <c r="AH853" s="46"/>
      <c r="AI853" s="46"/>
      <c r="AJ853" s="46"/>
    </row>
    <row r="854" ht="22.5" customHeight="1">
      <c r="A854" s="27">
        <v>46264.0</v>
      </c>
      <c r="B854" s="34" t="str">
        <f t="array" ref="B854">TEXT(A854, "MM-YYYY")</f>
        <v>08-2026</v>
      </c>
      <c r="C854" s="244" t="s">
        <v>825</v>
      </c>
      <c r="D854" s="256" t="s">
        <v>210</v>
      </c>
      <c r="E854" s="258" t="s">
        <v>531</v>
      </c>
      <c r="F854" s="37" t="s">
        <v>155</v>
      </c>
      <c r="G854" s="263" t="b">
        <v>1</v>
      </c>
      <c r="H854" s="36" t="s">
        <v>214</v>
      </c>
      <c r="I854" s="36" t="s">
        <v>534</v>
      </c>
      <c r="J854" s="297" t="s">
        <v>1792</v>
      </c>
      <c r="K854" s="298">
        <v>46472.0</v>
      </c>
      <c r="L854" s="187" t="s">
        <v>194</v>
      </c>
      <c r="M854" s="187" t="s">
        <v>194</v>
      </c>
      <c r="N854" s="187" t="s">
        <v>194</v>
      </c>
      <c r="O854" s="187" t="s">
        <v>194</v>
      </c>
      <c r="P854" s="37" t="s">
        <v>692</v>
      </c>
      <c r="Q854" s="37" t="s">
        <v>693</v>
      </c>
      <c r="R854" s="41">
        <v>46306.0</v>
      </c>
      <c r="S854" s="42">
        <v>0.0</v>
      </c>
      <c r="T854" s="44"/>
      <c r="U854" s="47" t="str">
        <f>IF(records[Type]="Room",records[roomNo],records[roomNo]&amp;"-"&amp;SUBSTITUTE(RIGHT(records[roomNo]&amp;records[Type],2),"-",""))</f>
        <v>12-3-054-BSC</v>
      </c>
      <c r="V854" s="47" t="str">
        <f t="array" ref="V854">_xlfn.XLOOKUP(records[ID], dAir[roomNo], dAir[roomName])</f>
        <v>MLT 3</v>
      </c>
      <c r="W854" s="47" t="str">
        <f t="array" ref="W854">_xlfn.XLOOKUP(records[ID], dAir[roomNo], dAir[building])</f>
        <v>Building 12</v>
      </c>
      <c r="X854" s="47" t="str">
        <f t="array" ref="X854">_xlfn.XLOOKUP(records[ID], dAir[roomNo], dAir[floor])</f>
        <v>Floor 3</v>
      </c>
      <c r="Y854" s="45" t="str">
        <f t="array" ref="Y854">_xlfn.XLOOKUP(records[ID], dAir[roomNo], dAir[Class])</f>
        <v>A</v>
      </c>
      <c r="Z854" s="45">
        <f t="array" ref="Z854">_xlfn.XLOOKUP(records[Method]&amp;"-"&amp;records[Class], dAirSpec[ID], dAirSpec[Spec])</f>
        <v>0</v>
      </c>
      <c r="AA854" s="45" t="str">
        <f t="array" ref="AA854">_xlfn.XLOOKUP(records[Method]&amp;"-"&amp;records[Class], dAirSpec[ID], dAirSpec[Unit])</f>
        <v>cfu/m3</v>
      </c>
      <c r="AB854" s="45">
        <f t="array" ref="AB854">if(S854="","", if(records[Method]="Active Air",_xlfn.xlookup(records[ColonyCount]&amp;records[AirSampler],feller[code],feller[Vc]),records[ColonyCount]))</f>
        <v>0</v>
      </c>
      <c r="AC854" s="60" t="b">
        <f t="shared" si="1"/>
        <v>1</v>
      </c>
      <c r="AD854" s="61" t="b">
        <v>0</v>
      </c>
      <c r="AE854" s="32" t="s">
        <v>280</v>
      </c>
      <c r="AF854" s="46"/>
      <c r="AG854" s="46"/>
      <c r="AH854" s="46"/>
      <c r="AI854" s="46"/>
      <c r="AJ854" s="46"/>
    </row>
    <row r="855" ht="22.5" customHeight="1">
      <c r="A855" s="27">
        <v>46264.0</v>
      </c>
      <c r="B855" s="34" t="str">
        <f t="array" ref="B855">TEXT(A855, "MM-YYYY")</f>
        <v>08-2026</v>
      </c>
      <c r="C855" s="241" t="s">
        <v>831</v>
      </c>
      <c r="D855" s="254" t="s">
        <v>210</v>
      </c>
      <c r="E855" s="255" t="s">
        <v>213</v>
      </c>
      <c r="F855" s="37"/>
      <c r="G855" s="263" t="b">
        <v>0</v>
      </c>
      <c r="H855" s="36" t="s">
        <v>214</v>
      </c>
      <c r="I855" s="36" t="s">
        <v>215</v>
      </c>
      <c r="J855" s="214"/>
      <c r="K855" s="215"/>
      <c r="L855" s="187" t="s">
        <v>194</v>
      </c>
      <c r="M855" s="187" t="s">
        <v>194</v>
      </c>
      <c r="N855" s="187" t="s">
        <v>194</v>
      </c>
      <c r="O855" s="187" t="s">
        <v>194</v>
      </c>
      <c r="P855" s="37" t="s">
        <v>692</v>
      </c>
      <c r="Q855" s="37" t="s">
        <v>693</v>
      </c>
      <c r="R855" s="41">
        <v>46306.0</v>
      </c>
      <c r="S855" s="42">
        <v>0.0</v>
      </c>
      <c r="T855" s="44"/>
      <c r="U855" s="47" t="str">
        <f>IF(records[Type]="Room",records[roomNo],records[roomNo]&amp;"-"&amp;SUBSTITUTE(RIGHT(records[roomNo]&amp;records[Type],2),"-",""))</f>
        <v>12-3-055</v>
      </c>
      <c r="V855" s="47" t="str">
        <f t="array" ref="V855">_xlfn.XLOOKUP(records[ID], dAir[roomNo], dAir[roomName])</f>
        <v>SPARE ROOM</v>
      </c>
      <c r="W855" s="47" t="str">
        <f t="array" ref="W855">_xlfn.XLOOKUP(records[ID], dAir[roomNo], dAir[building])</f>
        <v>Building 12</v>
      </c>
      <c r="X855" s="47" t="str">
        <f t="array" ref="X855">_xlfn.XLOOKUP(records[ID], dAir[roomNo], dAir[floor])</f>
        <v>Floor 3</v>
      </c>
      <c r="Y855" s="45" t="str">
        <f t="array" ref="Y855">_xlfn.XLOOKUP(records[ID], dAir[roomNo], dAir[Class])</f>
        <v>D</v>
      </c>
      <c r="Z855" s="45">
        <f t="array" ref="Z855">_xlfn.XLOOKUP(records[Method]&amp;"-"&amp;records[Class], dAirSpec[ID], dAirSpec[Spec])</f>
        <v>100</v>
      </c>
      <c r="AA855" s="45" t="str">
        <f t="array" ref="AA855">_xlfn.XLOOKUP(records[Method]&amp;"-"&amp;records[Class], dAirSpec[ID], dAirSpec[Unit])</f>
        <v>cfu/plate</v>
      </c>
      <c r="AB855" s="58">
        <f t="array" ref="AB855">if(S855="","", if(records[Method]="Active Air",_xlfn.xlookup(records[ColonyCount]&amp;records[AirSampler],feller[code],feller[Vc]),records[ColonyCount]))</f>
        <v>0</v>
      </c>
      <c r="AC855" s="60" t="b">
        <f t="shared" si="1"/>
        <v>1</v>
      </c>
      <c r="AD855" s="61" t="b">
        <v>0</v>
      </c>
      <c r="AE855" s="32"/>
      <c r="AF855" s="46"/>
      <c r="AG855" s="46"/>
      <c r="AH855" s="46"/>
      <c r="AI855" s="46"/>
      <c r="AJ855" s="46"/>
    </row>
    <row r="856" ht="22.5" customHeight="1">
      <c r="A856" s="27">
        <v>46264.0</v>
      </c>
      <c r="B856" s="34" t="str">
        <f t="array" ref="B856">TEXT(A856, "MM-YYYY")</f>
        <v>08-2026</v>
      </c>
      <c r="C856" s="244" t="s">
        <v>831</v>
      </c>
      <c r="D856" s="259" t="s">
        <v>1350</v>
      </c>
      <c r="E856" s="257" t="s">
        <v>213</v>
      </c>
      <c r="F856" s="37"/>
      <c r="G856" s="263" t="b">
        <v>0</v>
      </c>
      <c r="H856" s="36" t="s">
        <v>214</v>
      </c>
      <c r="I856" s="36" t="s">
        <v>215</v>
      </c>
      <c r="J856" s="214"/>
      <c r="K856" s="215"/>
      <c r="L856" s="187" t="s">
        <v>194</v>
      </c>
      <c r="M856" s="187" t="s">
        <v>194</v>
      </c>
      <c r="N856" s="187" t="s">
        <v>194</v>
      </c>
      <c r="O856" s="187" t="s">
        <v>194</v>
      </c>
      <c r="P856" s="37" t="s">
        <v>692</v>
      </c>
      <c r="Q856" s="37" t="s">
        <v>693</v>
      </c>
      <c r="R856" s="41">
        <v>46306.0</v>
      </c>
      <c r="S856" s="42">
        <v>0.0</v>
      </c>
      <c r="T856" s="44"/>
      <c r="U856" s="45" t="str">
        <f>IF(records[Type]="Room",records[roomNo],records[roomNo]&amp;"-"&amp;SUBSTITUTE(RIGHT(records[roomNo]&amp;records[Type],2),"-",""))</f>
        <v>12-3-055-PB</v>
      </c>
      <c r="V856" s="47" t="str">
        <f t="array" ref="V856">_xlfn.XLOOKUP(records[ID], dAir[roomNo], dAir[roomName])</f>
        <v>#N/A</v>
      </c>
      <c r="W856" s="47" t="str">
        <f t="array" ref="W856">_xlfn.XLOOKUP(records[ID], dAir[roomNo], dAir[building])</f>
        <v>#N/A</v>
      </c>
      <c r="X856" s="47" t="str">
        <f t="array" ref="X856">_xlfn.XLOOKUP(records[ID], dAir[roomNo], dAir[floor])</f>
        <v>#N/A</v>
      </c>
      <c r="Y856" s="45" t="str">
        <f t="array" ref="Y856">_xlfn.XLOOKUP(records[ID], dAir[roomNo], dAir[Class])</f>
        <v>#N/A</v>
      </c>
      <c r="Z856" s="45" t="str">
        <f t="array" ref="Z856">_xlfn.XLOOKUP(records[Method]&amp;"-"&amp;records[Class], dAirSpec[ID], dAirSpec[Spec])</f>
        <v>#N/A</v>
      </c>
      <c r="AA856" s="45" t="str">
        <f t="array" ref="AA856">_xlfn.XLOOKUP(records[Method]&amp;"-"&amp;records[Class], dAirSpec[ID], dAirSpec[Unit])</f>
        <v>#N/A</v>
      </c>
      <c r="AB856" s="58">
        <f t="array" ref="AB856">if(S856="","", if(records[Method]="Active Air",_xlfn.xlookup(records[ColonyCount]&amp;records[AirSampler],feller[code],feller[Vc]),records[ColonyCount]))</f>
        <v>0</v>
      </c>
      <c r="AC856" s="60" t="str">
        <f t="shared" si="1"/>
        <v>#N/A</v>
      </c>
      <c r="AD856" s="61" t="b">
        <v>0</v>
      </c>
      <c r="AE856" s="32"/>
      <c r="AF856" s="46"/>
      <c r="AG856" s="46"/>
      <c r="AH856" s="46"/>
      <c r="AI856" s="46"/>
      <c r="AJ856" s="46"/>
    </row>
    <row r="857" ht="22.5" customHeight="1">
      <c r="A857" s="27">
        <v>46265.0</v>
      </c>
      <c r="B857" s="34" t="str">
        <f t="array" ref="B857">TEXT(A857, "MM-YYYY")</f>
        <v>08-2026</v>
      </c>
      <c r="C857" s="39" t="s">
        <v>753</v>
      </c>
      <c r="D857" s="36" t="s">
        <v>755</v>
      </c>
      <c r="E857" s="225" t="s">
        <v>531</v>
      </c>
      <c r="F857" s="37" t="s">
        <v>157</v>
      </c>
      <c r="G857" s="263" t="b">
        <v>1</v>
      </c>
      <c r="H857" s="36" t="s">
        <v>214</v>
      </c>
      <c r="I857" s="36" t="s">
        <v>534</v>
      </c>
      <c r="J857" s="185" t="s">
        <v>1792</v>
      </c>
      <c r="K857" s="186">
        <v>46472.0</v>
      </c>
      <c r="L857" s="292" t="s">
        <v>452</v>
      </c>
      <c r="M857" s="292" t="s">
        <v>2507</v>
      </c>
      <c r="N857" s="187" t="s">
        <v>194</v>
      </c>
      <c r="O857" s="187" t="s">
        <v>194</v>
      </c>
      <c r="P857" s="37" t="s">
        <v>692</v>
      </c>
      <c r="Q857" s="37" t="s">
        <v>693</v>
      </c>
      <c r="R857" s="41">
        <v>46306.0</v>
      </c>
      <c r="S857" s="42"/>
      <c r="T857" s="44"/>
      <c r="U857" s="45" t="str">
        <f>IF(records[Type]="Room",records[roomNo],records[roomNo]&amp;"-"&amp;SUBSTITUTE(RIGHT(records[roomNo]&amp;records[Type],2),"-",""))</f>
        <v>16-1-075-M</v>
      </c>
      <c r="V857" s="47" t="str">
        <f t="array" ref="V857">_xlfn.XLOOKUP(records[ID], dAir[roomNo], dAir[roomName])</f>
        <v>VIALS CAPPING (Machine)</v>
      </c>
      <c r="W857" s="47" t="str">
        <f t="array" ref="W857">_xlfn.XLOOKUP(records[ID], dAir[roomNo], dAir[building])</f>
        <v>Building 16</v>
      </c>
      <c r="X857" s="47" t="str">
        <f t="array" ref="X857">_xlfn.XLOOKUP(records[ID], dAir[roomNo], dAir[floor])</f>
        <v>Floor 1</v>
      </c>
      <c r="Y857" s="45" t="str">
        <f t="array" ref="Y857">_xlfn.XLOOKUP(records[ID], dAir[roomNo], dAir[Class])</f>
        <v>A</v>
      </c>
      <c r="Z857" s="45">
        <f t="array" ref="Z857">_xlfn.XLOOKUP(records[Method]&amp;"-"&amp;records[Class], dAirSpec[ID], dAirSpec[Spec])</f>
        <v>0</v>
      </c>
      <c r="AA857" s="45" t="str">
        <f t="array" ref="AA857">_xlfn.XLOOKUP(records[Method]&amp;"-"&amp;records[Class], dAirSpec[ID], dAirSpec[Unit])</f>
        <v>cfu/m3</v>
      </c>
      <c r="AB857" s="45" t="str">
        <f t="array" ref="AB857">if(S857="","", if(records[Method]="Active Air",_xlfn.xlookup(records[ColonyCount]&amp;records[AirSampler],feller[code],feller[Vc]),records[ColonyCount]))</f>
        <v/>
      </c>
      <c r="AC857" s="60" t="b">
        <f t="shared" si="1"/>
        <v>0</v>
      </c>
      <c r="AD857" s="61" t="b">
        <v>0</v>
      </c>
      <c r="AE857" s="32" t="s">
        <v>235</v>
      </c>
      <c r="AF857" s="46"/>
      <c r="AG857" s="46"/>
      <c r="AH857" s="46"/>
      <c r="AI857" s="46"/>
      <c r="AJ857" s="46"/>
    </row>
    <row r="858" ht="22.5" customHeight="1">
      <c r="A858" s="27">
        <v>46265.0</v>
      </c>
      <c r="B858" s="34" t="str">
        <f t="array" ref="B858">TEXT(A858, "MM-YYYY")</f>
        <v>08-2026</v>
      </c>
      <c r="C858" s="39" t="s">
        <v>765</v>
      </c>
      <c r="D858" s="36" t="s">
        <v>755</v>
      </c>
      <c r="E858" s="225" t="s">
        <v>531</v>
      </c>
      <c r="F858" s="37" t="s">
        <v>157</v>
      </c>
      <c r="G858" s="263" t="b">
        <v>1</v>
      </c>
      <c r="H858" s="36" t="s">
        <v>214</v>
      </c>
      <c r="I858" s="36" t="s">
        <v>534</v>
      </c>
      <c r="J858" s="185" t="s">
        <v>1792</v>
      </c>
      <c r="K858" s="186">
        <v>46472.0</v>
      </c>
      <c r="L858" s="292" t="s">
        <v>310</v>
      </c>
      <c r="M858" s="292" t="s">
        <v>526</v>
      </c>
      <c r="N858" s="187" t="s">
        <v>194</v>
      </c>
      <c r="O858" s="187" t="s">
        <v>194</v>
      </c>
      <c r="P858" s="37" t="s">
        <v>692</v>
      </c>
      <c r="Q858" s="37" t="s">
        <v>693</v>
      </c>
      <c r="R858" s="41">
        <v>46306.0</v>
      </c>
      <c r="S858" s="42"/>
      <c r="T858" s="44"/>
      <c r="U858" s="45" t="str">
        <f>IF(records[Type]="Room",records[roomNo],records[roomNo]&amp;"-"&amp;SUBSTITUTE(RIGHT(records[roomNo]&amp;records[Type],2),"-",""))</f>
        <v>16-1-076-M</v>
      </c>
      <c r="V858" s="47" t="str">
        <f t="array" ref="V858">_xlfn.XLOOKUP(records[ID], dAir[roomNo], dAir[roomName])</f>
        <v>FILLING 2 (Machine)</v>
      </c>
      <c r="W858" s="47" t="str">
        <f t="array" ref="W858">_xlfn.XLOOKUP(records[ID], dAir[roomNo], dAir[building])</f>
        <v>Building 16</v>
      </c>
      <c r="X858" s="47" t="str">
        <f t="array" ref="X858">_xlfn.XLOOKUP(records[ID], dAir[roomNo], dAir[floor])</f>
        <v>Floor 1</v>
      </c>
      <c r="Y858" s="45" t="str">
        <f t="array" ref="Y858">_xlfn.XLOOKUP(records[ID], dAir[roomNo], dAir[Class])</f>
        <v>A</v>
      </c>
      <c r="Z858" s="45">
        <f t="array" ref="Z858">_xlfn.XLOOKUP(records[Method]&amp;"-"&amp;records[Class], dAirSpec[ID], dAirSpec[Spec])</f>
        <v>0</v>
      </c>
      <c r="AA858" s="45" t="str">
        <f t="array" ref="AA858">_xlfn.XLOOKUP(records[Method]&amp;"-"&amp;records[Class], dAirSpec[ID], dAirSpec[Unit])</f>
        <v>cfu/m3</v>
      </c>
      <c r="AB858" s="45" t="str">
        <f t="array" ref="AB858">if(S858="","", if(records[Method]="Active Air",_xlfn.xlookup(records[ColonyCount]&amp;records[AirSampler],feller[code],feller[Vc]),records[ColonyCount]))</f>
        <v/>
      </c>
      <c r="AC858" s="60" t="b">
        <f t="shared" si="1"/>
        <v>0</v>
      </c>
      <c r="AD858" s="61" t="b">
        <v>0</v>
      </c>
      <c r="AE858" s="32" t="s">
        <v>235</v>
      </c>
      <c r="AF858" s="46"/>
      <c r="AG858" s="46"/>
      <c r="AH858" s="46"/>
      <c r="AI858" s="46"/>
      <c r="AJ858" s="46"/>
    </row>
    <row r="859" ht="22.5" customHeight="1">
      <c r="A859" s="27">
        <v>46265.0</v>
      </c>
      <c r="B859" s="34" t="str">
        <f t="array" ref="B859">TEXT(A859, "MM-YYYY")</f>
        <v>08-2026</v>
      </c>
      <c r="C859" s="39" t="s">
        <v>765</v>
      </c>
      <c r="D859" s="36" t="s">
        <v>770</v>
      </c>
      <c r="E859" s="225" t="s">
        <v>531</v>
      </c>
      <c r="F859" s="37" t="s">
        <v>157</v>
      </c>
      <c r="G859" s="263" t="b">
        <v>1</v>
      </c>
      <c r="H859" s="36" t="s">
        <v>214</v>
      </c>
      <c r="I859" s="36" t="s">
        <v>534</v>
      </c>
      <c r="J859" s="185" t="s">
        <v>1792</v>
      </c>
      <c r="K859" s="186">
        <v>46472.0</v>
      </c>
      <c r="L859" s="292" t="s">
        <v>310</v>
      </c>
      <c r="M859" s="292" t="s">
        <v>526</v>
      </c>
      <c r="N859" s="187" t="s">
        <v>194</v>
      </c>
      <c r="O859" s="187" t="s">
        <v>194</v>
      </c>
      <c r="P859" s="37" t="s">
        <v>692</v>
      </c>
      <c r="Q859" s="37" t="s">
        <v>693</v>
      </c>
      <c r="R859" s="41">
        <v>46306.0</v>
      </c>
      <c r="S859" s="42"/>
      <c r="T859" s="44"/>
      <c r="U859" s="45" t="str">
        <f>IF(records[Type]="Room",records[roomNo],records[roomNo]&amp;"-"&amp;SUBSTITUTE(RIGHT(records[roomNo]&amp;records[Type],2),"-",""))</f>
        <v>16-1-076-L</v>
      </c>
      <c r="V859" s="47" t="str">
        <f t="array" ref="V859">_xlfn.XLOOKUP(records[ID], dAir[roomNo], dAir[roomName])</f>
        <v>FILLING 2 (Laminar)</v>
      </c>
      <c r="W859" s="47" t="str">
        <f t="array" ref="W859">_xlfn.XLOOKUP(records[ID], dAir[roomNo], dAir[building])</f>
        <v>Building 16</v>
      </c>
      <c r="X859" s="47" t="str">
        <f t="array" ref="X859">_xlfn.XLOOKUP(records[ID], dAir[roomNo], dAir[floor])</f>
        <v>Floor 1</v>
      </c>
      <c r="Y859" s="45" t="str">
        <f t="array" ref="Y859">_xlfn.XLOOKUP(records[ID], dAir[roomNo], dAir[Class])</f>
        <v>A</v>
      </c>
      <c r="Z859" s="45">
        <f t="array" ref="Z859">_xlfn.XLOOKUP(records[Method]&amp;"-"&amp;records[Class], dAirSpec[ID], dAirSpec[Spec])</f>
        <v>0</v>
      </c>
      <c r="AA859" s="45" t="str">
        <f t="array" ref="AA859">_xlfn.XLOOKUP(records[Method]&amp;"-"&amp;records[Class], dAirSpec[ID], dAirSpec[Unit])</f>
        <v>cfu/m3</v>
      </c>
      <c r="AB859" s="45" t="str">
        <f t="array" ref="AB859">if(S859="","", if(records[Method]="Active Air",_xlfn.xlookup(records[ColonyCount]&amp;records[AirSampler],feller[code],feller[Vc]),records[ColonyCount]))</f>
        <v/>
      </c>
      <c r="AC859" s="60" t="b">
        <f t="shared" si="1"/>
        <v>0</v>
      </c>
      <c r="AD859" s="61" t="b">
        <v>0</v>
      </c>
      <c r="AE859" s="32" t="s">
        <v>235</v>
      </c>
      <c r="AF859" s="46"/>
      <c r="AG859" s="46"/>
      <c r="AH859" s="46"/>
      <c r="AI859" s="46"/>
      <c r="AJ859" s="46"/>
    </row>
    <row r="860" ht="22.5" customHeight="1">
      <c r="A860" s="27">
        <v>46265.0</v>
      </c>
      <c r="B860" s="34" t="str">
        <f t="array" ref="B860">TEXT(A860, "MM-YYYY")</f>
        <v>08-2026</v>
      </c>
      <c r="C860" s="39" t="s">
        <v>774</v>
      </c>
      <c r="D860" s="36" t="s">
        <v>755</v>
      </c>
      <c r="E860" s="225" t="s">
        <v>531</v>
      </c>
      <c r="F860" s="37" t="s">
        <v>157</v>
      </c>
      <c r="G860" s="263" t="b">
        <v>1</v>
      </c>
      <c r="H860" s="36" t="s">
        <v>214</v>
      </c>
      <c r="I860" s="36" t="s">
        <v>534</v>
      </c>
      <c r="J860" s="185" t="s">
        <v>1792</v>
      </c>
      <c r="K860" s="186">
        <v>46472.0</v>
      </c>
      <c r="L860" s="292" t="s">
        <v>292</v>
      </c>
      <c r="M860" s="292" t="s">
        <v>1787</v>
      </c>
      <c r="N860" s="187" t="s">
        <v>194</v>
      </c>
      <c r="O860" s="187" t="s">
        <v>194</v>
      </c>
      <c r="P860" s="37" t="s">
        <v>692</v>
      </c>
      <c r="Q860" s="37" t="s">
        <v>693</v>
      </c>
      <c r="R860" s="41">
        <v>46306.0</v>
      </c>
      <c r="S860" s="42"/>
      <c r="T860" s="44"/>
      <c r="U860" s="45" t="str">
        <f>IF(records[Type]="Room",records[roomNo],records[roomNo]&amp;"-"&amp;SUBSTITUTE(RIGHT(records[roomNo]&amp;records[Type],2),"-",""))</f>
        <v>16-1-084-M</v>
      </c>
      <c r="V860" s="47" t="str">
        <f t="array" ref="V860">_xlfn.XLOOKUP(records[ID], dAir[roomNo], dAir[roomName])</f>
        <v>FILLING 1 (Machine)</v>
      </c>
      <c r="W860" s="47" t="str">
        <f t="array" ref="W860">_xlfn.XLOOKUP(records[ID], dAir[roomNo], dAir[building])</f>
        <v>Building 16</v>
      </c>
      <c r="X860" s="47" t="str">
        <f t="array" ref="X860">_xlfn.XLOOKUP(records[ID], dAir[roomNo], dAir[floor])</f>
        <v>Floor 1</v>
      </c>
      <c r="Y860" s="45" t="str">
        <f t="array" ref="Y860">_xlfn.XLOOKUP(records[ID], dAir[roomNo], dAir[Class])</f>
        <v>A</v>
      </c>
      <c r="Z860" s="45">
        <f t="array" ref="Z860">_xlfn.XLOOKUP(records[Method]&amp;"-"&amp;records[Class], dAirSpec[ID], dAirSpec[Spec])</f>
        <v>0</v>
      </c>
      <c r="AA860" s="45" t="str">
        <f t="array" ref="AA860">_xlfn.XLOOKUP(records[Method]&amp;"-"&amp;records[Class], dAirSpec[ID], dAirSpec[Unit])</f>
        <v>cfu/m3</v>
      </c>
      <c r="AB860" s="45" t="str">
        <f t="array" ref="AB860">if(S860="","", if(records[Method]="Active Air",_xlfn.xlookup(records[ColonyCount]&amp;records[AirSampler],feller[code],feller[Vc]),records[ColonyCount]))</f>
        <v/>
      </c>
      <c r="AC860" s="60" t="b">
        <f t="shared" si="1"/>
        <v>0</v>
      </c>
      <c r="AD860" s="61" t="b">
        <v>0</v>
      </c>
      <c r="AE860" s="32" t="s">
        <v>235</v>
      </c>
      <c r="AF860" s="46"/>
      <c r="AG860" s="46"/>
      <c r="AH860" s="46"/>
      <c r="AI860" s="46"/>
      <c r="AJ860" s="46"/>
    </row>
    <row r="861" ht="22.5" customHeight="1">
      <c r="A861" s="27">
        <v>46265.0</v>
      </c>
      <c r="B861" s="34" t="str">
        <f t="array" ref="B861">TEXT(A861, "MM-YYYY")</f>
        <v>08-2026</v>
      </c>
      <c r="C861" s="39" t="s">
        <v>774</v>
      </c>
      <c r="D861" s="36" t="s">
        <v>770</v>
      </c>
      <c r="E861" s="225" t="s">
        <v>531</v>
      </c>
      <c r="F861" s="37" t="s">
        <v>157</v>
      </c>
      <c r="G861" s="263" t="b">
        <v>1</v>
      </c>
      <c r="H861" s="36" t="s">
        <v>214</v>
      </c>
      <c r="I861" s="36" t="s">
        <v>534</v>
      </c>
      <c r="J861" s="185" t="s">
        <v>1792</v>
      </c>
      <c r="K861" s="186">
        <v>46472.0</v>
      </c>
      <c r="L861" s="292" t="s">
        <v>292</v>
      </c>
      <c r="M861" s="292" t="s">
        <v>1787</v>
      </c>
      <c r="N861" s="187" t="s">
        <v>194</v>
      </c>
      <c r="O861" s="187" t="s">
        <v>194</v>
      </c>
      <c r="P861" s="37" t="s">
        <v>692</v>
      </c>
      <c r="Q861" s="37" t="s">
        <v>693</v>
      </c>
      <c r="R861" s="41">
        <v>46306.0</v>
      </c>
      <c r="S861" s="42"/>
      <c r="T861" s="44"/>
      <c r="U861" s="45" t="str">
        <f>IF(records[Type]="Room",records[roomNo],records[roomNo]&amp;"-"&amp;SUBSTITUTE(RIGHT(records[roomNo]&amp;records[Type],2),"-",""))</f>
        <v>16-1-084-L</v>
      </c>
      <c r="V861" s="47" t="str">
        <f t="array" ref="V861">_xlfn.XLOOKUP(records[ID], dAir[roomNo], dAir[roomName])</f>
        <v>FILLING 1 (Laminar)</v>
      </c>
      <c r="W861" s="47" t="str">
        <f t="array" ref="W861">_xlfn.XLOOKUP(records[ID], dAir[roomNo], dAir[building])</f>
        <v>Building 16</v>
      </c>
      <c r="X861" s="47" t="str">
        <f t="array" ref="X861">_xlfn.XLOOKUP(records[ID], dAir[roomNo], dAir[floor])</f>
        <v>Floor 1</v>
      </c>
      <c r="Y861" s="45" t="str">
        <f t="array" ref="Y861">_xlfn.XLOOKUP(records[ID], dAir[roomNo], dAir[Class])</f>
        <v>A</v>
      </c>
      <c r="Z861" s="45">
        <f t="array" ref="Z861">_xlfn.XLOOKUP(records[Method]&amp;"-"&amp;records[Class], dAirSpec[ID], dAirSpec[Spec])</f>
        <v>0</v>
      </c>
      <c r="AA861" s="45" t="str">
        <f t="array" ref="AA861">_xlfn.XLOOKUP(records[Method]&amp;"-"&amp;records[Class], dAirSpec[ID], dAirSpec[Unit])</f>
        <v>cfu/m3</v>
      </c>
      <c r="AB861" s="45" t="str">
        <f t="array" ref="AB861">if(S861="","", if(records[Method]="Active Air",_xlfn.xlookup(records[ColonyCount]&amp;records[AirSampler],feller[code],feller[Vc]),records[ColonyCount]))</f>
        <v/>
      </c>
      <c r="AC861" s="60" t="b">
        <f t="shared" si="1"/>
        <v>0</v>
      </c>
      <c r="AD861" s="61" t="b">
        <v>0</v>
      </c>
      <c r="AE861" s="32" t="s">
        <v>235</v>
      </c>
      <c r="AF861" s="46"/>
      <c r="AG861" s="46"/>
      <c r="AH861" s="46"/>
      <c r="AI861" s="46"/>
      <c r="AJ861" s="46"/>
    </row>
    <row r="862" ht="22.5" customHeight="1">
      <c r="A862" s="27">
        <v>46265.0</v>
      </c>
      <c r="B862" s="34" t="str">
        <f t="array" ref="B862">TEXT(A862, "MM-YYYY")</f>
        <v>08-2026</v>
      </c>
      <c r="C862" s="32" t="s">
        <v>786</v>
      </c>
      <c r="D862" s="21" t="s">
        <v>680</v>
      </c>
      <c r="E862" s="225" t="s">
        <v>531</v>
      </c>
      <c r="F862" s="37" t="s">
        <v>157</v>
      </c>
      <c r="G862" s="263" t="b">
        <v>1</v>
      </c>
      <c r="H862" s="36" t="s">
        <v>214</v>
      </c>
      <c r="I862" s="36" t="s">
        <v>534</v>
      </c>
      <c r="J862" s="185" t="s">
        <v>1792</v>
      </c>
      <c r="K862" s="186">
        <v>46472.0</v>
      </c>
      <c r="L862" s="292" t="s">
        <v>402</v>
      </c>
      <c r="M862" s="292" t="s">
        <v>331</v>
      </c>
      <c r="N862" s="187" t="s">
        <v>194</v>
      </c>
      <c r="O862" s="187" t="s">
        <v>194</v>
      </c>
      <c r="P862" s="37" t="s">
        <v>692</v>
      </c>
      <c r="Q862" s="37" t="s">
        <v>693</v>
      </c>
      <c r="R862" s="41">
        <v>46306.0</v>
      </c>
      <c r="S862" s="42"/>
      <c r="T862" s="44"/>
      <c r="U862" s="45" t="str">
        <f>IF(records[Type]="Room",records[roomNo],records[roomNo]&amp;"-"&amp;SUBSTITUTE(RIGHT(records[roomNo]&amp;records[Type],2),"-",""))</f>
        <v>16-1-102-B</v>
      </c>
      <c r="V862" s="47" t="str">
        <f t="array" ref="V862">_xlfn.XLOOKUP(records[ID], dAir[roomNo], dAir[roomName])</f>
        <v>DISPENSING (Booth)</v>
      </c>
      <c r="W862" s="47" t="str">
        <f t="array" ref="W862">_xlfn.XLOOKUP(records[ID], dAir[roomNo], dAir[building])</f>
        <v>Building 16</v>
      </c>
      <c r="X862" s="47" t="str">
        <f t="array" ref="X862">_xlfn.XLOOKUP(records[ID], dAir[roomNo], dAir[floor])</f>
        <v>Floor 1</v>
      </c>
      <c r="Y862" s="45" t="str">
        <f t="array" ref="Y862">_xlfn.XLOOKUP(records[ID], dAir[roomNo], dAir[Class])</f>
        <v>A</v>
      </c>
      <c r="Z862" s="45">
        <f t="array" ref="Z862">_xlfn.XLOOKUP(records[Method]&amp;"-"&amp;records[Class], dAirSpec[ID], dAirSpec[Spec])</f>
        <v>0</v>
      </c>
      <c r="AA862" s="45" t="str">
        <f t="array" ref="AA862">_xlfn.XLOOKUP(records[Method]&amp;"-"&amp;records[Class], dAirSpec[ID], dAirSpec[Unit])</f>
        <v>cfu/m3</v>
      </c>
      <c r="AB862" s="45" t="str">
        <f t="array" ref="AB862">if(S862="","", if(records[Method]="Active Air",_xlfn.xlookup(records[ColonyCount]&amp;records[AirSampler],feller[code],feller[Vc]),records[ColonyCount]))</f>
        <v/>
      </c>
      <c r="AC862" s="60" t="b">
        <f t="shared" si="1"/>
        <v>0</v>
      </c>
      <c r="AD862" s="61" t="b">
        <v>0</v>
      </c>
      <c r="AE862" s="32" t="s">
        <v>235</v>
      </c>
      <c r="AF862" s="46"/>
      <c r="AG862" s="46"/>
      <c r="AH862" s="46"/>
      <c r="AI862" s="46"/>
      <c r="AJ862" s="46"/>
    </row>
  </sheetData>
  <conditionalFormatting sqref="AC1:AC862">
    <cfRule type="cellIs" dxfId="13" priority="1" operator="equal">
      <formula>"FALSE"</formula>
    </cfRule>
  </conditionalFormatting>
  <conditionalFormatting sqref="F2:F688">
    <cfRule type="containsBlanks" dxfId="14" priority="2">
      <formula>LEN(TRIM(F2))=0</formula>
    </cfRule>
  </conditionalFormatting>
  <conditionalFormatting sqref="F2:F688">
    <cfRule type="notContainsBlanks" dxfId="6" priority="3">
      <formula>LEN(TRIM(F2))&gt;0</formula>
    </cfRule>
  </conditionalFormatting>
  <dataValidations>
    <dataValidation type="list" allowBlank="1" sqref="H2:H862">
      <formula1>"Routine,Re-Sampling,Special"</formula1>
    </dataValidation>
    <dataValidation type="list" allowBlank="1" sqref="E2:E862">
      <formula1>"Active Air,Settle Plate"</formula1>
    </dataValidation>
    <dataValidation type="list" allowBlank="1" sqref="I2:I862">
      <formula1>"VWR,miniCapt,MAS-100 VF,MAS-100 NT,none"</formula1>
    </dataValidation>
    <dataValidation type="list" allowBlank="1" sqref="D2:D862">
      <formula1>"Room,Booth-B,Laminar-L,Passbox-PB,Machine-M"</formula1>
    </dataValidation>
    <dataValidation type="custom" allowBlank="1" showDropDown="1" sqref="A2:A862 R2:R862">
      <formula1>OR(NOT(ISERROR(DATEVALUE(A2))), AND(ISNUMBER(A2), LEFT(CELL("format", A2))="D"))</formula1>
    </dataValidation>
    <dataValidation type="custom" allowBlank="1" showDropDown="1" sqref="S2:S862">
      <formula1>AND(ISNUMBER(S2),(NOT(OR(NOT(ISERROR(DATEVALUE(S2))), AND(ISNUMBER(S2), LEFT(CELL("format", S2))="D")))))</formula1>
    </dataValidation>
    <dataValidation allowBlank="1" showDropDown="1" sqref="C2:C862 F2:F862 L2:Q862 V2:X862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13.13"/>
    <col customWidth="1" min="2" max="2" width="12.0"/>
    <col customWidth="1" min="3" max="3" width="17.75"/>
    <col customWidth="1" min="4" max="4" width="12.0"/>
    <col customWidth="1" min="5" max="5" width="17.38"/>
    <col customWidth="1" min="6" max="6" width="19.63"/>
    <col customWidth="1" min="7" max="7" width="8.38"/>
    <col customWidth="1" min="8" max="8" width="13.0"/>
    <col customWidth="1" min="12" max="12" width="13.38"/>
    <col customWidth="1" min="13" max="13" width="15.75"/>
    <col customWidth="1" min="14" max="14" width="15.38"/>
    <col customWidth="1" min="16" max="16" width="23.0"/>
    <col customWidth="1" min="17" max="17" width="18.0"/>
    <col customWidth="1" min="19" max="19" width="15.38"/>
    <col customWidth="1" min="20" max="20" width="38.75"/>
    <col customWidth="1" min="21" max="21" width="15.25"/>
    <col customWidth="1" min="25" max="25" width="15.13"/>
  </cols>
  <sheetData>
    <row r="1" ht="22.5" customHeight="1">
      <c r="A1" s="2" t="s">
        <v>60</v>
      </c>
      <c r="B1" s="3" t="s">
        <v>72</v>
      </c>
      <c r="C1" s="3" t="s">
        <v>77</v>
      </c>
      <c r="D1" s="2" t="s">
        <v>81</v>
      </c>
      <c r="E1" s="2" t="s">
        <v>84</v>
      </c>
      <c r="F1" s="5" t="s">
        <v>0</v>
      </c>
      <c r="G1" s="6" t="s">
        <v>94</v>
      </c>
      <c r="H1" s="2" t="s">
        <v>100</v>
      </c>
      <c r="I1" s="2" t="s">
        <v>105</v>
      </c>
      <c r="J1" s="2" t="s">
        <v>110</v>
      </c>
      <c r="K1" s="2" t="s">
        <v>122</v>
      </c>
      <c r="L1" s="3" t="s">
        <v>127</v>
      </c>
      <c r="M1" s="3" t="s">
        <v>134</v>
      </c>
      <c r="N1" s="3" t="s">
        <v>142</v>
      </c>
      <c r="O1" s="2" t="s">
        <v>147</v>
      </c>
      <c r="P1" s="5" t="s">
        <v>150</v>
      </c>
      <c r="Q1" s="9" t="s">
        <v>132</v>
      </c>
      <c r="R1" s="9" t="s">
        <v>138</v>
      </c>
      <c r="S1" s="9" t="s">
        <v>145</v>
      </c>
      <c r="T1" s="2" t="s">
        <v>162</v>
      </c>
      <c r="U1" s="3" t="s">
        <v>163</v>
      </c>
      <c r="V1" s="3" t="s">
        <v>164</v>
      </c>
      <c r="W1" s="5" t="s">
        <v>167</v>
      </c>
      <c r="X1" s="5" t="s">
        <v>169</v>
      </c>
      <c r="Y1" s="5" t="s">
        <v>170</v>
      </c>
      <c r="Z1" s="15" t="s">
        <v>171</v>
      </c>
      <c r="AA1" s="16"/>
      <c r="AB1" s="16"/>
      <c r="AC1" s="16"/>
      <c r="AD1" s="16"/>
      <c r="AE1" s="16"/>
      <c r="AF1" s="16"/>
      <c r="AG1" s="16"/>
      <c r="AH1" s="16"/>
      <c r="AI1" s="16"/>
    </row>
    <row r="2" ht="22.5" customHeight="1">
      <c r="A2" s="18">
        <v>46071.0</v>
      </c>
      <c r="B2" s="20" t="str">
        <f t="shared" ref="B2:B84" si="1">TEXT(A2, "MM-YYYY")</f>
        <v>02-2026</v>
      </c>
      <c r="C2" s="21" t="s">
        <v>186</v>
      </c>
      <c r="D2" s="20" t="str">
        <f t="array" ref="D2">_xlfn.XLOOKUP(C2, dCAGass[Tag], dCAGass[Room no.])</f>
        <v>16-2-011</v>
      </c>
      <c r="E2" s="21" t="s">
        <v>191</v>
      </c>
      <c r="F2" s="20" t="s">
        <v>12</v>
      </c>
      <c r="G2" s="29" t="b">
        <v>1</v>
      </c>
      <c r="H2" s="20" t="s">
        <v>194</v>
      </c>
      <c r="I2" s="20" t="s">
        <v>194</v>
      </c>
      <c r="J2" s="20" t="s">
        <v>197</v>
      </c>
      <c r="K2" s="20" t="s">
        <v>194</v>
      </c>
      <c r="L2" s="20" t="s">
        <v>199</v>
      </c>
      <c r="M2" s="20" t="s">
        <v>201</v>
      </c>
      <c r="N2" s="30">
        <v>46057.0</v>
      </c>
      <c r="O2" s="31">
        <v>0.0</v>
      </c>
      <c r="P2" s="32" t="s">
        <v>202</v>
      </c>
      <c r="Q2" s="21" t="s">
        <v>203</v>
      </c>
      <c r="R2" s="32"/>
      <c r="S2" s="33"/>
      <c r="T2" s="35" t="str">
        <f t="array" ref="T2">_xlfn.XLOOKUP(records_CAGass[roomNo], dCAGass[Room no.], dCAGass[Room Name])</f>
        <v>TECHNICAL AREA Bld.16</v>
      </c>
      <c r="U2" s="38" t="str">
        <f t="array" ref="U2">_xlfn.XLOOKUP(records_CAGass[roomNo], dCAGass[Room no.], dCAGass[Bld])</f>
        <v>Building 16</v>
      </c>
      <c r="V2" s="38" t="str">
        <f t="array" ref="V2">if(A2="","",_xlfn.XLOOKUP(records_CAGass[roomNo], dCAGass[Room no.], dCAGass[Floor]))</f>
        <v>Floor 2</v>
      </c>
      <c r="W2" s="43">
        <f t="array" ref="W2">_xlfn.XLOOKUP(records_CAGass[roomNo], dCAGass[Room no.], dCAGass[Spec])</f>
        <v>5</v>
      </c>
      <c r="X2" s="43">
        <f t="array" ref="X2">if(O2="","",IFERROR(_xlfn.xlookup(records_CAGass[ColonyCount]&amp;records_CAGass[AirSampler],feller[code],feller[Vc]),_xlfn.xlookup(9999&amp;records_CAGass[AirSampler],feller[code],feller[Vc])))</f>
        <v>0</v>
      </c>
      <c r="Y2" s="29" t="b">
        <v>0</v>
      </c>
      <c r="Z2" s="39" t="s">
        <v>235</v>
      </c>
      <c r="AA2" s="46"/>
      <c r="AB2" s="46"/>
      <c r="AC2" s="46"/>
      <c r="AD2" s="46"/>
      <c r="AE2" s="46"/>
      <c r="AF2" s="46"/>
      <c r="AG2" s="46"/>
      <c r="AH2" s="46"/>
      <c r="AI2" s="46"/>
    </row>
    <row r="3" ht="22.5" customHeight="1">
      <c r="A3" s="27">
        <v>46071.0</v>
      </c>
      <c r="B3" s="34" t="str">
        <f t="shared" si="1"/>
        <v>02-2026</v>
      </c>
      <c r="C3" s="36" t="s">
        <v>247</v>
      </c>
      <c r="D3" s="20" t="str">
        <f t="array" ref="D3">_xlfn.XLOOKUP(C3, dCAGass[Tag], dCAGass[Room no.])</f>
        <v>16-3-071</v>
      </c>
      <c r="E3" s="36" t="s">
        <v>191</v>
      </c>
      <c r="F3" s="34" t="s">
        <v>12</v>
      </c>
      <c r="G3" s="29" t="b">
        <v>1</v>
      </c>
      <c r="H3" s="34" t="s">
        <v>252</v>
      </c>
      <c r="I3" s="34" t="s">
        <v>253</v>
      </c>
      <c r="J3" s="34" t="s">
        <v>254</v>
      </c>
      <c r="K3" s="34" t="s">
        <v>194</v>
      </c>
      <c r="L3" s="34" t="s">
        <v>199</v>
      </c>
      <c r="M3" s="34" t="s">
        <v>201</v>
      </c>
      <c r="N3" s="48">
        <v>46057.0</v>
      </c>
      <c r="O3" s="50">
        <v>1.0</v>
      </c>
      <c r="P3" s="39"/>
      <c r="Q3" s="21" t="s">
        <v>203</v>
      </c>
      <c r="R3" s="39"/>
      <c r="S3" s="43"/>
      <c r="T3" s="54" t="str">
        <f t="array" ref="T3">_xlfn.XLOOKUP(records_CAGass[roomNo], dCAGass[Room no.], dCAGass[Room Name])</f>
        <v>MFG 3</v>
      </c>
      <c r="U3" s="56" t="str">
        <f t="array" ref="U3">_xlfn.XLOOKUP(records_CAGass[roomNo], dCAGass[Room no.], dCAGass[Bld])</f>
        <v>Building 16</v>
      </c>
      <c r="V3" s="56" t="str">
        <f t="array" ref="V3">if(A3="","",_xlfn.XLOOKUP(records_CAGass[roomNo], dCAGass[Room no.], dCAGass[Floor]))</f>
        <v>Floor 3</v>
      </c>
      <c r="W3" s="43">
        <f t="array" ref="W3">_xlfn.XLOOKUP(records_CAGass[roomNo], dCAGass[Room no.], dCAGass[Spec])</f>
        <v>5</v>
      </c>
      <c r="X3" s="43">
        <f t="array" ref="X3">if(O3="","",IFERROR(_xlfn.xlookup(records_CAGass[ColonyCount]&amp;records_CAGass[AirSampler],feller[code],feller[Vc]),_xlfn.xlookup(9999&amp;records_CAGass[AirSampler],feller[code],feller[Vc])))</f>
        <v>1</v>
      </c>
      <c r="Y3" s="29" t="b">
        <v>0</v>
      </c>
      <c r="Z3" s="39" t="s">
        <v>235</v>
      </c>
      <c r="AA3" s="46"/>
      <c r="AB3" s="46"/>
      <c r="AC3" s="46"/>
      <c r="AD3" s="46"/>
      <c r="AE3" s="46"/>
      <c r="AF3" s="46"/>
      <c r="AG3" s="46"/>
      <c r="AH3" s="46"/>
      <c r="AI3" s="46"/>
    </row>
    <row r="4" ht="22.5" customHeight="1">
      <c r="A4" s="27">
        <v>46071.0</v>
      </c>
      <c r="B4" s="34" t="str">
        <f t="shared" si="1"/>
        <v>02-2026</v>
      </c>
      <c r="C4" s="36" t="s">
        <v>278</v>
      </c>
      <c r="D4" s="20" t="str">
        <f t="array" ref="D4">_xlfn.XLOOKUP(C4, dCAGass[Tag], dCAGass[Room no.])</f>
        <v>16-3-073</v>
      </c>
      <c r="E4" s="36" t="s">
        <v>191</v>
      </c>
      <c r="F4" s="34" t="s">
        <v>12</v>
      </c>
      <c r="G4" s="29" t="b">
        <v>1</v>
      </c>
      <c r="H4" s="34" t="s">
        <v>252</v>
      </c>
      <c r="I4" s="34" t="s">
        <v>284</v>
      </c>
      <c r="J4" s="34" t="s">
        <v>285</v>
      </c>
      <c r="K4" s="34" t="s">
        <v>194</v>
      </c>
      <c r="L4" s="34" t="s">
        <v>199</v>
      </c>
      <c r="M4" s="34" t="s">
        <v>201</v>
      </c>
      <c r="N4" s="48">
        <v>46057.0</v>
      </c>
      <c r="O4" s="50">
        <v>0.0</v>
      </c>
      <c r="P4" s="39"/>
      <c r="Q4" s="21" t="s">
        <v>203</v>
      </c>
      <c r="R4" s="39"/>
      <c r="S4" s="43"/>
      <c r="T4" s="54" t="str">
        <f t="array" ref="T4">_xlfn.XLOOKUP(records_CAGass[roomNo], dCAGass[Room no.], dCAGass[Room Name])</f>
        <v>MFG 4</v>
      </c>
      <c r="U4" s="56" t="str">
        <f t="array" ref="U4">_xlfn.XLOOKUP(records_CAGass[roomNo], dCAGass[Room no.], dCAGass[Bld])</f>
        <v>Building 16</v>
      </c>
      <c r="V4" s="56" t="str">
        <f t="array" ref="V4">if(A4="","",_xlfn.XLOOKUP(records_CAGass[roomNo], dCAGass[Room no.], dCAGass[Floor]))</f>
        <v>Floor 3</v>
      </c>
      <c r="W4" s="43">
        <f t="array" ref="W4">_xlfn.XLOOKUP(records_CAGass[roomNo], dCAGass[Room no.], dCAGass[Spec])</f>
        <v>5</v>
      </c>
      <c r="X4" s="43">
        <f t="array" ref="X4">if(O4="","",IFERROR(_xlfn.xlookup(records_CAGass[ColonyCount]&amp;records_CAGass[AirSampler],feller[code],feller[Vc]),_xlfn.xlookup(9999&amp;records_CAGass[AirSampler],feller[code],feller[Vc])))</f>
        <v>0</v>
      </c>
      <c r="Y4" s="29" t="b">
        <v>0</v>
      </c>
      <c r="Z4" s="39" t="s">
        <v>235</v>
      </c>
      <c r="AA4" s="46"/>
      <c r="AB4" s="46"/>
      <c r="AC4" s="46"/>
      <c r="AD4" s="46"/>
      <c r="AE4" s="46"/>
      <c r="AF4" s="46"/>
      <c r="AG4" s="46"/>
      <c r="AH4" s="46"/>
      <c r="AI4" s="46"/>
    </row>
    <row r="5" ht="22.5" customHeight="1">
      <c r="A5" s="27">
        <v>46071.0</v>
      </c>
      <c r="B5" s="34" t="str">
        <f t="shared" si="1"/>
        <v>02-2026</v>
      </c>
      <c r="C5" s="36" t="s">
        <v>297</v>
      </c>
      <c r="D5" s="20" t="str">
        <f t="array" ref="D5">_xlfn.XLOOKUP(C5, dCAGass[Tag], dCAGass[Room no.])</f>
        <v>16-3-080</v>
      </c>
      <c r="E5" s="36" t="s">
        <v>191</v>
      </c>
      <c r="F5" s="34" t="s">
        <v>12</v>
      </c>
      <c r="G5" s="29" t="b">
        <v>1</v>
      </c>
      <c r="H5" s="34" t="s">
        <v>298</v>
      </c>
      <c r="I5" s="34" t="s">
        <v>299</v>
      </c>
      <c r="J5" s="34" t="s">
        <v>300</v>
      </c>
      <c r="K5" s="34" t="s">
        <v>194</v>
      </c>
      <c r="L5" s="34" t="s">
        <v>199</v>
      </c>
      <c r="M5" s="34" t="s">
        <v>201</v>
      </c>
      <c r="N5" s="48">
        <v>46057.0</v>
      </c>
      <c r="O5" s="50">
        <v>0.0</v>
      </c>
      <c r="P5" s="39"/>
      <c r="Q5" s="21" t="s">
        <v>203</v>
      </c>
      <c r="R5" s="39"/>
      <c r="S5" s="43"/>
      <c r="T5" s="54" t="str">
        <f t="array" ref="T5">_xlfn.XLOOKUP(records_CAGass[roomNo], dCAGass[Room no.], dCAGass[Room Name])</f>
        <v>STAGING 6</v>
      </c>
      <c r="U5" s="56" t="str">
        <f t="array" ref="U5">_xlfn.XLOOKUP(records_CAGass[roomNo], dCAGass[Room no.], dCAGass[Bld])</f>
        <v>Building 16</v>
      </c>
      <c r="V5" s="56" t="str">
        <f t="array" ref="V5">if(A5="","",_xlfn.XLOOKUP(records_CAGass[roomNo], dCAGass[Room no.], dCAGass[Floor]))</f>
        <v>Floor 3</v>
      </c>
      <c r="W5" s="43">
        <f t="array" ref="W5">_xlfn.XLOOKUP(records_CAGass[roomNo], dCAGass[Room no.], dCAGass[Spec])</f>
        <v>5</v>
      </c>
      <c r="X5" s="43">
        <f t="array" ref="X5">if(O5="","",IFERROR(_xlfn.xlookup(records_CAGass[ColonyCount]&amp;records_CAGass[AirSampler],feller[code],feller[Vc]),_xlfn.xlookup(9999&amp;records_CAGass[AirSampler],feller[code],feller[Vc])))</f>
        <v>0</v>
      </c>
      <c r="Y5" s="29" t="b">
        <v>0</v>
      </c>
      <c r="Z5" s="39" t="s">
        <v>235</v>
      </c>
      <c r="AA5" s="46"/>
      <c r="AB5" s="46"/>
      <c r="AC5" s="46"/>
      <c r="AD5" s="46"/>
      <c r="AE5" s="46"/>
      <c r="AF5" s="46"/>
      <c r="AG5" s="46"/>
      <c r="AH5" s="46"/>
      <c r="AI5" s="46"/>
    </row>
    <row r="6" ht="22.5" customHeight="1">
      <c r="A6" s="27">
        <v>46071.0</v>
      </c>
      <c r="B6" s="34" t="str">
        <f t="shared" si="1"/>
        <v>02-2026</v>
      </c>
      <c r="C6" s="36" t="s">
        <v>305</v>
      </c>
      <c r="D6" s="20" t="str">
        <f t="array" ref="D6">_xlfn.XLOOKUP(C6, dCAGass[Tag], dCAGass[Room no.])</f>
        <v>16-3-083</v>
      </c>
      <c r="E6" s="36" t="s">
        <v>191</v>
      </c>
      <c r="F6" s="34" t="s">
        <v>12</v>
      </c>
      <c r="G6" s="29" t="b">
        <v>1</v>
      </c>
      <c r="H6" s="34" t="s">
        <v>298</v>
      </c>
      <c r="I6" s="34" t="s">
        <v>306</v>
      </c>
      <c r="J6" s="34" t="s">
        <v>307</v>
      </c>
      <c r="K6" s="34" t="s">
        <v>194</v>
      </c>
      <c r="L6" s="34" t="s">
        <v>199</v>
      </c>
      <c r="M6" s="34" t="s">
        <v>201</v>
      </c>
      <c r="N6" s="48">
        <v>46057.0</v>
      </c>
      <c r="O6" s="50">
        <v>0.0</v>
      </c>
      <c r="P6" s="39"/>
      <c r="Q6" s="21" t="s">
        <v>203</v>
      </c>
      <c r="R6" s="39"/>
      <c r="S6" s="43"/>
      <c r="T6" s="54" t="str">
        <f t="array" ref="T6">_xlfn.XLOOKUP(records_CAGass[roomNo], dCAGass[Room no.], dCAGass[Room Name])</f>
        <v>STAGING 5</v>
      </c>
      <c r="U6" s="56" t="str">
        <f t="array" ref="U6">_xlfn.XLOOKUP(records_CAGass[roomNo], dCAGass[Room no.], dCAGass[Bld])</f>
        <v>Building 16</v>
      </c>
      <c r="V6" s="56" t="str">
        <f t="array" ref="V6">if(A6="","",_xlfn.XLOOKUP(records_CAGass[roomNo], dCAGass[Room no.], dCAGass[Floor]))</f>
        <v>Floor 3</v>
      </c>
      <c r="W6" s="43">
        <f t="array" ref="W6">_xlfn.XLOOKUP(records_CAGass[roomNo], dCAGass[Room no.], dCAGass[Spec])</f>
        <v>5</v>
      </c>
      <c r="X6" s="43">
        <f t="array" ref="X6">if(O6="","",IFERROR(_xlfn.xlookup(records_CAGass[ColonyCount]&amp;records_CAGass[AirSampler],feller[code],feller[Vc]),_xlfn.xlookup(9999&amp;records_CAGass[AirSampler],feller[code],feller[Vc])))</f>
        <v>0</v>
      </c>
      <c r="Y6" s="29" t="b">
        <v>0</v>
      </c>
      <c r="Z6" s="39" t="s">
        <v>235</v>
      </c>
      <c r="AA6" s="46"/>
      <c r="AB6" s="46"/>
      <c r="AC6" s="46"/>
      <c r="AD6" s="46"/>
      <c r="AE6" s="46"/>
      <c r="AF6" s="46"/>
      <c r="AG6" s="46"/>
      <c r="AH6" s="46"/>
      <c r="AI6" s="46"/>
    </row>
    <row r="7" ht="22.5" customHeight="1">
      <c r="A7" s="27">
        <v>46071.0</v>
      </c>
      <c r="B7" s="34" t="str">
        <f t="shared" si="1"/>
        <v>02-2026</v>
      </c>
      <c r="C7" s="36" t="s">
        <v>312</v>
      </c>
      <c r="D7" s="20" t="str">
        <f t="array" ref="D7">_xlfn.XLOOKUP(C7, dCAGass[Tag], dCAGass[Room no.])</f>
        <v>16-3-085</v>
      </c>
      <c r="E7" s="36" t="s">
        <v>191</v>
      </c>
      <c r="F7" s="34" t="s">
        <v>12</v>
      </c>
      <c r="G7" s="29" t="b">
        <v>1</v>
      </c>
      <c r="H7" s="34" t="s">
        <v>314</v>
      </c>
      <c r="I7" s="34" t="s">
        <v>315</v>
      </c>
      <c r="J7" s="34" t="s">
        <v>316</v>
      </c>
      <c r="K7" s="34" t="s">
        <v>194</v>
      </c>
      <c r="L7" s="34" t="s">
        <v>199</v>
      </c>
      <c r="M7" s="34" t="s">
        <v>201</v>
      </c>
      <c r="N7" s="48">
        <v>46057.0</v>
      </c>
      <c r="O7" s="50">
        <v>0.0</v>
      </c>
      <c r="P7" s="39"/>
      <c r="Q7" s="21" t="s">
        <v>203</v>
      </c>
      <c r="R7" s="39"/>
      <c r="S7" s="43"/>
      <c r="T7" s="54" t="str">
        <f t="array" ref="T7">_xlfn.XLOOKUP(records_CAGass[roomNo], dCAGass[Room no.], dCAGass[Room Name])</f>
        <v>CIP 3</v>
      </c>
      <c r="U7" s="56" t="str">
        <f t="array" ref="U7">_xlfn.XLOOKUP(records_CAGass[roomNo], dCAGass[Room no.], dCAGass[Bld])</f>
        <v>Building 16</v>
      </c>
      <c r="V7" s="56" t="str">
        <f t="array" ref="V7">if(A7="","",_xlfn.XLOOKUP(records_CAGass[roomNo], dCAGass[Room no.], dCAGass[Floor]))</f>
        <v>Floor 3</v>
      </c>
      <c r="W7" s="43">
        <f t="array" ref="W7">_xlfn.XLOOKUP(records_CAGass[roomNo], dCAGass[Room no.], dCAGass[Spec])</f>
        <v>5</v>
      </c>
      <c r="X7" s="43">
        <f t="array" ref="X7">if(O7="","",IFERROR(_xlfn.xlookup(records_CAGass[ColonyCount]&amp;records_CAGass[AirSampler],feller[code],feller[Vc]),_xlfn.xlookup(9999&amp;records_CAGass[AirSampler],feller[code],feller[Vc])))</f>
        <v>0</v>
      </c>
      <c r="Y7" s="29" t="b">
        <v>0</v>
      </c>
      <c r="Z7" s="39" t="s">
        <v>235</v>
      </c>
      <c r="AA7" s="46"/>
      <c r="AB7" s="46"/>
      <c r="AC7" s="46"/>
      <c r="AD7" s="46"/>
      <c r="AE7" s="46"/>
      <c r="AF7" s="46"/>
      <c r="AG7" s="46"/>
      <c r="AH7" s="46"/>
      <c r="AI7" s="46"/>
    </row>
    <row r="8" ht="22.5" customHeight="1">
      <c r="A8" s="27">
        <v>46071.0</v>
      </c>
      <c r="B8" s="34" t="str">
        <f t="shared" si="1"/>
        <v>02-2026</v>
      </c>
      <c r="C8" s="36" t="s">
        <v>325</v>
      </c>
      <c r="D8" s="20" t="str">
        <f t="array" ref="D8">_xlfn.XLOOKUP(C8, dCAGass[Tag], dCAGass[Room no.])</f>
        <v>16-3-086</v>
      </c>
      <c r="E8" s="36" t="s">
        <v>191</v>
      </c>
      <c r="F8" s="34" t="s">
        <v>12</v>
      </c>
      <c r="G8" s="29" t="b">
        <v>1</v>
      </c>
      <c r="H8" s="34" t="s">
        <v>326</v>
      </c>
      <c r="I8" s="34" t="s">
        <v>327</v>
      </c>
      <c r="J8" s="34" t="s">
        <v>328</v>
      </c>
      <c r="K8" s="34" t="s">
        <v>194</v>
      </c>
      <c r="L8" s="34" t="s">
        <v>199</v>
      </c>
      <c r="M8" s="34" t="s">
        <v>201</v>
      </c>
      <c r="N8" s="48">
        <v>46057.0</v>
      </c>
      <c r="O8" s="50">
        <v>0.0</v>
      </c>
      <c r="P8" s="39"/>
      <c r="Q8" s="21" t="s">
        <v>203</v>
      </c>
      <c r="R8" s="39"/>
      <c r="S8" s="43"/>
      <c r="T8" s="54" t="str">
        <f t="array" ref="T8">_xlfn.XLOOKUP(records_CAGass[roomNo], dCAGass[Room no.], dCAGass[Room Name])</f>
        <v>STAGING 4</v>
      </c>
      <c r="U8" s="56" t="str">
        <f t="array" ref="U8">_xlfn.XLOOKUP(records_CAGass[roomNo], dCAGass[Room no.], dCAGass[Bld])</f>
        <v>Building 16</v>
      </c>
      <c r="V8" s="56" t="str">
        <f t="array" ref="V8">if(A8="","",_xlfn.XLOOKUP(records_CAGass[roomNo], dCAGass[Room no.], dCAGass[Floor]))</f>
        <v>Floor 3</v>
      </c>
      <c r="W8" s="43">
        <f t="array" ref="W8">_xlfn.XLOOKUP(records_CAGass[roomNo], dCAGass[Room no.], dCAGass[Spec])</f>
        <v>5</v>
      </c>
      <c r="X8" s="43">
        <f t="array" ref="X8">if(O8="","",IFERROR(_xlfn.xlookup(records_CAGass[ColonyCount]&amp;records_CAGass[AirSampler],feller[code],feller[Vc]),_xlfn.xlookup(9999&amp;records_CAGass[AirSampler],feller[code],feller[Vc])))</f>
        <v>0</v>
      </c>
      <c r="Y8" s="29" t="b">
        <v>0</v>
      </c>
      <c r="Z8" s="39" t="s">
        <v>235</v>
      </c>
      <c r="AA8" s="46"/>
      <c r="AB8" s="46"/>
      <c r="AC8" s="46"/>
      <c r="AD8" s="46"/>
      <c r="AE8" s="46"/>
      <c r="AF8" s="46"/>
      <c r="AG8" s="46"/>
      <c r="AH8" s="46"/>
      <c r="AI8" s="46"/>
    </row>
    <row r="9" ht="22.5" customHeight="1">
      <c r="A9" s="27">
        <v>46071.0</v>
      </c>
      <c r="B9" s="34" t="str">
        <f t="shared" si="1"/>
        <v>02-2026</v>
      </c>
      <c r="C9" s="36" t="s">
        <v>335</v>
      </c>
      <c r="D9" s="20" t="str">
        <f t="array" ref="D9">_xlfn.XLOOKUP(C9, dCAGass[Tag], dCAGass[Room no.])</f>
        <v>16-3-087</v>
      </c>
      <c r="E9" s="36" t="s">
        <v>191</v>
      </c>
      <c r="F9" s="34" t="s">
        <v>12</v>
      </c>
      <c r="G9" s="29" t="b">
        <v>1</v>
      </c>
      <c r="H9" s="34" t="s">
        <v>314</v>
      </c>
      <c r="I9" s="34" t="s">
        <v>327</v>
      </c>
      <c r="J9" s="34" t="s">
        <v>336</v>
      </c>
      <c r="K9" s="34" t="s">
        <v>194</v>
      </c>
      <c r="L9" s="34" t="s">
        <v>199</v>
      </c>
      <c r="M9" s="34" t="s">
        <v>201</v>
      </c>
      <c r="N9" s="48">
        <v>46057.0</v>
      </c>
      <c r="O9" s="50">
        <v>0.0</v>
      </c>
      <c r="P9" s="39"/>
      <c r="Q9" s="21" t="s">
        <v>203</v>
      </c>
      <c r="R9" s="39"/>
      <c r="S9" s="43"/>
      <c r="T9" s="54" t="str">
        <f t="array" ref="T9">_xlfn.XLOOKUP(records_CAGass[roomNo], dCAGass[Room no.], dCAGass[Room Name])</f>
        <v>CIP 2</v>
      </c>
      <c r="U9" s="56" t="str">
        <f t="array" ref="U9">_xlfn.XLOOKUP(records_CAGass[roomNo], dCAGass[Room no.], dCAGass[Bld])</f>
        <v>Building 16</v>
      </c>
      <c r="V9" s="56" t="str">
        <f t="array" ref="V9">if(A9="","",_xlfn.XLOOKUP(records_CAGass[roomNo], dCAGass[Room no.], dCAGass[Floor]))</f>
        <v>Floor 3</v>
      </c>
      <c r="W9" s="43">
        <f t="array" ref="W9">_xlfn.XLOOKUP(records_CAGass[roomNo], dCAGass[Room no.], dCAGass[Spec])</f>
        <v>5</v>
      </c>
      <c r="X9" s="43">
        <f t="array" ref="X9">if(O9="","",IFERROR(_xlfn.xlookup(records_CAGass[ColonyCount]&amp;records_CAGass[AirSampler],feller[code],feller[Vc]),_xlfn.xlookup(9999&amp;records_CAGass[AirSampler],feller[code],feller[Vc])))</f>
        <v>0</v>
      </c>
      <c r="Y9" s="29" t="b">
        <v>0</v>
      </c>
      <c r="Z9" s="39" t="s">
        <v>235</v>
      </c>
      <c r="AA9" s="46"/>
      <c r="AB9" s="46"/>
      <c r="AC9" s="46"/>
      <c r="AD9" s="46"/>
      <c r="AE9" s="46"/>
      <c r="AF9" s="46"/>
      <c r="AG9" s="46"/>
      <c r="AH9" s="46"/>
      <c r="AI9" s="46"/>
    </row>
    <row r="10" ht="22.5" customHeight="1">
      <c r="A10" s="27">
        <v>46071.0</v>
      </c>
      <c r="B10" s="34" t="str">
        <f t="shared" si="1"/>
        <v>02-2026</v>
      </c>
      <c r="C10" s="36" t="s">
        <v>341</v>
      </c>
      <c r="D10" s="20" t="str">
        <f t="array" ref="D10">_xlfn.XLOOKUP(C10, dCAGass[Tag], dCAGass[Room no.])</f>
        <v>16-3-088</v>
      </c>
      <c r="E10" s="36" t="s">
        <v>191</v>
      </c>
      <c r="F10" s="34" t="s">
        <v>12</v>
      </c>
      <c r="G10" s="29" t="b">
        <v>1</v>
      </c>
      <c r="H10" s="34" t="s">
        <v>344</v>
      </c>
      <c r="I10" s="34" t="s">
        <v>345</v>
      </c>
      <c r="J10" s="34" t="s">
        <v>346</v>
      </c>
      <c r="K10" s="34" t="s">
        <v>194</v>
      </c>
      <c r="L10" s="34" t="s">
        <v>199</v>
      </c>
      <c r="M10" s="34" t="s">
        <v>201</v>
      </c>
      <c r="N10" s="48">
        <v>46057.0</v>
      </c>
      <c r="O10" s="50">
        <v>0.0</v>
      </c>
      <c r="P10" s="39"/>
      <c r="Q10" s="21" t="s">
        <v>203</v>
      </c>
      <c r="R10" s="39"/>
      <c r="S10" s="43"/>
      <c r="T10" s="54" t="str">
        <f t="array" ref="T10">_xlfn.XLOOKUP(records_CAGass[roomNo], dCAGass[Room no.], dCAGass[Room Name])</f>
        <v>STAGING 3</v>
      </c>
      <c r="U10" s="56" t="str">
        <f t="array" ref="U10">_xlfn.XLOOKUP(records_CAGass[roomNo], dCAGass[Room no.], dCAGass[Bld])</f>
        <v>Building 16</v>
      </c>
      <c r="V10" s="56" t="str">
        <f t="array" ref="V10">if(A10="","",_xlfn.XLOOKUP(records_CAGass[roomNo], dCAGass[Room no.], dCAGass[Floor]))</f>
        <v>Floor 3</v>
      </c>
      <c r="W10" s="43">
        <f t="array" ref="W10">_xlfn.XLOOKUP(records_CAGass[roomNo], dCAGass[Room no.], dCAGass[Spec])</f>
        <v>5</v>
      </c>
      <c r="X10" s="43">
        <f t="array" ref="X10">if(O10="","",IFERROR(_xlfn.xlookup(records_CAGass[ColonyCount]&amp;records_CAGass[AirSampler],feller[code],feller[Vc]),_xlfn.xlookup(9999&amp;records_CAGass[AirSampler],feller[code],feller[Vc])))</f>
        <v>0</v>
      </c>
      <c r="Y10" s="29" t="b">
        <v>0</v>
      </c>
      <c r="Z10" s="39" t="s">
        <v>235</v>
      </c>
      <c r="AA10" s="46"/>
      <c r="AB10" s="46"/>
      <c r="AC10" s="46"/>
      <c r="AD10" s="46"/>
      <c r="AE10" s="46"/>
      <c r="AF10" s="46"/>
      <c r="AG10" s="46"/>
      <c r="AH10" s="46"/>
      <c r="AI10" s="46"/>
    </row>
    <row r="11" ht="22.5" customHeight="1">
      <c r="A11" s="27">
        <v>46071.0</v>
      </c>
      <c r="B11" s="34" t="str">
        <f t="shared" si="1"/>
        <v>02-2026</v>
      </c>
      <c r="C11" s="36" t="s">
        <v>351</v>
      </c>
      <c r="D11" s="20" t="str">
        <f t="array" ref="D11">_xlfn.XLOOKUP(C11, dCAGass[Tag], dCAGass[Room no.])</f>
        <v>16-3-090</v>
      </c>
      <c r="E11" s="36" t="s">
        <v>191</v>
      </c>
      <c r="F11" s="34" t="s">
        <v>12</v>
      </c>
      <c r="G11" s="29" t="b">
        <v>1</v>
      </c>
      <c r="H11" s="34" t="s">
        <v>353</v>
      </c>
      <c r="I11" s="34" t="s">
        <v>354</v>
      </c>
      <c r="J11" s="34" t="s">
        <v>355</v>
      </c>
      <c r="K11" s="34" t="s">
        <v>194</v>
      </c>
      <c r="L11" s="34" t="s">
        <v>199</v>
      </c>
      <c r="M11" s="34" t="s">
        <v>201</v>
      </c>
      <c r="N11" s="48">
        <v>46057.0</v>
      </c>
      <c r="O11" s="50">
        <v>0.0</v>
      </c>
      <c r="P11" s="39"/>
      <c r="Q11" s="21" t="s">
        <v>203</v>
      </c>
      <c r="R11" s="39"/>
      <c r="S11" s="43"/>
      <c r="T11" s="54" t="str">
        <f t="array" ref="T11">_xlfn.XLOOKUP(records_CAGass[roomNo], dCAGass[Room no.], dCAGass[Room Name])</f>
        <v>CIP 1</v>
      </c>
      <c r="U11" s="56" t="str">
        <f t="array" ref="U11">_xlfn.XLOOKUP(records_CAGass[roomNo], dCAGass[Room no.], dCAGass[Bld])</f>
        <v>Building 16</v>
      </c>
      <c r="V11" s="56" t="str">
        <f t="array" ref="V11">if(A11="","",_xlfn.XLOOKUP(records_CAGass[roomNo], dCAGass[Room no.], dCAGass[Floor]))</f>
        <v>Floor 3</v>
      </c>
      <c r="W11" s="43">
        <f t="array" ref="W11">_xlfn.XLOOKUP(records_CAGass[roomNo], dCAGass[Room no.], dCAGass[Spec])</f>
        <v>5</v>
      </c>
      <c r="X11" s="43">
        <f t="array" ref="X11">if(O11="","",IFERROR(_xlfn.xlookup(records_CAGass[ColonyCount]&amp;records_CAGass[AirSampler],feller[code],feller[Vc]),_xlfn.xlookup(9999&amp;records_CAGass[AirSampler],feller[code],feller[Vc])))</f>
        <v>0</v>
      </c>
      <c r="Y11" s="29" t="b">
        <v>0</v>
      </c>
      <c r="Z11" s="39" t="s">
        <v>235</v>
      </c>
      <c r="AA11" s="46"/>
      <c r="AB11" s="46"/>
      <c r="AC11" s="46"/>
      <c r="AD11" s="46"/>
      <c r="AE11" s="46"/>
      <c r="AF11" s="46"/>
      <c r="AG11" s="46"/>
      <c r="AH11" s="46"/>
      <c r="AI11" s="46"/>
    </row>
    <row r="12" ht="22.5" customHeight="1">
      <c r="A12" s="27">
        <v>46071.0</v>
      </c>
      <c r="B12" s="34" t="str">
        <f t="shared" si="1"/>
        <v>02-2026</v>
      </c>
      <c r="C12" s="36" t="s">
        <v>361</v>
      </c>
      <c r="D12" s="20" t="str">
        <f t="array" ref="D12">_xlfn.XLOOKUP(C12, dCAGass[Tag], dCAGass[Room no.])</f>
        <v>16-3-093</v>
      </c>
      <c r="E12" s="36" t="s">
        <v>191</v>
      </c>
      <c r="F12" s="34" t="s">
        <v>12</v>
      </c>
      <c r="G12" s="29" t="b">
        <v>1</v>
      </c>
      <c r="H12" s="34" t="s">
        <v>314</v>
      </c>
      <c r="I12" s="34" t="s">
        <v>362</v>
      </c>
      <c r="J12" s="34" t="s">
        <v>363</v>
      </c>
      <c r="K12" s="34" t="s">
        <v>194</v>
      </c>
      <c r="L12" s="34" t="s">
        <v>199</v>
      </c>
      <c r="M12" s="34" t="s">
        <v>201</v>
      </c>
      <c r="N12" s="48">
        <v>46057.0</v>
      </c>
      <c r="O12" s="50">
        <v>0.0</v>
      </c>
      <c r="P12" s="39"/>
      <c r="Q12" s="21" t="s">
        <v>203</v>
      </c>
      <c r="R12" s="39"/>
      <c r="S12" s="43"/>
      <c r="T12" s="54" t="str">
        <f t="array" ref="T12">_xlfn.XLOOKUP(records_CAGass[roomNo], dCAGass[Room no.], dCAGass[Room Name])</f>
        <v>PPM CLEANING</v>
      </c>
      <c r="U12" s="56" t="str">
        <f t="array" ref="U12">_xlfn.XLOOKUP(records_CAGass[roomNo], dCAGass[Room no.], dCAGass[Bld])</f>
        <v>Building 16</v>
      </c>
      <c r="V12" s="56" t="str">
        <f t="array" ref="V12">if(A12="","",_xlfn.XLOOKUP(records_CAGass[roomNo], dCAGass[Room no.], dCAGass[Floor]))</f>
        <v>Floor 3</v>
      </c>
      <c r="W12" s="43">
        <f t="array" ref="W12">_xlfn.XLOOKUP(records_CAGass[roomNo], dCAGass[Room no.], dCAGass[Spec])</f>
        <v>5</v>
      </c>
      <c r="X12" s="43">
        <f t="array" ref="X12">if(O12="","",IFERROR(_xlfn.xlookup(records_CAGass[ColonyCount]&amp;records_CAGass[AirSampler],feller[code],feller[Vc]),_xlfn.xlookup(9999&amp;records_CAGass[AirSampler],feller[code],feller[Vc])))</f>
        <v>0</v>
      </c>
      <c r="Y12" s="29" t="b">
        <v>0</v>
      </c>
      <c r="Z12" s="39" t="s">
        <v>235</v>
      </c>
      <c r="AA12" s="46"/>
      <c r="AB12" s="46"/>
      <c r="AC12" s="46"/>
      <c r="AD12" s="46"/>
      <c r="AE12" s="46"/>
      <c r="AF12" s="46"/>
      <c r="AG12" s="46"/>
      <c r="AH12" s="46"/>
      <c r="AI12" s="46"/>
    </row>
    <row r="13" ht="22.5" customHeight="1">
      <c r="A13" s="27">
        <v>46071.0</v>
      </c>
      <c r="B13" s="34" t="str">
        <f t="shared" si="1"/>
        <v>02-2026</v>
      </c>
      <c r="C13" s="36" t="s">
        <v>372</v>
      </c>
      <c r="D13" s="20" t="str">
        <f t="array" ref="D13">_xlfn.XLOOKUP(C13, dCAGass[Tag], dCAGass[Room no.])</f>
        <v>16-3-093</v>
      </c>
      <c r="E13" s="36" t="s">
        <v>191</v>
      </c>
      <c r="F13" s="34" t="s">
        <v>12</v>
      </c>
      <c r="G13" s="29" t="b">
        <v>1</v>
      </c>
      <c r="H13" s="34" t="s">
        <v>314</v>
      </c>
      <c r="I13" s="34" t="s">
        <v>362</v>
      </c>
      <c r="J13" s="34" t="s">
        <v>373</v>
      </c>
      <c r="K13" s="34" t="s">
        <v>194</v>
      </c>
      <c r="L13" s="34" t="s">
        <v>199</v>
      </c>
      <c r="M13" s="34" t="s">
        <v>201</v>
      </c>
      <c r="N13" s="48">
        <v>46057.0</v>
      </c>
      <c r="O13" s="50">
        <v>0.0</v>
      </c>
      <c r="P13" s="39"/>
      <c r="Q13" s="21" t="s">
        <v>203</v>
      </c>
      <c r="R13" s="39"/>
      <c r="S13" s="43"/>
      <c r="T13" s="54" t="str">
        <f t="array" ref="T13">_xlfn.XLOOKUP(records_CAGass[roomNo], dCAGass[Room no.], dCAGass[Room Name])</f>
        <v>PPM CLEANING</v>
      </c>
      <c r="U13" s="56" t="str">
        <f t="array" ref="U13">_xlfn.XLOOKUP(records_CAGass[roomNo], dCAGass[Room no.], dCAGass[Bld])</f>
        <v>Building 16</v>
      </c>
      <c r="V13" s="56" t="str">
        <f t="array" ref="V13">if(A13="","",_xlfn.XLOOKUP(records_CAGass[roomNo], dCAGass[Room no.], dCAGass[Floor]))</f>
        <v>Floor 3</v>
      </c>
      <c r="W13" s="43">
        <f t="array" ref="W13">_xlfn.XLOOKUP(records_CAGass[roomNo], dCAGass[Room no.], dCAGass[Spec])</f>
        <v>5</v>
      </c>
      <c r="X13" s="43">
        <f t="array" ref="X13">if(O13="","",IFERROR(_xlfn.xlookup(records_CAGass[ColonyCount]&amp;records_CAGass[AirSampler],feller[code],feller[Vc]),_xlfn.xlookup(9999&amp;records_CAGass[AirSampler],feller[code],feller[Vc])))</f>
        <v>0</v>
      </c>
      <c r="Y13" s="29" t="b">
        <v>0</v>
      </c>
      <c r="Z13" s="39" t="s">
        <v>235</v>
      </c>
      <c r="AA13" s="46"/>
      <c r="AB13" s="46"/>
      <c r="AC13" s="46"/>
      <c r="AD13" s="46"/>
      <c r="AE13" s="46"/>
      <c r="AF13" s="46"/>
      <c r="AG13" s="46"/>
      <c r="AH13" s="46"/>
      <c r="AI13" s="46"/>
    </row>
    <row r="14" ht="22.5" customHeight="1">
      <c r="A14" s="27">
        <v>46071.0</v>
      </c>
      <c r="B14" s="34" t="str">
        <f t="shared" si="1"/>
        <v>02-2026</v>
      </c>
      <c r="C14" s="36" t="s">
        <v>380</v>
      </c>
      <c r="D14" s="20" t="str">
        <f t="array" ref="D14">_xlfn.XLOOKUP(C14, dCAGass[Tag], dCAGass[Room no.])</f>
        <v>16-3-109</v>
      </c>
      <c r="E14" s="36" t="s">
        <v>191</v>
      </c>
      <c r="F14" s="34" t="s">
        <v>12</v>
      </c>
      <c r="G14" s="29" t="b">
        <v>1</v>
      </c>
      <c r="H14" s="34" t="s">
        <v>381</v>
      </c>
      <c r="I14" s="34" t="s">
        <v>382</v>
      </c>
      <c r="J14" s="34" t="s">
        <v>383</v>
      </c>
      <c r="K14" s="34" t="s">
        <v>194</v>
      </c>
      <c r="L14" s="34" t="s">
        <v>199</v>
      </c>
      <c r="M14" s="34" t="s">
        <v>201</v>
      </c>
      <c r="N14" s="48">
        <v>46057.0</v>
      </c>
      <c r="O14" s="50">
        <v>0.0</v>
      </c>
      <c r="P14" s="39"/>
      <c r="Q14" s="21" t="s">
        <v>203</v>
      </c>
      <c r="R14" s="39"/>
      <c r="S14" s="43"/>
      <c r="T14" s="54" t="str">
        <f t="array" ref="T14">_xlfn.XLOOKUP(records_CAGass[roomNo], dCAGass[Room no.], dCAGass[Room Name])</f>
        <v>FILLING 7</v>
      </c>
      <c r="U14" s="56" t="str">
        <f t="array" ref="U14">_xlfn.XLOOKUP(records_CAGass[roomNo], dCAGass[Room no.], dCAGass[Bld])</f>
        <v>Building 16</v>
      </c>
      <c r="V14" s="56" t="str">
        <f t="array" ref="V14">if(A14="","",_xlfn.XLOOKUP(records_CAGass[roomNo], dCAGass[Room no.], dCAGass[Floor]))</f>
        <v>Floor 3</v>
      </c>
      <c r="W14" s="43">
        <f t="array" ref="W14">_xlfn.XLOOKUP(records_CAGass[roomNo], dCAGass[Room no.], dCAGass[Spec])</f>
        <v>5</v>
      </c>
      <c r="X14" s="43">
        <f t="array" ref="X14">if(O14="","",IFERROR(_xlfn.xlookup(records_CAGass[ColonyCount]&amp;records_CAGass[AirSampler],feller[code],feller[Vc]),_xlfn.xlookup(9999&amp;records_CAGass[AirSampler],feller[code],feller[Vc])))</f>
        <v>0</v>
      </c>
      <c r="Y14" s="29" t="b">
        <v>0</v>
      </c>
      <c r="Z14" s="39" t="s">
        <v>235</v>
      </c>
      <c r="AA14" s="46"/>
      <c r="AB14" s="46"/>
      <c r="AC14" s="46"/>
      <c r="AD14" s="46"/>
      <c r="AE14" s="46"/>
      <c r="AF14" s="46"/>
      <c r="AG14" s="46"/>
      <c r="AH14" s="46"/>
      <c r="AI14" s="46"/>
    </row>
    <row r="15" ht="22.5" customHeight="1">
      <c r="A15" s="27">
        <v>46188.0</v>
      </c>
      <c r="B15" s="34" t="str">
        <f t="shared" si="1"/>
        <v>06-2026</v>
      </c>
      <c r="C15" s="36" t="s">
        <v>390</v>
      </c>
      <c r="D15" s="20" t="str">
        <f t="array" ref="D15">_xlfn.XLOOKUP(C15, dCAGass[Tag], dCAGass[Room no.])</f>
        <v>10-3-058</v>
      </c>
      <c r="E15" s="36" t="s">
        <v>191</v>
      </c>
      <c r="F15" s="34" t="s">
        <v>26</v>
      </c>
      <c r="G15" s="29" t="b">
        <v>1</v>
      </c>
      <c r="H15" s="34" t="s">
        <v>194</v>
      </c>
      <c r="I15" s="34" t="s">
        <v>194</v>
      </c>
      <c r="J15" s="34" t="s">
        <v>194</v>
      </c>
      <c r="K15" s="34" t="s">
        <v>194</v>
      </c>
      <c r="L15" s="34" t="s">
        <v>392</v>
      </c>
      <c r="M15" s="34" t="s">
        <v>393</v>
      </c>
      <c r="N15" s="48">
        <v>46273.0</v>
      </c>
      <c r="O15" s="50">
        <v>0.0</v>
      </c>
      <c r="P15" s="39"/>
      <c r="Q15" s="21" t="s">
        <v>203</v>
      </c>
      <c r="R15" s="39"/>
      <c r="S15" s="43"/>
      <c r="T15" s="54" t="str">
        <f t="array" ref="T15">_xlfn.XLOOKUP(records_CAGass[roomNo], dCAGass[Room no.], dCAGass[Room Name])</f>
        <v>COATING 1</v>
      </c>
      <c r="U15" s="56" t="str">
        <f t="array" ref="U15">_xlfn.XLOOKUP(records_CAGass[roomNo], dCAGass[Room no.], dCAGass[Bld])</f>
        <v>Building 10</v>
      </c>
      <c r="V15" s="56" t="str">
        <f t="array" ref="V15">if(A15="","",_xlfn.XLOOKUP(records_CAGass[roomNo], dCAGass[Room no.], dCAGass[Floor]))</f>
        <v>Floor 3</v>
      </c>
      <c r="W15" s="43">
        <f t="array" ref="W15">_xlfn.XLOOKUP(records_CAGass[roomNo], dCAGass[Room no.], dCAGass[Spec])</f>
        <v>5</v>
      </c>
      <c r="X15" s="43">
        <f t="array" ref="X15">if(O15="","",IFERROR(_xlfn.xlookup(records_CAGass[ColonyCount]&amp;records_CAGass[AirSampler],feller[code],feller[Vc]),_xlfn.xlookup(9999&amp;records_CAGass[AirSampler],feller[code],feller[Vc])))</f>
        <v>0</v>
      </c>
      <c r="Y15" s="29" t="b">
        <v>0</v>
      </c>
      <c r="Z15" s="39" t="s">
        <v>235</v>
      </c>
      <c r="AA15" s="46"/>
      <c r="AB15" s="46"/>
      <c r="AC15" s="46"/>
      <c r="AD15" s="46"/>
      <c r="AE15" s="46"/>
      <c r="AF15" s="46"/>
      <c r="AG15" s="46"/>
      <c r="AH15" s="46"/>
      <c r="AI15" s="46"/>
    </row>
    <row r="16" ht="22.5" customHeight="1">
      <c r="A16" s="27">
        <v>46188.0</v>
      </c>
      <c r="B16" s="34" t="str">
        <f t="shared" si="1"/>
        <v>06-2026</v>
      </c>
      <c r="C16" s="36" t="s">
        <v>185</v>
      </c>
      <c r="D16" s="20" t="str">
        <f t="array" ref="D16">_xlfn.XLOOKUP(C16, dCAGass[Tag], dCAGass[Room no.])</f>
        <v>10-3-060</v>
      </c>
      <c r="E16" s="36" t="s">
        <v>191</v>
      </c>
      <c r="F16" s="34" t="s">
        <v>26</v>
      </c>
      <c r="G16" s="29" t="b">
        <v>1</v>
      </c>
      <c r="H16" s="34" t="s">
        <v>194</v>
      </c>
      <c r="I16" s="34" t="s">
        <v>194</v>
      </c>
      <c r="J16" s="34" t="s">
        <v>194</v>
      </c>
      <c r="K16" s="34" t="s">
        <v>194</v>
      </c>
      <c r="L16" s="34" t="s">
        <v>392</v>
      </c>
      <c r="M16" s="34" t="s">
        <v>393</v>
      </c>
      <c r="N16" s="48">
        <v>46273.0</v>
      </c>
      <c r="O16" s="50">
        <v>0.0</v>
      </c>
      <c r="P16" s="39"/>
      <c r="Q16" s="21" t="s">
        <v>203</v>
      </c>
      <c r="R16" s="39"/>
      <c r="S16" s="43"/>
      <c r="T16" s="54" t="str">
        <f t="array" ref="T16">_xlfn.XLOOKUP(records_CAGass[roomNo], dCAGass[Room no.], dCAGass[Room Name])</f>
        <v>COATING SOLUTION PREPARATION 2</v>
      </c>
      <c r="U16" s="56" t="str">
        <f t="array" ref="U16">_xlfn.XLOOKUP(records_CAGass[roomNo], dCAGass[Room no.], dCAGass[Bld])</f>
        <v>Building 10</v>
      </c>
      <c r="V16" s="56" t="str">
        <f t="array" ref="V16">if(A16="","",_xlfn.XLOOKUP(records_CAGass[roomNo], dCAGass[Room no.], dCAGass[Floor]))</f>
        <v>Floor 3</v>
      </c>
      <c r="W16" s="43">
        <f t="array" ref="W16">_xlfn.XLOOKUP(records_CAGass[roomNo], dCAGass[Room no.], dCAGass[Spec])</f>
        <v>5</v>
      </c>
      <c r="X16" s="43">
        <f t="array" ref="X16">if(O16="","",IFERROR(_xlfn.xlookup(records_CAGass[ColonyCount]&amp;records_CAGass[AirSampler],feller[code],feller[Vc]),_xlfn.xlookup(9999&amp;records_CAGass[AirSampler],feller[code],feller[Vc])))</f>
        <v>0</v>
      </c>
      <c r="Y16" s="29" t="b">
        <v>0</v>
      </c>
      <c r="Z16" s="39" t="s">
        <v>235</v>
      </c>
      <c r="AA16" s="46"/>
      <c r="AB16" s="46"/>
      <c r="AC16" s="46"/>
      <c r="AD16" s="46"/>
      <c r="AE16" s="46"/>
      <c r="AF16" s="46"/>
      <c r="AG16" s="46"/>
      <c r="AH16" s="46"/>
      <c r="AI16" s="46"/>
    </row>
    <row r="17" ht="22.5" customHeight="1">
      <c r="A17" s="27">
        <v>46188.0</v>
      </c>
      <c r="B17" s="34" t="str">
        <f t="shared" si="1"/>
        <v>06-2026</v>
      </c>
      <c r="C17" s="36" t="s">
        <v>405</v>
      </c>
      <c r="D17" s="20" t="str">
        <f t="array" ref="D17">_xlfn.XLOOKUP(C17, dCAGass[Tag], dCAGass[Room no.])</f>
        <v>10-1-060</v>
      </c>
      <c r="E17" s="36" t="s">
        <v>191</v>
      </c>
      <c r="F17" s="34" t="s">
        <v>26</v>
      </c>
      <c r="G17" s="29" t="b">
        <v>1</v>
      </c>
      <c r="H17" s="34" t="s">
        <v>194</v>
      </c>
      <c r="I17" s="34" t="s">
        <v>194</v>
      </c>
      <c r="J17" s="34" t="s">
        <v>194</v>
      </c>
      <c r="K17" s="34" t="s">
        <v>194</v>
      </c>
      <c r="L17" s="34" t="s">
        <v>392</v>
      </c>
      <c r="M17" s="34" t="s">
        <v>393</v>
      </c>
      <c r="N17" s="48">
        <v>46273.0</v>
      </c>
      <c r="O17" s="50">
        <v>0.0</v>
      </c>
      <c r="P17" s="39"/>
      <c r="Q17" s="21" t="s">
        <v>203</v>
      </c>
      <c r="R17" s="39"/>
      <c r="S17" s="43"/>
      <c r="T17" s="54" t="str">
        <f t="array" ref="T17">_xlfn.XLOOKUP(records_CAGass[roomNo], dCAGass[Room no.], dCAGass[Room Name])</f>
        <v>BOTTLE CLEANING-P</v>
      </c>
      <c r="U17" s="56" t="str">
        <f t="array" ref="U17">_xlfn.XLOOKUP(records_CAGass[roomNo], dCAGass[Room no.], dCAGass[Bld])</f>
        <v>Building 10</v>
      </c>
      <c r="V17" s="56" t="str">
        <f t="array" ref="V17">if(A17="","",_xlfn.XLOOKUP(records_CAGass[roomNo], dCAGass[Room no.], dCAGass[Floor]))</f>
        <v>Floor 1</v>
      </c>
      <c r="W17" s="43">
        <f t="array" ref="W17">_xlfn.XLOOKUP(records_CAGass[roomNo], dCAGass[Room no.], dCAGass[Spec])</f>
        <v>5</v>
      </c>
      <c r="X17" s="43">
        <f t="array" ref="X17">if(O17="","",IFERROR(_xlfn.xlookup(records_CAGass[ColonyCount]&amp;records_CAGass[AirSampler],feller[code],feller[Vc]),_xlfn.xlookup(9999&amp;records_CAGass[AirSampler],feller[code],feller[Vc])))</f>
        <v>0</v>
      </c>
      <c r="Y17" s="29" t="b">
        <v>0</v>
      </c>
      <c r="Z17" s="39" t="s">
        <v>235</v>
      </c>
      <c r="AA17" s="46"/>
      <c r="AB17" s="46"/>
      <c r="AC17" s="46"/>
      <c r="AD17" s="46"/>
      <c r="AE17" s="46"/>
      <c r="AF17" s="46"/>
      <c r="AG17" s="46"/>
      <c r="AH17" s="46"/>
      <c r="AI17" s="46"/>
    </row>
    <row r="18" ht="22.5" customHeight="1">
      <c r="A18" s="27">
        <v>46188.0</v>
      </c>
      <c r="B18" s="34" t="str">
        <f t="shared" si="1"/>
        <v>06-2026</v>
      </c>
      <c r="C18" s="36" t="s">
        <v>411</v>
      </c>
      <c r="D18" s="20" t="str">
        <f t="array" ref="D18">_xlfn.XLOOKUP(C18, dCAGass[Tag], dCAGass[Room no.])</f>
        <v>10-1-065</v>
      </c>
      <c r="E18" s="36" t="s">
        <v>191</v>
      </c>
      <c r="F18" s="34" t="s">
        <v>26</v>
      </c>
      <c r="G18" s="29" t="b">
        <v>1</v>
      </c>
      <c r="H18" s="34" t="s">
        <v>194</v>
      </c>
      <c r="I18" s="34" t="s">
        <v>194</v>
      </c>
      <c r="J18" s="34" t="s">
        <v>194</v>
      </c>
      <c r="K18" s="34" t="s">
        <v>194</v>
      </c>
      <c r="L18" s="34" t="s">
        <v>392</v>
      </c>
      <c r="M18" s="34" t="s">
        <v>393</v>
      </c>
      <c r="N18" s="48">
        <v>46273.0</v>
      </c>
      <c r="O18" s="50">
        <v>2.0</v>
      </c>
      <c r="P18" s="39"/>
      <c r="Q18" s="21" t="s">
        <v>203</v>
      </c>
      <c r="R18" s="39"/>
      <c r="S18" s="43"/>
      <c r="T18" s="54" t="str">
        <f t="array" ref="T18">_xlfn.XLOOKUP(records_CAGass[roomNo], dCAGass[Room no.], dCAGass[Room Name])</f>
        <v>BOTTLE FILLING-P (LOW RH)</v>
      </c>
      <c r="U18" s="56" t="str">
        <f t="array" ref="U18">_xlfn.XLOOKUP(records_CAGass[roomNo], dCAGass[Room no.], dCAGass[Bld])</f>
        <v>Building 10</v>
      </c>
      <c r="V18" s="56" t="str">
        <f t="array" ref="V18">if(A18="","",_xlfn.XLOOKUP(records_CAGass[roomNo], dCAGass[Room no.], dCAGass[Floor]))</f>
        <v>Floor 1</v>
      </c>
      <c r="W18" s="43">
        <f t="array" ref="W18">_xlfn.XLOOKUP(records_CAGass[roomNo], dCAGass[Room no.], dCAGass[Spec])</f>
        <v>5</v>
      </c>
      <c r="X18" s="43">
        <f t="array" ref="X18">if(O18="","",IFERROR(_xlfn.xlookup(records_CAGass[ColonyCount]&amp;records_CAGass[AirSampler],feller[code],feller[Vc]),_xlfn.xlookup(9999&amp;records_CAGass[AirSampler],feller[code],feller[Vc])))</f>
        <v>2</v>
      </c>
      <c r="Y18" s="29" t="b">
        <v>0</v>
      </c>
      <c r="Z18" s="39" t="s">
        <v>235</v>
      </c>
      <c r="AA18" s="46"/>
      <c r="AB18" s="46"/>
      <c r="AC18" s="46"/>
      <c r="AD18" s="46"/>
      <c r="AE18" s="46"/>
      <c r="AF18" s="46"/>
      <c r="AG18" s="46"/>
      <c r="AH18" s="46"/>
      <c r="AI18" s="46"/>
    </row>
    <row r="19" ht="22.5" customHeight="1">
      <c r="A19" s="27">
        <v>46189.0</v>
      </c>
      <c r="B19" s="34" t="str">
        <f t="shared" si="1"/>
        <v>06-2026</v>
      </c>
      <c r="C19" s="36" t="s">
        <v>248</v>
      </c>
      <c r="D19" s="20" t="str">
        <f t="array" ref="D19">_xlfn.XLOOKUP(C19, dCAGass[Tag], dCAGass[Room no.])</f>
        <v>10-3-061</v>
      </c>
      <c r="E19" s="36" t="s">
        <v>191</v>
      </c>
      <c r="F19" s="34" t="s">
        <v>28</v>
      </c>
      <c r="G19" s="29" t="b">
        <v>1</v>
      </c>
      <c r="H19" s="34" t="s">
        <v>194</v>
      </c>
      <c r="I19" s="34" t="s">
        <v>194</v>
      </c>
      <c r="J19" s="34" t="s">
        <v>194</v>
      </c>
      <c r="K19" s="34" t="s">
        <v>194</v>
      </c>
      <c r="L19" s="34" t="s">
        <v>392</v>
      </c>
      <c r="M19" s="34" t="s">
        <v>393</v>
      </c>
      <c r="N19" s="48">
        <v>46273.0</v>
      </c>
      <c r="O19" s="50">
        <v>0.0</v>
      </c>
      <c r="P19" s="39"/>
      <c r="Q19" s="21" t="s">
        <v>203</v>
      </c>
      <c r="R19" s="39"/>
      <c r="S19" s="43"/>
      <c r="T19" s="54" t="str">
        <f t="array" ref="T19">_xlfn.XLOOKUP(records_CAGass[roomNo], dCAGass[Room no.], dCAGass[Room Name])</f>
        <v>COATING 2</v>
      </c>
      <c r="U19" s="56" t="str">
        <f t="array" ref="U19">_xlfn.XLOOKUP(records_CAGass[roomNo], dCAGass[Room no.], dCAGass[Bld])</f>
        <v>Building 10</v>
      </c>
      <c r="V19" s="56" t="str">
        <f t="array" ref="V19">if(A19="","",_xlfn.XLOOKUP(records_CAGass[roomNo], dCAGass[Room no.], dCAGass[Floor]))</f>
        <v>Floor 3</v>
      </c>
      <c r="W19" s="43">
        <f t="array" ref="W19">_xlfn.XLOOKUP(records_CAGass[roomNo], dCAGass[Room no.], dCAGass[Spec])</f>
        <v>5</v>
      </c>
      <c r="X19" s="43">
        <f t="array" ref="X19">if(O19="","",IFERROR(_xlfn.xlookup(records_CAGass[ColonyCount]&amp;records_CAGass[AirSampler],feller[code],feller[Vc]),_xlfn.xlookup(9999&amp;records_CAGass[AirSampler],feller[code],feller[Vc])))</f>
        <v>0</v>
      </c>
      <c r="Y19" s="29" t="b">
        <v>0</v>
      </c>
      <c r="Z19" s="39" t="s">
        <v>235</v>
      </c>
      <c r="AA19" s="46"/>
      <c r="AB19" s="46"/>
      <c r="AC19" s="46"/>
      <c r="AD19" s="46"/>
      <c r="AE19" s="46"/>
      <c r="AF19" s="46"/>
      <c r="AG19" s="46"/>
      <c r="AH19" s="46"/>
      <c r="AI19" s="46"/>
    </row>
    <row r="20" ht="22.5" customHeight="1">
      <c r="A20" s="27">
        <v>46189.0</v>
      </c>
      <c r="B20" s="34" t="str">
        <f t="shared" si="1"/>
        <v>06-2026</v>
      </c>
      <c r="C20" s="36" t="s">
        <v>426</v>
      </c>
      <c r="D20" s="20" t="str">
        <f t="array" ref="D20">_xlfn.XLOOKUP(C20, dCAGass[Tag], dCAGass[Room no.])</f>
        <v>10-3-062</v>
      </c>
      <c r="E20" s="36" t="s">
        <v>191</v>
      </c>
      <c r="F20" s="34" t="s">
        <v>28</v>
      </c>
      <c r="G20" s="29" t="b">
        <v>1</v>
      </c>
      <c r="H20" s="34" t="s">
        <v>194</v>
      </c>
      <c r="I20" s="34" t="s">
        <v>194</v>
      </c>
      <c r="J20" s="34" t="s">
        <v>194</v>
      </c>
      <c r="K20" s="34" t="s">
        <v>194</v>
      </c>
      <c r="L20" s="34" t="s">
        <v>392</v>
      </c>
      <c r="M20" s="34" t="s">
        <v>393</v>
      </c>
      <c r="N20" s="48">
        <v>46273.0</v>
      </c>
      <c r="O20" s="50">
        <v>0.0</v>
      </c>
      <c r="P20" s="39"/>
      <c r="Q20" s="21" t="s">
        <v>203</v>
      </c>
      <c r="R20" s="39"/>
      <c r="S20" s="43"/>
      <c r="T20" s="54" t="str">
        <f t="array" ref="T20">_xlfn.XLOOKUP(records_CAGass[roomNo], dCAGass[Room no.], dCAGass[Room Name])</f>
        <v>COATING 3</v>
      </c>
      <c r="U20" s="56" t="str">
        <f t="array" ref="U20">_xlfn.XLOOKUP(records_CAGass[roomNo], dCAGass[Room no.], dCAGass[Bld])</f>
        <v>Building 10</v>
      </c>
      <c r="V20" s="56" t="str">
        <f t="array" ref="V20">if(A20="","",_xlfn.XLOOKUP(records_CAGass[roomNo], dCAGass[Room no.], dCAGass[Floor]))</f>
        <v>Floor 3</v>
      </c>
      <c r="W20" s="43">
        <f t="array" ref="W20">_xlfn.XLOOKUP(records_CAGass[roomNo], dCAGass[Room no.], dCAGass[Spec])</f>
        <v>5</v>
      </c>
      <c r="X20" s="43">
        <f t="array" ref="X20">if(O20="","",IFERROR(_xlfn.xlookup(records_CAGass[ColonyCount]&amp;records_CAGass[AirSampler],feller[code],feller[Vc]),_xlfn.xlookup(9999&amp;records_CAGass[AirSampler],feller[code],feller[Vc])))</f>
        <v>0</v>
      </c>
      <c r="Y20" s="29" t="b">
        <v>0</v>
      </c>
      <c r="Z20" s="39" t="s">
        <v>235</v>
      </c>
      <c r="AA20" s="46"/>
      <c r="AB20" s="46"/>
      <c r="AC20" s="46"/>
      <c r="AD20" s="46"/>
      <c r="AE20" s="46"/>
      <c r="AF20" s="46"/>
      <c r="AG20" s="46"/>
      <c r="AH20" s="46"/>
      <c r="AI20" s="46"/>
    </row>
    <row r="21" ht="22.5" customHeight="1">
      <c r="A21" s="27">
        <v>46189.0</v>
      </c>
      <c r="B21" s="34" t="str">
        <f t="shared" si="1"/>
        <v>06-2026</v>
      </c>
      <c r="C21" s="36" t="s">
        <v>437</v>
      </c>
      <c r="D21" s="20" t="str">
        <f t="array" ref="D21">_xlfn.XLOOKUP(C21, dCAGass[Tag], dCAGass[Room no.])</f>
        <v>10-3-144</v>
      </c>
      <c r="E21" s="36" t="s">
        <v>191</v>
      </c>
      <c r="F21" s="34" t="s">
        <v>28</v>
      </c>
      <c r="G21" s="29" t="b">
        <v>1</v>
      </c>
      <c r="H21" s="34" t="s">
        <v>194</v>
      </c>
      <c r="I21" s="34" t="s">
        <v>194</v>
      </c>
      <c r="J21" s="34" t="s">
        <v>194</v>
      </c>
      <c r="K21" s="34" t="s">
        <v>194</v>
      </c>
      <c r="L21" s="34" t="s">
        <v>392</v>
      </c>
      <c r="M21" s="34" t="s">
        <v>393</v>
      </c>
      <c r="N21" s="48">
        <v>46273.0</v>
      </c>
      <c r="O21" s="50">
        <v>0.0</v>
      </c>
      <c r="P21" s="39"/>
      <c r="Q21" s="21" t="s">
        <v>203</v>
      </c>
      <c r="R21" s="39"/>
      <c r="S21" s="43"/>
      <c r="T21" s="54" t="str">
        <f t="array" ref="T21">_xlfn.XLOOKUP(records_CAGass[roomNo], dCAGass[Room no.], dCAGass[Room Name])</f>
        <v>COATING-P</v>
      </c>
      <c r="U21" s="56" t="str">
        <f t="array" ref="U21">_xlfn.XLOOKUP(records_CAGass[roomNo], dCAGass[Room no.], dCAGass[Bld])</f>
        <v>Building 10</v>
      </c>
      <c r="V21" s="56" t="str">
        <f t="array" ref="V21">if(A21="","",_xlfn.XLOOKUP(records_CAGass[roomNo], dCAGass[Room no.], dCAGass[Floor]))</f>
        <v>Floor 3</v>
      </c>
      <c r="W21" s="43">
        <f t="array" ref="W21">_xlfn.XLOOKUP(records_CAGass[roomNo], dCAGass[Room no.], dCAGass[Spec])</f>
        <v>5</v>
      </c>
      <c r="X21" s="43">
        <f t="array" ref="X21">if(O21="","",IFERROR(_xlfn.xlookup(records_CAGass[ColonyCount]&amp;records_CAGass[AirSampler],feller[code],feller[Vc]),_xlfn.xlookup(9999&amp;records_CAGass[AirSampler],feller[code],feller[Vc])))</f>
        <v>0</v>
      </c>
      <c r="Y21" s="29" t="b">
        <v>0</v>
      </c>
      <c r="Z21" s="39" t="s">
        <v>235</v>
      </c>
      <c r="AA21" s="46"/>
      <c r="AB21" s="46"/>
      <c r="AC21" s="46"/>
      <c r="AD21" s="46"/>
      <c r="AE21" s="46"/>
      <c r="AF21" s="46"/>
      <c r="AG21" s="46"/>
      <c r="AH21" s="46"/>
      <c r="AI21" s="46"/>
    </row>
    <row r="22" ht="22.5" customHeight="1">
      <c r="A22" s="27">
        <v>46190.0</v>
      </c>
      <c r="B22" s="34" t="str">
        <f t="shared" si="1"/>
        <v>06-2026</v>
      </c>
      <c r="C22" s="36" t="s">
        <v>447</v>
      </c>
      <c r="D22" s="20" t="str">
        <f t="array" ref="D22">_xlfn.XLOOKUP(C22, dCAGass[Tag], dCAGass[Room no.])</f>
        <v>10-3-063</v>
      </c>
      <c r="E22" s="36" t="s">
        <v>191</v>
      </c>
      <c r="F22" s="34" t="s">
        <v>30</v>
      </c>
      <c r="G22" s="29" t="b">
        <v>1</v>
      </c>
      <c r="H22" s="34" t="s">
        <v>194</v>
      </c>
      <c r="I22" s="34" t="s">
        <v>194</v>
      </c>
      <c r="J22" s="34" t="s">
        <v>194</v>
      </c>
      <c r="K22" s="34" t="s">
        <v>194</v>
      </c>
      <c r="L22" s="34" t="s">
        <v>392</v>
      </c>
      <c r="M22" s="34" t="s">
        <v>393</v>
      </c>
      <c r="N22" s="48">
        <v>46273.0</v>
      </c>
      <c r="O22" s="50">
        <v>0.0</v>
      </c>
      <c r="P22" s="39"/>
      <c r="Q22" s="21" t="s">
        <v>203</v>
      </c>
      <c r="R22" s="39"/>
      <c r="S22" s="43"/>
      <c r="T22" s="54" t="str">
        <f t="array" ref="T22">_xlfn.XLOOKUP(records_CAGass[roomNo], dCAGass[Room no.], dCAGass[Room Name])</f>
        <v>COATING 4</v>
      </c>
      <c r="U22" s="56" t="str">
        <f t="array" ref="U22">_xlfn.XLOOKUP(records_CAGass[roomNo], dCAGass[Room no.], dCAGass[Bld])</f>
        <v>Building 10</v>
      </c>
      <c r="V22" s="56" t="str">
        <f t="array" ref="V22">if(A22="","",_xlfn.XLOOKUP(records_CAGass[roomNo], dCAGass[Room no.], dCAGass[Floor]))</f>
        <v>Floor 3</v>
      </c>
      <c r="W22" s="43">
        <f t="array" ref="W22">_xlfn.XLOOKUP(records_CAGass[roomNo], dCAGass[Room no.], dCAGass[Spec])</f>
        <v>5</v>
      </c>
      <c r="X22" s="43">
        <f t="array" ref="X22">if(O22="","",IFERROR(_xlfn.xlookup(records_CAGass[ColonyCount]&amp;records_CAGass[AirSampler],feller[code],feller[Vc]),_xlfn.xlookup(9999&amp;records_CAGass[AirSampler],feller[code],feller[Vc])))</f>
        <v>0</v>
      </c>
      <c r="Y22" s="29" t="b">
        <v>0</v>
      </c>
      <c r="Z22" s="39" t="s">
        <v>235</v>
      </c>
      <c r="AA22" s="46"/>
      <c r="AB22" s="46"/>
      <c r="AC22" s="46"/>
      <c r="AD22" s="46"/>
      <c r="AE22" s="46"/>
      <c r="AF22" s="46"/>
      <c r="AG22" s="46"/>
      <c r="AH22" s="46"/>
      <c r="AI22" s="46"/>
    </row>
    <row r="23" ht="22.5" customHeight="1">
      <c r="A23" s="27">
        <v>46190.0</v>
      </c>
      <c r="B23" s="34" t="str">
        <f t="shared" si="1"/>
        <v>06-2026</v>
      </c>
      <c r="C23" s="36" t="s">
        <v>453</v>
      </c>
      <c r="D23" s="20" t="str">
        <f t="array" ref="D23">_xlfn.XLOOKUP(C23, dCAGass[Tag], dCAGass[Room no.])</f>
        <v>10-3-064</v>
      </c>
      <c r="E23" s="36" t="s">
        <v>191</v>
      </c>
      <c r="F23" s="34" t="s">
        <v>30</v>
      </c>
      <c r="G23" s="29" t="b">
        <v>1</v>
      </c>
      <c r="H23" s="34" t="s">
        <v>194</v>
      </c>
      <c r="I23" s="34" t="s">
        <v>194</v>
      </c>
      <c r="J23" s="34" t="s">
        <v>194</v>
      </c>
      <c r="K23" s="34" t="s">
        <v>194</v>
      </c>
      <c r="L23" s="34" t="s">
        <v>392</v>
      </c>
      <c r="M23" s="34" t="s">
        <v>393</v>
      </c>
      <c r="N23" s="48">
        <v>46273.0</v>
      </c>
      <c r="O23" s="50">
        <v>0.0</v>
      </c>
      <c r="P23" s="39"/>
      <c r="Q23" s="21" t="s">
        <v>203</v>
      </c>
      <c r="R23" s="39"/>
      <c r="S23" s="43"/>
      <c r="T23" s="54" t="str">
        <f t="array" ref="T23">_xlfn.XLOOKUP(records_CAGass[roomNo], dCAGass[Room no.], dCAGass[Room Name])</f>
        <v>COATING 5</v>
      </c>
      <c r="U23" s="56" t="str">
        <f t="array" ref="U23">_xlfn.XLOOKUP(records_CAGass[roomNo], dCAGass[Room no.], dCAGass[Bld])</f>
        <v>Building 10</v>
      </c>
      <c r="V23" s="56" t="str">
        <f t="array" ref="V23">if(A23="","",_xlfn.XLOOKUP(records_CAGass[roomNo], dCAGass[Room no.], dCAGass[Floor]))</f>
        <v>Floor 3</v>
      </c>
      <c r="W23" s="43">
        <f t="array" ref="W23">_xlfn.XLOOKUP(records_CAGass[roomNo], dCAGass[Room no.], dCAGass[Spec])</f>
        <v>5</v>
      </c>
      <c r="X23" s="43">
        <f t="array" ref="X23">if(O23="","",IFERROR(_xlfn.xlookup(records_CAGass[ColonyCount]&amp;records_CAGass[AirSampler],feller[code],feller[Vc]),_xlfn.xlookup(9999&amp;records_CAGass[AirSampler],feller[code],feller[Vc])))</f>
        <v>0</v>
      </c>
      <c r="Y23" s="29" t="b">
        <v>0</v>
      </c>
      <c r="Z23" s="39" t="s">
        <v>235</v>
      </c>
      <c r="AA23" s="46"/>
      <c r="AB23" s="46"/>
      <c r="AC23" s="46"/>
      <c r="AD23" s="46"/>
      <c r="AE23" s="46"/>
      <c r="AF23" s="46"/>
      <c r="AG23" s="46"/>
      <c r="AH23" s="46"/>
      <c r="AI23" s="46"/>
    </row>
    <row r="24" ht="22.5" customHeight="1">
      <c r="A24" s="27">
        <v>46190.0</v>
      </c>
      <c r="B24" s="34" t="str">
        <f t="shared" si="1"/>
        <v>06-2026</v>
      </c>
      <c r="C24" s="36" t="s">
        <v>460</v>
      </c>
      <c r="D24" s="20" t="str">
        <f t="array" ref="D24">_xlfn.XLOOKUP(C24, dCAGass[Tag], dCAGass[Room no.])</f>
        <v>10-3-067</v>
      </c>
      <c r="E24" s="36" t="s">
        <v>191</v>
      </c>
      <c r="F24" s="34" t="s">
        <v>30</v>
      </c>
      <c r="G24" s="29" t="b">
        <v>1</v>
      </c>
      <c r="H24" s="34" t="s">
        <v>194</v>
      </c>
      <c r="I24" s="34" t="s">
        <v>194</v>
      </c>
      <c r="J24" s="34" t="s">
        <v>194</v>
      </c>
      <c r="K24" s="34" t="s">
        <v>194</v>
      </c>
      <c r="L24" s="34" t="s">
        <v>392</v>
      </c>
      <c r="M24" s="34" t="s">
        <v>393</v>
      </c>
      <c r="N24" s="48">
        <v>46273.0</v>
      </c>
      <c r="O24" s="50">
        <v>0.0</v>
      </c>
      <c r="P24" s="39"/>
      <c r="Q24" s="21" t="s">
        <v>203</v>
      </c>
      <c r="R24" s="39"/>
      <c r="S24" s="43"/>
      <c r="T24" s="54" t="str">
        <f t="array" ref="T24">_xlfn.XLOOKUP(records_CAGass[roomNo], dCAGass[Room no.], dCAGass[Room Name])</f>
        <v>COATING 6</v>
      </c>
      <c r="U24" s="56" t="str">
        <f t="array" ref="U24">_xlfn.XLOOKUP(records_CAGass[roomNo], dCAGass[Room no.], dCAGass[Bld])</f>
        <v>Building 10</v>
      </c>
      <c r="V24" s="56" t="str">
        <f t="array" ref="V24">if(A24="","",_xlfn.XLOOKUP(records_CAGass[roomNo], dCAGass[Room no.], dCAGass[Floor]))</f>
        <v>Floor 3</v>
      </c>
      <c r="W24" s="43">
        <f t="array" ref="W24">_xlfn.XLOOKUP(records_CAGass[roomNo], dCAGass[Room no.], dCAGass[Spec])</f>
        <v>5</v>
      </c>
      <c r="X24" s="43">
        <f t="array" ref="X24">if(O24="","",IFERROR(_xlfn.xlookup(records_CAGass[ColonyCount]&amp;records_CAGass[AirSampler],feller[code],feller[Vc]),_xlfn.xlookup(9999&amp;records_CAGass[AirSampler],feller[code],feller[Vc])))</f>
        <v>0</v>
      </c>
      <c r="Y24" s="29" t="b">
        <v>0</v>
      </c>
      <c r="Z24" s="39" t="s">
        <v>235</v>
      </c>
      <c r="AA24" s="46"/>
      <c r="AB24" s="46"/>
      <c r="AC24" s="46"/>
      <c r="AD24" s="46"/>
      <c r="AE24" s="46"/>
      <c r="AF24" s="46"/>
      <c r="AG24" s="46"/>
      <c r="AH24" s="46"/>
      <c r="AI24" s="46"/>
    </row>
    <row r="25" ht="22.5" customHeight="1">
      <c r="A25" s="27">
        <v>46190.0</v>
      </c>
      <c r="B25" s="34" t="str">
        <f t="shared" si="1"/>
        <v>06-2026</v>
      </c>
      <c r="C25" s="36" t="s">
        <v>467</v>
      </c>
      <c r="D25" s="20" t="str">
        <f t="array" ref="D25">_xlfn.XLOOKUP(C25, dCAGass[Tag], dCAGass[Room no.])</f>
        <v>10-3-124</v>
      </c>
      <c r="E25" s="36" t="s">
        <v>191</v>
      </c>
      <c r="F25" s="34" t="s">
        <v>30</v>
      </c>
      <c r="G25" s="29" t="b">
        <v>1</v>
      </c>
      <c r="H25" s="34" t="s">
        <v>194</v>
      </c>
      <c r="I25" s="34" t="s">
        <v>194</v>
      </c>
      <c r="J25" s="34" t="s">
        <v>194</v>
      </c>
      <c r="K25" s="34" t="s">
        <v>194</v>
      </c>
      <c r="L25" s="34" t="s">
        <v>392</v>
      </c>
      <c r="M25" s="34" t="s">
        <v>393</v>
      </c>
      <c r="N25" s="48">
        <v>46273.0</v>
      </c>
      <c r="O25" s="50">
        <v>0.0</v>
      </c>
      <c r="P25" s="39"/>
      <c r="Q25" s="21" t="s">
        <v>203</v>
      </c>
      <c r="R25" s="39"/>
      <c r="S25" s="43"/>
      <c r="T25" s="54" t="str">
        <f t="array" ref="T25">_xlfn.XLOOKUP(records_CAGass[roomNo], dCAGass[Room no.], dCAGass[Room Name])</f>
        <v>COMPRESSION 5</v>
      </c>
      <c r="U25" s="56" t="str">
        <f t="array" ref="U25">_xlfn.XLOOKUP(records_CAGass[roomNo], dCAGass[Room no.], dCAGass[Bld])</f>
        <v>Building 10</v>
      </c>
      <c r="V25" s="56" t="str">
        <f t="array" ref="V25">if(A25="","",_xlfn.XLOOKUP(records_CAGass[roomNo], dCAGass[Room no.], dCAGass[Floor]))</f>
        <v>Floor 3</v>
      </c>
      <c r="W25" s="43">
        <f t="array" ref="W25">_xlfn.XLOOKUP(records_CAGass[roomNo], dCAGass[Room no.], dCAGass[Spec])</f>
        <v>5</v>
      </c>
      <c r="X25" s="43">
        <f t="array" ref="X25">if(O25="","",IFERROR(_xlfn.xlookup(records_CAGass[ColonyCount]&amp;records_CAGass[AirSampler],feller[code],feller[Vc]),_xlfn.xlookup(9999&amp;records_CAGass[AirSampler],feller[code],feller[Vc])))</f>
        <v>0</v>
      </c>
      <c r="Y25" s="29" t="b">
        <v>0</v>
      </c>
      <c r="Z25" s="39" t="s">
        <v>235</v>
      </c>
      <c r="AA25" s="46"/>
      <c r="AB25" s="46"/>
      <c r="AC25" s="46"/>
      <c r="AD25" s="46"/>
      <c r="AE25" s="46"/>
      <c r="AF25" s="46"/>
      <c r="AG25" s="46"/>
      <c r="AH25" s="46"/>
      <c r="AI25" s="46"/>
    </row>
    <row r="26" ht="22.5" customHeight="1">
      <c r="A26" s="27">
        <v>46191.0</v>
      </c>
      <c r="B26" s="34" t="str">
        <f t="shared" si="1"/>
        <v>06-2026</v>
      </c>
      <c r="C26" s="36" t="s">
        <v>475</v>
      </c>
      <c r="D26" s="20" t="str">
        <f t="array" ref="D26">_xlfn.XLOOKUP(C26, dCAGass[Tag], dCAGass[Room no.])</f>
        <v>10-3-086</v>
      </c>
      <c r="E26" s="36" t="s">
        <v>191</v>
      </c>
      <c r="F26" s="34" t="s">
        <v>32</v>
      </c>
      <c r="G26" s="29" t="b">
        <v>1</v>
      </c>
      <c r="H26" s="34" t="s">
        <v>194</v>
      </c>
      <c r="I26" s="34" t="s">
        <v>194</v>
      </c>
      <c r="J26" s="34" t="s">
        <v>194</v>
      </c>
      <c r="K26" s="34" t="s">
        <v>194</v>
      </c>
      <c r="L26" s="34" t="s">
        <v>392</v>
      </c>
      <c r="M26" s="34" t="s">
        <v>393</v>
      </c>
      <c r="N26" s="48">
        <v>46273.0</v>
      </c>
      <c r="O26" s="50">
        <v>0.0</v>
      </c>
      <c r="P26" s="39"/>
      <c r="Q26" s="21" t="s">
        <v>203</v>
      </c>
      <c r="R26" s="39"/>
      <c r="S26" s="43"/>
      <c r="T26" s="54" t="str">
        <f t="array" ref="T26">_xlfn.XLOOKUP(records_CAGass[roomNo], dCAGass[Room no.], dCAGass[Room Name])</f>
        <v>TOOL WASHING</v>
      </c>
      <c r="U26" s="56" t="str">
        <f t="array" ref="U26">_xlfn.XLOOKUP(records_CAGass[roomNo], dCAGass[Room no.], dCAGass[Bld])</f>
        <v>Building 10</v>
      </c>
      <c r="V26" s="56" t="str">
        <f t="array" ref="V26">if(A26="","",_xlfn.XLOOKUP(records_CAGass[roomNo], dCAGass[Room no.], dCAGass[Floor]))</f>
        <v>Floor 3</v>
      </c>
      <c r="W26" s="43">
        <f t="array" ref="W26">_xlfn.XLOOKUP(records_CAGass[roomNo], dCAGass[Room no.], dCAGass[Spec])</f>
        <v>5</v>
      </c>
      <c r="X26" s="43">
        <f t="array" ref="X26">if(O26="","",IFERROR(_xlfn.xlookup(records_CAGass[ColonyCount]&amp;records_CAGass[AirSampler],feller[code],feller[Vc]),_xlfn.xlookup(9999&amp;records_CAGass[AirSampler],feller[code],feller[Vc])))</f>
        <v>0</v>
      </c>
      <c r="Y26" s="29" t="b">
        <v>0</v>
      </c>
      <c r="Z26" s="39" t="s">
        <v>235</v>
      </c>
      <c r="AA26" s="46"/>
      <c r="AB26" s="46"/>
      <c r="AC26" s="46"/>
      <c r="AD26" s="46"/>
      <c r="AE26" s="46"/>
      <c r="AF26" s="46"/>
      <c r="AG26" s="46"/>
      <c r="AH26" s="46"/>
      <c r="AI26" s="46"/>
    </row>
    <row r="27" ht="22.5" customHeight="1">
      <c r="A27" s="27">
        <v>46191.0</v>
      </c>
      <c r="B27" s="34" t="str">
        <f t="shared" si="1"/>
        <v>06-2026</v>
      </c>
      <c r="C27" s="36" t="s">
        <v>483</v>
      </c>
      <c r="D27" s="20" t="str">
        <f t="array" ref="D27">_xlfn.XLOOKUP(C27, dCAGass[Tag], dCAGass[Room no.])</f>
        <v>10-1-126</v>
      </c>
      <c r="E27" s="36" t="s">
        <v>191</v>
      </c>
      <c r="F27" s="34" t="s">
        <v>32</v>
      </c>
      <c r="G27" s="29" t="b">
        <v>1</v>
      </c>
      <c r="H27" s="34" t="s">
        <v>194</v>
      </c>
      <c r="I27" s="34" t="s">
        <v>194</v>
      </c>
      <c r="J27" s="34" t="s">
        <v>194</v>
      </c>
      <c r="K27" s="34" t="s">
        <v>194</v>
      </c>
      <c r="L27" s="34" t="s">
        <v>392</v>
      </c>
      <c r="M27" s="34" t="s">
        <v>393</v>
      </c>
      <c r="N27" s="48">
        <v>46273.0</v>
      </c>
      <c r="O27" s="50">
        <v>0.0</v>
      </c>
      <c r="P27" s="39"/>
      <c r="Q27" s="21" t="s">
        <v>203</v>
      </c>
      <c r="R27" s="39"/>
      <c r="S27" s="43"/>
      <c r="T27" s="54" t="str">
        <f t="array" ref="T27">_xlfn.XLOOKUP(records_CAGass[roomNo], dCAGass[Room no.], dCAGass[Room Name])</f>
        <v>BOTTLE CLEANING</v>
      </c>
      <c r="U27" s="56" t="str">
        <f t="array" ref="U27">_xlfn.XLOOKUP(records_CAGass[roomNo], dCAGass[Room no.], dCAGass[Bld])</f>
        <v>Building 10</v>
      </c>
      <c r="V27" s="56" t="str">
        <f t="array" ref="V27">if(A27="","",_xlfn.XLOOKUP(records_CAGass[roomNo], dCAGass[Room no.], dCAGass[Floor]))</f>
        <v>Floor 1</v>
      </c>
      <c r="W27" s="43">
        <f t="array" ref="W27">_xlfn.XLOOKUP(records_CAGass[roomNo], dCAGass[Room no.], dCAGass[Spec])</f>
        <v>5</v>
      </c>
      <c r="X27" s="43">
        <f t="array" ref="X27">if(O27="","",IFERROR(_xlfn.xlookup(records_CAGass[ColonyCount]&amp;records_CAGass[AirSampler],feller[code],feller[Vc]),_xlfn.xlookup(9999&amp;records_CAGass[AirSampler],feller[code],feller[Vc])))</f>
        <v>0</v>
      </c>
      <c r="Y27" s="29" t="b">
        <v>0</v>
      </c>
      <c r="Z27" s="39" t="s">
        <v>235</v>
      </c>
      <c r="AA27" s="46"/>
      <c r="AB27" s="46"/>
      <c r="AC27" s="46"/>
      <c r="AD27" s="46"/>
      <c r="AE27" s="46"/>
      <c r="AF27" s="46"/>
      <c r="AG27" s="46"/>
      <c r="AH27" s="46"/>
      <c r="AI27" s="46"/>
    </row>
    <row r="28" ht="22.5" customHeight="1">
      <c r="A28" s="27">
        <v>46192.0</v>
      </c>
      <c r="B28" s="34" t="str">
        <f t="shared" si="1"/>
        <v>06-2026</v>
      </c>
      <c r="C28" s="36" t="s">
        <v>491</v>
      </c>
      <c r="D28" s="20" t="str">
        <f t="array" ref="D28">_xlfn.XLOOKUP(C28, dCAGass[Tag], dCAGass[Room no.])</f>
        <v>10-1-122</v>
      </c>
      <c r="E28" s="36" t="s">
        <v>191</v>
      </c>
      <c r="F28" s="34" t="s">
        <v>34</v>
      </c>
      <c r="G28" s="29" t="b">
        <v>1</v>
      </c>
      <c r="H28" s="34" t="s">
        <v>194</v>
      </c>
      <c r="I28" s="34" t="s">
        <v>194</v>
      </c>
      <c r="J28" s="34" t="s">
        <v>194</v>
      </c>
      <c r="K28" s="34" t="s">
        <v>194</v>
      </c>
      <c r="L28" s="34" t="s">
        <v>392</v>
      </c>
      <c r="M28" s="34" t="s">
        <v>393</v>
      </c>
      <c r="N28" s="48">
        <v>46273.0</v>
      </c>
      <c r="O28" s="50">
        <v>0.0</v>
      </c>
      <c r="P28" s="39"/>
      <c r="Q28" s="21" t="s">
        <v>203</v>
      </c>
      <c r="R28" s="39"/>
      <c r="S28" s="43"/>
      <c r="T28" s="54" t="str">
        <f t="array" ref="T28">_xlfn.XLOOKUP(records_CAGass[roomNo], dCAGass[Room no.], dCAGass[Room Name])</f>
        <v>TABLETS INSPECTION 2</v>
      </c>
      <c r="U28" s="56" t="str">
        <f t="array" ref="U28">_xlfn.XLOOKUP(records_CAGass[roomNo], dCAGass[Room no.], dCAGass[Bld])</f>
        <v>Building 10</v>
      </c>
      <c r="V28" s="56" t="str">
        <f t="array" ref="V28">if(A28="","",_xlfn.XLOOKUP(records_CAGass[roomNo], dCAGass[Room no.], dCAGass[Floor]))</f>
        <v>Floor 1</v>
      </c>
      <c r="W28" s="43">
        <f t="array" ref="W28">_xlfn.XLOOKUP(records_CAGass[roomNo], dCAGass[Room no.], dCAGass[Spec])</f>
        <v>5</v>
      </c>
      <c r="X28" s="43">
        <f t="array" ref="X28">if(O28="","",IFERROR(_xlfn.xlookup(records_CAGass[ColonyCount]&amp;records_CAGass[AirSampler],feller[code],feller[Vc]),_xlfn.xlookup(9999&amp;records_CAGass[AirSampler],feller[code],feller[Vc])))</f>
        <v>0</v>
      </c>
      <c r="Y28" s="29" t="b">
        <v>0</v>
      </c>
      <c r="Z28" s="39" t="s">
        <v>235</v>
      </c>
      <c r="AA28" s="46"/>
      <c r="AB28" s="46"/>
      <c r="AC28" s="46"/>
      <c r="AD28" s="46"/>
      <c r="AE28" s="46"/>
      <c r="AF28" s="46"/>
      <c r="AG28" s="46"/>
      <c r="AH28" s="46"/>
      <c r="AI28" s="46"/>
    </row>
    <row r="29" ht="22.5" customHeight="1">
      <c r="A29" s="27">
        <v>46192.0</v>
      </c>
      <c r="B29" s="34" t="str">
        <f t="shared" si="1"/>
        <v>06-2026</v>
      </c>
      <c r="C29" s="36" t="s">
        <v>497</v>
      </c>
      <c r="D29" s="20" t="str">
        <f t="array" ref="D29">_xlfn.XLOOKUP(C29, dCAGass[Tag], dCAGass[Room no.])</f>
        <v>10-1-091</v>
      </c>
      <c r="E29" s="36" t="s">
        <v>191</v>
      </c>
      <c r="F29" s="34" t="s">
        <v>34</v>
      </c>
      <c r="G29" s="29" t="b">
        <v>1</v>
      </c>
      <c r="H29" s="34" t="s">
        <v>194</v>
      </c>
      <c r="I29" s="34" t="s">
        <v>194</v>
      </c>
      <c r="J29" s="34" t="s">
        <v>194</v>
      </c>
      <c r="K29" s="34" t="s">
        <v>194</v>
      </c>
      <c r="L29" s="34" t="s">
        <v>392</v>
      </c>
      <c r="M29" s="34" t="s">
        <v>393</v>
      </c>
      <c r="N29" s="48">
        <v>46273.0</v>
      </c>
      <c r="O29" s="50">
        <v>0.0</v>
      </c>
      <c r="P29" s="39"/>
      <c r="Q29" s="21" t="s">
        <v>203</v>
      </c>
      <c r="R29" s="39"/>
      <c r="S29" s="43"/>
      <c r="T29" s="54" t="str">
        <f t="array" ref="T29">_xlfn.XLOOKUP(records_CAGass[roomNo], dCAGass[Room no.], dCAGass[Room Name])</f>
        <v>BOTTLE CLEANING</v>
      </c>
      <c r="U29" s="56" t="str">
        <f t="array" ref="U29">_xlfn.XLOOKUP(records_CAGass[roomNo], dCAGass[Room no.], dCAGass[Bld])</f>
        <v>Building 10</v>
      </c>
      <c r="V29" s="56" t="str">
        <f t="array" ref="V29">if(A29="","",_xlfn.XLOOKUP(records_CAGass[roomNo], dCAGass[Room no.], dCAGass[Floor]))</f>
        <v>Floor 1</v>
      </c>
      <c r="W29" s="43">
        <f t="array" ref="W29">_xlfn.XLOOKUP(records_CAGass[roomNo], dCAGass[Room no.], dCAGass[Spec])</f>
        <v>5</v>
      </c>
      <c r="X29" s="43">
        <f t="array" ref="X29">if(O29="","",IFERROR(_xlfn.xlookup(records_CAGass[ColonyCount]&amp;records_CAGass[AirSampler],feller[code],feller[Vc]),_xlfn.xlookup(9999&amp;records_CAGass[AirSampler],feller[code],feller[Vc])))</f>
        <v>0</v>
      </c>
      <c r="Y29" s="29" t="b">
        <v>0</v>
      </c>
      <c r="Z29" s="39" t="s">
        <v>235</v>
      </c>
      <c r="AA29" s="46"/>
      <c r="AB29" s="46"/>
      <c r="AC29" s="46"/>
      <c r="AD29" s="46"/>
      <c r="AE29" s="46"/>
      <c r="AF29" s="46"/>
      <c r="AG29" s="46"/>
      <c r="AH29" s="46"/>
      <c r="AI29" s="46"/>
    </row>
    <row r="30" ht="22.5" customHeight="1">
      <c r="A30" s="27">
        <v>46192.0</v>
      </c>
      <c r="B30" s="34" t="str">
        <f t="shared" si="1"/>
        <v>06-2026</v>
      </c>
      <c r="C30" s="36" t="s">
        <v>510</v>
      </c>
      <c r="D30" s="20"/>
      <c r="E30" s="36" t="s">
        <v>191</v>
      </c>
      <c r="F30" s="34" t="s">
        <v>36</v>
      </c>
      <c r="G30" s="29" t="b">
        <v>1</v>
      </c>
      <c r="H30" s="34" t="s">
        <v>194</v>
      </c>
      <c r="I30" s="34" t="s">
        <v>194</v>
      </c>
      <c r="J30" s="34" t="s">
        <v>194</v>
      </c>
      <c r="K30" s="34" t="s">
        <v>194</v>
      </c>
      <c r="L30" s="34" t="s">
        <v>392</v>
      </c>
      <c r="M30" s="34" t="s">
        <v>393</v>
      </c>
      <c r="N30" s="48">
        <v>46273.0</v>
      </c>
      <c r="O30" s="50">
        <v>0.0</v>
      </c>
      <c r="P30" s="39" t="s">
        <v>511</v>
      </c>
      <c r="Q30" s="21" t="s">
        <v>203</v>
      </c>
      <c r="R30" s="39"/>
      <c r="S30" s="43"/>
      <c r="T30" s="54" t="str">
        <f t="array" ref="T30">_xlfn.XLOOKUP(records_CAGass[roomNo], dCAGass[Room no.], dCAGass[Room Name])</f>
        <v>#N/A</v>
      </c>
      <c r="U30" s="56" t="str">
        <f t="array" ref="U30">_xlfn.XLOOKUP(records_CAGass[roomNo], dCAGass[Room no.], dCAGass[Bld])</f>
        <v>#N/A</v>
      </c>
      <c r="V30" s="56" t="str">
        <f t="array" ref="V30">if(A30="","",_xlfn.XLOOKUP(records_CAGass[roomNo], dCAGass[Room no.], dCAGass[Floor]))</f>
        <v>#N/A</v>
      </c>
      <c r="W30" s="43" t="str">
        <f t="array" ref="W30">_xlfn.XLOOKUP(records_CAGass[roomNo], dCAGass[Room no.], dCAGass[Spec])</f>
        <v>#N/A</v>
      </c>
      <c r="X30" s="43">
        <f t="array" ref="X30">if(O30="","",IFERROR(_xlfn.xlookup(records_CAGass[ColonyCount]&amp;records_CAGass[AirSampler],feller[code],feller[Vc]),_xlfn.xlookup(9999&amp;records_CAGass[AirSampler],feller[code],feller[Vc])))</f>
        <v>0</v>
      </c>
      <c r="Y30" s="29" t="b">
        <v>0</v>
      </c>
      <c r="Z30" s="39" t="s">
        <v>235</v>
      </c>
      <c r="AA30" s="46"/>
      <c r="AB30" s="46"/>
      <c r="AC30" s="46"/>
      <c r="AD30" s="46"/>
      <c r="AE30" s="46"/>
      <c r="AF30" s="46"/>
      <c r="AG30" s="46"/>
      <c r="AH30" s="46"/>
      <c r="AI30" s="46"/>
    </row>
    <row r="31" ht="22.5" customHeight="1">
      <c r="A31" s="27">
        <v>46195.0</v>
      </c>
      <c r="B31" s="34" t="str">
        <f t="shared" si="1"/>
        <v>06-2026</v>
      </c>
      <c r="C31" s="36" t="s">
        <v>519</v>
      </c>
      <c r="D31" s="20" t="str">
        <f t="array" ref="D31">_xlfn.XLOOKUP(C31, dCAGass[Tag], dCAGass[Room no.])</f>
        <v>10-3-104</v>
      </c>
      <c r="E31" s="36" t="s">
        <v>191</v>
      </c>
      <c r="F31" s="34" t="s">
        <v>44</v>
      </c>
      <c r="G31" s="29" t="b">
        <v>1</v>
      </c>
      <c r="H31" s="34" t="s">
        <v>194</v>
      </c>
      <c r="I31" s="34" t="s">
        <v>194</v>
      </c>
      <c r="J31" s="34" t="s">
        <v>194</v>
      </c>
      <c r="K31" s="34" t="s">
        <v>194</v>
      </c>
      <c r="L31" s="34" t="s">
        <v>392</v>
      </c>
      <c r="M31" s="34" t="s">
        <v>393</v>
      </c>
      <c r="N31" s="48">
        <v>46273.0</v>
      </c>
      <c r="O31" s="50">
        <v>0.0</v>
      </c>
      <c r="P31" s="39"/>
      <c r="Q31" s="21" t="s">
        <v>203</v>
      </c>
      <c r="R31" s="39"/>
      <c r="S31" s="43"/>
      <c r="T31" s="54" t="str">
        <f t="array" ref="T31">_xlfn.XLOOKUP(records_CAGass[roomNo], dCAGass[Room no.], dCAGass[Room Name])</f>
        <v>BINDER PREPARATION</v>
      </c>
      <c r="U31" s="56" t="str">
        <f t="array" ref="U31">_xlfn.XLOOKUP(records_CAGass[roomNo], dCAGass[Room no.], dCAGass[Bld])</f>
        <v>Building 10</v>
      </c>
      <c r="V31" s="56" t="str">
        <f t="array" ref="V31">if(A31="","",_xlfn.XLOOKUP(records_CAGass[roomNo], dCAGass[Room no.], dCAGass[Floor]))</f>
        <v>Floor 3</v>
      </c>
      <c r="W31" s="43">
        <f t="array" ref="W31">_xlfn.XLOOKUP(records_CAGass[roomNo], dCAGass[Room no.], dCAGass[Spec])</f>
        <v>5</v>
      </c>
      <c r="X31" s="43">
        <f t="array" ref="X31">if(O31="","",IFERROR(_xlfn.xlookup(records_CAGass[ColonyCount]&amp;records_CAGass[AirSampler],feller[code],feller[Vc]),_xlfn.xlookup(9999&amp;records_CAGass[AirSampler],feller[code],feller[Vc])))</f>
        <v>0</v>
      </c>
      <c r="Y31" s="29" t="b">
        <v>0</v>
      </c>
      <c r="Z31" s="39" t="s">
        <v>235</v>
      </c>
      <c r="AA31" s="46"/>
      <c r="AB31" s="46"/>
      <c r="AC31" s="46"/>
      <c r="AD31" s="46"/>
      <c r="AE31" s="46"/>
      <c r="AF31" s="46"/>
      <c r="AG31" s="46"/>
      <c r="AH31" s="46"/>
      <c r="AI31" s="46"/>
    </row>
    <row r="32" ht="22.5" customHeight="1">
      <c r="A32" s="27">
        <v>46240.0</v>
      </c>
      <c r="B32" s="34" t="str">
        <f t="shared" si="1"/>
        <v>08-2026</v>
      </c>
      <c r="C32" s="36" t="s">
        <v>525</v>
      </c>
      <c r="D32" s="20" t="str">
        <f t="array" ref="D32">_xlfn.XLOOKUP(C32, dCAGass[Tag], dCAGass[Room no.])</f>
        <v>10-1-093</v>
      </c>
      <c r="E32" s="36" t="s">
        <v>191</v>
      </c>
      <c r="F32" s="34" t="s">
        <v>97</v>
      </c>
      <c r="G32" s="29" t="b">
        <v>1</v>
      </c>
      <c r="H32" s="65" t="s">
        <v>194</v>
      </c>
      <c r="I32" s="65" t="s">
        <v>194</v>
      </c>
      <c r="J32" s="65" t="s">
        <v>194</v>
      </c>
      <c r="K32" s="65" t="s">
        <v>194</v>
      </c>
      <c r="L32" s="34" t="s">
        <v>527</v>
      </c>
      <c r="M32" s="34" t="s">
        <v>528</v>
      </c>
      <c r="N32" s="48">
        <v>46286.0</v>
      </c>
      <c r="O32" s="50">
        <v>0.0</v>
      </c>
      <c r="P32" s="66" t="s">
        <v>334</v>
      </c>
      <c r="Q32" s="21" t="s">
        <v>203</v>
      </c>
      <c r="R32" s="39"/>
      <c r="S32" s="43"/>
      <c r="T32" s="54" t="str">
        <f t="array" ref="T32">_xlfn.XLOOKUP(records_CAGass[roomNo], dCAGass[Room no.], dCAGass[Room Name])</f>
        <v>BLISTER PACKING 1</v>
      </c>
      <c r="U32" s="56" t="str">
        <f t="array" ref="U32">_xlfn.XLOOKUP(records_CAGass[roomNo], dCAGass[Room no.], dCAGass[Bld])</f>
        <v>Building 10</v>
      </c>
      <c r="V32" s="56" t="str">
        <f t="array" ref="V32">if(A32="","",_xlfn.XLOOKUP(records_CAGass[roomNo], dCAGass[Room no.], dCAGass[Floor]))</f>
        <v>Floor 1</v>
      </c>
      <c r="W32" s="43">
        <f t="array" ref="W32">_xlfn.XLOOKUP(records_CAGass[roomNo], dCAGass[Room no.], dCAGass[Spec])</f>
        <v>5</v>
      </c>
      <c r="X32" s="43">
        <f t="array" ref="X32">if(O32="","",IFERROR(_xlfn.xlookup(records_CAGass[ColonyCount]&amp;records_CAGass[AirSampler],feller[code],feller[Vc]),_xlfn.xlookup(9999&amp;records_CAGass[AirSampler],feller[code],feller[Vc])))</f>
        <v>0</v>
      </c>
      <c r="Y32" s="29" t="b">
        <v>0</v>
      </c>
      <c r="Z32" s="39" t="s">
        <v>235</v>
      </c>
      <c r="AA32" s="46"/>
      <c r="AB32" s="46"/>
      <c r="AC32" s="46"/>
      <c r="AD32" s="46"/>
      <c r="AE32" s="46"/>
      <c r="AF32" s="46"/>
      <c r="AG32" s="46"/>
      <c r="AH32" s="46"/>
      <c r="AI32" s="46"/>
    </row>
    <row r="33" ht="22.5" customHeight="1">
      <c r="A33" s="27">
        <v>46240.0</v>
      </c>
      <c r="B33" s="34" t="str">
        <f t="shared" si="1"/>
        <v>08-2026</v>
      </c>
      <c r="C33" s="36" t="s">
        <v>537</v>
      </c>
      <c r="D33" s="20" t="str">
        <f t="array" ref="D33">_xlfn.XLOOKUP(C33, dCAGass[Tag], dCAGass[Room no.])</f>
        <v>10-1-094</v>
      </c>
      <c r="E33" s="36" t="s">
        <v>191</v>
      </c>
      <c r="F33" s="34" t="s">
        <v>97</v>
      </c>
      <c r="G33" s="29" t="b">
        <v>1</v>
      </c>
      <c r="H33" s="65" t="s">
        <v>194</v>
      </c>
      <c r="I33" s="65" t="s">
        <v>194</v>
      </c>
      <c r="J33" s="65" t="s">
        <v>194</v>
      </c>
      <c r="K33" s="65" t="s">
        <v>194</v>
      </c>
      <c r="L33" s="34" t="s">
        <v>527</v>
      </c>
      <c r="M33" s="34" t="s">
        <v>528</v>
      </c>
      <c r="N33" s="48">
        <v>46286.0</v>
      </c>
      <c r="O33" s="50">
        <v>0.0</v>
      </c>
      <c r="P33" s="66" t="s">
        <v>323</v>
      </c>
      <c r="Q33" s="21" t="s">
        <v>203</v>
      </c>
      <c r="R33" s="39"/>
      <c r="S33" s="43"/>
      <c r="T33" s="54" t="str">
        <f t="array" ref="T33">_xlfn.XLOOKUP(records_CAGass[roomNo], dCAGass[Room no.], dCAGass[Room Name])</f>
        <v>BLISTER PACKING 2</v>
      </c>
      <c r="U33" s="56" t="str">
        <f t="array" ref="U33">_xlfn.XLOOKUP(records_CAGass[roomNo], dCAGass[Room no.], dCAGass[Bld])</f>
        <v>Building 10</v>
      </c>
      <c r="V33" s="56" t="str">
        <f t="array" ref="V33">if(A33="","",_xlfn.XLOOKUP(records_CAGass[roomNo], dCAGass[Room no.], dCAGass[Floor]))</f>
        <v>Floor 1</v>
      </c>
      <c r="W33" s="43">
        <f t="array" ref="W33">_xlfn.XLOOKUP(records_CAGass[roomNo], dCAGass[Room no.], dCAGass[Spec])</f>
        <v>5</v>
      </c>
      <c r="X33" s="43">
        <f t="array" ref="X33">if(O33="","",IFERROR(_xlfn.xlookup(records_CAGass[ColonyCount]&amp;records_CAGass[AirSampler],feller[code],feller[Vc]),_xlfn.xlookup(9999&amp;records_CAGass[AirSampler],feller[code],feller[Vc])))</f>
        <v>0</v>
      </c>
      <c r="Y33" s="29" t="b">
        <v>0</v>
      </c>
      <c r="Z33" s="39" t="s">
        <v>235</v>
      </c>
      <c r="AA33" s="46"/>
      <c r="AB33" s="46"/>
      <c r="AC33" s="46"/>
      <c r="AD33" s="46"/>
      <c r="AE33" s="46"/>
      <c r="AF33" s="46"/>
      <c r="AG33" s="46"/>
      <c r="AH33" s="46"/>
      <c r="AI33" s="46"/>
    </row>
    <row r="34" ht="22.5" customHeight="1">
      <c r="A34" s="27">
        <v>46240.0</v>
      </c>
      <c r="B34" s="34" t="str">
        <f t="shared" si="1"/>
        <v>08-2026</v>
      </c>
      <c r="C34" s="36" t="s">
        <v>541</v>
      </c>
      <c r="D34" s="20" t="str">
        <f t="array" ref="D34">_xlfn.XLOOKUP(C34, dCAGass[Tag], dCAGass[Room no.])</f>
        <v>10-1-094</v>
      </c>
      <c r="E34" s="36" t="s">
        <v>191</v>
      </c>
      <c r="F34" s="34" t="s">
        <v>97</v>
      </c>
      <c r="G34" s="29" t="b">
        <v>1</v>
      </c>
      <c r="H34" s="65" t="s">
        <v>194</v>
      </c>
      <c r="I34" s="65" t="s">
        <v>194</v>
      </c>
      <c r="J34" s="65" t="s">
        <v>194</v>
      </c>
      <c r="K34" s="65" t="s">
        <v>194</v>
      </c>
      <c r="L34" s="34" t="s">
        <v>527</v>
      </c>
      <c r="M34" s="34" t="s">
        <v>528</v>
      </c>
      <c r="N34" s="48">
        <v>46286.0</v>
      </c>
      <c r="O34" s="50">
        <v>0.0</v>
      </c>
      <c r="P34" s="66" t="s">
        <v>334</v>
      </c>
      <c r="Q34" s="21" t="s">
        <v>203</v>
      </c>
      <c r="R34" s="39"/>
      <c r="S34" s="43"/>
      <c r="T34" s="54" t="str">
        <f t="array" ref="T34">_xlfn.XLOOKUP(records_CAGass[roomNo], dCAGass[Room no.], dCAGass[Room Name])</f>
        <v>BLISTER PACKING 2</v>
      </c>
      <c r="U34" s="56" t="str">
        <f t="array" ref="U34">_xlfn.XLOOKUP(records_CAGass[roomNo], dCAGass[Room no.], dCAGass[Bld])</f>
        <v>Building 10</v>
      </c>
      <c r="V34" s="56" t="str">
        <f t="array" ref="V34">if(A34="","",_xlfn.XLOOKUP(records_CAGass[roomNo], dCAGass[Room no.], dCAGass[Floor]))</f>
        <v>Floor 1</v>
      </c>
      <c r="W34" s="43">
        <f t="array" ref="W34">_xlfn.XLOOKUP(records_CAGass[roomNo], dCAGass[Room no.], dCAGass[Spec])</f>
        <v>5</v>
      </c>
      <c r="X34" s="43">
        <f t="array" ref="X34">if(O34="","",IFERROR(_xlfn.xlookup(records_CAGass[ColonyCount]&amp;records_CAGass[AirSampler],feller[code],feller[Vc]),_xlfn.xlookup(9999&amp;records_CAGass[AirSampler],feller[code],feller[Vc])))</f>
        <v>0</v>
      </c>
      <c r="Y34" s="29" t="b">
        <v>0</v>
      </c>
      <c r="Z34" s="39" t="s">
        <v>235</v>
      </c>
      <c r="AA34" s="46"/>
      <c r="AB34" s="46"/>
      <c r="AC34" s="46"/>
      <c r="AD34" s="46"/>
      <c r="AE34" s="46"/>
      <c r="AF34" s="46"/>
      <c r="AG34" s="46"/>
      <c r="AH34" s="46"/>
      <c r="AI34" s="46"/>
    </row>
    <row r="35" ht="22.5" customHeight="1">
      <c r="A35" s="27">
        <v>46240.0</v>
      </c>
      <c r="B35" s="34" t="str">
        <f t="shared" si="1"/>
        <v>08-2026</v>
      </c>
      <c r="C35" s="36" t="s">
        <v>548</v>
      </c>
      <c r="D35" s="20" t="str">
        <f t="array" ref="D35">_xlfn.XLOOKUP(C35, dCAGass[Tag], dCAGass[Room no.])</f>
        <v>10-1-095</v>
      </c>
      <c r="E35" s="36" t="s">
        <v>191</v>
      </c>
      <c r="F35" s="34" t="s">
        <v>97</v>
      </c>
      <c r="G35" s="29" t="b">
        <v>1</v>
      </c>
      <c r="H35" s="65" t="s">
        <v>194</v>
      </c>
      <c r="I35" s="65" t="s">
        <v>194</v>
      </c>
      <c r="J35" s="65" t="s">
        <v>194</v>
      </c>
      <c r="K35" s="65" t="s">
        <v>194</v>
      </c>
      <c r="L35" s="34" t="s">
        <v>527</v>
      </c>
      <c r="M35" s="34" t="s">
        <v>528</v>
      </c>
      <c r="N35" s="48">
        <v>46286.0</v>
      </c>
      <c r="O35" s="50">
        <v>0.0</v>
      </c>
      <c r="P35" s="66" t="s">
        <v>342</v>
      </c>
      <c r="Q35" s="21" t="s">
        <v>203</v>
      </c>
      <c r="R35" s="39"/>
      <c r="S35" s="43"/>
      <c r="T35" s="54" t="str">
        <f t="array" ref="T35">_xlfn.XLOOKUP(records_CAGass[roomNo], dCAGass[Room no.], dCAGass[Room Name])</f>
        <v>BLISTER PACKING 3</v>
      </c>
      <c r="U35" s="56" t="str">
        <f t="array" ref="U35">_xlfn.XLOOKUP(records_CAGass[roomNo], dCAGass[Room no.], dCAGass[Bld])</f>
        <v>Building 10</v>
      </c>
      <c r="V35" s="56" t="str">
        <f t="array" ref="V35">if(A35="","",_xlfn.XLOOKUP(records_CAGass[roomNo], dCAGass[Room no.], dCAGass[Floor]))</f>
        <v>Floor 1</v>
      </c>
      <c r="W35" s="43">
        <f t="array" ref="W35">_xlfn.XLOOKUP(records_CAGass[roomNo], dCAGass[Room no.], dCAGass[Spec])</f>
        <v>5</v>
      </c>
      <c r="X35" s="43">
        <f t="array" ref="X35">if(O35="","",IFERROR(_xlfn.xlookup(records_CAGass[ColonyCount]&amp;records_CAGass[AirSampler],feller[code],feller[Vc]),_xlfn.xlookup(9999&amp;records_CAGass[AirSampler],feller[code],feller[Vc])))</f>
        <v>0</v>
      </c>
      <c r="Y35" s="29" t="b">
        <v>0</v>
      </c>
      <c r="Z35" s="39" t="s">
        <v>235</v>
      </c>
      <c r="AA35" s="46"/>
      <c r="AB35" s="46"/>
      <c r="AC35" s="46"/>
      <c r="AD35" s="46"/>
      <c r="AE35" s="46"/>
      <c r="AF35" s="46"/>
      <c r="AG35" s="46"/>
      <c r="AH35" s="46"/>
      <c r="AI35" s="46"/>
    </row>
    <row r="36" ht="22.5" customHeight="1">
      <c r="A36" s="27">
        <v>46240.0</v>
      </c>
      <c r="B36" s="34" t="str">
        <f t="shared" si="1"/>
        <v>08-2026</v>
      </c>
      <c r="C36" s="36" t="s">
        <v>554</v>
      </c>
      <c r="D36" s="20" t="str">
        <f t="array" ref="D36">_xlfn.XLOOKUP(C36, dCAGass[Tag], dCAGass[Room no.])</f>
        <v>10-1-096</v>
      </c>
      <c r="E36" s="36" t="s">
        <v>191</v>
      </c>
      <c r="F36" s="34" t="s">
        <v>97</v>
      </c>
      <c r="G36" s="29" t="b">
        <v>1</v>
      </c>
      <c r="H36" s="65" t="s">
        <v>194</v>
      </c>
      <c r="I36" s="65" t="s">
        <v>194</v>
      </c>
      <c r="J36" s="65" t="s">
        <v>194</v>
      </c>
      <c r="K36" s="65" t="s">
        <v>194</v>
      </c>
      <c r="L36" s="34" t="s">
        <v>527</v>
      </c>
      <c r="M36" s="34" t="s">
        <v>528</v>
      </c>
      <c r="N36" s="48">
        <v>46286.0</v>
      </c>
      <c r="O36" s="50">
        <v>0.0</v>
      </c>
      <c r="P36" s="66" t="s">
        <v>349</v>
      </c>
      <c r="Q36" s="21" t="s">
        <v>203</v>
      </c>
      <c r="R36" s="39"/>
      <c r="S36" s="43"/>
      <c r="T36" s="54" t="str">
        <f t="array" ref="T36">_xlfn.XLOOKUP(records_CAGass[roomNo], dCAGass[Room no.], dCAGass[Room Name])</f>
        <v>BLISTER PACKING 4</v>
      </c>
      <c r="U36" s="56" t="str">
        <f t="array" ref="U36">_xlfn.XLOOKUP(records_CAGass[roomNo], dCAGass[Room no.], dCAGass[Bld])</f>
        <v>Building 10</v>
      </c>
      <c r="V36" s="56" t="str">
        <f t="array" ref="V36">if(A36="","",_xlfn.XLOOKUP(records_CAGass[roomNo], dCAGass[Room no.], dCAGass[Floor]))</f>
        <v>Floor 1</v>
      </c>
      <c r="W36" s="43">
        <f t="array" ref="W36">_xlfn.XLOOKUP(records_CAGass[roomNo], dCAGass[Room no.], dCAGass[Spec])</f>
        <v>5</v>
      </c>
      <c r="X36" s="43">
        <f t="array" ref="X36">if(O36="","",IFERROR(_xlfn.xlookup(records_CAGass[ColonyCount]&amp;records_CAGass[AirSampler],feller[code],feller[Vc]),_xlfn.xlookup(9999&amp;records_CAGass[AirSampler],feller[code],feller[Vc])))</f>
        <v>0</v>
      </c>
      <c r="Y36" s="29" t="b">
        <v>0</v>
      </c>
      <c r="Z36" s="39" t="s">
        <v>235</v>
      </c>
      <c r="AA36" s="46"/>
      <c r="AB36" s="46"/>
      <c r="AC36" s="46"/>
      <c r="AD36" s="46"/>
      <c r="AE36" s="46"/>
      <c r="AF36" s="46"/>
      <c r="AG36" s="46"/>
      <c r="AH36" s="46"/>
      <c r="AI36" s="46"/>
    </row>
    <row r="37" ht="22.5" customHeight="1">
      <c r="A37" s="27">
        <v>46240.0</v>
      </c>
      <c r="B37" s="34" t="str">
        <f t="shared" si="1"/>
        <v>08-2026</v>
      </c>
      <c r="C37" s="36" t="s">
        <v>559</v>
      </c>
      <c r="D37" s="20" t="str">
        <f t="array" ref="D37">_xlfn.XLOOKUP(C37, dCAGass[Tag], dCAGass[Room no.])</f>
        <v>10-1-098</v>
      </c>
      <c r="E37" s="36" t="s">
        <v>191</v>
      </c>
      <c r="F37" s="34" t="s">
        <v>97</v>
      </c>
      <c r="G37" s="29" t="b">
        <v>1</v>
      </c>
      <c r="H37" s="65" t="s">
        <v>194</v>
      </c>
      <c r="I37" s="65" t="s">
        <v>194</v>
      </c>
      <c r="J37" s="65" t="s">
        <v>194</v>
      </c>
      <c r="K37" s="65" t="s">
        <v>194</v>
      </c>
      <c r="L37" s="34" t="s">
        <v>527</v>
      </c>
      <c r="M37" s="34" t="s">
        <v>528</v>
      </c>
      <c r="N37" s="48">
        <v>46286.0</v>
      </c>
      <c r="O37" s="50">
        <v>0.0</v>
      </c>
      <c r="P37" s="66" t="s">
        <v>371</v>
      </c>
      <c r="Q37" s="21" t="s">
        <v>203</v>
      </c>
      <c r="R37" s="39"/>
      <c r="S37" s="43"/>
      <c r="T37" s="54" t="str">
        <f t="array" ref="T37">_xlfn.XLOOKUP(records_CAGass[roomNo], dCAGass[Room no.], dCAGass[Room Name])</f>
        <v>BLISTER PACKING 6</v>
      </c>
      <c r="U37" s="56" t="str">
        <f t="array" ref="U37">_xlfn.XLOOKUP(records_CAGass[roomNo], dCAGass[Room no.], dCAGass[Bld])</f>
        <v>Building 10</v>
      </c>
      <c r="V37" s="56" t="str">
        <f t="array" ref="V37">if(A37="","",_xlfn.XLOOKUP(records_CAGass[roomNo], dCAGass[Room no.], dCAGass[Floor]))</f>
        <v>Floor 1</v>
      </c>
      <c r="W37" s="43">
        <f t="array" ref="W37">_xlfn.XLOOKUP(records_CAGass[roomNo], dCAGass[Room no.], dCAGass[Spec])</f>
        <v>5</v>
      </c>
      <c r="X37" s="43">
        <f t="array" ref="X37">if(O37="","",IFERROR(_xlfn.xlookup(records_CAGass[ColonyCount]&amp;records_CAGass[AirSampler],feller[code],feller[Vc]),_xlfn.xlookup(9999&amp;records_CAGass[AirSampler],feller[code],feller[Vc])))</f>
        <v>0</v>
      </c>
      <c r="Y37" s="29" t="b">
        <v>0</v>
      </c>
      <c r="Z37" s="39" t="s">
        <v>235</v>
      </c>
      <c r="AA37" s="46"/>
      <c r="AB37" s="46"/>
      <c r="AC37" s="46"/>
      <c r="AD37" s="46"/>
      <c r="AE37" s="46"/>
      <c r="AF37" s="46"/>
      <c r="AG37" s="46"/>
      <c r="AH37" s="46"/>
      <c r="AI37" s="46"/>
    </row>
    <row r="38" ht="22.5" customHeight="1">
      <c r="A38" s="27">
        <v>46240.0</v>
      </c>
      <c r="B38" s="34" t="str">
        <f t="shared" si="1"/>
        <v>08-2026</v>
      </c>
      <c r="C38" s="36" t="s">
        <v>567</v>
      </c>
      <c r="D38" s="20" t="str">
        <f t="array" ref="D38">_xlfn.XLOOKUP(C38, dCAGass[Tag], dCAGass[Room no.])</f>
        <v>10-1-099</v>
      </c>
      <c r="E38" s="36" t="s">
        <v>191</v>
      </c>
      <c r="F38" s="34" t="s">
        <v>97</v>
      </c>
      <c r="G38" s="29" t="b">
        <v>1</v>
      </c>
      <c r="H38" s="65" t="s">
        <v>194</v>
      </c>
      <c r="I38" s="65" t="s">
        <v>194</v>
      </c>
      <c r="J38" s="65" t="s">
        <v>194</v>
      </c>
      <c r="K38" s="65" t="s">
        <v>194</v>
      </c>
      <c r="L38" s="34" t="s">
        <v>527</v>
      </c>
      <c r="M38" s="34" t="s">
        <v>528</v>
      </c>
      <c r="N38" s="48">
        <v>46286.0</v>
      </c>
      <c r="O38" s="50">
        <v>0.0</v>
      </c>
      <c r="P38" s="66" t="s">
        <v>376</v>
      </c>
      <c r="Q38" s="21" t="s">
        <v>203</v>
      </c>
      <c r="R38" s="39"/>
      <c r="S38" s="43"/>
      <c r="T38" s="54" t="str">
        <f t="array" ref="T38">_xlfn.XLOOKUP(records_CAGass[roomNo], dCAGass[Room no.], dCAGass[Room Name])</f>
        <v>BLISTER PACKING 4 (LOW RH)</v>
      </c>
      <c r="U38" s="56" t="str">
        <f t="array" ref="U38">_xlfn.XLOOKUP(records_CAGass[roomNo], dCAGass[Room no.], dCAGass[Bld])</f>
        <v>Building 10</v>
      </c>
      <c r="V38" s="56" t="str">
        <f t="array" ref="V38">if(A38="","",_xlfn.XLOOKUP(records_CAGass[roomNo], dCAGass[Room no.], dCAGass[Floor]))</f>
        <v>Floor 1</v>
      </c>
      <c r="W38" s="43">
        <f t="array" ref="W38">_xlfn.XLOOKUP(records_CAGass[roomNo], dCAGass[Room no.], dCAGass[Spec])</f>
        <v>5</v>
      </c>
      <c r="X38" s="43">
        <f t="array" ref="X38">if(O38="","",IFERROR(_xlfn.xlookup(records_CAGass[ColonyCount]&amp;records_CAGass[AirSampler],feller[code],feller[Vc]),_xlfn.xlookup(9999&amp;records_CAGass[AirSampler],feller[code],feller[Vc])))</f>
        <v>0</v>
      </c>
      <c r="Y38" s="29" t="b">
        <v>0</v>
      </c>
      <c r="Z38" s="39" t="s">
        <v>235</v>
      </c>
      <c r="AA38" s="46"/>
      <c r="AB38" s="46"/>
      <c r="AC38" s="46"/>
      <c r="AD38" s="46"/>
      <c r="AE38" s="46"/>
      <c r="AF38" s="46"/>
      <c r="AG38" s="46"/>
      <c r="AH38" s="46"/>
      <c r="AI38" s="46"/>
    </row>
    <row r="39" ht="22.5" customHeight="1">
      <c r="A39" s="27">
        <v>46240.0</v>
      </c>
      <c r="B39" s="34" t="str">
        <f t="shared" si="1"/>
        <v>08-2026</v>
      </c>
      <c r="C39" s="36" t="s">
        <v>576</v>
      </c>
      <c r="D39" s="20" t="str">
        <f t="array" ref="D39">_xlfn.XLOOKUP(C39, dCAGass[Tag], dCAGass[Room no.])</f>
        <v>10-1-100</v>
      </c>
      <c r="E39" s="36" t="s">
        <v>191</v>
      </c>
      <c r="F39" s="34" t="s">
        <v>97</v>
      </c>
      <c r="G39" s="29" t="b">
        <v>1</v>
      </c>
      <c r="H39" s="65" t="s">
        <v>194</v>
      </c>
      <c r="I39" s="65" t="s">
        <v>194</v>
      </c>
      <c r="J39" s="65" t="s">
        <v>194</v>
      </c>
      <c r="K39" s="65" t="s">
        <v>194</v>
      </c>
      <c r="L39" s="34" t="s">
        <v>527</v>
      </c>
      <c r="M39" s="34" t="s">
        <v>528</v>
      </c>
      <c r="N39" s="48">
        <v>46286.0</v>
      </c>
      <c r="O39" s="50">
        <v>0.0</v>
      </c>
      <c r="P39" s="66" t="s">
        <v>385</v>
      </c>
      <c r="Q39" s="21" t="s">
        <v>203</v>
      </c>
      <c r="R39" s="39"/>
      <c r="S39" s="43"/>
      <c r="T39" s="54" t="str">
        <f t="array" ref="T39">_xlfn.XLOOKUP(records_CAGass[roomNo], dCAGass[Room no.], dCAGass[Room Name])</f>
        <v>BLISTER PACKING 5 (LOW RH)</v>
      </c>
      <c r="U39" s="56" t="str">
        <f t="array" ref="U39">_xlfn.XLOOKUP(records_CAGass[roomNo], dCAGass[Room no.], dCAGass[Bld])</f>
        <v>Building 10</v>
      </c>
      <c r="V39" s="56" t="str">
        <f t="array" ref="V39">if(A39="","",_xlfn.XLOOKUP(records_CAGass[roomNo], dCAGass[Room no.], dCAGass[Floor]))</f>
        <v>Floor 1</v>
      </c>
      <c r="W39" s="43">
        <f t="array" ref="W39">_xlfn.XLOOKUP(records_CAGass[roomNo], dCAGass[Room no.], dCAGass[Spec])</f>
        <v>5</v>
      </c>
      <c r="X39" s="43">
        <f t="array" ref="X39">if(O39="","",IFERROR(_xlfn.xlookup(records_CAGass[ColonyCount]&amp;records_CAGass[AirSampler],feller[code],feller[Vc]),_xlfn.xlookup(9999&amp;records_CAGass[AirSampler],feller[code],feller[Vc])))</f>
        <v>0</v>
      </c>
      <c r="Y39" s="29" t="b">
        <v>0</v>
      </c>
      <c r="Z39" s="39" t="s">
        <v>235</v>
      </c>
      <c r="AA39" s="46"/>
      <c r="AB39" s="46"/>
      <c r="AC39" s="46"/>
      <c r="AD39" s="46"/>
      <c r="AE39" s="46"/>
      <c r="AF39" s="46"/>
      <c r="AG39" s="46"/>
      <c r="AH39" s="46"/>
      <c r="AI39" s="46"/>
    </row>
    <row r="40" ht="22.5" customHeight="1">
      <c r="A40" s="27">
        <v>46240.0</v>
      </c>
      <c r="B40" s="34" t="str">
        <f t="shared" si="1"/>
        <v>08-2026</v>
      </c>
      <c r="C40" s="36" t="s">
        <v>497</v>
      </c>
      <c r="D40" s="20" t="str">
        <f t="array" ref="D40">_xlfn.XLOOKUP(C40, dCAGass[Tag], dCAGass[Room no.])</f>
        <v>10-1-091</v>
      </c>
      <c r="E40" s="36" t="s">
        <v>191</v>
      </c>
      <c r="F40" s="34" t="s">
        <v>97</v>
      </c>
      <c r="G40" s="29" t="b">
        <v>1</v>
      </c>
      <c r="H40" s="65" t="s">
        <v>194</v>
      </c>
      <c r="I40" s="65" t="s">
        <v>194</v>
      </c>
      <c r="J40" s="65" t="s">
        <v>194</v>
      </c>
      <c r="K40" s="65" t="s">
        <v>194</v>
      </c>
      <c r="L40" s="34" t="s">
        <v>527</v>
      </c>
      <c r="M40" s="34" t="s">
        <v>528</v>
      </c>
      <c r="N40" s="48">
        <v>46286.0</v>
      </c>
      <c r="O40" s="50">
        <v>0.0</v>
      </c>
      <c r="P40" s="66" t="s">
        <v>409</v>
      </c>
      <c r="Q40" s="21" t="s">
        <v>203</v>
      </c>
      <c r="R40" s="39"/>
      <c r="S40" s="43"/>
      <c r="T40" s="54" t="str">
        <f t="array" ref="T40">_xlfn.XLOOKUP(records_CAGass[roomNo], dCAGass[Room no.], dCAGass[Room Name])</f>
        <v>BOTTLE CLEANING</v>
      </c>
      <c r="U40" s="56" t="str">
        <f t="array" ref="U40">_xlfn.XLOOKUP(records_CAGass[roomNo], dCAGass[Room no.], dCAGass[Bld])</f>
        <v>Building 10</v>
      </c>
      <c r="V40" s="56" t="str">
        <f t="array" ref="V40">if(A40="","",_xlfn.XLOOKUP(records_CAGass[roomNo], dCAGass[Room no.], dCAGass[Floor]))</f>
        <v>Floor 1</v>
      </c>
      <c r="W40" s="43">
        <f t="array" ref="W40">_xlfn.XLOOKUP(records_CAGass[roomNo], dCAGass[Room no.], dCAGass[Spec])</f>
        <v>5</v>
      </c>
      <c r="X40" s="43">
        <f t="array" ref="X40">if(O40="","",IFERROR(_xlfn.xlookup(records_CAGass[ColonyCount]&amp;records_CAGass[AirSampler],feller[code],feller[Vc]),_xlfn.xlookup(9999&amp;records_CAGass[AirSampler],feller[code],feller[Vc])))</f>
        <v>0</v>
      </c>
      <c r="Y40" s="29" t="b">
        <v>0</v>
      </c>
      <c r="Z40" s="39" t="s">
        <v>235</v>
      </c>
      <c r="AA40" s="46"/>
      <c r="AB40" s="46"/>
      <c r="AC40" s="46"/>
      <c r="AD40" s="46"/>
      <c r="AE40" s="46"/>
      <c r="AF40" s="46"/>
      <c r="AG40" s="46"/>
      <c r="AH40" s="46"/>
      <c r="AI40" s="46"/>
    </row>
    <row r="41" ht="22.5" customHeight="1">
      <c r="A41" s="27">
        <v>46240.0</v>
      </c>
      <c r="B41" s="34" t="str">
        <f t="shared" si="1"/>
        <v>08-2026</v>
      </c>
      <c r="C41" s="36" t="s">
        <v>594</v>
      </c>
      <c r="D41" s="20" t="str">
        <f t="array" ref="D41">_xlfn.XLOOKUP(C41, dCAGass[Tag], dCAGass[Room no.])</f>
        <v>10-1-092</v>
      </c>
      <c r="E41" s="36" t="s">
        <v>191</v>
      </c>
      <c r="F41" s="34" t="s">
        <v>97</v>
      </c>
      <c r="G41" s="29" t="b">
        <v>1</v>
      </c>
      <c r="H41" s="65" t="s">
        <v>194</v>
      </c>
      <c r="I41" s="65" t="s">
        <v>194</v>
      </c>
      <c r="J41" s="65" t="s">
        <v>194</v>
      </c>
      <c r="K41" s="65" t="s">
        <v>194</v>
      </c>
      <c r="L41" s="34" t="s">
        <v>527</v>
      </c>
      <c r="M41" s="34" t="s">
        <v>528</v>
      </c>
      <c r="N41" s="48">
        <v>46286.0</v>
      </c>
      <c r="O41" s="50">
        <v>0.0</v>
      </c>
      <c r="P41" s="66" t="s">
        <v>401</v>
      </c>
      <c r="Q41" s="21" t="s">
        <v>203</v>
      </c>
      <c r="R41" s="39"/>
      <c r="S41" s="43"/>
      <c r="T41" s="54" t="str">
        <f t="array" ref="T41">_xlfn.XLOOKUP(records_CAGass[roomNo], dCAGass[Room no.], dCAGass[Room Name])</f>
        <v>POS FILLING (LOW RH)</v>
      </c>
      <c r="U41" s="56" t="str">
        <f t="array" ref="U41">_xlfn.XLOOKUP(records_CAGass[roomNo], dCAGass[Room no.], dCAGass[Bld])</f>
        <v>Building 10</v>
      </c>
      <c r="V41" s="56" t="str">
        <f t="array" ref="V41">if(A41="","",_xlfn.XLOOKUP(records_CAGass[roomNo], dCAGass[Room no.], dCAGass[Floor]))</f>
        <v>Floor 1</v>
      </c>
      <c r="W41" s="43">
        <f t="array" ref="W41">_xlfn.XLOOKUP(records_CAGass[roomNo], dCAGass[Room no.], dCAGass[Spec])</f>
        <v>5</v>
      </c>
      <c r="X41" s="43">
        <f t="array" ref="X41">if(O41="","",IFERROR(_xlfn.xlookup(records_CAGass[ColonyCount]&amp;records_CAGass[AirSampler],feller[code],feller[Vc]),_xlfn.xlookup(9999&amp;records_CAGass[AirSampler],feller[code],feller[Vc])))</f>
        <v>0</v>
      </c>
      <c r="Y41" s="29" t="b">
        <v>0</v>
      </c>
      <c r="Z41" s="39" t="s">
        <v>235</v>
      </c>
      <c r="AA41" s="46"/>
      <c r="AB41" s="46"/>
      <c r="AC41" s="46"/>
      <c r="AD41" s="46"/>
      <c r="AE41" s="46"/>
      <c r="AF41" s="46"/>
      <c r="AG41" s="46"/>
      <c r="AH41" s="46"/>
      <c r="AI41" s="46"/>
    </row>
    <row r="42" ht="22.5" customHeight="1">
      <c r="A42" s="27">
        <v>46241.0</v>
      </c>
      <c r="B42" s="34" t="str">
        <f t="shared" si="1"/>
        <v>08-2026</v>
      </c>
      <c r="C42" s="36" t="s">
        <v>603</v>
      </c>
      <c r="D42" s="20" t="str">
        <f t="array" ref="D42">_xlfn.XLOOKUP(C42, dCAGass[Tag], dCAGass[Room no.])</f>
        <v>10-1-101</v>
      </c>
      <c r="E42" s="36" t="s">
        <v>191</v>
      </c>
      <c r="F42" s="34" t="s">
        <v>99</v>
      </c>
      <c r="G42" s="29" t="b">
        <v>1</v>
      </c>
      <c r="H42" s="65" t="s">
        <v>194</v>
      </c>
      <c r="I42" s="65" t="s">
        <v>194</v>
      </c>
      <c r="J42" s="65" t="s">
        <v>194</v>
      </c>
      <c r="K42" s="65" t="s">
        <v>194</v>
      </c>
      <c r="L42" s="34" t="s">
        <v>527</v>
      </c>
      <c r="M42" s="34" t="s">
        <v>528</v>
      </c>
      <c r="N42" s="48">
        <v>46286.0</v>
      </c>
      <c r="O42" s="50">
        <v>0.0</v>
      </c>
      <c r="P42" s="66" t="s">
        <v>606</v>
      </c>
      <c r="Q42" s="21" t="s">
        <v>203</v>
      </c>
      <c r="R42" s="39"/>
      <c r="S42" s="43"/>
      <c r="T42" s="54" t="str">
        <f t="array" ref="T42">_xlfn.XLOOKUP(records_CAGass[roomNo], dCAGass[Room no.], dCAGass[Room Name])</f>
        <v>BOTTLE FILLING (LOW RH)</v>
      </c>
      <c r="U42" s="56" t="str">
        <f t="array" ref="U42">_xlfn.XLOOKUP(records_CAGass[roomNo], dCAGass[Room no.], dCAGass[Bld])</f>
        <v>Building 10</v>
      </c>
      <c r="V42" s="56" t="str">
        <f t="array" ref="V42">if(A42="","",_xlfn.XLOOKUP(records_CAGass[roomNo], dCAGass[Room no.], dCAGass[Floor]))</f>
        <v>Floor 1</v>
      </c>
      <c r="W42" s="43">
        <f t="array" ref="W42">_xlfn.XLOOKUP(records_CAGass[roomNo], dCAGass[Room no.], dCAGass[Spec])</f>
        <v>5</v>
      </c>
      <c r="X42" s="43">
        <f t="array" ref="X42">if(O42="","",IFERROR(_xlfn.xlookup(records_CAGass[ColonyCount]&amp;records_CAGass[AirSampler],feller[code],feller[Vc]),_xlfn.xlookup(9999&amp;records_CAGass[AirSampler],feller[code],feller[Vc])))</f>
        <v>0</v>
      </c>
      <c r="Y42" s="29" t="b">
        <v>0</v>
      </c>
      <c r="Z42" s="39" t="s">
        <v>235</v>
      </c>
      <c r="AA42" s="46"/>
      <c r="AB42" s="46"/>
      <c r="AC42" s="46"/>
      <c r="AD42" s="46"/>
      <c r="AE42" s="46"/>
      <c r="AF42" s="46"/>
      <c r="AG42" s="46"/>
      <c r="AH42" s="46"/>
      <c r="AI42" s="46"/>
    </row>
    <row r="43" ht="22.5" customHeight="1">
      <c r="A43" s="27">
        <v>46241.0</v>
      </c>
      <c r="B43" s="34" t="str">
        <f t="shared" si="1"/>
        <v>08-2026</v>
      </c>
      <c r="C43" s="36" t="s">
        <v>613</v>
      </c>
      <c r="D43" s="20" t="str">
        <f t="array" ref="D43">_xlfn.XLOOKUP(C43, dCAGass[Tag], dCAGass[Room no.])</f>
        <v>10-1-117</v>
      </c>
      <c r="E43" s="36" t="s">
        <v>191</v>
      </c>
      <c r="F43" s="34" t="s">
        <v>99</v>
      </c>
      <c r="G43" s="29" t="b">
        <v>1</v>
      </c>
      <c r="H43" s="65" t="s">
        <v>194</v>
      </c>
      <c r="I43" s="65" t="s">
        <v>194</v>
      </c>
      <c r="J43" s="65" t="s">
        <v>194</v>
      </c>
      <c r="K43" s="65" t="s">
        <v>194</v>
      </c>
      <c r="L43" s="34" t="s">
        <v>527</v>
      </c>
      <c r="M43" s="34" t="s">
        <v>528</v>
      </c>
      <c r="N43" s="48">
        <v>46286.0</v>
      </c>
      <c r="O43" s="50">
        <v>0.0</v>
      </c>
      <c r="P43" s="66" t="s">
        <v>614</v>
      </c>
      <c r="Q43" s="21" t="s">
        <v>203</v>
      </c>
      <c r="R43" s="39"/>
      <c r="S43" s="43"/>
      <c r="T43" s="54" t="str">
        <f t="array" ref="T43">_xlfn.XLOOKUP(records_CAGass[roomNo], dCAGass[Room no.], dCAGass[Room Name])</f>
        <v>USED EQUIPMENT</v>
      </c>
      <c r="U43" s="56" t="str">
        <f t="array" ref="U43">_xlfn.XLOOKUP(records_CAGass[roomNo], dCAGass[Room no.], dCAGass[Bld])</f>
        <v>Building 10</v>
      </c>
      <c r="V43" s="56" t="str">
        <f t="array" ref="V43">if(A43="","",_xlfn.XLOOKUP(records_CAGass[roomNo], dCAGass[Room no.], dCAGass[Floor]))</f>
        <v>Floor 1</v>
      </c>
      <c r="W43" s="43">
        <f t="array" ref="W43">_xlfn.XLOOKUP(records_CAGass[roomNo], dCAGass[Room no.], dCAGass[Spec])</f>
        <v>5</v>
      </c>
      <c r="X43" s="43">
        <f t="array" ref="X43">if(O43="","",IFERROR(_xlfn.xlookup(records_CAGass[ColonyCount]&amp;records_CAGass[AirSampler],feller[code],feller[Vc]),_xlfn.xlookup(9999&amp;records_CAGass[AirSampler],feller[code],feller[Vc])))</f>
        <v>0</v>
      </c>
      <c r="Y43" s="29" t="b">
        <v>0</v>
      </c>
      <c r="Z43" s="39" t="s">
        <v>235</v>
      </c>
      <c r="AA43" s="46"/>
      <c r="AB43" s="46"/>
      <c r="AC43" s="46"/>
      <c r="AD43" s="46"/>
      <c r="AE43" s="46"/>
      <c r="AF43" s="46"/>
      <c r="AG43" s="46"/>
      <c r="AH43" s="46"/>
      <c r="AI43" s="46"/>
    </row>
    <row r="44" ht="22.5" customHeight="1">
      <c r="A44" s="27">
        <v>46241.0</v>
      </c>
      <c r="B44" s="34" t="str">
        <f t="shared" si="1"/>
        <v>08-2026</v>
      </c>
      <c r="C44" s="36" t="s">
        <v>620</v>
      </c>
      <c r="D44" s="20" t="str">
        <f t="array" ref="D44">_xlfn.XLOOKUP(C44, dCAGass[Tag], dCAGass[Room no.])</f>
        <v>10-1-121</v>
      </c>
      <c r="E44" s="36" t="s">
        <v>191</v>
      </c>
      <c r="F44" s="34" t="s">
        <v>99</v>
      </c>
      <c r="G44" s="29" t="b">
        <v>1</v>
      </c>
      <c r="H44" s="65" t="s">
        <v>194</v>
      </c>
      <c r="I44" s="65" t="s">
        <v>194</v>
      </c>
      <c r="J44" s="65" t="s">
        <v>194</v>
      </c>
      <c r="K44" s="65" t="s">
        <v>194</v>
      </c>
      <c r="L44" s="34" t="s">
        <v>527</v>
      </c>
      <c r="M44" s="34" t="s">
        <v>528</v>
      </c>
      <c r="N44" s="48">
        <v>46286.0</v>
      </c>
      <c r="O44" s="50">
        <v>0.0</v>
      </c>
      <c r="P44" s="66" t="s">
        <v>434</v>
      </c>
      <c r="Q44" s="21" t="s">
        <v>203</v>
      </c>
      <c r="R44" s="39"/>
      <c r="S44" s="43"/>
      <c r="T44" s="54" t="str">
        <f t="array" ref="T44">_xlfn.XLOOKUP(records_CAGass[roomNo], dCAGass[Room no.], dCAGass[Room Name])</f>
        <v>TABLETS INSPECTION 1 (LOW RH)</v>
      </c>
      <c r="U44" s="56" t="str">
        <f t="array" ref="U44">_xlfn.XLOOKUP(records_CAGass[roomNo], dCAGass[Room no.], dCAGass[Bld])</f>
        <v>Building 10</v>
      </c>
      <c r="V44" s="56" t="str">
        <f t="array" ref="V44">if(A44="","",_xlfn.XLOOKUP(records_CAGass[roomNo], dCAGass[Room no.], dCAGass[Floor]))</f>
        <v>Floor 1</v>
      </c>
      <c r="W44" s="43">
        <f t="array" ref="W44">_xlfn.XLOOKUP(records_CAGass[roomNo], dCAGass[Room no.], dCAGass[Spec])</f>
        <v>5</v>
      </c>
      <c r="X44" s="43">
        <f t="array" ref="X44">if(O44="","",IFERROR(_xlfn.xlookup(records_CAGass[ColonyCount]&amp;records_CAGass[AirSampler],feller[code],feller[Vc]),_xlfn.xlookup(9999&amp;records_CAGass[AirSampler],feller[code],feller[Vc])))</f>
        <v>0</v>
      </c>
      <c r="Y44" s="29" t="b">
        <v>0</v>
      </c>
      <c r="Z44" s="39" t="s">
        <v>235</v>
      </c>
      <c r="AA44" s="46"/>
      <c r="AB44" s="46"/>
      <c r="AC44" s="46"/>
      <c r="AD44" s="46"/>
      <c r="AE44" s="46"/>
      <c r="AF44" s="46"/>
      <c r="AG44" s="46"/>
      <c r="AH44" s="46"/>
      <c r="AI44" s="46"/>
    </row>
    <row r="45" ht="22.5" customHeight="1">
      <c r="A45" s="27">
        <v>46241.0</v>
      </c>
      <c r="B45" s="34" t="str">
        <f t="shared" si="1"/>
        <v>08-2026</v>
      </c>
      <c r="C45" s="36" t="s">
        <v>483</v>
      </c>
      <c r="D45" s="20" t="str">
        <f t="array" ref="D45">_xlfn.XLOOKUP(C45, dCAGass[Tag], dCAGass[Room no.])</f>
        <v>10-1-126</v>
      </c>
      <c r="E45" s="36" t="s">
        <v>191</v>
      </c>
      <c r="F45" s="34" t="s">
        <v>99</v>
      </c>
      <c r="G45" s="29" t="b">
        <v>1</v>
      </c>
      <c r="H45" s="65" t="s">
        <v>194</v>
      </c>
      <c r="I45" s="65" t="s">
        <v>194</v>
      </c>
      <c r="J45" s="65" t="s">
        <v>194</v>
      </c>
      <c r="K45" s="65" t="s">
        <v>194</v>
      </c>
      <c r="L45" s="34" t="s">
        <v>527</v>
      </c>
      <c r="M45" s="34" t="s">
        <v>528</v>
      </c>
      <c r="N45" s="48">
        <v>46286.0</v>
      </c>
      <c r="O45" s="50">
        <v>0.0</v>
      </c>
      <c r="P45" s="66" t="s">
        <v>423</v>
      </c>
      <c r="Q45" s="21" t="s">
        <v>203</v>
      </c>
      <c r="R45" s="39"/>
      <c r="S45" s="43"/>
      <c r="T45" s="54" t="str">
        <f t="array" ref="T45">_xlfn.XLOOKUP(records_CAGass[roomNo], dCAGass[Room no.], dCAGass[Room Name])</f>
        <v>BOTTLE CLEANING</v>
      </c>
      <c r="U45" s="56" t="str">
        <f t="array" ref="U45">_xlfn.XLOOKUP(records_CAGass[roomNo], dCAGass[Room no.], dCAGass[Bld])</f>
        <v>Building 10</v>
      </c>
      <c r="V45" s="56" t="str">
        <f t="array" ref="V45">if(A45="","",_xlfn.XLOOKUP(records_CAGass[roomNo], dCAGass[Room no.], dCAGass[Floor]))</f>
        <v>Floor 1</v>
      </c>
      <c r="W45" s="43">
        <f t="array" ref="W45">_xlfn.XLOOKUP(records_CAGass[roomNo], dCAGass[Room no.], dCAGass[Spec])</f>
        <v>5</v>
      </c>
      <c r="X45" s="43">
        <f t="array" ref="X45">if(O45="","",IFERROR(_xlfn.xlookup(records_CAGass[ColonyCount]&amp;records_CAGass[AirSampler],feller[code],feller[Vc]),_xlfn.xlookup(9999&amp;records_CAGass[AirSampler],feller[code],feller[Vc])))</f>
        <v>0</v>
      </c>
      <c r="Y45" s="29" t="b">
        <v>0</v>
      </c>
      <c r="Z45" s="39" t="s">
        <v>235</v>
      </c>
      <c r="AA45" s="46"/>
      <c r="AB45" s="46"/>
      <c r="AC45" s="46"/>
      <c r="AD45" s="46"/>
      <c r="AE45" s="46"/>
      <c r="AF45" s="46"/>
      <c r="AG45" s="46"/>
      <c r="AH45" s="46"/>
      <c r="AI45" s="46"/>
    </row>
    <row r="46" ht="22.5" customHeight="1">
      <c r="A46" s="27">
        <v>46241.0</v>
      </c>
      <c r="B46" s="34" t="str">
        <f t="shared" si="1"/>
        <v>08-2026</v>
      </c>
      <c r="C46" s="36" t="s">
        <v>491</v>
      </c>
      <c r="D46" s="20" t="str">
        <f t="array" ref="D46">_xlfn.XLOOKUP(C46, dCAGass[Tag], dCAGass[Room no.])</f>
        <v>10-1-122</v>
      </c>
      <c r="E46" s="36" t="s">
        <v>191</v>
      </c>
      <c r="F46" s="34" t="s">
        <v>99</v>
      </c>
      <c r="G46" s="29" t="b">
        <v>1</v>
      </c>
      <c r="H46" s="65" t="s">
        <v>194</v>
      </c>
      <c r="I46" s="65" t="s">
        <v>194</v>
      </c>
      <c r="J46" s="65" t="s">
        <v>194</v>
      </c>
      <c r="K46" s="65" t="s">
        <v>194</v>
      </c>
      <c r="L46" s="34" t="s">
        <v>527</v>
      </c>
      <c r="M46" s="34" t="s">
        <v>528</v>
      </c>
      <c r="N46" s="48">
        <v>46286.0</v>
      </c>
      <c r="O46" s="50">
        <v>0.0</v>
      </c>
      <c r="P46" s="66" t="s">
        <v>629</v>
      </c>
      <c r="Q46" s="21" t="s">
        <v>203</v>
      </c>
      <c r="R46" s="39"/>
      <c r="S46" s="43"/>
      <c r="T46" s="54" t="str">
        <f t="array" ref="T46">_xlfn.XLOOKUP(records_CAGass[roomNo], dCAGass[Room no.], dCAGass[Room Name])</f>
        <v>TABLETS INSPECTION 2</v>
      </c>
      <c r="U46" s="56" t="str">
        <f t="array" ref="U46">_xlfn.XLOOKUP(records_CAGass[roomNo], dCAGass[Room no.], dCAGass[Bld])</f>
        <v>Building 10</v>
      </c>
      <c r="V46" s="56" t="str">
        <f t="array" ref="V46">if(A46="","",_xlfn.XLOOKUP(records_CAGass[roomNo], dCAGass[Room no.], dCAGass[Floor]))</f>
        <v>Floor 1</v>
      </c>
      <c r="W46" s="43">
        <f t="array" ref="W46">_xlfn.XLOOKUP(records_CAGass[roomNo], dCAGass[Room no.], dCAGass[Spec])</f>
        <v>5</v>
      </c>
      <c r="X46" s="43">
        <f t="array" ref="X46">if(O46="","",IFERROR(_xlfn.xlookup(records_CAGass[ColonyCount]&amp;records_CAGass[AirSampler],feller[code],feller[Vc]),_xlfn.xlookup(9999&amp;records_CAGass[AirSampler],feller[code],feller[Vc])))</f>
        <v>0</v>
      </c>
      <c r="Y46" s="29" t="b">
        <v>0</v>
      </c>
      <c r="Z46" s="39" t="s">
        <v>235</v>
      </c>
      <c r="AA46" s="46"/>
      <c r="AB46" s="46"/>
      <c r="AC46" s="46"/>
      <c r="AD46" s="46"/>
      <c r="AE46" s="46"/>
      <c r="AF46" s="46"/>
      <c r="AG46" s="46"/>
      <c r="AH46" s="46"/>
      <c r="AI46" s="46"/>
    </row>
    <row r="47" ht="22.5" customHeight="1">
      <c r="A47" s="27">
        <v>46244.0</v>
      </c>
      <c r="B47" s="34" t="str">
        <f t="shared" si="1"/>
        <v>08-2026</v>
      </c>
      <c r="C47" s="36" t="s">
        <v>636</v>
      </c>
      <c r="D47" s="20" t="str">
        <f t="array" ref="D47">_xlfn.XLOOKUP(C47, dCAGass[Tag], dCAGass[Room no.])</f>
        <v>10-1-110</v>
      </c>
      <c r="E47" s="36" t="s">
        <v>191</v>
      </c>
      <c r="F47" s="34" t="s">
        <v>102</v>
      </c>
      <c r="G47" s="29" t="b">
        <v>1</v>
      </c>
      <c r="H47" s="65" t="s">
        <v>194</v>
      </c>
      <c r="I47" s="65" t="s">
        <v>194</v>
      </c>
      <c r="J47" s="65" t="s">
        <v>194</v>
      </c>
      <c r="K47" s="65" t="s">
        <v>194</v>
      </c>
      <c r="L47" s="34" t="s">
        <v>527</v>
      </c>
      <c r="M47" s="34" t="s">
        <v>528</v>
      </c>
      <c r="N47" s="48">
        <v>46286.0</v>
      </c>
      <c r="O47" s="50">
        <v>0.0</v>
      </c>
      <c r="P47" s="66"/>
      <c r="Q47" s="21" t="s">
        <v>203</v>
      </c>
      <c r="R47" s="39"/>
      <c r="S47" s="43"/>
      <c r="T47" s="54" t="str">
        <f t="array" ref="T47">_xlfn.XLOOKUP(records_CAGass[roomNo], dCAGass[Room no.], dCAGass[Room Name])</f>
        <v>STRIP PACKING 3</v>
      </c>
      <c r="U47" s="56" t="str">
        <f t="array" ref="U47">_xlfn.XLOOKUP(records_CAGass[roomNo], dCAGass[Room no.], dCAGass[Bld])</f>
        <v>Building 10</v>
      </c>
      <c r="V47" s="56" t="str">
        <f t="array" ref="V47">if(A47="","",_xlfn.XLOOKUP(records_CAGass[roomNo], dCAGass[Room no.], dCAGass[Floor]))</f>
        <v>Floor 1</v>
      </c>
      <c r="W47" s="43">
        <f t="array" ref="W47">_xlfn.XLOOKUP(records_CAGass[roomNo], dCAGass[Room no.], dCAGass[Spec])</f>
        <v>5</v>
      </c>
      <c r="X47" s="43">
        <f t="array" ref="X47">if(O47="","",IFERROR(_xlfn.xlookup(records_CAGass[ColonyCount]&amp;records_CAGass[AirSampler],feller[code],feller[Vc]),_xlfn.xlookup(9999&amp;records_CAGass[AirSampler],feller[code],feller[Vc])))</f>
        <v>0</v>
      </c>
      <c r="Y47" s="29" t="b">
        <v>0</v>
      </c>
      <c r="Z47" s="39" t="s">
        <v>235</v>
      </c>
      <c r="AA47" s="46"/>
      <c r="AB47" s="46"/>
      <c r="AC47" s="46"/>
      <c r="AD47" s="46"/>
      <c r="AE47" s="46"/>
      <c r="AF47" s="46"/>
      <c r="AG47" s="46"/>
      <c r="AH47" s="46"/>
      <c r="AI47" s="46"/>
    </row>
    <row r="48" ht="22.5" customHeight="1">
      <c r="A48" s="27">
        <v>46244.0</v>
      </c>
      <c r="B48" s="34" t="str">
        <f t="shared" si="1"/>
        <v>08-2026</v>
      </c>
      <c r="C48" s="36" t="s">
        <v>647</v>
      </c>
      <c r="D48" s="20" t="str">
        <f t="array" ref="D48">_xlfn.XLOOKUP(C48, dCAGass[Tag], dCAGass[Room no.])</f>
        <v>10-1-097</v>
      </c>
      <c r="E48" s="36" t="s">
        <v>191</v>
      </c>
      <c r="F48" s="34" t="s">
        <v>102</v>
      </c>
      <c r="G48" s="29" t="b">
        <v>1</v>
      </c>
      <c r="H48" s="65" t="s">
        <v>194</v>
      </c>
      <c r="I48" s="65" t="s">
        <v>194</v>
      </c>
      <c r="J48" s="65" t="s">
        <v>194</v>
      </c>
      <c r="K48" s="65" t="s">
        <v>194</v>
      </c>
      <c r="L48" s="34" t="s">
        <v>527</v>
      </c>
      <c r="M48" s="34" t="s">
        <v>528</v>
      </c>
      <c r="N48" s="48">
        <v>46286.0</v>
      </c>
      <c r="O48" s="50">
        <v>0.0</v>
      </c>
      <c r="P48" s="66"/>
      <c r="Q48" s="21" t="s">
        <v>203</v>
      </c>
      <c r="R48" s="39"/>
      <c r="S48" s="43"/>
      <c r="T48" s="54" t="str">
        <f t="array" ref="T48">_xlfn.XLOOKUP(records_CAGass[roomNo], dCAGass[Room no.], dCAGass[Room Name])</f>
        <v>BLISTER PACKING 5</v>
      </c>
      <c r="U48" s="56" t="str">
        <f t="array" ref="U48">_xlfn.XLOOKUP(records_CAGass[roomNo], dCAGass[Room no.], dCAGass[Bld])</f>
        <v>Building 10</v>
      </c>
      <c r="V48" s="56" t="str">
        <f t="array" ref="V48">if(A48="","",_xlfn.XLOOKUP(records_CAGass[roomNo], dCAGass[Room no.], dCAGass[Floor]))</f>
        <v>Floor 1</v>
      </c>
      <c r="W48" s="43">
        <f t="array" ref="W48">_xlfn.XLOOKUP(records_CAGass[roomNo], dCAGass[Room no.], dCAGass[Spec])</f>
        <v>5</v>
      </c>
      <c r="X48" s="43">
        <f t="array" ref="X48">if(O48="","",IFERROR(_xlfn.xlookup(records_CAGass[ColonyCount]&amp;records_CAGass[AirSampler],feller[code],feller[Vc]),_xlfn.xlookup(9999&amp;records_CAGass[AirSampler],feller[code],feller[Vc])))</f>
        <v>0</v>
      </c>
      <c r="Y48" s="29" t="b">
        <v>0</v>
      </c>
      <c r="Z48" s="39" t="s">
        <v>235</v>
      </c>
      <c r="AA48" s="46"/>
      <c r="AB48" s="46"/>
      <c r="AC48" s="46"/>
      <c r="AD48" s="46"/>
      <c r="AE48" s="46"/>
      <c r="AF48" s="46"/>
      <c r="AG48" s="46"/>
      <c r="AH48" s="46"/>
      <c r="AI48" s="46"/>
    </row>
    <row r="49" ht="22.5" customHeight="1">
      <c r="A49" s="27">
        <v>46246.0</v>
      </c>
      <c r="B49" s="34" t="str">
        <f t="shared" si="1"/>
        <v>08-2026</v>
      </c>
      <c r="C49" s="36" t="s">
        <v>653</v>
      </c>
      <c r="D49" s="20" t="str">
        <f t="array" ref="D49">_xlfn.XLOOKUP(C49, dCAGass[Tag], dCAGass[Room no.])</f>
        <v>10-1-107</v>
      </c>
      <c r="E49" s="36" t="s">
        <v>191</v>
      </c>
      <c r="F49" s="34" t="s">
        <v>104</v>
      </c>
      <c r="G49" s="29" t="b">
        <v>1</v>
      </c>
      <c r="H49" s="65" t="s">
        <v>194</v>
      </c>
      <c r="I49" s="65" t="s">
        <v>194</v>
      </c>
      <c r="J49" s="65" t="s">
        <v>194</v>
      </c>
      <c r="K49" s="65" t="s">
        <v>194</v>
      </c>
      <c r="L49" s="34" t="s">
        <v>527</v>
      </c>
      <c r="M49" s="34" t="s">
        <v>528</v>
      </c>
      <c r="N49" s="48">
        <v>46286.0</v>
      </c>
      <c r="O49" s="50">
        <v>0.0</v>
      </c>
      <c r="P49" s="39" t="s">
        <v>395</v>
      </c>
      <c r="Q49" s="21" t="s">
        <v>203</v>
      </c>
      <c r="R49" s="39"/>
      <c r="S49" s="43"/>
      <c r="T49" s="54" t="str">
        <f t="array" ref="T49">_xlfn.XLOOKUP(records_CAGass[roomNo], dCAGass[Room no.], dCAGass[Room Name])</f>
        <v>STRIP PACKING 1 (LOW RH)</v>
      </c>
      <c r="U49" s="56" t="str">
        <f t="array" ref="U49">_xlfn.XLOOKUP(records_CAGass[roomNo], dCAGass[Room no.], dCAGass[Bld])</f>
        <v>Building 10</v>
      </c>
      <c r="V49" s="56" t="str">
        <f t="array" ref="V49">if(A49="","",_xlfn.XLOOKUP(records_CAGass[roomNo], dCAGass[Room no.], dCAGass[Floor]))</f>
        <v>Floor 1</v>
      </c>
      <c r="W49" s="43">
        <f t="array" ref="W49">_xlfn.XLOOKUP(records_CAGass[roomNo], dCAGass[Room no.], dCAGass[Spec])</f>
        <v>5</v>
      </c>
      <c r="X49" s="43">
        <f t="array" ref="X49">if(O49="","",IFERROR(_xlfn.xlookup(records_CAGass[ColonyCount]&amp;records_CAGass[AirSampler],feller[code],feller[Vc]),_xlfn.xlookup(9999&amp;records_CAGass[AirSampler],feller[code],feller[Vc])))</f>
        <v>0</v>
      </c>
      <c r="Y49" s="29" t="b">
        <v>0</v>
      </c>
      <c r="Z49" s="39" t="s">
        <v>235</v>
      </c>
      <c r="AA49" s="46"/>
      <c r="AB49" s="46"/>
      <c r="AC49" s="46"/>
      <c r="AD49" s="46"/>
      <c r="AE49" s="46"/>
      <c r="AF49" s="46"/>
      <c r="AG49" s="46"/>
      <c r="AH49" s="46"/>
      <c r="AI49" s="46"/>
    </row>
    <row r="50" ht="22.5" customHeight="1">
      <c r="A50" s="27">
        <v>46246.0</v>
      </c>
      <c r="B50" s="34" t="str">
        <f t="shared" si="1"/>
        <v>08-2026</v>
      </c>
      <c r="C50" s="36" t="s">
        <v>659</v>
      </c>
      <c r="D50" s="20" t="str">
        <f t="array" ref="D50">_xlfn.XLOOKUP(C50, dCAGass[Tag], dCAGass[Room no.])</f>
        <v>10-1-108</v>
      </c>
      <c r="E50" s="36" t="s">
        <v>191</v>
      </c>
      <c r="F50" s="34" t="s">
        <v>104</v>
      </c>
      <c r="G50" s="29" t="b">
        <v>1</v>
      </c>
      <c r="H50" s="65" t="s">
        <v>194</v>
      </c>
      <c r="I50" s="65" t="s">
        <v>194</v>
      </c>
      <c r="J50" s="65" t="s">
        <v>194</v>
      </c>
      <c r="K50" s="65" t="s">
        <v>194</v>
      </c>
      <c r="L50" s="34" t="s">
        <v>527</v>
      </c>
      <c r="M50" s="34" t="s">
        <v>528</v>
      </c>
      <c r="N50" s="48">
        <v>46286.0</v>
      </c>
      <c r="O50" s="50">
        <v>0.0</v>
      </c>
      <c r="P50" s="39" t="s">
        <v>414</v>
      </c>
      <c r="Q50" s="21" t="s">
        <v>203</v>
      </c>
      <c r="R50" s="39"/>
      <c r="S50" s="43"/>
      <c r="T50" s="54" t="str">
        <f t="array" ref="T50">_xlfn.XLOOKUP(records_CAGass[roomNo], dCAGass[Room no.], dCAGass[Room Name])</f>
        <v>SACHET PACKING (LOW RH)</v>
      </c>
      <c r="U50" s="56" t="str">
        <f t="array" ref="U50">_xlfn.XLOOKUP(records_CAGass[roomNo], dCAGass[Room no.], dCAGass[Bld])</f>
        <v>Building 10</v>
      </c>
      <c r="V50" s="56" t="str">
        <f t="array" ref="V50">if(A50="","",_xlfn.XLOOKUP(records_CAGass[roomNo], dCAGass[Room no.], dCAGass[Floor]))</f>
        <v>Floor 1</v>
      </c>
      <c r="W50" s="43">
        <f t="array" ref="W50">_xlfn.XLOOKUP(records_CAGass[roomNo], dCAGass[Room no.], dCAGass[Spec])</f>
        <v>5</v>
      </c>
      <c r="X50" s="43">
        <f t="array" ref="X50">if(O50="","",IFERROR(_xlfn.xlookup(records_CAGass[ColonyCount]&amp;records_CAGass[AirSampler],feller[code],feller[Vc]),_xlfn.xlookup(9999&amp;records_CAGass[AirSampler],feller[code],feller[Vc])))</f>
        <v>0</v>
      </c>
      <c r="Y50" s="29" t="b">
        <v>0</v>
      </c>
      <c r="Z50" s="39" t="s">
        <v>235</v>
      </c>
      <c r="AA50" s="46"/>
      <c r="AB50" s="46"/>
      <c r="AC50" s="46"/>
      <c r="AD50" s="46"/>
      <c r="AE50" s="46"/>
      <c r="AF50" s="46"/>
      <c r="AG50" s="46"/>
      <c r="AH50" s="46"/>
      <c r="AI50" s="46"/>
    </row>
    <row r="51" ht="22.5" customHeight="1">
      <c r="A51" s="27">
        <v>46246.0</v>
      </c>
      <c r="B51" s="34" t="str">
        <f t="shared" si="1"/>
        <v>08-2026</v>
      </c>
      <c r="C51" s="36" t="s">
        <v>662</v>
      </c>
      <c r="D51" s="20" t="str">
        <f t="array" ref="D51">_xlfn.XLOOKUP(C51, dCAGass[Tag], dCAGass[Room no.])</f>
        <v>10-1-109</v>
      </c>
      <c r="E51" s="36" t="s">
        <v>191</v>
      </c>
      <c r="F51" s="34" t="s">
        <v>104</v>
      </c>
      <c r="G51" s="29" t="b">
        <v>1</v>
      </c>
      <c r="H51" s="65" t="s">
        <v>194</v>
      </c>
      <c r="I51" s="65" t="s">
        <v>194</v>
      </c>
      <c r="J51" s="65" t="s">
        <v>194</v>
      </c>
      <c r="K51" s="65" t="s">
        <v>194</v>
      </c>
      <c r="L51" s="34" t="s">
        <v>527</v>
      </c>
      <c r="M51" s="34" t="s">
        <v>528</v>
      </c>
      <c r="N51" s="48">
        <v>46286.0</v>
      </c>
      <c r="O51" s="50">
        <v>0.0</v>
      </c>
      <c r="P51" s="39" t="s">
        <v>663</v>
      </c>
      <c r="Q51" s="21" t="s">
        <v>203</v>
      </c>
      <c r="R51" s="39"/>
      <c r="S51" s="43"/>
      <c r="T51" s="54" t="str">
        <f t="array" ref="T51">_xlfn.XLOOKUP(records_CAGass[roomNo], dCAGass[Room no.], dCAGass[Room Name])</f>
        <v>STRIP PACKING 2</v>
      </c>
      <c r="U51" s="56" t="str">
        <f t="array" ref="U51">_xlfn.XLOOKUP(records_CAGass[roomNo], dCAGass[Room no.], dCAGass[Bld])</f>
        <v>Building 10</v>
      </c>
      <c r="V51" s="56" t="str">
        <f t="array" ref="V51">if(A51="","",_xlfn.XLOOKUP(records_CAGass[roomNo], dCAGass[Room no.], dCAGass[Floor]))</f>
        <v>Floor 1</v>
      </c>
      <c r="W51" s="43">
        <f t="array" ref="W51">_xlfn.XLOOKUP(records_CAGass[roomNo], dCAGass[Room no.], dCAGass[Spec])</f>
        <v>5</v>
      </c>
      <c r="X51" s="43">
        <f t="array" ref="X51">if(O51="","",IFERROR(_xlfn.xlookup(records_CAGass[ColonyCount]&amp;records_CAGass[AirSampler],feller[code],feller[Vc]),_xlfn.xlookup(9999&amp;records_CAGass[AirSampler],feller[code],feller[Vc])))</f>
        <v>0</v>
      </c>
      <c r="Y51" s="29" t="b">
        <v>0</v>
      </c>
      <c r="Z51" s="39" t="s">
        <v>235</v>
      </c>
      <c r="AA51" s="46"/>
      <c r="AB51" s="46"/>
      <c r="AC51" s="46"/>
      <c r="AD51" s="46"/>
      <c r="AE51" s="46"/>
      <c r="AF51" s="46"/>
      <c r="AG51" s="46"/>
      <c r="AH51" s="46"/>
      <c r="AI51" s="46"/>
    </row>
    <row r="52" ht="22.5" customHeight="1">
      <c r="A52" s="27">
        <v>46247.0</v>
      </c>
      <c r="B52" s="34" t="str">
        <f t="shared" si="1"/>
        <v>08-2026</v>
      </c>
      <c r="C52" s="36" t="s">
        <v>405</v>
      </c>
      <c r="D52" s="20" t="str">
        <f t="array" ref="D52">_xlfn.XLOOKUP(C52, dCAGass[Tag], dCAGass[Room no.])</f>
        <v>10-1-060</v>
      </c>
      <c r="E52" s="36" t="s">
        <v>191</v>
      </c>
      <c r="F52" s="34" t="s">
        <v>108</v>
      </c>
      <c r="G52" s="29" t="b">
        <v>1</v>
      </c>
      <c r="H52" s="65" t="s">
        <v>194</v>
      </c>
      <c r="I52" s="65" t="s">
        <v>194</v>
      </c>
      <c r="J52" s="65" t="s">
        <v>194</v>
      </c>
      <c r="K52" s="65" t="s">
        <v>194</v>
      </c>
      <c r="L52" s="34" t="s">
        <v>527</v>
      </c>
      <c r="M52" s="34" t="s">
        <v>528</v>
      </c>
      <c r="N52" s="48">
        <v>46286.0</v>
      </c>
      <c r="O52" s="50">
        <v>0.0</v>
      </c>
      <c r="P52" s="66"/>
      <c r="Q52" s="21" t="s">
        <v>203</v>
      </c>
      <c r="R52" s="39"/>
      <c r="S52" s="43"/>
      <c r="T52" s="54" t="str">
        <f t="array" ref="T52">_xlfn.XLOOKUP(records_CAGass[roomNo], dCAGass[Room no.], dCAGass[Room Name])</f>
        <v>BOTTLE CLEANING-P</v>
      </c>
      <c r="U52" s="56" t="str">
        <f t="array" ref="U52">_xlfn.XLOOKUP(records_CAGass[roomNo], dCAGass[Room no.], dCAGass[Bld])</f>
        <v>Building 10</v>
      </c>
      <c r="V52" s="56" t="str">
        <f t="array" ref="V52">if(A52="","",_xlfn.XLOOKUP(records_CAGass[roomNo], dCAGass[Room no.], dCAGass[Floor]))</f>
        <v>Floor 1</v>
      </c>
      <c r="W52" s="43">
        <f t="array" ref="W52">_xlfn.XLOOKUP(records_CAGass[roomNo], dCAGass[Room no.], dCAGass[Spec])</f>
        <v>5</v>
      </c>
      <c r="X52" s="43">
        <f t="array" ref="X52">if(O52="","",IFERROR(_xlfn.xlookup(records_CAGass[ColonyCount]&amp;records_CAGass[AirSampler],feller[code],feller[Vc]),_xlfn.xlookup(9999&amp;records_CAGass[AirSampler],feller[code],feller[Vc])))</f>
        <v>0</v>
      </c>
      <c r="Y52" s="29" t="b">
        <v>0</v>
      </c>
      <c r="Z52" s="39" t="s">
        <v>235</v>
      </c>
      <c r="AA52" s="46"/>
      <c r="AB52" s="46"/>
      <c r="AC52" s="46"/>
      <c r="AD52" s="46"/>
      <c r="AE52" s="46"/>
      <c r="AF52" s="46"/>
      <c r="AG52" s="46"/>
      <c r="AH52" s="46"/>
      <c r="AI52" s="46"/>
    </row>
    <row r="53" ht="22.5" customHeight="1">
      <c r="A53" s="27">
        <v>46247.0</v>
      </c>
      <c r="B53" s="34" t="str">
        <f t="shared" si="1"/>
        <v>08-2026</v>
      </c>
      <c r="C53" s="36" t="s">
        <v>411</v>
      </c>
      <c r="D53" s="20" t="str">
        <f t="array" ref="D53">_xlfn.XLOOKUP(C53, dCAGass[Tag], dCAGass[Room no.])</f>
        <v>10-1-065</v>
      </c>
      <c r="E53" s="36" t="s">
        <v>191</v>
      </c>
      <c r="F53" s="34" t="s">
        <v>108</v>
      </c>
      <c r="G53" s="29" t="b">
        <v>1</v>
      </c>
      <c r="H53" s="65" t="s">
        <v>194</v>
      </c>
      <c r="I53" s="65" t="s">
        <v>194</v>
      </c>
      <c r="J53" s="65" t="s">
        <v>194</v>
      </c>
      <c r="K53" s="65" t="s">
        <v>194</v>
      </c>
      <c r="L53" s="34" t="s">
        <v>527</v>
      </c>
      <c r="M53" s="34" t="s">
        <v>528</v>
      </c>
      <c r="N53" s="48">
        <v>46286.0</v>
      </c>
      <c r="O53" s="50">
        <v>0.0</v>
      </c>
      <c r="P53" s="66"/>
      <c r="Q53" s="21" t="s">
        <v>203</v>
      </c>
      <c r="R53" s="39"/>
      <c r="S53" s="43"/>
      <c r="T53" s="54" t="str">
        <f t="array" ref="T53">_xlfn.XLOOKUP(records_CAGass[roomNo], dCAGass[Room no.], dCAGass[Room Name])</f>
        <v>BOTTLE FILLING-P (LOW RH)</v>
      </c>
      <c r="U53" s="56" t="str">
        <f t="array" ref="U53">_xlfn.XLOOKUP(records_CAGass[roomNo], dCAGass[Room no.], dCAGass[Bld])</f>
        <v>Building 10</v>
      </c>
      <c r="V53" s="56" t="str">
        <f t="array" ref="V53">if(A53="","",_xlfn.XLOOKUP(records_CAGass[roomNo], dCAGass[Room no.], dCAGass[Floor]))</f>
        <v>Floor 1</v>
      </c>
      <c r="W53" s="43">
        <f t="array" ref="W53">_xlfn.XLOOKUP(records_CAGass[roomNo], dCAGass[Room no.], dCAGass[Spec])</f>
        <v>5</v>
      </c>
      <c r="X53" s="43">
        <f t="array" ref="X53">if(O53="","",IFERROR(_xlfn.xlookup(records_CAGass[ColonyCount]&amp;records_CAGass[AirSampler],feller[code],feller[Vc]),_xlfn.xlookup(9999&amp;records_CAGass[AirSampler],feller[code],feller[Vc])))</f>
        <v>0</v>
      </c>
      <c r="Y53" s="29" t="b">
        <v>0</v>
      </c>
      <c r="Z53" s="39" t="s">
        <v>235</v>
      </c>
      <c r="AA53" s="46"/>
      <c r="AB53" s="46"/>
      <c r="AC53" s="46"/>
      <c r="AD53" s="46"/>
      <c r="AE53" s="46"/>
      <c r="AF53" s="46"/>
      <c r="AG53" s="46"/>
      <c r="AH53" s="46"/>
      <c r="AI53" s="46"/>
    </row>
    <row r="54" ht="22.5" customHeight="1">
      <c r="A54" s="27">
        <v>46247.0</v>
      </c>
      <c r="B54" s="34" t="str">
        <f t="shared" si="1"/>
        <v>08-2026</v>
      </c>
      <c r="C54" s="36" t="s">
        <v>678</v>
      </c>
      <c r="D54" s="20" t="str">
        <f t="array" ref="D54">_xlfn.XLOOKUP(C54, dCAGass[Tag], dCAGass[Room no.])</f>
        <v>10-1-068</v>
      </c>
      <c r="E54" s="36" t="s">
        <v>191</v>
      </c>
      <c r="F54" s="34" t="s">
        <v>108</v>
      </c>
      <c r="G54" s="29" t="b">
        <v>1</v>
      </c>
      <c r="H54" s="65" t="s">
        <v>194</v>
      </c>
      <c r="I54" s="65" t="s">
        <v>194</v>
      </c>
      <c r="J54" s="65" t="s">
        <v>194</v>
      </c>
      <c r="K54" s="65" t="s">
        <v>194</v>
      </c>
      <c r="L54" s="34" t="s">
        <v>527</v>
      </c>
      <c r="M54" s="34" t="s">
        <v>528</v>
      </c>
      <c r="N54" s="48">
        <v>46286.0</v>
      </c>
      <c r="O54" s="50">
        <v>0.0</v>
      </c>
      <c r="P54" s="66"/>
      <c r="Q54" s="21" t="s">
        <v>203</v>
      </c>
      <c r="R54" s="39"/>
      <c r="S54" s="43"/>
      <c r="T54" s="54" t="str">
        <f t="array" ref="T54">_xlfn.XLOOKUP(records_CAGass[roomNo], dCAGass[Room no.], dCAGass[Room Name])</f>
        <v>STRIP PACKING-P (LOW RH)</v>
      </c>
      <c r="U54" s="56" t="str">
        <f t="array" ref="U54">_xlfn.XLOOKUP(records_CAGass[roomNo], dCAGass[Room no.], dCAGass[Bld])</f>
        <v>Building 10</v>
      </c>
      <c r="V54" s="56" t="str">
        <f t="array" ref="V54">if(A54="","",_xlfn.XLOOKUP(records_CAGass[roomNo], dCAGass[Room no.], dCAGass[Floor]))</f>
        <v>Floor 1</v>
      </c>
      <c r="W54" s="43">
        <f t="array" ref="W54">_xlfn.XLOOKUP(records_CAGass[roomNo], dCAGass[Room no.], dCAGass[Spec])</f>
        <v>5</v>
      </c>
      <c r="X54" s="43">
        <f t="array" ref="X54">if(O54="","",IFERROR(_xlfn.xlookup(records_CAGass[ColonyCount]&amp;records_CAGass[AirSampler],feller[code],feller[Vc]),_xlfn.xlookup(9999&amp;records_CAGass[AirSampler],feller[code],feller[Vc])))</f>
        <v>0</v>
      </c>
      <c r="Y54" s="29" t="b">
        <v>0</v>
      </c>
      <c r="Z54" s="39" t="s">
        <v>235</v>
      </c>
      <c r="AA54" s="46"/>
      <c r="AB54" s="46"/>
      <c r="AC54" s="46"/>
      <c r="AD54" s="46"/>
      <c r="AE54" s="46"/>
      <c r="AF54" s="46"/>
      <c r="AG54" s="46"/>
      <c r="AH54" s="46"/>
      <c r="AI54" s="46"/>
    </row>
    <row r="55" ht="22.5" customHeight="1">
      <c r="A55" s="27">
        <v>46247.0</v>
      </c>
      <c r="B55" s="34" t="str">
        <f t="shared" si="1"/>
        <v>08-2026</v>
      </c>
      <c r="C55" s="36" t="s">
        <v>683</v>
      </c>
      <c r="D55" s="20" t="str">
        <f t="array" ref="D55">_xlfn.XLOOKUP(C55, dCAGass[Tag], dCAGass[Room no.])</f>
        <v>10-1-067</v>
      </c>
      <c r="E55" s="36" t="s">
        <v>191</v>
      </c>
      <c r="F55" s="34" t="s">
        <v>108</v>
      </c>
      <c r="G55" s="29" t="b">
        <v>1</v>
      </c>
      <c r="H55" s="65" t="s">
        <v>194</v>
      </c>
      <c r="I55" s="65" t="s">
        <v>194</v>
      </c>
      <c r="J55" s="65" t="s">
        <v>194</v>
      </c>
      <c r="K55" s="65" t="s">
        <v>194</v>
      </c>
      <c r="L55" s="34" t="s">
        <v>527</v>
      </c>
      <c r="M55" s="34" t="s">
        <v>528</v>
      </c>
      <c r="N55" s="48">
        <v>46286.0</v>
      </c>
      <c r="O55" s="50">
        <v>0.0</v>
      </c>
      <c r="P55" s="66"/>
      <c r="Q55" s="21" t="s">
        <v>203</v>
      </c>
      <c r="R55" s="39"/>
      <c r="S55" s="43"/>
      <c r="T55" s="54" t="str">
        <f t="array" ref="T55">_xlfn.XLOOKUP(records_CAGass[roomNo], dCAGass[Room no.], dCAGass[Room Name])</f>
        <v>BLISTER PACKING-P (LOW RH)</v>
      </c>
      <c r="U55" s="56" t="str">
        <f t="array" ref="U55">_xlfn.XLOOKUP(records_CAGass[roomNo], dCAGass[Room no.], dCAGass[Bld])</f>
        <v>Building 10</v>
      </c>
      <c r="V55" s="56" t="str">
        <f t="array" ref="V55">if(A55="","",_xlfn.XLOOKUP(records_CAGass[roomNo], dCAGass[Room no.], dCAGass[Floor]))</f>
        <v>Floor 1</v>
      </c>
      <c r="W55" s="43">
        <f t="array" ref="W55">_xlfn.XLOOKUP(records_CAGass[roomNo], dCAGass[Room no.], dCAGass[Spec])</f>
        <v>5</v>
      </c>
      <c r="X55" s="43">
        <f t="array" ref="X55">if(O55="","",IFERROR(_xlfn.xlookup(records_CAGass[ColonyCount]&amp;records_CAGass[AirSampler],feller[code],feller[Vc]),_xlfn.xlookup(9999&amp;records_CAGass[AirSampler],feller[code],feller[Vc])))</f>
        <v>0</v>
      </c>
      <c r="Y55" s="29" t="b">
        <v>0</v>
      </c>
      <c r="Z55" s="39" t="s">
        <v>235</v>
      </c>
      <c r="AA55" s="46"/>
      <c r="AB55" s="46"/>
      <c r="AC55" s="46"/>
      <c r="AD55" s="46"/>
      <c r="AE55" s="46"/>
      <c r="AF55" s="46"/>
      <c r="AG55" s="46"/>
      <c r="AH55" s="46"/>
      <c r="AI55" s="46"/>
    </row>
    <row r="56" ht="22.5" customHeight="1">
      <c r="A56" s="27">
        <v>46251.0</v>
      </c>
      <c r="B56" s="34" t="str">
        <f t="shared" si="1"/>
        <v>08-2026</v>
      </c>
      <c r="C56" s="36" t="s">
        <v>166</v>
      </c>
      <c r="D56" s="20" t="str">
        <f t="array" ref="D56">_xlfn.XLOOKUP(C56, dCAGass[Tag], dCAGass[Room no.])</f>
        <v>10-3-136</v>
      </c>
      <c r="E56" s="36" t="s">
        <v>191</v>
      </c>
      <c r="F56" s="34" t="s">
        <v>111</v>
      </c>
      <c r="G56" s="29" t="b">
        <v>1</v>
      </c>
      <c r="H56" s="65" t="s">
        <v>194</v>
      </c>
      <c r="I56" s="65" t="s">
        <v>194</v>
      </c>
      <c r="J56" s="65" t="s">
        <v>194</v>
      </c>
      <c r="K56" s="65" t="s">
        <v>194</v>
      </c>
      <c r="L56" s="34" t="s">
        <v>692</v>
      </c>
      <c r="M56" s="34" t="s">
        <v>693</v>
      </c>
      <c r="N56" s="48">
        <v>46306.0</v>
      </c>
      <c r="O56" s="50">
        <v>0.0</v>
      </c>
      <c r="P56" s="66"/>
      <c r="Q56" s="21" t="s">
        <v>203</v>
      </c>
      <c r="R56" s="39"/>
      <c r="S56" s="43"/>
      <c r="T56" s="54" t="str">
        <f t="array" ref="T56">_xlfn.XLOOKUP(records_CAGass[roomNo], dCAGass[Room no.], dCAGass[Room Name])</f>
        <v>TABLET INSPECTION-P (LOW RH)</v>
      </c>
      <c r="U56" s="56" t="str">
        <f t="array" ref="U56">_xlfn.XLOOKUP(records_CAGass[roomNo], dCAGass[Room no.], dCAGass[Bld])</f>
        <v>Building 10</v>
      </c>
      <c r="V56" s="56" t="str">
        <f t="array" ref="V56">if(A56="","",_xlfn.XLOOKUP(records_CAGass[roomNo], dCAGass[Room no.], dCAGass[Floor]))</f>
        <v>Floor 3</v>
      </c>
      <c r="W56" s="43">
        <f t="array" ref="W56">_xlfn.XLOOKUP(records_CAGass[roomNo], dCAGass[Room no.], dCAGass[Spec])</f>
        <v>5</v>
      </c>
      <c r="X56" s="43">
        <f t="array" ref="X56">if(O56="","",IFERROR(_xlfn.xlookup(records_CAGass[ColonyCount]&amp;records_CAGass[AirSampler],feller[code],feller[Vc]),_xlfn.xlookup(9999&amp;records_CAGass[AirSampler],feller[code],feller[Vc])))</f>
        <v>0</v>
      </c>
      <c r="Y56" s="29" t="b">
        <v>0</v>
      </c>
      <c r="Z56" s="39" t="s">
        <v>695</v>
      </c>
      <c r="AA56" s="46"/>
      <c r="AB56" s="46"/>
      <c r="AC56" s="46"/>
      <c r="AD56" s="46"/>
      <c r="AE56" s="46"/>
      <c r="AF56" s="46"/>
      <c r="AG56" s="46"/>
      <c r="AH56" s="46"/>
      <c r="AI56" s="46"/>
    </row>
    <row r="57" ht="22.5" customHeight="1">
      <c r="A57" s="27">
        <v>46251.0</v>
      </c>
      <c r="B57" s="34" t="str">
        <f t="shared" si="1"/>
        <v>08-2026</v>
      </c>
      <c r="C57" s="36" t="s">
        <v>176</v>
      </c>
      <c r="D57" s="20" t="str">
        <f t="array" ref="D57">_xlfn.XLOOKUP(C57, dCAGass[Tag], dCAGass[Room no.])</f>
        <v>10-3-145</v>
      </c>
      <c r="E57" s="36" t="s">
        <v>191</v>
      </c>
      <c r="F57" s="34" t="s">
        <v>111</v>
      </c>
      <c r="G57" s="29" t="b">
        <v>1</v>
      </c>
      <c r="H57" s="65" t="s">
        <v>194</v>
      </c>
      <c r="I57" s="65" t="s">
        <v>194</v>
      </c>
      <c r="J57" s="65" t="s">
        <v>194</v>
      </c>
      <c r="K57" s="65" t="s">
        <v>194</v>
      </c>
      <c r="L57" s="34" t="s">
        <v>692</v>
      </c>
      <c r="M57" s="34" t="s">
        <v>693</v>
      </c>
      <c r="N57" s="48">
        <v>46306.0</v>
      </c>
      <c r="O57" s="50">
        <v>0.0</v>
      </c>
      <c r="P57" s="66"/>
      <c r="Q57" s="21" t="s">
        <v>203</v>
      </c>
      <c r="R57" s="39"/>
      <c r="S57" s="43"/>
      <c r="T57" s="54" t="str">
        <f t="array" ref="T57">_xlfn.XLOOKUP(records_CAGass[roomNo], dCAGass[Room no.], dCAGass[Room Name])</f>
        <v>COMPRESSION 1-P (LOW RH)</v>
      </c>
      <c r="U57" s="56" t="str">
        <f t="array" ref="U57">_xlfn.XLOOKUP(records_CAGass[roomNo], dCAGass[Room no.], dCAGass[Bld])</f>
        <v>Building 10</v>
      </c>
      <c r="V57" s="56" t="str">
        <f t="array" ref="V57">if(A57="","",_xlfn.XLOOKUP(records_CAGass[roomNo], dCAGass[Room no.], dCAGass[Floor]))</f>
        <v>Floor 3</v>
      </c>
      <c r="W57" s="43">
        <f t="array" ref="W57">_xlfn.XLOOKUP(records_CAGass[roomNo], dCAGass[Room no.], dCAGass[Spec])</f>
        <v>5</v>
      </c>
      <c r="X57" s="43">
        <f t="array" ref="X57">if(O57="","",IFERROR(_xlfn.xlookup(records_CAGass[ColonyCount]&amp;records_CAGass[AirSampler],feller[code],feller[Vc]),_xlfn.xlookup(9999&amp;records_CAGass[AirSampler],feller[code],feller[Vc])))</f>
        <v>0</v>
      </c>
      <c r="Y57" s="29" t="b">
        <v>0</v>
      </c>
      <c r="Z57" s="39" t="s">
        <v>695</v>
      </c>
      <c r="AA57" s="46"/>
      <c r="AB57" s="46"/>
      <c r="AC57" s="46"/>
      <c r="AD57" s="46"/>
      <c r="AE57" s="46"/>
      <c r="AF57" s="46"/>
      <c r="AG57" s="46"/>
      <c r="AH57" s="46"/>
      <c r="AI57" s="46"/>
    </row>
    <row r="58" ht="22.5" customHeight="1">
      <c r="A58" s="27">
        <v>46251.0</v>
      </c>
      <c r="B58" s="34" t="str">
        <f t="shared" si="1"/>
        <v>08-2026</v>
      </c>
      <c r="C58" s="36" t="s">
        <v>182</v>
      </c>
      <c r="D58" s="20" t="str">
        <f t="array" ref="D58">_xlfn.XLOOKUP(C58, dCAGass[Tag], dCAGass[Room no.])</f>
        <v>10-3-147</v>
      </c>
      <c r="E58" s="36" t="s">
        <v>191</v>
      </c>
      <c r="F58" s="34" t="s">
        <v>111</v>
      </c>
      <c r="G58" s="29" t="b">
        <v>1</v>
      </c>
      <c r="H58" s="65" t="s">
        <v>194</v>
      </c>
      <c r="I58" s="65" t="s">
        <v>194</v>
      </c>
      <c r="J58" s="65" t="s">
        <v>194</v>
      </c>
      <c r="K58" s="65" t="s">
        <v>194</v>
      </c>
      <c r="L58" s="34" t="s">
        <v>692</v>
      </c>
      <c r="M58" s="34" t="s">
        <v>693</v>
      </c>
      <c r="N58" s="48">
        <v>46306.0</v>
      </c>
      <c r="O58" s="50">
        <v>0.0</v>
      </c>
      <c r="P58" s="66"/>
      <c r="Q58" s="21" t="s">
        <v>203</v>
      </c>
      <c r="R58" s="39"/>
      <c r="S58" s="43"/>
      <c r="T58" s="54" t="str">
        <f t="array" ref="T58">_xlfn.XLOOKUP(records_CAGass[roomNo], dCAGass[Room no.], dCAGass[Room Name])</f>
        <v>COMPRESSION 2-P</v>
      </c>
      <c r="U58" s="56" t="str">
        <f t="array" ref="U58">_xlfn.XLOOKUP(records_CAGass[roomNo], dCAGass[Room no.], dCAGass[Bld])</f>
        <v>Building 10</v>
      </c>
      <c r="V58" s="56" t="str">
        <f t="array" ref="V58">if(A58="","",_xlfn.XLOOKUP(records_CAGass[roomNo], dCAGass[Room no.], dCAGass[Floor]))</f>
        <v>Floor 3</v>
      </c>
      <c r="W58" s="43">
        <f t="array" ref="W58">_xlfn.XLOOKUP(records_CAGass[roomNo], dCAGass[Room no.], dCAGass[Spec])</f>
        <v>5</v>
      </c>
      <c r="X58" s="43">
        <f t="array" ref="X58">if(O58="","",IFERROR(_xlfn.xlookup(records_CAGass[ColonyCount]&amp;records_CAGass[AirSampler],feller[code],feller[Vc]),_xlfn.xlookup(9999&amp;records_CAGass[AirSampler],feller[code],feller[Vc])))</f>
        <v>0</v>
      </c>
      <c r="Y58" s="29" t="b">
        <v>0</v>
      </c>
      <c r="Z58" s="39" t="s">
        <v>695</v>
      </c>
      <c r="AA58" s="46"/>
      <c r="AB58" s="46"/>
      <c r="AC58" s="46"/>
      <c r="AD58" s="46"/>
      <c r="AE58" s="46"/>
      <c r="AF58" s="46"/>
      <c r="AG58" s="46"/>
      <c r="AH58" s="46"/>
      <c r="AI58" s="46"/>
    </row>
    <row r="59" ht="22.5" customHeight="1">
      <c r="A59" s="27">
        <v>46252.0</v>
      </c>
      <c r="B59" s="34" t="str">
        <f t="shared" si="1"/>
        <v>08-2026</v>
      </c>
      <c r="C59" s="36" t="s">
        <v>172</v>
      </c>
      <c r="D59" s="20" t="str">
        <f t="array" ref="D59">_xlfn.XLOOKUP(C59, dCAGass[Tag], dCAGass[Room no.])</f>
        <v>10-3-050</v>
      </c>
      <c r="E59" s="36" t="s">
        <v>191</v>
      </c>
      <c r="F59" s="34" t="s">
        <v>118</v>
      </c>
      <c r="G59" s="29" t="b">
        <v>1</v>
      </c>
      <c r="H59" s="65" t="s">
        <v>194</v>
      </c>
      <c r="I59" s="65" t="s">
        <v>194</v>
      </c>
      <c r="J59" s="65" t="s">
        <v>194</v>
      </c>
      <c r="K59" s="65" t="s">
        <v>194</v>
      </c>
      <c r="L59" s="34" t="s">
        <v>692</v>
      </c>
      <c r="M59" s="34" t="s">
        <v>693</v>
      </c>
      <c r="N59" s="48">
        <v>46306.0</v>
      </c>
      <c r="O59" s="50">
        <v>0.0</v>
      </c>
      <c r="P59" s="66"/>
      <c r="Q59" s="21" t="s">
        <v>203</v>
      </c>
      <c r="R59" s="39"/>
      <c r="S59" s="43"/>
      <c r="T59" s="54" t="str">
        <f t="array" ref="T59">_xlfn.XLOOKUP(records_CAGass[roomNo], dCAGass[Room no.], dCAGass[Room Name])</f>
        <v>TABLETS INSPECTION 1</v>
      </c>
      <c r="U59" s="56" t="str">
        <f t="array" ref="U59">_xlfn.XLOOKUP(records_CAGass[roomNo], dCAGass[Room no.], dCAGass[Bld])</f>
        <v>Building 10</v>
      </c>
      <c r="V59" s="56" t="str">
        <f t="array" ref="V59">if(A59="","",_xlfn.XLOOKUP(records_CAGass[roomNo], dCAGass[Room no.], dCAGass[Floor]))</f>
        <v>Floor 3</v>
      </c>
      <c r="W59" s="43">
        <f t="array" ref="W59">_xlfn.XLOOKUP(records_CAGass[roomNo], dCAGass[Room no.], dCAGass[Spec])</f>
        <v>5</v>
      </c>
      <c r="X59" s="43">
        <f t="array" ref="X59">if(O59="","",IFERROR(_xlfn.xlookup(records_CAGass[ColonyCount]&amp;records_CAGass[AirSampler],feller[code],feller[Vc]),_xlfn.xlookup(9999&amp;records_CAGass[AirSampler],feller[code],feller[Vc])))</f>
        <v>0</v>
      </c>
      <c r="Y59" s="29" t="b">
        <v>0</v>
      </c>
      <c r="Z59" s="39" t="s">
        <v>235</v>
      </c>
      <c r="AA59" s="46"/>
      <c r="AB59" s="46"/>
      <c r="AC59" s="46"/>
      <c r="AD59" s="46"/>
      <c r="AE59" s="46"/>
      <c r="AF59" s="46"/>
      <c r="AG59" s="46"/>
      <c r="AH59" s="46"/>
      <c r="AI59" s="46"/>
    </row>
    <row r="60" ht="22.5" customHeight="1">
      <c r="A60" s="27">
        <v>46252.0</v>
      </c>
      <c r="B60" s="34" t="str">
        <f t="shared" si="1"/>
        <v>08-2026</v>
      </c>
      <c r="C60" s="36" t="s">
        <v>178</v>
      </c>
      <c r="D60" s="20" t="str">
        <f t="array" ref="D60">_xlfn.XLOOKUP(C60, dCAGass[Tag], dCAGass[Room no.])</f>
        <v>10-3-052</v>
      </c>
      <c r="E60" s="36" t="s">
        <v>191</v>
      </c>
      <c r="F60" s="34" t="s">
        <v>118</v>
      </c>
      <c r="G60" s="29" t="b">
        <v>1</v>
      </c>
      <c r="H60" s="65" t="s">
        <v>194</v>
      </c>
      <c r="I60" s="65" t="s">
        <v>194</v>
      </c>
      <c r="J60" s="65" t="s">
        <v>194</v>
      </c>
      <c r="K60" s="65" t="s">
        <v>194</v>
      </c>
      <c r="L60" s="34" t="s">
        <v>692</v>
      </c>
      <c r="M60" s="34" t="s">
        <v>693</v>
      </c>
      <c r="N60" s="48">
        <v>46306.0</v>
      </c>
      <c r="O60" s="50">
        <v>0.0</v>
      </c>
      <c r="P60" s="66"/>
      <c r="Q60" s="21" t="s">
        <v>203</v>
      </c>
      <c r="R60" s="39"/>
      <c r="S60" s="43"/>
      <c r="T60" s="54" t="str">
        <f t="array" ref="T60">_xlfn.XLOOKUP(records_CAGass[roomNo], dCAGass[Room no.], dCAGass[Room Name])</f>
        <v>TABLETS INSPECTION 2</v>
      </c>
      <c r="U60" s="56" t="str">
        <f t="array" ref="U60">_xlfn.XLOOKUP(records_CAGass[roomNo], dCAGass[Room no.], dCAGass[Bld])</f>
        <v>Building 10</v>
      </c>
      <c r="V60" s="56" t="str">
        <f t="array" ref="V60">if(A60="","",_xlfn.XLOOKUP(records_CAGass[roomNo], dCAGass[Room no.], dCAGass[Floor]))</f>
        <v>Floor 3</v>
      </c>
      <c r="W60" s="43">
        <f t="array" ref="W60">_xlfn.XLOOKUP(records_CAGass[roomNo], dCAGass[Room no.], dCAGass[Spec])</f>
        <v>5</v>
      </c>
      <c r="X60" s="43">
        <f t="array" ref="X60">if(O60="","",IFERROR(_xlfn.xlookup(records_CAGass[ColonyCount]&amp;records_CAGass[AirSampler],feller[code],feller[Vc]),_xlfn.xlookup(9999&amp;records_CAGass[AirSampler],feller[code],feller[Vc])))</f>
        <v>0</v>
      </c>
      <c r="Y60" s="29" t="b">
        <v>0</v>
      </c>
      <c r="Z60" s="39" t="s">
        <v>235</v>
      </c>
      <c r="AA60" s="46"/>
      <c r="AB60" s="46"/>
      <c r="AC60" s="46"/>
      <c r="AD60" s="46"/>
      <c r="AE60" s="46"/>
      <c r="AF60" s="46"/>
      <c r="AG60" s="46"/>
      <c r="AH60" s="46"/>
      <c r="AI60" s="46"/>
    </row>
    <row r="61" ht="22.5" customHeight="1">
      <c r="A61" s="27">
        <v>46252.0</v>
      </c>
      <c r="B61" s="34" t="str">
        <f t="shared" si="1"/>
        <v>08-2026</v>
      </c>
      <c r="C61" s="36" t="s">
        <v>198</v>
      </c>
      <c r="D61" s="20" t="str">
        <f t="array" ref="D61">_xlfn.XLOOKUP(C61, dCAGass[Tag], dCAGass[Room no.])</f>
        <v>10-3-122</v>
      </c>
      <c r="E61" s="36" t="s">
        <v>191</v>
      </c>
      <c r="F61" s="34" t="s">
        <v>118</v>
      </c>
      <c r="G61" s="29" t="b">
        <v>1</v>
      </c>
      <c r="H61" s="65" t="s">
        <v>194</v>
      </c>
      <c r="I61" s="65" t="s">
        <v>194</v>
      </c>
      <c r="J61" s="65" t="s">
        <v>194</v>
      </c>
      <c r="K61" s="65" t="s">
        <v>194</v>
      </c>
      <c r="L61" s="34" t="s">
        <v>692</v>
      </c>
      <c r="M61" s="34" t="s">
        <v>693</v>
      </c>
      <c r="N61" s="48">
        <v>46306.0</v>
      </c>
      <c r="O61" s="50">
        <v>0.0</v>
      </c>
      <c r="P61" s="66"/>
      <c r="Q61" s="21" t="s">
        <v>203</v>
      </c>
      <c r="R61" s="39"/>
      <c r="S61" s="43"/>
      <c r="T61" s="54" t="str">
        <f t="array" ref="T61">_xlfn.XLOOKUP(records_CAGass[roomNo], dCAGass[Room no.], dCAGass[Room Name])</f>
        <v>COMPRESSION 3 (LOW RH)</v>
      </c>
      <c r="U61" s="56" t="str">
        <f t="array" ref="U61">_xlfn.XLOOKUP(records_CAGass[roomNo], dCAGass[Room no.], dCAGass[Bld])</f>
        <v>Building 10</v>
      </c>
      <c r="V61" s="56" t="str">
        <f t="array" ref="V61">if(A61="","",_xlfn.XLOOKUP(records_CAGass[roomNo], dCAGass[Room no.], dCAGass[Floor]))</f>
        <v>Floor 3</v>
      </c>
      <c r="W61" s="43">
        <f t="array" ref="W61">_xlfn.XLOOKUP(records_CAGass[roomNo], dCAGass[Room no.], dCAGass[Spec])</f>
        <v>5</v>
      </c>
      <c r="X61" s="43">
        <f t="array" ref="X61">if(O61="","",IFERROR(_xlfn.xlookup(records_CAGass[ColonyCount]&amp;records_CAGass[AirSampler],feller[code],feller[Vc]),_xlfn.xlookup(9999&amp;records_CAGass[AirSampler],feller[code],feller[Vc])))</f>
        <v>0</v>
      </c>
      <c r="Y61" s="29" t="b">
        <v>0</v>
      </c>
      <c r="Z61" s="39" t="s">
        <v>235</v>
      </c>
      <c r="AA61" s="46"/>
      <c r="AB61" s="46"/>
      <c r="AC61" s="46"/>
      <c r="AD61" s="46"/>
      <c r="AE61" s="46"/>
      <c r="AF61" s="46"/>
      <c r="AG61" s="46"/>
      <c r="AH61" s="46"/>
      <c r="AI61" s="46"/>
    </row>
    <row r="62" ht="22.5" customHeight="1">
      <c r="A62" s="27">
        <v>46252.0</v>
      </c>
      <c r="B62" s="34" t="str">
        <f t="shared" si="1"/>
        <v>08-2026</v>
      </c>
      <c r="C62" s="36" t="s">
        <v>204</v>
      </c>
      <c r="D62" s="20" t="str">
        <f t="array" ref="D62">_xlfn.XLOOKUP(C62, dCAGass[Tag], dCAGass[Room no.])</f>
        <v>10-3-123</v>
      </c>
      <c r="E62" s="36" t="s">
        <v>191</v>
      </c>
      <c r="F62" s="34" t="s">
        <v>118</v>
      </c>
      <c r="G62" s="29" t="b">
        <v>1</v>
      </c>
      <c r="H62" s="65" t="s">
        <v>194</v>
      </c>
      <c r="I62" s="65" t="s">
        <v>194</v>
      </c>
      <c r="J62" s="65" t="s">
        <v>194</v>
      </c>
      <c r="K62" s="65" t="s">
        <v>194</v>
      </c>
      <c r="L62" s="34" t="s">
        <v>692</v>
      </c>
      <c r="M62" s="34" t="s">
        <v>693</v>
      </c>
      <c r="N62" s="48">
        <v>46306.0</v>
      </c>
      <c r="O62" s="50">
        <v>0.0</v>
      </c>
      <c r="P62" s="66"/>
      <c r="Q62" s="21" t="s">
        <v>203</v>
      </c>
      <c r="R62" s="39"/>
      <c r="S62" s="43"/>
      <c r="T62" s="54" t="str">
        <f t="array" ref="T62">_xlfn.XLOOKUP(records_CAGass[roomNo], dCAGass[Room no.], dCAGass[Room Name])</f>
        <v>COMPRESSION 4</v>
      </c>
      <c r="U62" s="56" t="str">
        <f t="array" ref="U62">_xlfn.XLOOKUP(records_CAGass[roomNo], dCAGass[Room no.], dCAGass[Bld])</f>
        <v>Building 10</v>
      </c>
      <c r="V62" s="56" t="str">
        <f t="array" ref="V62">if(A62="","",_xlfn.XLOOKUP(records_CAGass[roomNo], dCAGass[Room no.], dCAGass[Floor]))</f>
        <v>Floor 3</v>
      </c>
      <c r="W62" s="43">
        <f t="array" ref="W62">_xlfn.XLOOKUP(records_CAGass[roomNo], dCAGass[Room no.], dCAGass[Spec])</f>
        <v>5</v>
      </c>
      <c r="X62" s="43">
        <f t="array" ref="X62">if(O62="","",IFERROR(_xlfn.xlookup(records_CAGass[ColonyCount]&amp;records_CAGass[AirSampler],feller[code],feller[Vc]),_xlfn.xlookup(9999&amp;records_CAGass[AirSampler],feller[code],feller[Vc])))</f>
        <v>0</v>
      </c>
      <c r="Y62" s="29" t="b">
        <v>0</v>
      </c>
      <c r="Z62" s="39" t="s">
        <v>235</v>
      </c>
      <c r="AA62" s="46"/>
      <c r="AB62" s="46"/>
      <c r="AC62" s="46"/>
      <c r="AD62" s="46"/>
      <c r="AE62" s="46"/>
      <c r="AF62" s="46"/>
      <c r="AG62" s="46"/>
      <c r="AH62" s="46"/>
      <c r="AI62" s="46"/>
    </row>
    <row r="63" ht="22.5" customHeight="1">
      <c r="A63" s="27">
        <v>46252.0</v>
      </c>
      <c r="B63" s="34" t="str">
        <f t="shared" si="1"/>
        <v>08-2026</v>
      </c>
      <c r="C63" s="36" t="s">
        <v>211</v>
      </c>
      <c r="D63" s="20" t="str">
        <f t="array" ref="D63">_xlfn.XLOOKUP(C63, dCAGass[Tag], dCAGass[Room no.])</f>
        <v>10-3-125</v>
      </c>
      <c r="E63" s="36" t="s">
        <v>191</v>
      </c>
      <c r="F63" s="34" t="s">
        <v>118</v>
      </c>
      <c r="G63" s="29" t="b">
        <v>1</v>
      </c>
      <c r="H63" s="65" t="s">
        <v>194</v>
      </c>
      <c r="I63" s="65" t="s">
        <v>194</v>
      </c>
      <c r="J63" s="65" t="s">
        <v>194</v>
      </c>
      <c r="K63" s="65" t="s">
        <v>194</v>
      </c>
      <c r="L63" s="34" t="s">
        <v>692</v>
      </c>
      <c r="M63" s="34" t="s">
        <v>693</v>
      </c>
      <c r="N63" s="48">
        <v>46306.0</v>
      </c>
      <c r="O63" s="50">
        <v>0.0</v>
      </c>
      <c r="P63" s="66"/>
      <c r="Q63" s="21" t="s">
        <v>203</v>
      </c>
      <c r="R63" s="39"/>
      <c r="S63" s="43"/>
      <c r="T63" s="54" t="str">
        <f t="array" ref="T63">_xlfn.XLOOKUP(records_CAGass[roomNo], dCAGass[Room no.], dCAGass[Room Name])</f>
        <v>COMPRESSION 6</v>
      </c>
      <c r="U63" s="56" t="str">
        <f t="array" ref="U63">_xlfn.XLOOKUP(records_CAGass[roomNo], dCAGass[Room no.], dCAGass[Bld])</f>
        <v>Building 10</v>
      </c>
      <c r="V63" s="56" t="str">
        <f t="array" ref="V63">if(A63="","",_xlfn.XLOOKUP(records_CAGass[roomNo], dCAGass[Room no.], dCAGass[Floor]))</f>
        <v>Floor 3</v>
      </c>
      <c r="W63" s="43">
        <f t="array" ref="W63">_xlfn.XLOOKUP(records_CAGass[roomNo], dCAGass[Room no.], dCAGass[Spec])</f>
        <v>5</v>
      </c>
      <c r="X63" s="43">
        <f t="array" ref="X63">if(O63="","",IFERROR(_xlfn.xlookup(records_CAGass[ColonyCount]&amp;records_CAGass[AirSampler],feller[code],feller[Vc]),_xlfn.xlookup(9999&amp;records_CAGass[AirSampler],feller[code],feller[Vc])))</f>
        <v>0</v>
      </c>
      <c r="Y63" s="29" t="b">
        <v>0</v>
      </c>
      <c r="Z63" s="39" t="s">
        <v>235</v>
      </c>
      <c r="AA63" s="46"/>
      <c r="AB63" s="46"/>
      <c r="AC63" s="46"/>
      <c r="AD63" s="46"/>
      <c r="AE63" s="46"/>
      <c r="AF63" s="46"/>
      <c r="AG63" s="46"/>
      <c r="AH63" s="46"/>
      <c r="AI63" s="46"/>
    </row>
    <row r="64" ht="22.5" customHeight="1">
      <c r="A64" s="27">
        <v>46252.0</v>
      </c>
      <c r="B64" s="34" t="str">
        <f t="shared" si="1"/>
        <v>08-2026</v>
      </c>
      <c r="C64" s="36" t="s">
        <v>216</v>
      </c>
      <c r="D64" s="20" t="str">
        <f t="array" ref="D64">_xlfn.XLOOKUP(C64, dCAGass[Tag], dCAGass[Room no.])</f>
        <v>10-3-126</v>
      </c>
      <c r="E64" s="36" t="s">
        <v>191</v>
      </c>
      <c r="F64" s="34" t="s">
        <v>118</v>
      </c>
      <c r="G64" s="29" t="b">
        <v>1</v>
      </c>
      <c r="H64" s="65" t="s">
        <v>194</v>
      </c>
      <c r="I64" s="65" t="s">
        <v>194</v>
      </c>
      <c r="J64" s="65" t="s">
        <v>194</v>
      </c>
      <c r="K64" s="65" t="s">
        <v>194</v>
      </c>
      <c r="L64" s="34" t="s">
        <v>692</v>
      </c>
      <c r="M64" s="34" t="s">
        <v>693</v>
      </c>
      <c r="N64" s="48">
        <v>46306.0</v>
      </c>
      <c r="O64" s="50">
        <v>0.0</v>
      </c>
      <c r="P64" s="66"/>
      <c r="Q64" s="21" t="s">
        <v>203</v>
      </c>
      <c r="R64" s="39"/>
      <c r="S64" s="43"/>
      <c r="T64" s="54" t="str">
        <f t="array" ref="T64">_xlfn.XLOOKUP(records_CAGass[roomNo], dCAGass[Room no.], dCAGass[Room Name])</f>
        <v>COMPRESSION 7</v>
      </c>
      <c r="U64" s="56" t="str">
        <f t="array" ref="U64">_xlfn.XLOOKUP(records_CAGass[roomNo], dCAGass[Room no.], dCAGass[Bld])</f>
        <v>Building 10</v>
      </c>
      <c r="V64" s="56" t="str">
        <f t="array" ref="V64">if(A64="","",_xlfn.XLOOKUP(records_CAGass[roomNo], dCAGass[Room no.], dCAGass[Floor]))</f>
        <v>Floor 3</v>
      </c>
      <c r="W64" s="43">
        <f t="array" ref="W64">_xlfn.XLOOKUP(records_CAGass[roomNo], dCAGass[Room no.], dCAGass[Spec])</f>
        <v>5</v>
      </c>
      <c r="X64" s="43">
        <f t="array" ref="X64">if(O64="","",IFERROR(_xlfn.xlookup(records_CAGass[ColonyCount]&amp;records_CAGass[AirSampler],feller[code],feller[Vc]),_xlfn.xlookup(9999&amp;records_CAGass[AirSampler],feller[code],feller[Vc])))</f>
        <v>0</v>
      </c>
      <c r="Y64" s="29" t="b">
        <v>0</v>
      </c>
      <c r="Z64" s="39" t="s">
        <v>235</v>
      </c>
      <c r="AA64" s="46"/>
      <c r="AB64" s="46"/>
      <c r="AC64" s="46"/>
      <c r="AD64" s="46"/>
      <c r="AE64" s="46"/>
      <c r="AF64" s="46"/>
      <c r="AG64" s="46"/>
      <c r="AH64" s="46"/>
      <c r="AI64" s="46"/>
    </row>
    <row r="65" ht="22.5" customHeight="1">
      <c r="A65" s="27">
        <v>46252.0</v>
      </c>
      <c r="B65" s="34" t="str">
        <f t="shared" si="1"/>
        <v>08-2026</v>
      </c>
      <c r="C65" s="36" t="s">
        <v>221</v>
      </c>
      <c r="D65" s="20" t="str">
        <f t="array" ref="D65">_xlfn.XLOOKUP(C65, dCAGass[Tag], dCAGass[Room no.])</f>
        <v>10-3-127</v>
      </c>
      <c r="E65" s="36" t="s">
        <v>191</v>
      </c>
      <c r="F65" s="34" t="s">
        <v>118</v>
      </c>
      <c r="G65" s="29" t="b">
        <v>1</v>
      </c>
      <c r="H65" s="65" t="s">
        <v>194</v>
      </c>
      <c r="I65" s="65" t="s">
        <v>194</v>
      </c>
      <c r="J65" s="65" t="s">
        <v>194</v>
      </c>
      <c r="K65" s="65" t="s">
        <v>194</v>
      </c>
      <c r="L65" s="34" t="s">
        <v>692</v>
      </c>
      <c r="M65" s="34" t="s">
        <v>693</v>
      </c>
      <c r="N65" s="48">
        <v>46306.0</v>
      </c>
      <c r="O65" s="50">
        <v>0.0</v>
      </c>
      <c r="P65" s="66"/>
      <c r="Q65" s="21" t="s">
        <v>203</v>
      </c>
      <c r="R65" s="39"/>
      <c r="S65" s="43"/>
      <c r="T65" s="54" t="str">
        <f t="array" ref="T65">_xlfn.XLOOKUP(records_CAGass[roomNo], dCAGass[Room no.], dCAGass[Room Name])</f>
        <v>COMPRESSION 8</v>
      </c>
      <c r="U65" s="56" t="str">
        <f t="array" ref="U65">_xlfn.XLOOKUP(records_CAGass[roomNo], dCAGass[Room no.], dCAGass[Bld])</f>
        <v>Building 10</v>
      </c>
      <c r="V65" s="56" t="str">
        <f t="array" ref="V65">if(A65="","",_xlfn.XLOOKUP(records_CAGass[roomNo], dCAGass[Room no.], dCAGass[Floor]))</f>
        <v>Floor 3</v>
      </c>
      <c r="W65" s="43">
        <f t="array" ref="W65">_xlfn.XLOOKUP(records_CAGass[roomNo], dCAGass[Room no.], dCAGass[Spec])</f>
        <v>5</v>
      </c>
      <c r="X65" s="43">
        <f t="array" ref="X65">if(O65="","",IFERROR(_xlfn.xlookup(records_CAGass[ColonyCount]&amp;records_CAGass[AirSampler],feller[code],feller[Vc]),_xlfn.xlookup(9999&amp;records_CAGass[AirSampler],feller[code],feller[Vc])))</f>
        <v>0</v>
      </c>
      <c r="Y65" s="29" t="b">
        <v>0</v>
      </c>
      <c r="Z65" s="39" t="s">
        <v>235</v>
      </c>
      <c r="AA65" s="46"/>
      <c r="AB65" s="46"/>
      <c r="AC65" s="46"/>
      <c r="AD65" s="46"/>
      <c r="AE65" s="46"/>
      <c r="AF65" s="46"/>
      <c r="AG65" s="46"/>
      <c r="AH65" s="46"/>
      <c r="AI65" s="46"/>
    </row>
    <row r="66" ht="22.5" customHeight="1">
      <c r="A66" s="27">
        <v>46253.0</v>
      </c>
      <c r="B66" s="34" t="str">
        <f t="shared" si="1"/>
        <v>08-2026</v>
      </c>
      <c r="C66" s="76" t="s">
        <v>225</v>
      </c>
      <c r="D66" s="20" t="str">
        <f t="array" ref="D66">_xlfn.XLOOKUP(C66, dCAGass[Tag], dCAGass[Room no.])</f>
        <v>10-3-143</v>
      </c>
      <c r="E66" s="36" t="s">
        <v>191</v>
      </c>
      <c r="F66" s="34" t="s">
        <v>120</v>
      </c>
      <c r="G66" s="29" t="b">
        <v>1</v>
      </c>
      <c r="H66" s="65" t="s">
        <v>194</v>
      </c>
      <c r="I66" s="65" t="s">
        <v>194</v>
      </c>
      <c r="J66" s="65" t="s">
        <v>194</v>
      </c>
      <c r="K66" s="65" t="s">
        <v>194</v>
      </c>
      <c r="L66" s="34" t="s">
        <v>692</v>
      </c>
      <c r="M66" s="34" t="s">
        <v>693</v>
      </c>
      <c r="N66" s="48">
        <v>46306.0</v>
      </c>
      <c r="O66" s="50">
        <v>0.0</v>
      </c>
      <c r="P66" s="66"/>
      <c r="Q66" s="21" t="s">
        <v>203</v>
      </c>
      <c r="R66" s="39"/>
      <c r="S66" s="43"/>
      <c r="T66" s="54" t="str">
        <f t="array" ref="T66">_xlfn.XLOOKUP(records_CAGass[roomNo], dCAGass[Room no.], dCAGass[Room Name])</f>
        <v>COATING SOLUTION PREPARATION-P</v>
      </c>
      <c r="U66" s="56" t="str">
        <f t="array" ref="U66">_xlfn.XLOOKUP(records_CAGass[roomNo], dCAGass[Room no.], dCAGass[Bld])</f>
        <v>Building 10</v>
      </c>
      <c r="V66" s="56" t="str">
        <f t="array" ref="V66">if(A66="","",_xlfn.XLOOKUP(records_CAGass[roomNo], dCAGass[Room no.], dCAGass[Floor]))</f>
        <v>Floor 3</v>
      </c>
      <c r="W66" s="43">
        <f t="array" ref="W66">_xlfn.XLOOKUP(records_CAGass[roomNo], dCAGass[Room no.], dCAGass[Spec])</f>
        <v>5</v>
      </c>
      <c r="X66" s="43">
        <f t="array" ref="X66">if(O66="","",IFERROR(_xlfn.xlookup(records_CAGass[ColonyCount]&amp;records_CAGass[AirSampler],feller[code],feller[Vc]),_xlfn.xlookup(9999&amp;records_CAGass[AirSampler],feller[code],feller[Vc])))</f>
        <v>0</v>
      </c>
      <c r="Y66" s="29" t="b">
        <v>0</v>
      </c>
      <c r="Z66" s="39" t="s">
        <v>235</v>
      </c>
      <c r="AA66" s="46"/>
      <c r="AB66" s="46"/>
      <c r="AC66" s="46"/>
      <c r="AD66" s="46"/>
      <c r="AE66" s="46"/>
      <c r="AF66" s="46"/>
      <c r="AG66" s="46"/>
      <c r="AH66" s="46"/>
      <c r="AI66" s="46"/>
    </row>
    <row r="67" ht="22.5" customHeight="1">
      <c r="A67" s="27">
        <v>46253.0</v>
      </c>
      <c r="B67" s="34" t="str">
        <f t="shared" si="1"/>
        <v>08-2026</v>
      </c>
      <c r="C67" s="76" t="s">
        <v>230</v>
      </c>
      <c r="D67" s="20" t="str">
        <f t="array" ref="D67">_xlfn.XLOOKUP(C67, dCAGass[Tag], dCAGass[Room no.])</f>
        <v>10-3-159</v>
      </c>
      <c r="E67" s="36" t="s">
        <v>191</v>
      </c>
      <c r="F67" s="34" t="s">
        <v>120</v>
      </c>
      <c r="G67" s="29" t="b">
        <v>1</v>
      </c>
      <c r="H67" s="65" t="s">
        <v>194</v>
      </c>
      <c r="I67" s="65" t="s">
        <v>194</v>
      </c>
      <c r="J67" s="65" t="s">
        <v>194</v>
      </c>
      <c r="K67" s="65" t="s">
        <v>194</v>
      </c>
      <c r="L67" s="34" t="s">
        <v>692</v>
      </c>
      <c r="M67" s="34" t="s">
        <v>693</v>
      </c>
      <c r="N67" s="48">
        <v>46306.0</v>
      </c>
      <c r="O67" s="50">
        <v>0.0</v>
      </c>
      <c r="P67" s="66"/>
      <c r="Q67" s="21" t="s">
        <v>203</v>
      </c>
      <c r="R67" s="39"/>
      <c r="S67" s="43"/>
      <c r="T67" s="54" t="str">
        <f t="array" ref="T67">_xlfn.XLOOKUP(records_CAGass[roomNo], dCAGass[Room no.], dCAGass[Room Name])</f>
        <v>BINDER PREPARATION-P</v>
      </c>
      <c r="U67" s="56" t="str">
        <f t="array" ref="U67">_xlfn.XLOOKUP(records_CAGass[roomNo], dCAGass[Room no.], dCAGass[Bld])</f>
        <v>Building 10</v>
      </c>
      <c r="V67" s="56" t="str">
        <f t="array" ref="V67">if(A67="","",_xlfn.XLOOKUP(records_CAGass[roomNo], dCAGass[Room no.], dCAGass[Floor]))</f>
        <v>Floor 3</v>
      </c>
      <c r="W67" s="43">
        <f t="array" ref="W67">_xlfn.XLOOKUP(records_CAGass[roomNo], dCAGass[Room no.], dCAGass[Spec])</f>
        <v>5</v>
      </c>
      <c r="X67" s="43">
        <f t="array" ref="X67">if(O67="","",IFERROR(_xlfn.xlookup(records_CAGass[ColonyCount]&amp;records_CAGass[AirSampler],feller[code],feller[Vc]),_xlfn.xlookup(9999&amp;records_CAGass[AirSampler],feller[code],feller[Vc])))</f>
        <v>0</v>
      </c>
      <c r="Y67" s="29" t="b">
        <v>0</v>
      </c>
      <c r="Z67" s="39" t="s">
        <v>235</v>
      </c>
      <c r="AA67" s="46"/>
      <c r="AB67" s="46"/>
      <c r="AC67" s="46"/>
      <c r="AD67" s="46"/>
      <c r="AE67" s="46"/>
      <c r="AF67" s="46"/>
      <c r="AG67" s="46"/>
      <c r="AH67" s="46"/>
      <c r="AI67" s="46"/>
    </row>
    <row r="68" ht="22.5" customHeight="1">
      <c r="A68" s="27">
        <v>46253.0</v>
      </c>
      <c r="B68" s="34" t="str">
        <f t="shared" si="1"/>
        <v>08-2026</v>
      </c>
      <c r="C68" s="76" t="s">
        <v>232</v>
      </c>
      <c r="D68" s="20" t="str">
        <f t="array" ref="D68">_xlfn.XLOOKUP(C68, dCAGass[Tag], dCAGass[Room no.])</f>
        <v>10-3-160</v>
      </c>
      <c r="E68" s="36" t="s">
        <v>191</v>
      </c>
      <c r="F68" s="34" t="s">
        <v>120</v>
      </c>
      <c r="G68" s="29" t="b">
        <v>1</v>
      </c>
      <c r="H68" s="65" t="s">
        <v>194</v>
      </c>
      <c r="I68" s="65" t="s">
        <v>194</v>
      </c>
      <c r="J68" s="65" t="s">
        <v>194</v>
      </c>
      <c r="K68" s="65" t="s">
        <v>194</v>
      </c>
      <c r="L68" s="34" t="s">
        <v>692</v>
      </c>
      <c r="M68" s="34" t="s">
        <v>693</v>
      </c>
      <c r="N68" s="48">
        <v>46306.0</v>
      </c>
      <c r="O68" s="50">
        <v>0.0</v>
      </c>
      <c r="P68" s="66"/>
      <c r="Q68" s="21" t="s">
        <v>203</v>
      </c>
      <c r="R68" s="39"/>
      <c r="S68" s="43"/>
      <c r="T68" s="54" t="str">
        <f t="array" ref="T68">_xlfn.XLOOKUP(records_CAGass[roomNo], dCAGass[Room no.], dCAGass[Room Name])</f>
        <v>DRY GRANULATION-P (LOW RH)</v>
      </c>
      <c r="U68" s="56" t="str">
        <f t="array" ref="U68">_xlfn.XLOOKUP(records_CAGass[roomNo], dCAGass[Room no.], dCAGass[Bld])</f>
        <v>Building 10</v>
      </c>
      <c r="V68" s="56" t="str">
        <f t="array" ref="V68">if(A68="","",_xlfn.XLOOKUP(records_CAGass[roomNo], dCAGass[Room no.], dCAGass[Floor]))</f>
        <v>Floor 3</v>
      </c>
      <c r="W68" s="43">
        <f t="array" ref="W68">_xlfn.XLOOKUP(records_CAGass[roomNo], dCAGass[Room no.], dCAGass[Spec])</f>
        <v>5</v>
      </c>
      <c r="X68" s="43">
        <f t="array" ref="X68">if(O68="","",IFERROR(_xlfn.xlookup(records_CAGass[ColonyCount]&amp;records_CAGass[AirSampler],feller[code],feller[Vc]),_xlfn.xlookup(9999&amp;records_CAGass[AirSampler],feller[code],feller[Vc])))</f>
        <v>0</v>
      </c>
      <c r="Y68" s="29" t="b">
        <v>0</v>
      </c>
      <c r="Z68" s="39" t="s">
        <v>235</v>
      </c>
      <c r="AA68" s="46"/>
      <c r="AB68" s="46"/>
      <c r="AC68" s="46"/>
      <c r="AD68" s="46"/>
      <c r="AE68" s="46"/>
      <c r="AF68" s="46"/>
      <c r="AG68" s="46"/>
      <c r="AH68" s="46"/>
      <c r="AI68" s="46"/>
    </row>
    <row r="69" ht="22.5" customHeight="1">
      <c r="A69" s="27">
        <v>46253.0</v>
      </c>
      <c r="B69" s="34" t="str">
        <f t="shared" si="1"/>
        <v>08-2026</v>
      </c>
      <c r="C69" s="76" t="s">
        <v>238</v>
      </c>
      <c r="D69" s="20" t="str">
        <f t="array" ref="D69">_xlfn.XLOOKUP(C69, dCAGass[Tag], dCAGass[Room no.])</f>
        <v>10-3-170</v>
      </c>
      <c r="E69" s="36" t="s">
        <v>191</v>
      </c>
      <c r="F69" s="34" t="s">
        <v>120</v>
      </c>
      <c r="G69" s="29" t="b">
        <v>1</v>
      </c>
      <c r="H69" s="65" t="s">
        <v>194</v>
      </c>
      <c r="I69" s="65" t="s">
        <v>194</v>
      </c>
      <c r="J69" s="65" t="s">
        <v>194</v>
      </c>
      <c r="K69" s="65" t="s">
        <v>194</v>
      </c>
      <c r="L69" s="34" t="s">
        <v>692</v>
      </c>
      <c r="M69" s="34" t="s">
        <v>693</v>
      </c>
      <c r="N69" s="48">
        <v>46306.0</v>
      </c>
      <c r="O69" s="50">
        <v>0.0</v>
      </c>
      <c r="P69" s="66"/>
      <c r="Q69" s="21" t="s">
        <v>203</v>
      </c>
      <c r="R69" s="39"/>
      <c r="S69" s="43"/>
      <c r="T69" s="54" t="str">
        <f t="array" ref="T69">_xlfn.XLOOKUP(records_CAGass[roomNo], dCAGass[Room no.], dCAGass[Room Name])</f>
        <v>DRYING-P</v>
      </c>
      <c r="U69" s="56" t="str">
        <f t="array" ref="U69">_xlfn.XLOOKUP(records_CAGass[roomNo], dCAGass[Room no.], dCAGass[Bld])</f>
        <v>Building 10</v>
      </c>
      <c r="V69" s="56" t="str">
        <f t="array" ref="V69">if(A69="","",_xlfn.XLOOKUP(records_CAGass[roomNo], dCAGass[Room no.], dCAGass[Floor]))</f>
        <v>Floor 3</v>
      </c>
      <c r="W69" s="43">
        <f t="array" ref="W69">_xlfn.XLOOKUP(records_CAGass[roomNo], dCAGass[Room no.], dCAGass[Spec])</f>
        <v>5</v>
      </c>
      <c r="X69" s="43">
        <f t="array" ref="X69">if(O69="","",IFERROR(_xlfn.xlookup(records_CAGass[ColonyCount]&amp;records_CAGass[AirSampler],feller[code],feller[Vc]),_xlfn.xlookup(9999&amp;records_CAGass[AirSampler],feller[code],feller[Vc])))</f>
        <v>0</v>
      </c>
      <c r="Y69" s="29" t="b">
        <v>0</v>
      </c>
      <c r="Z69" s="39" t="s">
        <v>235</v>
      </c>
      <c r="AA69" s="46"/>
      <c r="AB69" s="46"/>
      <c r="AC69" s="46"/>
      <c r="AD69" s="46"/>
      <c r="AE69" s="46"/>
      <c r="AF69" s="46"/>
      <c r="AG69" s="46"/>
      <c r="AH69" s="46"/>
      <c r="AI69" s="46"/>
    </row>
    <row r="70" ht="22.5" customHeight="1">
      <c r="A70" s="27">
        <v>46253.0</v>
      </c>
      <c r="B70" s="34" t="str">
        <f t="shared" si="1"/>
        <v>08-2026</v>
      </c>
      <c r="C70" s="76" t="s">
        <v>240</v>
      </c>
      <c r="D70" s="20" t="str">
        <f t="array" ref="D70">_xlfn.XLOOKUP(C70, dCAGass[Tag], dCAGass[Room no.])</f>
        <v>10-3-171</v>
      </c>
      <c r="E70" s="36" t="s">
        <v>191</v>
      </c>
      <c r="F70" s="34" t="s">
        <v>120</v>
      </c>
      <c r="G70" s="29" t="b">
        <v>1</v>
      </c>
      <c r="H70" s="65" t="s">
        <v>194</v>
      </c>
      <c r="I70" s="65" t="s">
        <v>194</v>
      </c>
      <c r="J70" s="65" t="s">
        <v>194</v>
      </c>
      <c r="K70" s="65" t="s">
        <v>194</v>
      </c>
      <c r="L70" s="34" t="s">
        <v>692</v>
      </c>
      <c r="M70" s="34" t="s">
        <v>693</v>
      </c>
      <c r="N70" s="48">
        <v>46306.0</v>
      </c>
      <c r="O70" s="50">
        <v>0.0</v>
      </c>
      <c r="P70" s="66"/>
      <c r="Q70" s="21" t="s">
        <v>203</v>
      </c>
      <c r="R70" s="39"/>
      <c r="S70" s="43"/>
      <c r="T70" s="54" t="str">
        <f t="array" ref="T70">_xlfn.XLOOKUP(records_CAGass[roomNo], dCAGass[Room no.], dCAGass[Room Name])</f>
        <v>TOOLS WASHING-P</v>
      </c>
      <c r="U70" s="56" t="str">
        <f t="array" ref="U70">_xlfn.XLOOKUP(records_CAGass[roomNo], dCAGass[Room no.], dCAGass[Bld])</f>
        <v>Building 10</v>
      </c>
      <c r="V70" s="56" t="str">
        <f t="array" ref="V70">if(A70="","",_xlfn.XLOOKUP(records_CAGass[roomNo], dCAGass[Room no.], dCAGass[Floor]))</f>
        <v>Floor 3</v>
      </c>
      <c r="W70" s="43">
        <f t="array" ref="W70">_xlfn.XLOOKUP(records_CAGass[roomNo], dCAGass[Room no.], dCAGass[Spec])</f>
        <v>5</v>
      </c>
      <c r="X70" s="43">
        <f t="array" ref="X70">if(O70="","",IFERROR(_xlfn.xlookup(records_CAGass[ColonyCount]&amp;records_CAGass[AirSampler],feller[code],feller[Vc]),_xlfn.xlookup(9999&amp;records_CAGass[AirSampler],feller[code],feller[Vc])))</f>
        <v>0</v>
      </c>
      <c r="Y70" s="29" t="b">
        <v>0</v>
      </c>
      <c r="Z70" s="39" t="s">
        <v>235</v>
      </c>
      <c r="AA70" s="46"/>
      <c r="AB70" s="46"/>
      <c r="AC70" s="46"/>
      <c r="AD70" s="46"/>
      <c r="AE70" s="46"/>
      <c r="AF70" s="46"/>
      <c r="AG70" s="46"/>
      <c r="AH70" s="46"/>
      <c r="AI70" s="46"/>
    </row>
    <row r="71" ht="22.5" customHeight="1">
      <c r="A71" s="27">
        <v>46253.0</v>
      </c>
      <c r="B71" s="34" t="str">
        <f t="shared" si="1"/>
        <v>08-2026</v>
      </c>
      <c r="C71" s="76" t="s">
        <v>245</v>
      </c>
      <c r="D71" s="20" t="str">
        <f t="array" ref="D71">_xlfn.XLOOKUP(C71, dCAGass[Tag], dCAGass[Room no.])</f>
        <v>10-3-175</v>
      </c>
      <c r="E71" s="36" t="s">
        <v>191</v>
      </c>
      <c r="F71" s="34" t="s">
        <v>120</v>
      </c>
      <c r="G71" s="29" t="b">
        <v>1</v>
      </c>
      <c r="H71" s="65" t="s">
        <v>194</v>
      </c>
      <c r="I71" s="65" t="s">
        <v>194</v>
      </c>
      <c r="J71" s="65" t="s">
        <v>194</v>
      </c>
      <c r="K71" s="65" t="s">
        <v>194</v>
      </c>
      <c r="L71" s="34" t="s">
        <v>692</v>
      </c>
      <c r="M71" s="34" t="s">
        <v>693</v>
      </c>
      <c r="N71" s="48">
        <v>46306.0</v>
      </c>
      <c r="O71" s="50">
        <v>0.0</v>
      </c>
      <c r="P71" s="66"/>
      <c r="Q71" s="21" t="s">
        <v>203</v>
      </c>
      <c r="R71" s="39"/>
      <c r="S71" s="43"/>
      <c r="T71" s="54" t="str">
        <f t="array" ref="T71">_xlfn.XLOOKUP(records_CAGass[roomNo], dCAGass[Room no.], dCAGass[Room Name])</f>
        <v>DISPENSING 2-P</v>
      </c>
      <c r="U71" s="56" t="str">
        <f t="array" ref="U71">_xlfn.XLOOKUP(records_CAGass[roomNo], dCAGass[Room no.], dCAGass[Bld])</f>
        <v>Building 10</v>
      </c>
      <c r="V71" s="56" t="str">
        <f t="array" ref="V71">if(A71="","",_xlfn.XLOOKUP(records_CAGass[roomNo], dCAGass[Room no.], dCAGass[Floor]))</f>
        <v>Floor 3</v>
      </c>
      <c r="W71" s="43">
        <f t="array" ref="W71">_xlfn.XLOOKUP(records_CAGass[roomNo], dCAGass[Room no.], dCAGass[Spec])</f>
        <v>5</v>
      </c>
      <c r="X71" s="43">
        <f t="array" ref="X71">if(O71="","",IFERROR(_xlfn.xlookup(records_CAGass[ColonyCount]&amp;records_CAGass[AirSampler],feller[code],feller[Vc]),_xlfn.xlookup(9999&amp;records_CAGass[AirSampler],feller[code],feller[Vc])))</f>
        <v>0</v>
      </c>
      <c r="Y71" s="29" t="b">
        <v>0</v>
      </c>
      <c r="Z71" s="39" t="s">
        <v>235</v>
      </c>
      <c r="AA71" s="46"/>
      <c r="AB71" s="46"/>
      <c r="AC71" s="46"/>
      <c r="AD71" s="46"/>
      <c r="AE71" s="46"/>
      <c r="AF71" s="46"/>
      <c r="AG71" s="46"/>
      <c r="AH71" s="46"/>
      <c r="AI71" s="46"/>
    </row>
    <row r="72" ht="22.5" customHeight="1">
      <c r="A72" s="27">
        <v>46254.0</v>
      </c>
      <c r="B72" s="34" t="str">
        <f t="shared" si="1"/>
        <v>08-2026</v>
      </c>
      <c r="C72" s="76" t="s">
        <v>248</v>
      </c>
      <c r="D72" s="20" t="str">
        <f t="array" ref="D72">_xlfn.XLOOKUP(C72, dCAGass[Tag], dCAGass[Room no.])</f>
        <v>10-3-061</v>
      </c>
      <c r="E72" s="36" t="s">
        <v>191</v>
      </c>
      <c r="F72" s="34" t="s">
        <v>133</v>
      </c>
      <c r="G72" s="29" t="b">
        <v>1</v>
      </c>
      <c r="H72" s="65" t="s">
        <v>194</v>
      </c>
      <c r="I72" s="65" t="s">
        <v>194</v>
      </c>
      <c r="J72" s="65" t="s">
        <v>194</v>
      </c>
      <c r="K72" s="65" t="s">
        <v>194</v>
      </c>
      <c r="L72" s="34" t="s">
        <v>692</v>
      </c>
      <c r="M72" s="34" t="s">
        <v>693</v>
      </c>
      <c r="N72" s="48">
        <v>46306.0</v>
      </c>
      <c r="O72" s="50">
        <v>0.0</v>
      </c>
      <c r="P72" s="66"/>
      <c r="Q72" s="21" t="s">
        <v>203</v>
      </c>
      <c r="R72" s="39"/>
      <c r="S72" s="43"/>
      <c r="T72" s="54" t="str">
        <f t="array" ref="T72">_xlfn.XLOOKUP(records_CAGass[roomNo], dCAGass[Room no.], dCAGass[Room Name])</f>
        <v>COATING 2</v>
      </c>
      <c r="U72" s="56" t="str">
        <f t="array" ref="U72">_xlfn.XLOOKUP(records_CAGass[roomNo], dCAGass[Room no.], dCAGass[Bld])</f>
        <v>Building 10</v>
      </c>
      <c r="V72" s="56" t="str">
        <f t="array" ref="V72">if(A72="","",_xlfn.XLOOKUP(records_CAGass[roomNo], dCAGass[Room no.], dCAGass[Floor]))</f>
        <v>Floor 3</v>
      </c>
      <c r="W72" s="43">
        <f t="array" ref="W72">_xlfn.XLOOKUP(records_CAGass[roomNo], dCAGass[Room no.], dCAGass[Spec])</f>
        <v>5</v>
      </c>
      <c r="X72" s="43">
        <f t="array" ref="X72">if(O72="","",IFERROR(_xlfn.xlookup(records_CAGass[ColonyCount]&amp;records_CAGass[AirSampler],feller[code],feller[Vc]),_xlfn.xlookup(9999&amp;records_CAGass[AirSampler],feller[code],feller[Vc])))</f>
        <v>0</v>
      </c>
      <c r="Y72" s="29" t="b">
        <v>0</v>
      </c>
      <c r="Z72" s="39" t="s">
        <v>235</v>
      </c>
      <c r="AA72" s="46"/>
      <c r="AB72" s="46"/>
      <c r="AC72" s="46"/>
      <c r="AD72" s="46"/>
      <c r="AE72" s="46"/>
      <c r="AF72" s="46"/>
      <c r="AG72" s="46"/>
      <c r="AH72" s="46"/>
      <c r="AI72" s="46"/>
    </row>
    <row r="73" ht="22.5" customHeight="1">
      <c r="A73" s="27">
        <v>46254.0</v>
      </c>
      <c r="B73" s="34" t="str">
        <f t="shared" si="1"/>
        <v>08-2026</v>
      </c>
      <c r="C73" s="76" t="s">
        <v>185</v>
      </c>
      <c r="D73" s="20" t="str">
        <f t="array" ref="D73">_xlfn.XLOOKUP(C73, dCAGass[Tag], dCAGass[Room no.])</f>
        <v>10-3-060</v>
      </c>
      <c r="E73" s="36" t="s">
        <v>191</v>
      </c>
      <c r="F73" s="34" t="s">
        <v>133</v>
      </c>
      <c r="G73" s="29" t="b">
        <v>1</v>
      </c>
      <c r="H73" s="65" t="s">
        <v>194</v>
      </c>
      <c r="I73" s="65" t="s">
        <v>194</v>
      </c>
      <c r="J73" s="65" t="s">
        <v>194</v>
      </c>
      <c r="K73" s="65" t="s">
        <v>194</v>
      </c>
      <c r="L73" s="34" t="s">
        <v>692</v>
      </c>
      <c r="M73" s="34" t="s">
        <v>693</v>
      </c>
      <c r="N73" s="48">
        <v>46306.0</v>
      </c>
      <c r="O73" s="50">
        <v>0.0</v>
      </c>
      <c r="P73" s="66"/>
      <c r="Q73" s="21" t="s">
        <v>203</v>
      </c>
      <c r="R73" s="39"/>
      <c r="S73" s="43"/>
      <c r="T73" s="54" t="str">
        <f t="array" ref="T73">_xlfn.XLOOKUP(records_CAGass[roomNo], dCAGass[Room no.], dCAGass[Room Name])</f>
        <v>COATING SOLUTION PREPARATION 2</v>
      </c>
      <c r="U73" s="56" t="str">
        <f t="array" ref="U73">_xlfn.XLOOKUP(records_CAGass[roomNo], dCAGass[Room no.], dCAGass[Bld])</f>
        <v>Building 10</v>
      </c>
      <c r="V73" s="56" t="str">
        <f t="array" ref="V73">if(A73="","",_xlfn.XLOOKUP(records_CAGass[roomNo], dCAGass[Room no.], dCAGass[Floor]))</f>
        <v>Floor 3</v>
      </c>
      <c r="W73" s="43">
        <f t="array" ref="W73">_xlfn.XLOOKUP(records_CAGass[roomNo], dCAGass[Room no.], dCAGass[Spec])</f>
        <v>5</v>
      </c>
      <c r="X73" s="43">
        <f t="array" ref="X73">if(O73="","",IFERROR(_xlfn.xlookup(records_CAGass[ColonyCount]&amp;records_CAGass[AirSampler],feller[code],feller[Vc]),_xlfn.xlookup(9999&amp;records_CAGass[AirSampler],feller[code],feller[Vc])))</f>
        <v>0</v>
      </c>
      <c r="Y73" s="29" t="b">
        <v>0</v>
      </c>
      <c r="Z73" s="39" t="s">
        <v>235</v>
      </c>
      <c r="AA73" s="46"/>
      <c r="AB73" s="46"/>
      <c r="AC73" s="46"/>
      <c r="AD73" s="46"/>
      <c r="AE73" s="46"/>
      <c r="AF73" s="46"/>
      <c r="AG73" s="46"/>
      <c r="AH73" s="46"/>
      <c r="AI73" s="46"/>
    </row>
    <row r="74" ht="22.5" customHeight="1">
      <c r="A74" s="27">
        <v>46254.0</v>
      </c>
      <c r="B74" s="34" t="str">
        <f t="shared" si="1"/>
        <v>08-2026</v>
      </c>
      <c r="C74" s="76" t="s">
        <v>193</v>
      </c>
      <c r="D74" s="20" t="str">
        <f t="array" ref="D74">_xlfn.XLOOKUP(C74, dCAGass[Tag], dCAGass[Room no.])</f>
        <v>10-3-065</v>
      </c>
      <c r="E74" s="36" t="s">
        <v>191</v>
      </c>
      <c r="F74" s="34" t="s">
        <v>133</v>
      </c>
      <c r="G74" s="29" t="b">
        <v>1</v>
      </c>
      <c r="H74" s="65" t="s">
        <v>194</v>
      </c>
      <c r="I74" s="65" t="s">
        <v>194</v>
      </c>
      <c r="J74" s="65" t="s">
        <v>194</v>
      </c>
      <c r="K74" s="65" t="s">
        <v>194</v>
      </c>
      <c r="L74" s="34" t="s">
        <v>692</v>
      </c>
      <c r="M74" s="34" t="s">
        <v>693</v>
      </c>
      <c r="N74" s="48">
        <v>46306.0</v>
      </c>
      <c r="O74" s="50">
        <v>0.0</v>
      </c>
      <c r="P74" s="66"/>
      <c r="Q74" s="21" t="s">
        <v>203</v>
      </c>
      <c r="R74" s="39"/>
      <c r="S74" s="43"/>
      <c r="T74" s="54" t="str">
        <f t="array" ref="T74">_xlfn.XLOOKUP(records_CAGass[roomNo], dCAGass[Room no.], dCAGass[Room Name])</f>
        <v>COATING SOLUTION PREPARATION 3</v>
      </c>
      <c r="U74" s="56" t="str">
        <f t="array" ref="U74">_xlfn.XLOOKUP(records_CAGass[roomNo], dCAGass[Room no.], dCAGass[Bld])</f>
        <v>Building 10</v>
      </c>
      <c r="V74" s="56" t="str">
        <f t="array" ref="V74">if(A74="","",_xlfn.XLOOKUP(records_CAGass[roomNo], dCAGass[Room no.], dCAGass[Floor]))</f>
        <v>Floor 3</v>
      </c>
      <c r="W74" s="43">
        <f t="array" ref="W74">_xlfn.XLOOKUP(records_CAGass[roomNo], dCAGass[Room no.], dCAGass[Spec])</f>
        <v>5</v>
      </c>
      <c r="X74" s="43">
        <f t="array" ref="X74">if(O74="","",IFERROR(_xlfn.xlookup(records_CAGass[ColonyCount]&amp;records_CAGass[AirSampler],feller[code],feller[Vc]),_xlfn.xlookup(9999&amp;records_CAGass[AirSampler],feller[code],feller[Vc])))</f>
        <v>0</v>
      </c>
      <c r="Y74" s="29" t="b">
        <v>0</v>
      </c>
      <c r="Z74" s="39" t="s">
        <v>235</v>
      </c>
      <c r="AA74" s="46"/>
      <c r="AB74" s="46"/>
      <c r="AC74" s="46"/>
      <c r="AD74" s="46"/>
      <c r="AE74" s="46"/>
      <c r="AF74" s="46"/>
      <c r="AG74" s="46"/>
      <c r="AH74" s="46"/>
      <c r="AI74" s="46"/>
    </row>
    <row r="75" ht="22.5" customHeight="1">
      <c r="A75" s="27">
        <v>46254.0</v>
      </c>
      <c r="B75" s="34" t="str">
        <f t="shared" si="1"/>
        <v>08-2026</v>
      </c>
      <c r="C75" s="76" t="s">
        <v>206</v>
      </c>
      <c r="D75" s="20" t="str">
        <f t="array" ref="D75">_xlfn.XLOOKUP(C75, dCAGass[Tag], dCAGass[Room no.])</f>
        <v>10-3-066</v>
      </c>
      <c r="E75" s="36" t="s">
        <v>191</v>
      </c>
      <c r="F75" s="34" t="s">
        <v>133</v>
      </c>
      <c r="G75" s="29" t="b">
        <v>1</v>
      </c>
      <c r="H75" s="65" t="s">
        <v>194</v>
      </c>
      <c r="I75" s="65" t="s">
        <v>194</v>
      </c>
      <c r="J75" s="65" t="s">
        <v>194</v>
      </c>
      <c r="K75" s="65" t="s">
        <v>194</v>
      </c>
      <c r="L75" s="34" t="s">
        <v>692</v>
      </c>
      <c r="M75" s="34" t="s">
        <v>693</v>
      </c>
      <c r="N75" s="48">
        <v>46306.0</v>
      </c>
      <c r="O75" s="50">
        <v>0.0</v>
      </c>
      <c r="P75" s="66"/>
      <c r="Q75" s="21" t="s">
        <v>203</v>
      </c>
      <c r="R75" s="39"/>
      <c r="S75" s="43"/>
      <c r="T75" s="54" t="str">
        <f t="array" ref="T75">_xlfn.XLOOKUP(records_CAGass[roomNo], dCAGass[Room no.], dCAGass[Room Name])</f>
        <v>COATING SOLUTION PREPARATION 4</v>
      </c>
      <c r="U75" s="56" t="str">
        <f t="array" ref="U75">_xlfn.XLOOKUP(records_CAGass[roomNo], dCAGass[Room no.], dCAGass[Bld])</f>
        <v>Building 10</v>
      </c>
      <c r="V75" s="56" t="str">
        <f t="array" ref="V75">if(A75="","",_xlfn.XLOOKUP(records_CAGass[roomNo], dCAGass[Room no.], dCAGass[Floor]))</f>
        <v>Floor 3</v>
      </c>
      <c r="W75" s="43">
        <f t="array" ref="W75">_xlfn.XLOOKUP(records_CAGass[roomNo], dCAGass[Room no.], dCAGass[Spec])</f>
        <v>5</v>
      </c>
      <c r="X75" s="43">
        <f t="array" ref="X75">if(O75="","",IFERROR(_xlfn.xlookup(records_CAGass[ColonyCount]&amp;records_CAGass[AirSampler],feller[code],feller[Vc]),_xlfn.xlookup(9999&amp;records_CAGass[AirSampler],feller[code],feller[Vc])))</f>
        <v>0</v>
      </c>
      <c r="Y75" s="29" t="b">
        <v>0</v>
      </c>
      <c r="Z75" s="39" t="s">
        <v>235</v>
      </c>
      <c r="AA75" s="46"/>
      <c r="AB75" s="46"/>
      <c r="AC75" s="46"/>
      <c r="AD75" s="46"/>
      <c r="AE75" s="46"/>
      <c r="AF75" s="46"/>
      <c r="AG75" s="46"/>
      <c r="AH75" s="46"/>
      <c r="AI75" s="46"/>
    </row>
    <row r="76" ht="22.5" customHeight="1">
      <c r="A76" s="27">
        <v>46254.0</v>
      </c>
      <c r="B76" s="34" t="str">
        <f t="shared" si="1"/>
        <v>08-2026</v>
      </c>
      <c r="C76" s="76" t="s">
        <v>218</v>
      </c>
      <c r="D76" s="20" t="str">
        <f t="array" ref="D76">_xlfn.XLOOKUP(C76, dCAGass[Tag], dCAGass[Room no.])</f>
        <v>10-3-072</v>
      </c>
      <c r="E76" s="36" t="s">
        <v>191</v>
      </c>
      <c r="F76" s="34" t="s">
        <v>133</v>
      </c>
      <c r="G76" s="29" t="b">
        <v>1</v>
      </c>
      <c r="H76" s="65" t="s">
        <v>194</v>
      </c>
      <c r="I76" s="65" t="s">
        <v>194</v>
      </c>
      <c r="J76" s="65" t="s">
        <v>194</v>
      </c>
      <c r="K76" s="65" t="s">
        <v>194</v>
      </c>
      <c r="L76" s="34" t="s">
        <v>692</v>
      </c>
      <c r="M76" s="34" t="s">
        <v>693</v>
      </c>
      <c r="N76" s="48">
        <v>46306.0</v>
      </c>
      <c r="O76" s="50">
        <v>0.0</v>
      </c>
      <c r="P76" s="66"/>
      <c r="Q76" s="21" t="s">
        <v>203</v>
      </c>
      <c r="R76" s="39"/>
      <c r="S76" s="43"/>
      <c r="T76" s="54" t="str">
        <f t="array" ref="T76">_xlfn.XLOOKUP(records_CAGass[roomNo], dCAGass[Room no.], dCAGass[Room Name])</f>
        <v>DRY GRANULATION 1</v>
      </c>
      <c r="U76" s="56" t="str">
        <f t="array" ref="U76">_xlfn.XLOOKUP(records_CAGass[roomNo], dCAGass[Room no.], dCAGass[Bld])</f>
        <v>Building 10</v>
      </c>
      <c r="V76" s="56" t="str">
        <f t="array" ref="V76">if(A76="","",_xlfn.XLOOKUP(records_CAGass[roomNo], dCAGass[Room no.], dCAGass[Floor]))</f>
        <v>Floor 3</v>
      </c>
      <c r="W76" s="43">
        <f t="array" ref="W76">_xlfn.XLOOKUP(records_CAGass[roomNo], dCAGass[Room no.], dCAGass[Spec])</f>
        <v>5</v>
      </c>
      <c r="X76" s="43">
        <f t="array" ref="X76">if(O76="","",IFERROR(_xlfn.xlookup(records_CAGass[ColonyCount]&amp;records_CAGass[AirSampler],feller[code],feller[Vc]),_xlfn.xlookup(9999&amp;records_CAGass[AirSampler],feller[code],feller[Vc])))</f>
        <v>0</v>
      </c>
      <c r="Y76" s="29" t="b">
        <v>0</v>
      </c>
      <c r="Z76" s="39" t="s">
        <v>235</v>
      </c>
      <c r="AA76" s="46"/>
      <c r="AB76" s="46"/>
      <c r="AC76" s="46"/>
      <c r="AD76" s="46"/>
      <c r="AE76" s="46"/>
      <c r="AF76" s="46"/>
      <c r="AG76" s="46"/>
      <c r="AH76" s="46"/>
      <c r="AI76" s="46"/>
    </row>
    <row r="77" ht="22.5" customHeight="1">
      <c r="A77" s="27">
        <v>46254.0</v>
      </c>
      <c r="B77" s="34" t="str">
        <f t="shared" si="1"/>
        <v>08-2026</v>
      </c>
      <c r="C77" s="76" t="s">
        <v>227</v>
      </c>
      <c r="D77" s="20" t="str">
        <f t="array" ref="D77">_xlfn.XLOOKUP(C77, dCAGass[Tag], dCAGass[Room no.])</f>
        <v>10-3-073</v>
      </c>
      <c r="E77" s="36" t="s">
        <v>191</v>
      </c>
      <c r="F77" s="34" t="s">
        <v>133</v>
      </c>
      <c r="G77" s="29" t="b">
        <v>1</v>
      </c>
      <c r="H77" s="65" t="s">
        <v>194</v>
      </c>
      <c r="I77" s="65" t="s">
        <v>194</v>
      </c>
      <c r="J77" s="65" t="s">
        <v>194</v>
      </c>
      <c r="K77" s="65" t="s">
        <v>194</v>
      </c>
      <c r="L77" s="34" t="s">
        <v>692</v>
      </c>
      <c r="M77" s="34" t="s">
        <v>693</v>
      </c>
      <c r="N77" s="48">
        <v>46306.0</v>
      </c>
      <c r="O77" s="50">
        <v>0.0</v>
      </c>
      <c r="P77" s="66"/>
      <c r="Q77" s="21" t="s">
        <v>203</v>
      </c>
      <c r="R77" s="39"/>
      <c r="S77" s="43"/>
      <c r="T77" s="54" t="str">
        <f t="array" ref="T77">_xlfn.XLOOKUP(records_CAGass[roomNo], dCAGass[Room no.], dCAGass[Room Name])</f>
        <v>DRY GRANULATION 2 (LOW RH)</v>
      </c>
      <c r="U77" s="56" t="str">
        <f t="array" ref="U77">_xlfn.XLOOKUP(records_CAGass[roomNo], dCAGass[Room no.], dCAGass[Bld])</f>
        <v>Building 10</v>
      </c>
      <c r="V77" s="56" t="str">
        <f t="array" ref="V77">if(A77="","",_xlfn.XLOOKUP(records_CAGass[roomNo], dCAGass[Room no.], dCAGass[Floor]))</f>
        <v>Floor 3</v>
      </c>
      <c r="W77" s="43">
        <f t="array" ref="W77">_xlfn.XLOOKUP(records_CAGass[roomNo], dCAGass[Room no.], dCAGass[Spec])</f>
        <v>5</v>
      </c>
      <c r="X77" s="43">
        <f t="array" ref="X77">if(O77="","",IFERROR(_xlfn.xlookup(records_CAGass[ColonyCount]&amp;records_CAGass[AirSampler],feller[code],feller[Vc]),_xlfn.xlookup(9999&amp;records_CAGass[AirSampler],feller[code],feller[Vc])))</f>
        <v>0</v>
      </c>
      <c r="Y77" s="29" t="b">
        <v>0</v>
      </c>
      <c r="Z77" s="39" t="s">
        <v>235</v>
      </c>
      <c r="AA77" s="46"/>
      <c r="AB77" s="46"/>
      <c r="AC77" s="46"/>
      <c r="AD77" s="46"/>
      <c r="AE77" s="46"/>
      <c r="AF77" s="46"/>
      <c r="AG77" s="46"/>
      <c r="AH77" s="46"/>
      <c r="AI77" s="46"/>
    </row>
    <row r="78" ht="22.5" customHeight="1">
      <c r="A78" s="27">
        <v>46254.0</v>
      </c>
      <c r="B78" s="34" t="str">
        <f t="shared" si="1"/>
        <v>08-2026</v>
      </c>
      <c r="C78" s="76" t="s">
        <v>234</v>
      </c>
      <c r="D78" s="20" t="str">
        <f t="array" ref="D78">_xlfn.XLOOKUP(C78, dCAGass[Tag], dCAGass[Room no.])</f>
        <v>10-3-074</v>
      </c>
      <c r="E78" s="36" t="s">
        <v>191</v>
      </c>
      <c r="F78" s="34" t="s">
        <v>133</v>
      </c>
      <c r="G78" s="29" t="b">
        <v>1</v>
      </c>
      <c r="H78" s="65" t="s">
        <v>194</v>
      </c>
      <c r="I78" s="65" t="s">
        <v>194</v>
      </c>
      <c r="J78" s="65" t="s">
        <v>194</v>
      </c>
      <c r="K78" s="65" t="s">
        <v>194</v>
      </c>
      <c r="L78" s="34" t="s">
        <v>692</v>
      </c>
      <c r="M78" s="34" t="s">
        <v>693</v>
      </c>
      <c r="N78" s="48">
        <v>46306.0</v>
      </c>
      <c r="O78" s="50">
        <v>0.0</v>
      </c>
      <c r="P78" s="66"/>
      <c r="Q78" s="21" t="s">
        <v>203</v>
      </c>
      <c r="R78" s="39"/>
      <c r="S78" s="43"/>
      <c r="T78" s="54" t="str">
        <f t="array" ref="T78">_xlfn.XLOOKUP(records_CAGass[roomNo], dCAGass[Room no.], dCAGass[Room Name])</f>
        <v>DRY GRANULATION 3 (LOW RH)</v>
      </c>
      <c r="U78" s="56" t="str">
        <f t="array" ref="U78">_xlfn.XLOOKUP(records_CAGass[roomNo], dCAGass[Room no.], dCAGass[Bld])</f>
        <v>Building 10</v>
      </c>
      <c r="V78" s="56" t="str">
        <f t="array" ref="V78">if(A78="","",_xlfn.XLOOKUP(records_CAGass[roomNo], dCAGass[Room no.], dCAGass[Floor]))</f>
        <v>Floor 3</v>
      </c>
      <c r="W78" s="43">
        <f t="array" ref="W78">_xlfn.XLOOKUP(records_CAGass[roomNo], dCAGass[Room no.], dCAGass[Spec])</f>
        <v>5</v>
      </c>
      <c r="X78" s="43">
        <f t="array" ref="X78">if(O78="","",IFERROR(_xlfn.xlookup(records_CAGass[ColonyCount]&amp;records_CAGass[AirSampler],feller[code],feller[Vc]),_xlfn.xlookup(9999&amp;records_CAGass[AirSampler],feller[code],feller[Vc])))</f>
        <v>0</v>
      </c>
      <c r="Y78" s="29" t="b">
        <v>0</v>
      </c>
      <c r="Z78" s="39" t="s">
        <v>235</v>
      </c>
      <c r="AA78" s="46"/>
      <c r="AB78" s="46"/>
      <c r="AC78" s="46"/>
      <c r="AD78" s="46"/>
      <c r="AE78" s="46"/>
      <c r="AF78" s="46"/>
      <c r="AG78" s="46"/>
      <c r="AH78" s="46"/>
      <c r="AI78" s="46"/>
    </row>
    <row r="79" ht="22.5" customHeight="1">
      <c r="A79" s="27">
        <v>46258.0</v>
      </c>
      <c r="B79" s="34" t="str">
        <f t="shared" si="1"/>
        <v>08-2026</v>
      </c>
      <c r="C79" s="76" t="s">
        <v>242</v>
      </c>
      <c r="D79" s="20" t="str">
        <f t="array" ref="D79">_xlfn.XLOOKUP(C79, dCAGass[Tag], dCAGass[Room no.])</f>
        <v>10-3-079</v>
      </c>
      <c r="E79" s="36" t="s">
        <v>191</v>
      </c>
      <c r="F79" s="34" t="s">
        <v>141</v>
      </c>
      <c r="G79" s="29" t="b">
        <v>1</v>
      </c>
      <c r="H79" s="65" t="s">
        <v>194</v>
      </c>
      <c r="I79" s="65" t="s">
        <v>194</v>
      </c>
      <c r="J79" s="65" t="s">
        <v>194</v>
      </c>
      <c r="K79" s="65" t="s">
        <v>194</v>
      </c>
      <c r="L79" s="34" t="s">
        <v>692</v>
      </c>
      <c r="M79" s="34" t="s">
        <v>693</v>
      </c>
      <c r="N79" s="48">
        <v>46306.0</v>
      </c>
      <c r="O79" s="84">
        <v>0.0</v>
      </c>
      <c r="P79" s="66"/>
      <c r="Q79" s="21" t="s">
        <v>203</v>
      </c>
      <c r="R79" s="39"/>
      <c r="S79" s="43"/>
      <c r="T79" s="54" t="str">
        <f t="array" ref="T79">_xlfn.XLOOKUP(records_CAGass[roomNo], dCAGass[Room no.], dCAGass[Room Name])</f>
        <v>DRYING</v>
      </c>
      <c r="U79" s="56" t="str">
        <f t="array" ref="U79">_xlfn.XLOOKUP(records_CAGass[roomNo], dCAGass[Room no.], dCAGass[Bld])</f>
        <v>Building 10</v>
      </c>
      <c r="V79" s="56" t="str">
        <f t="array" ref="V79">if(A79="","",_xlfn.XLOOKUP(records_CAGass[roomNo], dCAGass[Room no.], dCAGass[Floor]))</f>
        <v>Floor 3</v>
      </c>
      <c r="W79" s="43">
        <f t="array" ref="W79">_xlfn.XLOOKUP(records_CAGass[roomNo], dCAGass[Room no.], dCAGass[Spec])</f>
        <v>5</v>
      </c>
      <c r="X79" s="43">
        <f t="array" ref="X79">if(O79="","",IFERROR(_xlfn.xlookup(records_CAGass[ColonyCount]&amp;records_CAGass[AirSampler],feller[code],feller[Vc]),_xlfn.xlookup(9999&amp;records_CAGass[AirSampler],feller[code],feller[Vc])))</f>
        <v>0</v>
      </c>
      <c r="Y79" s="29" t="b">
        <v>0</v>
      </c>
      <c r="Z79" s="39" t="s">
        <v>695</v>
      </c>
      <c r="AA79" s="46"/>
      <c r="AB79" s="46"/>
      <c r="AC79" s="46"/>
      <c r="AD79" s="46"/>
      <c r="AE79" s="46"/>
      <c r="AF79" s="46"/>
      <c r="AG79" s="46"/>
      <c r="AH79" s="46"/>
      <c r="AI79" s="46"/>
    </row>
    <row r="80" ht="22.5" customHeight="1">
      <c r="A80" s="27">
        <v>46258.0</v>
      </c>
      <c r="B80" s="34" t="str">
        <f t="shared" si="1"/>
        <v>08-2026</v>
      </c>
      <c r="C80" s="76" t="s">
        <v>250</v>
      </c>
      <c r="D80" s="20" t="str">
        <f t="array" ref="D80">_xlfn.XLOOKUP(C80, dCAGass[Tag], dCAGass[Room no.])</f>
        <v>10-3-085</v>
      </c>
      <c r="E80" s="36" t="s">
        <v>191</v>
      </c>
      <c r="F80" s="34" t="s">
        <v>141</v>
      </c>
      <c r="G80" s="29" t="b">
        <v>1</v>
      </c>
      <c r="H80" s="65" t="s">
        <v>194</v>
      </c>
      <c r="I80" s="65" t="s">
        <v>194</v>
      </c>
      <c r="J80" s="65" t="s">
        <v>194</v>
      </c>
      <c r="K80" s="65" t="s">
        <v>194</v>
      </c>
      <c r="L80" s="34" t="s">
        <v>692</v>
      </c>
      <c r="M80" s="34" t="s">
        <v>693</v>
      </c>
      <c r="N80" s="48">
        <v>46306.0</v>
      </c>
      <c r="O80" s="84">
        <v>0.0</v>
      </c>
      <c r="P80" s="66"/>
      <c r="Q80" s="21" t="s">
        <v>203</v>
      </c>
      <c r="R80" s="39"/>
      <c r="S80" s="43"/>
      <c r="T80" s="54" t="str">
        <f t="array" ref="T80">_xlfn.XLOOKUP(records_CAGass[roomNo], dCAGass[Room no.], dCAGass[Room Name])</f>
        <v>DRYING</v>
      </c>
      <c r="U80" s="56" t="str">
        <f t="array" ref="U80">_xlfn.XLOOKUP(records_CAGass[roomNo], dCAGass[Room no.], dCAGass[Bld])</f>
        <v>Building 10</v>
      </c>
      <c r="V80" s="56" t="str">
        <f t="array" ref="V80">if(A80="","",_xlfn.XLOOKUP(records_CAGass[roomNo], dCAGass[Room no.], dCAGass[Floor]))</f>
        <v>Floor 3</v>
      </c>
      <c r="W80" s="43">
        <f t="array" ref="W80">_xlfn.XLOOKUP(records_CAGass[roomNo], dCAGass[Room no.], dCAGass[Spec])</f>
        <v>5</v>
      </c>
      <c r="X80" s="43">
        <f t="array" ref="X80">if(O80="","",IFERROR(_xlfn.xlookup(records_CAGass[ColonyCount]&amp;records_CAGass[AirSampler],feller[code],feller[Vc]),_xlfn.xlookup(9999&amp;records_CAGass[AirSampler],feller[code],feller[Vc])))</f>
        <v>0</v>
      </c>
      <c r="Y80" s="29" t="b">
        <v>0</v>
      </c>
      <c r="Z80" s="39" t="s">
        <v>695</v>
      </c>
      <c r="AA80" s="46"/>
      <c r="AB80" s="46"/>
      <c r="AC80" s="46"/>
      <c r="AD80" s="46"/>
      <c r="AE80" s="46"/>
      <c r="AF80" s="46"/>
      <c r="AG80" s="46"/>
      <c r="AH80" s="46"/>
      <c r="AI80" s="46"/>
    </row>
    <row r="81" ht="22.5" customHeight="1">
      <c r="A81" s="27">
        <v>46258.0</v>
      </c>
      <c r="B81" s="34" t="str">
        <f t="shared" si="1"/>
        <v>08-2026</v>
      </c>
      <c r="C81" s="76" t="s">
        <v>256</v>
      </c>
      <c r="D81" s="20" t="str">
        <f t="array" ref="D81">_xlfn.XLOOKUP(C81, dCAGass[Tag], dCAGass[Room no.])</f>
        <v>10-3-107</v>
      </c>
      <c r="E81" s="36" t="s">
        <v>191</v>
      </c>
      <c r="F81" s="34" t="s">
        <v>141</v>
      </c>
      <c r="G81" s="29" t="b">
        <v>1</v>
      </c>
      <c r="H81" s="65" t="s">
        <v>194</v>
      </c>
      <c r="I81" s="65" t="s">
        <v>194</v>
      </c>
      <c r="J81" s="65" t="s">
        <v>194</v>
      </c>
      <c r="K81" s="65" t="s">
        <v>194</v>
      </c>
      <c r="L81" s="34" t="s">
        <v>692</v>
      </c>
      <c r="M81" s="34" t="s">
        <v>693</v>
      </c>
      <c r="N81" s="48">
        <v>46306.0</v>
      </c>
      <c r="O81" s="84">
        <v>0.0</v>
      </c>
      <c r="P81" s="66"/>
      <c r="Q81" s="21" t="s">
        <v>203</v>
      </c>
      <c r="R81" s="39"/>
      <c r="S81" s="43"/>
      <c r="T81" s="54" t="str">
        <f t="array" ref="T81">_xlfn.XLOOKUP(records_CAGass[roomNo], dCAGass[Room no.], dCAGass[Room Name])</f>
        <v>WET GRANULATION 2 (LOW RH)</v>
      </c>
      <c r="U81" s="56" t="str">
        <f t="array" ref="U81">_xlfn.XLOOKUP(records_CAGass[roomNo], dCAGass[Room no.], dCAGass[Bld])</f>
        <v>Building 10</v>
      </c>
      <c r="V81" s="56" t="str">
        <f t="array" ref="V81">if(A81="","",_xlfn.XLOOKUP(records_CAGass[roomNo], dCAGass[Room no.], dCAGass[Floor]))</f>
        <v>Floor 3</v>
      </c>
      <c r="W81" s="43">
        <f t="array" ref="W81">_xlfn.XLOOKUP(records_CAGass[roomNo], dCAGass[Room no.], dCAGass[Spec])</f>
        <v>5</v>
      </c>
      <c r="X81" s="43">
        <f t="array" ref="X81">if(O81="","",IFERROR(_xlfn.xlookup(records_CAGass[ColonyCount]&amp;records_CAGass[AirSampler],feller[code],feller[Vc]),_xlfn.xlookup(9999&amp;records_CAGass[AirSampler],feller[code],feller[Vc])))</f>
        <v>0</v>
      </c>
      <c r="Y81" s="29" t="b">
        <v>0</v>
      </c>
      <c r="Z81" s="39" t="s">
        <v>695</v>
      </c>
      <c r="AA81" s="46"/>
      <c r="AB81" s="46"/>
      <c r="AC81" s="46"/>
      <c r="AD81" s="46"/>
      <c r="AE81" s="46"/>
      <c r="AF81" s="46"/>
      <c r="AG81" s="46"/>
      <c r="AH81" s="46"/>
      <c r="AI81" s="46"/>
    </row>
    <row r="82" ht="22.5" customHeight="1">
      <c r="A82" s="27">
        <v>46258.0</v>
      </c>
      <c r="B82" s="34" t="str">
        <f t="shared" si="1"/>
        <v>08-2026</v>
      </c>
      <c r="C82" s="76" t="s">
        <v>266</v>
      </c>
      <c r="D82" s="20" t="str">
        <f t="array" ref="D82">_xlfn.XLOOKUP(C82, dCAGass[Tag], dCAGass[Room no.])</f>
        <v>10-3-120</v>
      </c>
      <c r="E82" s="36" t="s">
        <v>191</v>
      </c>
      <c r="F82" s="34" t="s">
        <v>141</v>
      </c>
      <c r="G82" s="29" t="b">
        <v>1</v>
      </c>
      <c r="H82" s="65" t="s">
        <v>194</v>
      </c>
      <c r="I82" s="65" t="s">
        <v>194</v>
      </c>
      <c r="J82" s="65" t="s">
        <v>194</v>
      </c>
      <c r="K82" s="65" t="s">
        <v>194</v>
      </c>
      <c r="L82" s="34" t="s">
        <v>692</v>
      </c>
      <c r="M82" s="34" t="s">
        <v>693</v>
      </c>
      <c r="N82" s="48">
        <v>46306.0</v>
      </c>
      <c r="O82" s="84">
        <v>0.0</v>
      </c>
      <c r="P82" s="66"/>
      <c r="Q82" s="21" t="s">
        <v>203</v>
      </c>
      <c r="R82" s="39"/>
      <c r="S82" s="43"/>
      <c r="T82" s="54" t="str">
        <f t="array" ref="T82">_xlfn.XLOOKUP(records_CAGass[roomNo], dCAGass[Room no.], dCAGass[Room Name])</f>
        <v>COMPRESSION 1</v>
      </c>
      <c r="U82" s="56" t="str">
        <f t="array" ref="U82">_xlfn.XLOOKUP(records_CAGass[roomNo], dCAGass[Room no.], dCAGass[Bld])</f>
        <v>Building 10</v>
      </c>
      <c r="V82" s="56" t="str">
        <f t="array" ref="V82">if(A82="","",_xlfn.XLOOKUP(records_CAGass[roomNo], dCAGass[Room no.], dCAGass[Floor]))</f>
        <v>Floor 3</v>
      </c>
      <c r="W82" s="43">
        <f t="array" ref="W82">_xlfn.XLOOKUP(records_CAGass[roomNo], dCAGass[Room no.], dCAGass[Spec])</f>
        <v>5</v>
      </c>
      <c r="X82" s="43">
        <f t="array" ref="X82">if(O82="","",IFERROR(_xlfn.xlookup(records_CAGass[ColonyCount]&amp;records_CAGass[AirSampler],feller[code],feller[Vc]),_xlfn.xlookup(9999&amp;records_CAGass[AirSampler],feller[code],feller[Vc])))</f>
        <v>0</v>
      </c>
      <c r="Y82" s="29" t="b">
        <v>0</v>
      </c>
      <c r="Z82" s="39" t="s">
        <v>695</v>
      </c>
      <c r="AA82" s="46"/>
      <c r="AB82" s="46"/>
      <c r="AC82" s="46"/>
      <c r="AD82" s="46"/>
      <c r="AE82" s="46"/>
      <c r="AF82" s="46"/>
      <c r="AG82" s="46"/>
      <c r="AH82" s="46"/>
      <c r="AI82" s="46"/>
    </row>
    <row r="83" ht="22.5" customHeight="1">
      <c r="A83" s="27">
        <v>46258.0</v>
      </c>
      <c r="B83" s="34" t="str">
        <f t="shared" si="1"/>
        <v>08-2026</v>
      </c>
      <c r="C83" s="76" t="s">
        <v>269</v>
      </c>
      <c r="D83" s="20" t="str">
        <f t="array" ref="D83">_xlfn.XLOOKUP(C83, dCAGass[Tag], dCAGass[Room no.])</f>
        <v>10-3-121</v>
      </c>
      <c r="E83" s="36" t="s">
        <v>191</v>
      </c>
      <c r="F83" s="34" t="s">
        <v>141</v>
      </c>
      <c r="G83" s="29" t="b">
        <v>1</v>
      </c>
      <c r="H83" s="65" t="s">
        <v>194</v>
      </c>
      <c r="I83" s="65" t="s">
        <v>194</v>
      </c>
      <c r="J83" s="65" t="s">
        <v>194</v>
      </c>
      <c r="K83" s="65" t="s">
        <v>194</v>
      </c>
      <c r="L83" s="34" t="s">
        <v>692</v>
      </c>
      <c r="M83" s="34" t="s">
        <v>693</v>
      </c>
      <c r="N83" s="48">
        <v>46306.0</v>
      </c>
      <c r="O83" s="84">
        <v>0.0</v>
      </c>
      <c r="P83" s="66"/>
      <c r="Q83" s="21" t="s">
        <v>203</v>
      </c>
      <c r="R83" s="39"/>
      <c r="S83" s="43"/>
      <c r="T83" s="54" t="str">
        <f t="array" ref="T83">_xlfn.XLOOKUP(records_CAGass[roomNo], dCAGass[Room no.], dCAGass[Room Name])</f>
        <v>COMPRESSION 2</v>
      </c>
      <c r="U83" s="56" t="str">
        <f t="array" ref="U83">_xlfn.XLOOKUP(records_CAGass[roomNo], dCAGass[Room no.], dCAGass[Bld])</f>
        <v>Building 10</v>
      </c>
      <c r="V83" s="56" t="str">
        <f t="array" ref="V83">if(A83="","",_xlfn.XLOOKUP(records_CAGass[roomNo], dCAGass[Room no.], dCAGass[Floor]))</f>
        <v>Floor 3</v>
      </c>
      <c r="W83" s="43">
        <f t="array" ref="W83">_xlfn.XLOOKUP(records_CAGass[roomNo], dCAGass[Room no.], dCAGass[Spec])</f>
        <v>5</v>
      </c>
      <c r="X83" s="43">
        <f t="array" ref="X83">if(O83="","",IFERROR(_xlfn.xlookup(records_CAGass[ColonyCount]&amp;records_CAGass[AirSampler],feller[code],feller[Vc]),_xlfn.xlookup(9999&amp;records_CAGass[AirSampler],feller[code],feller[Vc])))</f>
        <v>0</v>
      </c>
      <c r="Y83" s="29" t="b">
        <v>0</v>
      </c>
      <c r="Z83" s="39" t="s">
        <v>695</v>
      </c>
      <c r="AA83" s="46"/>
      <c r="AB83" s="46"/>
      <c r="AC83" s="46"/>
      <c r="AD83" s="46"/>
      <c r="AE83" s="46"/>
      <c r="AF83" s="46"/>
      <c r="AG83" s="46"/>
      <c r="AH83" s="46"/>
      <c r="AI83" s="46"/>
    </row>
    <row r="84" ht="22.5" customHeight="1">
      <c r="A84" s="27">
        <v>46258.0</v>
      </c>
      <c r="B84" s="34" t="str">
        <f t="shared" si="1"/>
        <v>08-2026</v>
      </c>
      <c r="C84" s="76" t="s">
        <v>510</v>
      </c>
      <c r="D84" s="20" t="s">
        <v>715</v>
      </c>
      <c r="E84" s="36" t="s">
        <v>191</v>
      </c>
      <c r="F84" s="34" t="s">
        <v>146</v>
      </c>
      <c r="G84" s="29" t="b">
        <v>1</v>
      </c>
      <c r="H84" s="65" t="s">
        <v>194</v>
      </c>
      <c r="I84" s="65" t="s">
        <v>194</v>
      </c>
      <c r="J84" s="65" t="s">
        <v>194</v>
      </c>
      <c r="K84" s="65" t="s">
        <v>194</v>
      </c>
      <c r="L84" s="34" t="s">
        <v>692</v>
      </c>
      <c r="M84" s="34" t="s">
        <v>693</v>
      </c>
      <c r="N84" s="48">
        <v>46306.0</v>
      </c>
      <c r="O84" s="84">
        <v>0.0</v>
      </c>
      <c r="P84" s="66"/>
      <c r="Q84" s="21" t="s">
        <v>203</v>
      </c>
      <c r="R84" s="39"/>
      <c r="S84" s="43"/>
      <c r="T84" s="54" t="str">
        <f t="array" ref="T84">_xlfn.XLOOKUP(records_CAGass[roomNo], dCAGass[Room no.], dCAGass[Room Name])</f>
        <v>#N/A</v>
      </c>
      <c r="U84" s="56" t="str">
        <f t="array" ref="U84">_xlfn.XLOOKUP(records_CAGass[roomNo], dCAGass[Room no.], dCAGass[Bld])</f>
        <v>#N/A</v>
      </c>
      <c r="V84" s="56" t="str">
        <f t="array" ref="V84">if(A84="","",_xlfn.XLOOKUP(records_CAGass[roomNo], dCAGass[Room no.], dCAGass[Floor]))</f>
        <v>#N/A</v>
      </c>
      <c r="W84" s="43" t="str">
        <f t="array" ref="W84">_xlfn.XLOOKUP(records_CAGass[roomNo], dCAGass[Room no.], dCAGass[Spec])</f>
        <v>#N/A</v>
      </c>
      <c r="X84" s="43">
        <f t="array" ref="X84">if(O84="","",IFERROR(_xlfn.xlookup(records_CAGass[ColonyCount]&amp;records_CAGass[AirSampler],feller[code],feller[Vc]),_xlfn.xlookup(9999&amp;records_CAGass[AirSampler],feller[code],feller[Vc])))</f>
        <v>0</v>
      </c>
      <c r="Y84" s="29" t="b">
        <v>0</v>
      </c>
      <c r="Z84" s="39" t="s">
        <v>695</v>
      </c>
      <c r="AA84" s="46"/>
      <c r="AB84" s="46"/>
      <c r="AC84" s="46"/>
      <c r="AD84" s="46"/>
      <c r="AE84" s="46"/>
      <c r="AF84" s="46"/>
      <c r="AG84" s="46"/>
      <c r="AH84" s="46"/>
      <c r="AI84" s="46"/>
    </row>
  </sheetData>
  <conditionalFormatting sqref="F2:F84">
    <cfRule type="notContainsBlanks" dxfId="6" priority="1">
      <formula>LEN(TRIM(F2))&gt;0</formula>
    </cfRule>
  </conditionalFormatting>
  <conditionalFormatting sqref="F2:F84">
    <cfRule type="containsBlanks" dxfId="7" priority="2">
      <formula>LEN(TRIM(F2))=0</formula>
    </cfRule>
  </conditionalFormatting>
  <dataValidations>
    <dataValidation type="custom" allowBlank="1" showDropDown="1" sqref="A2:A84 N2:N84">
      <formula1>OR(NOT(ISERROR(DATEVALUE(A2))), AND(ISNUMBER(A2), LEFT(CELL("format", A2))="D"))</formula1>
    </dataValidation>
    <dataValidation type="custom" allowBlank="1" showDropDown="1" sqref="O2:O84">
      <formula1>AND(ISNUMBER(O2),(NOT(OR(NOT(ISERROR(DATEVALUE(O2))), AND(ISNUMBER(O2), LEFT(CELL("format", O2))="D")))))</formula1>
    </dataValidation>
    <dataValidation type="list" allowBlank="1" sqref="E2:E84">
      <formula1>"N2,CA"</formula1>
    </dataValidation>
    <dataValidation allowBlank="1" showDropDown="1" sqref="D2:D84 F2:F84 H2:M84 T2:V84"/>
    <dataValidation type="list" allowBlank="1" sqref="C2:C84">
      <formula1>#REF!</formula1>
    </dataValidation>
    <dataValidation type="list" allowBlank="1" sqref="Q2:Q84">
      <formula1>"miniCapt"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3" max="3" width="64.5"/>
  </cols>
  <sheetData>
    <row r="1" ht="22.5" customHeight="1">
      <c r="A1" s="4" t="s">
        <v>79</v>
      </c>
      <c r="B1" s="4" t="s">
        <v>92</v>
      </c>
      <c r="C1" s="4" t="s">
        <v>128</v>
      </c>
      <c r="D1" s="4" t="s">
        <v>135</v>
      </c>
      <c r="E1" s="4" t="s">
        <v>139</v>
      </c>
      <c r="F1" s="4" t="s">
        <v>143</v>
      </c>
    </row>
    <row r="2" ht="22.5" hidden="1" customHeight="1">
      <c r="A2" s="11" t="s">
        <v>151</v>
      </c>
      <c r="B2" s="11" t="s">
        <v>151</v>
      </c>
      <c r="C2" s="11" t="s">
        <v>159</v>
      </c>
      <c r="D2" s="12">
        <v>46235.0</v>
      </c>
      <c r="F2" s="11" t="s">
        <v>165</v>
      </c>
      <c r="H2" s="1" t="s">
        <v>166</v>
      </c>
      <c r="I2" s="13" t="s">
        <v>168</v>
      </c>
    </row>
    <row r="3" ht="22.5" hidden="1" customHeight="1">
      <c r="A3" s="11" t="s">
        <v>172</v>
      </c>
      <c r="B3" s="17" t="s">
        <v>173</v>
      </c>
      <c r="C3" s="11" t="s">
        <v>174</v>
      </c>
      <c r="D3" s="12">
        <v>46266.0</v>
      </c>
      <c r="F3" s="11" t="s">
        <v>165</v>
      </c>
      <c r="H3" s="1" t="s">
        <v>176</v>
      </c>
      <c r="I3" s="13" t="s">
        <v>177</v>
      </c>
    </row>
    <row r="4" ht="22.5" hidden="1" customHeight="1">
      <c r="A4" s="11" t="s">
        <v>178</v>
      </c>
      <c r="B4" s="17" t="s">
        <v>179</v>
      </c>
      <c r="C4" s="11" t="s">
        <v>181</v>
      </c>
      <c r="D4" s="12">
        <v>46266.0</v>
      </c>
      <c r="F4" s="11" t="s">
        <v>165</v>
      </c>
      <c r="H4" s="1" t="s">
        <v>182</v>
      </c>
      <c r="I4" s="13" t="s">
        <v>183</v>
      </c>
    </row>
    <row r="5" ht="22.5" hidden="1" customHeight="1">
      <c r="A5" s="11" t="s">
        <v>185</v>
      </c>
      <c r="B5" s="17" t="s">
        <v>187</v>
      </c>
      <c r="C5" s="11" t="s">
        <v>188</v>
      </c>
      <c r="D5" s="12">
        <v>46266.0</v>
      </c>
      <c r="F5" s="11" t="s">
        <v>190</v>
      </c>
      <c r="H5" s="1" t="s">
        <v>172</v>
      </c>
      <c r="I5" s="13" t="s">
        <v>173</v>
      </c>
    </row>
    <row r="6" ht="22.5" hidden="1" customHeight="1">
      <c r="A6" s="23" t="s">
        <v>185</v>
      </c>
      <c r="B6" s="25" t="s">
        <v>187</v>
      </c>
      <c r="C6" s="23" t="s">
        <v>188</v>
      </c>
      <c r="D6" s="26">
        <v>46266.0</v>
      </c>
      <c r="E6" s="28"/>
      <c r="F6" s="23" t="s">
        <v>192</v>
      </c>
      <c r="H6" s="1" t="s">
        <v>178</v>
      </c>
      <c r="I6" s="13" t="s">
        <v>179</v>
      </c>
    </row>
    <row r="7" ht="22.5" hidden="1" customHeight="1">
      <c r="A7" s="11" t="s">
        <v>193</v>
      </c>
      <c r="B7" s="17" t="s">
        <v>195</v>
      </c>
      <c r="C7" s="11" t="s">
        <v>196</v>
      </c>
      <c r="D7" s="12">
        <v>46266.0</v>
      </c>
      <c r="F7" s="11" t="s">
        <v>190</v>
      </c>
      <c r="H7" s="1" t="s">
        <v>198</v>
      </c>
      <c r="I7" s="13" t="s">
        <v>200</v>
      </c>
    </row>
    <row r="8" ht="22.5" hidden="1" customHeight="1">
      <c r="A8" s="23" t="s">
        <v>193</v>
      </c>
      <c r="B8" s="25" t="s">
        <v>195</v>
      </c>
      <c r="C8" s="23" t="s">
        <v>196</v>
      </c>
      <c r="D8" s="26">
        <v>46266.0</v>
      </c>
      <c r="E8" s="28"/>
      <c r="F8" s="23" t="s">
        <v>192</v>
      </c>
      <c r="H8" s="1" t="s">
        <v>204</v>
      </c>
      <c r="I8" s="13" t="s">
        <v>205</v>
      </c>
    </row>
    <row r="9" ht="22.5" hidden="1" customHeight="1">
      <c r="A9" s="11" t="s">
        <v>206</v>
      </c>
      <c r="B9" s="17" t="s">
        <v>208</v>
      </c>
      <c r="C9" s="11" t="s">
        <v>209</v>
      </c>
      <c r="D9" s="12">
        <v>46266.0</v>
      </c>
      <c r="F9" s="11" t="s">
        <v>190</v>
      </c>
      <c r="H9" s="1" t="s">
        <v>211</v>
      </c>
      <c r="I9" s="13" t="s">
        <v>212</v>
      </c>
    </row>
    <row r="10" ht="22.5" hidden="1" customHeight="1">
      <c r="A10" s="23" t="s">
        <v>206</v>
      </c>
      <c r="B10" s="25" t="s">
        <v>208</v>
      </c>
      <c r="C10" s="23" t="s">
        <v>209</v>
      </c>
      <c r="D10" s="26">
        <v>46266.0</v>
      </c>
      <c r="E10" s="28"/>
      <c r="F10" s="23" t="s">
        <v>192</v>
      </c>
      <c r="H10" s="1" t="s">
        <v>216</v>
      </c>
      <c r="I10" s="13" t="s">
        <v>217</v>
      </c>
    </row>
    <row r="11" ht="22.5" hidden="1" customHeight="1">
      <c r="A11" s="11" t="s">
        <v>218</v>
      </c>
      <c r="B11" s="17" t="s">
        <v>219</v>
      </c>
      <c r="C11" s="11" t="s">
        <v>220</v>
      </c>
      <c r="D11" s="12">
        <v>46266.0</v>
      </c>
      <c r="F11" s="11" t="s">
        <v>190</v>
      </c>
      <c r="H11" s="1" t="s">
        <v>221</v>
      </c>
      <c r="I11" s="13" t="s">
        <v>222</v>
      </c>
    </row>
    <row r="12" ht="22.5" hidden="1" customHeight="1">
      <c r="A12" s="23" t="s">
        <v>218</v>
      </c>
      <c r="B12" s="25" t="s">
        <v>219</v>
      </c>
      <c r="C12" s="23" t="s">
        <v>220</v>
      </c>
      <c r="D12" s="26">
        <v>46266.0</v>
      </c>
      <c r="E12" s="28"/>
      <c r="F12" s="23" t="s">
        <v>192</v>
      </c>
      <c r="H12" s="1" t="s">
        <v>225</v>
      </c>
      <c r="I12" s="13" t="s">
        <v>226</v>
      </c>
    </row>
    <row r="13" ht="22.5" hidden="1" customHeight="1">
      <c r="A13" s="11" t="s">
        <v>227</v>
      </c>
      <c r="B13" s="17" t="s">
        <v>228</v>
      </c>
      <c r="C13" s="11" t="s">
        <v>229</v>
      </c>
      <c r="D13" s="12">
        <v>46296.0</v>
      </c>
      <c r="F13" s="11" t="s">
        <v>190</v>
      </c>
      <c r="H13" s="1" t="s">
        <v>230</v>
      </c>
      <c r="I13" s="13" t="s">
        <v>231</v>
      </c>
    </row>
    <row r="14" ht="22.5" hidden="1" customHeight="1">
      <c r="A14" s="23" t="s">
        <v>227</v>
      </c>
      <c r="B14" s="25" t="s">
        <v>228</v>
      </c>
      <c r="C14" s="23" t="s">
        <v>229</v>
      </c>
      <c r="D14" s="26">
        <v>46296.0</v>
      </c>
      <c r="E14" s="28"/>
      <c r="F14" s="23" t="s">
        <v>192</v>
      </c>
      <c r="H14" s="1" t="s">
        <v>232</v>
      </c>
      <c r="I14" s="13" t="s">
        <v>233</v>
      </c>
    </row>
    <row r="15" ht="22.5" hidden="1" customHeight="1">
      <c r="A15" s="11" t="s">
        <v>234</v>
      </c>
      <c r="B15" s="17" t="s">
        <v>236</v>
      </c>
      <c r="C15" s="11" t="s">
        <v>237</v>
      </c>
      <c r="D15" s="12">
        <v>46296.0</v>
      </c>
      <c r="F15" s="11" t="s">
        <v>190</v>
      </c>
      <c r="H15" s="1" t="s">
        <v>238</v>
      </c>
      <c r="I15" s="13" t="s">
        <v>239</v>
      </c>
    </row>
    <row r="16" ht="22.5" hidden="1" customHeight="1">
      <c r="A16" s="23" t="s">
        <v>234</v>
      </c>
      <c r="B16" s="25" t="s">
        <v>236</v>
      </c>
      <c r="C16" s="23" t="s">
        <v>237</v>
      </c>
      <c r="D16" s="26">
        <v>46296.0</v>
      </c>
      <c r="E16" s="28"/>
      <c r="F16" s="23" t="s">
        <v>192</v>
      </c>
      <c r="H16" s="1" t="s">
        <v>240</v>
      </c>
      <c r="I16" s="13" t="s">
        <v>241</v>
      </c>
    </row>
    <row r="17" ht="22.5" customHeight="1">
      <c r="A17" s="11" t="s">
        <v>242</v>
      </c>
      <c r="B17" s="17" t="s">
        <v>243</v>
      </c>
      <c r="C17" s="11" t="s">
        <v>244</v>
      </c>
      <c r="D17" s="12">
        <v>46296.0</v>
      </c>
      <c r="F17" s="11" t="s">
        <v>190</v>
      </c>
      <c r="H17" s="1" t="s">
        <v>245</v>
      </c>
      <c r="I17" s="13" t="s">
        <v>246</v>
      </c>
    </row>
    <row r="18" ht="22.5" customHeight="1">
      <c r="A18" s="23" t="s">
        <v>242</v>
      </c>
      <c r="B18" s="25" t="s">
        <v>243</v>
      </c>
      <c r="C18" s="23" t="s">
        <v>244</v>
      </c>
      <c r="D18" s="26">
        <v>46296.0</v>
      </c>
      <c r="E18" s="28"/>
      <c r="F18" s="23" t="s">
        <v>192</v>
      </c>
      <c r="H18" s="1" t="s">
        <v>248</v>
      </c>
      <c r="I18" s="13" t="s">
        <v>249</v>
      </c>
    </row>
    <row r="19" ht="22.5" customHeight="1">
      <c r="A19" s="11" t="s">
        <v>250</v>
      </c>
      <c r="B19" s="17" t="s">
        <v>251</v>
      </c>
      <c r="C19" s="11" t="s">
        <v>244</v>
      </c>
      <c r="D19" s="12">
        <v>46296.0</v>
      </c>
      <c r="F19" s="11" t="s">
        <v>190</v>
      </c>
      <c r="H19" s="1" t="s">
        <v>185</v>
      </c>
      <c r="I19" s="13" t="s">
        <v>187</v>
      </c>
    </row>
    <row r="20" ht="22.5" customHeight="1">
      <c r="A20" s="23" t="s">
        <v>250</v>
      </c>
      <c r="B20" s="25" t="s">
        <v>251</v>
      </c>
      <c r="C20" s="23" t="s">
        <v>244</v>
      </c>
      <c r="D20" s="26">
        <v>46296.0</v>
      </c>
      <c r="E20" s="28"/>
      <c r="F20" s="23" t="s">
        <v>192</v>
      </c>
      <c r="H20" s="1" t="s">
        <v>193</v>
      </c>
      <c r="I20" s="13" t="s">
        <v>195</v>
      </c>
    </row>
    <row r="21" ht="22.5" customHeight="1">
      <c r="A21" s="11" t="s">
        <v>256</v>
      </c>
      <c r="B21" s="17" t="s">
        <v>257</v>
      </c>
      <c r="C21" s="11" t="s">
        <v>258</v>
      </c>
      <c r="D21" s="12">
        <v>46296.0</v>
      </c>
      <c r="F21" s="11" t="s">
        <v>190</v>
      </c>
      <c r="H21" s="1" t="s">
        <v>206</v>
      </c>
      <c r="I21" s="13" t="s">
        <v>208</v>
      </c>
    </row>
    <row r="22" ht="22.5" customHeight="1">
      <c r="A22" s="23" t="s">
        <v>256</v>
      </c>
      <c r="B22" s="25" t="s">
        <v>257</v>
      </c>
      <c r="C22" s="23" t="s">
        <v>258</v>
      </c>
      <c r="D22" s="26">
        <v>46296.0</v>
      </c>
      <c r="E22" s="28"/>
      <c r="F22" s="23" t="s">
        <v>192</v>
      </c>
      <c r="H22" s="1" t="s">
        <v>218</v>
      </c>
      <c r="I22" s="13" t="s">
        <v>219</v>
      </c>
    </row>
    <row r="23" ht="22.5" customHeight="1">
      <c r="A23" s="11" t="s">
        <v>266</v>
      </c>
      <c r="B23" s="17" t="s">
        <v>267</v>
      </c>
      <c r="C23" s="11" t="s">
        <v>268</v>
      </c>
      <c r="D23" s="12">
        <v>46296.0</v>
      </c>
      <c r="F23" s="11" t="s">
        <v>190</v>
      </c>
      <c r="H23" s="1" t="s">
        <v>227</v>
      </c>
      <c r="I23" s="13" t="s">
        <v>228</v>
      </c>
    </row>
    <row r="24" ht="22.5" customHeight="1">
      <c r="A24" s="23" t="s">
        <v>266</v>
      </c>
      <c r="B24" s="25" t="s">
        <v>267</v>
      </c>
      <c r="C24" s="23" t="s">
        <v>268</v>
      </c>
      <c r="D24" s="26">
        <v>46296.0</v>
      </c>
      <c r="E24" s="28"/>
      <c r="F24" s="23" t="s">
        <v>192</v>
      </c>
      <c r="H24" s="1" t="s">
        <v>234</v>
      </c>
      <c r="I24" s="13" t="s">
        <v>236</v>
      </c>
    </row>
    <row r="25" ht="22.5" customHeight="1">
      <c r="A25" s="11" t="s">
        <v>269</v>
      </c>
      <c r="B25" s="17" t="s">
        <v>270</v>
      </c>
      <c r="C25" s="11" t="s">
        <v>271</v>
      </c>
      <c r="D25" s="12">
        <v>46296.0</v>
      </c>
      <c r="F25" s="11" t="s">
        <v>190</v>
      </c>
    </row>
    <row r="26" ht="22.5" customHeight="1">
      <c r="A26" s="23" t="s">
        <v>269</v>
      </c>
      <c r="B26" s="25" t="s">
        <v>270</v>
      </c>
      <c r="C26" s="23" t="s">
        <v>271</v>
      </c>
      <c r="D26" s="26">
        <v>46296.0</v>
      </c>
      <c r="E26" s="28"/>
      <c r="F26" s="23" t="s">
        <v>192</v>
      </c>
    </row>
    <row r="27" ht="22.5" hidden="1" customHeight="1">
      <c r="A27" s="11" t="s">
        <v>198</v>
      </c>
      <c r="B27" s="17" t="s">
        <v>200</v>
      </c>
      <c r="C27" s="11" t="s">
        <v>272</v>
      </c>
      <c r="D27" s="12">
        <v>46266.0</v>
      </c>
      <c r="F27" s="11" t="s">
        <v>165</v>
      </c>
    </row>
    <row r="28" ht="22.5" hidden="1" customHeight="1">
      <c r="A28" s="11" t="s">
        <v>204</v>
      </c>
      <c r="B28" s="17" t="s">
        <v>205</v>
      </c>
      <c r="C28" s="11" t="s">
        <v>273</v>
      </c>
      <c r="D28" s="12">
        <v>46266.0</v>
      </c>
      <c r="F28" s="11" t="s">
        <v>165</v>
      </c>
    </row>
    <row r="29" ht="22.5" hidden="1" customHeight="1">
      <c r="A29" s="11" t="s">
        <v>211</v>
      </c>
      <c r="B29" s="17" t="s">
        <v>212</v>
      </c>
      <c r="C29" s="11" t="s">
        <v>274</v>
      </c>
      <c r="D29" s="12">
        <v>46266.0</v>
      </c>
      <c r="F29" s="11" t="s">
        <v>165</v>
      </c>
    </row>
    <row r="30" ht="22.5" hidden="1" customHeight="1">
      <c r="A30" s="11" t="s">
        <v>216</v>
      </c>
      <c r="B30" s="17" t="s">
        <v>217</v>
      </c>
      <c r="C30" s="11" t="s">
        <v>275</v>
      </c>
      <c r="D30" s="12">
        <v>46266.0</v>
      </c>
      <c r="F30" s="11" t="s">
        <v>165</v>
      </c>
    </row>
    <row r="31" ht="22.5" hidden="1" customHeight="1">
      <c r="A31" s="11" t="s">
        <v>221</v>
      </c>
      <c r="B31" s="17" t="s">
        <v>222</v>
      </c>
      <c r="C31" s="11" t="s">
        <v>276</v>
      </c>
      <c r="D31" s="12">
        <v>46266.0</v>
      </c>
      <c r="F31" s="11" t="s">
        <v>165</v>
      </c>
    </row>
    <row r="32" ht="22.5" hidden="1" customHeight="1">
      <c r="A32" s="11" t="s">
        <v>166</v>
      </c>
      <c r="B32" s="17" t="s">
        <v>168</v>
      </c>
      <c r="C32" s="11" t="s">
        <v>279</v>
      </c>
      <c r="D32" s="12">
        <v>46266.0</v>
      </c>
      <c r="F32" s="11" t="s">
        <v>165</v>
      </c>
    </row>
    <row r="33" ht="22.5" hidden="1" customHeight="1">
      <c r="A33" s="11" t="s">
        <v>225</v>
      </c>
      <c r="B33" s="17" t="s">
        <v>226</v>
      </c>
      <c r="C33" s="11" t="s">
        <v>281</v>
      </c>
      <c r="D33" s="12">
        <v>46266.0</v>
      </c>
      <c r="E33" s="11" t="s">
        <v>282</v>
      </c>
      <c r="F33" s="11" t="s">
        <v>190</v>
      </c>
    </row>
    <row r="34" ht="22.5" hidden="1" customHeight="1">
      <c r="A34" s="11" t="s">
        <v>176</v>
      </c>
      <c r="B34" s="17" t="s">
        <v>177</v>
      </c>
      <c r="C34" s="11" t="s">
        <v>283</v>
      </c>
      <c r="D34" s="12">
        <v>46266.0</v>
      </c>
      <c r="F34" s="11" t="s">
        <v>165</v>
      </c>
    </row>
    <row r="35" ht="22.5" hidden="1" customHeight="1">
      <c r="A35" s="11" t="s">
        <v>182</v>
      </c>
      <c r="B35" s="17" t="s">
        <v>183</v>
      </c>
      <c r="C35" s="11" t="s">
        <v>286</v>
      </c>
      <c r="D35" s="12">
        <v>46266.0</v>
      </c>
      <c r="F35" s="11" t="s">
        <v>165</v>
      </c>
    </row>
    <row r="36" ht="22.5" hidden="1" customHeight="1">
      <c r="A36" s="23" t="s">
        <v>182</v>
      </c>
      <c r="B36" s="25" t="s">
        <v>183</v>
      </c>
      <c r="C36" s="23" t="s">
        <v>286</v>
      </c>
      <c r="D36" s="26">
        <v>46266.0</v>
      </c>
      <c r="E36" s="23" t="s">
        <v>287</v>
      </c>
      <c r="F36" s="23" t="s">
        <v>192</v>
      </c>
    </row>
    <row r="37" ht="22.5" hidden="1" customHeight="1">
      <c r="A37" s="11" t="s">
        <v>230</v>
      </c>
      <c r="B37" s="17" t="s">
        <v>231</v>
      </c>
      <c r="C37" s="11" t="s">
        <v>288</v>
      </c>
      <c r="D37" s="12">
        <v>46266.0</v>
      </c>
      <c r="E37" s="11" t="s">
        <v>289</v>
      </c>
      <c r="F37" s="11" t="s">
        <v>190</v>
      </c>
    </row>
    <row r="38" ht="22.5" hidden="1" customHeight="1">
      <c r="A38" s="11" t="s">
        <v>232</v>
      </c>
      <c r="B38" s="17" t="s">
        <v>233</v>
      </c>
      <c r="C38" s="11" t="s">
        <v>291</v>
      </c>
      <c r="D38" s="12">
        <v>46266.0</v>
      </c>
      <c r="E38" s="11" t="s">
        <v>287</v>
      </c>
      <c r="F38" s="11" t="s">
        <v>190</v>
      </c>
    </row>
    <row r="39" ht="22.5" hidden="1" customHeight="1">
      <c r="A39" s="11" t="s">
        <v>238</v>
      </c>
      <c r="B39" s="17" t="s">
        <v>239</v>
      </c>
      <c r="C39" s="11" t="s">
        <v>293</v>
      </c>
      <c r="D39" s="12">
        <v>46296.0</v>
      </c>
      <c r="F39" s="11" t="s">
        <v>190</v>
      </c>
    </row>
    <row r="40" ht="22.5" hidden="1" customHeight="1">
      <c r="A40" s="11" t="s">
        <v>240</v>
      </c>
      <c r="B40" s="17" t="s">
        <v>241</v>
      </c>
      <c r="C40" s="11" t="s">
        <v>295</v>
      </c>
      <c r="D40" s="12">
        <v>46296.0</v>
      </c>
      <c r="F40" s="11" t="s">
        <v>190</v>
      </c>
    </row>
    <row r="41" ht="22.5" hidden="1" customHeight="1">
      <c r="A41" s="11" t="s">
        <v>245</v>
      </c>
      <c r="B41" s="17" t="s">
        <v>246</v>
      </c>
      <c r="C41" s="11" t="s">
        <v>296</v>
      </c>
      <c r="D41" s="12">
        <v>46296.0</v>
      </c>
      <c r="F41" s="11" t="s">
        <v>190</v>
      </c>
    </row>
  </sheetData>
  <dataValidations>
    <dataValidation type="custom" allowBlank="1" showDropDown="1" sqref="D2:D41">
      <formula1>OR(NOT(ISERROR(DATEVALUE(D2))), AND(ISNUMBER(D2), LEFT(CELL("format", D2))="D"))</formula1>
    </dataValidation>
    <dataValidation allowBlank="1" showDropDown="1" sqref="B2:B4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16</v>
      </c>
      <c r="B6" s="1" t="s">
        <v>5</v>
      </c>
      <c r="C6" s="1" t="s">
        <v>6</v>
      </c>
      <c r="D6" s="1" t="s">
        <v>17</v>
      </c>
    </row>
    <row r="7">
      <c r="A7" s="1" t="s">
        <v>18</v>
      </c>
      <c r="B7" s="1" t="s">
        <v>5</v>
      </c>
      <c r="C7" s="1" t="s">
        <v>6</v>
      </c>
      <c r="D7" s="1" t="s">
        <v>19</v>
      </c>
    </row>
    <row r="8">
      <c r="A8" s="1" t="s">
        <v>20</v>
      </c>
      <c r="B8" s="1" t="s">
        <v>5</v>
      </c>
      <c r="C8" s="1" t="s">
        <v>6</v>
      </c>
      <c r="D8" s="1" t="s">
        <v>21</v>
      </c>
    </row>
    <row r="9">
      <c r="A9" s="1" t="s">
        <v>22</v>
      </c>
      <c r="B9" s="1" t="s">
        <v>5</v>
      </c>
      <c r="C9" s="1" t="s">
        <v>6</v>
      </c>
      <c r="D9" s="1" t="s">
        <v>23</v>
      </c>
    </row>
    <row r="10">
      <c r="A10" s="1" t="s">
        <v>24</v>
      </c>
      <c r="B10" s="1" t="s">
        <v>5</v>
      </c>
      <c r="C10" s="1" t="s">
        <v>6</v>
      </c>
      <c r="D10" s="1" t="s">
        <v>25</v>
      </c>
    </row>
    <row r="11">
      <c r="A11" s="1" t="s">
        <v>26</v>
      </c>
      <c r="B11" s="1" t="s">
        <v>13</v>
      </c>
      <c r="C11" s="1" t="s">
        <v>14</v>
      </c>
      <c r="D11" s="1" t="s">
        <v>27</v>
      </c>
    </row>
    <row r="12">
      <c r="A12" s="1" t="s">
        <v>28</v>
      </c>
      <c r="B12" s="1" t="s">
        <v>13</v>
      </c>
      <c r="C12" s="1" t="s">
        <v>14</v>
      </c>
      <c r="D12" s="1" t="s">
        <v>29</v>
      </c>
    </row>
    <row r="13">
      <c r="A13" s="1" t="s">
        <v>30</v>
      </c>
      <c r="B13" s="1" t="s">
        <v>13</v>
      </c>
      <c r="C13" s="1" t="s">
        <v>14</v>
      </c>
      <c r="D13" s="1" t="s">
        <v>31</v>
      </c>
    </row>
    <row r="14">
      <c r="A14" s="1" t="s">
        <v>32</v>
      </c>
      <c r="B14" s="1" t="s">
        <v>13</v>
      </c>
      <c r="C14" s="1" t="s">
        <v>14</v>
      </c>
      <c r="D14" s="1" t="s">
        <v>33</v>
      </c>
    </row>
    <row r="15">
      <c r="A15" s="1" t="s">
        <v>34</v>
      </c>
      <c r="B15" s="1" t="s">
        <v>13</v>
      </c>
      <c r="C15" s="1" t="s">
        <v>14</v>
      </c>
      <c r="D15" s="1" t="s">
        <v>35</v>
      </c>
    </row>
    <row r="16">
      <c r="A16" s="1" t="s">
        <v>36</v>
      </c>
      <c r="B16" s="1" t="s">
        <v>13</v>
      </c>
      <c r="C16" s="1" t="s">
        <v>14</v>
      </c>
      <c r="D16" s="1" t="s">
        <v>37</v>
      </c>
    </row>
    <row r="17">
      <c r="A17" s="1" t="s">
        <v>38</v>
      </c>
      <c r="B17" s="1" t="s">
        <v>5</v>
      </c>
      <c r="C17" s="1" t="s">
        <v>6</v>
      </c>
      <c r="D17" s="1" t="s">
        <v>39</v>
      </c>
    </row>
    <row r="18">
      <c r="A18" s="1" t="s">
        <v>40</v>
      </c>
      <c r="B18" s="1" t="s">
        <v>5</v>
      </c>
      <c r="C18" s="1" t="s">
        <v>6</v>
      </c>
      <c r="D18" s="1" t="s">
        <v>41</v>
      </c>
    </row>
    <row r="19">
      <c r="A19" s="1" t="s">
        <v>42</v>
      </c>
      <c r="B19" s="1" t="s">
        <v>5</v>
      </c>
      <c r="C19" s="1" t="s">
        <v>6</v>
      </c>
      <c r="D19" s="1" t="s">
        <v>43</v>
      </c>
    </row>
    <row r="20">
      <c r="A20" s="1" t="s">
        <v>44</v>
      </c>
      <c r="B20" s="1" t="s">
        <v>13</v>
      </c>
      <c r="C20" s="1" t="s">
        <v>14</v>
      </c>
      <c r="D20" s="1" t="s">
        <v>45</v>
      </c>
    </row>
    <row r="21">
      <c r="A21" s="1" t="s">
        <v>46</v>
      </c>
      <c r="B21" s="1" t="s">
        <v>5</v>
      </c>
      <c r="C21" s="1" t="s">
        <v>6</v>
      </c>
      <c r="D21" s="1" t="s">
        <v>47</v>
      </c>
    </row>
    <row r="22">
      <c r="A22" s="1" t="s">
        <v>48</v>
      </c>
      <c r="B22" s="1" t="s">
        <v>5</v>
      </c>
      <c r="C22" s="1" t="s">
        <v>6</v>
      </c>
      <c r="D22" s="1" t="s">
        <v>49</v>
      </c>
    </row>
    <row r="23">
      <c r="A23" s="1" t="s">
        <v>50</v>
      </c>
      <c r="B23" s="1" t="s">
        <v>5</v>
      </c>
      <c r="C23" s="1" t="s">
        <v>6</v>
      </c>
      <c r="D23" s="1" t="s">
        <v>51</v>
      </c>
    </row>
    <row r="24">
      <c r="A24" s="1" t="s">
        <v>52</v>
      </c>
      <c r="B24" s="1" t="s">
        <v>5</v>
      </c>
      <c r="C24" s="1" t="s">
        <v>6</v>
      </c>
      <c r="D24" s="1" t="s">
        <v>53</v>
      </c>
    </row>
    <row r="25">
      <c r="A25" s="1" t="s">
        <v>54</v>
      </c>
      <c r="B25" s="1" t="s">
        <v>5</v>
      </c>
      <c r="C25" s="1" t="s">
        <v>6</v>
      </c>
      <c r="D25" s="1" t="s">
        <v>55</v>
      </c>
    </row>
    <row r="26">
      <c r="A26" s="1" t="s">
        <v>56</v>
      </c>
      <c r="B26" s="1" t="s">
        <v>5</v>
      </c>
      <c r="C26" s="1" t="s">
        <v>6</v>
      </c>
      <c r="D26" s="1" t="s">
        <v>57</v>
      </c>
    </row>
    <row r="27">
      <c r="A27" s="1" t="s">
        <v>58</v>
      </c>
      <c r="B27" s="1" t="s">
        <v>5</v>
      </c>
      <c r="C27" s="1" t="s">
        <v>6</v>
      </c>
      <c r="D27" s="1" t="s">
        <v>59</v>
      </c>
    </row>
    <row r="28">
      <c r="A28" s="1" t="s">
        <v>61</v>
      </c>
      <c r="B28" s="1" t="s">
        <v>5</v>
      </c>
      <c r="C28" s="1" t="s">
        <v>6</v>
      </c>
      <c r="D28" s="1" t="s">
        <v>62</v>
      </c>
    </row>
    <row r="29">
      <c r="A29" s="1" t="s">
        <v>63</v>
      </c>
      <c r="B29" s="1" t="s">
        <v>5</v>
      </c>
      <c r="C29" s="1" t="s">
        <v>6</v>
      </c>
      <c r="D29" s="1" t="s">
        <v>64</v>
      </c>
    </row>
    <row r="30">
      <c r="A30" s="1" t="s">
        <v>65</v>
      </c>
      <c r="B30" s="1" t="s">
        <v>5</v>
      </c>
      <c r="C30" s="1" t="s">
        <v>6</v>
      </c>
      <c r="D30" s="1" t="s">
        <v>66</v>
      </c>
    </row>
    <row r="31">
      <c r="A31" s="1" t="s">
        <v>67</v>
      </c>
      <c r="B31" s="1" t="s">
        <v>5</v>
      </c>
      <c r="C31" s="1" t="s">
        <v>6</v>
      </c>
      <c r="D31" s="1" t="s">
        <v>68</v>
      </c>
    </row>
    <row r="32">
      <c r="A32" s="1" t="s">
        <v>69</v>
      </c>
      <c r="B32" s="1" t="s">
        <v>5</v>
      </c>
      <c r="C32" s="1" t="s">
        <v>6</v>
      </c>
      <c r="D32" s="1" t="s">
        <v>70</v>
      </c>
    </row>
    <row r="33">
      <c r="A33" s="1" t="s">
        <v>71</v>
      </c>
      <c r="B33" s="1" t="s">
        <v>5</v>
      </c>
      <c r="C33" s="1" t="s">
        <v>6</v>
      </c>
      <c r="D33" s="1" t="s">
        <v>73</v>
      </c>
    </row>
    <row r="34">
      <c r="A34" s="1" t="s">
        <v>74</v>
      </c>
      <c r="B34" s="1" t="s">
        <v>5</v>
      </c>
      <c r="C34" s="1" t="s">
        <v>6</v>
      </c>
      <c r="D34" s="1" t="s">
        <v>75</v>
      </c>
    </row>
    <row r="35">
      <c r="A35" s="1" t="s">
        <v>76</v>
      </c>
      <c r="B35" s="1" t="s">
        <v>5</v>
      </c>
      <c r="C35" s="1" t="s">
        <v>6</v>
      </c>
      <c r="D35" s="1" t="s">
        <v>78</v>
      </c>
    </row>
    <row r="36">
      <c r="A36" s="1" t="s">
        <v>80</v>
      </c>
      <c r="B36" s="1" t="s">
        <v>5</v>
      </c>
      <c r="C36" s="1" t="s">
        <v>6</v>
      </c>
      <c r="D36" s="1" t="s">
        <v>82</v>
      </c>
    </row>
    <row r="37">
      <c r="A37" s="1" t="s">
        <v>83</v>
      </c>
      <c r="B37" s="1" t="s">
        <v>5</v>
      </c>
      <c r="C37" s="1" t="s">
        <v>6</v>
      </c>
      <c r="D37" s="1" t="s">
        <v>85</v>
      </c>
    </row>
    <row r="38">
      <c r="A38" s="1" t="s">
        <v>86</v>
      </c>
      <c r="B38" s="1" t="s">
        <v>5</v>
      </c>
      <c r="C38" s="1" t="s">
        <v>6</v>
      </c>
      <c r="D38" s="1" t="s">
        <v>87</v>
      </c>
    </row>
    <row r="39">
      <c r="A39" s="1" t="s">
        <v>88</v>
      </c>
      <c r="B39" s="1" t="s">
        <v>5</v>
      </c>
      <c r="C39" s="1" t="s">
        <v>6</v>
      </c>
      <c r="D39" s="1" t="s">
        <v>90</v>
      </c>
    </row>
    <row r="40">
      <c r="A40" s="1" t="s">
        <v>91</v>
      </c>
      <c r="B40" s="1" t="s">
        <v>5</v>
      </c>
      <c r="C40" s="1" t="s">
        <v>6</v>
      </c>
      <c r="D40" s="1" t="s">
        <v>93</v>
      </c>
    </row>
    <row r="41">
      <c r="A41" s="1" t="s">
        <v>95</v>
      </c>
      <c r="B41" s="1" t="s">
        <v>5</v>
      </c>
      <c r="C41" s="1" t="s">
        <v>6</v>
      </c>
      <c r="D41" s="1" t="s">
        <v>96</v>
      </c>
    </row>
    <row r="42">
      <c r="A42" s="1" t="s">
        <v>97</v>
      </c>
      <c r="B42" s="1" t="s">
        <v>13</v>
      </c>
      <c r="C42" s="1" t="s">
        <v>14</v>
      </c>
      <c r="D42" s="1" t="s">
        <v>98</v>
      </c>
    </row>
    <row r="43">
      <c r="A43" s="1" t="s">
        <v>99</v>
      </c>
      <c r="B43" s="1" t="s">
        <v>13</v>
      </c>
      <c r="C43" s="1" t="s">
        <v>14</v>
      </c>
      <c r="D43" s="1" t="s">
        <v>101</v>
      </c>
    </row>
    <row r="44">
      <c r="A44" s="1" t="s">
        <v>102</v>
      </c>
      <c r="B44" s="1" t="s">
        <v>13</v>
      </c>
      <c r="C44" s="1" t="s">
        <v>14</v>
      </c>
      <c r="D44" s="1" t="s">
        <v>103</v>
      </c>
    </row>
    <row r="45">
      <c r="A45" s="1" t="s">
        <v>104</v>
      </c>
      <c r="B45" s="1" t="s">
        <v>13</v>
      </c>
      <c r="C45" s="1" t="s">
        <v>14</v>
      </c>
      <c r="D45" s="1" t="s">
        <v>106</v>
      </c>
    </row>
    <row r="46">
      <c r="A46" s="1" t="s">
        <v>108</v>
      </c>
      <c r="B46" s="1" t="s">
        <v>13</v>
      </c>
      <c r="C46" s="1" t="s">
        <v>14</v>
      </c>
      <c r="D46" s="1" t="s">
        <v>109</v>
      </c>
    </row>
    <row r="47">
      <c r="A47" s="1" t="s">
        <v>111</v>
      </c>
      <c r="B47" s="1" t="s">
        <v>13</v>
      </c>
      <c r="C47" s="1" t="s">
        <v>14</v>
      </c>
      <c r="D47" s="1" t="s">
        <v>113</v>
      </c>
    </row>
    <row r="48">
      <c r="A48" s="1" t="s">
        <v>114</v>
      </c>
      <c r="B48" s="1" t="s">
        <v>5</v>
      </c>
      <c r="C48" s="1" t="s">
        <v>6</v>
      </c>
      <c r="D48" s="1" t="s">
        <v>115</v>
      </c>
    </row>
    <row r="49">
      <c r="A49" s="1" t="s">
        <v>116</v>
      </c>
      <c r="B49" s="1" t="s">
        <v>5</v>
      </c>
      <c r="C49" s="1" t="s">
        <v>6</v>
      </c>
      <c r="D49" s="1" t="s">
        <v>117</v>
      </c>
    </row>
    <row r="50">
      <c r="A50" s="1" t="s">
        <v>118</v>
      </c>
      <c r="B50" s="1" t="s">
        <v>13</v>
      </c>
      <c r="C50" s="1" t="s">
        <v>14</v>
      </c>
      <c r="D50" s="1" t="s">
        <v>119</v>
      </c>
    </row>
    <row r="51">
      <c r="A51" s="1" t="s">
        <v>120</v>
      </c>
      <c r="B51" s="1" t="s">
        <v>13</v>
      </c>
      <c r="C51" s="1" t="s">
        <v>14</v>
      </c>
      <c r="D51" s="1" t="s">
        <v>121</v>
      </c>
    </row>
    <row r="52">
      <c r="A52" s="1" t="s">
        <v>123</v>
      </c>
      <c r="B52" s="1" t="s">
        <v>5</v>
      </c>
      <c r="C52" s="1" t="s">
        <v>6</v>
      </c>
      <c r="D52" s="1" t="s">
        <v>124</v>
      </c>
    </row>
    <row r="53">
      <c r="A53" s="1" t="s">
        <v>126</v>
      </c>
      <c r="B53" s="1" t="s">
        <v>5</v>
      </c>
      <c r="C53" s="1" t="s">
        <v>6</v>
      </c>
      <c r="D53" s="1" t="s">
        <v>129</v>
      </c>
    </row>
    <row r="54">
      <c r="A54" s="1" t="s">
        <v>130</v>
      </c>
      <c r="B54" s="1" t="s">
        <v>5</v>
      </c>
      <c r="C54" s="1" t="s">
        <v>6</v>
      </c>
      <c r="D54" s="1" t="s">
        <v>131</v>
      </c>
    </row>
    <row r="55">
      <c r="A55" s="1" t="s">
        <v>133</v>
      </c>
      <c r="B55" s="1" t="s">
        <v>13</v>
      </c>
      <c r="C55" s="1" t="s">
        <v>14</v>
      </c>
      <c r="D55" s="1" t="s">
        <v>136</v>
      </c>
    </row>
    <row r="56">
      <c r="A56" s="1" t="s">
        <v>137</v>
      </c>
      <c r="B56" s="1" t="s">
        <v>5</v>
      </c>
      <c r="C56" s="1" t="s">
        <v>6</v>
      </c>
      <c r="D56" s="1" t="s">
        <v>140</v>
      </c>
    </row>
    <row r="57">
      <c r="A57" s="1" t="s">
        <v>141</v>
      </c>
      <c r="B57" s="1" t="s">
        <v>13</v>
      </c>
      <c r="C57" s="1" t="s">
        <v>14</v>
      </c>
      <c r="D57" s="1" t="s">
        <v>144</v>
      </c>
    </row>
    <row r="58">
      <c r="A58" s="1" t="s">
        <v>146</v>
      </c>
      <c r="B58" s="1" t="s">
        <v>13</v>
      </c>
      <c r="C58" s="1" t="s">
        <v>14</v>
      </c>
      <c r="D58" s="1" t="s">
        <v>148</v>
      </c>
    </row>
    <row r="59">
      <c r="A59" s="1" t="s">
        <v>149</v>
      </c>
      <c r="B59" s="1" t="s">
        <v>5</v>
      </c>
      <c r="C59" s="1" t="s">
        <v>6</v>
      </c>
      <c r="D59" s="1" t="s">
        <v>152</v>
      </c>
    </row>
    <row r="60">
      <c r="A60" s="1" t="s">
        <v>153</v>
      </c>
      <c r="B60" s="1" t="s">
        <v>5</v>
      </c>
      <c r="C60" s="1" t="s">
        <v>6</v>
      </c>
      <c r="D60" s="1" t="s">
        <v>154</v>
      </c>
    </row>
    <row r="61">
      <c r="A61" s="1" t="s">
        <v>155</v>
      </c>
      <c r="B61" s="1" t="s">
        <v>5</v>
      </c>
      <c r="C61" s="1" t="s">
        <v>6</v>
      </c>
      <c r="D61" s="1" t="s">
        <v>156</v>
      </c>
    </row>
    <row r="62">
      <c r="A62" s="1" t="s">
        <v>157</v>
      </c>
      <c r="B62" s="1" t="s">
        <v>5</v>
      </c>
      <c r="C62" s="1" t="s">
        <v>6</v>
      </c>
      <c r="D62" s="1" t="s">
        <v>158</v>
      </c>
    </row>
    <row r="63">
      <c r="A63" s="1" t="s">
        <v>160</v>
      </c>
      <c r="B63" s="1" t="s">
        <v>5</v>
      </c>
      <c r="C63" s="1" t="s">
        <v>6</v>
      </c>
      <c r="D63" s="1" t="s">
        <v>161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0.25"/>
    <col customWidth="1" min="2" max="3" width="12.0"/>
    <col customWidth="1" min="4" max="5" width="17.75"/>
    <col customWidth="1" min="6" max="6" width="7.88"/>
    <col customWidth="1" min="7" max="8" width="18.0"/>
    <col customWidth="1" min="10" max="10" width="15.38"/>
    <col customWidth="1" min="11" max="11" width="13.0"/>
    <col customWidth="1" min="15" max="15" width="13.38"/>
    <col customWidth="1" min="16" max="16" width="15.75"/>
    <col customWidth="1" min="17" max="17" width="15.38"/>
    <col customWidth="1" min="18" max="18" width="19.38"/>
    <col customWidth="1" min="19" max="20" width="19.63"/>
    <col customWidth="1" min="21" max="21" width="12.25"/>
    <col customWidth="1" min="22" max="22" width="32.0"/>
    <col customWidth="1" min="23" max="23" width="15.25"/>
    <col customWidth="1" min="30" max="30" width="15.13"/>
  </cols>
  <sheetData>
    <row r="1" ht="22.5" customHeight="1">
      <c r="A1" s="2" t="s">
        <v>89</v>
      </c>
      <c r="B1" s="3" t="s">
        <v>72</v>
      </c>
      <c r="C1" s="2" t="s">
        <v>81</v>
      </c>
      <c r="D1" s="3" t="s">
        <v>107</v>
      </c>
      <c r="E1" s="2" t="s">
        <v>112</v>
      </c>
      <c r="F1" s="6" t="s">
        <v>94</v>
      </c>
      <c r="G1" s="8" t="s">
        <v>125</v>
      </c>
      <c r="H1" s="5" t="s">
        <v>132</v>
      </c>
      <c r="I1" s="9" t="s">
        <v>138</v>
      </c>
      <c r="J1" s="9" t="s">
        <v>145</v>
      </c>
      <c r="K1" s="10" t="s">
        <v>100</v>
      </c>
      <c r="L1" s="10" t="s">
        <v>105</v>
      </c>
      <c r="M1" s="10" t="s">
        <v>110</v>
      </c>
      <c r="N1" s="10" t="s">
        <v>122</v>
      </c>
      <c r="O1" s="14" t="s">
        <v>127</v>
      </c>
      <c r="P1" s="14" t="s">
        <v>134</v>
      </c>
      <c r="Q1" s="14" t="s">
        <v>142</v>
      </c>
      <c r="R1" s="10" t="s">
        <v>147</v>
      </c>
      <c r="S1" s="7" t="s">
        <v>150</v>
      </c>
      <c r="T1" s="7" t="s">
        <v>0</v>
      </c>
      <c r="U1" s="14" t="s">
        <v>175</v>
      </c>
      <c r="V1" s="10" t="s">
        <v>162</v>
      </c>
      <c r="W1" s="14" t="s">
        <v>163</v>
      </c>
      <c r="X1" s="14" t="s">
        <v>164</v>
      </c>
      <c r="Y1" s="19" t="s">
        <v>180</v>
      </c>
      <c r="Z1" s="7" t="s">
        <v>167</v>
      </c>
      <c r="AA1" s="19" t="s">
        <v>184</v>
      </c>
      <c r="AB1" s="7" t="s">
        <v>169</v>
      </c>
      <c r="AC1" s="22" t="s">
        <v>189</v>
      </c>
      <c r="AD1" s="7" t="s">
        <v>170</v>
      </c>
      <c r="AE1" s="24" t="s">
        <v>171</v>
      </c>
      <c r="AF1" s="16"/>
      <c r="AG1" s="16"/>
      <c r="AH1" s="16"/>
      <c r="AI1" s="16"/>
      <c r="AJ1" s="16"/>
    </row>
    <row r="2" ht="22.5" customHeight="1">
      <c r="A2" s="18">
        <v>46040.0</v>
      </c>
      <c r="B2" s="20" t="str">
        <f t="array" ref="B2">TEXT(A2, "MM-YYYY")</f>
        <v>01-2026</v>
      </c>
      <c r="C2" s="32" t="s">
        <v>255</v>
      </c>
      <c r="D2" s="21" t="s">
        <v>210</v>
      </c>
      <c r="E2" s="21" t="s">
        <v>213</v>
      </c>
      <c r="F2" s="29" t="b">
        <v>1</v>
      </c>
      <c r="G2" s="49"/>
      <c r="H2" s="49"/>
      <c r="I2" s="33"/>
      <c r="J2" s="33"/>
      <c r="K2" s="51" t="s">
        <v>259</v>
      </c>
      <c r="L2" s="51" t="s">
        <v>260</v>
      </c>
      <c r="M2" s="51" t="s">
        <v>261</v>
      </c>
      <c r="N2" s="51" t="s">
        <v>262</v>
      </c>
      <c r="O2" s="51" t="s">
        <v>263</v>
      </c>
      <c r="P2" s="51" t="s">
        <v>264</v>
      </c>
      <c r="Q2" s="52">
        <v>46267.0</v>
      </c>
      <c r="R2" s="53">
        <v>0.0</v>
      </c>
      <c r="S2" s="55"/>
      <c r="T2" s="51" t="s">
        <v>265</v>
      </c>
      <c r="U2" s="57" t="str">
        <f>IF(records_2[Type]="Room",records_2[roomNo],records_2[roomNo]&amp;"-"&amp;SUBSTITUTE(RIGHT(records_2[roomNo]&amp;records_2[Type],2),"-",""))</f>
        <v>10-1-030</v>
      </c>
      <c r="V2" s="59" t="str">
        <f t="array" ref="V2">_xlfn.XLOOKUP(records_2[ID], dAir[roomNo], dAir[roomName])</f>
        <v>AIRLOCK</v>
      </c>
      <c r="W2" s="59" t="str">
        <f t="array" ref="W2">_xlfn.XLOOKUP(records_2[ID], dAir[roomNo], dAir[building])</f>
        <v>Building 10</v>
      </c>
      <c r="X2" s="59" t="str">
        <f t="array" ref="X2">_xlfn.XLOOKUP(records_2[ID], dAir[roomNo], dAir[floor])</f>
        <v>Floor 1</v>
      </c>
      <c r="Y2" s="57" t="str">
        <f t="array" ref="Y2">_xlfn.XLOOKUP(records_2[ID], dAir[roomNo], dAir[Class])</f>
        <v>D</v>
      </c>
      <c r="Z2" s="57">
        <f t="array" ref="Z2">_xlfn.XLOOKUP(records_2[Method]&amp;"-"&amp;records_2[Class], dAirSpec[ID], dAirSpec[Spec])</f>
        <v>100</v>
      </c>
      <c r="AA2" s="57" t="str">
        <f t="array" ref="AA2">_xlfn.XLOOKUP(records_2[Method]&amp;"-"&amp;records_2[Class], dAirSpec[ID], dAirSpec[Unit])</f>
        <v>cfu/plate</v>
      </c>
      <c r="AB2" s="62">
        <f t="array" ref="AB2">if(R2="","", if(records_2[Method]="Active Air",_xlfn.xlookup(records_2[ColonyCount]&amp;records_2[AirSampler],feller[code],feller[Vc]),records_2[ColonyCount]))</f>
        <v>0</v>
      </c>
      <c r="AC2" s="63" t="b">
        <f t="shared" ref="AC2:AC991" si="1">AB2&lt;=Z2</f>
        <v>1</v>
      </c>
      <c r="AD2" s="61" t="b">
        <v>0</v>
      </c>
      <c r="AE2" s="32" t="s">
        <v>280</v>
      </c>
      <c r="AF2" s="46"/>
      <c r="AG2" s="46"/>
      <c r="AH2" s="46"/>
      <c r="AI2" s="46"/>
      <c r="AJ2" s="46"/>
    </row>
    <row r="3" ht="22.5" customHeight="1">
      <c r="A3" s="27">
        <v>46040.0</v>
      </c>
      <c r="B3" s="34" t="str">
        <f t="array" ref="B3">TEXT(A3, "MM-YYYY")</f>
        <v>01-2026</v>
      </c>
      <c r="C3" s="39" t="s">
        <v>290</v>
      </c>
      <c r="D3" s="36" t="s">
        <v>210</v>
      </c>
      <c r="E3" s="36" t="s">
        <v>213</v>
      </c>
      <c r="F3" s="29" t="b">
        <v>1</v>
      </c>
      <c r="G3" s="49"/>
      <c r="H3" s="49"/>
      <c r="I3" s="33"/>
      <c r="J3" s="33"/>
      <c r="K3" s="37" t="s">
        <v>292</v>
      </c>
      <c r="L3" s="37" t="s">
        <v>294</v>
      </c>
      <c r="M3" s="37" t="s">
        <v>261</v>
      </c>
      <c r="N3" s="37" t="s">
        <v>262</v>
      </c>
      <c r="O3" s="37" t="s">
        <v>263</v>
      </c>
      <c r="P3" s="37" t="s">
        <v>264</v>
      </c>
      <c r="Q3" s="41">
        <v>46267.0</v>
      </c>
      <c r="R3" s="42">
        <v>0.0</v>
      </c>
      <c r="S3" s="55"/>
      <c r="T3" s="37" t="s">
        <v>265</v>
      </c>
      <c r="U3" s="57" t="str">
        <f>IF(records_2[Type]="Room",records_2[roomNo],records_2[roomNo]&amp;"-"&amp;SUBSTITUTE(RIGHT(records_2[roomNo]&amp;records_2[Type],2),"-",""))</f>
        <v>10-1-031</v>
      </c>
      <c r="V3" s="59" t="str">
        <f t="array" ref="V3">_xlfn.XLOOKUP(records_2[ID], dAir[roomNo], dAir[roomName])</f>
        <v>BULK STAGING 1</v>
      </c>
      <c r="W3" s="59" t="str">
        <f t="array" ref="W3">_xlfn.XLOOKUP(records_2[ID], dAir[roomNo], dAir[building])</f>
        <v>Building 10</v>
      </c>
      <c r="X3" s="59" t="str">
        <f t="array" ref="X3">_xlfn.XLOOKUP(records_2[ID], dAir[roomNo], dAir[floor])</f>
        <v>Floor 1</v>
      </c>
      <c r="Y3" s="57" t="str">
        <f t="array" ref="Y3">_xlfn.XLOOKUP(records_2[ID], dAir[roomNo], dAir[Class])</f>
        <v>D</v>
      </c>
      <c r="Z3" s="57">
        <f t="array" ref="Z3">_xlfn.XLOOKUP(records_2[Method]&amp;"-"&amp;records_2[Class], dAirSpec[ID], dAirSpec[Spec])</f>
        <v>100</v>
      </c>
      <c r="AA3" s="57" t="str">
        <f t="array" ref="AA3">_xlfn.XLOOKUP(records_2[Method]&amp;"-"&amp;records_2[Class], dAirSpec[ID], dAirSpec[Unit])</f>
        <v>cfu/plate</v>
      </c>
      <c r="AB3" s="62">
        <f t="array" ref="AB3">if(R3="","", if(records_2[Method]="Active Air",_xlfn.xlookup(records_2[ColonyCount]&amp;records_2[AirSampler],feller[code],feller[Vc]),records_2[ColonyCount]))</f>
        <v>0</v>
      </c>
      <c r="AC3" s="63" t="b">
        <f t="shared" si="1"/>
        <v>1</v>
      </c>
      <c r="AD3" s="61" t="b">
        <v>0</v>
      </c>
      <c r="AE3" s="32" t="s">
        <v>280</v>
      </c>
      <c r="AF3" s="46"/>
      <c r="AG3" s="46"/>
      <c r="AH3" s="46"/>
      <c r="AI3" s="46"/>
      <c r="AJ3" s="46"/>
    </row>
    <row r="4" ht="22.5" customHeight="1">
      <c r="A4" s="27">
        <v>46040.0</v>
      </c>
      <c r="B4" s="34" t="str">
        <f t="array" ref="B4">TEXT(A4, "MM-YYYY")</f>
        <v>01-2026</v>
      </c>
      <c r="C4" s="39" t="s">
        <v>301</v>
      </c>
      <c r="D4" s="36" t="s">
        <v>210</v>
      </c>
      <c r="E4" s="36" t="s">
        <v>213</v>
      </c>
      <c r="F4" s="29" t="b">
        <v>1</v>
      </c>
      <c r="G4" s="49"/>
      <c r="H4" s="49"/>
      <c r="I4" s="33"/>
      <c r="J4" s="33"/>
      <c r="K4" s="37" t="s">
        <v>303</v>
      </c>
      <c r="L4" s="37" t="s">
        <v>304</v>
      </c>
      <c r="M4" s="37" t="s">
        <v>261</v>
      </c>
      <c r="N4" s="37" t="s">
        <v>262</v>
      </c>
      <c r="O4" s="37" t="s">
        <v>263</v>
      </c>
      <c r="P4" s="37" t="s">
        <v>264</v>
      </c>
      <c r="Q4" s="41">
        <v>46267.0</v>
      </c>
      <c r="R4" s="42">
        <v>0.0</v>
      </c>
      <c r="S4" s="55"/>
      <c r="T4" s="37" t="s">
        <v>265</v>
      </c>
      <c r="U4" s="57" t="str">
        <f>IF(records_2[Type]="Room",records_2[roomNo],records_2[roomNo]&amp;"-"&amp;SUBSTITUTE(RIGHT(records_2[roomNo]&amp;records_2[Type],2),"-",""))</f>
        <v>10-1-032</v>
      </c>
      <c r="V4" s="59" t="str">
        <f t="array" ref="V4">_xlfn.XLOOKUP(records_2[ID], dAir[roomNo], dAir[roomName])</f>
        <v>BULK STAGING 2</v>
      </c>
      <c r="W4" s="59" t="str">
        <f t="array" ref="W4">_xlfn.XLOOKUP(records_2[ID], dAir[roomNo], dAir[building])</f>
        <v>Building 10</v>
      </c>
      <c r="X4" s="59" t="str">
        <f t="array" ref="X4">_xlfn.XLOOKUP(records_2[ID], dAir[roomNo], dAir[floor])</f>
        <v>Floor 1</v>
      </c>
      <c r="Y4" s="57" t="str">
        <f t="array" ref="Y4">_xlfn.XLOOKUP(records_2[ID], dAir[roomNo], dAir[Class])</f>
        <v>D</v>
      </c>
      <c r="Z4" s="57">
        <f t="array" ref="Z4">_xlfn.XLOOKUP(records_2[Method]&amp;"-"&amp;records_2[Class], dAirSpec[ID], dAirSpec[Spec])</f>
        <v>100</v>
      </c>
      <c r="AA4" s="57" t="str">
        <f t="array" ref="AA4">_xlfn.XLOOKUP(records_2[Method]&amp;"-"&amp;records_2[Class], dAirSpec[ID], dAirSpec[Unit])</f>
        <v>cfu/plate</v>
      </c>
      <c r="AB4" s="62">
        <f t="array" ref="AB4">if(R4="","", if(records_2[Method]="Active Air",_xlfn.xlookup(records_2[ColonyCount]&amp;records_2[AirSampler],feller[code],feller[Vc]),records_2[ColonyCount]))</f>
        <v>0</v>
      </c>
      <c r="AC4" s="63" t="b">
        <f t="shared" si="1"/>
        <v>1</v>
      </c>
      <c r="AD4" s="61" t="b">
        <v>0</v>
      </c>
      <c r="AE4" s="32" t="s">
        <v>280</v>
      </c>
      <c r="AF4" s="46"/>
      <c r="AG4" s="46"/>
      <c r="AH4" s="46"/>
      <c r="AI4" s="46"/>
      <c r="AJ4" s="46"/>
    </row>
    <row r="5" ht="22.5" customHeight="1">
      <c r="A5" s="27">
        <v>46040.0</v>
      </c>
      <c r="B5" s="34" t="str">
        <f t="array" ref="B5">TEXT(A5, "MM-YYYY")</f>
        <v>01-2026</v>
      </c>
      <c r="C5" s="39" t="s">
        <v>313</v>
      </c>
      <c r="D5" s="36" t="s">
        <v>210</v>
      </c>
      <c r="E5" s="36" t="s">
        <v>213</v>
      </c>
      <c r="F5" s="29" t="b">
        <v>1</v>
      </c>
      <c r="G5" s="49"/>
      <c r="H5" s="49"/>
      <c r="I5" s="33"/>
      <c r="J5" s="33"/>
      <c r="K5" s="37" t="s">
        <v>317</v>
      </c>
      <c r="L5" s="37" t="s">
        <v>318</v>
      </c>
      <c r="M5" s="37" t="s">
        <v>319</v>
      </c>
      <c r="N5" s="37" t="s">
        <v>320</v>
      </c>
      <c r="O5" s="37" t="s">
        <v>263</v>
      </c>
      <c r="P5" s="37" t="s">
        <v>264</v>
      </c>
      <c r="Q5" s="41">
        <v>46267.0</v>
      </c>
      <c r="R5" s="42">
        <v>0.0</v>
      </c>
      <c r="S5" s="55"/>
      <c r="T5" s="37" t="s">
        <v>265</v>
      </c>
      <c r="U5" s="57" t="str">
        <f>IF(records_2[Type]="Room",records_2[roomNo],records_2[roomNo]&amp;"-"&amp;SUBSTITUTE(RIGHT(records_2[roomNo]&amp;records_2[Type],2),"-",""))</f>
        <v>10-1-033</v>
      </c>
      <c r="V5" s="59" t="str">
        <f t="array" ref="V5">_xlfn.XLOOKUP(records_2[ID], dAir[roomNo], dAir[roomName])</f>
        <v>JANITOR</v>
      </c>
      <c r="W5" s="59" t="str">
        <f t="array" ref="W5">_xlfn.XLOOKUP(records_2[ID], dAir[roomNo], dAir[building])</f>
        <v>Building 10</v>
      </c>
      <c r="X5" s="59" t="str">
        <f t="array" ref="X5">_xlfn.XLOOKUP(records_2[ID], dAir[roomNo], dAir[floor])</f>
        <v>Floor 1</v>
      </c>
      <c r="Y5" s="57" t="str">
        <f t="array" ref="Y5">_xlfn.XLOOKUP(records_2[ID], dAir[roomNo], dAir[Class])</f>
        <v>D</v>
      </c>
      <c r="Z5" s="57">
        <f t="array" ref="Z5">_xlfn.XLOOKUP(records_2[Method]&amp;"-"&amp;records_2[Class], dAirSpec[ID], dAirSpec[Spec])</f>
        <v>100</v>
      </c>
      <c r="AA5" s="57" t="str">
        <f t="array" ref="AA5">_xlfn.XLOOKUP(records_2[Method]&amp;"-"&amp;records_2[Class], dAirSpec[ID], dAirSpec[Unit])</f>
        <v>cfu/plate</v>
      </c>
      <c r="AB5" s="62">
        <f t="array" ref="AB5">if(R5="","", if(records_2[Method]="Active Air",_xlfn.xlookup(records_2[ColonyCount]&amp;records_2[AirSampler],feller[code],feller[Vc]),records_2[ColonyCount]))</f>
        <v>0</v>
      </c>
      <c r="AC5" s="63" t="b">
        <f t="shared" si="1"/>
        <v>1</v>
      </c>
      <c r="AD5" s="61" t="b">
        <v>0</v>
      </c>
      <c r="AE5" s="32" t="s">
        <v>280</v>
      </c>
      <c r="AF5" s="46"/>
      <c r="AG5" s="46"/>
      <c r="AH5" s="46"/>
      <c r="AI5" s="46"/>
      <c r="AJ5" s="46"/>
    </row>
    <row r="6" ht="22.5" customHeight="1">
      <c r="A6" s="27">
        <v>46040.0</v>
      </c>
      <c r="B6" s="34" t="str">
        <f t="array" ref="B6">TEXT(A6, "MM-YYYY")</f>
        <v>01-2026</v>
      </c>
      <c r="C6" s="39" t="s">
        <v>329</v>
      </c>
      <c r="D6" s="36" t="s">
        <v>210</v>
      </c>
      <c r="E6" s="36" t="s">
        <v>213</v>
      </c>
      <c r="F6" s="29" t="b">
        <v>1</v>
      </c>
      <c r="G6" s="49"/>
      <c r="H6" s="49"/>
      <c r="I6" s="33"/>
      <c r="J6" s="33"/>
      <c r="K6" s="37" t="s">
        <v>330</v>
      </c>
      <c r="L6" s="37" t="s">
        <v>331</v>
      </c>
      <c r="M6" s="37" t="s">
        <v>332</v>
      </c>
      <c r="N6" s="37" t="s">
        <v>333</v>
      </c>
      <c r="O6" s="37" t="s">
        <v>263</v>
      </c>
      <c r="P6" s="37" t="s">
        <v>264</v>
      </c>
      <c r="Q6" s="41">
        <v>46267.0</v>
      </c>
      <c r="R6" s="42">
        <v>1.0</v>
      </c>
      <c r="S6" s="55"/>
      <c r="T6" s="37" t="s">
        <v>265</v>
      </c>
      <c r="U6" s="57" t="str">
        <f>IF(records_2[Type]="Room",records_2[roomNo],records_2[roomNo]&amp;"-"&amp;SUBSTITUTE(RIGHT(records_2[roomNo]&amp;records_2[Type],2),"-",""))</f>
        <v>10-1-034</v>
      </c>
      <c r="V6" s="59" t="str">
        <f t="array" ref="V6">_xlfn.XLOOKUP(records_2[ID], dAir[roomNo], dAir[roomName])</f>
        <v>LINEN DRY</v>
      </c>
      <c r="W6" s="59" t="str">
        <f t="array" ref="W6">_xlfn.XLOOKUP(records_2[ID], dAir[roomNo], dAir[building])</f>
        <v>Building 10</v>
      </c>
      <c r="X6" s="59" t="str">
        <f t="array" ref="X6">_xlfn.XLOOKUP(records_2[ID], dAir[roomNo], dAir[floor])</f>
        <v>Floor 1</v>
      </c>
      <c r="Y6" s="57" t="str">
        <f t="array" ref="Y6">_xlfn.XLOOKUP(records_2[ID], dAir[roomNo], dAir[Class])</f>
        <v>D</v>
      </c>
      <c r="Z6" s="57">
        <f t="array" ref="Z6">_xlfn.XLOOKUP(records_2[Method]&amp;"-"&amp;records_2[Class], dAirSpec[ID], dAirSpec[Spec])</f>
        <v>100</v>
      </c>
      <c r="AA6" s="57" t="str">
        <f t="array" ref="AA6">_xlfn.XLOOKUP(records_2[Method]&amp;"-"&amp;records_2[Class], dAirSpec[ID], dAirSpec[Unit])</f>
        <v>cfu/plate</v>
      </c>
      <c r="AB6" s="62">
        <f t="array" ref="AB6">if(R6="","", if(records_2[Method]="Active Air",_xlfn.xlookup(records_2[ColonyCount]&amp;records_2[AirSampler],feller[code],feller[Vc]),records_2[ColonyCount]))</f>
        <v>1</v>
      </c>
      <c r="AC6" s="63" t="b">
        <f t="shared" si="1"/>
        <v>1</v>
      </c>
      <c r="AD6" s="61" t="b">
        <v>0</v>
      </c>
      <c r="AE6" s="32" t="s">
        <v>280</v>
      </c>
      <c r="AF6" s="46"/>
      <c r="AG6" s="46"/>
      <c r="AH6" s="46"/>
      <c r="AI6" s="46"/>
      <c r="AJ6" s="46"/>
    </row>
    <row r="7" ht="22.5" customHeight="1">
      <c r="A7" s="27">
        <v>46040.0</v>
      </c>
      <c r="B7" s="34" t="str">
        <f t="array" ref="B7">TEXT(A7, "MM-YYYY")</f>
        <v>01-2026</v>
      </c>
      <c r="C7" s="39" t="s">
        <v>338</v>
      </c>
      <c r="D7" s="36" t="s">
        <v>210</v>
      </c>
      <c r="E7" s="36" t="s">
        <v>213</v>
      </c>
      <c r="F7" s="29" t="b">
        <v>1</v>
      </c>
      <c r="G7" s="49"/>
      <c r="H7" s="49"/>
      <c r="I7" s="33"/>
      <c r="J7" s="33"/>
      <c r="K7" s="37" t="s">
        <v>339</v>
      </c>
      <c r="L7" s="37" t="s">
        <v>324</v>
      </c>
      <c r="M7" s="37" t="s">
        <v>332</v>
      </c>
      <c r="N7" s="37" t="s">
        <v>320</v>
      </c>
      <c r="O7" s="37" t="s">
        <v>263</v>
      </c>
      <c r="P7" s="37" t="s">
        <v>264</v>
      </c>
      <c r="Q7" s="41">
        <v>46267.0</v>
      </c>
      <c r="R7" s="42">
        <v>1.0</v>
      </c>
      <c r="S7" s="55"/>
      <c r="T7" s="37" t="s">
        <v>265</v>
      </c>
      <c r="U7" s="57" t="str">
        <f>IF(records_2[Type]="Room",records_2[roomNo],records_2[roomNo]&amp;"-"&amp;SUBSTITUTE(RIGHT(records_2[roomNo]&amp;records_2[Type],2),"-",""))</f>
        <v>10-1-035</v>
      </c>
      <c r="V7" s="59" t="str">
        <f t="array" ref="V7">_xlfn.XLOOKUP(records_2[ID], dAir[roomNo], dAir[roomName])</f>
        <v>LINEN WASHING</v>
      </c>
      <c r="W7" s="59" t="str">
        <f t="array" ref="W7">_xlfn.XLOOKUP(records_2[ID], dAir[roomNo], dAir[building])</f>
        <v>Building 10</v>
      </c>
      <c r="X7" s="59" t="str">
        <f t="array" ref="X7">_xlfn.XLOOKUP(records_2[ID], dAir[roomNo], dAir[floor])</f>
        <v>Floor 1</v>
      </c>
      <c r="Y7" s="57" t="str">
        <f t="array" ref="Y7">_xlfn.XLOOKUP(records_2[ID], dAir[roomNo], dAir[Class])</f>
        <v>D</v>
      </c>
      <c r="Z7" s="57">
        <f t="array" ref="Z7">_xlfn.XLOOKUP(records_2[Method]&amp;"-"&amp;records_2[Class], dAirSpec[ID], dAirSpec[Spec])</f>
        <v>100</v>
      </c>
      <c r="AA7" s="57" t="str">
        <f t="array" ref="AA7">_xlfn.XLOOKUP(records_2[Method]&amp;"-"&amp;records_2[Class], dAirSpec[ID], dAirSpec[Unit])</f>
        <v>cfu/plate</v>
      </c>
      <c r="AB7" s="62">
        <f t="array" ref="AB7">if(R7="","", if(records_2[Method]="Active Air",_xlfn.xlookup(records_2[ColonyCount]&amp;records_2[AirSampler],feller[code],feller[Vc]),records_2[ColonyCount]))</f>
        <v>1</v>
      </c>
      <c r="AC7" s="63" t="b">
        <f t="shared" si="1"/>
        <v>1</v>
      </c>
      <c r="AD7" s="61" t="b">
        <v>0</v>
      </c>
      <c r="AE7" s="32" t="s">
        <v>280</v>
      </c>
      <c r="AF7" s="46"/>
      <c r="AG7" s="46"/>
      <c r="AH7" s="46"/>
      <c r="AI7" s="46"/>
      <c r="AJ7" s="46"/>
    </row>
    <row r="8" ht="22.5" customHeight="1">
      <c r="A8" s="27">
        <v>46040.0</v>
      </c>
      <c r="B8" s="34" t="str">
        <f t="array" ref="B8">TEXT(A8, "MM-YYYY")</f>
        <v>01-2026</v>
      </c>
      <c r="C8" s="39" t="s">
        <v>352</v>
      </c>
      <c r="D8" s="36" t="s">
        <v>210</v>
      </c>
      <c r="E8" s="36" t="s">
        <v>213</v>
      </c>
      <c r="F8" s="29" t="b">
        <v>1</v>
      </c>
      <c r="G8" s="49"/>
      <c r="H8" s="49"/>
      <c r="I8" s="33"/>
      <c r="J8" s="33"/>
      <c r="K8" s="37" t="s">
        <v>252</v>
      </c>
      <c r="L8" s="37" t="s">
        <v>356</v>
      </c>
      <c r="M8" s="37" t="s">
        <v>332</v>
      </c>
      <c r="N8" s="37" t="s">
        <v>333</v>
      </c>
      <c r="O8" s="37" t="s">
        <v>263</v>
      </c>
      <c r="P8" s="37" t="s">
        <v>264</v>
      </c>
      <c r="Q8" s="41">
        <v>46267.0</v>
      </c>
      <c r="R8" s="42">
        <v>0.0</v>
      </c>
      <c r="S8" s="55"/>
      <c r="T8" s="37" t="s">
        <v>265</v>
      </c>
      <c r="U8" s="57" t="str">
        <f>IF(records_2[Type]="Room",records_2[roomNo],records_2[roomNo]&amp;"-"&amp;SUBSTITUTE(RIGHT(records_2[roomNo]&amp;records_2[Type],2),"-",""))</f>
        <v>10-1-036</v>
      </c>
      <c r="V8" s="59" t="str">
        <f t="array" ref="V8">_xlfn.XLOOKUP(records_2[ID], dAir[roomNo], dAir[roomName])</f>
        <v>CORRIDOR</v>
      </c>
      <c r="W8" s="59" t="str">
        <f t="array" ref="W8">_xlfn.XLOOKUP(records_2[ID], dAir[roomNo], dAir[building])</f>
        <v>Building 10</v>
      </c>
      <c r="X8" s="59" t="str">
        <f t="array" ref="X8">_xlfn.XLOOKUP(records_2[ID], dAir[roomNo], dAir[floor])</f>
        <v>Floor 1</v>
      </c>
      <c r="Y8" s="57" t="str">
        <f t="array" ref="Y8">_xlfn.XLOOKUP(records_2[ID], dAir[roomNo], dAir[Class])</f>
        <v>D</v>
      </c>
      <c r="Z8" s="57">
        <f t="array" ref="Z8">_xlfn.XLOOKUP(records_2[Method]&amp;"-"&amp;records_2[Class], dAirSpec[ID], dAirSpec[Spec])</f>
        <v>100</v>
      </c>
      <c r="AA8" s="57" t="str">
        <f t="array" ref="AA8">_xlfn.XLOOKUP(records_2[Method]&amp;"-"&amp;records_2[Class], dAirSpec[ID], dAirSpec[Unit])</f>
        <v>cfu/plate</v>
      </c>
      <c r="AB8" s="62">
        <f t="array" ref="AB8">if(R8="","", if(records_2[Method]="Active Air",_xlfn.xlookup(records_2[ColonyCount]&amp;records_2[AirSampler],feller[code],feller[Vc]),records_2[ColonyCount]))</f>
        <v>0</v>
      </c>
      <c r="AC8" s="63" t="b">
        <f t="shared" si="1"/>
        <v>1</v>
      </c>
      <c r="AD8" s="61" t="b">
        <v>0</v>
      </c>
      <c r="AE8" s="32" t="s">
        <v>280</v>
      </c>
      <c r="AF8" s="46"/>
      <c r="AG8" s="46"/>
      <c r="AH8" s="46"/>
      <c r="AI8" s="46"/>
      <c r="AJ8" s="46"/>
    </row>
    <row r="9" ht="22.5" customHeight="1">
      <c r="A9" s="27">
        <v>46040.0</v>
      </c>
      <c r="B9" s="34" t="str">
        <f t="array" ref="B9">TEXT(A9, "MM-YYYY")</f>
        <v>01-2026</v>
      </c>
      <c r="C9" s="39" t="s">
        <v>364</v>
      </c>
      <c r="D9" s="36" t="s">
        <v>210</v>
      </c>
      <c r="E9" s="36" t="s">
        <v>213</v>
      </c>
      <c r="F9" s="29" t="b">
        <v>1</v>
      </c>
      <c r="G9" s="49"/>
      <c r="H9" s="49"/>
      <c r="I9" s="33"/>
      <c r="J9" s="33"/>
      <c r="K9" s="37" t="s">
        <v>366</v>
      </c>
      <c r="L9" s="37" t="s">
        <v>367</v>
      </c>
      <c r="M9" s="37" t="s">
        <v>368</v>
      </c>
      <c r="N9" s="37" t="s">
        <v>369</v>
      </c>
      <c r="O9" s="37" t="s">
        <v>263</v>
      </c>
      <c r="P9" s="37" t="s">
        <v>264</v>
      </c>
      <c r="Q9" s="41">
        <v>46267.0</v>
      </c>
      <c r="R9" s="42">
        <v>6.0</v>
      </c>
      <c r="S9" s="55"/>
      <c r="T9" s="37" t="s">
        <v>265</v>
      </c>
      <c r="U9" s="57" t="str">
        <f>IF(records_2[Type]="Room",records_2[roomNo],records_2[roomNo]&amp;"-"&amp;SUBSTITUTE(RIGHT(records_2[roomNo]&amp;records_2[Type],2),"-",""))</f>
        <v>10-1-037</v>
      </c>
      <c r="V9" s="59" t="str">
        <f t="array" ref="V9">_xlfn.XLOOKUP(records_2[ID], dAir[roomNo], dAir[roomName])</f>
        <v>PROCESS CHANGE</v>
      </c>
      <c r="W9" s="59" t="str">
        <f t="array" ref="W9">_xlfn.XLOOKUP(records_2[ID], dAir[roomNo], dAir[building])</f>
        <v>Building 10</v>
      </c>
      <c r="X9" s="59" t="str">
        <f t="array" ref="X9">_xlfn.XLOOKUP(records_2[ID], dAir[roomNo], dAir[floor])</f>
        <v>Floor 1</v>
      </c>
      <c r="Y9" s="57" t="str">
        <f t="array" ref="Y9">_xlfn.XLOOKUP(records_2[ID], dAir[roomNo], dAir[Class])</f>
        <v>D</v>
      </c>
      <c r="Z9" s="57">
        <f t="array" ref="Z9">_xlfn.XLOOKUP(records_2[Method]&amp;"-"&amp;records_2[Class], dAirSpec[ID], dAirSpec[Spec])</f>
        <v>100</v>
      </c>
      <c r="AA9" s="57" t="str">
        <f t="array" ref="AA9">_xlfn.XLOOKUP(records_2[Method]&amp;"-"&amp;records_2[Class], dAirSpec[ID], dAirSpec[Unit])</f>
        <v>cfu/plate</v>
      </c>
      <c r="AB9" s="62">
        <f t="array" ref="AB9">if(R9="","", if(records_2[Method]="Active Air",_xlfn.xlookup(records_2[ColonyCount]&amp;records_2[AirSampler],feller[code],feller[Vc]),records_2[ColonyCount]))</f>
        <v>6</v>
      </c>
      <c r="AC9" s="63" t="b">
        <f t="shared" si="1"/>
        <v>1</v>
      </c>
      <c r="AD9" s="61" t="b">
        <v>0</v>
      </c>
      <c r="AE9" s="32" t="s">
        <v>280</v>
      </c>
      <c r="AF9" s="46"/>
      <c r="AG9" s="46"/>
      <c r="AH9" s="46"/>
      <c r="AI9" s="46"/>
      <c r="AJ9" s="46"/>
    </row>
    <row r="10" ht="22.5" customHeight="1">
      <c r="A10" s="27">
        <v>46040.0</v>
      </c>
      <c r="B10" s="34" t="str">
        <f t="array" ref="B10">TEXT(A10, "MM-YYYY")</f>
        <v>01-2026</v>
      </c>
      <c r="C10" s="39" t="s">
        <v>375</v>
      </c>
      <c r="D10" s="36" t="s">
        <v>210</v>
      </c>
      <c r="E10" s="36" t="s">
        <v>213</v>
      </c>
      <c r="F10" s="29" t="b">
        <v>1</v>
      </c>
      <c r="G10" s="49"/>
      <c r="H10" s="49"/>
      <c r="I10" s="33"/>
      <c r="J10" s="33"/>
      <c r="K10" s="37" t="s">
        <v>377</v>
      </c>
      <c r="L10" s="37" t="s">
        <v>343</v>
      </c>
      <c r="M10" s="37" t="s">
        <v>378</v>
      </c>
      <c r="N10" s="37" t="s">
        <v>320</v>
      </c>
      <c r="O10" s="37" t="s">
        <v>263</v>
      </c>
      <c r="P10" s="37" t="s">
        <v>264</v>
      </c>
      <c r="Q10" s="41">
        <v>46267.0</v>
      </c>
      <c r="R10" s="42">
        <v>1.0</v>
      </c>
      <c r="S10" s="55"/>
      <c r="T10" s="37" t="s">
        <v>265</v>
      </c>
      <c r="U10" s="57" t="str">
        <f>IF(records_2[Type]="Room",records_2[roomNo],records_2[roomNo]&amp;"-"&amp;SUBSTITUTE(RIGHT(records_2[roomNo]&amp;records_2[Type],2),"-",""))</f>
        <v>10-1-039</v>
      </c>
      <c r="V10" s="59" t="str">
        <f t="array" ref="V10">_xlfn.XLOOKUP(records_2[ID], dAir[roomNo], dAir[roomName])</f>
        <v>VISITOR PROCESS CHANGE</v>
      </c>
      <c r="W10" s="59" t="str">
        <f t="array" ref="W10">_xlfn.XLOOKUP(records_2[ID], dAir[roomNo], dAir[building])</f>
        <v>Building 10</v>
      </c>
      <c r="X10" s="59" t="str">
        <f t="array" ref="X10">_xlfn.XLOOKUP(records_2[ID], dAir[roomNo], dAir[floor])</f>
        <v>Floor 1</v>
      </c>
      <c r="Y10" s="57" t="str">
        <f t="array" ref="Y10">_xlfn.XLOOKUP(records_2[ID], dAir[roomNo], dAir[Class])</f>
        <v>D</v>
      </c>
      <c r="Z10" s="57">
        <f t="array" ref="Z10">_xlfn.XLOOKUP(records_2[Method]&amp;"-"&amp;records_2[Class], dAirSpec[ID], dAirSpec[Spec])</f>
        <v>100</v>
      </c>
      <c r="AA10" s="57" t="str">
        <f t="array" ref="AA10">_xlfn.XLOOKUP(records_2[Method]&amp;"-"&amp;records_2[Class], dAirSpec[ID], dAirSpec[Unit])</f>
        <v>cfu/plate</v>
      </c>
      <c r="AB10" s="62">
        <f t="array" ref="AB10">if(R10="","", if(records_2[Method]="Active Air",_xlfn.xlookup(records_2[ColonyCount]&amp;records_2[AirSampler],feller[code],feller[Vc]),records_2[ColonyCount]))</f>
        <v>1</v>
      </c>
      <c r="AC10" s="63" t="b">
        <f t="shared" si="1"/>
        <v>1</v>
      </c>
      <c r="AD10" s="61" t="b">
        <v>0</v>
      </c>
      <c r="AE10" s="32" t="s">
        <v>280</v>
      </c>
      <c r="AF10" s="46"/>
      <c r="AG10" s="46"/>
      <c r="AH10" s="46"/>
      <c r="AI10" s="46"/>
      <c r="AJ10" s="46"/>
    </row>
    <row r="11" ht="22.5" customHeight="1">
      <c r="A11" s="27">
        <v>46040.0</v>
      </c>
      <c r="B11" s="34" t="str">
        <f t="array" ref="B11">TEXT(A11, "MM-YYYY")</f>
        <v>01-2026</v>
      </c>
      <c r="C11" s="39" t="s">
        <v>388</v>
      </c>
      <c r="D11" s="36" t="s">
        <v>210</v>
      </c>
      <c r="E11" s="36" t="s">
        <v>213</v>
      </c>
      <c r="F11" s="29" t="b">
        <v>1</v>
      </c>
      <c r="G11" s="49"/>
      <c r="H11" s="49"/>
      <c r="I11" s="33"/>
      <c r="J11" s="33"/>
      <c r="K11" s="37" t="s">
        <v>317</v>
      </c>
      <c r="L11" s="37" t="s">
        <v>389</v>
      </c>
      <c r="M11" s="37" t="s">
        <v>378</v>
      </c>
      <c r="N11" s="37" t="s">
        <v>320</v>
      </c>
      <c r="O11" s="37" t="s">
        <v>263</v>
      </c>
      <c r="P11" s="37" t="s">
        <v>264</v>
      </c>
      <c r="Q11" s="41">
        <v>46267.0</v>
      </c>
      <c r="R11" s="42">
        <v>0.0</v>
      </c>
      <c r="S11" s="55"/>
      <c r="T11" s="37" t="s">
        <v>265</v>
      </c>
      <c r="U11" s="57" t="str">
        <f>IF(records_2[Type]="Room",records_2[roomNo],records_2[roomNo]&amp;"-"&amp;SUBSTITUTE(RIGHT(records_2[roomNo]&amp;records_2[Type],2),"-",""))</f>
        <v>10-1-040</v>
      </c>
      <c r="V11" s="59" t="str">
        <f t="array" ref="V11">_xlfn.XLOOKUP(records_2[ID], dAir[roomNo], dAir[roomName])</f>
        <v>IPQC</v>
      </c>
      <c r="W11" s="59" t="str">
        <f t="array" ref="W11">_xlfn.XLOOKUP(records_2[ID], dAir[roomNo], dAir[building])</f>
        <v>Building 10</v>
      </c>
      <c r="X11" s="59" t="str">
        <f t="array" ref="X11">_xlfn.XLOOKUP(records_2[ID], dAir[roomNo], dAir[floor])</f>
        <v>Floor 1</v>
      </c>
      <c r="Y11" s="57" t="str">
        <f t="array" ref="Y11">_xlfn.XLOOKUP(records_2[ID], dAir[roomNo], dAir[Class])</f>
        <v>D</v>
      </c>
      <c r="Z11" s="57">
        <f t="array" ref="Z11">_xlfn.XLOOKUP(records_2[Method]&amp;"-"&amp;records_2[Class], dAirSpec[ID], dAirSpec[Spec])</f>
        <v>100</v>
      </c>
      <c r="AA11" s="57" t="str">
        <f t="array" ref="AA11">_xlfn.XLOOKUP(records_2[Method]&amp;"-"&amp;records_2[Class], dAirSpec[ID], dAirSpec[Unit])</f>
        <v>cfu/plate</v>
      </c>
      <c r="AB11" s="62">
        <f t="array" ref="AB11">if(R11="","", if(records_2[Method]="Active Air",_xlfn.xlookup(records_2[ColonyCount]&amp;records_2[AirSampler],feller[code],feller[Vc]),records_2[ColonyCount]))</f>
        <v>0</v>
      </c>
      <c r="AC11" s="63" t="b">
        <f t="shared" si="1"/>
        <v>1</v>
      </c>
      <c r="AD11" s="61" t="b">
        <v>0</v>
      </c>
      <c r="AE11" s="32" t="s">
        <v>280</v>
      </c>
      <c r="AF11" s="46"/>
      <c r="AG11" s="46"/>
      <c r="AH11" s="46"/>
      <c r="AI11" s="46"/>
      <c r="AJ11" s="46"/>
    </row>
    <row r="12" ht="22.5" customHeight="1">
      <c r="A12" s="27">
        <v>46040.0</v>
      </c>
      <c r="B12" s="34" t="str">
        <f t="array" ref="B12">TEXT(A12, "MM-YYYY")</f>
        <v>01-2026</v>
      </c>
      <c r="C12" s="39" t="s">
        <v>398</v>
      </c>
      <c r="D12" s="36" t="s">
        <v>210</v>
      </c>
      <c r="E12" s="36" t="s">
        <v>213</v>
      </c>
      <c r="F12" s="29" t="b">
        <v>1</v>
      </c>
      <c r="G12" s="49"/>
      <c r="H12" s="49"/>
      <c r="I12" s="33"/>
      <c r="J12" s="33"/>
      <c r="K12" s="37" t="s">
        <v>381</v>
      </c>
      <c r="L12" s="37" t="s">
        <v>315</v>
      </c>
      <c r="M12" s="37" t="s">
        <v>378</v>
      </c>
      <c r="N12" s="37" t="s">
        <v>399</v>
      </c>
      <c r="O12" s="37" t="s">
        <v>263</v>
      </c>
      <c r="P12" s="37" t="s">
        <v>264</v>
      </c>
      <c r="Q12" s="41">
        <v>46267.0</v>
      </c>
      <c r="R12" s="42">
        <v>0.0</v>
      </c>
      <c r="S12" s="55"/>
      <c r="T12" s="37" t="s">
        <v>265</v>
      </c>
      <c r="U12" s="57" t="str">
        <f>IF(records_2[Type]="Room",records_2[roomNo],records_2[roomNo]&amp;"-"&amp;SUBSTITUTE(RIGHT(records_2[roomNo]&amp;records_2[Type],2),"-",""))</f>
        <v>10-1-041</v>
      </c>
      <c r="V12" s="59" t="str">
        <f t="array" ref="V12">_xlfn.XLOOKUP(records_2[ID], dAir[roomNo], dAir[roomName])</f>
        <v>SCRAP OUT</v>
      </c>
      <c r="W12" s="59" t="str">
        <f t="array" ref="W12">_xlfn.XLOOKUP(records_2[ID], dAir[roomNo], dAir[building])</f>
        <v>Building 10</v>
      </c>
      <c r="X12" s="59" t="str">
        <f t="array" ref="X12">_xlfn.XLOOKUP(records_2[ID], dAir[roomNo], dAir[floor])</f>
        <v>Floor 1</v>
      </c>
      <c r="Y12" s="57" t="str">
        <f t="array" ref="Y12">_xlfn.XLOOKUP(records_2[ID], dAir[roomNo], dAir[Class])</f>
        <v>D</v>
      </c>
      <c r="Z12" s="57">
        <f t="array" ref="Z12">_xlfn.XLOOKUP(records_2[Method]&amp;"-"&amp;records_2[Class], dAirSpec[ID], dAirSpec[Spec])</f>
        <v>100</v>
      </c>
      <c r="AA12" s="57" t="str">
        <f t="array" ref="AA12">_xlfn.XLOOKUP(records_2[Method]&amp;"-"&amp;records_2[Class], dAirSpec[ID], dAirSpec[Unit])</f>
        <v>cfu/plate</v>
      </c>
      <c r="AB12" s="62">
        <f t="array" ref="AB12">if(R12="","", if(records_2[Method]="Active Air",_xlfn.xlookup(records_2[ColonyCount]&amp;records_2[AirSampler],feller[code],feller[Vc]),records_2[ColonyCount]))</f>
        <v>0</v>
      </c>
      <c r="AC12" s="63" t="b">
        <f t="shared" si="1"/>
        <v>1</v>
      </c>
      <c r="AD12" s="61" t="b">
        <v>0</v>
      </c>
      <c r="AE12" s="32" t="s">
        <v>280</v>
      </c>
      <c r="AF12" s="46"/>
      <c r="AG12" s="46"/>
      <c r="AH12" s="46"/>
      <c r="AI12" s="46"/>
      <c r="AJ12" s="46"/>
    </row>
    <row r="13" ht="22.5" customHeight="1">
      <c r="A13" s="27">
        <v>46040.0</v>
      </c>
      <c r="B13" s="34" t="str">
        <f t="array" ref="B13">TEXT(A13, "MM-YYYY")</f>
        <v>01-2026</v>
      </c>
      <c r="C13" s="39" t="s">
        <v>406</v>
      </c>
      <c r="D13" s="36" t="s">
        <v>210</v>
      </c>
      <c r="E13" s="36" t="s">
        <v>213</v>
      </c>
      <c r="F13" s="29" t="b">
        <v>1</v>
      </c>
      <c r="G13" s="49"/>
      <c r="H13" s="49"/>
      <c r="I13" s="33"/>
      <c r="J13" s="33"/>
      <c r="K13" s="37" t="s">
        <v>377</v>
      </c>
      <c r="L13" s="37" t="s">
        <v>407</v>
      </c>
      <c r="M13" s="37" t="s">
        <v>378</v>
      </c>
      <c r="N13" s="37" t="s">
        <v>399</v>
      </c>
      <c r="O13" s="37" t="s">
        <v>263</v>
      </c>
      <c r="P13" s="37" t="s">
        <v>264</v>
      </c>
      <c r="Q13" s="41">
        <v>46267.0</v>
      </c>
      <c r="R13" s="42">
        <v>0.0</v>
      </c>
      <c r="S13" s="55"/>
      <c r="T13" s="37" t="s">
        <v>265</v>
      </c>
      <c r="U13" s="57" t="str">
        <f>IF(records_2[Type]="Room",records_2[roomNo],records_2[roomNo]&amp;"-"&amp;SUBSTITUTE(RIGHT(records_2[roomNo]&amp;records_2[Type],2),"-",""))</f>
        <v>10-1-042</v>
      </c>
      <c r="V13" s="59" t="str">
        <f t="array" ref="V13">_xlfn.XLOOKUP(records_2[ID], dAir[roomNo], dAir[roomName])</f>
        <v>OFFICE</v>
      </c>
      <c r="W13" s="59" t="str">
        <f t="array" ref="W13">_xlfn.XLOOKUP(records_2[ID], dAir[roomNo], dAir[building])</f>
        <v>Building 10</v>
      </c>
      <c r="X13" s="59" t="str">
        <f t="array" ref="X13">_xlfn.XLOOKUP(records_2[ID], dAir[roomNo], dAir[floor])</f>
        <v>Floor 1</v>
      </c>
      <c r="Y13" s="57" t="str">
        <f t="array" ref="Y13">_xlfn.XLOOKUP(records_2[ID], dAir[roomNo], dAir[Class])</f>
        <v>D</v>
      </c>
      <c r="Z13" s="57">
        <f t="array" ref="Z13">_xlfn.XLOOKUP(records_2[Method]&amp;"-"&amp;records_2[Class], dAirSpec[ID], dAirSpec[Spec])</f>
        <v>100</v>
      </c>
      <c r="AA13" s="57" t="str">
        <f t="array" ref="AA13">_xlfn.XLOOKUP(records_2[Method]&amp;"-"&amp;records_2[Class], dAirSpec[ID], dAirSpec[Unit])</f>
        <v>cfu/plate</v>
      </c>
      <c r="AB13" s="62">
        <f t="array" ref="AB13">if(R13="","", if(records_2[Method]="Active Air",_xlfn.xlookup(records_2[ColonyCount]&amp;records_2[AirSampler],feller[code],feller[Vc]),records_2[ColonyCount]))</f>
        <v>0</v>
      </c>
      <c r="AC13" s="63" t="b">
        <f t="shared" si="1"/>
        <v>1</v>
      </c>
      <c r="AD13" s="61" t="b">
        <v>0</v>
      </c>
      <c r="AE13" s="32" t="s">
        <v>280</v>
      </c>
      <c r="AF13" s="46"/>
      <c r="AG13" s="46"/>
      <c r="AH13" s="46"/>
      <c r="AI13" s="46"/>
      <c r="AJ13" s="46"/>
    </row>
    <row r="14" ht="22.5" customHeight="1">
      <c r="A14" s="18">
        <v>46040.0</v>
      </c>
      <c r="B14" s="20" t="str">
        <f t="array" ref="B14">TEXT(A14, "MM-YYYY")</f>
        <v>01-2026</v>
      </c>
      <c r="C14" s="32" t="s">
        <v>417</v>
      </c>
      <c r="D14" s="21" t="s">
        <v>210</v>
      </c>
      <c r="E14" s="21" t="s">
        <v>213</v>
      </c>
      <c r="F14" s="29" t="b">
        <v>1</v>
      </c>
      <c r="G14" s="49"/>
      <c r="H14" s="49"/>
      <c r="I14" s="33"/>
      <c r="J14" s="33"/>
      <c r="K14" s="51" t="s">
        <v>326</v>
      </c>
      <c r="L14" s="51" t="s">
        <v>418</v>
      </c>
      <c r="M14" s="51" t="s">
        <v>419</v>
      </c>
      <c r="N14" s="51" t="s">
        <v>420</v>
      </c>
      <c r="O14" s="51" t="s">
        <v>263</v>
      </c>
      <c r="P14" s="51" t="s">
        <v>264</v>
      </c>
      <c r="Q14" s="52">
        <v>46267.0</v>
      </c>
      <c r="R14" s="53">
        <v>3.0</v>
      </c>
      <c r="S14" s="55"/>
      <c r="T14" s="51" t="s">
        <v>265</v>
      </c>
      <c r="U14" s="57" t="str">
        <f>IF(records_2[Type]="Room",records_2[roomNo],records_2[roomNo]&amp;"-"&amp;SUBSTITUTE(RIGHT(records_2[roomNo]&amp;records_2[Type],2),"-",""))</f>
        <v>10-1-043</v>
      </c>
      <c r="V14" s="59" t="str">
        <f t="array" ref="V14">_xlfn.XLOOKUP(records_2[ID], dAir[roomNo], dAir[roomName])</f>
        <v>PROCESS CHANGE-P</v>
      </c>
      <c r="W14" s="59" t="str">
        <f t="array" ref="W14">_xlfn.XLOOKUP(records_2[ID], dAir[roomNo], dAir[building])</f>
        <v>Building 10</v>
      </c>
      <c r="X14" s="59" t="str">
        <f t="array" ref="X14">_xlfn.XLOOKUP(records_2[ID], dAir[roomNo], dAir[floor])</f>
        <v>Floor 1</v>
      </c>
      <c r="Y14" s="57" t="str">
        <f t="array" ref="Y14">_xlfn.XLOOKUP(records_2[ID], dAir[roomNo], dAir[Class])</f>
        <v>D</v>
      </c>
      <c r="Z14" s="57">
        <f t="array" ref="Z14">_xlfn.XLOOKUP(records_2[Method]&amp;"-"&amp;records_2[Class], dAirSpec[ID], dAirSpec[Spec])</f>
        <v>100</v>
      </c>
      <c r="AA14" s="57" t="str">
        <f t="array" ref="AA14">_xlfn.XLOOKUP(records_2[Method]&amp;"-"&amp;records_2[Class], dAirSpec[ID], dAirSpec[Unit])</f>
        <v>cfu/plate</v>
      </c>
      <c r="AB14" s="62">
        <f t="array" ref="AB14">if(R14="","", if(records_2[Method]="Active Air",_xlfn.xlookup(records_2[ColonyCount]&amp;records_2[AirSampler],feller[code],feller[Vc]),records_2[ColonyCount]))</f>
        <v>3</v>
      </c>
      <c r="AC14" s="63" t="b">
        <f t="shared" si="1"/>
        <v>1</v>
      </c>
      <c r="AD14" s="61" t="b">
        <v>0</v>
      </c>
      <c r="AE14" s="32" t="s">
        <v>280</v>
      </c>
      <c r="AF14" s="46"/>
      <c r="AG14" s="46"/>
      <c r="AH14" s="46"/>
      <c r="AI14" s="46"/>
      <c r="AJ14" s="46"/>
    </row>
    <row r="15" ht="22.5" customHeight="1">
      <c r="A15" s="27">
        <v>46040.0</v>
      </c>
      <c r="B15" s="34" t="str">
        <f t="array" ref="B15">TEXT(A15, "MM-YYYY")</f>
        <v>01-2026</v>
      </c>
      <c r="C15" s="39" t="s">
        <v>427</v>
      </c>
      <c r="D15" s="36" t="s">
        <v>210</v>
      </c>
      <c r="E15" s="36" t="s">
        <v>213</v>
      </c>
      <c r="F15" s="29" t="b">
        <v>1</v>
      </c>
      <c r="G15" s="49"/>
      <c r="H15" s="49"/>
      <c r="I15" s="33"/>
      <c r="J15" s="33"/>
      <c r="K15" s="37" t="s">
        <v>428</v>
      </c>
      <c r="L15" s="37" t="s">
        <v>429</v>
      </c>
      <c r="M15" s="37" t="s">
        <v>430</v>
      </c>
      <c r="N15" s="37" t="s">
        <v>431</v>
      </c>
      <c r="O15" s="37" t="s">
        <v>263</v>
      </c>
      <c r="P15" s="37" t="s">
        <v>264</v>
      </c>
      <c r="Q15" s="41">
        <v>46267.0</v>
      </c>
      <c r="R15" s="42">
        <v>0.0</v>
      </c>
      <c r="S15" s="55"/>
      <c r="T15" s="37" t="s">
        <v>265</v>
      </c>
      <c r="U15" s="57" t="str">
        <f>IF(records_2[Type]="Room",records_2[roomNo],records_2[roomNo]&amp;"-"&amp;SUBSTITUTE(RIGHT(records_2[roomNo]&amp;records_2[Type],2),"-",""))</f>
        <v>10-1-044</v>
      </c>
      <c r="V15" s="59" t="str">
        <f t="array" ref="V15">_xlfn.XLOOKUP(records_2[ID], dAir[roomNo], dAir[roomName])</f>
        <v>LINEN WASHING-P</v>
      </c>
      <c r="W15" s="59" t="str">
        <f t="array" ref="W15">_xlfn.XLOOKUP(records_2[ID], dAir[roomNo], dAir[building])</f>
        <v>Building 10</v>
      </c>
      <c r="X15" s="59" t="str">
        <f t="array" ref="X15">_xlfn.XLOOKUP(records_2[ID], dAir[roomNo], dAir[floor])</f>
        <v>Floor 1</v>
      </c>
      <c r="Y15" s="57" t="str">
        <f t="array" ref="Y15">_xlfn.XLOOKUP(records_2[ID], dAir[roomNo], dAir[Class])</f>
        <v>D</v>
      </c>
      <c r="Z15" s="57">
        <f t="array" ref="Z15">_xlfn.XLOOKUP(records_2[Method]&amp;"-"&amp;records_2[Class], dAirSpec[ID], dAirSpec[Spec])</f>
        <v>100</v>
      </c>
      <c r="AA15" s="57" t="str">
        <f t="array" ref="AA15">_xlfn.XLOOKUP(records_2[Method]&amp;"-"&amp;records_2[Class], dAirSpec[ID], dAirSpec[Unit])</f>
        <v>cfu/plate</v>
      </c>
      <c r="AB15" s="62">
        <f t="array" ref="AB15">if(R15="","", if(records_2[Method]="Active Air",_xlfn.xlookup(records_2[ColonyCount]&amp;records_2[AirSampler],feller[code],feller[Vc]),records_2[ColonyCount]))</f>
        <v>0</v>
      </c>
      <c r="AC15" s="63" t="b">
        <f t="shared" si="1"/>
        <v>1</v>
      </c>
      <c r="AD15" s="61" t="b">
        <v>0</v>
      </c>
      <c r="AE15" s="32" t="s">
        <v>280</v>
      </c>
      <c r="AF15" s="46"/>
      <c r="AG15" s="46"/>
      <c r="AH15" s="46"/>
      <c r="AI15" s="46"/>
      <c r="AJ15" s="46"/>
    </row>
    <row r="16" ht="22.5" customHeight="1">
      <c r="A16" s="27">
        <v>46040.0</v>
      </c>
      <c r="B16" s="20" t="str">
        <f t="array" ref="B16">TEXT(A16, "MM-YYYY")</f>
        <v>01-2026</v>
      </c>
      <c r="C16" s="32" t="s">
        <v>438</v>
      </c>
      <c r="D16" s="36" t="s">
        <v>210</v>
      </c>
      <c r="E16" s="36" t="s">
        <v>213</v>
      </c>
      <c r="F16" s="29" t="b">
        <v>1</v>
      </c>
      <c r="G16" s="49"/>
      <c r="H16" s="49"/>
      <c r="I16" s="33"/>
      <c r="J16" s="33"/>
      <c r="K16" s="37" t="s">
        <v>366</v>
      </c>
      <c r="L16" s="37" t="s">
        <v>439</v>
      </c>
      <c r="M16" s="37" t="s">
        <v>440</v>
      </c>
      <c r="N16" s="37" t="s">
        <v>441</v>
      </c>
      <c r="O16" s="37" t="s">
        <v>263</v>
      </c>
      <c r="P16" s="37" t="s">
        <v>264</v>
      </c>
      <c r="Q16" s="41">
        <v>46267.0</v>
      </c>
      <c r="R16" s="42">
        <v>0.0</v>
      </c>
      <c r="S16" s="55"/>
      <c r="T16" s="37" t="s">
        <v>265</v>
      </c>
      <c r="U16" s="57" t="str">
        <f>IF(records_2[Type]="Room",records_2[roomNo],records_2[roomNo]&amp;"-"&amp;SUBSTITUTE(RIGHT(records_2[roomNo]&amp;records_2[Type],2),"-",""))</f>
        <v>10-1-045</v>
      </c>
      <c r="V16" s="59" t="str">
        <f t="array" ref="V16">_xlfn.XLOOKUP(records_2[ID], dAir[roomNo], dAir[roomName])</f>
        <v>LINEN DRY-P</v>
      </c>
      <c r="W16" s="59" t="str">
        <f t="array" ref="W16">_xlfn.XLOOKUP(records_2[ID], dAir[roomNo], dAir[building])</f>
        <v>Building 10</v>
      </c>
      <c r="X16" s="59" t="str">
        <f t="array" ref="X16">_xlfn.XLOOKUP(records_2[ID], dAir[roomNo], dAir[floor])</f>
        <v>Floor 1</v>
      </c>
      <c r="Y16" s="57" t="str">
        <f t="array" ref="Y16">_xlfn.XLOOKUP(records_2[ID], dAir[roomNo], dAir[Class])</f>
        <v>D</v>
      </c>
      <c r="Z16" s="57">
        <f t="array" ref="Z16">_xlfn.XLOOKUP(records_2[Method]&amp;"-"&amp;records_2[Class], dAirSpec[ID], dAirSpec[Spec])</f>
        <v>100</v>
      </c>
      <c r="AA16" s="57" t="str">
        <f t="array" ref="AA16">_xlfn.XLOOKUP(records_2[Method]&amp;"-"&amp;records_2[Class], dAirSpec[ID], dAirSpec[Unit])</f>
        <v>cfu/plate</v>
      </c>
      <c r="AB16" s="62">
        <f t="array" ref="AB16">if(R16="","", if(records_2[Method]="Active Air",_xlfn.xlookup(records_2[ColonyCount]&amp;records_2[AirSampler],feller[code],feller[Vc]),records_2[ColonyCount]))</f>
        <v>0</v>
      </c>
      <c r="AC16" s="63" t="b">
        <f t="shared" si="1"/>
        <v>1</v>
      </c>
      <c r="AD16" s="61" t="b">
        <v>0</v>
      </c>
      <c r="AE16" s="32" t="s">
        <v>280</v>
      </c>
      <c r="AF16" s="46"/>
      <c r="AG16" s="46"/>
      <c r="AH16" s="46"/>
      <c r="AI16" s="46"/>
      <c r="AJ16" s="46"/>
    </row>
    <row r="17" ht="22.5" customHeight="1">
      <c r="A17" s="27">
        <v>46040.0</v>
      </c>
      <c r="B17" s="34" t="str">
        <f t="array" ref="B17">TEXT(A17, "MM-YYYY")</f>
        <v>01-2026</v>
      </c>
      <c r="C17" s="39" t="s">
        <v>448</v>
      </c>
      <c r="D17" s="36" t="s">
        <v>210</v>
      </c>
      <c r="E17" s="36" t="s">
        <v>213</v>
      </c>
      <c r="F17" s="29" t="b">
        <v>1</v>
      </c>
      <c r="G17" s="49"/>
      <c r="H17" s="49"/>
      <c r="I17" s="33"/>
      <c r="J17" s="33"/>
      <c r="K17" s="37" t="s">
        <v>292</v>
      </c>
      <c r="L17" s="37" t="s">
        <v>449</v>
      </c>
      <c r="M17" s="37" t="s">
        <v>440</v>
      </c>
      <c r="N17" s="37" t="s">
        <v>431</v>
      </c>
      <c r="O17" s="37" t="s">
        <v>263</v>
      </c>
      <c r="P17" s="37" t="s">
        <v>264</v>
      </c>
      <c r="Q17" s="41">
        <v>46267.0</v>
      </c>
      <c r="R17" s="42">
        <v>0.0</v>
      </c>
      <c r="S17" s="55"/>
      <c r="T17" s="37" t="s">
        <v>265</v>
      </c>
      <c r="U17" s="57" t="str">
        <f>IF(records_2[Type]="Room",records_2[roomNo],records_2[roomNo]&amp;"-"&amp;SUBSTITUTE(RIGHT(records_2[roomNo]&amp;records_2[Type],2),"-",""))</f>
        <v>10-1-046</v>
      </c>
      <c r="V17" s="59" t="str">
        <f t="array" ref="V17">_xlfn.XLOOKUP(records_2[ID], dAir[roomNo], dAir[roomName])</f>
        <v>CORRIDOR-P</v>
      </c>
      <c r="W17" s="59" t="str">
        <f t="array" ref="W17">_xlfn.XLOOKUP(records_2[ID], dAir[roomNo], dAir[building])</f>
        <v>Building 10</v>
      </c>
      <c r="X17" s="59" t="str">
        <f t="array" ref="X17">_xlfn.XLOOKUP(records_2[ID], dAir[roomNo], dAir[floor])</f>
        <v>Floor 1</v>
      </c>
      <c r="Y17" s="57" t="str">
        <f t="array" ref="Y17">_xlfn.XLOOKUP(records_2[ID], dAir[roomNo], dAir[Class])</f>
        <v>D</v>
      </c>
      <c r="Z17" s="57">
        <f t="array" ref="Z17">_xlfn.XLOOKUP(records_2[Method]&amp;"-"&amp;records_2[Class], dAirSpec[ID], dAirSpec[Spec])</f>
        <v>100</v>
      </c>
      <c r="AA17" s="57" t="str">
        <f t="array" ref="AA17">_xlfn.XLOOKUP(records_2[Method]&amp;"-"&amp;records_2[Class], dAirSpec[ID], dAirSpec[Unit])</f>
        <v>cfu/plate</v>
      </c>
      <c r="AB17" s="62">
        <f t="array" ref="AB17">if(R17="","", if(records_2[Method]="Active Air",_xlfn.xlookup(records_2[ColonyCount]&amp;records_2[AirSampler],feller[code],feller[Vc]),records_2[ColonyCount]))</f>
        <v>0</v>
      </c>
      <c r="AC17" s="63" t="b">
        <f t="shared" si="1"/>
        <v>1</v>
      </c>
      <c r="AD17" s="61" t="b">
        <v>0</v>
      </c>
      <c r="AE17" s="32" t="s">
        <v>280</v>
      </c>
      <c r="AF17" s="46"/>
      <c r="AG17" s="46"/>
      <c r="AH17" s="46"/>
      <c r="AI17" s="46"/>
      <c r="AJ17" s="46"/>
    </row>
    <row r="18" ht="22.5" customHeight="1">
      <c r="A18" s="27">
        <v>46040.0</v>
      </c>
      <c r="B18" s="34" t="str">
        <f t="array" ref="B18">TEXT(A18, "MM-YYYY")</f>
        <v>01-2026</v>
      </c>
      <c r="C18" s="39" t="s">
        <v>454</v>
      </c>
      <c r="D18" s="36" t="s">
        <v>210</v>
      </c>
      <c r="E18" s="36" t="s">
        <v>213</v>
      </c>
      <c r="F18" s="29" t="b">
        <v>1</v>
      </c>
      <c r="G18" s="49"/>
      <c r="H18" s="49"/>
      <c r="I18" s="33"/>
      <c r="J18" s="33"/>
      <c r="K18" s="37" t="s">
        <v>366</v>
      </c>
      <c r="L18" s="37" t="s">
        <v>455</v>
      </c>
      <c r="M18" s="37" t="s">
        <v>440</v>
      </c>
      <c r="N18" s="37" t="s">
        <v>431</v>
      </c>
      <c r="O18" s="37" t="s">
        <v>263</v>
      </c>
      <c r="P18" s="37" t="s">
        <v>264</v>
      </c>
      <c r="Q18" s="41">
        <v>46267.0</v>
      </c>
      <c r="R18" s="42">
        <v>0.0</v>
      </c>
      <c r="S18" s="55"/>
      <c r="T18" s="37" t="s">
        <v>265</v>
      </c>
      <c r="U18" s="57" t="str">
        <f>IF(records_2[Type]="Room",records_2[roomNo],records_2[roomNo]&amp;"-"&amp;SUBSTITUTE(RIGHT(records_2[roomNo]&amp;records_2[Type],2),"-",""))</f>
        <v>10-1-047</v>
      </c>
      <c r="V18" s="59" t="str">
        <f t="array" ref="V18">_xlfn.XLOOKUP(records_2[ID], dAir[roomNo], dAir[roomName])</f>
        <v>PROCESS CHANGE EXIT-P</v>
      </c>
      <c r="W18" s="59" t="str">
        <f t="array" ref="W18">_xlfn.XLOOKUP(records_2[ID], dAir[roomNo], dAir[building])</f>
        <v>Building 10</v>
      </c>
      <c r="X18" s="59" t="str">
        <f t="array" ref="X18">_xlfn.XLOOKUP(records_2[ID], dAir[roomNo], dAir[floor])</f>
        <v>Floor 1</v>
      </c>
      <c r="Y18" s="57" t="str">
        <f t="array" ref="Y18">_xlfn.XLOOKUP(records_2[ID], dAir[roomNo], dAir[Class])</f>
        <v>D</v>
      </c>
      <c r="Z18" s="57">
        <f t="array" ref="Z18">_xlfn.XLOOKUP(records_2[Method]&amp;"-"&amp;records_2[Class], dAirSpec[ID], dAirSpec[Spec])</f>
        <v>100</v>
      </c>
      <c r="AA18" s="57" t="str">
        <f t="array" ref="AA18">_xlfn.XLOOKUP(records_2[Method]&amp;"-"&amp;records_2[Class], dAirSpec[ID], dAirSpec[Unit])</f>
        <v>cfu/plate</v>
      </c>
      <c r="AB18" s="62">
        <f t="array" ref="AB18">if(R18="","", if(records_2[Method]="Active Air",_xlfn.xlookup(records_2[ColonyCount]&amp;records_2[AirSampler],feller[code],feller[Vc]),records_2[ColonyCount]))</f>
        <v>0</v>
      </c>
      <c r="AC18" s="63" t="b">
        <f t="shared" si="1"/>
        <v>1</v>
      </c>
      <c r="AD18" s="61" t="b">
        <v>0</v>
      </c>
      <c r="AE18" s="32" t="s">
        <v>280</v>
      </c>
      <c r="AF18" s="46"/>
      <c r="AG18" s="46"/>
      <c r="AH18" s="46"/>
      <c r="AI18" s="46"/>
      <c r="AJ18" s="46"/>
    </row>
    <row r="19" ht="22.5" customHeight="1">
      <c r="A19" s="27">
        <v>46040.0</v>
      </c>
      <c r="B19" s="34" t="str">
        <f t="array" ref="B19">TEXT(A19, "MM-YYYY")</f>
        <v>01-2026</v>
      </c>
      <c r="C19" s="39" t="s">
        <v>461</v>
      </c>
      <c r="D19" s="36" t="s">
        <v>210</v>
      </c>
      <c r="E19" s="36" t="s">
        <v>213</v>
      </c>
      <c r="F19" s="29" t="b">
        <v>1</v>
      </c>
      <c r="G19" s="49"/>
      <c r="H19" s="49"/>
      <c r="I19" s="33"/>
      <c r="J19" s="33"/>
      <c r="K19" s="37" t="s">
        <v>326</v>
      </c>
      <c r="L19" s="37" t="s">
        <v>403</v>
      </c>
      <c r="M19" s="37" t="s">
        <v>462</v>
      </c>
      <c r="N19" s="37" t="s">
        <v>431</v>
      </c>
      <c r="O19" s="37" t="s">
        <v>263</v>
      </c>
      <c r="P19" s="37" t="s">
        <v>264</v>
      </c>
      <c r="Q19" s="41">
        <v>46267.0</v>
      </c>
      <c r="R19" s="42">
        <v>0.0</v>
      </c>
      <c r="S19" s="55"/>
      <c r="T19" s="37" t="s">
        <v>265</v>
      </c>
      <c r="U19" s="57" t="str">
        <f>IF(records_2[Type]="Room",records_2[roomNo],records_2[roomNo]&amp;"-"&amp;SUBSTITUTE(RIGHT(records_2[roomNo]&amp;records_2[Type],2),"-",""))</f>
        <v>10-1-049</v>
      </c>
      <c r="V19" s="59" t="str">
        <f t="array" ref="V19">_xlfn.XLOOKUP(records_2[ID], dAir[roomNo], dAir[roomName])</f>
        <v>AIR LOCK-P</v>
      </c>
      <c r="W19" s="59" t="str">
        <f t="array" ref="W19">_xlfn.XLOOKUP(records_2[ID], dAir[roomNo], dAir[building])</f>
        <v>Building 10</v>
      </c>
      <c r="X19" s="59" t="str">
        <f t="array" ref="X19">_xlfn.XLOOKUP(records_2[ID], dAir[roomNo], dAir[floor])</f>
        <v>Floor 1</v>
      </c>
      <c r="Y19" s="57" t="str">
        <f t="array" ref="Y19">_xlfn.XLOOKUP(records_2[ID], dAir[roomNo], dAir[Class])</f>
        <v>D</v>
      </c>
      <c r="Z19" s="57">
        <f t="array" ref="Z19">_xlfn.XLOOKUP(records_2[Method]&amp;"-"&amp;records_2[Class], dAirSpec[ID], dAirSpec[Spec])</f>
        <v>100</v>
      </c>
      <c r="AA19" s="57" t="str">
        <f t="array" ref="AA19">_xlfn.XLOOKUP(records_2[Method]&amp;"-"&amp;records_2[Class], dAirSpec[ID], dAirSpec[Unit])</f>
        <v>cfu/plate</v>
      </c>
      <c r="AB19" s="62">
        <f t="array" ref="AB19">if(R19="","", if(records_2[Method]="Active Air",_xlfn.xlookup(records_2[ColonyCount]&amp;records_2[AirSampler],feller[code],feller[Vc]),records_2[ColonyCount]))</f>
        <v>0</v>
      </c>
      <c r="AC19" s="63" t="b">
        <f t="shared" si="1"/>
        <v>1</v>
      </c>
      <c r="AD19" s="61" t="b">
        <v>0</v>
      </c>
      <c r="AE19" s="32" t="s">
        <v>280</v>
      </c>
      <c r="AF19" s="46"/>
      <c r="AG19" s="46"/>
      <c r="AH19" s="46"/>
      <c r="AI19" s="46"/>
      <c r="AJ19" s="46"/>
    </row>
    <row r="20" ht="22.5" customHeight="1">
      <c r="A20" s="27">
        <v>46040.0</v>
      </c>
      <c r="B20" s="34" t="str">
        <f t="array" ref="B20">TEXT(A20, "MM-YYYY")</f>
        <v>01-2026</v>
      </c>
      <c r="C20" s="39" t="s">
        <v>468</v>
      </c>
      <c r="D20" s="36" t="s">
        <v>210</v>
      </c>
      <c r="E20" s="36" t="s">
        <v>213</v>
      </c>
      <c r="F20" s="29" t="b">
        <v>1</v>
      </c>
      <c r="G20" s="49"/>
      <c r="H20" s="49"/>
      <c r="I20" s="33"/>
      <c r="J20" s="33"/>
      <c r="K20" s="37" t="s">
        <v>469</v>
      </c>
      <c r="L20" s="37" t="s">
        <v>439</v>
      </c>
      <c r="M20" s="37" t="s">
        <v>470</v>
      </c>
      <c r="N20" s="37" t="s">
        <v>431</v>
      </c>
      <c r="O20" s="37" t="s">
        <v>263</v>
      </c>
      <c r="P20" s="37" t="s">
        <v>264</v>
      </c>
      <c r="Q20" s="41">
        <v>46267.0</v>
      </c>
      <c r="R20" s="42">
        <v>0.0</v>
      </c>
      <c r="S20" s="55"/>
      <c r="T20" s="37" t="s">
        <v>265</v>
      </c>
      <c r="U20" s="57" t="str">
        <f>IF(records_2[Type]="Room",records_2[roomNo],records_2[roomNo]&amp;"-"&amp;SUBSTITUTE(RIGHT(records_2[roomNo]&amp;records_2[Type],2),"-",""))</f>
        <v>10-1-050</v>
      </c>
      <c r="V20" s="59" t="str">
        <f t="array" ref="V20">_xlfn.XLOOKUP(records_2[ID], dAir[roomNo], dAir[roomName])</f>
        <v>SCRAP OUT-P</v>
      </c>
      <c r="W20" s="59" t="str">
        <f t="array" ref="W20">_xlfn.XLOOKUP(records_2[ID], dAir[roomNo], dAir[building])</f>
        <v>Building 10</v>
      </c>
      <c r="X20" s="59" t="str">
        <f t="array" ref="X20">_xlfn.XLOOKUP(records_2[ID], dAir[roomNo], dAir[floor])</f>
        <v>Floor 1</v>
      </c>
      <c r="Y20" s="57" t="str">
        <f t="array" ref="Y20">_xlfn.XLOOKUP(records_2[ID], dAir[roomNo], dAir[Class])</f>
        <v>D</v>
      </c>
      <c r="Z20" s="57">
        <f t="array" ref="Z20">_xlfn.XLOOKUP(records_2[Method]&amp;"-"&amp;records_2[Class], dAirSpec[ID], dAirSpec[Spec])</f>
        <v>100</v>
      </c>
      <c r="AA20" s="57" t="str">
        <f t="array" ref="AA20">_xlfn.XLOOKUP(records_2[Method]&amp;"-"&amp;records_2[Class], dAirSpec[ID], dAirSpec[Unit])</f>
        <v>cfu/plate</v>
      </c>
      <c r="AB20" s="62">
        <f t="array" ref="AB20">if(R20="","", if(records_2[Method]="Active Air",_xlfn.xlookup(records_2[ColonyCount]&amp;records_2[AirSampler],feller[code],feller[Vc]),records_2[ColonyCount]))</f>
        <v>0</v>
      </c>
      <c r="AC20" s="63" t="b">
        <f t="shared" si="1"/>
        <v>1</v>
      </c>
      <c r="AD20" s="61" t="b">
        <v>0</v>
      </c>
      <c r="AE20" s="32" t="s">
        <v>280</v>
      </c>
      <c r="AF20" s="46"/>
      <c r="AG20" s="46"/>
      <c r="AH20" s="46"/>
      <c r="AI20" s="46"/>
      <c r="AJ20" s="46"/>
    </row>
    <row r="21" ht="22.5" customHeight="1">
      <c r="A21" s="27">
        <v>46040.0</v>
      </c>
      <c r="B21" s="34" t="str">
        <f t="array" ref="B21">TEXT(A21, "MM-YYYY")</f>
        <v>01-2026</v>
      </c>
      <c r="C21" s="39" t="s">
        <v>476</v>
      </c>
      <c r="D21" s="36" t="s">
        <v>210</v>
      </c>
      <c r="E21" s="36" t="s">
        <v>213</v>
      </c>
      <c r="F21" s="29" t="b">
        <v>1</v>
      </c>
      <c r="G21" s="49"/>
      <c r="H21" s="49"/>
      <c r="I21" s="33"/>
      <c r="J21" s="33"/>
      <c r="K21" s="37" t="s">
        <v>469</v>
      </c>
      <c r="L21" s="37" t="s">
        <v>477</v>
      </c>
      <c r="M21" s="37" t="s">
        <v>462</v>
      </c>
      <c r="N21" s="37" t="s">
        <v>478</v>
      </c>
      <c r="O21" s="37" t="s">
        <v>263</v>
      </c>
      <c r="P21" s="37" t="s">
        <v>264</v>
      </c>
      <c r="Q21" s="41">
        <v>46267.0</v>
      </c>
      <c r="R21" s="42">
        <v>0.0</v>
      </c>
      <c r="S21" s="55"/>
      <c r="T21" s="37" t="s">
        <v>265</v>
      </c>
      <c r="U21" s="57" t="str">
        <f>IF(records_2[Type]="Room",records_2[roomNo],records_2[roomNo]&amp;"-"&amp;SUBSTITUTE(RIGHT(records_2[roomNo]&amp;records_2[Type],2),"-",""))</f>
        <v>10-1-051</v>
      </c>
      <c r="V21" s="59" t="str">
        <f t="array" ref="V21">_xlfn.XLOOKUP(records_2[ID], dAir[roomNo], dAir[roomName])</f>
        <v>MAL-P</v>
      </c>
      <c r="W21" s="59" t="str">
        <f t="array" ref="W21">_xlfn.XLOOKUP(records_2[ID], dAir[roomNo], dAir[building])</f>
        <v>Building 10</v>
      </c>
      <c r="X21" s="59" t="str">
        <f t="array" ref="X21">_xlfn.XLOOKUP(records_2[ID], dAir[roomNo], dAir[floor])</f>
        <v>Floor 1</v>
      </c>
      <c r="Y21" s="57" t="str">
        <f t="array" ref="Y21">_xlfn.XLOOKUP(records_2[ID], dAir[roomNo], dAir[Class])</f>
        <v>D</v>
      </c>
      <c r="Z21" s="57">
        <f t="array" ref="Z21">_xlfn.XLOOKUP(records_2[Method]&amp;"-"&amp;records_2[Class], dAirSpec[ID], dAirSpec[Spec])</f>
        <v>100</v>
      </c>
      <c r="AA21" s="57" t="str">
        <f t="array" ref="AA21">_xlfn.XLOOKUP(records_2[Method]&amp;"-"&amp;records_2[Class], dAirSpec[ID], dAirSpec[Unit])</f>
        <v>cfu/plate</v>
      </c>
      <c r="AB21" s="62">
        <f t="array" ref="AB21">if(R21="","", if(records_2[Method]="Active Air",_xlfn.xlookup(records_2[ColonyCount]&amp;records_2[AirSampler],feller[code],feller[Vc]),records_2[ColonyCount]))</f>
        <v>0</v>
      </c>
      <c r="AC21" s="63" t="b">
        <f t="shared" si="1"/>
        <v>1</v>
      </c>
      <c r="AD21" s="61" t="b">
        <v>0</v>
      </c>
      <c r="AE21" s="32" t="s">
        <v>280</v>
      </c>
      <c r="AF21" s="46"/>
      <c r="AG21" s="46"/>
      <c r="AH21" s="46"/>
      <c r="AI21" s="46"/>
      <c r="AJ21" s="46"/>
    </row>
    <row r="22" ht="22.5" customHeight="1">
      <c r="A22" s="27">
        <v>46040.0</v>
      </c>
      <c r="B22" s="34" t="str">
        <f t="array" ref="B22">TEXT(A22, "MM-YYYY")</f>
        <v>01-2026</v>
      </c>
      <c r="C22" s="39" t="s">
        <v>482</v>
      </c>
      <c r="D22" s="36" t="s">
        <v>210</v>
      </c>
      <c r="E22" s="36" t="s">
        <v>213</v>
      </c>
      <c r="F22" s="29" t="b">
        <v>1</v>
      </c>
      <c r="G22" s="49"/>
      <c r="H22" s="49"/>
      <c r="I22" s="33"/>
      <c r="J22" s="33"/>
      <c r="K22" s="37" t="s">
        <v>484</v>
      </c>
      <c r="L22" s="37" t="s">
        <v>485</v>
      </c>
      <c r="M22" s="37" t="s">
        <v>470</v>
      </c>
      <c r="N22" s="37" t="s">
        <v>431</v>
      </c>
      <c r="O22" s="37" t="s">
        <v>263</v>
      </c>
      <c r="P22" s="37" t="s">
        <v>264</v>
      </c>
      <c r="Q22" s="41">
        <v>46267.0</v>
      </c>
      <c r="R22" s="42">
        <v>0.0</v>
      </c>
      <c r="S22" s="55"/>
      <c r="T22" s="37" t="s">
        <v>265</v>
      </c>
      <c r="U22" s="57" t="str">
        <f>IF(records_2[Type]="Room",records_2[roomNo],records_2[roomNo]&amp;"-"&amp;SUBSTITUTE(RIGHT(records_2[roomNo]&amp;records_2[Type],2),"-",""))</f>
        <v>10-1-052</v>
      </c>
      <c r="V22" s="59" t="str">
        <f t="array" ref="V22">_xlfn.XLOOKUP(records_2[ID], dAir[roomNo], dAir[roomName])</f>
        <v>CORRIDOR-P</v>
      </c>
      <c r="W22" s="59" t="str">
        <f t="array" ref="W22">_xlfn.XLOOKUP(records_2[ID], dAir[roomNo], dAir[building])</f>
        <v>Building 10</v>
      </c>
      <c r="X22" s="59" t="str">
        <f t="array" ref="X22">_xlfn.XLOOKUP(records_2[ID], dAir[roomNo], dAir[floor])</f>
        <v>Floor 1</v>
      </c>
      <c r="Y22" s="57" t="str">
        <f t="array" ref="Y22">_xlfn.XLOOKUP(records_2[ID], dAir[roomNo], dAir[Class])</f>
        <v>D</v>
      </c>
      <c r="Z22" s="57">
        <f t="array" ref="Z22">_xlfn.XLOOKUP(records_2[Method]&amp;"-"&amp;records_2[Class], dAirSpec[ID], dAirSpec[Spec])</f>
        <v>100</v>
      </c>
      <c r="AA22" s="57" t="str">
        <f t="array" ref="AA22">_xlfn.XLOOKUP(records_2[Method]&amp;"-"&amp;records_2[Class], dAirSpec[ID], dAirSpec[Unit])</f>
        <v>cfu/plate</v>
      </c>
      <c r="AB22" s="62">
        <f t="array" ref="AB22">if(R22="","", if(records_2[Method]="Active Air",_xlfn.xlookup(records_2[ColonyCount]&amp;records_2[AirSampler],feller[code],feller[Vc]),records_2[ColonyCount]))</f>
        <v>0</v>
      </c>
      <c r="AC22" s="63" t="b">
        <f t="shared" si="1"/>
        <v>1</v>
      </c>
      <c r="AD22" s="61" t="b">
        <v>0</v>
      </c>
      <c r="AE22" s="32" t="s">
        <v>280</v>
      </c>
      <c r="AF22" s="46"/>
      <c r="AG22" s="46"/>
      <c r="AH22" s="46"/>
      <c r="AI22" s="46"/>
      <c r="AJ22" s="46"/>
    </row>
    <row r="23" ht="22.5" customHeight="1">
      <c r="A23" s="27">
        <v>46040.0</v>
      </c>
      <c r="B23" s="34" t="str">
        <f t="array" ref="B23">TEXT(A23, "MM-YYYY")</f>
        <v>01-2026</v>
      </c>
      <c r="C23" s="39" t="s">
        <v>489</v>
      </c>
      <c r="D23" s="36" t="s">
        <v>210</v>
      </c>
      <c r="E23" s="36" t="s">
        <v>213</v>
      </c>
      <c r="F23" s="29" t="b">
        <v>1</v>
      </c>
      <c r="G23" s="49"/>
      <c r="H23" s="49"/>
      <c r="I23" s="33"/>
      <c r="J23" s="33"/>
      <c r="K23" s="37" t="s">
        <v>366</v>
      </c>
      <c r="L23" s="37" t="s">
        <v>490</v>
      </c>
      <c r="M23" s="37" t="s">
        <v>470</v>
      </c>
      <c r="N23" s="37" t="s">
        <v>478</v>
      </c>
      <c r="O23" s="37" t="s">
        <v>263</v>
      </c>
      <c r="P23" s="37" t="s">
        <v>264</v>
      </c>
      <c r="Q23" s="41">
        <v>46267.0</v>
      </c>
      <c r="R23" s="42">
        <v>0.0</v>
      </c>
      <c r="S23" s="55"/>
      <c r="T23" s="37" t="s">
        <v>265</v>
      </c>
      <c r="U23" s="57" t="str">
        <f>IF(records_2[Type]="Room",records_2[roomNo],records_2[roomNo]&amp;"-"&amp;SUBSTITUTE(RIGHT(records_2[roomNo]&amp;records_2[Type],2),"-",""))</f>
        <v>10-1-053</v>
      </c>
      <c r="V23" s="59" t="str">
        <f t="array" ref="V23">_xlfn.XLOOKUP(records_2[ID], dAir[roomNo], dAir[roomName])</f>
        <v>OFFICE-P</v>
      </c>
      <c r="W23" s="59" t="str">
        <f t="array" ref="W23">_xlfn.XLOOKUP(records_2[ID], dAir[roomNo], dAir[building])</f>
        <v>Building 10</v>
      </c>
      <c r="X23" s="59" t="str">
        <f t="array" ref="X23">_xlfn.XLOOKUP(records_2[ID], dAir[roomNo], dAir[floor])</f>
        <v>Floor 1</v>
      </c>
      <c r="Y23" s="57" t="str">
        <f t="array" ref="Y23">_xlfn.XLOOKUP(records_2[ID], dAir[roomNo], dAir[Class])</f>
        <v>D</v>
      </c>
      <c r="Z23" s="57">
        <f t="array" ref="Z23">_xlfn.XLOOKUP(records_2[Method]&amp;"-"&amp;records_2[Class], dAirSpec[ID], dAirSpec[Spec])</f>
        <v>100</v>
      </c>
      <c r="AA23" s="57" t="str">
        <f t="array" ref="AA23">_xlfn.XLOOKUP(records_2[Method]&amp;"-"&amp;records_2[Class], dAirSpec[ID], dAirSpec[Unit])</f>
        <v>cfu/plate</v>
      </c>
      <c r="AB23" s="62">
        <f t="array" ref="AB23">if(R23="","", if(records_2[Method]="Active Air",_xlfn.xlookup(records_2[ColonyCount]&amp;records_2[AirSampler],feller[code],feller[Vc]),records_2[ColonyCount]))</f>
        <v>0</v>
      </c>
      <c r="AC23" s="63" t="b">
        <f t="shared" si="1"/>
        <v>1</v>
      </c>
      <c r="AD23" s="61" t="b">
        <v>0</v>
      </c>
      <c r="AE23" s="32" t="s">
        <v>280</v>
      </c>
      <c r="AF23" s="46"/>
      <c r="AG23" s="46"/>
      <c r="AH23" s="46"/>
      <c r="AI23" s="46"/>
      <c r="AJ23" s="46"/>
    </row>
    <row r="24" ht="22.5" customHeight="1">
      <c r="A24" s="27">
        <v>46040.0</v>
      </c>
      <c r="B24" s="34" t="str">
        <f t="array" ref="B24">TEXT(A24, "MM-YYYY")</f>
        <v>01-2026</v>
      </c>
      <c r="C24" s="39" t="s">
        <v>502</v>
      </c>
      <c r="D24" s="36" t="s">
        <v>210</v>
      </c>
      <c r="E24" s="36" t="s">
        <v>213</v>
      </c>
      <c r="F24" s="29" t="b">
        <v>1</v>
      </c>
      <c r="G24" s="49"/>
      <c r="H24" s="49"/>
      <c r="I24" s="33"/>
      <c r="J24" s="33"/>
      <c r="K24" s="37" t="s">
        <v>292</v>
      </c>
      <c r="L24" s="37" t="s">
        <v>503</v>
      </c>
      <c r="M24" s="37" t="s">
        <v>470</v>
      </c>
      <c r="N24" s="37" t="s">
        <v>504</v>
      </c>
      <c r="O24" s="37" t="s">
        <v>263</v>
      </c>
      <c r="P24" s="37" t="s">
        <v>264</v>
      </c>
      <c r="Q24" s="41">
        <v>46267.0</v>
      </c>
      <c r="R24" s="42">
        <v>1.0</v>
      </c>
      <c r="S24" s="55"/>
      <c r="T24" s="37" t="s">
        <v>265</v>
      </c>
      <c r="U24" s="57" t="str">
        <f>IF(records_2[Type]="Room",records_2[roomNo],records_2[roomNo]&amp;"-"&amp;SUBSTITUTE(RIGHT(records_2[roomNo]&amp;records_2[Type],2),"-",""))</f>
        <v>10-1-054</v>
      </c>
      <c r="V24" s="59" t="str">
        <f t="array" ref="V24">_xlfn.XLOOKUP(records_2[ID], dAir[roomNo], dAir[roomName])</f>
        <v>IPQC-P</v>
      </c>
      <c r="W24" s="59" t="str">
        <f t="array" ref="W24">_xlfn.XLOOKUP(records_2[ID], dAir[roomNo], dAir[building])</f>
        <v>Building 10</v>
      </c>
      <c r="X24" s="59" t="str">
        <f t="array" ref="X24">_xlfn.XLOOKUP(records_2[ID], dAir[roomNo], dAir[floor])</f>
        <v>Floor 1</v>
      </c>
      <c r="Y24" s="57" t="str">
        <f t="array" ref="Y24">_xlfn.XLOOKUP(records_2[ID], dAir[roomNo], dAir[Class])</f>
        <v>D</v>
      </c>
      <c r="Z24" s="57">
        <f t="array" ref="Z24">_xlfn.XLOOKUP(records_2[Method]&amp;"-"&amp;records_2[Class], dAirSpec[ID], dAirSpec[Spec])</f>
        <v>100</v>
      </c>
      <c r="AA24" s="57" t="str">
        <f t="array" ref="AA24">_xlfn.XLOOKUP(records_2[Method]&amp;"-"&amp;records_2[Class], dAirSpec[ID], dAirSpec[Unit])</f>
        <v>cfu/plate</v>
      </c>
      <c r="AB24" s="62">
        <f t="array" ref="AB24">if(R24="","", if(records_2[Method]="Active Air",_xlfn.xlookup(records_2[ColonyCount]&amp;records_2[AirSampler],feller[code],feller[Vc]),records_2[ColonyCount]))</f>
        <v>1</v>
      </c>
      <c r="AC24" s="63" t="b">
        <f t="shared" si="1"/>
        <v>1</v>
      </c>
      <c r="AD24" s="61" t="b">
        <v>0</v>
      </c>
      <c r="AE24" s="32" t="s">
        <v>280</v>
      </c>
      <c r="AF24" s="46"/>
      <c r="AG24" s="46"/>
      <c r="AH24" s="46"/>
      <c r="AI24" s="46"/>
      <c r="AJ24" s="46"/>
    </row>
    <row r="25" ht="22.5" customHeight="1">
      <c r="A25" s="27">
        <v>46040.0</v>
      </c>
      <c r="B25" s="34" t="str">
        <f t="array" ref="B25">TEXT(A25, "MM-YYYY")</f>
        <v>01-2026</v>
      </c>
      <c r="C25" s="39" t="s">
        <v>512</v>
      </c>
      <c r="D25" s="36" t="s">
        <v>210</v>
      </c>
      <c r="E25" s="36" t="s">
        <v>213</v>
      </c>
      <c r="F25" s="29" t="b">
        <v>1</v>
      </c>
      <c r="G25" s="49"/>
      <c r="H25" s="49"/>
      <c r="I25" s="33"/>
      <c r="J25" s="33"/>
      <c r="K25" s="37" t="s">
        <v>513</v>
      </c>
      <c r="L25" s="37" t="s">
        <v>514</v>
      </c>
      <c r="M25" s="37" t="s">
        <v>515</v>
      </c>
      <c r="N25" s="37" t="s">
        <v>516</v>
      </c>
      <c r="O25" s="37" t="s">
        <v>263</v>
      </c>
      <c r="P25" s="37" t="s">
        <v>264</v>
      </c>
      <c r="Q25" s="41">
        <v>46267.0</v>
      </c>
      <c r="R25" s="42">
        <v>0.0</v>
      </c>
      <c r="S25" s="55"/>
      <c r="T25" s="37" t="s">
        <v>265</v>
      </c>
      <c r="U25" s="57" t="str">
        <f>IF(records_2[Type]="Room",records_2[roomNo],records_2[roomNo]&amp;"-"&amp;SUBSTITUTE(RIGHT(records_2[roomNo]&amp;records_2[Type],2),"-",""))</f>
        <v>10-1-055</v>
      </c>
      <c r="V25" s="59" t="str">
        <f t="array" ref="V25">_xlfn.XLOOKUP(records_2[ID], dAir[roomNo], dAir[roomName])</f>
        <v>USED EQUIPMENT-P</v>
      </c>
      <c r="W25" s="59" t="str">
        <f t="array" ref="W25">_xlfn.XLOOKUP(records_2[ID], dAir[roomNo], dAir[building])</f>
        <v>Building 10</v>
      </c>
      <c r="X25" s="59" t="str">
        <f t="array" ref="X25">_xlfn.XLOOKUP(records_2[ID], dAir[roomNo], dAir[floor])</f>
        <v>Floor 1</v>
      </c>
      <c r="Y25" s="57" t="str">
        <f t="array" ref="Y25">_xlfn.XLOOKUP(records_2[ID], dAir[roomNo], dAir[Class])</f>
        <v>D</v>
      </c>
      <c r="Z25" s="57">
        <f t="array" ref="Z25">_xlfn.XLOOKUP(records_2[Method]&amp;"-"&amp;records_2[Class], dAirSpec[ID], dAirSpec[Spec])</f>
        <v>100</v>
      </c>
      <c r="AA25" s="57" t="str">
        <f t="array" ref="AA25">_xlfn.XLOOKUP(records_2[Method]&amp;"-"&amp;records_2[Class], dAirSpec[ID], dAirSpec[Unit])</f>
        <v>cfu/plate</v>
      </c>
      <c r="AB25" s="62">
        <f t="array" ref="AB25">if(R25="","", if(records_2[Method]="Active Air",_xlfn.xlookup(records_2[ColonyCount]&amp;records_2[AirSampler],feller[code],feller[Vc]),records_2[ColonyCount]))</f>
        <v>0</v>
      </c>
      <c r="AC25" s="63" t="b">
        <f t="shared" si="1"/>
        <v>1</v>
      </c>
      <c r="AD25" s="61" t="b">
        <v>0</v>
      </c>
      <c r="AE25" s="32" t="s">
        <v>280</v>
      </c>
      <c r="AF25" s="46"/>
      <c r="AG25" s="46"/>
      <c r="AH25" s="46"/>
      <c r="AI25" s="46"/>
      <c r="AJ25" s="46"/>
    </row>
    <row r="26" ht="22.5" customHeight="1">
      <c r="A26" s="27">
        <v>46040.0</v>
      </c>
      <c r="B26" s="34" t="str">
        <f t="array" ref="B26">TEXT(A26, "MM-YYYY")</f>
        <v>01-2026</v>
      </c>
      <c r="C26" s="39" t="s">
        <v>521</v>
      </c>
      <c r="D26" s="36" t="s">
        <v>210</v>
      </c>
      <c r="E26" s="36" t="s">
        <v>213</v>
      </c>
      <c r="F26" s="29" t="b">
        <v>1</v>
      </c>
      <c r="G26" s="49"/>
      <c r="H26" s="49"/>
      <c r="I26" s="33"/>
      <c r="J26" s="33"/>
      <c r="K26" s="37" t="s">
        <v>292</v>
      </c>
      <c r="L26" s="37" t="s">
        <v>522</v>
      </c>
      <c r="M26" s="37" t="s">
        <v>523</v>
      </c>
      <c r="N26" s="37" t="s">
        <v>478</v>
      </c>
      <c r="O26" s="37" t="s">
        <v>263</v>
      </c>
      <c r="P26" s="37" t="s">
        <v>264</v>
      </c>
      <c r="Q26" s="41">
        <v>46267.0</v>
      </c>
      <c r="R26" s="42">
        <v>0.0</v>
      </c>
      <c r="S26" s="55"/>
      <c r="T26" s="37" t="s">
        <v>265</v>
      </c>
      <c r="U26" s="57" t="str">
        <f>IF(records_2[Type]="Room",records_2[roomNo],records_2[roomNo]&amp;"-"&amp;SUBSTITUTE(RIGHT(records_2[roomNo]&amp;records_2[Type],2),"-",""))</f>
        <v>10-1-056</v>
      </c>
      <c r="V26" s="59" t="str">
        <f t="array" ref="V26">_xlfn.XLOOKUP(records_2[ID], dAir[roomNo], dAir[roomName])</f>
        <v>PPM STAGING-P</v>
      </c>
      <c r="W26" s="59" t="str">
        <f t="array" ref="W26">_xlfn.XLOOKUP(records_2[ID], dAir[roomNo], dAir[building])</f>
        <v>Building 10</v>
      </c>
      <c r="X26" s="59" t="str">
        <f t="array" ref="X26">_xlfn.XLOOKUP(records_2[ID], dAir[roomNo], dAir[floor])</f>
        <v>Floor 1</v>
      </c>
      <c r="Y26" s="57" t="str">
        <f t="array" ref="Y26">_xlfn.XLOOKUP(records_2[ID], dAir[roomNo], dAir[Class])</f>
        <v>D</v>
      </c>
      <c r="Z26" s="57">
        <f t="array" ref="Z26">_xlfn.XLOOKUP(records_2[Method]&amp;"-"&amp;records_2[Class], dAirSpec[ID], dAirSpec[Spec])</f>
        <v>100</v>
      </c>
      <c r="AA26" s="57" t="str">
        <f t="array" ref="AA26">_xlfn.XLOOKUP(records_2[Method]&amp;"-"&amp;records_2[Class], dAirSpec[ID], dAirSpec[Unit])</f>
        <v>cfu/plate</v>
      </c>
      <c r="AB26" s="62">
        <f t="array" ref="AB26">if(R26="","", if(records_2[Method]="Active Air",_xlfn.xlookup(records_2[ColonyCount]&amp;records_2[AirSampler],feller[code],feller[Vc]),records_2[ColonyCount]))</f>
        <v>0</v>
      </c>
      <c r="AC26" s="63" t="b">
        <f t="shared" si="1"/>
        <v>1</v>
      </c>
      <c r="AD26" s="61" t="b">
        <v>0</v>
      </c>
      <c r="AE26" s="32" t="s">
        <v>280</v>
      </c>
      <c r="AF26" s="46"/>
      <c r="AG26" s="46"/>
      <c r="AH26" s="46"/>
      <c r="AI26" s="46"/>
      <c r="AJ26" s="46"/>
    </row>
    <row r="27" ht="22.5" customHeight="1">
      <c r="A27" s="27">
        <v>46040.0</v>
      </c>
      <c r="B27" s="34" t="str">
        <f t="array" ref="B27">TEXT(A27, "MM-YYYY")</f>
        <v>01-2026</v>
      </c>
      <c r="C27" s="39" t="s">
        <v>529</v>
      </c>
      <c r="D27" s="36" t="s">
        <v>210</v>
      </c>
      <c r="E27" s="36" t="s">
        <v>213</v>
      </c>
      <c r="F27" s="29" t="b">
        <v>1</v>
      </c>
      <c r="G27" s="49"/>
      <c r="H27" s="49"/>
      <c r="I27" s="33"/>
      <c r="J27" s="33"/>
      <c r="K27" s="37" t="s">
        <v>428</v>
      </c>
      <c r="L27" s="37" t="s">
        <v>532</v>
      </c>
      <c r="M27" s="37" t="s">
        <v>515</v>
      </c>
      <c r="N27" s="37" t="s">
        <v>516</v>
      </c>
      <c r="O27" s="37" t="s">
        <v>263</v>
      </c>
      <c r="P27" s="37" t="s">
        <v>264</v>
      </c>
      <c r="Q27" s="41">
        <v>46267.0</v>
      </c>
      <c r="R27" s="42">
        <v>14.0</v>
      </c>
      <c r="S27" s="55"/>
      <c r="T27" s="37" t="s">
        <v>265</v>
      </c>
      <c r="U27" s="57" t="str">
        <f>IF(records_2[Type]="Room",records_2[roomNo],records_2[roomNo]&amp;"-"&amp;SUBSTITUTE(RIGHT(records_2[roomNo]&amp;records_2[Type],2),"-",""))</f>
        <v>10-1-057</v>
      </c>
      <c r="V27" s="59" t="str">
        <f t="array" ref="V27">_xlfn.XLOOKUP(records_2[ID], dAir[roomNo], dAir[roomName])</f>
        <v>WASHING-P</v>
      </c>
      <c r="W27" s="59" t="str">
        <f t="array" ref="W27">_xlfn.XLOOKUP(records_2[ID], dAir[roomNo], dAir[building])</f>
        <v>Building 10</v>
      </c>
      <c r="X27" s="59" t="str">
        <f t="array" ref="X27">_xlfn.XLOOKUP(records_2[ID], dAir[roomNo], dAir[floor])</f>
        <v>Floor 1</v>
      </c>
      <c r="Y27" s="57" t="str">
        <f t="array" ref="Y27">_xlfn.XLOOKUP(records_2[ID], dAir[roomNo], dAir[Class])</f>
        <v>D</v>
      </c>
      <c r="Z27" s="57">
        <f t="array" ref="Z27">_xlfn.XLOOKUP(records_2[Method]&amp;"-"&amp;records_2[Class], dAirSpec[ID], dAirSpec[Spec])</f>
        <v>100</v>
      </c>
      <c r="AA27" s="57" t="str">
        <f t="array" ref="AA27">_xlfn.XLOOKUP(records_2[Method]&amp;"-"&amp;records_2[Class], dAirSpec[ID], dAirSpec[Unit])</f>
        <v>cfu/plate</v>
      </c>
      <c r="AB27" s="62">
        <f t="array" ref="AB27">if(R27="","", if(records_2[Method]="Active Air",_xlfn.xlookup(records_2[ColonyCount]&amp;records_2[AirSampler],feller[code],feller[Vc]),records_2[ColonyCount]))</f>
        <v>14</v>
      </c>
      <c r="AC27" s="63" t="b">
        <f t="shared" si="1"/>
        <v>1</v>
      </c>
      <c r="AD27" s="61" t="b">
        <v>0</v>
      </c>
      <c r="AE27" s="32" t="s">
        <v>280</v>
      </c>
      <c r="AF27" s="46"/>
      <c r="AG27" s="46"/>
      <c r="AH27" s="46"/>
      <c r="AI27" s="46"/>
      <c r="AJ27" s="46"/>
    </row>
    <row r="28" ht="22.5" customHeight="1">
      <c r="A28" s="27">
        <v>46040.0</v>
      </c>
      <c r="B28" s="34" t="str">
        <f t="array" ref="B28">TEXT(A28, "MM-YYYY")</f>
        <v>01-2026</v>
      </c>
      <c r="C28" s="39" t="s">
        <v>542</v>
      </c>
      <c r="D28" s="36" t="s">
        <v>210</v>
      </c>
      <c r="E28" s="36" t="s">
        <v>213</v>
      </c>
      <c r="F28" s="29" t="b">
        <v>1</v>
      </c>
      <c r="G28" s="49"/>
      <c r="H28" s="49"/>
      <c r="I28" s="33"/>
      <c r="J28" s="33"/>
      <c r="K28" s="37" t="s">
        <v>366</v>
      </c>
      <c r="L28" s="37" t="s">
        <v>532</v>
      </c>
      <c r="M28" s="37" t="s">
        <v>544</v>
      </c>
      <c r="N28" s="37" t="s">
        <v>516</v>
      </c>
      <c r="O28" s="37" t="s">
        <v>263</v>
      </c>
      <c r="P28" s="37" t="s">
        <v>264</v>
      </c>
      <c r="Q28" s="41">
        <v>46267.0</v>
      </c>
      <c r="R28" s="42">
        <v>0.0</v>
      </c>
      <c r="S28" s="55"/>
      <c r="T28" s="37" t="s">
        <v>265</v>
      </c>
      <c r="U28" s="57" t="str">
        <f>IF(records_2[Type]="Room",records_2[roomNo],records_2[roomNo]&amp;"-"&amp;SUBSTITUTE(RIGHT(records_2[roomNo]&amp;records_2[Type],2),"-",""))</f>
        <v>10-1-058</v>
      </c>
      <c r="V28" s="59" t="str">
        <f t="array" ref="V28">_xlfn.XLOOKUP(records_2[ID], dAir[roomNo], dAir[roomName])</f>
        <v>JANITOR-P</v>
      </c>
      <c r="W28" s="59" t="str">
        <f t="array" ref="W28">_xlfn.XLOOKUP(records_2[ID], dAir[roomNo], dAir[building])</f>
        <v>Building 10</v>
      </c>
      <c r="X28" s="59" t="str">
        <f t="array" ref="X28">_xlfn.XLOOKUP(records_2[ID], dAir[roomNo], dAir[floor])</f>
        <v>Floor 1</v>
      </c>
      <c r="Y28" s="57" t="str">
        <f t="array" ref="Y28">_xlfn.XLOOKUP(records_2[ID], dAir[roomNo], dAir[Class])</f>
        <v>D</v>
      </c>
      <c r="Z28" s="57">
        <f t="array" ref="Z28">_xlfn.XLOOKUP(records_2[Method]&amp;"-"&amp;records_2[Class], dAirSpec[ID], dAirSpec[Spec])</f>
        <v>100</v>
      </c>
      <c r="AA28" s="57" t="str">
        <f t="array" ref="AA28">_xlfn.XLOOKUP(records_2[Method]&amp;"-"&amp;records_2[Class], dAirSpec[ID], dAirSpec[Unit])</f>
        <v>cfu/plate</v>
      </c>
      <c r="AB28" s="62">
        <f t="array" ref="AB28">if(R28="","", if(records_2[Method]="Active Air",_xlfn.xlookup(records_2[ColonyCount]&amp;records_2[AirSampler],feller[code],feller[Vc]),records_2[ColonyCount]))</f>
        <v>0</v>
      </c>
      <c r="AC28" s="63" t="b">
        <f t="shared" si="1"/>
        <v>1</v>
      </c>
      <c r="AD28" s="61" t="b">
        <v>0</v>
      </c>
      <c r="AE28" s="32" t="s">
        <v>280</v>
      </c>
      <c r="AF28" s="46"/>
      <c r="AG28" s="46"/>
      <c r="AH28" s="46"/>
      <c r="AI28" s="46"/>
      <c r="AJ28" s="46"/>
    </row>
    <row r="29" ht="22.5" customHeight="1">
      <c r="A29" s="27">
        <v>46040.0</v>
      </c>
      <c r="B29" s="34" t="str">
        <f t="array" ref="B29">TEXT(A29, "MM-YYYY")</f>
        <v>01-2026</v>
      </c>
      <c r="C29" s="39" t="s">
        <v>549</v>
      </c>
      <c r="D29" s="36" t="s">
        <v>210</v>
      </c>
      <c r="E29" s="36" t="s">
        <v>213</v>
      </c>
      <c r="F29" s="29" t="b">
        <v>1</v>
      </c>
      <c r="G29" s="49"/>
      <c r="H29" s="49"/>
      <c r="I29" s="33"/>
      <c r="J29" s="33"/>
      <c r="K29" s="37" t="s">
        <v>550</v>
      </c>
      <c r="L29" s="37" t="s">
        <v>551</v>
      </c>
      <c r="M29" s="37" t="s">
        <v>523</v>
      </c>
      <c r="N29" s="37" t="s">
        <v>504</v>
      </c>
      <c r="O29" s="37" t="s">
        <v>263</v>
      </c>
      <c r="P29" s="37" t="s">
        <v>264</v>
      </c>
      <c r="Q29" s="41">
        <v>46267.0</v>
      </c>
      <c r="R29" s="42">
        <v>0.0</v>
      </c>
      <c r="S29" s="55"/>
      <c r="T29" s="37" t="s">
        <v>265</v>
      </c>
      <c r="U29" s="57" t="str">
        <f>IF(records_2[Type]="Room",records_2[roomNo],records_2[roomNo]&amp;"-"&amp;SUBSTITUTE(RIGHT(records_2[roomNo]&amp;records_2[Type],2),"-",""))</f>
        <v>10-1-059</v>
      </c>
      <c r="V29" s="59" t="str">
        <f t="array" ref="V29">_xlfn.XLOOKUP(records_2[ID], dAir[roomNo], dAir[roomName])</f>
        <v>CORRIDOR-P</v>
      </c>
      <c r="W29" s="59" t="str">
        <f t="array" ref="W29">_xlfn.XLOOKUP(records_2[ID], dAir[roomNo], dAir[building])</f>
        <v>Building 10</v>
      </c>
      <c r="X29" s="59" t="str">
        <f t="array" ref="X29">_xlfn.XLOOKUP(records_2[ID], dAir[roomNo], dAir[floor])</f>
        <v>Floor 1</v>
      </c>
      <c r="Y29" s="57" t="str">
        <f t="array" ref="Y29">_xlfn.XLOOKUP(records_2[ID], dAir[roomNo], dAir[Class])</f>
        <v>D</v>
      </c>
      <c r="Z29" s="57">
        <f t="array" ref="Z29">_xlfn.XLOOKUP(records_2[Method]&amp;"-"&amp;records_2[Class], dAirSpec[ID], dAirSpec[Spec])</f>
        <v>100</v>
      </c>
      <c r="AA29" s="57" t="str">
        <f t="array" ref="AA29">_xlfn.XLOOKUP(records_2[Method]&amp;"-"&amp;records_2[Class], dAirSpec[ID], dAirSpec[Unit])</f>
        <v>cfu/plate</v>
      </c>
      <c r="AB29" s="62">
        <f t="array" ref="AB29">if(R29="","", if(records_2[Method]="Active Air",_xlfn.xlookup(records_2[ColonyCount]&amp;records_2[AirSampler],feller[code],feller[Vc]),records_2[ColonyCount]))</f>
        <v>0</v>
      </c>
      <c r="AC29" s="63" t="b">
        <f t="shared" si="1"/>
        <v>1</v>
      </c>
      <c r="AD29" s="61" t="b">
        <v>0</v>
      </c>
      <c r="AE29" s="32" t="s">
        <v>280</v>
      </c>
      <c r="AF29" s="46"/>
      <c r="AG29" s="46"/>
      <c r="AH29" s="46"/>
      <c r="AI29" s="46"/>
      <c r="AJ29" s="46"/>
    </row>
    <row r="30" ht="22.5" customHeight="1">
      <c r="A30" s="27">
        <v>46040.0</v>
      </c>
      <c r="B30" s="34" t="str">
        <f t="array" ref="B30">TEXT(A30, "MM-YYYY")</f>
        <v>01-2026</v>
      </c>
      <c r="C30" s="39" t="s">
        <v>555</v>
      </c>
      <c r="D30" s="36" t="s">
        <v>210</v>
      </c>
      <c r="E30" s="36" t="s">
        <v>213</v>
      </c>
      <c r="F30" s="29" t="b">
        <v>1</v>
      </c>
      <c r="G30" s="49"/>
      <c r="H30" s="49"/>
      <c r="I30" s="33"/>
      <c r="J30" s="33"/>
      <c r="K30" s="37" t="s">
        <v>381</v>
      </c>
      <c r="L30" s="37" t="s">
        <v>557</v>
      </c>
      <c r="M30" s="37" t="s">
        <v>523</v>
      </c>
      <c r="N30" s="37" t="s">
        <v>504</v>
      </c>
      <c r="O30" s="37" t="s">
        <v>263</v>
      </c>
      <c r="P30" s="37" t="s">
        <v>264</v>
      </c>
      <c r="Q30" s="41">
        <v>46267.0</v>
      </c>
      <c r="R30" s="42">
        <v>0.0</v>
      </c>
      <c r="S30" s="55"/>
      <c r="T30" s="37" t="s">
        <v>265</v>
      </c>
      <c r="U30" s="57" t="str">
        <f>IF(records_2[Type]="Room",records_2[roomNo],records_2[roomNo]&amp;"-"&amp;SUBSTITUTE(RIGHT(records_2[roomNo]&amp;records_2[Type],2),"-",""))</f>
        <v>10-1-060</v>
      </c>
      <c r="V30" s="59" t="str">
        <f t="array" ref="V30">_xlfn.XLOOKUP(records_2[ID], dAir[roomNo], dAir[roomName])</f>
        <v>BOTTLE CLEANING-P</v>
      </c>
      <c r="W30" s="59" t="str">
        <f t="array" ref="W30">_xlfn.XLOOKUP(records_2[ID], dAir[roomNo], dAir[building])</f>
        <v>Building 10</v>
      </c>
      <c r="X30" s="59" t="str">
        <f t="array" ref="X30">_xlfn.XLOOKUP(records_2[ID], dAir[roomNo], dAir[floor])</f>
        <v>Floor 1</v>
      </c>
      <c r="Y30" s="57" t="str">
        <f t="array" ref="Y30">_xlfn.XLOOKUP(records_2[ID], dAir[roomNo], dAir[Class])</f>
        <v>D</v>
      </c>
      <c r="Z30" s="57">
        <f t="array" ref="Z30">_xlfn.XLOOKUP(records_2[Method]&amp;"-"&amp;records_2[Class], dAirSpec[ID], dAirSpec[Spec])</f>
        <v>100</v>
      </c>
      <c r="AA30" s="57" t="str">
        <f t="array" ref="AA30">_xlfn.XLOOKUP(records_2[Method]&amp;"-"&amp;records_2[Class], dAirSpec[ID], dAirSpec[Unit])</f>
        <v>cfu/plate</v>
      </c>
      <c r="AB30" s="62">
        <f t="array" ref="AB30">if(R30="","", if(records_2[Method]="Active Air",_xlfn.xlookup(records_2[ColonyCount]&amp;records_2[AirSampler],feller[code],feller[Vc]),records_2[ColonyCount]))</f>
        <v>0</v>
      </c>
      <c r="AC30" s="63" t="b">
        <f t="shared" si="1"/>
        <v>1</v>
      </c>
      <c r="AD30" s="61" t="b">
        <v>0</v>
      </c>
      <c r="AE30" s="32" t="s">
        <v>280</v>
      </c>
      <c r="AF30" s="46"/>
      <c r="AG30" s="46"/>
      <c r="AH30" s="46"/>
      <c r="AI30" s="46"/>
      <c r="AJ30" s="46"/>
    </row>
    <row r="31" ht="22.5" customHeight="1">
      <c r="A31" s="27">
        <v>46040.0</v>
      </c>
      <c r="B31" s="34" t="str">
        <f t="array" ref="B31">TEXT(A31, "MM-YYYY")</f>
        <v>01-2026</v>
      </c>
      <c r="C31" s="39" t="s">
        <v>560</v>
      </c>
      <c r="D31" s="36" t="s">
        <v>210</v>
      </c>
      <c r="E31" s="36" t="s">
        <v>213</v>
      </c>
      <c r="F31" s="29" t="b">
        <v>1</v>
      </c>
      <c r="G31" s="49"/>
      <c r="H31" s="49"/>
      <c r="I31" s="33"/>
      <c r="J31" s="33"/>
      <c r="K31" s="37" t="s">
        <v>292</v>
      </c>
      <c r="L31" s="37" t="s">
        <v>455</v>
      </c>
      <c r="M31" s="37" t="s">
        <v>544</v>
      </c>
      <c r="N31" s="37" t="s">
        <v>564</v>
      </c>
      <c r="O31" s="37" t="s">
        <v>263</v>
      </c>
      <c r="P31" s="37" t="s">
        <v>264</v>
      </c>
      <c r="Q31" s="41">
        <v>46267.0</v>
      </c>
      <c r="R31" s="42">
        <v>0.0</v>
      </c>
      <c r="S31" s="55"/>
      <c r="T31" s="37" t="s">
        <v>265</v>
      </c>
      <c r="U31" s="57" t="str">
        <f>IF(records_2[Type]="Room",records_2[roomNo],records_2[roomNo]&amp;"-"&amp;SUBSTITUTE(RIGHT(records_2[roomNo]&amp;records_2[Type],2),"-",""))</f>
        <v>10-1-061</v>
      </c>
      <c r="V31" s="59" t="str">
        <f t="array" ref="V31">_xlfn.XLOOKUP(records_2[ID], dAir[roomNo], dAir[roomName])</f>
        <v>CLEANED EQUIPMENT-P</v>
      </c>
      <c r="W31" s="59" t="str">
        <f t="array" ref="W31">_xlfn.XLOOKUP(records_2[ID], dAir[roomNo], dAir[building])</f>
        <v>Building 10</v>
      </c>
      <c r="X31" s="59" t="str">
        <f t="array" ref="X31">_xlfn.XLOOKUP(records_2[ID], dAir[roomNo], dAir[floor])</f>
        <v>Floor 1</v>
      </c>
      <c r="Y31" s="57" t="str">
        <f t="array" ref="Y31">_xlfn.XLOOKUP(records_2[ID], dAir[roomNo], dAir[Class])</f>
        <v>D</v>
      </c>
      <c r="Z31" s="57">
        <f t="array" ref="Z31">_xlfn.XLOOKUP(records_2[Method]&amp;"-"&amp;records_2[Class], dAirSpec[ID], dAirSpec[Spec])</f>
        <v>100</v>
      </c>
      <c r="AA31" s="57" t="str">
        <f t="array" ref="AA31">_xlfn.XLOOKUP(records_2[Method]&amp;"-"&amp;records_2[Class], dAirSpec[ID], dAirSpec[Unit])</f>
        <v>cfu/plate</v>
      </c>
      <c r="AB31" s="62">
        <f t="array" ref="AB31">if(R31="","", if(records_2[Method]="Active Air",_xlfn.xlookup(records_2[ColonyCount]&amp;records_2[AirSampler],feller[code],feller[Vc]),records_2[ColonyCount]))</f>
        <v>0</v>
      </c>
      <c r="AC31" s="63" t="b">
        <f t="shared" si="1"/>
        <v>1</v>
      </c>
      <c r="AD31" s="61" t="b">
        <v>0</v>
      </c>
      <c r="AE31" s="32" t="s">
        <v>280</v>
      </c>
      <c r="AF31" s="46"/>
      <c r="AG31" s="46"/>
      <c r="AH31" s="46"/>
      <c r="AI31" s="46"/>
      <c r="AJ31" s="46"/>
    </row>
    <row r="32" ht="22.5" customHeight="1">
      <c r="A32" s="27">
        <v>46040.0</v>
      </c>
      <c r="B32" s="34" t="str">
        <f t="array" ref="B32">TEXT(A32, "MM-YYYY")</f>
        <v>01-2026</v>
      </c>
      <c r="C32" s="39" t="s">
        <v>568</v>
      </c>
      <c r="D32" s="36" t="s">
        <v>210</v>
      </c>
      <c r="E32" s="36" t="s">
        <v>213</v>
      </c>
      <c r="F32" s="29" t="b">
        <v>1</v>
      </c>
      <c r="G32" s="49"/>
      <c r="H32" s="49"/>
      <c r="I32" s="33"/>
      <c r="J32" s="33"/>
      <c r="K32" s="37" t="s">
        <v>569</v>
      </c>
      <c r="L32" s="37" t="s">
        <v>570</v>
      </c>
      <c r="M32" s="37" t="s">
        <v>571</v>
      </c>
      <c r="N32" s="37" t="s">
        <v>420</v>
      </c>
      <c r="O32" s="37" t="s">
        <v>263</v>
      </c>
      <c r="P32" s="37" t="s">
        <v>264</v>
      </c>
      <c r="Q32" s="41">
        <v>46267.0</v>
      </c>
      <c r="R32" s="42">
        <v>2.0</v>
      </c>
      <c r="S32" s="55"/>
      <c r="T32" s="37" t="s">
        <v>265</v>
      </c>
      <c r="U32" s="57" t="str">
        <f>IF(records_2[Type]="Room",records_2[roomNo],records_2[roomNo]&amp;"-"&amp;SUBSTITUTE(RIGHT(records_2[roomNo]&amp;records_2[Type],2),"-",""))</f>
        <v>10-1-062</v>
      </c>
      <c r="V32" s="59" t="str">
        <f t="array" ref="V32">_xlfn.XLOOKUP(records_2[ID], dAir[roomNo], dAir[roomName])</f>
        <v>BULK STAGING-P</v>
      </c>
      <c r="W32" s="59" t="str">
        <f t="array" ref="W32">_xlfn.XLOOKUP(records_2[ID], dAir[roomNo], dAir[building])</f>
        <v>Building 10</v>
      </c>
      <c r="X32" s="59" t="str">
        <f t="array" ref="X32">_xlfn.XLOOKUP(records_2[ID], dAir[roomNo], dAir[floor])</f>
        <v>Floor 1</v>
      </c>
      <c r="Y32" s="57" t="str">
        <f t="array" ref="Y32">_xlfn.XLOOKUP(records_2[ID], dAir[roomNo], dAir[Class])</f>
        <v>D</v>
      </c>
      <c r="Z32" s="57">
        <f t="array" ref="Z32">_xlfn.XLOOKUP(records_2[Method]&amp;"-"&amp;records_2[Class], dAirSpec[ID], dAirSpec[Spec])</f>
        <v>100</v>
      </c>
      <c r="AA32" s="57" t="str">
        <f t="array" ref="AA32">_xlfn.XLOOKUP(records_2[Method]&amp;"-"&amp;records_2[Class], dAirSpec[ID], dAirSpec[Unit])</f>
        <v>cfu/plate</v>
      </c>
      <c r="AB32" s="62">
        <f t="array" ref="AB32">if(R32="","", if(records_2[Method]="Active Air",_xlfn.xlookup(records_2[ColonyCount]&amp;records_2[AirSampler],feller[code],feller[Vc]),records_2[ColonyCount]))</f>
        <v>2</v>
      </c>
      <c r="AC32" s="63" t="b">
        <f t="shared" si="1"/>
        <v>1</v>
      </c>
      <c r="AD32" s="61" t="b">
        <v>0</v>
      </c>
      <c r="AE32" s="32" t="s">
        <v>280</v>
      </c>
      <c r="AF32" s="46"/>
      <c r="AG32" s="46"/>
      <c r="AH32" s="46"/>
      <c r="AI32" s="46"/>
      <c r="AJ32" s="46"/>
    </row>
    <row r="33" ht="22.5" customHeight="1">
      <c r="A33" s="27">
        <v>46040.0</v>
      </c>
      <c r="B33" s="34" t="str">
        <f t="array" ref="B33">TEXT(A33, "MM-YYYY")</f>
        <v>01-2026</v>
      </c>
      <c r="C33" s="39" t="s">
        <v>577</v>
      </c>
      <c r="D33" s="36" t="s">
        <v>210</v>
      </c>
      <c r="E33" s="36" t="s">
        <v>213</v>
      </c>
      <c r="F33" s="29" t="b">
        <v>1</v>
      </c>
      <c r="G33" s="49"/>
      <c r="H33" s="49"/>
      <c r="I33" s="33"/>
      <c r="J33" s="33"/>
      <c r="K33" s="37" t="s">
        <v>578</v>
      </c>
      <c r="L33" s="37" t="s">
        <v>318</v>
      </c>
      <c r="M33" s="37" t="s">
        <v>544</v>
      </c>
      <c r="N33" s="37" t="s">
        <v>564</v>
      </c>
      <c r="O33" s="37" t="s">
        <v>263</v>
      </c>
      <c r="P33" s="37" t="s">
        <v>264</v>
      </c>
      <c r="Q33" s="41">
        <v>46267.0</v>
      </c>
      <c r="R33" s="42">
        <v>0.0</v>
      </c>
      <c r="S33" s="55"/>
      <c r="T33" s="37" t="s">
        <v>265</v>
      </c>
      <c r="U33" s="57" t="str">
        <f>IF(records_2[Type]="Room",records_2[roomNo],records_2[roomNo]&amp;"-"&amp;SUBSTITUTE(RIGHT(records_2[roomNo]&amp;records_2[Type],2),"-",""))</f>
        <v>10-1-063</v>
      </c>
      <c r="V33" s="59" t="str">
        <f t="array" ref="V33">_xlfn.XLOOKUP(records_2[ID], dAir[roomNo], dAir[roomName])</f>
        <v>AIR LOCK-P</v>
      </c>
      <c r="W33" s="59" t="str">
        <f t="array" ref="W33">_xlfn.XLOOKUP(records_2[ID], dAir[roomNo], dAir[building])</f>
        <v>Building 10</v>
      </c>
      <c r="X33" s="59" t="str">
        <f t="array" ref="X33">_xlfn.XLOOKUP(records_2[ID], dAir[roomNo], dAir[floor])</f>
        <v>Floor 1</v>
      </c>
      <c r="Y33" s="57" t="str">
        <f t="array" ref="Y33">_xlfn.XLOOKUP(records_2[ID], dAir[roomNo], dAir[Class])</f>
        <v>D</v>
      </c>
      <c r="Z33" s="57">
        <f t="array" ref="Z33">_xlfn.XLOOKUP(records_2[Method]&amp;"-"&amp;records_2[Class], dAirSpec[ID], dAirSpec[Spec])</f>
        <v>100</v>
      </c>
      <c r="AA33" s="57" t="str">
        <f t="array" ref="AA33">_xlfn.XLOOKUP(records_2[Method]&amp;"-"&amp;records_2[Class], dAirSpec[ID], dAirSpec[Unit])</f>
        <v>cfu/plate</v>
      </c>
      <c r="AB33" s="62">
        <f t="array" ref="AB33">if(R33="","", if(records_2[Method]="Active Air",_xlfn.xlookup(records_2[ColonyCount]&amp;records_2[AirSampler],feller[code],feller[Vc]),records_2[ColonyCount]))</f>
        <v>0</v>
      </c>
      <c r="AC33" s="63" t="b">
        <f t="shared" si="1"/>
        <v>1</v>
      </c>
      <c r="AD33" s="61" t="b">
        <v>0</v>
      </c>
      <c r="AE33" s="32" t="s">
        <v>280</v>
      </c>
      <c r="AF33" s="46"/>
      <c r="AG33" s="46"/>
      <c r="AH33" s="46"/>
      <c r="AI33" s="46"/>
      <c r="AJ33" s="46"/>
    </row>
    <row r="34" ht="22.5" customHeight="1">
      <c r="A34" s="27">
        <v>46040.0</v>
      </c>
      <c r="B34" s="34" t="str">
        <f t="array" ref="B34">TEXT(A34, "MM-YYYY")</f>
        <v>01-2026</v>
      </c>
      <c r="C34" s="39" t="s">
        <v>582</v>
      </c>
      <c r="D34" s="36" t="s">
        <v>210</v>
      </c>
      <c r="E34" s="36" t="s">
        <v>213</v>
      </c>
      <c r="F34" s="29" t="b">
        <v>1</v>
      </c>
      <c r="G34" s="49"/>
      <c r="H34" s="49"/>
      <c r="I34" s="33"/>
      <c r="J34" s="33"/>
      <c r="K34" s="37" t="s">
        <v>435</v>
      </c>
      <c r="L34" s="37" t="s">
        <v>585</v>
      </c>
      <c r="M34" s="37" t="s">
        <v>544</v>
      </c>
      <c r="N34" s="37" t="s">
        <v>564</v>
      </c>
      <c r="O34" s="37" t="s">
        <v>263</v>
      </c>
      <c r="P34" s="37" t="s">
        <v>264</v>
      </c>
      <c r="Q34" s="41">
        <v>46267.0</v>
      </c>
      <c r="R34" s="42">
        <v>0.0</v>
      </c>
      <c r="S34" s="55"/>
      <c r="T34" s="37" t="s">
        <v>265</v>
      </c>
      <c r="U34" s="57" t="str">
        <f>IF(records_2[Type]="Room",records_2[roomNo],records_2[roomNo]&amp;"-"&amp;SUBSTITUTE(RIGHT(records_2[roomNo]&amp;records_2[Type],2),"-",""))</f>
        <v>10-1-064</v>
      </c>
      <c r="V34" s="59" t="str">
        <f t="array" ref="V34">_xlfn.XLOOKUP(records_2[ID], dAir[roomNo], dAir[roomName])</f>
        <v>CORRIDOR-P</v>
      </c>
      <c r="W34" s="59" t="str">
        <f t="array" ref="W34">_xlfn.XLOOKUP(records_2[ID], dAir[roomNo], dAir[building])</f>
        <v>Building 10</v>
      </c>
      <c r="X34" s="59" t="str">
        <f t="array" ref="X34">_xlfn.XLOOKUP(records_2[ID], dAir[roomNo], dAir[floor])</f>
        <v>Floor 1</v>
      </c>
      <c r="Y34" s="57" t="str">
        <f t="array" ref="Y34">_xlfn.XLOOKUP(records_2[ID], dAir[roomNo], dAir[Class])</f>
        <v>D</v>
      </c>
      <c r="Z34" s="57">
        <f t="array" ref="Z34">_xlfn.XLOOKUP(records_2[Method]&amp;"-"&amp;records_2[Class], dAirSpec[ID], dAirSpec[Spec])</f>
        <v>100</v>
      </c>
      <c r="AA34" s="57" t="str">
        <f t="array" ref="AA34">_xlfn.XLOOKUP(records_2[Method]&amp;"-"&amp;records_2[Class], dAirSpec[ID], dAirSpec[Unit])</f>
        <v>cfu/plate</v>
      </c>
      <c r="AB34" s="62">
        <f t="array" ref="AB34">if(R34="","", if(records_2[Method]="Active Air",_xlfn.xlookup(records_2[ColonyCount]&amp;records_2[AirSampler],feller[code],feller[Vc]),records_2[ColonyCount]))</f>
        <v>0</v>
      </c>
      <c r="AC34" s="63" t="b">
        <f t="shared" si="1"/>
        <v>1</v>
      </c>
      <c r="AD34" s="61" t="b">
        <v>0</v>
      </c>
      <c r="AE34" s="32" t="s">
        <v>280</v>
      </c>
      <c r="AF34" s="46"/>
      <c r="AG34" s="46"/>
      <c r="AH34" s="46"/>
      <c r="AI34" s="46"/>
      <c r="AJ34" s="46"/>
    </row>
    <row r="35" ht="22.5" customHeight="1">
      <c r="A35" s="27">
        <v>46040.0</v>
      </c>
      <c r="B35" s="34" t="str">
        <f t="array" ref="B35">TEXT(A35, "MM-YYYY")</f>
        <v>01-2026</v>
      </c>
      <c r="C35" s="39" t="s">
        <v>589</v>
      </c>
      <c r="D35" s="36" t="s">
        <v>210</v>
      </c>
      <c r="E35" s="36" t="s">
        <v>213</v>
      </c>
      <c r="F35" s="29" t="b">
        <v>1</v>
      </c>
      <c r="G35" s="49"/>
      <c r="H35" s="49"/>
      <c r="I35" s="33"/>
      <c r="J35" s="33"/>
      <c r="K35" s="37" t="s">
        <v>591</v>
      </c>
      <c r="L35" s="37" t="s">
        <v>592</v>
      </c>
      <c r="M35" s="37" t="s">
        <v>593</v>
      </c>
      <c r="N35" s="37" t="s">
        <v>564</v>
      </c>
      <c r="O35" s="37" t="s">
        <v>263</v>
      </c>
      <c r="P35" s="37" t="s">
        <v>264</v>
      </c>
      <c r="Q35" s="41">
        <v>46267.0</v>
      </c>
      <c r="R35" s="42">
        <v>0.0</v>
      </c>
      <c r="S35" s="55"/>
      <c r="T35" s="37" t="s">
        <v>265</v>
      </c>
      <c r="U35" s="57" t="str">
        <f>IF(records_2[Type]="Room",records_2[roomNo],records_2[roomNo]&amp;"-"&amp;SUBSTITUTE(RIGHT(records_2[roomNo]&amp;records_2[Type],2),"-",""))</f>
        <v>10-1-065</v>
      </c>
      <c r="V35" s="59" t="str">
        <f t="array" ref="V35">_xlfn.XLOOKUP(records_2[ID], dAir[roomNo], dAir[roomName])</f>
        <v>BOTTLE FILLING-P (LOW RH) (BOTTLE FILLING LINE)</v>
      </c>
      <c r="W35" s="59" t="str">
        <f t="array" ref="W35">_xlfn.XLOOKUP(records_2[ID], dAir[roomNo], dAir[building])</f>
        <v>Building 10</v>
      </c>
      <c r="X35" s="59" t="str">
        <f t="array" ref="X35">_xlfn.XLOOKUP(records_2[ID], dAir[roomNo], dAir[floor])</f>
        <v>Floor 1</v>
      </c>
      <c r="Y35" s="57" t="str">
        <f t="array" ref="Y35">_xlfn.XLOOKUP(records_2[ID], dAir[roomNo], dAir[Class])</f>
        <v>D</v>
      </c>
      <c r="Z35" s="57">
        <f t="array" ref="Z35">_xlfn.XLOOKUP(records_2[Method]&amp;"-"&amp;records_2[Class], dAirSpec[ID], dAirSpec[Spec])</f>
        <v>100</v>
      </c>
      <c r="AA35" s="57" t="str">
        <f t="array" ref="AA35">_xlfn.XLOOKUP(records_2[Method]&amp;"-"&amp;records_2[Class], dAirSpec[ID], dAirSpec[Unit])</f>
        <v>cfu/plate</v>
      </c>
      <c r="AB35" s="62">
        <f t="array" ref="AB35">if(R35="","", if(records_2[Method]="Active Air",_xlfn.xlookup(records_2[ColonyCount]&amp;records_2[AirSampler],feller[code],feller[Vc]),records_2[ColonyCount]))</f>
        <v>0</v>
      </c>
      <c r="AC35" s="63" t="b">
        <f t="shared" si="1"/>
        <v>1</v>
      </c>
      <c r="AD35" s="61" t="b">
        <v>0</v>
      </c>
      <c r="AE35" s="32" t="s">
        <v>280</v>
      </c>
      <c r="AF35" s="46"/>
      <c r="AG35" s="46"/>
      <c r="AH35" s="46"/>
      <c r="AI35" s="46"/>
      <c r="AJ35" s="46"/>
    </row>
    <row r="36" ht="22.5" customHeight="1">
      <c r="A36" s="27">
        <v>46040.0</v>
      </c>
      <c r="B36" s="34" t="str">
        <f t="array" ref="B36">TEXT(A36, "MM-YYYY")</f>
        <v>01-2026</v>
      </c>
      <c r="C36" s="39" t="s">
        <v>598</v>
      </c>
      <c r="D36" s="36" t="s">
        <v>210</v>
      </c>
      <c r="E36" s="36" t="s">
        <v>213</v>
      </c>
      <c r="F36" s="29" t="b">
        <v>1</v>
      </c>
      <c r="G36" s="49"/>
      <c r="H36" s="49"/>
      <c r="I36" s="33"/>
      <c r="J36" s="33"/>
      <c r="K36" s="37" t="s">
        <v>599</v>
      </c>
      <c r="L36" s="37" t="s">
        <v>600</v>
      </c>
      <c r="M36" s="37" t="s">
        <v>602</v>
      </c>
      <c r="N36" s="37" t="s">
        <v>420</v>
      </c>
      <c r="O36" s="37" t="s">
        <v>263</v>
      </c>
      <c r="P36" s="37" t="s">
        <v>264</v>
      </c>
      <c r="Q36" s="41">
        <v>46267.0</v>
      </c>
      <c r="R36" s="42">
        <v>5.0</v>
      </c>
      <c r="S36" s="55"/>
      <c r="T36" s="37" t="s">
        <v>265</v>
      </c>
      <c r="U36" s="57" t="str">
        <f>IF(records_2[Type]="Room",records_2[roomNo],records_2[roomNo]&amp;"-"&amp;SUBSTITUTE(RIGHT(records_2[roomNo]&amp;records_2[Type],2),"-",""))</f>
        <v>10-1-067</v>
      </c>
      <c r="V36" s="59" t="str">
        <f t="array" ref="V36">_xlfn.XLOOKUP(records_2[ID], dAir[roomNo], dAir[roomName])</f>
        <v>BLISTER PACKING-P (LOW RH) (BLISTER PACKING MACHINE)</v>
      </c>
      <c r="W36" s="59" t="str">
        <f t="array" ref="W36">_xlfn.XLOOKUP(records_2[ID], dAir[roomNo], dAir[building])</f>
        <v>Building 10</v>
      </c>
      <c r="X36" s="59" t="str">
        <f t="array" ref="X36">_xlfn.XLOOKUP(records_2[ID], dAir[roomNo], dAir[floor])</f>
        <v>Floor 1</v>
      </c>
      <c r="Y36" s="57" t="str">
        <f t="array" ref="Y36">_xlfn.XLOOKUP(records_2[ID], dAir[roomNo], dAir[Class])</f>
        <v>D</v>
      </c>
      <c r="Z36" s="57">
        <f t="array" ref="Z36">_xlfn.XLOOKUP(records_2[Method]&amp;"-"&amp;records_2[Class], dAirSpec[ID], dAirSpec[Spec])</f>
        <v>100</v>
      </c>
      <c r="AA36" s="57" t="str">
        <f t="array" ref="AA36">_xlfn.XLOOKUP(records_2[Method]&amp;"-"&amp;records_2[Class], dAirSpec[ID], dAirSpec[Unit])</f>
        <v>cfu/plate</v>
      </c>
      <c r="AB36" s="62">
        <f t="array" ref="AB36">if(R36="","", if(records_2[Method]="Active Air",_xlfn.xlookup(records_2[ColonyCount]&amp;records_2[AirSampler],feller[code],feller[Vc]),records_2[ColonyCount]))</f>
        <v>5</v>
      </c>
      <c r="AC36" s="63" t="b">
        <f t="shared" si="1"/>
        <v>1</v>
      </c>
      <c r="AD36" s="61" t="b">
        <v>0</v>
      </c>
      <c r="AE36" s="32" t="s">
        <v>280</v>
      </c>
      <c r="AF36" s="46"/>
      <c r="AG36" s="46"/>
      <c r="AH36" s="46"/>
      <c r="AI36" s="46"/>
      <c r="AJ36" s="46"/>
    </row>
    <row r="37" ht="22.5" customHeight="1">
      <c r="A37" s="27">
        <v>46040.0</v>
      </c>
      <c r="B37" s="34" t="str">
        <f t="array" ref="B37">TEXT(A37, "MM-YYYY")</f>
        <v>01-2026</v>
      </c>
      <c r="C37" s="39" t="s">
        <v>607</v>
      </c>
      <c r="D37" s="36" t="s">
        <v>210</v>
      </c>
      <c r="E37" s="36" t="s">
        <v>213</v>
      </c>
      <c r="F37" s="29" t="b">
        <v>1</v>
      </c>
      <c r="G37" s="49"/>
      <c r="H37" s="49"/>
      <c r="I37" s="33"/>
      <c r="J37" s="33"/>
      <c r="K37" s="37" t="s">
        <v>428</v>
      </c>
      <c r="L37" s="37" t="s">
        <v>608</v>
      </c>
      <c r="M37" s="37" t="s">
        <v>602</v>
      </c>
      <c r="N37" s="37" t="s">
        <v>420</v>
      </c>
      <c r="O37" s="37" t="s">
        <v>263</v>
      </c>
      <c r="P37" s="37" t="s">
        <v>264</v>
      </c>
      <c r="Q37" s="41">
        <v>46267.0</v>
      </c>
      <c r="R37" s="42">
        <v>1.0</v>
      </c>
      <c r="S37" s="55"/>
      <c r="T37" s="37" t="s">
        <v>265</v>
      </c>
      <c r="U37" s="57" t="str">
        <f>IF(records_2[Type]="Room",records_2[roomNo],records_2[roomNo]&amp;"-"&amp;SUBSTITUTE(RIGHT(records_2[roomNo]&amp;records_2[Type],2),"-",""))</f>
        <v>10-1-068</v>
      </c>
      <c r="V37" s="59" t="str">
        <f t="array" ref="V37">_xlfn.XLOOKUP(records_2[ID], dAir[roomNo], dAir[roomName])</f>
        <v>STRIP PACKING-P (LOW RH) (DRUM TIPPER) &amp; (STRIP PACKING MACHINE)</v>
      </c>
      <c r="W37" s="59" t="str">
        <f t="array" ref="W37">_xlfn.XLOOKUP(records_2[ID], dAir[roomNo], dAir[building])</f>
        <v>Building 10</v>
      </c>
      <c r="X37" s="59" t="str">
        <f t="array" ref="X37">_xlfn.XLOOKUP(records_2[ID], dAir[roomNo], dAir[floor])</f>
        <v>Floor 1</v>
      </c>
      <c r="Y37" s="57" t="str">
        <f t="array" ref="Y37">_xlfn.XLOOKUP(records_2[ID], dAir[roomNo], dAir[Class])</f>
        <v>D</v>
      </c>
      <c r="Z37" s="57">
        <f t="array" ref="Z37">_xlfn.XLOOKUP(records_2[Method]&amp;"-"&amp;records_2[Class], dAirSpec[ID], dAirSpec[Spec])</f>
        <v>100</v>
      </c>
      <c r="AA37" s="57" t="str">
        <f t="array" ref="AA37">_xlfn.XLOOKUP(records_2[Method]&amp;"-"&amp;records_2[Class], dAirSpec[ID], dAirSpec[Unit])</f>
        <v>cfu/plate</v>
      </c>
      <c r="AB37" s="62">
        <f t="array" ref="AB37">if(R37="","", if(records_2[Method]="Active Air",_xlfn.xlookup(records_2[ColonyCount]&amp;records_2[AirSampler],feller[code],feller[Vc]),records_2[ColonyCount]))</f>
        <v>1</v>
      </c>
      <c r="AC37" s="63" t="b">
        <f t="shared" si="1"/>
        <v>1</v>
      </c>
      <c r="AD37" s="61" t="b">
        <v>0</v>
      </c>
      <c r="AE37" s="32" t="s">
        <v>280</v>
      </c>
      <c r="AF37" s="46"/>
      <c r="AG37" s="46"/>
      <c r="AH37" s="46"/>
      <c r="AI37" s="46"/>
      <c r="AJ37" s="46"/>
    </row>
    <row r="38" ht="22.5" customHeight="1">
      <c r="A38" s="27">
        <v>46040.0</v>
      </c>
      <c r="B38" s="34" t="str">
        <f t="array" ref="B38">TEXT(A38, "MM-YYYY")</f>
        <v>01-2026</v>
      </c>
      <c r="C38" s="39" t="s">
        <v>408</v>
      </c>
      <c r="D38" s="36" t="s">
        <v>210</v>
      </c>
      <c r="E38" s="36" t="s">
        <v>213</v>
      </c>
      <c r="F38" s="29" t="b">
        <v>1</v>
      </c>
      <c r="G38" s="49"/>
      <c r="H38" s="49"/>
      <c r="I38" s="33"/>
      <c r="J38" s="33"/>
      <c r="K38" s="37" t="s">
        <v>615</v>
      </c>
      <c r="L38" s="37" t="s">
        <v>616</v>
      </c>
      <c r="M38" s="37" t="s">
        <v>617</v>
      </c>
      <c r="N38" s="37" t="s">
        <v>618</v>
      </c>
      <c r="O38" s="37" t="s">
        <v>263</v>
      </c>
      <c r="P38" s="37" t="s">
        <v>264</v>
      </c>
      <c r="Q38" s="41">
        <v>46267.0</v>
      </c>
      <c r="R38" s="42">
        <v>0.0</v>
      </c>
      <c r="S38" s="55"/>
      <c r="T38" s="37" t="s">
        <v>265</v>
      </c>
      <c r="U38" s="57" t="str">
        <f>IF(records_2[Type]="Room",records_2[roomNo],records_2[roomNo]&amp;"-"&amp;SUBSTITUTE(RIGHT(records_2[roomNo]&amp;records_2[Type],2),"-",""))</f>
        <v>10-1-091</v>
      </c>
      <c r="V38" s="59" t="str">
        <f t="array" ref="V38">_xlfn.XLOOKUP(records_2[ID], dAir[roomNo], dAir[roomName])</f>
        <v>BOTTLE CLEANING (BOTTLE CLEANING MACHINE)</v>
      </c>
      <c r="W38" s="59" t="str">
        <f t="array" ref="W38">_xlfn.XLOOKUP(records_2[ID], dAir[roomNo], dAir[building])</f>
        <v>Building 10</v>
      </c>
      <c r="X38" s="59" t="str">
        <f t="array" ref="X38">_xlfn.XLOOKUP(records_2[ID], dAir[roomNo], dAir[floor])</f>
        <v>Floor 1</v>
      </c>
      <c r="Y38" s="57" t="str">
        <f t="array" ref="Y38">_xlfn.XLOOKUP(records_2[ID], dAir[roomNo], dAir[Class])</f>
        <v>D</v>
      </c>
      <c r="Z38" s="57">
        <f t="array" ref="Z38">_xlfn.XLOOKUP(records_2[Method]&amp;"-"&amp;records_2[Class], dAirSpec[ID], dAirSpec[Spec])</f>
        <v>100</v>
      </c>
      <c r="AA38" s="57" t="str">
        <f t="array" ref="AA38">_xlfn.XLOOKUP(records_2[Method]&amp;"-"&amp;records_2[Class], dAirSpec[ID], dAirSpec[Unit])</f>
        <v>cfu/plate</v>
      </c>
      <c r="AB38" s="62">
        <f t="array" ref="AB38">if(R38="","", if(records_2[Method]="Active Air",_xlfn.xlookup(records_2[ColonyCount]&amp;records_2[AirSampler],feller[code],feller[Vc]),records_2[ColonyCount]))</f>
        <v>0</v>
      </c>
      <c r="AC38" s="63" t="b">
        <f t="shared" si="1"/>
        <v>1</v>
      </c>
      <c r="AD38" s="61" t="b">
        <v>0</v>
      </c>
      <c r="AE38" s="32" t="s">
        <v>280</v>
      </c>
      <c r="AF38" s="46"/>
      <c r="AG38" s="46"/>
      <c r="AH38" s="46"/>
      <c r="AI38" s="46"/>
      <c r="AJ38" s="46"/>
    </row>
    <row r="39" ht="22.5" customHeight="1">
      <c r="A39" s="27">
        <v>46040.0</v>
      </c>
      <c r="B39" s="34" t="str">
        <f t="array" ref="B39">TEXT(A39, "MM-YYYY")</f>
        <v>01-2026</v>
      </c>
      <c r="C39" s="39" t="s">
        <v>400</v>
      </c>
      <c r="D39" s="36" t="s">
        <v>210</v>
      </c>
      <c r="E39" s="36" t="s">
        <v>213</v>
      </c>
      <c r="F39" s="29" t="b">
        <v>1</v>
      </c>
      <c r="G39" s="49"/>
      <c r="H39" s="49"/>
      <c r="I39" s="33"/>
      <c r="J39" s="33"/>
      <c r="K39" s="37" t="s">
        <v>381</v>
      </c>
      <c r="L39" s="37" t="s">
        <v>621</v>
      </c>
      <c r="M39" s="37" t="s">
        <v>617</v>
      </c>
      <c r="N39" s="37" t="s">
        <v>618</v>
      </c>
      <c r="O39" s="37" t="s">
        <v>263</v>
      </c>
      <c r="P39" s="37" t="s">
        <v>264</v>
      </c>
      <c r="Q39" s="41">
        <v>46267.0</v>
      </c>
      <c r="R39" s="42">
        <v>0.0</v>
      </c>
      <c r="S39" s="55"/>
      <c r="T39" s="37" t="s">
        <v>265</v>
      </c>
      <c r="U39" s="57" t="str">
        <f>IF(records_2[Type]="Room",records_2[roomNo],records_2[roomNo]&amp;"-"&amp;SUBSTITUTE(RIGHT(records_2[roomNo]&amp;records_2[Type],2),"-",""))</f>
        <v>10-1-092</v>
      </c>
      <c r="V39" s="59" t="str">
        <f t="array" ref="V39">_xlfn.XLOOKUP(records_2[ID], dAir[roomNo], dAir[roomName])</f>
        <v>POS FILLING (LOW RH) (BOTTLE FILLING MACHINE)</v>
      </c>
      <c r="W39" s="59" t="str">
        <f t="array" ref="W39">_xlfn.XLOOKUP(records_2[ID], dAir[roomNo], dAir[building])</f>
        <v>Building 10</v>
      </c>
      <c r="X39" s="59" t="str">
        <f t="array" ref="X39">_xlfn.XLOOKUP(records_2[ID], dAir[roomNo], dAir[floor])</f>
        <v>Floor 1</v>
      </c>
      <c r="Y39" s="57" t="str">
        <f t="array" ref="Y39">_xlfn.XLOOKUP(records_2[ID], dAir[roomNo], dAir[Class])</f>
        <v>D</v>
      </c>
      <c r="Z39" s="57">
        <f t="array" ref="Z39">_xlfn.XLOOKUP(records_2[Method]&amp;"-"&amp;records_2[Class], dAirSpec[ID], dAirSpec[Spec])</f>
        <v>100</v>
      </c>
      <c r="AA39" s="57" t="str">
        <f t="array" ref="AA39">_xlfn.XLOOKUP(records_2[Method]&amp;"-"&amp;records_2[Class], dAirSpec[ID], dAirSpec[Unit])</f>
        <v>cfu/plate</v>
      </c>
      <c r="AB39" s="62">
        <f t="array" ref="AB39">if(R39="","", if(records_2[Method]="Active Air",_xlfn.xlookup(records_2[ColonyCount]&amp;records_2[AirSampler],feller[code],feller[Vc]),records_2[ColonyCount]))</f>
        <v>0</v>
      </c>
      <c r="AC39" s="63" t="b">
        <f t="shared" si="1"/>
        <v>1</v>
      </c>
      <c r="AD39" s="61" t="b">
        <v>0</v>
      </c>
      <c r="AE39" s="32" t="s">
        <v>280</v>
      </c>
      <c r="AF39" s="46"/>
      <c r="AG39" s="46"/>
      <c r="AH39" s="46"/>
      <c r="AI39" s="46"/>
      <c r="AJ39" s="46"/>
    </row>
    <row r="40" ht="22.5" customHeight="1">
      <c r="A40" s="27">
        <v>46040.0</v>
      </c>
      <c r="B40" s="34" t="str">
        <f t="array" ref="B40">TEXT(A40, "MM-YYYY")</f>
        <v>01-2026</v>
      </c>
      <c r="C40" s="39" t="s">
        <v>308</v>
      </c>
      <c r="D40" s="36" t="s">
        <v>210</v>
      </c>
      <c r="E40" s="36" t="s">
        <v>213</v>
      </c>
      <c r="F40" s="29" t="b">
        <v>1</v>
      </c>
      <c r="G40" s="49"/>
      <c r="H40" s="49"/>
      <c r="I40" s="33"/>
      <c r="J40" s="33"/>
      <c r="K40" s="37" t="s">
        <v>539</v>
      </c>
      <c r="L40" s="37" t="s">
        <v>625</v>
      </c>
      <c r="M40" s="37" t="s">
        <v>617</v>
      </c>
      <c r="N40" s="37" t="s">
        <v>618</v>
      </c>
      <c r="O40" s="37" t="s">
        <v>263</v>
      </c>
      <c r="P40" s="37" t="s">
        <v>264</v>
      </c>
      <c r="Q40" s="41">
        <v>46267.0</v>
      </c>
      <c r="R40" s="42">
        <v>0.0</v>
      </c>
      <c r="S40" s="55"/>
      <c r="T40" s="37" t="s">
        <v>265</v>
      </c>
      <c r="U40" s="57" t="str">
        <f>IF(records_2[Type]="Room",records_2[roomNo],records_2[roomNo]&amp;"-"&amp;SUBSTITUTE(RIGHT(records_2[roomNo]&amp;records_2[Type],2),"-",""))</f>
        <v>10-1-093</v>
      </c>
      <c r="V40" s="59" t="str">
        <f t="array" ref="V40">_xlfn.XLOOKUP(records_2[ID], dAir[roomNo], dAir[roomName])</f>
        <v>BLISTER PACKING 1 (BLISTER PACKING MACHINE)</v>
      </c>
      <c r="W40" s="59" t="str">
        <f t="array" ref="W40">_xlfn.XLOOKUP(records_2[ID], dAir[roomNo], dAir[building])</f>
        <v>Building 10</v>
      </c>
      <c r="X40" s="59" t="str">
        <f t="array" ref="X40">_xlfn.XLOOKUP(records_2[ID], dAir[roomNo], dAir[floor])</f>
        <v>Floor 1</v>
      </c>
      <c r="Y40" s="57" t="str">
        <f t="array" ref="Y40">_xlfn.XLOOKUP(records_2[ID], dAir[roomNo], dAir[Class])</f>
        <v>D</v>
      </c>
      <c r="Z40" s="57">
        <f t="array" ref="Z40">_xlfn.XLOOKUP(records_2[Method]&amp;"-"&amp;records_2[Class], dAirSpec[ID], dAirSpec[Spec])</f>
        <v>100</v>
      </c>
      <c r="AA40" s="57" t="str">
        <f t="array" ref="AA40">_xlfn.XLOOKUP(records_2[Method]&amp;"-"&amp;records_2[Class], dAirSpec[ID], dAirSpec[Unit])</f>
        <v>cfu/plate</v>
      </c>
      <c r="AB40" s="62">
        <f t="array" ref="AB40">if(R40="","", if(records_2[Method]="Active Air",_xlfn.xlookup(records_2[ColonyCount]&amp;records_2[AirSampler],feller[code],feller[Vc]),records_2[ColonyCount]))</f>
        <v>0</v>
      </c>
      <c r="AC40" s="63" t="b">
        <f t="shared" si="1"/>
        <v>1</v>
      </c>
      <c r="AD40" s="61" t="b">
        <v>0</v>
      </c>
      <c r="AE40" s="32" t="s">
        <v>280</v>
      </c>
      <c r="AF40" s="46"/>
      <c r="AG40" s="46"/>
      <c r="AH40" s="46"/>
      <c r="AI40" s="46"/>
      <c r="AJ40" s="46"/>
    </row>
    <row r="41" ht="22.5" customHeight="1">
      <c r="A41" s="27">
        <v>46040.0</v>
      </c>
      <c r="B41" s="34" t="str">
        <f t="array" ref="B41">TEXT(A41, "MM-YYYY")</f>
        <v>01-2026</v>
      </c>
      <c r="C41" s="39" t="s">
        <v>322</v>
      </c>
      <c r="D41" s="36" t="s">
        <v>210</v>
      </c>
      <c r="E41" s="36" t="s">
        <v>213</v>
      </c>
      <c r="F41" s="29" t="b">
        <v>1</v>
      </c>
      <c r="G41" s="49"/>
      <c r="H41" s="49"/>
      <c r="I41" s="33"/>
      <c r="J41" s="33"/>
      <c r="K41" s="37" t="s">
        <v>632</v>
      </c>
      <c r="L41" s="37" t="s">
        <v>633</v>
      </c>
      <c r="M41" s="37" t="s">
        <v>617</v>
      </c>
      <c r="N41" s="37" t="s">
        <v>634</v>
      </c>
      <c r="O41" s="37" t="s">
        <v>263</v>
      </c>
      <c r="P41" s="37" t="s">
        <v>264</v>
      </c>
      <c r="Q41" s="41">
        <v>46267.0</v>
      </c>
      <c r="R41" s="42">
        <v>0.0</v>
      </c>
      <c r="S41" s="55"/>
      <c r="T41" s="37" t="s">
        <v>265</v>
      </c>
      <c r="U41" s="57" t="str">
        <f>IF(records_2[Type]="Room",records_2[roomNo],records_2[roomNo]&amp;"-"&amp;SUBSTITUTE(RIGHT(records_2[roomNo]&amp;records_2[Type],2),"-",""))</f>
        <v>10-1-094</v>
      </c>
      <c r="V41" s="59" t="str">
        <f t="array" ref="V41">_xlfn.XLOOKUP(records_2[ID], dAir[roomNo], dAir[roomName])</f>
        <v>BLISTER PACKING 2 (DRUM TIPPER)  (BLISTER PACKING MACHINE)</v>
      </c>
      <c r="W41" s="59" t="str">
        <f t="array" ref="W41">_xlfn.XLOOKUP(records_2[ID], dAir[roomNo], dAir[building])</f>
        <v>Building 10</v>
      </c>
      <c r="X41" s="59" t="str">
        <f t="array" ref="X41">_xlfn.XLOOKUP(records_2[ID], dAir[roomNo], dAir[floor])</f>
        <v>Floor 1</v>
      </c>
      <c r="Y41" s="57" t="str">
        <f t="array" ref="Y41">_xlfn.XLOOKUP(records_2[ID], dAir[roomNo], dAir[Class])</f>
        <v>D</v>
      </c>
      <c r="Z41" s="57">
        <f t="array" ref="Z41">_xlfn.XLOOKUP(records_2[Method]&amp;"-"&amp;records_2[Class], dAirSpec[ID], dAirSpec[Spec])</f>
        <v>100</v>
      </c>
      <c r="AA41" s="57" t="str">
        <f t="array" ref="AA41">_xlfn.XLOOKUP(records_2[Method]&amp;"-"&amp;records_2[Class], dAirSpec[ID], dAirSpec[Unit])</f>
        <v>cfu/plate</v>
      </c>
      <c r="AB41" s="62">
        <f t="array" ref="AB41">if(R41="","", if(records_2[Method]="Active Air",_xlfn.xlookup(records_2[ColonyCount]&amp;records_2[AirSampler],feller[code],feller[Vc]),records_2[ColonyCount]))</f>
        <v>0</v>
      </c>
      <c r="AC41" s="63" t="b">
        <f t="shared" si="1"/>
        <v>1</v>
      </c>
      <c r="AD41" s="61" t="b">
        <v>0</v>
      </c>
      <c r="AE41" s="32" t="s">
        <v>280</v>
      </c>
      <c r="AF41" s="46"/>
      <c r="AG41" s="46"/>
      <c r="AH41" s="46"/>
      <c r="AI41" s="46"/>
      <c r="AJ41" s="46"/>
    </row>
    <row r="42" ht="22.5" customHeight="1">
      <c r="A42" s="27">
        <v>46040.0</v>
      </c>
      <c r="B42" s="34" t="str">
        <f t="array" ref="B42">TEXT(A42, "MM-YYYY")</f>
        <v>01-2026</v>
      </c>
      <c r="C42" s="39" t="s">
        <v>340</v>
      </c>
      <c r="D42" s="36" t="s">
        <v>210</v>
      </c>
      <c r="E42" s="36" t="s">
        <v>213</v>
      </c>
      <c r="F42" s="29" t="b">
        <v>1</v>
      </c>
      <c r="G42" s="49"/>
      <c r="H42" s="49"/>
      <c r="I42" s="33"/>
      <c r="J42" s="33"/>
      <c r="K42" s="37" t="s">
        <v>359</v>
      </c>
      <c r="L42" s="37" t="s">
        <v>640</v>
      </c>
      <c r="M42" s="37" t="s">
        <v>641</v>
      </c>
      <c r="N42" s="37" t="s">
        <v>634</v>
      </c>
      <c r="O42" s="37" t="s">
        <v>263</v>
      </c>
      <c r="P42" s="37" t="s">
        <v>264</v>
      </c>
      <c r="Q42" s="41">
        <v>46267.0</v>
      </c>
      <c r="R42" s="42">
        <v>0.0</v>
      </c>
      <c r="S42" s="55"/>
      <c r="T42" s="37" t="s">
        <v>265</v>
      </c>
      <c r="U42" s="57" t="str">
        <f>IF(records_2[Type]="Room",records_2[roomNo],records_2[roomNo]&amp;"-"&amp;SUBSTITUTE(RIGHT(records_2[roomNo]&amp;records_2[Type],2),"-",""))</f>
        <v>10-1-095</v>
      </c>
      <c r="V42" s="59" t="str">
        <f t="array" ref="V42">_xlfn.XLOOKUP(records_2[ID], dAir[roomNo], dAir[roomName])</f>
        <v>BLISTER PACKING 3 (BLISTER PACKING MACHINE)</v>
      </c>
      <c r="W42" s="59" t="str">
        <f t="array" ref="W42">_xlfn.XLOOKUP(records_2[ID], dAir[roomNo], dAir[building])</f>
        <v>Building 10</v>
      </c>
      <c r="X42" s="59" t="str">
        <f t="array" ref="X42">_xlfn.XLOOKUP(records_2[ID], dAir[roomNo], dAir[floor])</f>
        <v>Floor 1</v>
      </c>
      <c r="Y42" s="57" t="str">
        <f t="array" ref="Y42">_xlfn.XLOOKUP(records_2[ID], dAir[roomNo], dAir[Class])</f>
        <v>D</v>
      </c>
      <c r="Z42" s="57">
        <f t="array" ref="Z42">_xlfn.XLOOKUP(records_2[Method]&amp;"-"&amp;records_2[Class], dAirSpec[ID], dAirSpec[Spec])</f>
        <v>100</v>
      </c>
      <c r="AA42" s="57" t="str">
        <f t="array" ref="AA42">_xlfn.XLOOKUP(records_2[Method]&amp;"-"&amp;records_2[Class], dAirSpec[ID], dAirSpec[Unit])</f>
        <v>cfu/plate</v>
      </c>
      <c r="AB42" s="62">
        <f t="array" ref="AB42">if(R42="","", if(records_2[Method]="Active Air",_xlfn.xlookup(records_2[ColonyCount]&amp;records_2[AirSampler],feller[code],feller[Vc]),records_2[ColonyCount]))</f>
        <v>0</v>
      </c>
      <c r="AC42" s="63" t="b">
        <f t="shared" si="1"/>
        <v>1</v>
      </c>
      <c r="AD42" s="61" t="b">
        <v>0</v>
      </c>
      <c r="AE42" s="32" t="s">
        <v>280</v>
      </c>
      <c r="AF42" s="46"/>
      <c r="AG42" s="46"/>
      <c r="AH42" s="46"/>
      <c r="AI42" s="46"/>
      <c r="AJ42" s="46"/>
    </row>
    <row r="43" ht="22.5" customHeight="1">
      <c r="A43" s="27">
        <v>46040.0</v>
      </c>
      <c r="B43" s="34" t="str">
        <f t="array" ref="B43">TEXT(A43, "MM-YYYY")</f>
        <v>01-2026</v>
      </c>
      <c r="C43" s="39" t="s">
        <v>348</v>
      </c>
      <c r="D43" s="36" t="s">
        <v>210</v>
      </c>
      <c r="E43" s="36" t="s">
        <v>213</v>
      </c>
      <c r="F43" s="29" t="b">
        <v>1</v>
      </c>
      <c r="G43" s="49"/>
      <c r="H43" s="49"/>
      <c r="I43" s="33"/>
      <c r="J43" s="33"/>
      <c r="K43" s="37" t="s">
        <v>513</v>
      </c>
      <c r="L43" s="37" t="s">
        <v>649</v>
      </c>
      <c r="M43" s="37" t="s">
        <v>641</v>
      </c>
      <c r="N43" s="37" t="s">
        <v>650</v>
      </c>
      <c r="O43" s="37" t="s">
        <v>263</v>
      </c>
      <c r="P43" s="37" t="s">
        <v>264</v>
      </c>
      <c r="Q43" s="41">
        <v>46267.0</v>
      </c>
      <c r="R43" s="42">
        <v>0.0</v>
      </c>
      <c r="S43" s="55"/>
      <c r="T43" s="37" t="s">
        <v>265</v>
      </c>
      <c r="U43" s="57" t="str">
        <f>IF(records_2[Type]="Room",records_2[roomNo],records_2[roomNo]&amp;"-"&amp;SUBSTITUTE(RIGHT(records_2[roomNo]&amp;records_2[Type],2),"-",""))</f>
        <v>10-1-096</v>
      </c>
      <c r="V43" s="59" t="str">
        <f t="array" ref="V43">_xlfn.XLOOKUP(records_2[ID], dAir[roomNo], dAir[roomName])</f>
        <v>BLISTER PACKING 4 (BLISTER PACKING MACHINE)</v>
      </c>
      <c r="W43" s="59" t="str">
        <f t="array" ref="W43">_xlfn.XLOOKUP(records_2[ID], dAir[roomNo], dAir[building])</f>
        <v>Building 10</v>
      </c>
      <c r="X43" s="59" t="str">
        <f t="array" ref="X43">_xlfn.XLOOKUP(records_2[ID], dAir[roomNo], dAir[floor])</f>
        <v>Floor 1</v>
      </c>
      <c r="Y43" s="57" t="str">
        <f t="array" ref="Y43">_xlfn.XLOOKUP(records_2[ID], dAir[roomNo], dAir[Class])</f>
        <v>D</v>
      </c>
      <c r="Z43" s="57">
        <f t="array" ref="Z43">_xlfn.XLOOKUP(records_2[Method]&amp;"-"&amp;records_2[Class], dAirSpec[ID], dAirSpec[Spec])</f>
        <v>100</v>
      </c>
      <c r="AA43" s="57" t="str">
        <f t="array" ref="AA43">_xlfn.XLOOKUP(records_2[Method]&amp;"-"&amp;records_2[Class], dAirSpec[ID], dAirSpec[Unit])</f>
        <v>cfu/plate</v>
      </c>
      <c r="AB43" s="62">
        <f t="array" ref="AB43">if(R43="","", if(records_2[Method]="Active Air",_xlfn.xlookup(records_2[ColonyCount]&amp;records_2[AirSampler],feller[code],feller[Vc]),records_2[ColonyCount]))</f>
        <v>0</v>
      </c>
      <c r="AC43" s="63" t="b">
        <f t="shared" si="1"/>
        <v>1</v>
      </c>
      <c r="AD43" s="61" t="b">
        <v>0</v>
      </c>
      <c r="AE43" s="32" t="s">
        <v>280</v>
      </c>
      <c r="AF43" s="46"/>
      <c r="AG43" s="46"/>
      <c r="AH43" s="46"/>
      <c r="AI43" s="46"/>
      <c r="AJ43" s="46"/>
    </row>
    <row r="44" ht="22.5" customHeight="1">
      <c r="A44" s="27">
        <v>46040.0</v>
      </c>
      <c r="B44" s="34" t="str">
        <f t="array" ref="B44">TEXT(A44, "MM-YYYY")</f>
        <v>01-2026</v>
      </c>
      <c r="C44" s="39" t="s">
        <v>357</v>
      </c>
      <c r="D44" s="36" t="s">
        <v>210</v>
      </c>
      <c r="E44" s="36" t="s">
        <v>213</v>
      </c>
      <c r="F44" s="29" t="b">
        <v>1</v>
      </c>
      <c r="G44" s="49"/>
      <c r="H44" s="49"/>
      <c r="I44" s="33"/>
      <c r="J44" s="33"/>
      <c r="K44" s="37" t="s">
        <v>656</v>
      </c>
      <c r="L44" s="37" t="s">
        <v>657</v>
      </c>
      <c r="M44" s="37" t="s">
        <v>658</v>
      </c>
      <c r="N44" s="37" t="s">
        <v>650</v>
      </c>
      <c r="O44" s="37" t="s">
        <v>263</v>
      </c>
      <c r="P44" s="37" t="s">
        <v>264</v>
      </c>
      <c r="Q44" s="41">
        <v>46267.0</v>
      </c>
      <c r="R44" s="42">
        <v>0.0</v>
      </c>
      <c r="S44" s="55"/>
      <c r="T44" s="37" t="s">
        <v>265</v>
      </c>
      <c r="U44" s="57" t="str">
        <f>IF(records_2[Type]="Room",records_2[roomNo],records_2[roomNo]&amp;"-"&amp;SUBSTITUTE(RIGHT(records_2[roomNo]&amp;records_2[Type],2),"-",""))</f>
        <v>10-1-097</v>
      </c>
      <c r="V44" s="59" t="str">
        <f t="array" ref="V44">_xlfn.XLOOKUP(records_2[ID], dAir[roomNo], dAir[roomName])</f>
        <v>BLISTER PACKING 5 (BLISTER PACKING MACHINE)</v>
      </c>
      <c r="W44" s="59" t="str">
        <f t="array" ref="W44">_xlfn.XLOOKUP(records_2[ID], dAir[roomNo], dAir[building])</f>
        <v>Building 10</v>
      </c>
      <c r="X44" s="59" t="str">
        <f t="array" ref="X44">_xlfn.XLOOKUP(records_2[ID], dAir[roomNo], dAir[floor])</f>
        <v>Floor 1</v>
      </c>
      <c r="Y44" s="57" t="str">
        <f t="array" ref="Y44">_xlfn.XLOOKUP(records_2[ID], dAir[roomNo], dAir[Class])</f>
        <v>D</v>
      </c>
      <c r="Z44" s="57">
        <f t="array" ref="Z44">_xlfn.XLOOKUP(records_2[Method]&amp;"-"&amp;records_2[Class], dAirSpec[ID], dAirSpec[Spec])</f>
        <v>100</v>
      </c>
      <c r="AA44" s="57" t="str">
        <f t="array" ref="AA44">_xlfn.XLOOKUP(records_2[Method]&amp;"-"&amp;records_2[Class], dAirSpec[ID], dAirSpec[Unit])</f>
        <v>cfu/plate</v>
      </c>
      <c r="AB44" s="62">
        <f t="array" ref="AB44">if(R44="","", if(records_2[Method]="Active Air",_xlfn.xlookup(records_2[ColonyCount]&amp;records_2[AirSampler],feller[code],feller[Vc]),records_2[ColonyCount]))</f>
        <v>0</v>
      </c>
      <c r="AC44" s="63" t="b">
        <f t="shared" si="1"/>
        <v>1</v>
      </c>
      <c r="AD44" s="61" t="b">
        <v>0</v>
      </c>
      <c r="AE44" s="32" t="s">
        <v>280</v>
      </c>
      <c r="AF44" s="46"/>
      <c r="AG44" s="46"/>
      <c r="AH44" s="46"/>
      <c r="AI44" s="46"/>
      <c r="AJ44" s="46"/>
    </row>
    <row r="45" ht="22.5" customHeight="1">
      <c r="A45" s="27">
        <v>46040.0</v>
      </c>
      <c r="B45" s="34" t="str">
        <f t="array" ref="B45">TEXT(A45, "MM-YYYY")</f>
        <v>01-2026</v>
      </c>
      <c r="C45" s="39" t="s">
        <v>370</v>
      </c>
      <c r="D45" s="36" t="s">
        <v>210</v>
      </c>
      <c r="E45" s="36" t="s">
        <v>213</v>
      </c>
      <c r="F45" s="29" t="b">
        <v>1</v>
      </c>
      <c r="G45" s="49"/>
      <c r="H45" s="49"/>
      <c r="I45" s="33"/>
      <c r="J45" s="33"/>
      <c r="K45" s="37" t="s">
        <v>326</v>
      </c>
      <c r="L45" s="37" t="s">
        <v>597</v>
      </c>
      <c r="M45" s="37" t="s">
        <v>664</v>
      </c>
      <c r="N45" s="37" t="s">
        <v>336</v>
      </c>
      <c r="O45" s="37" t="s">
        <v>263</v>
      </c>
      <c r="P45" s="37" t="s">
        <v>264</v>
      </c>
      <c r="Q45" s="41">
        <v>46267.0</v>
      </c>
      <c r="R45" s="42">
        <v>1.0</v>
      </c>
      <c r="S45" s="55"/>
      <c r="T45" s="37" t="s">
        <v>265</v>
      </c>
      <c r="U45" s="57" t="str">
        <f>IF(records_2[Type]="Room",records_2[roomNo],records_2[roomNo]&amp;"-"&amp;SUBSTITUTE(RIGHT(records_2[roomNo]&amp;records_2[Type],2),"-",""))</f>
        <v>10-1-098</v>
      </c>
      <c r="V45" s="59" t="str">
        <f t="array" ref="V45">_xlfn.XLOOKUP(records_2[ID], dAir[roomNo], dAir[roomName])</f>
        <v>BLISTER PACKING 6 (BLISTER PACKING MACHINE)</v>
      </c>
      <c r="W45" s="59" t="str">
        <f t="array" ref="W45">_xlfn.XLOOKUP(records_2[ID], dAir[roomNo], dAir[building])</f>
        <v>Building 10</v>
      </c>
      <c r="X45" s="59" t="str">
        <f t="array" ref="X45">_xlfn.XLOOKUP(records_2[ID], dAir[roomNo], dAir[floor])</f>
        <v>Floor 1</v>
      </c>
      <c r="Y45" s="57" t="str">
        <f t="array" ref="Y45">_xlfn.XLOOKUP(records_2[ID], dAir[roomNo], dAir[Class])</f>
        <v>D</v>
      </c>
      <c r="Z45" s="57">
        <f t="array" ref="Z45">_xlfn.XLOOKUP(records_2[Method]&amp;"-"&amp;records_2[Class], dAirSpec[ID], dAirSpec[Spec])</f>
        <v>100</v>
      </c>
      <c r="AA45" s="57" t="str">
        <f t="array" ref="AA45">_xlfn.XLOOKUP(records_2[Method]&amp;"-"&amp;records_2[Class], dAirSpec[ID], dAirSpec[Unit])</f>
        <v>cfu/plate</v>
      </c>
      <c r="AB45" s="62">
        <f t="array" ref="AB45">if(R45="","", if(records_2[Method]="Active Air",_xlfn.xlookup(records_2[ColonyCount]&amp;records_2[AirSampler],feller[code],feller[Vc]),records_2[ColonyCount]))</f>
        <v>1</v>
      </c>
      <c r="AC45" s="63" t="b">
        <f t="shared" si="1"/>
        <v>1</v>
      </c>
      <c r="AD45" s="61" t="b">
        <v>0</v>
      </c>
      <c r="AE45" s="32" t="s">
        <v>280</v>
      </c>
      <c r="AF45" s="46"/>
      <c r="AG45" s="46"/>
      <c r="AH45" s="46"/>
      <c r="AI45" s="46"/>
      <c r="AJ45" s="46"/>
    </row>
    <row r="46" ht="22.5" customHeight="1">
      <c r="A46" s="27">
        <v>46040.0</v>
      </c>
      <c r="B46" s="34" t="str">
        <f t="array" ref="B46">TEXT(A46, "MM-YYYY")</f>
        <v>01-2026</v>
      </c>
      <c r="C46" s="39" t="s">
        <v>374</v>
      </c>
      <c r="D46" s="36" t="s">
        <v>210</v>
      </c>
      <c r="E46" s="36" t="s">
        <v>213</v>
      </c>
      <c r="F46" s="29" t="b">
        <v>1</v>
      </c>
      <c r="G46" s="49"/>
      <c r="H46" s="49"/>
      <c r="I46" s="33"/>
      <c r="J46" s="33"/>
      <c r="K46" s="37" t="s">
        <v>668</v>
      </c>
      <c r="L46" s="37" t="s">
        <v>669</v>
      </c>
      <c r="M46" s="37" t="s">
        <v>664</v>
      </c>
      <c r="N46" s="37" t="s">
        <v>336</v>
      </c>
      <c r="O46" s="37" t="s">
        <v>263</v>
      </c>
      <c r="P46" s="37" t="s">
        <v>264</v>
      </c>
      <c r="Q46" s="41">
        <v>46267.0</v>
      </c>
      <c r="R46" s="42">
        <v>0.0</v>
      </c>
      <c r="S46" s="55"/>
      <c r="T46" s="37" t="s">
        <v>265</v>
      </c>
      <c r="U46" s="57" t="str">
        <f>IF(records_2[Type]="Room",records_2[roomNo],records_2[roomNo]&amp;"-"&amp;SUBSTITUTE(RIGHT(records_2[roomNo]&amp;records_2[Type],2),"-",""))</f>
        <v>10-1-099</v>
      </c>
      <c r="V46" s="59" t="str">
        <f t="array" ref="V46">_xlfn.XLOOKUP(records_2[ID], dAir[roomNo], dAir[roomName])</f>
        <v>BLISTER PACKING 4 (LOW RH) (BLISTER PACKING MACHINE)</v>
      </c>
      <c r="W46" s="59" t="str">
        <f t="array" ref="W46">_xlfn.XLOOKUP(records_2[ID], dAir[roomNo], dAir[building])</f>
        <v>Building 10</v>
      </c>
      <c r="X46" s="59" t="str">
        <f t="array" ref="X46">_xlfn.XLOOKUP(records_2[ID], dAir[roomNo], dAir[floor])</f>
        <v>Floor 1</v>
      </c>
      <c r="Y46" s="57" t="str">
        <f t="array" ref="Y46">_xlfn.XLOOKUP(records_2[ID], dAir[roomNo], dAir[Class])</f>
        <v>D</v>
      </c>
      <c r="Z46" s="57">
        <f t="array" ref="Z46">_xlfn.XLOOKUP(records_2[Method]&amp;"-"&amp;records_2[Class], dAirSpec[ID], dAirSpec[Spec])</f>
        <v>100</v>
      </c>
      <c r="AA46" s="57" t="str">
        <f t="array" ref="AA46">_xlfn.XLOOKUP(records_2[Method]&amp;"-"&amp;records_2[Class], dAirSpec[ID], dAirSpec[Unit])</f>
        <v>cfu/plate</v>
      </c>
      <c r="AB46" s="62">
        <f t="array" ref="AB46">if(R46="","", if(records_2[Method]="Active Air",_xlfn.xlookup(records_2[ColonyCount]&amp;records_2[AirSampler],feller[code],feller[Vc]),records_2[ColonyCount]))</f>
        <v>0</v>
      </c>
      <c r="AC46" s="63" t="b">
        <f t="shared" si="1"/>
        <v>1</v>
      </c>
      <c r="AD46" s="61" t="b">
        <v>0</v>
      </c>
      <c r="AE46" s="32" t="s">
        <v>280</v>
      </c>
      <c r="AF46" s="46"/>
      <c r="AG46" s="46"/>
      <c r="AH46" s="46"/>
      <c r="AI46" s="46"/>
      <c r="AJ46" s="46"/>
    </row>
    <row r="47" ht="22.5" customHeight="1">
      <c r="A47" s="27">
        <v>46040.0</v>
      </c>
      <c r="B47" s="34" t="str">
        <f t="array" ref="B47">TEXT(A47, "MM-YYYY")</f>
        <v>01-2026</v>
      </c>
      <c r="C47" s="39" t="s">
        <v>384</v>
      </c>
      <c r="D47" s="36" t="s">
        <v>210</v>
      </c>
      <c r="E47" s="36" t="s">
        <v>213</v>
      </c>
      <c r="F47" s="29" t="b">
        <v>1</v>
      </c>
      <c r="G47" s="49"/>
      <c r="H47" s="49"/>
      <c r="I47" s="33"/>
      <c r="J47" s="33"/>
      <c r="K47" s="37" t="s">
        <v>675</v>
      </c>
      <c r="L47" s="37" t="s">
        <v>676</v>
      </c>
      <c r="M47" s="37" t="s">
        <v>677</v>
      </c>
      <c r="N47" s="37" t="s">
        <v>336</v>
      </c>
      <c r="O47" s="37" t="s">
        <v>263</v>
      </c>
      <c r="P47" s="37" t="s">
        <v>264</v>
      </c>
      <c r="Q47" s="41">
        <v>46267.0</v>
      </c>
      <c r="R47" s="42">
        <v>0.0</v>
      </c>
      <c r="S47" s="55"/>
      <c r="T47" s="37" t="s">
        <v>265</v>
      </c>
      <c r="U47" s="57" t="str">
        <f>IF(records_2[Type]="Room",records_2[roomNo],records_2[roomNo]&amp;"-"&amp;SUBSTITUTE(RIGHT(records_2[roomNo]&amp;records_2[Type],2),"-",""))</f>
        <v>10-1-100</v>
      </c>
      <c r="V47" s="59" t="str">
        <f t="array" ref="V47">_xlfn.XLOOKUP(records_2[ID], dAir[roomNo], dAir[roomName])</f>
        <v>BLISTER PACKING 5 (LOW RH) (BLISTER PACKING MACHINE)</v>
      </c>
      <c r="W47" s="59" t="str">
        <f t="array" ref="W47">_xlfn.XLOOKUP(records_2[ID], dAir[roomNo], dAir[building])</f>
        <v>Building 10</v>
      </c>
      <c r="X47" s="59" t="str">
        <f t="array" ref="X47">_xlfn.XLOOKUP(records_2[ID], dAir[roomNo], dAir[floor])</f>
        <v>Floor 1</v>
      </c>
      <c r="Y47" s="57" t="str">
        <f t="array" ref="Y47">_xlfn.XLOOKUP(records_2[ID], dAir[roomNo], dAir[Class])</f>
        <v>D</v>
      </c>
      <c r="Z47" s="57">
        <f t="array" ref="Z47">_xlfn.XLOOKUP(records_2[Method]&amp;"-"&amp;records_2[Class], dAirSpec[ID], dAirSpec[Spec])</f>
        <v>100</v>
      </c>
      <c r="AA47" s="57" t="str">
        <f t="array" ref="AA47">_xlfn.XLOOKUP(records_2[Method]&amp;"-"&amp;records_2[Class], dAirSpec[ID], dAirSpec[Unit])</f>
        <v>cfu/plate</v>
      </c>
      <c r="AB47" s="62">
        <f t="array" ref="AB47">if(R47="","", if(records_2[Method]="Active Air",_xlfn.xlookup(records_2[ColonyCount]&amp;records_2[AirSampler],feller[code],feller[Vc]),records_2[ColonyCount]))</f>
        <v>0</v>
      </c>
      <c r="AC47" s="63" t="b">
        <f t="shared" si="1"/>
        <v>1</v>
      </c>
      <c r="AD47" s="61" t="b">
        <v>0</v>
      </c>
      <c r="AE47" s="32" t="s">
        <v>280</v>
      </c>
      <c r="AF47" s="46"/>
      <c r="AG47" s="46"/>
      <c r="AH47" s="46"/>
      <c r="AI47" s="46"/>
      <c r="AJ47" s="46"/>
    </row>
    <row r="48" ht="22.5" customHeight="1">
      <c r="A48" s="27">
        <v>46040.0</v>
      </c>
      <c r="B48" s="34" t="str">
        <f t="array" ref="B48">TEXT(A48, "MM-YYYY")</f>
        <v>01-2026</v>
      </c>
      <c r="C48" s="39" t="s">
        <v>684</v>
      </c>
      <c r="D48" s="36" t="s">
        <v>210</v>
      </c>
      <c r="E48" s="36" t="s">
        <v>213</v>
      </c>
      <c r="F48" s="29" t="b">
        <v>1</v>
      </c>
      <c r="G48" s="49"/>
      <c r="H48" s="49"/>
      <c r="I48" s="33"/>
      <c r="J48" s="33"/>
      <c r="K48" s="37" t="s">
        <v>685</v>
      </c>
      <c r="L48" s="37" t="s">
        <v>649</v>
      </c>
      <c r="M48" s="37" t="s">
        <v>641</v>
      </c>
      <c r="N48" s="37" t="s">
        <v>634</v>
      </c>
      <c r="O48" s="37" t="s">
        <v>263</v>
      </c>
      <c r="P48" s="37" t="s">
        <v>264</v>
      </c>
      <c r="Q48" s="41">
        <v>46267.0</v>
      </c>
      <c r="R48" s="42">
        <v>1.0</v>
      </c>
      <c r="S48" s="55"/>
      <c r="T48" s="37" t="s">
        <v>265</v>
      </c>
      <c r="U48" s="57" t="str">
        <f>IF(records_2[Type]="Room",records_2[roomNo],records_2[roomNo]&amp;"-"&amp;SUBSTITUTE(RIGHT(records_2[roomNo]&amp;records_2[Type],2),"-",""))</f>
        <v>10-1-102</v>
      </c>
      <c r="V48" s="59" t="str">
        <f t="array" ref="V48">_xlfn.XLOOKUP(records_2[ID], dAir[roomNo], dAir[roomName])</f>
        <v>CORRIDOR</v>
      </c>
      <c r="W48" s="59" t="str">
        <f t="array" ref="W48">_xlfn.XLOOKUP(records_2[ID], dAir[roomNo], dAir[building])</f>
        <v>Building 10</v>
      </c>
      <c r="X48" s="59" t="str">
        <f t="array" ref="X48">_xlfn.XLOOKUP(records_2[ID], dAir[roomNo], dAir[floor])</f>
        <v>Floor 1</v>
      </c>
      <c r="Y48" s="57" t="str">
        <f t="array" ref="Y48">_xlfn.XLOOKUP(records_2[ID], dAir[roomNo], dAir[Class])</f>
        <v>D</v>
      </c>
      <c r="Z48" s="57">
        <f t="array" ref="Z48">_xlfn.XLOOKUP(records_2[Method]&amp;"-"&amp;records_2[Class], dAirSpec[ID], dAirSpec[Spec])</f>
        <v>100</v>
      </c>
      <c r="AA48" s="57" t="str">
        <f t="array" ref="AA48">_xlfn.XLOOKUP(records_2[Method]&amp;"-"&amp;records_2[Class], dAirSpec[ID], dAirSpec[Unit])</f>
        <v>cfu/plate</v>
      </c>
      <c r="AB48" s="62">
        <f t="array" ref="AB48">if(R48="","", if(records_2[Method]="Active Air",_xlfn.xlookup(records_2[ColonyCount]&amp;records_2[AirSampler],feller[code],feller[Vc]),records_2[ColonyCount]))</f>
        <v>1</v>
      </c>
      <c r="AC48" s="63" t="b">
        <f t="shared" si="1"/>
        <v>1</v>
      </c>
      <c r="AD48" s="61" t="b">
        <v>0</v>
      </c>
      <c r="AE48" s="32" t="s">
        <v>280</v>
      </c>
      <c r="AF48" s="46"/>
      <c r="AG48" s="46"/>
      <c r="AH48" s="46"/>
      <c r="AI48" s="46"/>
      <c r="AJ48" s="46"/>
    </row>
    <row r="49" ht="22.5" customHeight="1">
      <c r="A49" s="27">
        <v>46040.0</v>
      </c>
      <c r="B49" s="34" t="str">
        <f t="array" ref="B49">TEXT(A49, "MM-YYYY")</f>
        <v>01-2026</v>
      </c>
      <c r="C49" s="39" t="s">
        <v>688</v>
      </c>
      <c r="D49" s="36" t="s">
        <v>210</v>
      </c>
      <c r="E49" s="36" t="s">
        <v>213</v>
      </c>
      <c r="F49" s="29" t="b">
        <v>1</v>
      </c>
      <c r="G49" s="49"/>
      <c r="H49" s="49"/>
      <c r="I49" s="33"/>
      <c r="J49" s="33"/>
      <c r="K49" s="37" t="s">
        <v>194</v>
      </c>
      <c r="L49" s="37" t="s">
        <v>194</v>
      </c>
      <c r="M49" s="37" t="s">
        <v>690</v>
      </c>
      <c r="N49" s="37" t="s">
        <v>691</v>
      </c>
      <c r="O49" s="37" t="s">
        <v>263</v>
      </c>
      <c r="P49" s="37" t="s">
        <v>264</v>
      </c>
      <c r="Q49" s="41">
        <v>46267.0</v>
      </c>
      <c r="R49" s="42">
        <v>0.0</v>
      </c>
      <c r="S49" s="55"/>
      <c r="T49" s="37" t="s">
        <v>265</v>
      </c>
      <c r="U49" s="57" t="str">
        <f>IF(records_2[Type]="Room",records_2[roomNo],records_2[roomNo]&amp;"-"&amp;SUBSTITUTE(RIGHT(records_2[roomNo]&amp;records_2[Type],2),"-",""))</f>
        <v>10-1-106</v>
      </c>
      <c r="V49" s="59" t="str">
        <f t="array" ref="V49">_xlfn.XLOOKUP(records_2[ID], dAir[roomNo], dAir[roomName])</f>
        <v>PPM STAGING</v>
      </c>
      <c r="W49" s="59" t="str">
        <f t="array" ref="W49">_xlfn.XLOOKUP(records_2[ID], dAir[roomNo], dAir[building])</f>
        <v>Building 10</v>
      </c>
      <c r="X49" s="59" t="str">
        <f t="array" ref="X49">_xlfn.XLOOKUP(records_2[ID], dAir[roomNo], dAir[floor])</f>
        <v>Floor 1</v>
      </c>
      <c r="Y49" s="57" t="str">
        <f t="array" ref="Y49">_xlfn.XLOOKUP(records_2[ID], dAir[roomNo], dAir[Class])</f>
        <v>D</v>
      </c>
      <c r="Z49" s="57">
        <f t="array" ref="Z49">_xlfn.XLOOKUP(records_2[Method]&amp;"-"&amp;records_2[Class], dAirSpec[ID], dAirSpec[Spec])</f>
        <v>100</v>
      </c>
      <c r="AA49" s="57" t="str">
        <f t="array" ref="AA49">_xlfn.XLOOKUP(records_2[Method]&amp;"-"&amp;records_2[Class], dAirSpec[ID], dAirSpec[Unit])</f>
        <v>cfu/plate</v>
      </c>
      <c r="AB49" s="62">
        <f t="array" ref="AB49">if(R49="","", if(records_2[Method]="Active Air",_xlfn.xlookup(records_2[ColonyCount]&amp;records_2[AirSampler],feller[code],feller[Vc]),records_2[ColonyCount]))</f>
        <v>0</v>
      </c>
      <c r="AC49" s="63" t="b">
        <f t="shared" si="1"/>
        <v>1</v>
      </c>
      <c r="AD49" s="61" t="b">
        <v>0</v>
      </c>
      <c r="AE49" s="32" t="s">
        <v>280</v>
      </c>
      <c r="AF49" s="46"/>
      <c r="AG49" s="46"/>
      <c r="AH49" s="46"/>
      <c r="AI49" s="46"/>
      <c r="AJ49" s="46"/>
    </row>
    <row r="50" ht="22.5" customHeight="1">
      <c r="A50" s="27">
        <v>46040.0</v>
      </c>
      <c r="B50" s="34" t="str">
        <f t="array" ref="B50">TEXT(A50, "MM-YYYY")</f>
        <v>01-2026</v>
      </c>
      <c r="C50" s="39" t="s">
        <v>394</v>
      </c>
      <c r="D50" s="36" t="s">
        <v>210</v>
      </c>
      <c r="E50" s="36" t="s">
        <v>213</v>
      </c>
      <c r="F50" s="29" t="b">
        <v>1</v>
      </c>
      <c r="G50" s="49"/>
      <c r="H50" s="49"/>
      <c r="I50" s="33"/>
      <c r="J50" s="33"/>
      <c r="K50" s="37" t="s">
        <v>696</v>
      </c>
      <c r="L50" s="37" t="s">
        <v>697</v>
      </c>
      <c r="M50" s="37" t="s">
        <v>690</v>
      </c>
      <c r="N50" s="37" t="s">
        <v>691</v>
      </c>
      <c r="O50" s="37" t="s">
        <v>263</v>
      </c>
      <c r="P50" s="37" t="s">
        <v>264</v>
      </c>
      <c r="Q50" s="41">
        <v>46267.0</v>
      </c>
      <c r="R50" s="42">
        <v>0.0</v>
      </c>
      <c r="S50" s="55"/>
      <c r="T50" s="37" t="s">
        <v>265</v>
      </c>
      <c r="U50" s="57" t="str">
        <f>IF(records_2[Type]="Room",records_2[roomNo],records_2[roomNo]&amp;"-"&amp;SUBSTITUTE(RIGHT(records_2[roomNo]&amp;records_2[Type],2),"-",""))</f>
        <v>10-1-107</v>
      </c>
      <c r="V50" s="59" t="str">
        <f t="array" ref="V50">_xlfn.XLOOKUP(records_2[ID], dAir[roomNo], dAir[roomName])</f>
        <v>STRIP PACKING 1 (LOW RH) (DRUM TIPPER) &amp; (STRIP PACKING MACHINE)</v>
      </c>
      <c r="W50" s="59" t="str">
        <f t="array" ref="W50">_xlfn.XLOOKUP(records_2[ID], dAir[roomNo], dAir[building])</f>
        <v>Building 10</v>
      </c>
      <c r="X50" s="59" t="str">
        <f t="array" ref="X50">_xlfn.XLOOKUP(records_2[ID], dAir[roomNo], dAir[floor])</f>
        <v>Floor 1</v>
      </c>
      <c r="Y50" s="57" t="str">
        <f t="array" ref="Y50">_xlfn.XLOOKUP(records_2[ID], dAir[roomNo], dAir[Class])</f>
        <v>D</v>
      </c>
      <c r="Z50" s="57">
        <f t="array" ref="Z50">_xlfn.XLOOKUP(records_2[Method]&amp;"-"&amp;records_2[Class], dAirSpec[ID], dAirSpec[Spec])</f>
        <v>100</v>
      </c>
      <c r="AA50" s="57" t="str">
        <f t="array" ref="AA50">_xlfn.XLOOKUP(records_2[Method]&amp;"-"&amp;records_2[Class], dAirSpec[ID], dAirSpec[Unit])</f>
        <v>cfu/plate</v>
      </c>
      <c r="AB50" s="62">
        <f t="array" ref="AB50">if(R50="","", if(records_2[Method]="Active Air",_xlfn.xlookup(records_2[ColonyCount]&amp;records_2[AirSampler],feller[code],feller[Vc]),records_2[ColonyCount]))</f>
        <v>0</v>
      </c>
      <c r="AC50" s="63" t="b">
        <f t="shared" si="1"/>
        <v>1</v>
      </c>
      <c r="AD50" s="61" t="b">
        <v>0</v>
      </c>
      <c r="AE50" s="32" t="s">
        <v>280</v>
      </c>
      <c r="AF50" s="46"/>
      <c r="AG50" s="46"/>
      <c r="AH50" s="46"/>
      <c r="AI50" s="46"/>
      <c r="AJ50" s="46"/>
    </row>
    <row r="51" ht="22.5" customHeight="1">
      <c r="A51" s="27">
        <v>46040.0</v>
      </c>
      <c r="B51" s="34" t="str">
        <f t="array" ref="B51">TEXT(A51, "MM-YYYY")</f>
        <v>01-2026</v>
      </c>
      <c r="C51" s="39" t="s">
        <v>413</v>
      </c>
      <c r="D51" s="36" t="s">
        <v>210</v>
      </c>
      <c r="E51" s="36" t="s">
        <v>213</v>
      </c>
      <c r="F51" s="29" t="b">
        <v>1</v>
      </c>
      <c r="G51" s="49"/>
      <c r="H51" s="49"/>
      <c r="I51" s="33"/>
      <c r="J51" s="33"/>
      <c r="K51" s="37" t="s">
        <v>700</v>
      </c>
      <c r="L51" s="37" t="s">
        <v>701</v>
      </c>
      <c r="M51" s="37" t="s">
        <v>702</v>
      </c>
      <c r="N51" s="37" t="s">
        <v>691</v>
      </c>
      <c r="O51" s="37" t="s">
        <v>263</v>
      </c>
      <c r="P51" s="37" t="s">
        <v>264</v>
      </c>
      <c r="Q51" s="41">
        <v>46267.0</v>
      </c>
      <c r="R51" s="42">
        <v>1.0</v>
      </c>
      <c r="S51" s="55"/>
      <c r="T51" s="37" t="s">
        <v>265</v>
      </c>
      <c r="U51" s="57" t="str">
        <f>IF(records_2[Type]="Room",records_2[roomNo],records_2[roomNo]&amp;"-"&amp;SUBSTITUTE(RIGHT(records_2[roomNo]&amp;records_2[Type],2),"-",""))</f>
        <v>10-1-108</v>
      </c>
      <c r="V51" s="59" t="str">
        <f t="array" ref="V51">_xlfn.XLOOKUP(records_2[ID], dAir[roomNo], dAir[roomName])</f>
        <v>SACHET PACKING (LOW RH) (STRIP PACKING MACHINE)</v>
      </c>
      <c r="W51" s="59" t="str">
        <f t="array" ref="W51">_xlfn.XLOOKUP(records_2[ID], dAir[roomNo], dAir[building])</f>
        <v>Building 10</v>
      </c>
      <c r="X51" s="59" t="str">
        <f t="array" ref="X51">_xlfn.XLOOKUP(records_2[ID], dAir[roomNo], dAir[floor])</f>
        <v>Floor 1</v>
      </c>
      <c r="Y51" s="57" t="str">
        <f t="array" ref="Y51">_xlfn.XLOOKUP(records_2[ID], dAir[roomNo], dAir[Class])</f>
        <v>D</v>
      </c>
      <c r="Z51" s="57">
        <f t="array" ref="Z51">_xlfn.XLOOKUP(records_2[Method]&amp;"-"&amp;records_2[Class], dAirSpec[ID], dAirSpec[Spec])</f>
        <v>100</v>
      </c>
      <c r="AA51" s="57" t="str">
        <f t="array" ref="AA51">_xlfn.XLOOKUP(records_2[Method]&amp;"-"&amp;records_2[Class], dAirSpec[ID], dAirSpec[Unit])</f>
        <v>cfu/plate</v>
      </c>
      <c r="AB51" s="62">
        <f t="array" ref="AB51">if(R51="","", if(records_2[Method]="Active Air",_xlfn.xlookup(records_2[ColonyCount]&amp;records_2[AirSampler],feller[code],feller[Vc]),records_2[ColonyCount]))</f>
        <v>1</v>
      </c>
      <c r="AC51" s="63" t="b">
        <f t="shared" si="1"/>
        <v>1</v>
      </c>
      <c r="AD51" s="61" t="b">
        <v>0</v>
      </c>
      <c r="AE51" s="32" t="s">
        <v>280</v>
      </c>
      <c r="AF51" s="46"/>
      <c r="AG51" s="46"/>
      <c r="AH51" s="46"/>
      <c r="AI51" s="46"/>
      <c r="AJ51" s="46"/>
    </row>
    <row r="52" ht="22.5" customHeight="1">
      <c r="A52" s="27">
        <v>46040.0</v>
      </c>
      <c r="B52" s="34" t="str">
        <f t="array" ref="B52">TEXT(A52, "MM-YYYY")</f>
        <v>01-2026</v>
      </c>
      <c r="C52" s="39" t="s">
        <v>705</v>
      </c>
      <c r="D52" s="36" t="s">
        <v>210</v>
      </c>
      <c r="E52" s="36" t="s">
        <v>213</v>
      </c>
      <c r="F52" s="29" t="b">
        <v>1</v>
      </c>
      <c r="G52" s="49"/>
      <c r="H52" s="49"/>
      <c r="I52" s="33"/>
      <c r="J52" s="33"/>
      <c r="K52" s="37" t="s">
        <v>706</v>
      </c>
      <c r="L52" s="37" t="s">
        <v>707</v>
      </c>
      <c r="M52" s="37" t="s">
        <v>708</v>
      </c>
      <c r="N52" s="37" t="s">
        <v>691</v>
      </c>
      <c r="O52" s="37" t="s">
        <v>263</v>
      </c>
      <c r="P52" s="37" t="s">
        <v>264</v>
      </c>
      <c r="Q52" s="41">
        <v>46267.0</v>
      </c>
      <c r="R52" s="42">
        <v>0.0</v>
      </c>
      <c r="S52" s="55"/>
      <c r="T52" s="37" t="s">
        <v>265</v>
      </c>
      <c r="U52" s="57" t="str">
        <f>IF(records_2[Type]="Room",records_2[roomNo],records_2[roomNo]&amp;"-"&amp;SUBSTITUTE(RIGHT(records_2[roomNo]&amp;records_2[Type],2),"-",""))</f>
        <v>10-1-109</v>
      </c>
      <c r="V52" s="59" t="str">
        <f t="array" ref="V52">_xlfn.XLOOKUP(records_2[ID], dAir[roomNo], dAir[roomName])</f>
        <v>STRIP PACKING 2 (DRUM TIPPER) &amp; (STRIP PACKING MACHINE)</v>
      </c>
      <c r="W52" s="59" t="str">
        <f t="array" ref="W52">_xlfn.XLOOKUP(records_2[ID], dAir[roomNo], dAir[building])</f>
        <v>Building 10</v>
      </c>
      <c r="X52" s="59" t="str">
        <f t="array" ref="X52">_xlfn.XLOOKUP(records_2[ID], dAir[roomNo], dAir[floor])</f>
        <v>Floor 1</v>
      </c>
      <c r="Y52" s="57" t="str">
        <f t="array" ref="Y52">_xlfn.XLOOKUP(records_2[ID], dAir[roomNo], dAir[Class])</f>
        <v>D</v>
      </c>
      <c r="Z52" s="57">
        <f t="array" ref="Z52">_xlfn.XLOOKUP(records_2[Method]&amp;"-"&amp;records_2[Class], dAirSpec[ID], dAirSpec[Spec])</f>
        <v>100</v>
      </c>
      <c r="AA52" s="57" t="str">
        <f t="array" ref="AA52">_xlfn.XLOOKUP(records_2[Method]&amp;"-"&amp;records_2[Class], dAirSpec[ID], dAirSpec[Unit])</f>
        <v>cfu/plate</v>
      </c>
      <c r="AB52" s="62">
        <f t="array" ref="AB52">if(R52="","", if(records_2[Method]="Active Air",_xlfn.xlookup(records_2[ColonyCount]&amp;records_2[AirSampler],feller[code],feller[Vc]),records_2[ColonyCount]))</f>
        <v>0</v>
      </c>
      <c r="AC52" s="63" t="b">
        <f t="shared" si="1"/>
        <v>1</v>
      </c>
      <c r="AD52" s="61" t="b">
        <v>0</v>
      </c>
      <c r="AE52" s="32" t="s">
        <v>280</v>
      </c>
      <c r="AF52" s="46"/>
      <c r="AG52" s="46"/>
      <c r="AH52" s="46"/>
      <c r="AI52" s="46"/>
      <c r="AJ52" s="46"/>
    </row>
    <row r="53" ht="22.5" customHeight="1">
      <c r="A53" s="27">
        <v>46040.0</v>
      </c>
      <c r="B53" s="34" t="str">
        <f t="array" ref="B53">TEXT(A53, "MM-YYYY")</f>
        <v>01-2026</v>
      </c>
      <c r="C53" s="39" t="s">
        <v>443</v>
      </c>
      <c r="D53" s="36" t="s">
        <v>210</v>
      </c>
      <c r="E53" s="36" t="s">
        <v>213</v>
      </c>
      <c r="F53" s="29" t="b">
        <v>1</v>
      </c>
      <c r="G53" s="49"/>
      <c r="H53" s="49"/>
      <c r="I53" s="33"/>
      <c r="J53" s="33"/>
      <c r="K53" s="37" t="s">
        <v>706</v>
      </c>
      <c r="L53" s="37" t="s">
        <v>712</v>
      </c>
      <c r="M53" s="37" t="s">
        <v>702</v>
      </c>
      <c r="N53" s="37" t="s">
        <v>713</v>
      </c>
      <c r="O53" s="37" t="s">
        <v>263</v>
      </c>
      <c r="P53" s="37" t="s">
        <v>264</v>
      </c>
      <c r="Q53" s="41">
        <v>46267.0</v>
      </c>
      <c r="R53" s="42">
        <v>0.0</v>
      </c>
      <c r="S53" s="55"/>
      <c r="T53" s="37" t="s">
        <v>265</v>
      </c>
      <c r="U53" s="57" t="str">
        <f>IF(records_2[Type]="Room",records_2[roomNo],records_2[roomNo]&amp;"-"&amp;SUBSTITUTE(RIGHT(records_2[roomNo]&amp;records_2[Type],2),"-",""))</f>
        <v>10-1-110</v>
      </c>
      <c r="V53" s="59" t="str">
        <f t="array" ref="V53">_xlfn.XLOOKUP(records_2[ID], dAir[roomNo], dAir[roomName])</f>
        <v>STRIP PACKING 3 (DRUM TIPPER) &amp; (STRIP PACKING MACHINE)</v>
      </c>
      <c r="W53" s="59" t="str">
        <f t="array" ref="W53">_xlfn.XLOOKUP(records_2[ID], dAir[roomNo], dAir[building])</f>
        <v>Building 10</v>
      </c>
      <c r="X53" s="59" t="str">
        <f t="array" ref="X53">_xlfn.XLOOKUP(records_2[ID], dAir[roomNo], dAir[floor])</f>
        <v>Floor 1</v>
      </c>
      <c r="Y53" s="57" t="str">
        <f t="array" ref="Y53">_xlfn.XLOOKUP(records_2[ID], dAir[roomNo], dAir[Class])</f>
        <v>D</v>
      </c>
      <c r="Z53" s="57">
        <f t="array" ref="Z53">_xlfn.XLOOKUP(records_2[Method]&amp;"-"&amp;records_2[Class], dAirSpec[ID], dAirSpec[Spec])</f>
        <v>100</v>
      </c>
      <c r="AA53" s="57" t="str">
        <f t="array" ref="AA53">_xlfn.XLOOKUP(records_2[Method]&amp;"-"&amp;records_2[Class], dAirSpec[ID], dAirSpec[Unit])</f>
        <v>cfu/plate</v>
      </c>
      <c r="AB53" s="62">
        <f t="array" ref="AB53">if(R53="","", if(records_2[Method]="Active Air",_xlfn.xlookup(records_2[ColonyCount]&amp;records_2[AirSampler],feller[code],feller[Vc]),records_2[ColonyCount]))</f>
        <v>0</v>
      </c>
      <c r="AC53" s="63" t="b">
        <f t="shared" si="1"/>
        <v>1</v>
      </c>
      <c r="AD53" s="61" t="b">
        <v>0</v>
      </c>
      <c r="AE53" s="32" t="s">
        <v>280</v>
      </c>
      <c r="AF53" s="46"/>
      <c r="AG53" s="46"/>
      <c r="AH53" s="46"/>
      <c r="AI53" s="46"/>
      <c r="AJ53" s="46"/>
    </row>
    <row r="54" ht="22.5" customHeight="1">
      <c r="A54" s="27">
        <v>46040.0</v>
      </c>
      <c r="B54" s="34" t="str">
        <f t="array" ref="B54">TEXT(A54, "MM-YYYY")</f>
        <v>01-2026</v>
      </c>
      <c r="C54" s="39" t="s">
        <v>717</v>
      </c>
      <c r="D54" s="36" t="s">
        <v>210</v>
      </c>
      <c r="E54" s="36" t="s">
        <v>213</v>
      </c>
      <c r="F54" s="29" t="b">
        <v>1</v>
      </c>
      <c r="G54" s="49"/>
      <c r="H54" s="49"/>
      <c r="I54" s="33"/>
      <c r="J54" s="33"/>
      <c r="K54" s="37" t="s">
        <v>513</v>
      </c>
      <c r="L54" s="37" t="s">
        <v>718</v>
      </c>
      <c r="M54" s="37" t="s">
        <v>690</v>
      </c>
      <c r="N54" s="37" t="s">
        <v>618</v>
      </c>
      <c r="O54" s="37" t="s">
        <v>263</v>
      </c>
      <c r="P54" s="37" t="s">
        <v>264</v>
      </c>
      <c r="Q54" s="41">
        <v>46267.0</v>
      </c>
      <c r="R54" s="42">
        <v>2.0</v>
      </c>
      <c r="S54" s="55"/>
      <c r="T54" s="37" t="s">
        <v>265</v>
      </c>
      <c r="U54" s="57" t="str">
        <f>IF(records_2[Type]="Room",records_2[roomNo],records_2[roomNo]&amp;"-"&amp;SUBSTITUTE(RIGHT(records_2[roomNo]&amp;records_2[Type],2),"-",""))</f>
        <v>10-1-111</v>
      </c>
      <c r="V54" s="59" t="str">
        <f t="array" ref="V54">_xlfn.XLOOKUP(records_2[ID], dAir[roomNo], dAir[roomName])</f>
        <v>CORRIDOR</v>
      </c>
      <c r="W54" s="59" t="str">
        <f t="array" ref="W54">_xlfn.XLOOKUP(records_2[ID], dAir[roomNo], dAir[building])</f>
        <v>Building 10</v>
      </c>
      <c r="X54" s="59" t="str">
        <f t="array" ref="X54">_xlfn.XLOOKUP(records_2[ID], dAir[roomNo], dAir[floor])</f>
        <v>Floor 1</v>
      </c>
      <c r="Y54" s="57" t="str">
        <f t="array" ref="Y54">_xlfn.XLOOKUP(records_2[ID], dAir[roomNo], dAir[Class])</f>
        <v>D</v>
      </c>
      <c r="Z54" s="57">
        <f t="array" ref="Z54">_xlfn.XLOOKUP(records_2[Method]&amp;"-"&amp;records_2[Class], dAirSpec[ID], dAirSpec[Spec])</f>
        <v>100</v>
      </c>
      <c r="AA54" s="57" t="str">
        <f t="array" ref="AA54">_xlfn.XLOOKUP(records_2[Method]&amp;"-"&amp;records_2[Class], dAirSpec[ID], dAirSpec[Unit])</f>
        <v>cfu/plate</v>
      </c>
      <c r="AB54" s="62">
        <f t="array" ref="AB54">if(R54="","", if(records_2[Method]="Active Air",_xlfn.xlookup(records_2[ColonyCount]&amp;records_2[AirSampler],feller[code],feller[Vc]),records_2[ColonyCount]))</f>
        <v>2</v>
      </c>
      <c r="AC54" s="63" t="b">
        <f t="shared" si="1"/>
        <v>1</v>
      </c>
      <c r="AD54" s="61" t="b">
        <v>0</v>
      </c>
      <c r="AE54" s="32" t="s">
        <v>280</v>
      </c>
      <c r="AF54" s="46"/>
      <c r="AG54" s="46"/>
      <c r="AH54" s="46"/>
      <c r="AI54" s="46"/>
      <c r="AJ54" s="46"/>
    </row>
    <row r="55" ht="22.5" customHeight="1">
      <c r="A55" s="27">
        <v>46040.0</v>
      </c>
      <c r="B55" s="20" t="str">
        <f t="array" ref="B55">TEXT(A55, "MM-YYYY")</f>
        <v>01-2026</v>
      </c>
      <c r="C55" s="32" t="s">
        <v>721</v>
      </c>
      <c r="D55" s="36" t="s">
        <v>210</v>
      </c>
      <c r="E55" s="36" t="s">
        <v>213</v>
      </c>
      <c r="F55" s="29" t="b">
        <v>1</v>
      </c>
      <c r="G55" s="49"/>
      <c r="H55" s="49"/>
      <c r="I55" s="33"/>
      <c r="J55" s="33"/>
      <c r="K55" s="37" t="s">
        <v>445</v>
      </c>
      <c r="L55" s="37" t="s">
        <v>722</v>
      </c>
      <c r="M55" s="37" t="s">
        <v>723</v>
      </c>
      <c r="N55" s="37" t="s">
        <v>724</v>
      </c>
      <c r="O55" s="37" t="s">
        <v>263</v>
      </c>
      <c r="P55" s="37" t="s">
        <v>264</v>
      </c>
      <c r="Q55" s="41">
        <v>46267.0</v>
      </c>
      <c r="R55" s="42">
        <v>1.0</v>
      </c>
      <c r="S55" s="55"/>
      <c r="T55" s="37" t="s">
        <v>265</v>
      </c>
      <c r="U55" s="57" t="str">
        <f>IF(records_2[Type]="Room",records_2[roomNo],records_2[roomNo]&amp;"-"&amp;SUBSTITUTE(RIGHT(records_2[roomNo]&amp;records_2[Type],2),"-",""))</f>
        <v>10-1-112</v>
      </c>
      <c r="V55" s="59" t="str">
        <f t="array" ref="V55">_xlfn.XLOOKUP(records_2[ID], dAir[roomNo], dAir[roomName])</f>
        <v>CHANGE PARTS STORAGE</v>
      </c>
      <c r="W55" s="59" t="str">
        <f t="array" ref="W55">_xlfn.XLOOKUP(records_2[ID], dAir[roomNo], dAir[building])</f>
        <v>Building 10</v>
      </c>
      <c r="X55" s="59" t="str">
        <f t="array" ref="X55">_xlfn.XLOOKUP(records_2[ID], dAir[roomNo], dAir[floor])</f>
        <v>Floor 1</v>
      </c>
      <c r="Y55" s="57" t="str">
        <f t="array" ref="Y55">_xlfn.XLOOKUP(records_2[ID], dAir[roomNo], dAir[Class])</f>
        <v>D</v>
      </c>
      <c r="Z55" s="57">
        <f t="array" ref="Z55">_xlfn.XLOOKUP(records_2[Method]&amp;"-"&amp;records_2[Class], dAirSpec[ID], dAirSpec[Spec])</f>
        <v>100</v>
      </c>
      <c r="AA55" s="57" t="str">
        <f t="array" ref="AA55">_xlfn.XLOOKUP(records_2[Method]&amp;"-"&amp;records_2[Class], dAirSpec[ID], dAirSpec[Unit])</f>
        <v>cfu/plate</v>
      </c>
      <c r="AB55" s="62">
        <f t="array" ref="AB55">if(R55="","", if(records_2[Method]="Active Air",_xlfn.xlookup(records_2[ColonyCount]&amp;records_2[AirSampler],feller[code],feller[Vc]),records_2[ColonyCount]))</f>
        <v>1</v>
      </c>
      <c r="AC55" s="63" t="b">
        <f t="shared" si="1"/>
        <v>1</v>
      </c>
      <c r="AD55" s="61" t="b">
        <v>0</v>
      </c>
      <c r="AE55" s="32" t="s">
        <v>280</v>
      </c>
      <c r="AF55" s="46"/>
      <c r="AG55" s="46"/>
      <c r="AH55" s="46"/>
      <c r="AI55" s="46"/>
      <c r="AJ55" s="46"/>
    </row>
    <row r="56" ht="22.5" customHeight="1">
      <c r="A56" s="27">
        <v>46040.0</v>
      </c>
      <c r="B56" s="34" t="str">
        <f t="array" ref="B56">TEXT(A56, "MM-YYYY")</f>
        <v>01-2026</v>
      </c>
      <c r="C56" s="39" t="s">
        <v>726</v>
      </c>
      <c r="D56" s="36" t="s">
        <v>210</v>
      </c>
      <c r="E56" s="36" t="s">
        <v>213</v>
      </c>
      <c r="F56" s="29" t="b">
        <v>1</v>
      </c>
      <c r="G56" s="49"/>
      <c r="H56" s="49"/>
      <c r="I56" s="33"/>
      <c r="J56" s="33"/>
      <c r="K56" s="37" t="s">
        <v>706</v>
      </c>
      <c r="L56" s="37" t="s">
        <v>389</v>
      </c>
      <c r="M56" s="37" t="s">
        <v>727</v>
      </c>
      <c r="N56" s="37" t="s">
        <v>724</v>
      </c>
      <c r="O56" s="37" t="s">
        <v>263</v>
      </c>
      <c r="P56" s="37" t="s">
        <v>264</v>
      </c>
      <c r="Q56" s="41">
        <v>46267.0</v>
      </c>
      <c r="R56" s="42">
        <v>0.0</v>
      </c>
      <c r="S56" s="55"/>
      <c r="T56" s="37" t="s">
        <v>265</v>
      </c>
      <c r="U56" s="57" t="str">
        <f>IF(records_2[Type]="Room",records_2[roomNo],records_2[roomNo]&amp;"-"&amp;SUBSTITUTE(RIGHT(records_2[roomNo]&amp;records_2[Type],2),"-",""))</f>
        <v>10-1-113</v>
      </c>
      <c r="V56" s="59" t="str">
        <f t="array" ref="V56">_xlfn.XLOOKUP(records_2[ID], dAir[roomNo], dAir[roomName])</f>
        <v>CLEANED EQUIPMENT</v>
      </c>
      <c r="W56" s="59" t="str">
        <f t="array" ref="W56">_xlfn.XLOOKUP(records_2[ID], dAir[roomNo], dAir[building])</f>
        <v>Building 10</v>
      </c>
      <c r="X56" s="59" t="str">
        <f t="array" ref="X56">_xlfn.XLOOKUP(records_2[ID], dAir[roomNo], dAir[floor])</f>
        <v>Floor 1</v>
      </c>
      <c r="Y56" s="57" t="str">
        <f t="array" ref="Y56">_xlfn.XLOOKUP(records_2[ID], dAir[roomNo], dAir[Class])</f>
        <v>D</v>
      </c>
      <c r="Z56" s="57">
        <f t="array" ref="Z56">_xlfn.XLOOKUP(records_2[Method]&amp;"-"&amp;records_2[Class], dAirSpec[ID], dAirSpec[Spec])</f>
        <v>100</v>
      </c>
      <c r="AA56" s="57" t="str">
        <f t="array" ref="AA56">_xlfn.XLOOKUP(records_2[Method]&amp;"-"&amp;records_2[Class], dAirSpec[ID], dAirSpec[Unit])</f>
        <v>cfu/plate</v>
      </c>
      <c r="AB56" s="62">
        <f t="array" ref="AB56">if(R56="","", if(records_2[Method]="Active Air",_xlfn.xlookup(records_2[ColonyCount]&amp;records_2[AirSampler],feller[code],feller[Vc]),records_2[ColonyCount]))</f>
        <v>0</v>
      </c>
      <c r="AC56" s="63" t="b">
        <f t="shared" si="1"/>
        <v>1</v>
      </c>
      <c r="AD56" s="61" t="b">
        <v>0</v>
      </c>
      <c r="AE56" s="32" t="s">
        <v>280</v>
      </c>
      <c r="AF56" s="46"/>
      <c r="AG56" s="46"/>
      <c r="AH56" s="46"/>
      <c r="AI56" s="46"/>
      <c r="AJ56" s="46"/>
    </row>
    <row r="57" ht="22.5" customHeight="1">
      <c r="A57" s="27">
        <v>46040.0</v>
      </c>
      <c r="B57" s="34" t="str">
        <f t="array" ref="B57">TEXT(A57, "MM-YYYY")</f>
        <v>01-2026</v>
      </c>
      <c r="C57" s="39" t="s">
        <v>732</v>
      </c>
      <c r="D57" s="36" t="s">
        <v>210</v>
      </c>
      <c r="E57" s="36" t="s">
        <v>213</v>
      </c>
      <c r="F57" s="29" t="b">
        <v>1</v>
      </c>
      <c r="G57" s="49"/>
      <c r="H57" s="49"/>
      <c r="I57" s="33"/>
      <c r="J57" s="33"/>
      <c r="K57" s="37" t="s">
        <v>733</v>
      </c>
      <c r="L57" s="37" t="s">
        <v>734</v>
      </c>
      <c r="M57" s="37" t="s">
        <v>727</v>
      </c>
      <c r="N57" s="37" t="s">
        <v>724</v>
      </c>
      <c r="O57" s="37" t="s">
        <v>263</v>
      </c>
      <c r="P57" s="37" t="s">
        <v>264</v>
      </c>
      <c r="Q57" s="41">
        <v>46267.0</v>
      </c>
      <c r="R57" s="42">
        <v>0.0</v>
      </c>
      <c r="S57" s="55"/>
      <c r="T57" s="37" t="s">
        <v>265</v>
      </c>
      <c r="U57" s="57" t="str">
        <f>IF(records_2[Type]="Room",records_2[roomNo],records_2[roomNo]&amp;"-"&amp;SUBSTITUTE(RIGHT(records_2[roomNo]&amp;records_2[Type],2),"-",""))</f>
        <v>10-1-114</v>
      </c>
      <c r="V57" s="59" t="str">
        <f t="array" ref="V57">_xlfn.XLOOKUP(records_2[ID], dAir[roomNo], dAir[roomName])</f>
        <v>JANITOR</v>
      </c>
      <c r="W57" s="59" t="str">
        <f t="array" ref="W57">_xlfn.XLOOKUP(records_2[ID], dAir[roomNo], dAir[building])</f>
        <v>Building 10</v>
      </c>
      <c r="X57" s="59" t="str">
        <f t="array" ref="X57">_xlfn.XLOOKUP(records_2[ID], dAir[roomNo], dAir[floor])</f>
        <v>Floor 1</v>
      </c>
      <c r="Y57" s="57" t="str">
        <f t="array" ref="Y57">_xlfn.XLOOKUP(records_2[ID], dAir[roomNo], dAir[Class])</f>
        <v>D</v>
      </c>
      <c r="Z57" s="57">
        <f t="array" ref="Z57">_xlfn.XLOOKUP(records_2[Method]&amp;"-"&amp;records_2[Class], dAirSpec[ID], dAirSpec[Spec])</f>
        <v>100</v>
      </c>
      <c r="AA57" s="57" t="str">
        <f t="array" ref="AA57">_xlfn.XLOOKUP(records_2[Method]&amp;"-"&amp;records_2[Class], dAirSpec[ID], dAirSpec[Unit])</f>
        <v>cfu/plate</v>
      </c>
      <c r="AB57" s="62">
        <f t="array" ref="AB57">if(R57="","", if(records_2[Method]="Active Air",_xlfn.xlookup(records_2[ColonyCount]&amp;records_2[AirSampler],feller[code],feller[Vc]),records_2[ColonyCount]))</f>
        <v>0</v>
      </c>
      <c r="AC57" s="63" t="b">
        <f t="shared" si="1"/>
        <v>1</v>
      </c>
      <c r="AD57" s="61" t="b">
        <v>0</v>
      </c>
      <c r="AE57" s="32" t="s">
        <v>280</v>
      </c>
      <c r="AF57" s="46"/>
      <c r="AG57" s="46"/>
      <c r="AH57" s="46"/>
      <c r="AI57" s="46"/>
      <c r="AJ57" s="46"/>
    </row>
    <row r="58" ht="22.5" customHeight="1">
      <c r="A58" s="27">
        <v>46040.0</v>
      </c>
      <c r="B58" s="34" t="str">
        <f t="array" ref="B58">TEXT(A58, "MM-YYYY")</f>
        <v>01-2026</v>
      </c>
      <c r="C58" s="39" t="s">
        <v>739</v>
      </c>
      <c r="D58" s="36" t="s">
        <v>210</v>
      </c>
      <c r="E58" s="36" t="s">
        <v>213</v>
      </c>
      <c r="F58" s="29" t="b">
        <v>1</v>
      </c>
      <c r="G58" s="49"/>
      <c r="H58" s="49"/>
      <c r="I58" s="33"/>
      <c r="J58" s="33"/>
      <c r="K58" s="37" t="s">
        <v>706</v>
      </c>
      <c r="L58" s="37" t="s">
        <v>742</v>
      </c>
      <c r="M58" s="37" t="s">
        <v>743</v>
      </c>
      <c r="N58" s="37" t="s">
        <v>713</v>
      </c>
      <c r="O58" s="37" t="s">
        <v>263</v>
      </c>
      <c r="P58" s="37" t="s">
        <v>264</v>
      </c>
      <c r="Q58" s="41">
        <v>46267.0</v>
      </c>
      <c r="R58" s="42">
        <v>0.0</v>
      </c>
      <c r="S58" s="55"/>
      <c r="T58" s="37" t="s">
        <v>265</v>
      </c>
      <c r="U58" s="57" t="str">
        <f>IF(records_2[Type]="Room",records_2[roomNo],records_2[roomNo]&amp;"-"&amp;SUBSTITUTE(RIGHT(records_2[roomNo]&amp;records_2[Type],2),"-",""))</f>
        <v>10-1-115</v>
      </c>
      <c r="V58" s="59" t="str">
        <f t="array" ref="V58">_xlfn.XLOOKUP(records_2[ID], dAir[roomNo], dAir[roomName])</f>
        <v>WASHING</v>
      </c>
      <c r="W58" s="59" t="str">
        <f t="array" ref="W58">_xlfn.XLOOKUP(records_2[ID], dAir[roomNo], dAir[building])</f>
        <v>Building 10</v>
      </c>
      <c r="X58" s="59" t="str">
        <f t="array" ref="X58">_xlfn.XLOOKUP(records_2[ID], dAir[roomNo], dAir[floor])</f>
        <v>Floor 1</v>
      </c>
      <c r="Y58" s="57" t="str">
        <f t="array" ref="Y58">_xlfn.XLOOKUP(records_2[ID], dAir[roomNo], dAir[Class])</f>
        <v>D</v>
      </c>
      <c r="Z58" s="57">
        <f t="array" ref="Z58">_xlfn.XLOOKUP(records_2[Method]&amp;"-"&amp;records_2[Class], dAirSpec[ID], dAirSpec[Spec])</f>
        <v>100</v>
      </c>
      <c r="AA58" s="57" t="str">
        <f t="array" ref="AA58">_xlfn.XLOOKUP(records_2[Method]&amp;"-"&amp;records_2[Class], dAirSpec[ID], dAirSpec[Unit])</f>
        <v>cfu/plate</v>
      </c>
      <c r="AB58" s="62">
        <f t="array" ref="AB58">if(R58="","", if(records_2[Method]="Active Air",_xlfn.xlookup(records_2[ColonyCount]&amp;records_2[AirSampler],feller[code],feller[Vc]),records_2[ColonyCount]))</f>
        <v>0</v>
      </c>
      <c r="AC58" s="63" t="b">
        <f t="shared" si="1"/>
        <v>1</v>
      </c>
      <c r="AD58" s="61" t="b">
        <v>0</v>
      </c>
      <c r="AE58" s="32" t="s">
        <v>280</v>
      </c>
      <c r="AF58" s="46"/>
      <c r="AG58" s="46"/>
      <c r="AH58" s="46"/>
      <c r="AI58" s="46"/>
      <c r="AJ58" s="46"/>
    </row>
    <row r="59" ht="22.5" customHeight="1">
      <c r="A59" s="27">
        <v>46040.0</v>
      </c>
      <c r="B59" s="34" t="str">
        <f t="array" ref="B59">TEXT(A59, "MM-YYYY")</f>
        <v>01-2026</v>
      </c>
      <c r="C59" s="39" t="s">
        <v>747</v>
      </c>
      <c r="D59" s="36" t="s">
        <v>210</v>
      </c>
      <c r="E59" s="36" t="s">
        <v>213</v>
      </c>
      <c r="F59" s="29" t="b">
        <v>1</v>
      </c>
      <c r="G59" s="49"/>
      <c r="H59" s="49"/>
      <c r="I59" s="33"/>
      <c r="J59" s="33"/>
      <c r="K59" s="37" t="s">
        <v>696</v>
      </c>
      <c r="L59" s="37" t="s">
        <v>382</v>
      </c>
      <c r="M59" s="37" t="s">
        <v>743</v>
      </c>
      <c r="N59" s="37" t="s">
        <v>713</v>
      </c>
      <c r="O59" s="37" t="s">
        <v>263</v>
      </c>
      <c r="P59" s="37" t="s">
        <v>264</v>
      </c>
      <c r="Q59" s="41">
        <v>46267.0</v>
      </c>
      <c r="R59" s="42">
        <v>0.0</v>
      </c>
      <c r="S59" s="55"/>
      <c r="T59" s="37" t="s">
        <v>265</v>
      </c>
      <c r="U59" s="57" t="str">
        <f>IF(records_2[Type]="Room",records_2[roomNo],records_2[roomNo]&amp;"-"&amp;SUBSTITUTE(RIGHT(records_2[roomNo]&amp;records_2[Type],2),"-",""))</f>
        <v>10-1-116</v>
      </c>
      <c r="V59" s="59" t="str">
        <f t="array" ref="V59">_xlfn.XLOOKUP(records_2[ID], dAir[roomNo], dAir[roomName])</f>
        <v>AIRLOCK</v>
      </c>
      <c r="W59" s="59" t="str">
        <f t="array" ref="W59">_xlfn.XLOOKUP(records_2[ID], dAir[roomNo], dAir[building])</f>
        <v>Building 10</v>
      </c>
      <c r="X59" s="59" t="str">
        <f t="array" ref="X59">_xlfn.XLOOKUP(records_2[ID], dAir[roomNo], dAir[floor])</f>
        <v>Floor 1</v>
      </c>
      <c r="Y59" s="57" t="str">
        <f t="array" ref="Y59">_xlfn.XLOOKUP(records_2[ID], dAir[roomNo], dAir[Class])</f>
        <v>D</v>
      </c>
      <c r="Z59" s="57">
        <f t="array" ref="Z59">_xlfn.XLOOKUP(records_2[Method]&amp;"-"&amp;records_2[Class], dAirSpec[ID], dAirSpec[Spec])</f>
        <v>100</v>
      </c>
      <c r="AA59" s="57" t="str">
        <f t="array" ref="AA59">_xlfn.XLOOKUP(records_2[Method]&amp;"-"&amp;records_2[Class], dAirSpec[ID], dAirSpec[Unit])</f>
        <v>cfu/plate</v>
      </c>
      <c r="AB59" s="62">
        <f t="array" ref="AB59">if(R59="","", if(records_2[Method]="Active Air",_xlfn.xlookup(records_2[ColonyCount]&amp;records_2[AirSampler],feller[code],feller[Vc]),records_2[ColonyCount]))</f>
        <v>0</v>
      </c>
      <c r="AC59" s="63" t="b">
        <f t="shared" si="1"/>
        <v>1</v>
      </c>
      <c r="AD59" s="61" t="b">
        <v>0</v>
      </c>
      <c r="AE59" s="32" t="s">
        <v>280</v>
      </c>
      <c r="AF59" s="46"/>
      <c r="AG59" s="46"/>
      <c r="AH59" s="46"/>
      <c r="AI59" s="46"/>
      <c r="AJ59" s="46"/>
    </row>
    <row r="60" ht="22.5" customHeight="1">
      <c r="A60" s="27">
        <v>46040.0</v>
      </c>
      <c r="B60" s="34" t="str">
        <f t="array" ref="B60">TEXT(A60, "MM-YYYY")</f>
        <v>01-2026</v>
      </c>
      <c r="C60" s="39" t="s">
        <v>698</v>
      </c>
      <c r="D60" s="36" t="s">
        <v>210</v>
      </c>
      <c r="E60" s="36" t="s">
        <v>213</v>
      </c>
      <c r="F60" s="29" t="b">
        <v>1</v>
      </c>
      <c r="G60" s="49"/>
      <c r="H60" s="49"/>
      <c r="I60" s="33"/>
      <c r="J60" s="33"/>
      <c r="K60" s="37" t="s">
        <v>751</v>
      </c>
      <c r="L60" s="37" t="s">
        <v>752</v>
      </c>
      <c r="M60" s="37" t="s">
        <v>743</v>
      </c>
      <c r="N60" s="37" t="s">
        <v>713</v>
      </c>
      <c r="O60" s="37" t="s">
        <v>263</v>
      </c>
      <c r="P60" s="37" t="s">
        <v>264</v>
      </c>
      <c r="Q60" s="41">
        <v>46267.0</v>
      </c>
      <c r="R60" s="42">
        <v>0.0</v>
      </c>
      <c r="S60" s="55"/>
      <c r="T60" s="37" t="s">
        <v>265</v>
      </c>
      <c r="U60" s="57" t="str">
        <f>IF(records_2[Type]="Room",records_2[roomNo],records_2[roomNo]&amp;"-"&amp;SUBSTITUTE(RIGHT(records_2[roomNo]&amp;records_2[Type],2),"-",""))</f>
        <v>10-1-117</v>
      </c>
      <c r="V60" s="59" t="str">
        <f t="array" ref="V60">_xlfn.XLOOKUP(records_2[ID], dAir[roomNo], dAir[roomName])</f>
        <v>USED EQUIPMENT</v>
      </c>
      <c r="W60" s="59" t="str">
        <f t="array" ref="W60">_xlfn.XLOOKUP(records_2[ID], dAir[roomNo], dAir[building])</f>
        <v>Building 10</v>
      </c>
      <c r="X60" s="59" t="str">
        <f t="array" ref="X60">_xlfn.XLOOKUP(records_2[ID], dAir[roomNo], dAir[floor])</f>
        <v>Floor 1</v>
      </c>
      <c r="Y60" s="57" t="str">
        <f t="array" ref="Y60">_xlfn.XLOOKUP(records_2[ID], dAir[roomNo], dAir[Class])</f>
        <v>D</v>
      </c>
      <c r="Z60" s="57">
        <f t="array" ref="Z60">_xlfn.XLOOKUP(records_2[Method]&amp;"-"&amp;records_2[Class], dAirSpec[ID], dAirSpec[Spec])</f>
        <v>100</v>
      </c>
      <c r="AA60" s="57" t="str">
        <f t="array" ref="AA60">_xlfn.XLOOKUP(records_2[Method]&amp;"-"&amp;records_2[Class], dAirSpec[ID], dAirSpec[Unit])</f>
        <v>cfu/plate</v>
      </c>
      <c r="AB60" s="62">
        <f t="array" ref="AB60">if(R60="","", if(records_2[Method]="Active Air",_xlfn.xlookup(records_2[ColonyCount]&amp;records_2[AirSampler],feller[code],feller[Vc]),records_2[ColonyCount]))</f>
        <v>0</v>
      </c>
      <c r="AC60" s="63" t="b">
        <f t="shared" si="1"/>
        <v>1</v>
      </c>
      <c r="AD60" s="61" t="b">
        <v>0</v>
      </c>
      <c r="AE60" s="32" t="s">
        <v>280</v>
      </c>
      <c r="AF60" s="46"/>
      <c r="AG60" s="46"/>
      <c r="AH60" s="46"/>
      <c r="AI60" s="46"/>
      <c r="AJ60" s="46"/>
    </row>
    <row r="61" ht="22.5" customHeight="1">
      <c r="A61" s="27">
        <v>46040.0</v>
      </c>
      <c r="B61" s="34" t="str">
        <f t="array" ref="B61">TEXT(A61, "MM-YYYY")</f>
        <v>01-2026</v>
      </c>
      <c r="C61" s="39" t="s">
        <v>761</v>
      </c>
      <c r="D61" s="36" t="s">
        <v>210</v>
      </c>
      <c r="E61" s="36" t="s">
        <v>213</v>
      </c>
      <c r="F61" s="29" t="b">
        <v>1</v>
      </c>
      <c r="G61" s="49"/>
      <c r="H61" s="49"/>
      <c r="I61" s="33"/>
      <c r="J61" s="33"/>
      <c r="K61" s="37" t="s">
        <v>762</v>
      </c>
      <c r="L61" s="37" t="s">
        <v>764</v>
      </c>
      <c r="M61" s="37" t="s">
        <v>658</v>
      </c>
      <c r="N61" s="37" t="s">
        <v>650</v>
      </c>
      <c r="O61" s="37" t="s">
        <v>263</v>
      </c>
      <c r="P61" s="37" t="s">
        <v>264</v>
      </c>
      <c r="Q61" s="41">
        <v>46267.0</v>
      </c>
      <c r="R61" s="42">
        <v>0.0</v>
      </c>
      <c r="S61" s="55"/>
      <c r="T61" s="37" t="s">
        <v>265</v>
      </c>
      <c r="U61" s="57" t="str">
        <f>IF(records_2[Type]="Room",records_2[roomNo],records_2[roomNo]&amp;"-"&amp;SUBSTITUTE(RIGHT(records_2[roomNo]&amp;records_2[Type],2),"-",""))</f>
        <v>10-1-119</v>
      </c>
      <c r="V61" s="59" t="str">
        <f t="array" ref="V61">_xlfn.XLOOKUP(records_2[ID], dAir[roomNo], dAir[roomName])</f>
        <v>CORRIDOR</v>
      </c>
      <c r="W61" s="59" t="str">
        <f t="array" ref="W61">_xlfn.XLOOKUP(records_2[ID], dAir[roomNo], dAir[building])</f>
        <v>Building 10</v>
      </c>
      <c r="X61" s="59" t="str">
        <f t="array" ref="X61">_xlfn.XLOOKUP(records_2[ID], dAir[roomNo], dAir[floor])</f>
        <v>Floor 1</v>
      </c>
      <c r="Y61" s="57" t="str">
        <f t="array" ref="Y61">_xlfn.XLOOKUP(records_2[ID], dAir[roomNo], dAir[Class])</f>
        <v>D</v>
      </c>
      <c r="Z61" s="57">
        <f t="array" ref="Z61">_xlfn.XLOOKUP(records_2[Method]&amp;"-"&amp;records_2[Class], dAirSpec[ID], dAirSpec[Spec])</f>
        <v>100</v>
      </c>
      <c r="AA61" s="57" t="str">
        <f t="array" ref="AA61">_xlfn.XLOOKUP(records_2[Method]&amp;"-"&amp;records_2[Class], dAirSpec[ID], dAirSpec[Unit])</f>
        <v>cfu/plate</v>
      </c>
      <c r="AB61" s="62">
        <f t="array" ref="AB61">if(R61="","", if(records_2[Method]="Active Air",_xlfn.xlookup(records_2[ColonyCount]&amp;records_2[AirSampler],feller[code],feller[Vc]),records_2[ColonyCount]))</f>
        <v>0</v>
      </c>
      <c r="AC61" s="63" t="b">
        <f t="shared" si="1"/>
        <v>1</v>
      </c>
      <c r="AD61" s="61" t="b">
        <v>0</v>
      </c>
      <c r="AE61" s="32" t="s">
        <v>280</v>
      </c>
      <c r="AF61" s="46"/>
      <c r="AG61" s="46"/>
      <c r="AH61" s="46"/>
      <c r="AI61" s="46"/>
      <c r="AJ61" s="46"/>
    </row>
    <row r="62" ht="22.5" customHeight="1">
      <c r="A62" s="27">
        <v>46040.0</v>
      </c>
      <c r="B62" s="34" t="str">
        <f t="array" ref="B62">TEXT(A62, "MM-YYYY")</f>
        <v>01-2026</v>
      </c>
      <c r="C62" s="39" t="s">
        <v>768</v>
      </c>
      <c r="D62" s="36" t="s">
        <v>210</v>
      </c>
      <c r="E62" s="36" t="s">
        <v>213</v>
      </c>
      <c r="F62" s="29" t="b">
        <v>1</v>
      </c>
      <c r="G62" s="49"/>
      <c r="H62" s="49"/>
      <c r="I62" s="33"/>
      <c r="J62" s="33"/>
      <c r="K62" s="37" t="s">
        <v>772</v>
      </c>
      <c r="L62" s="37" t="s">
        <v>773</v>
      </c>
      <c r="M62" s="37" t="s">
        <v>664</v>
      </c>
      <c r="N62" s="37" t="s">
        <v>336</v>
      </c>
      <c r="O62" s="37" t="s">
        <v>263</v>
      </c>
      <c r="P62" s="37" t="s">
        <v>264</v>
      </c>
      <c r="Q62" s="41">
        <v>46267.0</v>
      </c>
      <c r="R62" s="42">
        <v>0.0</v>
      </c>
      <c r="S62" s="55"/>
      <c r="T62" s="37" t="s">
        <v>265</v>
      </c>
      <c r="U62" s="57" t="str">
        <f>IF(records_2[Type]="Room",records_2[roomNo],records_2[roomNo]&amp;"-"&amp;SUBSTITUTE(RIGHT(records_2[roomNo]&amp;records_2[Type],2),"-",""))</f>
        <v>10-1-120</v>
      </c>
      <c r="V62" s="59" t="str">
        <f t="array" ref="V62">_xlfn.XLOOKUP(records_2[ID], dAir[roomNo], dAir[roomName])</f>
        <v>BULK STAGING 3</v>
      </c>
      <c r="W62" s="59" t="str">
        <f t="array" ref="W62">_xlfn.XLOOKUP(records_2[ID], dAir[roomNo], dAir[building])</f>
        <v>Building 10</v>
      </c>
      <c r="X62" s="59" t="str">
        <f t="array" ref="X62">_xlfn.XLOOKUP(records_2[ID], dAir[roomNo], dAir[floor])</f>
        <v>Floor 1</v>
      </c>
      <c r="Y62" s="57" t="str">
        <f t="array" ref="Y62">_xlfn.XLOOKUP(records_2[ID], dAir[roomNo], dAir[Class])</f>
        <v>D</v>
      </c>
      <c r="Z62" s="57">
        <f t="array" ref="Z62">_xlfn.XLOOKUP(records_2[Method]&amp;"-"&amp;records_2[Class], dAirSpec[ID], dAirSpec[Spec])</f>
        <v>100</v>
      </c>
      <c r="AA62" s="57" t="str">
        <f t="array" ref="AA62">_xlfn.XLOOKUP(records_2[Method]&amp;"-"&amp;records_2[Class], dAirSpec[ID], dAirSpec[Unit])</f>
        <v>cfu/plate</v>
      </c>
      <c r="AB62" s="62">
        <f t="array" ref="AB62">if(R62="","", if(records_2[Method]="Active Air",_xlfn.xlookup(records_2[ColonyCount]&amp;records_2[AirSampler],feller[code],feller[Vc]),records_2[ColonyCount]))</f>
        <v>0</v>
      </c>
      <c r="AC62" s="63" t="b">
        <f t="shared" si="1"/>
        <v>1</v>
      </c>
      <c r="AD62" s="61" t="b">
        <v>0</v>
      </c>
      <c r="AE62" s="32" t="s">
        <v>280</v>
      </c>
      <c r="AF62" s="46"/>
      <c r="AG62" s="46"/>
      <c r="AH62" s="46"/>
      <c r="AI62" s="46"/>
      <c r="AJ62" s="46"/>
    </row>
    <row r="63" ht="22.5" customHeight="1">
      <c r="A63" s="27">
        <v>46040.0</v>
      </c>
      <c r="B63" s="34" t="str">
        <f t="array" ref="B63">TEXT(A63, "MM-YYYY")</f>
        <v>01-2026</v>
      </c>
      <c r="C63" s="39" t="s">
        <v>433</v>
      </c>
      <c r="D63" s="36" t="s">
        <v>210</v>
      </c>
      <c r="E63" s="36" t="s">
        <v>213</v>
      </c>
      <c r="F63" s="29" t="b">
        <v>1</v>
      </c>
      <c r="G63" s="49"/>
      <c r="H63" s="49"/>
      <c r="I63" s="33"/>
      <c r="J63" s="33"/>
      <c r="K63" s="37" t="s">
        <v>194</v>
      </c>
      <c r="L63" s="37" t="s">
        <v>194</v>
      </c>
      <c r="M63" s="37" t="s">
        <v>332</v>
      </c>
      <c r="N63" s="37" t="s">
        <v>778</v>
      </c>
      <c r="O63" s="37" t="s">
        <v>263</v>
      </c>
      <c r="P63" s="37" t="s">
        <v>264</v>
      </c>
      <c r="Q63" s="41">
        <v>46267.0</v>
      </c>
      <c r="R63" s="42">
        <v>0.0</v>
      </c>
      <c r="S63" s="55"/>
      <c r="T63" s="37" t="s">
        <v>265</v>
      </c>
      <c r="U63" s="57" t="str">
        <f>IF(records_2[Type]="Room",records_2[roomNo],records_2[roomNo]&amp;"-"&amp;SUBSTITUTE(RIGHT(records_2[roomNo]&amp;records_2[Type],2),"-",""))</f>
        <v>10-1-121</v>
      </c>
      <c r="V63" s="59" t="str">
        <f t="array" ref="V63">_xlfn.XLOOKUP(records_2[ID], dAir[roomNo], dAir[roomName])</f>
        <v>TABLETS INSPECTION 1 (LOW RH) (TABLET INSPECTIONMACHINE)</v>
      </c>
      <c r="W63" s="59" t="str">
        <f t="array" ref="W63">_xlfn.XLOOKUP(records_2[ID], dAir[roomNo], dAir[building])</f>
        <v>Building 10</v>
      </c>
      <c r="X63" s="59" t="str">
        <f t="array" ref="X63">_xlfn.XLOOKUP(records_2[ID], dAir[roomNo], dAir[floor])</f>
        <v>Floor 1</v>
      </c>
      <c r="Y63" s="57" t="str">
        <f t="array" ref="Y63">_xlfn.XLOOKUP(records_2[ID], dAir[roomNo], dAir[Class])</f>
        <v>D</v>
      </c>
      <c r="Z63" s="57">
        <f t="array" ref="Z63">_xlfn.XLOOKUP(records_2[Method]&amp;"-"&amp;records_2[Class], dAirSpec[ID], dAirSpec[Spec])</f>
        <v>100</v>
      </c>
      <c r="AA63" s="57" t="str">
        <f t="array" ref="AA63">_xlfn.XLOOKUP(records_2[Method]&amp;"-"&amp;records_2[Class], dAirSpec[ID], dAirSpec[Unit])</f>
        <v>cfu/plate</v>
      </c>
      <c r="AB63" s="62">
        <f t="array" ref="AB63">if(R63="","", if(records_2[Method]="Active Air",_xlfn.xlookup(records_2[ColonyCount]&amp;records_2[AirSampler],feller[code],feller[Vc]),records_2[ColonyCount]))</f>
        <v>0</v>
      </c>
      <c r="AC63" s="63" t="b">
        <f t="shared" si="1"/>
        <v>1</v>
      </c>
      <c r="AD63" s="61" t="b">
        <v>0</v>
      </c>
      <c r="AE63" s="32" t="s">
        <v>280</v>
      </c>
      <c r="AF63" s="46"/>
      <c r="AG63" s="46"/>
      <c r="AH63" s="46"/>
      <c r="AI63" s="46"/>
      <c r="AJ63" s="46"/>
    </row>
    <row r="64" ht="22.5" customHeight="1">
      <c r="A64" s="27">
        <v>46040.0</v>
      </c>
      <c r="B64" s="34" t="str">
        <f t="array" ref="B64">TEXT(A64, "MM-YYYY")</f>
        <v>01-2026</v>
      </c>
      <c r="C64" s="39" t="s">
        <v>422</v>
      </c>
      <c r="D64" s="36" t="s">
        <v>210</v>
      </c>
      <c r="E64" s="36" t="s">
        <v>213</v>
      </c>
      <c r="F64" s="29" t="b">
        <v>1</v>
      </c>
      <c r="G64" s="49"/>
      <c r="H64" s="49"/>
      <c r="I64" s="33"/>
      <c r="J64" s="33"/>
      <c r="K64" s="37" t="s">
        <v>784</v>
      </c>
      <c r="L64" s="37" t="s">
        <v>742</v>
      </c>
      <c r="M64" s="37" t="s">
        <v>785</v>
      </c>
      <c r="N64" s="37" t="s">
        <v>778</v>
      </c>
      <c r="O64" s="37" t="s">
        <v>263</v>
      </c>
      <c r="P64" s="37" t="s">
        <v>264</v>
      </c>
      <c r="Q64" s="41">
        <v>46267.0</v>
      </c>
      <c r="R64" s="42">
        <v>0.0</v>
      </c>
      <c r="S64" s="55"/>
      <c r="T64" s="37" t="s">
        <v>265</v>
      </c>
      <c r="U64" s="57" t="str">
        <f>IF(records_2[Type]="Room",records_2[roomNo],records_2[roomNo]&amp;"-"&amp;SUBSTITUTE(RIGHT(records_2[roomNo]&amp;records_2[Type],2),"-",""))</f>
        <v>10-1-122</v>
      </c>
      <c r="V64" s="59" t="str">
        <f t="array" ref="V64">_xlfn.XLOOKUP(records_2[ID], dAir[roomNo], dAir[roomName])</f>
        <v>TABLETS INSPECTION 2 (TABLET INSPECTION MACHINE)</v>
      </c>
      <c r="W64" s="59" t="str">
        <f t="array" ref="W64">_xlfn.XLOOKUP(records_2[ID], dAir[roomNo], dAir[building])</f>
        <v>Building 10</v>
      </c>
      <c r="X64" s="59" t="str">
        <f t="array" ref="X64">_xlfn.XLOOKUP(records_2[ID], dAir[roomNo], dAir[floor])</f>
        <v>Floor 1</v>
      </c>
      <c r="Y64" s="57" t="str">
        <f t="array" ref="Y64">_xlfn.XLOOKUP(records_2[ID], dAir[roomNo], dAir[Class])</f>
        <v>D</v>
      </c>
      <c r="Z64" s="57">
        <f t="array" ref="Z64">_xlfn.XLOOKUP(records_2[Method]&amp;"-"&amp;records_2[Class], dAirSpec[ID], dAirSpec[Spec])</f>
        <v>100</v>
      </c>
      <c r="AA64" s="57" t="str">
        <f t="array" ref="AA64">_xlfn.XLOOKUP(records_2[Method]&amp;"-"&amp;records_2[Class], dAirSpec[ID], dAirSpec[Unit])</f>
        <v>cfu/plate</v>
      </c>
      <c r="AB64" s="62">
        <f t="array" ref="AB64">if(R64="","", if(records_2[Method]="Active Air",_xlfn.xlookup(records_2[ColonyCount]&amp;records_2[AirSampler],feller[code],feller[Vc]),records_2[ColonyCount]))</f>
        <v>0</v>
      </c>
      <c r="AC64" s="63" t="b">
        <f t="shared" si="1"/>
        <v>1</v>
      </c>
      <c r="AD64" s="61" t="b">
        <v>0</v>
      </c>
      <c r="AE64" s="32" t="s">
        <v>280</v>
      </c>
      <c r="AF64" s="46"/>
      <c r="AG64" s="46"/>
      <c r="AH64" s="46"/>
      <c r="AI64" s="46"/>
      <c r="AJ64" s="46"/>
    </row>
    <row r="65" ht="22.5" customHeight="1">
      <c r="A65" s="27">
        <v>46040.0</v>
      </c>
      <c r="B65" s="34" t="str">
        <f t="array" ref="B65">TEXT(A65, "MM-YYYY")</f>
        <v>01-2026</v>
      </c>
      <c r="C65" s="39" t="s">
        <v>794</v>
      </c>
      <c r="D65" s="36" t="s">
        <v>210</v>
      </c>
      <c r="E65" s="36" t="s">
        <v>213</v>
      </c>
      <c r="F65" s="29" t="b">
        <v>1</v>
      </c>
      <c r="G65" s="49"/>
      <c r="H65" s="49"/>
      <c r="I65" s="33"/>
      <c r="J65" s="33"/>
      <c r="K65" s="37" t="s">
        <v>359</v>
      </c>
      <c r="L65" s="37" t="s">
        <v>742</v>
      </c>
      <c r="M65" s="37" t="s">
        <v>332</v>
      </c>
      <c r="N65" s="37" t="s">
        <v>778</v>
      </c>
      <c r="O65" s="37" t="s">
        <v>263</v>
      </c>
      <c r="P65" s="37" t="s">
        <v>264</v>
      </c>
      <c r="Q65" s="41">
        <v>46267.0</v>
      </c>
      <c r="R65" s="42">
        <v>0.0</v>
      </c>
      <c r="S65" s="55"/>
      <c r="T65" s="37" t="s">
        <v>265</v>
      </c>
      <c r="U65" s="57" t="str">
        <f>IF(records_2[Type]="Room",records_2[roomNo],records_2[roomNo]&amp;"-"&amp;SUBSTITUTE(RIGHT(records_2[roomNo]&amp;records_2[Type],2),"-",""))</f>
        <v>10-1-123</v>
      </c>
      <c r="V65" s="59" t="str">
        <f t="array" ref="V65">_xlfn.XLOOKUP(records_2[ID], dAir[roomNo], dAir[roomName])</f>
        <v>AIR LOCK</v>
      </c>
      <c r="W65" s="59" t="str">
        <f t="array" ref="W65">_xlfn.XLOOKUP(records_2[ID], dAir[roomNo], dAir[building])</f>
        <v>Building 10</v>
      </c>
      <c r="X65" s="59" t="str">
        <f t="array" ref="X65">_xlfn.XLOOKUP(records_2[ID], dAir[roomNo], dAir[floor])</f>
        <v>Floor 1</v>
      </c>
      <c r="Y65" s="57" t="str">
        <f t="array" ref="Y65">_xlfn.XLOOKUP(records_2[ID], dAir[roomNo], dAir[Class])</f>
        <v>D</v>
      </c>
      <c r="Z65" s="57">
        <f t="array" ref="Z65">_xlfn.XLOOKUP(records_2[Method]&amp;"-"&amp;records_2[Class], dAirSpec[ID], dAirSpec[Spec])</f>
        <v>100</v>
      </c>
      <c r="AA65" s="57" t="str">
        <f t="array" ref="AA65">_xlfn.XLOOKUP(records_2[Method]&amp;"-"&amp;records_2[Class], dAirSpec[ID], dAirSpec[Unit])</f>
        <v>cfu/plate</v>
      </c>
      <c r="AB65" s="62">
        <f t="array" ref="AB65">if(R65="","", if(records_2[Method]="Active Air",_xlfn.xlookup(records_2[ColonyCount]&amp;records_2[AirSampler],feller[code],feller[Vc]),records_2[ColonyCount]))</f>
        <v>0</v>
      </c>
      <c r="AC65" s="63" t="b">
        <f t="shared" si="1"/>
        <v>1</v>
      </c>
      <c r="AD65" s="61" t="b">
        <v>0</v>
      </c>
      <c r="AE65" s="32" t="s">
        <v>280</v>
      </c>
      <c r="AF65" s="46"/>
      <c r="AG65" s="46"/>
      <c r="AH65" s="46"/>
      <c r="AI65" s="46"/>
      <c r="AJ65" s="46"/>
    </row>
    <row r="66" ht="22.5" customHeight="1">
      <c r="A66" s="27">
        <v>46040.0</v>
      </c>
      <c r="B66" s="34" t="str">
        <f t="array" ref="B66">TEXT(A66, "MM-YYYY")</f>
        <v>01-2026</v>
      </c>
      <c r="C66" s="39" t="s">
        <v>801</v>
      </c>
      <c r="D66" s="36" t="s">
        <v>210</v>
      </c>
      <c r="E66" s="36" t="s">
        <v>213</v>
      </c>
      <c r="F66" s="29" t="b">
        <v>1</v>
      </c>
      <c r="G66" s="49"/>
      <c r="H66" s="49"/>
      <c r="I66" s="33"/>
      <c r="J66" s="33"/>
      <c r="K66" s="37" t="s">
        <v>751</v>
      </c>
      <c r="L66" s="37" t="s">
        <v>803</v>
      </c>
      <c r="M66" s="37" t="s">
        <v>785</v>
      </c>
      <c r="N66" s="37" t="s">
        <v>778</v>
      </c>
      <c r="O66" s="37" t="s">
        <v>263</v>
      </c>
      <c r="P66" s="37" t="s">
        <v>264</v>
      </c>
      <c r="Q66" s="41">
        <v>46267.0</v>
      </c>
      <c r="R66" s="42">
        <v>0.0</v>
      </c>
      <c r="S66" s="55"/>
      <c r="T66" s="37" t="s">
        <v>265</v>
      </c>
      <c r="U66" s="57" t="str">
        <f>IF(records_2[Type]="Room",records_2[roomNo],records_2[roomNo]&amp;"-"&amp;SUBSTITUTE(RIGHT(records_2[roomNo]&amp;records_2[Type],2),"-",""))</f>
        <v>10-1-124</v>
      </c>
      <c r="V66" s="59" t="str">
        <f t="array" ref="V66">_xlfn.XLOOKUP(records_2[ID], dAir[roomNo], dAir[roomName])</f>
        <v>AIR LOCK</v>
      </c>
      <c r="W66" s="59" t="str">
        <f t="array" ref="W66">_xlfn.XLOOKUP(records_2[ID], dAir[roomNo], dAir[building])</f>
        <v>Building 10</v>
      </c>
      <c r="X66" s="59" t="str">
        <f t="array" ref="X66">_xlfn.XLOOKUP(records_2[ID], dAir[roomNo], dAir[floor])</f>
        <v>Floor 1</v>
      </c>
      <c r="Y66" s="57" t="str">
        <f t="array" ref="Y66">_xlfn.XLOOKUP(records_2[ID], dAir[roomNo], dAir[Class])</f>
        <v>D</v>
      </c>
      <c r="Z66" s="57">
        <f t="array" ref="Z66">_xlfn.XLOOKUP(records_2[Method]&amp;"-"&amp;records_2[Class], dAirSpec[ID], dAirSpec[Spec])</f>
        <v>100</v>
      </c>
      <c r="AA66" s="57" t="str">
        <f t="array" ref="AA66">_xlfn.XLOOKUP(records_2[Method]&amp;"-"&amp;records_2[Class], dAirSpec[ID], dAirSpec[Unit])</f>
        <v>cfu/plate</v>
      </c>
      <c r="AB66" s="62">
        <f t="array" ref="AB66">if(R66="","", if(records_2[Method]="Active Air",_xlfn.xlookup(records_2[ColonyCount]&amp;records_2[AirSampler],feller[code],feller[Vc]),records_2[ColonyCount]))</f>
        <v>0</v>
      </c>
      <c r="AC66" s="63" t="b">
        <f t="shared" si="1"/>
        <v>1</v>
      </c>
      <c r="AD66" s="61" t="b">
        <v>0</v>
      </c>
      <c r="AE66" s="32" t="s">
        <v>280</v>
      </c>
      <c r="AF66" s="46"/>
      <c r="AG66" s="46"/>
      <c r="AH66" s="46"/>
      <c r="AI66" s="46"/>
      <c r="AJ66" s="46"/>
    </row>
    <row r="67" ht="22.5" customHeight="1">
      <c r="A67" s="27">
        <v>46040.0</v>
      </c>
      <c r="B67" s="34" t="str">
        <f t="array" ref="B67">TEXT(A67, "MM-YYYY")</f>
        <v>01-2026</v>
      </c>
      <c r="C67" s="39" t="s">
        <v>808</v>
      </c>
      <c r="D67" s="36" t="s">
        <v>210</v>
      </c>
      <c r="E67" s="36" t="s">
        <v>213</v>
      </c>
      <c r="F67" s="29" t="b">
        <v>1</v>
      </c>
      <c r="G67" s="49"/>
      <c r="H67" s="49"/>
      <c r="I67" s="33"/>
      <c r="J67" s="33"/>
      <c r="K67" s="37" t="s">
        <v>386</v>
      </c>
      <c r="L67" s="37" t="s">
        <v>810</v>
      </c>
      <c r="M67" s="37" t="s">
        <v>677</v>
      </c>
      <c r="N67" s="37" t="s">
        <v>811</v>
      </c>
      <c r="O67" s="37" t="s">
        <v>263</v>
      </c>
      <c r="P67" s="37" t="s">
        <v>264</v>
      </c>
      <c r="Q67" s="41">
        <v>46267.0</v>
      </c>
      <c r="R67" s="42">
        <v>0.0</v>
      </c>
      <c r="S67" s="55"/>
      <c r="T67" s="37" t="s">
        <v>265</v>
      </c>
      <c r="U67" s="57" t="str">
        <f>IF(records_2[Type]="Room",records_2[roomNo],records_2[roomNo]&amp;"-"&amp;SUBSTITUTE(RIGHT(records_2[roomNo]&amp;records_2[Type],2),"-",""))</f>
        <v>10-1-125</v>
      </c>
      <c r="V67" s="59" t="str">
        <f t="array" ref="V67">_xlfn.XLOOKUP(records_2[ID], dAir[roomNo], dAir[roomName])</f>
        <v>PPM STAGNG</v>
      </c>
      <c r="W67" s="59" t="str">
        <f t="array" ref="W67">_xlfn.XLOOKUP(records_2[ID], dAir[roomNo], dAir[building])</f>
        <v>Building 10</v>
      </c>
      <c r="X67" s="59" t="str">
        <f t="array" ref="X67">_xlfn.XLOOKUP(records_2[ID], dAir[roomNo], dAir[floor])</f>
        <v>Floor 1</v>
      </c>
      <c r="Y67" s="57" t="str">
        <f t="array" ref="Y67">_xlfn.XLOOKUP(records_2[ID], dAir[roomNo], dAir[Class])</f>
        <v>D</v>
      </c>
      <c r="Z67" s="57">
        <f t="array" ref="Z67">_xlfn.XLOOKUP(records_2[Method]&amp;"-"&amp;records_2[Class], dAirSpec[ID], dAirSpec[Spec])</f>
        <v>100</v>
      </c>
      <c r="AA67" s="57" t="str">
        <f t="array" ref="AA67">_xlfn.XLOOKUP(records_2[Method]&amp;"-"&amp;records_2[Class], dAirSpec[ID], dAirSpec[Unit])</f>
        <v>cfu/plate</v>
      </c>
      <c r="AB67" s="62">
        <f t="array" ref="AB67">if(R67="","", if(records_2[Method]="Active Air",_xlfn.xlookup(records_2[ColonyCount]&amp;records_2[AirSampler],feller[code],feller[Vc]),records_2[ColonyCount]))</f>
        <v>0</v>
      </c>
      <c r="AC67" s="63" t="b">
        <f t="shared" si="1"/>
        <v>1</v>
      </c>
      <c r="AD67" s="61" t="b">
        <v>0</v>
      </c>
      <c r="AE67" s="32" t="s">
        <v>280</v>
      </c>
      <c r="AF67" s="46"/>
      <c r="AG67" s="46"/>
      <c r="AH67" s="46"/>
      <c r="AI67" s="46"/>
      <c r="AJ67" s="46"/>
    </row>
    <row r="68" ht="22.5" customHeight="1">
      <c r="A68" s="27">
        <v>46040.0</v>
      </c>
      <c r="B68" s="34" t="str">
        <f t="array" ref="B68">TEXT(A68, "MM-YYYY")</f>
        <v>01-2026</v>
      </c>
      <c r="C68" s="39" t="s">
        <v>720</v>
      </c>
      <c r="D68" s="36" t="s">
        <v>210</v>
      </c>
      <c r="E68" s="36" t="s">
        <v>213</v>
      </c>
      <c r="F68" s="29" t="b">
        <v>1</v>
      </c>
      <c r="G68" s="49"/>
      <c r="H68" s="49"/>
      <c r="I68" s="33"/>
      <c r="J68" s="33"/>
      <c r="K68" s="37" t="s">
        <v>706</v>
      </c>
      <c r="L68" s="37" t="s">
        <v>819</v>
      </c>
      <c r="M68" s="37" t="s">
        <v>820</v>
      </c>
      <c r="N68" s="37" t="s">
        <v>811</v>
      </c>
      <c r="O68" s="37" t="s">
        <v>263</v>
      </c>
      <c r="P68" s="37" t="s">
        <v>264</v>
      </c>
      <c r="Q68" s="41">
        <v>46267.0</v>
      </c>
      <c r="R68" s="42">
        <v>0.0</v>
      </c>
      <c r="S68" s="55"/>
      <c r="T68" s="37" t="s">
        <v>265</v>
      </c>
      <c r="U68" s="57" t="str">
        <f>IF(records_2[Type]="Room",records_2[roomNo],records_2[roomNo]&amp;"-"&amp;SUBSTITUTE(RIGHT(records_2[roomNo]&amp;records_2[Type],2),"-",""))</f>
        <v>10-1-126</v>
      </c>
      <c r="V68" s="59" t="str">
        <f t="array" ref="V68">_xlfn.XLOOKUP(records_2[ID], dAir[roomNo], dAir[roomName])</f>
        <v>BOTTLE CLEANING (BOTTLE CLEANING MACHINE)</v>
      </c>
      <c r="W68" s="59" t="str">
        <f t="array" ref="W68">_xlfn.XLOOKUP(records_2[ID], dAir[roomNo], dAir[building])</f>
        <v>Building 10</v>
      </c>
      <c r="X68" s="59" t="str">
        <f t="array" ref="X68">_xlfn.XLOOKUP(records_2[ID], dAir[roomNo], dAir[floor])</f>
        <v>Floor 1</v>
      </c>
      <c r="Y68" s="57" t="str">
        <f t="array" ref="Y68">_xlfn.XLOOKUP(records_2[ID], dAir[roomNo], dAir[Class])</f>
        <v>D</v>
      </c>
      <c r="Z68" s="57">
        <f t="array" ref="Z68">_xlfn.XLOOKUP(records_2[Method]&amp;"-"&amp;records_2[Class], dAirSpec[ID], dAirSpec[Spec])</f>
        <v>100</v>
      </c>
      <c r="AA68" s="57" t="str">
        <f t="array" ref="AA68">_xlfn.XLOOKUP(records_2[Method]&amp;"-"&amp;records_2[Class], dAirSpec[ID], dAirSpec[Unit])</f>
        <v>cfu/plate</v>
      </c>
      <c r="AB68" s="62">
        <f t="array" ref="AB68">if(R68="","", if(records_2[Method]="Active Air",_xlfn.xlookup(records_2[ColonyCount]&amp;records_2[AirSampler],feller[code],feller[Vc]),records_2[ColonyCount]))</f>
        <v>0</v>
      </c>
      <c r="AC68" s="63" t="b">
        <f t="shared" si="1"/>
        <v>1</v>
      </c>
      <c r="AD68" s="61" t="b">
        <v>0</v>
      </c>
      <c r="AE68" s="32" t="s">
        <v>280</v>
      </c>
      <c r="AF68" s="46"/>
      <c r="AG68" s="46"/>
      <c r="AH68" s="46"/>
      <c r="AI68" s="46"/>
      <c r="AJ68" s="46"/>
    </row>
    <row r="69" ht="22.5" customHeight="1">
      <c r="A69" s="27">
        <v>46040.0</v>
      </c>
      <c r="B69" s="34" t="str">
        <f t="array" ref="B69">TEXT(A69, "MM-YYYY")</f>
        <v>01-2026</v>
      </c>
      <c r="C69" s="39" t="s">
        <v>824</v>
      </c>
      <c r="D69" s="36" t="s">
        <v>210</v>
      </c>
      <c r="E69" s="36" t="s">
        <v>213</v>
      </c>
      <c r="F69" s="29" t="b">
        <v>1</v>
      </c>
      <c r="G69" s="49"/>
      <c r="H69" s="49"/>
      <c r="I69" s="33"/>
      <c r="J69" s="33"/>
      <c r="K69" s="37" t="s">
        <v>751</v>
      </c>
      <c r="L69" s="37" t="s">
        <v>575</v>
      </c>
      <c r="M69" s="37" t="s">
        <v>820</v>
      </c>
      <c r="N69" s="37" t="s">
        <v>811</v>
      </c>
      <c r="O69" s="37" t="s">
        <v>263</v>
      </c>
      <c r="P69" s="37" t="s">
        <v>264</v>
      </c>
      <c r="Q69" s="41">
        <v>46267.0</v>
      </c>
      <c r="R69" s="42">
        <v>0.0</v>
      </c>
      <c r="S69" s="55"/>
      <c r="T69" s="37" t="s">
        <v>265</v>
      </c>
      <c r="U69" s="57" t="str">
        <f>IF(records_2[Type]="Room",records_2[roomNo],records_2[roomNo]&amp;"-"&amp;SUBSTITUTE(RIGHT(records_2[roomNo]&amp;records_2[Type],2),"-",""))</f>
        <v>10-1-128</v>
      </c>
      <c r="V69" s="59" t="str">
        <f t="array" ref="V69">_xlfn.XLOOKUP(records_2[ID], dAir[roomNo], dAir[roomName])</f>
        <v>MAL</v>
      </c>
      <c r="W69" s="59" t="str">
        <f t="array" ref="W69">_xlfn.XLOOKUP(records_2[ID], dAir[roomNo], dAir[building])</f>
        <v>Building 10</v>
      </c>
      <c r="X69" s="59" t="str">
        <f t="array" ref="X69">_xlfn.XLOOKUP(records_2[ID], dAir[roomNo], dAir[floor])</f>
        <v>Floor 1</v>
      </c>
      <c r="Y69" s="57" t="str">
        <f t="array" ref="Y69">_xlfn.XLOOKUP(records_2[ID], dAir[roomNo], dAir[Class])</f>
        <v>D</v>
      </c>
      <c r="Z69" s="57">
        <f t="array" ref="Z69">_xlfn.XLOOKUP(records_2[Method]&amp;"-"&amp;records_2[Class], dAirSpec[ID], dAirSpec[Spec])</f>
        <v>100</v>
      </c>
      <c r="AA69" s="57" t="str">
        <f t="array" ref="AA69">_xlfn.XLOOKUP(records_2[Method]&amp;"-"&amp;records_2[Class], dAirSpec[ID], dAirSpec[Unit])</f>
        <v>cfu/plate</v>
      </c>
      <c r="AB69" s="62">
        <f t="array" ref="AB69">if(R69="","", if(records_2[Method]="Active Air",_xlfn.xlookup(records_2[ColonyCount]&amp;records_2[AirSampler],feller[code],feller[Vc]),records_2[ColonyCount]))</f>
        <v>0</v>
      </c>
      <c r="AC69" s="63" t="b">
        <f t="shared" si="1"/>
        <v>1</v>
      </c>
      <c r="AD69" s="61" t="b">
        <v>0</v>
      </c>
      <c r="AE69" s="32" t="s">
        <v>280</v>
      </c>
      <c r="AF69" s="46"/>
      <c r="AG69" s="46"/>
      <c r="AH69" s="46"/>
      <c r="AI69" s="46"/>
      <c r="AJ69" s="46"/>
    </row>
    <row r="70" ht="22.5" customHeight="1">
      <c r="A70" s="27">
        <v>46040.0</v>
      </c>
      <c r="B70" s="34" t="str">
        <f t="array" ref="B70">TEXT(A70, "MM-YYYY")</f>
        <v>01-2026</v>
      </c>
      <c r="C70" s="39" t="s">
        <v>828</v>
      </c>
      <c r="D70" s="36" t="s">
        <v>210</v>
      </c>
      <c r="E70" s="36" t="s">
        <v>213</v>
      </c>
      <c r="F70" s="29" t="b">
        <v>1</v>
      </c>
      <c r="G70" s="49"/>
      <c r="H70" s="49"/>
      <c r="I70" s="33"/>
      <c r="J70" s="33"/>
      <c r="K70" s="37" t="s">
        <v>700</v>
      </c>
      <c r="L70" s="37" t="s">
        <v>682</v>
      </c>
      <c r="M70" s="37" t="s">
        <v>829</v>
      </c>
      <c r="N70" s="37" t="s">
        <v>399</v>
      </c>
      <c r="O70" s="37" t="s">
        <v>263</v>
      </c>
      <c r="P70" s="37" t="s">
        <v>264</v>
      </c>
      <c r="Q70" s="41">
        <v>46267.0</v>
      </c>
      <c r="R70" s="42">
        <v>1.0</v>
      </c>
      <c r="S70" s="29" t="s">
        <v>830</v>
      </c>
      <c r="T70" s="37" t="s">
        <v>265</v>
      </c>
      <c r="U70" s="57" t="str">
        <f>IF(records_2[Type]="Room",records_2[roomNo],records_2[roomNo]&amp;"-"&amp;SUBSTITUTE(RIGHT(records_2[roomNo]&amp;records_2[Type],2),"-",""))</f>
        <v>10-1-129</v>
      </c>
      <c r="V70" s="59" t="str">
        <f t="array" ref="V70">_xlfn.XLOOKUP(records_2[ID], dAir[roomNo], dAir[roomName])</f>
        <v>CORRIDOR</v>
      </c>
      <c r="W70" s="59" t="str">
        <f t="array" ref="W70">_xlfn.XLOOKUP(records_2[ID], dAir[roomNo], dAir[building])</f>
        <v>Building 10</v>
      </c>
      <c r="X70" s="59" t="str">
        <f t="array" ref="X70">_xlfn.XLOOKUP(records_2[ID], dAir[roomNo], dAir[floor])</f>
        <v>Floor 1</v>
      </c>
      <c r="Y70" s="57" t="str">
        <f t="array" ref="Y70">_xlfn.XLOOKUP(records_2[ID], dAir[roomNo], dAir[Class])</f>
        <v>D</v>
      </c>
      <c r="Z70" s="57">
        <f t="array" ref="Z70">_xlfn.XLOOKUP(records_2[Method]&amp;"-"&amp;records_2[Class], dAirSpec[ID], dAirSpec[Spec])</f>
        <v>100</v>
      </c>
      <c r="AA70" s="57" t="str">
        <f t="array" ref="AA70">_xlfn.XLOOKUP(records_2[Method]&amp;"-"&amp;records_2[Class], dAirSpec[ID], dAirSpec[Unit])</f>
        <v>cfu/plate</v>
      </c>
      <c r="AB70" s="62">
        <f t="array" ref="AB70">if(R70="","", if(records_2[Method]="Active Air",_xlfn.xlookup(records_2[ColonyCount]&amp;records_2[AirSampler],feller[code],feller[Vc]),records_2[ColonyCount]))</f>
        <v>1</v>
      </c>
      <c r="AC70" s="63" t="b">
        <f t="shared" si="1"/>
        <v>1</v>
      </c>
      <c r="AD70" s="61" t="b">
        <v>0</v>
      </c>
      <c r="AE70" s="32" t="s">
        <v>280</v>
      </c>
      <c r="AF70" s="46"/>
      <c r="AG70" s="46"/>
      <c r="AH70" s="46"/>
      <c r="AI70" s="46"/>
      <c r="AJ70" s="46"/>
    </row>
    <row r="71" ht="22.5" customHeight="1">
      <c r="A71" s="18">
        <v>46057.0</v>
      </c>
      <c r="B71" s="20" t="str">
        <f t="array" ref="B71">TEXT(A71, "MM-YYYY")</f>
        <v>02-2026</v>
      </c>
      <c r="C71" s="32" t="s">
        <v>207</v>
      </c>
      <c r="D71" s="21" t="s">
        <v>210</v>
      </c>
      <c r="E71" s="21" t="s">
        <v>213</v>
      </c>
      <c r="F71" s="29" t="b">
        <v>1</v>
      </c>
      <c r="G71" s="49"/>
      <c r="H71" s="49"/>
      <c r="I71" s="33"/>
      <c r="J71" s="33"/>
      <c r="K71" s="51" t="s">
        <v>326</v>
      </c>
      <c r="L71" s="51" t="s">
        <v>834</v>
      </c>
      <c r="M71" s="51" t="s">
        <v>835</v>
      </c>
      <c r="N71" s="51" t="s">
        <v>836</v>
      </c>
      <c r="O71" s="51" t="s">
        <v>837</v>
      </c>
      <c r="P71" s="51" t="s">
        <v>838</v>
      </c>
      <c r="Q71" s="52">
        <v>46082.0</v>
      </c>
      <c r="R71" s="53">
        <v>9.0</v>
      </c>
      <c r="S71" s="55"/>
      <c r="T71" s="51" t="s">
        <v>839</v>
      </c>
      <c r="U71" s="57" t="str">
        <f>IF(records_2[Type]="Room",records_2[roomNo],records_2[roomNo]&amp;"-"&amp;SUBSTITUTE(RIGHT(records_2[roomNo]&amp;records_2[Type],2),"-",""))</f>
        <v>12-2-021</v>
      </c>
      <c r="V71" s="59" t="str">
        <f t="array" ref="V71">_xlfn.XLOOKUP(records_2[ID], dAir[roomNo], dAir[roomName])</f>
        <v>PROCESS CHANGE</v>
      </c>
      <c r="W71" s="59" t="str">
        <f t="array" ref="W71">_xlfn.XLOOKUP(records_2[ID], dAir[roomNo], dAir[building])</f>
        <v>Building 12</v>
      </c>
      <c r="X71" s="59" t="str">
        <f t="array" ref="X71">_xlfn.XLOOKUP(records_2[ID], dAir[roomNo], dAir[floor])</f>
        <v>Floor 2</v>
      </c>
      <c r="Y71" s="57" t="str">
        <f t="array" ref="Y71">_xlfn.XLOOKUP(records_2[ID], dAir[roomNo], dAir[Class])</f>
        <v>D</v>
      </c>
      <c r="Z71" s="57">
        <f t="array" ref="Z71">_xlfn.XLOOKUP(records_2[Method]&amp;"-"&amp;records_2[Class], dAirSpec[ID], dAirSpec[Spec])</f>
        <v>100</v>
      </c>
      <c r="AA71" s="57" t="str">
        <f t="array" ref="AA71">_xlfn.XLOOKUP(records_2[Method]&amp;"-"&amp;records_2[Class], dAirSpec[ID], dAirSpec[Unit])</f>
        <v>cfu/plate</v>
      </c>
      <c r="AB71" s="62">
        <f t="array" ref="AB71">if(R71="","", if(records_2[Method]="Active Air",_xlfn.xlookup(records_2[ColonyCount]&amp;records_2[AirSampler],feller[code],feller[Vc]),records_2[ColonyCount]))</f>
        <v>9</v>
      </c>
      <c r="AC71" s="63" t="b">
        <f t="shared" si="1"/>
        <v>1</v>
      </c>
      <c r="AD71" s="61" t="b">
        <v>0</v>
      </c>
      <c r="AE71" s="32" t="s">
        <v>280</v>
      </c>
      <c r="AF71" s="46"/>
      <c r="AG71" s="46"/>
      <c r="AH71" s="46"/>
      <c r="AI71" s="46"/>
      <c r="AJ71" s="46"/>
    </row>
    <row r="72" ht="22.5" customHeight="1">
      <c r="A72" s="27">
        <v>46057.0</v>
      </c>
      <c r="B72" s="34" t="str">
        <f t="array" ref="B72">TEXT(A72, "MM-YYYY")</f>
        <v>02-2026</v>
      </c>
      <c r="C72" s="39" t="s">
        <v>277</v>
      </c>
      <c r="D72" s="36" t="s">
        <v>210</v>
      </c>
      <c r="E72" s="36" t="s">
        <v>213</v>
      </c>
      <c r="F72" s="29" t="b">
        <v>1</v>
      </c>
      <c r="G72" s="49"/>
      <c r="H72" s="49"/>
      <c r="I72" s="33"/>
      <c r="J72" s="33"/>
      <c r="K72" s="37" t="s">
        <v>377</v>
      </c>
      <c r="L72" s="37" t="s">
        <v>846</v>
      </c>
      <c r="M72" s="37" t="s">
        <v>847</v>
      </c>
      <c r="N72" s="37" t="s">
        <v>836</v>
      </c>
      <c r="O72" s="37" t="s">
        <v>837</v>
      </c>
      <c r="P72" s="37" t="s">
        <v>838</v>
      </c>
      <c r="Q72" s="41">
        <v>46082.0</v>
      </c>
      <c r="R72" s="42">
        <v>1.0</v>
      </c>
      <c r="S72" s="55"/>
      <c r="T72" s="37" t="s">
        <v>839</v>
      </c>
      <c r="U72" s="57" t="str">
        <f>IF(records_2[Type]="Room",records_2[roomNo],records_2[roomNo]&amp;"-"&amp;SUBSTITUTE(RIGHT(records_2[roomNo]&amp;records_2[Type],2),"-",""))</f>
        <v>12-2-022</v>
      </c>
      <c r="V72" s="59" t="str">
        <f t="array" ref="V72">_xlfn.XLOOKUP(records_2[ID], dAir[roomNo], dAir[roomName])</f>
        <v>CORRIDOR</v>
      </c>
      <c r="W72" s="59" t="str">
        <f t="array" ref="W72">_xlfn.XLOOKUP(records_2[ID], dAir[roomNo], dAir[building])</f>
        <v>Building 12</v>
      </c>
      <c r="X72" s="59" t="str">
        <f t="array" ref="X72">_xlfn.XLOOKUP(records_2[ID], dAir[roomNo], dAir[floor])</f>
        <v>Floor 2</v>
      </c>
      <c r="Y72" s="57" t="str">
        <f t="array" ref="Y72">_xlfn.XLOOKUP(records_2[ID], dAir[roomNo], dAir[Class])</f>
        <v>D</v>
      </c>
      <c r="Z72" s="57">
        <f t="array" ref="Z72">_xlfn.XLOOKUP(records_2[Method]&amp;"-"&amp;records_2[Class], dAirSpec[ID], dAirSpec[Spec])</f>
        <v>100</v>
      </c>
      <c r="AA72" s="57" t="str">
        <f t="array" ref="AA72">_xlfn.XLOOKUP(records_2[Method]&amp;"-"&amp;records_2[Class], dAirSpec[ID], dAirSpec[Unit])</f>
        <v>cfu/plate</v>
      </c>
      <c r="AB72" s="62">
        <f t="array" ref="AB72">if(R72="","", if(records_2[Method]="Active Air",_xlfn.xlookup(records_2[ColonyCount]&amp;records_2[AirSampler],feller[code],feller[Vc]),records_2[ColonyCount]))</f>
        <v>1</v>
      </c>
      <c r="AC72" s="63" t="b">
        <f t="shared" si="1"/>
        <v>1</v>
      </c>
      <c r="AD72" s="61" t="b">
        <v>0</v>
      </c>
      <c r="AE72" s="32" t="s">
        <v>280</v>
      </c>
      <c r="AF72" s="46"/>
      <c r="AG72" s="46"/>
      <c r="AH72" s="46"/>
      <c r="AI72" s="46"/>
      <c r="AJ72" s="46"/>
    </row>
    <row r="73" ht="22.5" customHeight="1">
      <c r="A73" s="27">
        <v>46057.0</v>
      </c>
      <c r="B73" s="34" t="str">
        <f t="array" ref="B73">TEXT(A73, "MM-YYYY")</f>
        <v>02-2026</v>
      </c>
      <c r="C73" s="39" t="s">
        <v>302</v>
      </c>
      <c r="D73" s="36" t="s">
        <v>210</v>
      </c>
      <c r="E73" s="36" t="s">
        <v>213</v>
      </c>
      <c r="F73" s="29" t="b">
        <v>1</v>
      </c>
      <c r="G73" s="49"/>
      <c r="H73" s="49"/>
      <c r="I73" s="33"/>
      <c r="J73" s="33"/>
      <c r="K73" s="37" t="s">
        <v>381</v>
      </c>
      <c r="L73" s="37" t="s">
        <v>773</v>
      </c>
      <c r="M73" s="37" t="s">
        <v>866</v>
      </c>
      <c r="N73" s="37" t="s">
        <v>867</v>
      </c>
      <c r="O73" s="37" t="s">
        <v>837</v>
      </c>
      <c r="P73" s="37" t="s">
        <v>838</v>
      </c>
      <c r="Q73" s="41">
        <v>46082.0</v>
      </c>
      <c r="R73" s="42">
        <v>0.0</v>
      </c>
      <c r="S73" s="55"/>
      <c r="T73" s="37" t="s">
        <v>839</v>
      </c>
      <c r="U73" s="57" t="str">
        <f>IF(records_2[Type]="Room",records_2[roomNo],records_2[roomNo]&amp;"-"&amp;SUBSTITUTE(RIGHT(records_2[roomNo]&amp;records_2[Type],2),"-",""))</f>
        <v>12-2-023</v>
      </c>
      <c r="V73" s="59" t="str">
        <f t="array" ref="V73">_xlfn.XLOOKUP(records_2[ID], dAir[roomNo], dAir[roomName])</f>
        <v>AIRLOCK</v>
      </c>
      <c r="W73" s="59" t="str">
        <f t="array" ref="W73">_xlfn.XLOOKUP(records_2[ID], dAir[roomNo], dAir[building])</f>
        <v>Building 12</v>
      </c>
      <c r="X73" s="59" t="str">
        <f t="array" ref="X73">_xlfn.XLOOKUP(records_2[ID], dAir[roomNo], dAir[floor])</f>
        <v>Floor 2</v>
      </c>
      <c r="Y73" s="57" t="str">
        <f t="array" ref="Y73">_xlfn.XLOOKUP(records_2[ID], dAir[roomNo], dAir[Class])</f>
        <v>D</v>
      </c>
      <c r="Z73" s="57">
        <f t="array" ref="Z73">_xlfn.XLOOKUP(records_2[Method]&amp;"-"&amp;records_2[Class], dAirSpec[ID], dAirSpec[Spec])</f>
        <v>100</v>
      </c>
      <c r="AA73" s="57" t="str">
        <f t="array" ref="AA73">_xlfn.XLOOKUP(records_2[Method]&amp;"-"&amp;records_2[Class], dAirSpec[ID], dAirSpec[Unit])</f>
        <v>cfu/plate</v>
      </c>
      <c r="AB73" s="62">
        <f t="array" ref="AB73">if(R73="","", if(records_2[Method]="Active Air",_xlfn.xlookup(records_2[ColonyCount]&amp;records_2[AirSampler],feller[code],feller[Vc]),records_2[ColonyCount]))</f>
        <v>0</v>
      </c>
      <c r="AC73" s="63" t="b">
        <f t="shared" si="1"/>
        <v>1</v>
      </c>
      <c r="AD73" s="61" t="b">
        <v>0</v>
      </c>
      <c r="AE73" s="32" t="s">
        <v>280</v>
      </c>
      <c r="AF73" s="46"/>
      <c r="AG73" s="46"/>
      <c r="AH73" s="46"/>
      <c r="AI73" s="46"/>
      <c r="AJ73" s="46"/>
    </row>
    <row r="74" ht="22.5" customHeight="1">
      <c r="A74" s="27">
        <v>46057.0</v>
      </c>
      <c r="B74" s="34" t="str">
        <f t="array" ref="B74">TEXT(A74, "MM-YYYY")</f>
        <v>02-2026</v>
      </c>
      <c r="C74" s="39" t="s">
        <v>321</v>
      </c>
      <c r="D74" s="36" t="s">
        <v>210</v>
      </c>
      <c r="E74" s="36" t="s">
        <v>213</v>
      </c>
      <c r="F74" s="29" t="b">
        <v>1</v>
      </c>
      <c r="G74" s="49"/>
      <c r="H74" s="49"/>
      <c r="I74" s="33"/>
      <c r="J74" s="33"/>
      <c r="K74" s="37" t="s">
        <v>317</v>
      </c>
      <c r="L74" s="37" t="s">
        <v>707</v>
      </c>
      <c r="M74" s="37" t="s">
        <v>847</v>
      </c>
      <c r="N74" s="37" t="s">
        <v>836</v>
      </c>
      <c r="O74" s="37" t="s">
        <v>837</v>
      </c>
      <c r="P74" s="37" t="s">
        <v>838</v>
      </c>
      <c r="Q74" s="41">
        <v>46082.0</v>
      </c>
      <c r="R74" s="42">
        <v>0.0</v>
      </c>
      <c r="S74" s="55"/>
      <c r="T74" s="37" t="s">
        <v>839</v>
      </c>
      <c r="U74" s="57" t="str">
        <f>IF(records_2[Type]="Room",records_2[roomNo],records_2[roomNo]&amp;"-"&amp;SUBSTITUTE(RIGHT(records_2[roomNo]&amp;records_2[Type],2),"-",""))</f>
        <v>12-2-024</v>
      </c>
      <c r="V74" s="59" t="str">
        <f t="array" ref="V74">_xlfn.XLOOKUP(records_2[ID], dAir[roomNo], dAir[roomName])</f>
        <v>LIQUORICE EXTRACT</v>
      </c>
      <c r="W74" s="59" t="str">
        <f t="array" ref="W74">_xlfn.XLOOKUP(records_2[ID], dAir[roomNo], dAir[building])</f>
        <v>Building 12</v>
      </c>
      <c r="X74" s="59" t="str">
        <f t="array" ref="X74">_xlfn.XLOOKUP(records_2[ID], dAir[roomNo], dAir[floor])</f>
        <v>Floor 2</v>
      </c>
      <c r="Y74" s="57" t="str">
        <f t="array" ref="Y74">_xlfn.XLOOKUP(records_2[ID], dAir[roomNo], dAir[Class])</f>
        <v>D</v>
      </c>
      <c r="Z74" s="57">
        <f t="array" ref="Z74">_xlfn.XLOOKUP(records_2[Method]&amp;"-"&amp;records_2[Class], dAirSpec[ID], dAirSpec[Spec])</f>
        <v>100</v>
      </c>
      <c r="AA74" s="57" t="str">
        <f t="array" ref="AA74">_xlfn.XLOOKUP(records_2[Method]&amp;"-"&amp;records_2[Class], dAirSpec[ID], dAirSpec[Unit])</f>
        <v>cfu/plate</v>
      </c>
      <c r="AB74" s="62">
        <f t="array" ref="AB74">if(R74="","", if(records_2[Method]="Active Air",_xlfn.xlookup(records_2[ColonyCount]&amp;records_2[AirSampler],feller[code],feller[Vc]),records_2[ColonyCount]))</f>
        <v>0</v>
      </c>
      <c r="AC74" s="63" t="b">
        <f t="shared" si="1"/>
        <v>1</v>
      </c>
      <c r="AD74" s="61" t="b">
        <v>0</v>
      </c>
      <c r="AE74" s="32" t="s">
        <v>280</v>
      </c>
      <c r="AF74" s="46"/>
      <c r="AG74" s="46"/>
      <c r="AH74" s="46"/>
      <c r="AI74" s="46"/>
      <c r="AJ74" s="46"/>
    </row>
    <row r="75" ht="22.5" customHeight="1">
      <c r="A75" s="27">
        <v>46057.0</v>
      </c>
      <c r="B75" s="34" t="str">
        <f t="array" ref="B75">TEXT(A75, "MM-YYYY")</f>
        <v>02-2026</v>
      </c>
      <c r="C75" s="39" t="s">
        <v>337</v>
      </c>
      <c r="D75" s="36" t="s">
        <v>210</v>
      </c>
      <c r="E75" s="36" t="s">
        <v>213</v>
      </c>
      <c r="F75" s="29" t="b">
        <v>1</v>
      </c>
      <c r="G75" s="49"/>
      <c r="H75" s="49"/>
      <c r="I75" s="33"/>
      <c r="J75" s="33"/>
      <c r="K75" s="37" t="s">
        <v>326</v>
      </c>
      <c r="L75" s="37" t="s">
        <v>734</v>
      </c>
      <c r="M75" s="37" t="s">
        <v>866</v>
      </c>
      <c r="N75" s="37" t="s">
        <v>867</v>
      </c>
      <c r="O75" s="37" t="s">
        <v>837</v>
      </c>
      <c r="P75" s="37" t="s">
        <v>838</v>
      </c>
      <c r="Q75" s="41">
        <v>46082.0</v>
      </c>
      <c r="R75" s="42">
        <v>1.0</v>
      </c>
      <c r="S75" s="55"/>
      <c r="T75" s="37" t="s">
        <v>839</v>
      </c>
      <c r="U75" s="57" t="str">
        <f>IF(records_2[Type]="Room",records_2[roomNo],records_2[roomNo]&amp;"-"&amp;SUBSTITUTE(RIGHT(records_2[roomNo]&amp;records_2[Type],2),"-",""))</f>
        <v>12-2-025</v>
      </c>
      <c r="V75" s="59" t="str">
        <f t="array" ref="V75">_xlfn.XLOOKUP(records_2[ID], dAir[roomNo], dAir[roomName])</f>
        <v>SOLVENTS STORAGE</v>
      </c>
      <c r="W75" s="59" t="str">
        <f t="array" ref="W75">_xlfn.XLOOKUP(records_2[ID], dAir[roomNo], dAir[building])</f>
        <v>Building 12</v>
      </c>
      <c r="X75" s="59" t="str">
        <f t="array" ref="X75">_xlfn.XLOOKUP(records_2[ID], dAir[roomNo], dAir[floor])</f>
        <v>Floor 2</v>
      </c>
      <c r="Y75" s="57" t="str">
        <f t="array" ref="Y75">_xlfn.XLOOKUP(records_2[ID], dAir[roomNo], dAir[Class])</f>
        <v>D</v>
      </c>
      <c r="Z75" s="57">
        <f t="array" ref="Z75">_xlfn.XLOOKUP(records_2[Method]&amp;"-"&amp;records_2[Class], dAirSpec[ID], dAirSpec[Spec])</f>
        <v>100</v>
      </c>
      <c r="AA75" s="57" t="str">
        <f t="array" ref="AA75">_xlfn.XLOOKUP(records_2[Method]&amp;"-"&amp;records_2[Class], dAirSpec[ID], dAirSpec[Unit])</f>
        <v>cfu/plate</v>
      </c>
      <c r="AB75" s="62">
        <f t="array" ref="AB75">if(R75="","", if(records_2[Method]="Active Air",_xlfn.xlookup(records_2[ColonyCount]&amp;records_2[AirSampler],feller[code],feller[Vc]),records_2[ColonyCount]))</f>
        <v>1</v>
      </c>
      <c r="AC75" s="63" t="b">
        <f t="shared" si="1"/>
        <v>1</v>
      </c>
      <c r="AD75" s="61" t="b">
        <v>0</v>
      </c>
      <c r="AE75" s="32" t="s">
        <v>280</v>
      </c>
      <c r="AF75" s="46"/>
      <c r="AG75" s="46"/>
      <c r="AH75" s="46"/>
      <c r="AI75" s="46"/>
      <c r="AJ75" s="46"/>
    </row>
    <row r="76" ht="22.5" customHeight="1">
      <c r="A76" s="27">
        <v>46057.0</v>
      </c>
      <c r="B76" s="34" t="str">
        <f t="array" ref="B76">TEXT(A76, "MM-YYYY")</f>
        <v>02-2026</v>
      </c>
      <c r="C76" s="39" t="s">
        <v>347</v>
      </c>
      <c r="D76" s="36" t="s">
        <v>210</v>
      </c>
      <c r="E76" s="36" t="s">
        <v>213</v>
      </c>
      <c r="F76" s="29" t="b">
        <v>1</v>
      </c>
      <c r="G76" s="49"/>
      <c r="H76" s="49"/>
      <c r="I76" s="33"/>
      <c r="J76" s="33"/>
      <c r="K76" s="37" t="s">
        <v>402</v>
      </c>
      <c r="L76" s="37" t="s">
        <v>612</v>
      </c>
      <c r="M76" s="37" t="s">
        <v>935</v>
      </c>
      <c r="N76" s="37" t="s">
        <v>936</v>
      </c>
      <c r="O76" s="37" t="s">
        <v>837</v>
      </c>
      <c r="P76" s="37" t="s">
        <v>838</v>
      </c>
      <c r="Q76" s="41">
        <v>46082.0</v>
      </c>
      <c r="R76" s="42">
        <v>1.0</v>
      </c>
      <c r="S76" s="55"/>
      <c r="T76" s="37" t="s">
        <v>839</v>
      </c>
      <c r="U76" s="57" t="str">
        <f>IF(records_2[Type]="Room",records_2[roomNo],records_2[roomNo]&amp;"-"&amp;SUBSTITUTE(RIGHT(records_2[roomNo]&amp;records_2[Type],2),"-",""))</f>
        <v>12-2-026</v>
      </c>
      <c r="V76" s="59" t="str">
        <f t="array" ref="V76">_xlfn.XLOOKUP(records_2[ID], dAir[roomNo], dAir[roomName])</f>
        <v>CORRIDOR</v>
      </c>
      <c r="W76" s="59" t="str">
        <f t="array" ref="W76">_xlfn.XLOOKUP(records_2[ID], dAir[roomNo], dAir[building])</f>
        <v>Building 12</v>
      </c>
      <c r="X76" s="59" t="str">
        <f t="array" ref="X76">_xlfn.XLOOKUP(records_2[ID], dAir[roomNo], dAir[floor])</f>
        <v>Floor 2</v>
      </c>
      <c r="Y76" s="57" t="str">
        <f t="array" ref="Y76">_xlfn.XLOOKUP(records_2[ID], dAir[roomNo], dAir[Class])</f>
        <v>D</v>
      </c>
      <c r="Z76" s="57">
        <f t="array" ref="Z76">_xlfn.XLOOKUP(records_2[Method]&amp;"-"&amp;records_2[Class], dAirSpec[ID], dAirSpec[Spec])</f>
        <v>100</v>
      </c>
      <c r="AA76" s="57" t="str">
        <f t="array" ref="AA76">_xlfn.XLOOKUP(records_2[Method]&amp;"-"&amp;records_2[Class], dAirSpec[ID], dAirSpec[Unit])</f>
        <v>cfu/plate</v>
      </c>
      <c r="AB76" s="62">
        <f t="array" ref="AB76">if(R76="","", if(records_2[Method]="Active Air",_xlfn.xlookup(records_2[ColonyCount]&amp;records_2[AirSampler],feller[code],feller[Vc]),records_2[ColonyCount]))</f>
        <v>1</v>
      </c>
      <c r="AC76" s="63" t="b">
        <f t="shared" si="1"/>
        <v>1</v>
      </c>
      <c r="AD76" s="61" t="b">
        <v>0</v>
      </c>
      <c r="AE76" s="32" t="s">
        <v>280</v>
      </c>
      <c r="AF76" s="46"/>
      <c r="AG76" s="46"/>
      <c r="AH76" s="46"/>
      <c r="AI76" s="46"/>
      <c r="AJ76" s="46"/>
    </row>
    <row r="77" ht="22.5" customHeight="1">
      <c r="A77" s="27">
        <v>46057.0</v>
      </c>
      <c r="B77" s="34" t="str">
        <f t="array" ref="B77">TEXT(A77, "MM-YYYY")</f>
        <v>02-2026</v>
      </c>
      <c r="C77" s="39" t="s">
        <v>365</v>
      </c>
      <c r="D77" s="36" t="s">
        <v>210</v>
      </c>
      <c r="E77" s="36" t="s">
        <v>213</v>
      </c>
      <c r="F77" s="29" t="b">
        <v>1</v>
      </c>
      <c r="G77" s="49"/>
      <c r="H77" s="49"/>
      <c r="I77" s="33"/>
      <c r="J77" s="33"/>
      <c r="K77" s="37" t="s">
        <v>578</v>
      </c>
      <c r="L77" s="37" t="s">
        <v>958</v>
      </c>
      <c r="M77" s="37" t="s">
        <v>959</v>
      </c>
      <c r="N77" s="37" t="s">
        <v>961</v>
      </c>
      <c r="O77" s="37" t="s">
        <v>837</v>
      </c>
      <c r="P77" s="37" t="s">
        <v>838</v>
      </c>
      <c r="Q77" s="41">
        <v>46082.0</v>
      </c>
      <c r="R77" s="42">
        <v>0.0</v>
      </c>
      <c r="S77" s="55"/>
      <c r="T77" s="37" t="s">
        <v>839</v>
      </c>
      <c r="U77" s="57" t="str">
        <f>IF(records_2[Type]="Room",records_2[roomNo],records_2[roomNo]&amp;"-"&amp;SUBSTITUTE(RIGHT(records_2[roomNo]&amp;records_2[Type],2),"-",""))</f>
        <v>12-2-027</v>
      </c>
      <c r="V77" s="59" t="str">
        <f t="array" ref="V77">_xlfn.XLOOKUP(records_2[ID], dAir[roomNo], dAir[roomName])</f>
        <v>AIRLOCK</v>
      </c>
      <c r="W77" s="59" t="str">
        <f t="array" ref="W77">_xlfn.XLOOKUP(records_2[ID], dAir[roomNo], dAir[building])</f>
        <v>Building 12</v>
      </c>
      <c r="X77" s="59" t="str">
        <f t="array" ref="X77">_xlfn.XLOOKUP(records_2[ID], dAir[roomNo], dAir[floor])</f>
        <v>Floor 2</v>
      </c>
      <c r="Y77" s="57" t="str">
        <f t="array" ref="Y77">_xlfn.XLOOKUP(records_2[ID], dAir[roomNo], dAir[Class])</f>
        <v>D</v>
      </c>
      <c r="Z77" s="57">
        <f t="array" ref="Z77">_xlfn.XLOOKUP(records_2[Method]&amp;"-"&amp;records_2[Class], dAirSpec[ID], dAirSpec[Spec])</f>
        <v>100</v>
      </c>
      <c r="AA77" s="57" t="str">
        <f t="array" ref="AA77">_xlfn.XLOOKUP(records_2[Method]&amp;"-"&amp;records_2[Class], dAirSpec[ID], dAirSpec[Unit])</f>
        <v>cfu/plate</v>
      </c>
      <c r="AB77" s="62">
        <f t="array" ref="AB77">if(R77="","", if(records_2[Method]="Active Air",_xlfn.xlookup(records_2[ColonyCount]&amp;records_2[AirSampler],feller[code],feller[Vc]),records_2[ColonyCount]))</f>
        <v>0</v>
      </c>
      <c r="AC77" s="63" t="b">
        <f t="shared" si="1"/>
        <v>1</v>
      </c>
      <c r="AD77" s="61" t="b">
        <v>0</v>
      </c>
      <c r="AE77" s="32" t="s">
        <v>280</v>
      </c>
      <c r="AF77" s="46"/>
      <c r="AG77" s="46"/>
      <c r="AH77" s="46"/>
      <c r="AI77" s="46"/>
      <c r="AJ77" s="46"/>
    </row>
    <row r="78" ht="22.5" customHeight="1">
      <c r="A78" s="27">
        <v>46057.0</v>
      </c>
      <c r="B78" s="34" t="str">
        <f t="array" ref="B78">TEXT(A78, "MM-YYYY")</f>
        <v>02-2026</v>
      </c>
      <c r="C78" s="39" t="s">
        <v>379</v>
      </c>
      <c r="D78" s="36" t="s">
        <v>210</v>
      </c>
      <c r="E78" s="36" t="s">
        <v>213</v>
      </c>
      <c r="F78" s="29" t="b">
        <v>1</v>
      </c>
      <c r="G78" s="49"/>
      <c r="H78" s="49"/>
      <c r="I78" s="33"/>
      <c r="J78" s="33"/>
      <c r="K78" s="37" t="s">
        <v>546</v>
      </c>
      <c r="L78" s="37" t="s">
        <v>980</v>
      </c>
      <c r="M78" s="37" t="s">
        <v>982</v>
      </c>
      <c r="N78" s="37" t="s">
        <v>961</v>
      </c>
      <c r="O78" s="37" t="s">
        <v>837</v>
      </c>
      <c r="P78" s="37" t="s">
        <v>838</v>
      </c>
      <c r="Q78" s="41">
        <v>46082.0</v>
      </c>
      <c r="R78" s="42">
        <v>0.0</v>
      </c>
      <c r="S78" s="55"/>
      <c r="T78" s="37" t="s">
        <v>839</v>
      </c>
      <c r="U78" s="57" t="str">
        <f>IF(records_2[Type]="Room",records_2[roomNo],records_2[roomNo]&amp;"-"&amp;SUBSTITUTE(RIGHT(records_2[roomNo]&amp;records_2[Type],2),"-",""))</f>
        <v>12-2-028</v>
      </c>
      <c r="V78" s="59" t="str">
        <f t="array" ref="V78">_xlfn.XLOOKUP(records_2[ID], dAir[roomNo], dAir[roomName])</f>
        <v>ALCOHOL STORAGE</v>
      </c>
      <c r="W78" s="59" t="str">
        <f t="array" ref="W78">_xlfn.XLOOKUP(records_2[ID], dAir[roomNo], dAir[building])</f>
        <v>Building 12</v>
      </c>
      <c r="X78" s="59" t="str">
        <f t="array" ref="X78">_xlfn.XLOOKUP(records_2[ID], dAir[roomNo], dAir[floor])</f>
        <v>Floor 2</v>
      </c>
      <c r="Y78" s="57" t="str">
        <f t="array" ref="Y78">_xlfn.XLOOKUP(records_2[ID], dAir[roomNo], dAir[Class])</f>
        <v>D</v>
      </c>
      <c r="Z78" s="57">
        <f t="array" ref="Z78">_xlfn.XLOOKUP(records_2[Method]&amp;"-"&amp;records_2[Class], dAirSpec[ID], dAirSpec[Spec])</f>
        <v>100</v>
      </c>
      <c r="AA78" s="57" t="str">
        <f t="array" ref="AA78">_xlfn.XLOOKUP(records_2[Method]&amp;"-"&amp;records_2[Class], dAirSpec[ID], dAirSpec[Unit])</f>
        <v>cfu/plate</v>
      </c>
      <c r="AB78" s="62">
        <f t="array" ref="AB78">if(R78="","", if(records_2[Method]="Active Air",_xlfn.xlookup(records_2[ColonyCount]&amp;records_2[AirSampler],feller[code],feller[Vc]),records_2[ColonyCount]))</f>
        <v>0</v>
      </c>
      <c r="AC78" s="63" t="b">
        <f t="shared" si="1"/>
        <v>1</v>
      </c>
      <c r="AD78" s="61" t="b">
        <v>0</v>
      </c>
      <c r="AE78" s="32" t="s">
        <v>280</v>
      </c>
      <c r="AF78" s="46"/>
      <c r="AG78" s="46"/>
      <c r="AH78" s="46"/>
      <c r="AI78" s="46"/>
      <c r="AJ78" s="46"/>
    </row>
    <row r="79" ht="22.5" customHeight="1">
      <c r="A79" s="27">
        <v>46057.0</v>
      </c>
      <c r="B79" s="34" t="str">
        <f t="array" ref="B79">TEXT(A79, "MM-YYYY")</f>
        <v>02-2026</v>
      </c>
      <c r="C79" s="39" t="s">
        <v>391</v>
      </c>
      <c r="D79" s="36" t="s">
        <v>210</v>
      </c>
      <c r="E79" s="36" t="s">
        <v>213</v>
      </c>
      <c r="F79" s="29" t="b">
        <v>1</v>
      </c>
      <c r="G79" s="49"/>
      <c r="H79" s="49"/>
      <c r="I79" s="33"/>
      <c r="J79" s="33"/>
      <c r="K79" s="37" t="s">
        <v>292</v>
      </c>
      <c r="L79" s="37" t="s">
        <v>1005</v>
      </c>
      <c r="M79" s="37" t="s">
        <v>1006</v>
      </c>
      <c r="N79" s="37" t="s">
        <v>936</v>
      </c>
      <c r="O79" s="37" t="s">
        <v>837</v>
      </c>
      <c r="P79" s="37" t="s">
        <v>838</v>
      </c>
      <c r="Q79" s="41">
        <v>46082.0</v>
      </c>
      <c r="R79" s="42">
        <v>0.0</v>
      </c>
      <c r="S79" s="55"/>
      <c r="T79" s="37" t="s">
        <v>839</v>
      </c>
      <c r="U79" s="57" t="str">
        <f>IF(records_2[Type]="Room",records_2[roomNo],records_2[roomNo]&amp;"-"&amp;SUBSTITUTE(RIGHT(records_2[roomNo]&amp;records_2[Type],2),"-",""))</f>
        <v>12-2-029</v>
      </c>
      <c r="V79" s="59" t="str">
        <f t="array" ref="V79">_xlfn.XLOOKUP(records_2[ID], dAir[roomNo], dAir[roomName])</f>
        <v>AIRLOCK</v>
      </c>
      <c r="W79" s="59" t="str">
        <f t="array" ref="W79">_xlfn.XLOOKUP(records_2[ID], dAir[roomNo], dAir[building])</f>
        <v>Building 12</v>
      </c>
      <c r="X79" s="59" t="str">
        <f t="array" ref="X79">_xlfn.XLOOKUP(records_2[ID], dAir[roomNo], dAir[floor])</f>
        <v>Floor 2</v>
      </c>
      <c r="Y79" s="57" t="str">
        <f t="array" ref="Y79">_xlfn.XLOOKUP(records_2[ID], dAir[roomNo], dAir[Class])</f>
        <v>D</v>
      </c>
      <c r="Z79" s="57">
        <f t="array" ref="Z79">_xlfn.XLOOKUP(records_2[Method]&amp;"-"&amp;records_2[Class], dAirSpec[ID], dAirSpec[Spec])</f>
        <v>100</v>
      </c>
      <c r="AA79" s="57" t="str">
        <f t="array" ref="AA79">_xlfn.XLOOKUP(records_2[Method]&amp;"-"&amp;records_2[Class], dAirSpec[ID], dAirSpec[Unit])</f>
        <v>cfu/plate</v>
      </c>
      <c r="AB79" s="62">
        <f t="array" ref="AB79">if(R79="","", if(records_2[Method]="Active Air",_xlfn.xlookup(records_2[ColonyCount]&amp;records_2[AirSampler],feller[code],feller[Vc]),records_2[ColonyCount]))</f>
        <v>0</v>
      </c>
      <c r="AC79" s="63" t="b">
        <f t="shared" si="1"/>
        <v>1</v>
      </c>
      <c r="AD79" s="61" t="b">
        <v>0</v>
      </c>
      <c r="AE79" s="32" t="s">
        <v>280</v>
      </c>
      <c r="AF79" s="46"/>
      <c r="AG79" s="46"/>
      <c r="AH79" s="46"/>
      <c r="AI79" s="46"/>
      <c r="AJ79" s="46"/>
    </row>
    <row r="80" ht="22.5" customHeight="1">
      <c r="A80" s="27">
        <v>46057.0</v>
      </c>
      <c r="B80" s="34" t="str">
        <f t="array" ref="B80">TEXT(A80, "MM-YYYY")</f>
        <v>02-2026</v>
      </c>
      <c r="C80" s="39" t="s">
        <v>404</v>
      </c>
      <c r="D80" s="36" t="s">
        <v>210</v>
      </c>
      <c r="E80" s="36" t="s">
        <v>213</v>
      </c>
      <c r="F80" s="29" t="b">
        <v>1</v>
      </c>
      <c r="G80" s="49"/>
      <c r="H80" s="49"/>
      <c r="I80" s="33"/>
      <c r="J80" s="33"/>
      <c r="K80" s="37" t="s">
        <v>326</v>
      </c>
      <c r="L80" s="37" t="s">
        <v>1031</v>
      </c>
      <c r="M80" s="37" t="s">
        <v>1006</v>
      </c>
      <c r="N80" s="37" t="s">
        <v>936</v>
      </c>
      <c r="O80" s="37" t="s">
        <v>837</v>
      </c>
      <c r="P80" s="37" t="s">
        <v>838</v>
      </c>
      <c r="Q80" s="41">
        <v>46082.0</v>
      </c>
      <c r="R80" s="42">
        <v>1.0</v>
      </c>
      <c r="S80" s="55"/>
      <c r="T80" s="37" t="s">
        <v>839</v>
      </c>
      <c r="U80" s="57" t="str">
        <f>IF(records_2[Type]="Room",records_2[roomNo],records_2[roomNo]&amp;"-"&amp;SUBSTITUTE(RIGHT(records_2[roomNo]&amp;records_2[Type],2),"-",""))</f>
        <v>12-2-030</v>
      </c>
      <c r="V80" s="59" t="str">
        <f t="array" ref="V80">_xlfn.XLOOKUP(records_2[ID], dAir[roomNo], dAir[roomName])</f>
        <v>OPIUM TINCTURE</v>
      </c>
      <c r="W80" s="59" t="str">
        <f t="array" ref="W80">_xlfn.XLOOKUP(records_2[ID], dAir[roomNo], dAir[building])</f>
        <v>Building 12</v>
      </c>
      <c r="X80" s="59" t="str">
        <f t="array" ref="X80">_xlfn.XLOOKUP(records_2[ID], dAir[roomNo], dAir[floor])</f>
        <v>Floor 2</v>
      </c>
      <c r="Y80" s="57" t="str">
        <f t="array" ref="Y80">_xlfn.XLOOKUP(records_2[ID], dAir[roomNo], dAir[Class])</f>
        <v>D</v>
      </c>
      <c r="Z80" s="57">
        <f t="array" ref="Z80">_xlfn.XLOOKUP(records_2[Method]&amp;"-"&amp;records_2[Class], dAirSpec[ID], dAirSpec[Spec])</f>
        <v>100</v>
      </c>
      <c r="AA80" s="57" t="str">
        <f t="array" ref="AA80">_xlfn.XLOOKUP(records_2[Method]&amp;"-"&amp;records_2[Class], dAirSpec[ID], dAirSpec[Unit])</f>
        <v>cfu/plate</v>
      </c>
      <c r="AB80" s="62">
        <f t="array" ref="AB80">if(R80="","", if(records_2[Method]="Active Air",_xlfn.xlookup(records_2[ColonyCount]&amp;records_2[AirSampler],feller[code],feller[Vc]),records_2[ColonyCount]))</f>
        <v>1</v>
      </c>
      <c r="AC80" s="63" t="b">
        <f t="shared" si="1"/>
        <v>1</v>
      </c>
      <c r="AD80" s="61" t="b">
        <v>0</v>
      </c>
      <c r="AE80" s="32" t="s">
        <v>280</v>
      </c>
      <c r="AF80" s="46"/>
      <c r="AG80" s="46"/>
      <c r="AH80" s="46"/>
      <c r="AI80" s="46"/>
      <c r="AJ80" s="46"/>
    </row>
    <row r="81" ht="22.5" customHeight="1">
      <c r="A81" s="27">
        <v>46057.0</v>
      </c>
      <c r="B81" s="34" t="str">
        <f t="array" ref="B81">TEXT(A81, "MM-YYYY")</f>
        <v>02-2026</v>
      </c>
      <c r="C81" s="39" t="s">
        <v>412</v>
      </c>
      <c r="D81" s="36" t="s">
        <v>210</v>
      </c>
      <c r="E81" s="36" t="s">
        <v>213</v>
      </c>
      <c r="F81" s="29" t="b">
        <v>1</v>
      </c>
      <c r="G81" s="49"/>
      <c r="H81" s="49"/>
      <c r="I81" s="33"/>
      <c r="J81" s="33"/>
      <c r="K81" s="37" t="s">
        <v>317</v>
      </c>
      <c r="L81" s="37" t="s">
        <v>980</v>
      </c>
      <c r="M81" s="37" t="s">
        <v>1037</v>
      </c>
      <c r="N81" s="37" t="s">
        <v>1038</v>
      </c>
      <c r="O81" s="37" t="s">
        <v>837</v>
      </c>
      <c r="P81" s="37" t="s">
        <v>838</v>
      </c>
      <c r="Q81" s="41">
        <v>46082.0</v>
      </c>
      <c r="R81" s="42">
        <v>0.0</v>
      </c>
      <c r="S81" s="55"/>
      <c r="T81" s="37" t="s">
        <v>839</v>
      </c>
      <c r="U81" s="57" t="str">
        <f>IF(records_2[Type]="Room",records_2[roomNo],records_2[roomNo]&amp;"-"&amp;SUBSTITUTE(RIGHT(records_2[roomNo]&amp;records_2[Type],2),"-",""))</f>
        <v>12-2-031</v>
      </c>
      <c r="V81" s="59" t="str">
        <f t="array" ref="V81">_xlfn.XLOOKUP(records_2[ID], dAir[roomNo], dAir[roomName])</f>
        <v>AIRLOCK</v>
      </c>
      <c r="W81" s="59" t="str">
        <f t="array" ref="W81">_xlfn.XLOOKUP(records_2[ID], dAir[roomNo], dAir[building])</f>
        <v>Building 12</v>
      </c>
      <c r="X81" s="59" t="str">
        <f t="array" ref="X81">_xlfn.XLOOKUP(records_2[ID], dAir[roomNo], dAir[floor])</f>
        <v>Floor 2</v>
      </c>
      <c r="Y81" s="57" t="str">
        <f t="array" ref="Y81">_xlfn.XLOOKUP(records_2[ID], dAir[roomNo], dAir[Class])</f>
        <v>D</v>
      </c>
      <c r="Z81" s="57">
        <f t="array" ref="Z81">_xlfn.XLOOKUP(records_2[Method]&amp;"-"&amp;records_2[Class], dAirSpec[ID], dAirSpec[Spec])</f>
        <v>100</v>
      </c>
      <c r="AA81" s="57" t="str">
        <f t="array" ref="AA81">_xlfn.XLOOKUP(records_2[Method]&amp;"-"&amp;records_2[Class], dAirSpec[ID], dAirSpec[Unit])</f>
        <v>cfu/plate</v>
      </c>
      <c r="AB81" s="62">
        <f t="array" ref="AB81">if(R81="","", if(records_2[Method]="Active Air",_xlfn.xlookup(records_2[ColonyCount]&amp;records_2[AirSampler],feller[code],feller[Vc]),records_2[ColonyCount]))</f>
        <v>0</v>
      </c>
      <c r="AC81" s="63" t="b">
        <f t="shared" si="1"/>
        <v>1</v>
      </c>
      <c r="AD81" s="61" t="b">
        <v>0</v>
      </c>
      <c r="AE81" s="32" t="s">
        <v>280</v>
      </c>
      <c r="AF81" s="46"/>
      <c r="AG81" s="46"/>
      <c r="AH81" s="46"/>
      <c r="AI81" s="46"/>
      <c r="AJ81" s="46"/>
    </row>
    <row r="82" ht="22.5" customHeight="1">
      <c r="A82" s="27">
        <v>46057.0</v>
      </c>
      <c r="B82" s="34" t="str">
        <f t="array" ref="B82">TEXT(A82, "MM-YYYY")</f>
        <v>02-2026</v>
      </c>
      <c r="C82" s="39" t="s">
        <v>421</v>
      </c>
      <c r="D82" s="36" t="s">
        <v>210</v>
      </c>
      <c r="E82" s="36" t="s">
        <v>213</v>
      </c>
      <c r="F82" s="29" t="b">
        <v>1</v>
      </c>
      <c r="G82" s="49"/>
      <c r="H82" s="49"/>
      <c r="I82" s="33"/>
      <c r="J82" s="33"/>
      <c r="K82" s="37" t="s">
        <v>314</v>
      </c>
      <c r="L82" s="37" t="s">
        <v>654</v>
      </c>
      <c r="M82" s="37" t="s">
        <v>1040</v>
      </c>
      <c r="N82" s="37" t="s">
        <v>1038</v>
      </c>
      <c r="O82" s="37" t="s">
        <v>837</v>
      </c>
      <c r="P82" s="37" t="s">
        <v>838</v>
      </c>
      <c r="Q82" s="41">
        <v>46082.0</v>
      </c>
      <c r="R82" s="42">
        <v>1.0</v>
      </c>
      <c r="S82" s="55"/>
      <c r="T82" s="37" t="s">
        <v>839</v>
      </c>
      <c r="U82" s="57" t="str">
        <f>IF(records_2[Type]="Room",records_2[roomNo],records_2[roomNo]&amp;"-"&amp;SUBSTITUTE(RIGHT(records_2[roomNo]&amp;records_2[Type],2),"-",""))</f>
        <v>12-2-032</v>
      </c>
      <c r="V82" s="59" t="str">
        <f t="array" ref="V82">_xlfn.XLOOKUP(records_2[ID], dAir[roomNo], dAir[roomName])</f>
        <v>CAMPHORATED OPIUM TINCTURE</v>
      </c>
      <c r="W82" s="59" t="str">
        <f t="array" ref="W82">_xlfn.XLOOKUP(records_2[ID], dAir[roomNo], dAir[building])</f>
        <v>Building 12</v>
      </c>
      <c r="X82" s="59" t="str">
        <f t="array" ref="X82">_xlfn.XLOOKUP(records_2[ID], dAir[roomNo], dAir[floor])</f>
        <v>Floor 2</v>
      </c>
      <c r="Y82" s="57" t="str">
        <f t="array" ref="Y82">_xlfn.XLOOKUP(records_2[ID], dAir[roomNo], dAir[Class])</f>
        <v>D</v>
      </c>
      <c r="Z82" s="57">
        <f t="array" ref="Z82">_xlfn.XLOOKUP(records_2[Method]&amp;"-"&amp;records_2[Class], dAirSpec[ID], dAirSpec[Spec])</f>
        <v>100</v>
      </c>
      <c r="AA82" s="57" t="str">
        <f t="array" ref="AA82">_xlfn.XLOOKUP(records_2[Method]&amp;"-"&amp;records_2[Class], dAirSpec[ID], dAirSpec[Unit])</f>
        <v>cfu/plate</v>
      </c>
      <c r="AB82" s="62">
        <f t="array" ref="AB82">if(R82="","", if(records_2[Method]="Active Air",_xlfn.xlookup(records_2[ColonyCount]&amp;records_2[AirSampler],feller[code],feller[Vc]),records_2[ColonyCount]))</f>
        <v>1</v>
      </c>
      <c r="AC82" s="63" t="b">
        <f t="shared" si="1"/>
        <v>1</v>
      </c>
      <c r="AD82" s="61" t="b">
        <v>0</v>
      </c>
      <c r="AE82" s="32" t="s">
        <v>280</v>
      </c>
      <c r="AF82" s="46"/>
      <c r="AG82" s="46"/>
      <c r="AH82" s="46"/>
      <c r="AI82" s="46"/>
      <c r="AJ82" s="46"/>
    </row>
    <row r="83" ht="22.5" customHeight="1">
      <c r="A83" s="27">
        <v>46057.0</v>
      </c>
      <c r="B83" s="34" t="str">
        <f t="array" ref="B83">TEXT(A83, "MM-YYYY")</f>
        <v>02-2026</v>
      </c>
      <c r="C83" s="39" t="s">
        <v>432</v>
      </c>
      <c r="D83" s="36" t="s">
        <v>210</v>
      </c>
      <c r="E83" s="36" t="s">
        <v>213</v>
      </c>
      <c r="F83" s="29" t="b">
        <v>1</v>
      </c>
      <c r="G83" s="49"/>
      <c r="H83" s="49"/>
      <c r="I83" s="33"/>
      <c r="J83" s="33"/>
      <c r="K83" s="37" t="s">
        <v>402</v>
      </c>
      <c r="L83" s="37" t="s">
        <v>707</v>
      </c>
      <c r="M83" s="37" t="s">
        <v>1044</v>
      </c>
      <c r="N83" s="37" t="s">
        <v>1045</v>
      </c>
      <c r="O83" s="37" t="s">
        <v>837</v>
      </c>
      <c r="P83" s="37" t="s">
        <v>838</v>
      </c>
      <c r="Q83" s="41">
        <v>46082.0</v>
      </c>
      <c r="R83" s="42">
        <v>0.0</v>
      </c>
      <c r="S83" s="55"/>
      <c r="T83" s="37" t="s">
        <v>839</v>
      </c>
      <c r="U83" s="57" t="str">
        <f>IF(records_2[Type]="Room",records_2[roomNo],records_2[roomNo]&amp;"-"&amp;SUBSTITUTE(RIGHT(records_2[roomNo]&amp;records_2[Type],2),"-",""))</f>
        <v>12-2-033</v>
      </c>
      <c r="V83" s="59" t="str">
        <f t="array" ref="V83">_xlfn.XLOOKUP(records_2[ID], dAir[roomNo], dAir[roomName])</f>
        <v>AIRLOCK</v>
      </c>
      <c r="W83" s="59" t="str">
        <f t="array" ref="W83">_xlfn.XLOOKUP(records_2[ID], dAir[roomNo], dAir[building])</f>
        <v>Building 12</v>
      </c>
      <c r="X83" s="59" t="str">
        <f t="array" ref="X83">_xlfn.XLOOKUP(records_2[ID], dAir[roomNo], dAir[floor])</f>
        <v>Floor 2</v>
      </c>
      <c r="Y83" s="57" t="str">
        <f t="array" ref="Y83">_xlfn.XLOOKUP(records_2[ID], dAir[roomNo], dAir[Class])</f>
        <v>D</v>
      </c>
      <c r="Z83" s="57">
        <f t="array" ref="Z83">_xlfn.XLOOKUP(records_2[Method]&amp;"-"&amp;records_2[Class], dAirSpec[ID], dAirSpec[Spec])</f>
        <v>100</v>
      </c>
      <c r="AA83" s="57" t="str">
        <f t="array" ref="AA83">_xlfn.XLOOKUP(records_2[Method]&amp;"-"&amp;records_2[Class], dAirSpec[ID], dAirSpec[Unit])</f>
        <v>cfu/plate</v>
      </c>
      <c r="AB83" s="62">
        <f t="array" ref="AB83">if(R83="","", if(records_2[Method]="Active Air",_xlfn.xlookup(records_2[ColonyCount]&amp;records_2[AirSampler],feller[code],feller[Vc]),records_2[ColonyCount]))</f>
        <v>0</v>
      </c>
      <c r="AC83" s="63" t="b">
        <f t="shared" si="1"/>
        <v>1</v>
      </c>
      <c r="AD83" s="61" t="b">
        <v>0</v>
      </c>
      <c r="AE83" s="32" t="s">
        <v>280</v>
      </c>
      <c r="AF83" s="46"/>
      <c r="AG83" s="46"/>
      <c r="AH83" s="46"/>
      <c r="AI83" s="46"/>
      <c r="AJ83" s="46"/>
    </row>
    <row r="84" ht="22.5" customHeight="1">
      <c r="A84" s="27">
        <v>46057.0</v>
      </c>
      <c r="B84" s="34" t="str">
        <f t="array" ref="B84">TEXT(A84, "MM-YYYY")</f>
        <v>02-2026</v>
      </c>
      <c r="C84" s="39" t="s">
        <v>442</v>
      </c>
      <c r="D84" s="36" t="s">
        <v>210</v>
      </c>
      <c r="E84" s="36" t="s">
        <v>213</v>
      </c>
      <c r="F84" s="29" t="b">
        <v>1</v>
      </c>
      <c r="G84" s="49"/>
      <c r="H84" s="49"/>
      <c r="I84" s="33"/>
      <c r="J84" s="33"/>
      <c r="K84" s="37" t="s">
        <v>798</v>
      </c>
      <c r="L84" s="37" t="s">
        <v>672</v>
      </c>
      <c r="M84" s="37" t="s">
        <v>346</v>
      </c>
      <c r="N84" s="37" t="s">
        <v>1045</v>
      </c>
      <c r="O84" s="37" t="s">
        <v>837</v>
      </c>
      <c r="P84" s="37" t="s">
        <v>838</v>
      </c>
      <c r="Q84" s="41">
        <v>46082.0</v>
      </c>
      <c r="R84" s="42">
        <v>0.0</v>
      </c>
      <c r="S84" s="55"/>
      <c r="T84" s="37" t="s">
        <v>839</v>
      </c>
      <c r="U84" s="57" t="str">
        <f>IF(records_2[Type]="Room",records_2[roomNo],records_2[roomNo]&amp;"-"&amp;SUBSTITUTE(RIGHT(records_2[roomNo]&amp;records_2[Type],2),"-",""))</f>
        <v>12-2-034</v>
      </c>
      <c r="V84" s="59" t="str">
        <f t="array" ref="V84">_xlfn.XLOOKUP(records_2[ID], dAir[roomNo], dAir[roomName])</f>
        <v>SYRUP PREPARATION</v>
      </c>
      <c r="W84" s="59" t="str">
        <f t="array" ref="W84">_xlfn.XLOOKUP(records_2[ID], dAir[roomNo], dAir[building])</f>
        <v>Building 12</v>
      </c>
      <c r="X84" s="59" t="str">
        <f t="array" ref="X84">_xlfn.XLOOKUP(records_2[ID], dAir[roomNo], dAir[floor])</f>
        <v>Floor 2</v>
      </c>
      <c r="Y84" s="57" t="str">
        <f t="array" ref="Y84">_xlfn.XLOOKUP(records_2[ID], dAir[roomNo], dAir[Class])</f>
        <v>D</v>
      </c>
      <c r="Z84" s="57">
        <f t="array" ref="Z84">_xlfn.XLOOKUP(records_2[Method]&amp;"-"&amp;records_2[Class], dAirSpec[ID], dAirSpec[Spec])</f>
        <v>100</v>
      </c>
      <c r="AA84" s="57" t="str">
        <f t="array" ref="AA84">_xlfn.XLOOKUP(records_2[Method]&amp;"-"&amp;records_2[Class], dAirSpec[ID], dAirSpec[Unit])</f>
        <v>cfu/plate</v>
      </c>
      <c r="AB84" s="62">
        <f t="array" ref="AB84">if(R84="","", if(records_2[Method]="Active Air",_xlfn.xlookup(records_2[ColonyCount]&amp;records_2[AirSampler],feller[code],feller[Vc]),records_2[ColonyCount]))</f>
        <v>0</v>
      </c>
      <c r="AC84" s="63" t="b">
        <f t="shared" si="1"/>
        <v>1</v>
      </c>
      <c r="AD84" s="61" t="b">
        <v>0</v>
      </c>
      <c r="AE84" s="32" t="s">
        <v>280</v>
      </c>
      <c r="AF84" s="46"/>
      <c r="AG84" s="46"/>
      <c r="AH84" s="46"/>
      <c r="AI84" s="46"/>
      <c r="AJ84" s="46"/>
    </row>
    <row r="85" ht="22.5" customHeight="1">
      <c r="A85" s="27">
        <v>46057.0</v>
      </c>
      <c r="B85" s="34" t="str">
        <f t="array" ref="B85">TEXT(A85, "MM-YYYY")</f>
        <v>02-2026</v>
      </c>
      <c r="C85" s="34" t="s">
        <v>450</v>
      </c>
      <c r="D85" s="36" t="s">
        <v>210</v>
      </c>
      <c r="E85" s="36" t="s">
        <v>213</v>
      </c>
      <c r="F85" s="29" t="b">
        <v>1</v>
      </c>
      <c r="G85" s="49"/>
      <c r="H85" s="49"/>
      <c r="I85" s="33"/>
      <c r="J85" s="33"/>
      <c r="K85" s="37"/>
      <c r="L85" s="37"/>
      <c r="M85" s="37"/>
      <c r="N85" s="37"/>
      <c r="O85" s="37" t="s">
        <v>837</v>
      </c>
      <c r="P85" s="37" t="s">
        <v>838</v>
      </c>
      <c r="Q85" s="41">
        <v>46082.0</v>
      </c>
      <c r="R85" s="42">
        <v>1.0</v>
      </c>
      <c r="S85" s="55"/>
      <c r="T85" s="37" t="s">
        <v>839</v>
      </c>
      <c r="U85" s="59" t="str">
        <f>IF(records_2[Type]="Room",records_2[roomNo],records_2[roomNo]&amp;"-"&amp;SUBSTITUTE(RIGHT(records_2[roomNo]&amp;records_2[Type],2),"-",""))</f>
        <v>12-2-035</v>
      </c>
      <c r="V85" s="59" t="str">
        <f t="array" ref="V85">_xlfn.XLOOKUP(records_2[ID], dAir[roomNo], dAir[roomName])</f>
        <v>CORRIDOR</v>
      </c>
      <c r="W85" s="59" t="str">
        <f t="array" ref="W85">_xlfn.XLOOKUP(records_2[ID], dAir[roomNo], dAir[building])</f>
        <v>Building 12</v>
      </c>
      <c r="X85" s="59" t="str">
        <f t="array" ref="X85">_xlfn.XLOOKUP(records_2[ID], dAir[roomNo], dAir[floor])</f>
        <v>Floor 2</v>
      </c>
      <c r="Y85" s="57" t="str">
        <f t="array" ref="Y85">_xlfn.XLOOKUP(records_2[ID], dAir[roomNo], dAir[Class])</f>
        <v>D</v>
      </c>
      <c r="Z85" s="57">
        <f t="array" ref="Z85">_xlfn.XLOOKUP(records_2[Method]&amp;"-"&amp;records_2[Class], dAirSpec[ID], dAirSpec[Spec])</f>
        <v>100</v>
      </c>
      <c r="AA85" s="57" t="str">
        <f t="array" ref="AA85">_xlfn.XLOOKUP(records_2[Method]&amp;"-"&amp;records_2[Class], dAirSpec[ID], dAirSpec[Unit])</f>
        <v>cfu/plate</v>
      </c>
      <c r="AB85" s="62">
        <f t="array" ref="AB85">if(R85="","", if(records_2[Method]="Active Air",_xlfn.xlookup(records_2[ColonyCount]&amp;records_2[AirSampler],feller[code],feller[Vc]),records_2[ColonyCount]))</f>
        <v>1</v>
      </c>
      <c r="AC85" s="63" t="b">
        <f t="shared" si="1"/>
        <v>1</v>
      </c>
      <c r="AD85" s="61" t="b">
        <v>0</v>
      </c>
      <c r="AE85" s="32" t="s">
        <v>280</v>
      </c>
      <c r="AF85" s="46"/>
      <c r="AG85" s="46"/>
      <c r="AH85" s="46"/>
      <c r="AI85" s="46"/>
      <c r="AJ85" s="46"/>
    </row>
    <row r="86" ht="22.5" customHeight="1">
      <c r="A86" s="27">
        <v>46057.0</v>
      </c>
      <c r="B86" s="34" t="str">
        <f t="array" ref="B86">TEXT(A86, "MM-YYYY")</f>
        <v>02-2026</v>
      </c>
      <c r="C86" s="39" t="s">
        <v>456</v>
      </c>
      <c r="D86" s="36" t="s">
        <v>210</v>
      </c>
      <c r="E86" s="36" t="s">
        <v>213</v>
      </c>
      <c r="F86" s="29" t="b">
        <v>1</v>
      </c>
      <c r="G86" s="49"/>
      <c r="H86" s="49"/>
      <c r="I86" s="33"/>
      <c r="J86" s="33"/>
      <c r="K86" s="37" t="s">
        <v>194</v>
      </c>
      <c r="L86" s="37" t="s">
        <v>194</v>
      </c>
      <c r="M86" s="37" t="s">
        <v>1044</v>
      </c>
      <c r="N86" s="37" t="s">
        <v>1079</v>
      </c>
      <c r="O86" s="37" t="s">
        <v>837</v>
      </c>
      <c r="P86" s="37" t="s">
        <v>838</v>
      </c>
      <c r="Q86" s="41">
        <v>46082.0</v>
      </c>
      <c r="R86" s="42">
        <v>0.0</v>
      </c>
      <c r="S86" s="55"/>
      <c r="T86" s="37" t="s">
        <v>839</v>
      </c>
      <c r="U86" s="57" t="str">
        <f>IF(records_2[Type]="Room",records_2[roomNo],records_2[roomNo]&amp;"-"&amp;SUBSTITUTE(RIGHT(records_2[roomNo]&amp;records_2[Type],2),"-",""))</f>
        <v>12-2-036</v>
      </c>
      <c r="V86" s="59" t="str">
        <f t="array" ref="V86">_xlfn.XLOOKUP(records_2[ID], dAir[roomNo], dAir[roomName])</f>
        <v>CIP 1</v>
      </c>
      <c r="W86" s="59" t="str">
        <f t="array" ref="W86">_xlfn.XLOOKUP(records_2[ID], dAir[roomNo], dAir[building])</f>
        <v>Building 12</v>
      </c>
      <c r="X86" s="59" t="str">
        <f t="array" ref="X86">_xlfn.XLOOKUP(records_2[ID], dAir[roomNo], dAir[floor])</f>
        <v>Floor 2</v>
      </c>
      <c r="Y86" s="57" t="str">
        <f t="array" ref="Y86">_xlfn.XLOOKUP(records_2[ID], dAir[roomNo], dAir[Class])</f>
        <v>D</v>
      </c>
      <c r="Z86" s="57">
        <f t="array" ref="Z86">_xlfn.XLOOKUP(records_2[Method]&amp;"-"&amp;records_2[Class], dAirSpec[ID], dAirSpec[Spec])</f>
        <v>100</v>
      </c>
      <c r="AA86" s="57" t="str">
        <f t="array" ref="AA86">_xlfn.XLOOKUP(records_2[Method]&amp;"-"&amp;records_2[Class], dAirSpec[ID], dAirSpec[Unit])</f>
        <v>cfu/plate</v>
      </c>
      <c r="AB86" s="62">
        <f t="array" ref="AB86">if(R86="","", if(records_2[Method]="Active Air",_xlfn.xlookup(records_2[ColonyCount]&amp;records_2[AirSampler],feller[code],feller[Vc]),records_2[ColonyCount]))</f>
        <v>0</v>
      </c>
      <c r="AC86" s="63" t="b">
        <f t="shared" si="1"/>
        <v>1</v>
      </c>
      <c r="AD86" s="61" t="b">
        <v>0</v>
      </c>
      <c r="AE86" s="32" t="s">
        <v>280</v>
      </c>
      <c r="AF86" s="46"/>
      <c r="AG86" s="46"/>
      <c r="AH86" s="46"/>
      <c r="AI86" s="46"/>
      <c r="AJ86" s="46"/>
    </row>
    <row r="87" ht="22.5" customHeight="1">
      <c r="A87" s="27">
        <v>46057.0</v>
      </c>
      <c r="B87" s="34" t="str">
        <f t="array" ref="B87">TEXT(A87, "MM-YYYY")</f>
        <v>02-2026</v>
      </c>
      <c r="C87" s="39" t="s">
        <v>466</v>
      </c>
      <c r="D87" s="36" t="s">
        <v>210</v>
      </c>
      <c r="E87" s="36" t="s">
        <v>213</v>
      </c>
      <c r="F87" s="29" t="b">
        <v>1</v>
      </c>
      <c r="G87" s="49"/>
      <c r="H87" s="49"/>
      <c r="I87" s="33"/>
      <c r="J87" s="33"/>
      <c r="K87" s="37" t="s">
        <v>1094</v>
      </c>
      <c r="L87" s="37" t="s">
        <v>1095</v>
      </c>
      <c r="M87" s="37" t="s">
        <v>1096</v>
      </c>
      <c r="N87" s="37" t="s">
        <v>1079</v>
      </c>
      <c r="O87" s="37" t="s">
        <v>837</v>
      </c>
      <c r="P87" s="37" t="s">
        <v>838</v>
      </c>
      <c r="Q87" s="41">
        <v>46082.0</v>
      </c>
      <c r="R87" s="42">
        <v>0.0</v>
      </c>
      <c r="S87" s="55"/>
      <c r="T87" s="37" t="s">
        <v>839</v>
      </c>
      <c r="U87" s="57" t="str">
        <f>IF(records_2[Type]="Room",records_2[roomNo],records_2[roomNo]&amp;"-"&amp;SUBSTITUTE(RIGHT(records_2[roomNo]&amp;records_2[Type],2),"-",""))</f>
        <v>12-2-037</v>
      </c>
      <c r="V87" s="59" t="str">
        <f t="array" ref="V87">_xlfn.XLOOKUP(records_2[ID], dAir[roomNo], dAir[roomName])</f>
        <v>DISPENSED MATERIAL STAGING</v>
      </c>
      <c r="W87" s="59" t="str">
        <f t="array" ref="W87">_xlfn.XLOOKUP(records_2[ID], dAir[roomNo], dAir[building])</f>
        <v>Building 12</v>
      </c>
      <c r="X87" s="59" t="str">
        <f t="array" ref="X87">_xlfn.XLOOKUP(records_2[ID], dAir[roomNo], dAir[floor])</f>
        <v>Floor 2</v>
      </c>
      <c r="Y87" s="57" t="str">
        <f t="array" ref="Y87">_xlfn.XLOOKUP(records_2[ID], dAir[roomNo], dAir[Class])</f>
        <v>D</v>
      </c>
      <c r="Z87" s="57">
        <f t="array" ref="Z87">_xlfn.XLOOKUP(records_2[Method]&amp;"-"&amp;records_2[Class], dAirSpec[ID], dAirSpec[Spec])</f>
        <v>100</v>
      </c>
      <c r="AA87" s="57" t="str">
        <f t="array" ref="AA87">_xlfn.XLOOKUP(records_2[Method]&amp;"-"&amp;records_2[Class], dAirSpec[ID], dAirSpec[Unit])</f>
        <v>cfu/plate</v>
      </c>
      <c r="AB87" s="62">
        <f t="array" ref="AB87">if(R87="","", if(records_2[Method]="Active Air",_xlfn.xlookup(records_2[ColonyCount]&amp;records_2[AirSampler],feller[code],feller[Vc]),records_2[ColonyCount]))</f>
        <v>0</v>
      </c>
      <c r="AC87" s="63" t="b">
        <f t="shared" si="1"/>
        <v>1</v>
      </c>
      <c r="AD87" s="61" t="b">
        <v>0</v>
      </c>
      <c r="AE87" s="32" t="s">
        <v>280</v>
      </c>
      <c r="AF87" s="46"/>
      <c r="AG87" s="46"/>
      <c r="AH87" s="46"/>
      <c r="AI87" s="46"/>
      <c r="AJ87" s="46"/>
    </row>
    <row r="88" ht="22.5" customHeight="1">
      <c r="A88" s="27">
        <v>46057.0</v>
      </c>
      <c r="B88" s="34" t="str">
        <f t="array" ref="B88">TEXT(A88, "MM-YYYY")</f>
        <v>02-2026</v>
      </c>
      <c r="C88" s="39" t="s">
        <v>479</v>
      </c>
      <c r="D88" s="36" t="s">
        <v>210</v>
      </c>
      <c r="E88" s="36" t="s">
        <v>213</v>
      </c>
      <c r="F88" s="29" t="b">
        <v>1</v>
      </c>
      <c r="G88" s="49"/>
      <c r="H88" s="49"/>
      <c r="I88" s="33"/>
      <c r="J88" s="33"/>
      <c r="K88" s="37" t="s">
        <v>310</v>
      </c>
      <c r="L88" s="37" t="s">
        <v>1112</v>
      </c>
      <c r="M88" s="37" t="s">
        <v>1113</v>
      </c>
      <c r="N88" s="37" t="s">
        <v>1045</v>
      </c>
      <c r="O88" s="37" t="s">
        <v>837</v>
      </c>
      <c r="P88" s="37" t="s">
        <v>838</v>
      </c>
      <c r="Q88" s="41">
        <v>46082.0</v>
      </c>
      <c r="R88" s="42">
        <v>0.0</v>
      </c>
      <c r="S88" s="55"/>
      <c r="T88" s="37" t="s">
        <v>839</v>
      </c>
      <c r="U88" s="57" t="str">
        <f>IF(records_2[Type]="Room",records_2[roomNo],records_2[roomNo]&amp;"-"&amp;SUBSTITUTE(RIGHT(records_2[roomNo]&amp;records_2[Type],2),"-",""))</f>
        <v>12-2-038</v>
      </c>
      <c r="V88" s="59" t="str">
        <f t="array" ref="V88">_xlfn.XLOOKUP(records_2[ID], dAir[roomNo], dAir[roomName])</f>
        <v>AIRLOCK</v>
      </c>
      <c r="W88" s="59" t="str">
        <f t="array" ref="W88">_xlfn.XLOOKUP(records_2[ID], dAir[roomNo], dAir[building])</f>
        <v>Building 12</v>
      </c>
      <c r="X88" s="59" t="str">
        <f t="array" ref="X88">_xlfn.XLOOKUP(records_2[ID], dAir[roomNo], dAir[floor])</f>
        <v>Floor 2</v>
      </c>
      <c r="Y88" s="57" t="str">
        <f t="array" ref="Y88">_xlfn.XLOOKUP(records_2[ID], dAir[roomNo], dAir[Class])</f>
        <v>D</v>
      </c>
      <c r="Z88" s="57">
        <f t="array" ref="Z88">_xlfn.XLOOKUP(records_2[Method]&amp;"-"&amp;records_2[Class], dAirSpec[ID], dAirSpec[Spec])</f>
        <v>100</v>
      </c>
      <c r="AA88" s="57" t="str">
        <f t="array" ref="AA88">_xlfn.XLOOKUP(records_2[Method]&amp;"-"&amp;records_2[Class], dAirSpec[ID], dAirSpec[Unit])</f>
        <v>cfu/plate</v>
      </c>
      <c r="AB88" s="62">
        <f t="array" ref="AB88">if(R88="","", if(records_2[Method]="Active Air",_xlfn.xlookup(records_2[ColonyCount]&amp;records_2[AirSampler],feller[code],feller[Vc]),records_2[ColonyCount]))</f>
        <v>0</v>
      </c>
      <c r="AC88" s="63" t="b">
        <f t="shared" si="1"/>
        <v>1</v>
      </c>
      <c r="AD88" s="61" t="b">
        <v>0</v>
      </c>
      <c r="AE88" s="32" t="s">
        <v>280</v>
      </c>
      <c r="AF88" s="46"/>
      <c r="AG88" s="46"/>
      <c r="AH88" s="46"/>
      <c r="AI88" s="46"/>
      <c r="AJ88" s="46"/>
    </row>
    <row r="89" ht="22.5" customHeight="1">
      <c r="A89" s="27">
        <v>46057.0</v>
      </c>
      <c r="B89" s="34" t="str">
        <f t="array" ref="B89">TEXT(A89, "MM-YYYY")</f>
        <v>02-2026</v>
      </c>
      <c r="C89" s="39" t="s">
        <v>486</v>
      </c>
      <c r="D89" s="36" t="s">
        <v>210</v>
      </c>
      <c r="E89" s="36" t="s">
        <v>213</v>
      </c>
      <c r="F89" s="29" t="b">
        <v>1</v>
      </c>
      <c r="G89" s="49"/>
      <c r="H89" s="49"/>
      <c r="I89" s="33"/>
      <c r="J89" s="33"/>
      <c r="K89" s="37" t="s">
        <v>546</v>
      </c>
      <c r="L89" s="37" t="s">
        <v>1126</v>
      </c>
      <c r="M89" s="37" t="s">
        <v>1113</v>
      </c>
      <c r="N89" s="37" t="s">
        <v>1045</v>
      </c>
      <c r="O89" s="37" t="s">
        <v>837</v>
      </c>
      <c r="P89" s="37" t="s">
        <v>838</v>
      </c>
      <c r="Q89" s="41">
        <v>46082.0</v>
      </c>
      <c r="R89" s="42">
        <v>0.0</v>
      </c>
      <c r="S89" s="55"/>
      <c r="T89" s="37" t="s">
        <v>839</v>
      </c>
      <c r="U89" s="57" t="str">
        <f>IF(records_2[Type]="Room",records_2[roomNo],records_2[roomNo]&amp;"-"&amp;SUBSTITUTE(RIGHT(records_2[roomNo]&amp;records_2[Type],2),"-",""))</f>
        <v>12-2-039</v>
      </c>
      <c r="V89" s="59" t="str">
        <f t="array" ref="V89">_xlfn.XLOOKUP(records_2[ID], dAir[roomNo], dAir[roomName])</f>
        <v>MFG 1</v>
      </c>
      <c r="W89" s="59" t="str">
        <f t="array" ref="W89">_xlfn.XLOOKUP(records_2[ID], dAir[roomNo], dAir[building])</f>
        <v>Building 12</v>
      </c>
      <c r="X89" s="59" t="str">
        <f t="array" ref="X89">_xlfn.XLOOKUP(records_2[ID], dAir[roomNo], dAir[floor])</f>
        <v>Floor 2</v>
      </c>
      <c r="Y89" s="57" t="str">
        <f t="array" ref="Y89">_xlfn.XLOOKUP(records_2[ID], dAir[roomNo], dAir[Class])</f>
        <v>D</v>
      </c>
      <c r="Z89" s="57">
        <f t="array" ref="Z89">_xlfn.XLOOKUP(records_2[Method]&amp;"-"&amp;records_2[Class], dAirSpec[ID], dAirSpec[Spec])</f>
        <v>100</v>
      </c>
      <c r="AA89" s="57" t="str">
        <f t="array" ref="AA89">_xlfn.XLOOKUP(records_2[Method]&amp;"-"&amp;records_2[Class], dAirSpec[ID], dAirSpec[Unit])</f>
        <v>cfu/plate</v>
      </c>
      <c r="AB89" s="62">
        <f t="array" ref="AB89">if(R89="","", if(records_2[Method]="Active Air",_xlfn.xlookup(records_2[ColonyCount]&amp;records_2[AirSampler],feller[code],feller[Vc]),records_2[ColonyCount]))</f>
        <v>0</v>
      </c>
      <c r="AC89" s="63" t="b">
        <f t="shared" si="1"/>
        <v>1</v>
      </c>
      <c r="AD89" s="61" t="b">
        <v>0</v>
      </c>
      <c r="AE89" s="32" t="s">
        <v>280</v>
      </c>
      <c r="AF89" s="46"/>
      <c r="AG89" s="46"/>
      <c r="AH89" s="46"/>
      <c r="AI89" s="46"/>
      <c r="AJ89" s="46"/>
    </row>
    <row r="90" ht="22.5" customHeight="1">
      <c r="A90" s="27">
        <v>46057.0</v>
      </c>
      <c r="B90" s="34" t="str">
        <f t="array" ref="B90">TEXT(A90, "MM-YYYY")</f>
        <v>02-2026</v>
      </c>
      <c r="C90" s="39" t="s">
        <v>496</v>
      </c>
      <c r="D90" s="36" t="s">
        <v>210</v>
      </c>
      <c r="E90" s="36" t="s">
        <v>213</v>
      </c>
      <c r="F90" s="29" t="b">
        <v>1</v>
      </c>
      <c r="G90" s="49"/>
      <c r="H90" s="49"/>
      <c r="I90" s="33"/>
      <c r="J90" s="33"/>
      <c r="K90" s="37" t="s">
        <v>671</v>
      </c>
      <c r="L90" s="37" t="s">
        <v>1138</v>
      </c>
      <c r="M90" s="37" t="s">
        <v>1040</v>
      </c>
      <c r="N90" s="37" t="s">
        <v>1038</v>
      </c>
      <c r="O90" s="37" t="s">
        <v>837</v>
      </c>
      <c r="P90" s="37" t="s">
        <v>838</v>
      </c>
      <c r="Q90" s="41">
        <v>46082.0</v>
      </c>
      <c r="R90" s="42">
        <v>1.0</v>
      </c>
      <c r="S90" s="55"/>
      <c r="T90" s="37" t="s">
        <v>839</v>
      </c>
      <c r="U90" s="57" t="str">
        <f>IF(records_2[Type]="Room",records_2[roomNo],records_2[roomNo]&amp;"-"&amp;SUBSTITUTE(RIGHT(records_2[roomNo]&amp;records_2[Type],2),"-",""))</f>
        <v>12-2-040</v>
      </c>
      <c r="V90" s="59" t="str">
        <f t="array" ref="V90">_xlfn.XLOOKUP(records_2[ID], dAir[roomNo], dAir[roomName])</f>
        <v>AIRLOCK</v>
      </c>
      <c r="W90" s="59" t="str">
        <f t="array" ref="W90">_xlfn.XLOOKUP(records_2[ID], dAir[roomNo], dAir[building])</f>
        <v>Building 12</v>
      </c>
      <c r="X90" s="59" t="str">
        <f t="array" ref="X90">_xlfn.XLOOKUP(records_2[ID], dAir[roomNo], dAir[floor])</f>
        <v>Floor 2</v>
      </c>
      <c r="Y90" s="57" t="str">
        <f t="array" ref="Y90">_xlfn.XLOOKUP(records_2[ID], dAir[roomNo], dAir[Class])</f>
        <v>D</v>
      </c>
      <c r="Z90" s="57">
        <f t="array" ref="Z90">_xlfn.XLOOKUP(records_2[Method]&amp;"-"&amp;records_2[Class], dAirSpec[ID], dAirSpec[Spec])</f>
        <v>100</v>
      </c>
      <c r="AA90" s="57" t="str">
        <f t="array" ref="AA90">_xlfn.XLOOKUP(records_2[Method]&amp;"-"&amp;records_2[Class], dAirSpec[ID], dAirSpec[Unit])</f>
        <v>cfu/plate</v>
      </c>
      <c r="AB90" s="62">
        <f t="array" ref="AB90">if(R90="","", if(records_2[Method]="Active Air",_xlfn.xlookup(records_2[ColonyCount]&amp;records_2[AirSampler],feller[code],feller[Vc]),records_2[ColonyCount]))</f>
        <v>1</v>
      </c>
      <c r="AC90" s="63" t="b">
        <f t="shared" si="1"/>
        <v>1</v>
      </c>
      <c r="AD90" s="61" t="b">
        <v>0</v>
      </c>
      <c r="AE90" s="32" t="s">
        <v>280</v>
      </c>
      <c r="AF90" s="46"/>
      <c r="AG90" s="46"/>
      <c r="AH90" s="46"/>
      <c r="AI90" s="46"/>
      <c r="AJ90" s="46"/>
    </row>
    <row r="91" ht="22.5" customHeight="1">
      <c r="A91" s="27">
        <v>46057.0</v>
      </c>
      <c r="B91" s="34" t="str">
        <f t="array" ref="B91">TEXT(A91, "MM-YYYY")</f>
        <v>02-2026</v>
      </c>
      <c r="C91" s="39" t="s">
        <v>507</v>
      </c>
      <c r="D91" s="36" t="s">
        <v>210</v>
      </c>
      <c r="E91" s="36" t="s">
        <v>213</v>
      </c>
      <c r="F91" s="29" t="b">
        <v>1</v>
      </c>
      <c r="G91" s="49"/>
      <c r="H91" s="49"/>
      <c r="I91" s="33"/>
      <c r="J91" s="33"/>
      <c r="K91" s="37" t="s">
        <v>1157</v>
      </c>
      <c r="L91" s="37" t="s">
        <v>1158</v>
      </c>
      <c r="M91" s="37" t="s">
        <v>935</v>
      </c>
      <c r="N91" s="37" t="s">
        <v>1038</v>
      </c>
      <c r="O91" s="37" t="s">
        <v>837</v>
      </c>
      <c r="P91" s="37" t="s">
        <v>838</v>
      </c>
      <c r="Q91" s="41">
        <v>46082.0</v>
      </c>
      <c r="R91" s="42">
        <v>0.0</v>
      </c>
      <c r="S91" s="55"/>
      <c r="T91" s="37" t="s">
        <v>839</v>
      </c>
      <c r="U91" s="57" t="str">
        <f>IF(records_2[Type]="Room",records_2[roomNo],records_2[roomNo]&amp;"-"&amp;SUBSTITUTE(RIGHT(records_2[roomNo]&amp;records_2[Type],2),"-",""))</f>
        <v>12-2-041</v>
      </c>
      <c r="V91" s="59" t="str">
        <f t="array" ref="V91">_xlfn.XLOOKUP(records_2[ID], dAir[roomNo], dAir[roomName])</f>
        <v>MFG 2</v>
      </c>
      <c r="W91" s="59" t="str">
        <f t="array" ref="W91">_xlfn.XLOOKUP(records_2[ID], dAir[roomNo], dAir[building])</f>
        <v>Building 12</v>
      </c>
      <c r="X91" s="59" t="str">
        <f t="array" ref="X91">_xlfn.XLOOKUP(records_2[ID], dAir[roomNo], dAir[floor])</f>
        <v>Floor 2</v>
      </c>
      <c r="Y91" s="57" t="str">
        <f t="array" ref="Y91">_xlfn.XLOOKUP(records_2[ID], dAir[roomNo], dAir[Class])</f>
        <v>D</v>
      </c>
      <c r="Z91" s="57">
        <f t="array" ref="Z91">_xlfn.XLOOKUP(records_2[Method]&amp;"-"&amp;records_2[Class], dAirSpec[ID], dAirSpec[Spec])</f>
        <v>100</v>
      </c>
      <c r="AA91" s="57" t="str">
        <f t="array" ref="AA91">_xlfn.XLOOKUP(records_2[Method]&amp;"-"&amp;records_2[Class], dAirSpec[ID], dAirSpec[Unit])</f>
        <v>cfu/plate</v>
      </c>
      <c r="AB91" s="62">
        <f t="array" ref="AB91">if(R91="","", if(records_2[Method]="Active Air",_xlfn.xlookup(records_2[ColonyCount]&amp;records_2[AirSampler],feller[code],feller[Vc]),records_2[ColonyCount]))</f>
        <v>0</v>
      </c>
      <c r="AC91" s="63" t="b">
        <f t="shared" si="1"/>
        <v>1</v>
      </c>
      <c r="AD91" s="61" t="b">
        <v>0</v>
      </c>
      <c r="AE91" s="32" t="s">
        <v>280</v>
      </c>
      <c r="AF91" s="46"/>
      <c r="AG91" s="46"/>
      <c r="AH91" s="46"/>
      <c r="AI91" s="46"/>
      <c r="AJ91" s="46"/>
    </row>
    <row r="92" ht="22.5" customHeight="1">
      <c r="A92" s="27">
        <v>46057.0</v>
      </c>
      <c r="B92" s="34" t="str">
        <f t="array" ref="B92">TEXT(A92, "MM-YYYY")</f>
        <v>02-2026</v>
      </c>
      <c r="C92" s="39" t="s">
        <v>520</v>
      </c>
      <c r="D92" s="36" t="s">
        <v>210</v>
      </c>
      <c r="E92" s="36" t="s">
        <v>213</v>
      </c>
      <c r="F92" s="29" t="b">
        <v>1</v>
      </c>
      <c r="G92" s="49"/>
      <c r="H92" s="49"/>
      <c r="I92" s="33"/>
      <c r="J92" s="33"/>
      <c r="K92" s="37" t="s">
        <v>377</v>
      </c>
      <c r="L92" s="37" t="s">
        <v>803</v>
      </c>
      <c r="M92" s="37" t="s">
        <v>1006</v>
      </c>
      <c r="N92" s="37" t="s">
        <v>936</v>
      </c>
      <c r="O92" s="37" t="s">
        <v>837</v>
      </c>
      <c r="P92" s="37" t="s">
        <v>838</v>
      </c>
      <c r="Q92" s="41">
        <v>46082.0</v>
      </c>
      <c r="R92" s="42">
        <v>0.0</v>
      </c>
      <c r="S92" s="55"/>
      <c r="T92" s="37" t="s">
        <v>839</v>
      </c>
      <c r="U92" s="57" t="str">
        <f>IF(records_2[Type]="Room",records_2[roomNo],records_2[roomNo]&amp;"-"&amp;SUBSTITUTE(RIGHT(records_2[roomNo]&amp;records_2[Type],2),"-",""))</f>
        <v>12-2-042</v>
      </c>
      <c r="V92" s="59" t="str">
        <f t="array" ref="V92">_xlfn.XLOOKUP(records_2[ID], dAir[roomNo], dAir[roomName])</f>
        <v>AIRLOCK</v>
      </c>
      <c r="W92" s="59" t="str">
        <f t="array" ref="W92">_xlfn.XLOOKUP(records_2[ID], dAir[roomNo], dAir[building])</f>
        <v>Building 12</v>
      </c>
      <c r="X92" s="59" t="str">
        <f t="array" ref="X92">_xlfn.XLOOKUP(records_2[ID], dAir[roomNo], dAir[floor])</f>
        <v>Floor 2</v>
      </c>
      <c r="Y92" s="57" t="str">
        <f t="array" ref="Y92">_xlfn.XLOOKUP(records_2[ID], dAir[roomNo], dAir[Class])</f>
        <v>D</v>
      </c>
      <c r="Z92" s="57">
        <f t="array" ref="Z92">_xlfn.XLOOKUP(records_2[Method]&amp;"-"&amp;records_2[Class], dAirSpec[ID], dAirSpec[Spec])</f>
        <v>100</v>
      </c>
      <c r="AA92" s="57" t="str">
        <f t="array" ref="AA92">_xlfn.XLOOKUP(records_2[Method]&amp;"-"&amp;records_2[Class], dAirSpec[ID], dAirSpec[Unit])</f>
        <v>cfu/plate</v>
      </c>
      <c r="AB92" s="62">
        <f t="array" ref="AB92">if(R92="","", if(records_2[Method]="Active Air",_xlfn.xlookup(records_2[ColonyCount]&amp;records_2[AirSampler],feller[code],feller[Vc]),records_2[ColonyCount]))</f>
        <v>0</v>
      </c>
      <c r="AC92" s="63" t="b">
        <f t="shared" si="1"/>
        <v>1</v>
      </c>
      <c r="AD92" s="61" t="b">
        <v>0</v>
      </c>
      <c r="AE92" s="32" t="s">
        <v>280</v>
      </c>
      <c r="AF92" s="46"/>
      <c r="AG92" s="46"/>
      <c r="AH92" s="46"/>
      <c r="AI92" s="46"/>
      <c r="AJ92" s="46"/>
    </row>
    <row r="93" ht="22.5" customHeight="1">
      <c r="A93" s="27">
        <v>46057.0</v>
      </c>
      <c r="B93" s="34" t="str">
        <f t="array" ref="B93">TEXT(A93, "MM-YYYY")</f>
        <v>02-2026</v>
      </c>
      <c r="C93" s="39" t="s">
        <v>530</v>
      </c>
      <c r="D93" s="36" t="s">
        <v>210</v>
      </c>
      <c r="E93" s="36" t="s">
        <v>213</v>
      </c>
      <c r="F93" s="29" t="b">
        <v>1</v>
      </c>
      <c r="G93" s="49"/>
      <c r="H93" s="49"/>
      <c r="I93" s="33"/>
      <c r="J93" s="33"/>
      <c r="K93" s="37" t="s">
        <v>303</v>
      </c>
      <c r="L93" s="37" t="s">
        <v>1189</v>
      </c>
      <c r="M93" s="37" t="s">
        <v>959</v>
      </c>
      <c r="N93" s="37" t="s">
        <v>961</v>
      </c>
      <c r="O93" s="37" t="s">
        <v>837</v>
      </c>
      <c r="P93" s="37" t="s">
        <v>838</v>
      </c>
      <c r="Q93" s="41">
        <v>46082.0</v>
      </c>
      <c r="R93" s="42">
        <v>0.0</v>
      </c>
      <c r="S93" s="55"/>
      <c r="T93" s="37" t="s">
        <v>839</v>
      </c>
      <c r="U93" s="57" t="str">
        <f>IF(records_2[Type]="Room",records_2[roomNo],records_2[roomNo]&amp;"-"&amp;SUBSTITUTE(RIGHT(records_2[roomNo]&amp;records_2[Type],2),"-",""))</f>
        <v>12-2-043</v>
      </c>
      <c r="V93" s="59" t="str">
        <f t="array" ref="V93">_xlfn.XLOOKUP(records_2[ID], dAir[roomNo], dAir[roomName])</f>
        <v>MFG 3</v>
      </c>
      <c r="W93" s="59" t="str">
        <f t="array" ref="W93">_xlfn.XLOOKUP(records_2[ID], dAir[roomNo], dAir[building])</f>
        <v>Building 12</v>
      </c>
      <c r="X93" s="59" t="str">
        <f t="array" ref="X93">_xlfn.XLOOKUP(records_2[ID], dAir[roomNo], dAir[floor])</f>
        <v>Floor 2</v>
      </c>
      <c r="Y93" s="57" t="str">
        <f t="array" ref="Y93">_xlfn.XLOOKUP(records_2[ID], dAir[roomNo], dAir[Class])</f>
        <v>D</v>
      </c>
      <c r="Z93" s="57">
        <f t="array" ref="Z93">_xlfn.XLOOKUP(records_2[Method]&amp;"-"&amp;records_2[Class], dAirSpec[ID], dAirSpec[Spec])</f>
        <v>100</v>
      </c>
      <c r="AA93" s="57" t="str">
        <f t="array" ref="AA93">_xlfn.XLOOKUP(records_2[Method]&amp;"-"&amp;records_2[Class], dAirSpec[ID], dAirSpec[Unit])</f>
        <v>cfu/plate</v>
      </c>
      <c r="AB93" s="62">
        <f t="array" ref="AB93">if(R93="","", if(records_2[Method]="Active Air",_xlfn.xlookup(records_2[ColonyCount]&amp;records_2[AirSampler],feller[code],feller[Vc]),records_2[ColonyCount]))</f>
        <v>0</v>
      </c>
      <c r="AC93" s="63" t="b">
        <f t="shared" si="1"/>
        <v>1</v>
      </c>
      <c r="AD93" s="61" t="b">
        <v>0</v>
      </c>
      <c r="AE93" s="32" t="s">
        <v>280</v>
      </c>
      <c r="AF93" s="46"/>
      <c r="AG93" s="46"/>
      <c r="AH93" s="46"/>
      <c r="AI93" s="46"/>
      <c r="AJ93" s="46"/>
    </row>
    <row r="94" ht="22.5" customHeight="1">
      <c r="A94" s="27">
        <v>46057.0</v>
      </c>
      <c r="B94" s="34" t="str">
        <f t="array" ref="B94">TEXT(A94, "MM-YYYY")</f>
        <v>02-2026</v>
      </c>
      <c r="C94" s="39" t="s">
        <v>543</v>
      </c>
      <c r="D94" s="36" t="s">
        <v>210</v>
      </c>
      <c r="E94" s="36" t="s">
        <v>213</v>
      </c>
      <c r="F94" s="29" t="b">
        <v>1</v>
      </c>
      <c r="G94" s="49"/>
      <c r="H94" s="49"/>
      <c r="I94" s="33"/>
      <c r="J94" s="33"/>
      <c r="K94" s="37" t="s">
        <v>303</v>
      </c>
      <c r="L94" s="37" t="s">
        <v>612</v>
      </c>
      <c r="M94" s="37" t="s">
        <v>982</v>
      </c>
      <c r="N94" s="37" t="s">
        <v>961</v>
      </c>
      <c r="O94" s="37" t="s">
        <v>837</v>
      </c>
      <c r="P94" s="37" t="s">
        <v>838</v>
      </c>
      <c r="Q94" s="41">
        <v>46082.0</v>
      </c>
      <c r="R94" s="42">
        <v>0.0</v>
      </c>
      <c r="S94" s="55"/>
      <c r="T94" s="37" t="s">
        <v>839</v>
      </c>
      <c r="U94" s="57" t="str">
        <f>IF(records_2[Type]="Room",records_2[roomNo],records_2[roomNo]&amp;"-"&amp;SUBSTITUTE(RIGHT(records_2[roomNo]&amp;records_2[Type],2),"-",""))</f>
        <v>12-2-044</v>
      </c>
      <c r="V94" s="59" t="str">
        <f t="array" ref="V94">_xlfn.XLOOKUP(records_2[ID], dAir[roomNo], dAir[roomName])</f>
        <v>AIRLOCK</v>
      </c>
      <c r="W94" s="59" t="str">
        <f t="array" ref="W94">_xlfn.XLOOKUP(records_2[ID], dAir[roomNo], dAir[building])</f>
        <v>Building 12</v>
      </c>
      <c r="X94" s="59" t="str">
        <f t="array" ref="X94">_xlfn.XLOOKUP(records_2[ID], dAir[roomNo], dAir[floor])</f>
        <v>Floor 2</v>
      </c>
      <c r="Y94" s="57" t="str">
        <f t="array" ref="Y94">_xlfn.XLOOKUP(records_2[ID], dAir[roomNo], dAir[Class])</f>
        <v>D</v>
      </c>
      <c r="Z94" s="57">
        <f t="array" ref="Z94">_xlfn.XLOOKUP(records_2[Method]&amp;"-"&amp;records_2[Class], dAirSpec[ID], dAirSpec[Spec])</f>
        <v>100</v>
      </c>
      <c r="AA94" s="57" t="str">
        <f t="array" ref="AA94">_xlfn.XLOOKUP(records_2[Method]&amp;"-"&amp;records_2[Class], dAirSpec[ID], dAirSpec[Unit])</f>
        <v>cfu/plate</v>
      </c>
      <c r="AB94" s="62">
        <f t="array" ref="AB94">if(R94="","", if(records_2[Method]="Active Air",_xlfn.xlookup(records_2[ColonyCount]&amp;records_2[AirSampler],feller[code],feller[Vc]),records_2[ColonyCount]))</f>
        <v>0</v>
      </c>
      <c r="AC94" s="63" t="b">
        <f t="shared" si="1"/>
        <v>1</v>
      </c>
      <c r="AD94" s="61" t="b">
        <v>0</v>
      </c>
      <c r="AE94" s="32" t="s">
        <v>280</v>
      </c>
      <c r="AF94" s="46"/>
      <c r="AG94" s="46"/>
      <c r="AH94" s="46"/>
      <c r="AI94" s="46"/>
      <c r="AJ94" s="46"/>
    </row>
    <row r="95" ht="22.5" customHeight="1">
      <c r="A95" s="27">
        <v>46057.0</v>
      </c>
      <c r="B95" s="34" t="str">
        <f t="array" ref="B95">TEXT(A95, "MM-YYYY")</f>
        <v>02-2026</v>
      </c>
      <c r="C95" s="39" t="s">
        <v>552</v>
      </c>
      <c r="D95" s="36" t="s">
        <v>210</v>
      </c>
      <c r="E95" s="36" t="s">
        <v>213</v>
      </c>
      <c r="F95" s="29" t="b">
        <v>1</v>
      </c>
      <c r="G95" s="49"/>
      <c r="H95" s="49"/>
      <c r="I95" s="33"/>
      <c r="J95" s="33"/>
      <c r="K95" s="37" t="s">
        <v>303</v>
      </c>
      <c r="L95" s="37" t="s">
        <v>846</v>
      </c>
      <c r="M95" s="37" t="s">
        <v>1036</v>
      </c>
      <c r="N95" s="37" t="s">
        <v>867</v>
      </c>
      <c r="O95" s="37" t="s">
        <v>837</v>
      </c>
      <c r="P95" s="37" t="s">
        <v>838</v>
      </c>
      <c r="Q95" s="41">
        <v>46082.0</v>
      </c>
      <c r="R95" s="42">
        <v>0.0</v>
      </c>
      <c r="S95" s="55"/>
      <c r="T95" s="37" t="s">
        <v>839</v>
      </c>
      <c r="U95" s="57" t="str">
        <f>IF(records_2[Type]="Room",records_2[roomNo],records_2[roomNo]&amp;"-"&amp;SUBSTITUTE(RIGHT(records_2[roomNo]&amp;records_2[Type],2),"-",""))</f>
        <v>12-2-045</v>
      </c>
      <c r="V95" s="59" t="str">
        <f t="array" ref="V95">_xlfn.XLOOKUP(records_2[ID], dAir[roomNo], dAir[roomName])</f>
        <v>MFG 4</v>
      </c>
      <c r="W95" s="59" t="str">
        <f t="array" ref="W95">_xlfn.XLOOKUP(records_2[ID], dAir[roomNo], dAir[building])</f>
        <v>Building 12</v>
      </c>
      <c r="X95" s="59" t="str">
        <f t="array" ref="X95">_xlfn.XLOOKUP(records_2[ID], dAir[roomNo], dAir[floor])</f>
        <v>Floor 2</v>
      </c>
      <c r="Y95" s="57" t="str">
        <f t="array" ref="Y95">_xlfn.XLOOKUP(records_2[ID], dAir[roomNo], dAir[Class])</f>
        <v>D</v>
      </c>
      <c r="Z95" s="57">
        <f t="array" ref="Z95">_xlfn.XLOOKUP(records_2[Method]&amp;"-"&amp;records_2[Class], dAirSpec[ID], dAirSpec[Spec])</f>
        <v>100</v>
      </c>
      <c r="AA95" s="57" t="str">
        <f t="array" ref="AA95">_xlfn.XLOOKUP(records_2[Method]&amp;"-"&amp;records_2[Class], dAirSpec[ID], dAirSpec[Unit])</f>
        <v>cfu/plate</v>
      </c>
      <c r="AB95" s="62">
        <f t="array" ref="AB95">if(R95="","", if(records_2[Method]="Active Air",_xlfn.xlookup(records_2[ColonyCount]&amp;records_2[AirSampler],feller[code],feller[Vc]),records_2[ColonyCount]))</f>
        <v>0</v>
      </c>
      <c r="AC95" s="63" t="b">
        <f t="shared" si="1"/>
        <v>1</v>
      </c>
      <c r="AD95" s="61" t="b">
        <v>0</v>
      </c>
      <c r="AE95" s="32" t="s">
        <v>280</v>
      </c>
      <c r="AF95" s="46"/>
      <c r="AG95" s="46"/>
      <c r="AH95" s="46"/>
      <c r="AI95" s="46"/>
      <c r="AJ95" s="46"/>
    </row>
    <row r="96" ht="22.5" customHeight="1">
      <c r="A96" s="27">
        <v>46057.0</v>
      </c>
      <c r="B96" s="34" t="str">
        <f t="array" ref="B96">TEXT(A96, "MM-YYYY")</f>
        <v>02-2026</v>
      </c>
      <c r="C96" s="39" t="s">
        <v>556</v>
      </c>
      <c r="D96" s="36" t="s">
        <v>210</v>
      </c>
      <c r="E96" s="36" t="s">
        <v>213</v>
      </c>
      <c r="F96" s="29" t="b">
        <v>1</v>
      </c>
      <c r="G96" s="49"/>
      <c r="H96" s="49"/>
      <c r="I96" s="33"/>
      <c r="J96" s="33"/>
      <c r="K96" s="37" t="s">
        <v>326</v>
      </c>
      <c r="L96" s="37" t="s">
        <v>327</v>
      </c>
      <c r="M96" s="37" t="s">
        <v>1271</v>
      </c>
      <c r="N96" s="37" t="s">
        <v>1272</v>
      </c>
      <c r="O96" s="37" t="s">
        <v>837</v>
      </c>
      <c r="P96" s="37" t="s">
        <v>838</v>
      </c>
      <c r="Q96" s="41">
        <v>46082.0</v>
      </c>
      <c r="R96" s="42">
        <v>0.0</v>
      </c>
      <c r="S96" s="55"/>
      <c r="T96" s="37" t="s">
        <v>839</v>
      </c>
      <c r="U96" s="57" t="str">
        <f>IF(records_2[Type]="Room",records_2[roomNo],records_2[roomNo]&amp;"-"&amp;SUBSTITUTE(RIGHT(records_2[roomNo]&amp;records_2[Type],2),"-",""))</f>
        <v>12-2-046</v>
      </c>
      <c r="V96" s="59" t="str">
        <f t="array" ref="V96">_xlfn.XLOOKUP(records_2[ID], dAir[roomNo], dAir[roomName])</f>
        <v>PRO TINCTURE STAGING</v>
      </c>
      <c r="W96" s="59" t="str">
        <f t="array" ref="W96">_xlfn.XLOOKUP(records_2[ID], dAir[roomNo], dAir[building])</f>
        <v>Building 12</v>
      </c>
      <c r="X96" s="59" t="str">
        <f t="array" ref="X96">_xlfn.XLOOKUP(records_2[ID], dAir[roomNo], dAir[floor])</f>
        <v>Floor 2</v>
      </c>
      <c r="Y96" s="57" t="str">
        <f t="array" ref="Y96">_xlfn.XLOOKUP(records_2[ID], dAir[roomNo], dAir[Class])</f>
        <v>D</v>
      </c>
      <c r="Z96" s="57">
        <f t="array" ref="Z96">_xlfn.XLOOKUP(records_2[Method]&amp;"-"&amp;records_2[Class], dAirSpec[ID], dAirSpec[Spec])</f>
        <v>100</v>
      </c>
      <c r="AA96" s="57" t="str">
        <f t="array" ref="AA96">_xlfn.XLOOKUP(records_2[Method]&amp;"-"&amp;records_2[Class], dAirSpec[ID], dAirSpec[Unit])</f>
        <v>cfu/plate</v>
      </c>
      <c r="AB96" s="62">
        <f t="array" ref="AB96">if(R96="","", if(records_2[Method]="Active Air",_xlfn.xlookup(records_2[ColonyCount]&amp;records_2[AirSampler],feller[code],feller[Vc]),records_2[ColonyCount]))</f>
        <v>0</v>
      </c>
      <c r="AC96" s="63" t="b">
        <f t="shared" si="1"/>
        <v>1</v>
      </c>
      <c r="AD96" s="61" t="b">
        <v>0</v>
      </c>
      <c r="AE96" s="32" t="s">
        <v>280</v>
      </c>
      <c r="AF96" s="46"/>
      <c r="AG96" s="46"/>
      <c r="AH96" s="46"/>
      <c r="AI96" s="46"/>
      <c r="AJ96" s="46"/>
    </row>
    <row r="97" ht="22.5" customHeight="1">
      <c r="A97" s="27">
        <v>46057.0</v>
      </c>
      <c r="B97" s="34" t="str">
        <f t="array" ref="B97">TEXT(A97, "MM-YYYY")</f>
        <v>02-2026</v>
      </c>
      <c r="C97" s="39" t="s">
        <v>562</v>
      </c>
      <c r="D97" s="36" t="s">
        <v>210</v>
      </c>
      <c r="E97" s="36" t="s">
        <v>213</v>
      </c>
      <c r="F97" s="29" t="b">
        <v>1</v>
      </c>
      <c r="G97" s="49"/>
      <c r="H97" s="49"/>
      <c r="I97" s="33"/>
      <c r="J97" s="33"/>
      <c r="K97" s="37" t="s">
        <v>314</v>
      </c>
      <c r="L97" s="37" t="s">
        <v>980</v>
      </c>
      <c r="M97" s="37" t="s">
        <v>1296</v>
      </c>
      <c r="N97" s="37" t="s">
        <v>1272</v>
      </c>
      <c r="O97" s="37" t="s">
        <v>837</v>
      </c>
      <c r="P97" s="37" t="s">
        <v>838</v>
      </c>
      <c r="Q97" s="41">
        <v>46082.0</v>
      </c>
      <c r="R97" s="42">
        <v>0.0</v>
      </c>
      <c r="S97" s="55"/>
      <c r="T97" s="37" t="s">
        <v>839</v>
      </c>
      <c r="U97" s="57" t="str">
        <f>IF(records_2[Type]="Room",records_2[roomNo],records_2[roomNo]&amp;"-"&amp;SUBSTITUTE(RIGHT(records_2[roomNo]&amp;records_2[Type],2),"-",""))</f>
        <v>12-2-047</v>
      </c>
      <c r="V97" s="59" t="str">
        <f t="array" ref="V97">_xlfn.XLOOKUP(records_2[ID], dAir[roomNo], dAir[roomName])</f>
        <v>AIRLOCK</v>
      </c>
      <c r="W97" s="59" t="str">
        <f t="array" ref="W97">_xlfn.XLOOKUP(records_2[ID], dAir[roomNo], dAir[building])</f>
        <v>Building 12</v>
      </c>
      <c r="X97" s="59" t="str">
        <f t="array" ref="X97">_xlfn.XLOOKUP(records_2[ID], dAir[roomNo], dAir[floor])</f>
        <v>Floor 2</v>
      </c>
      <c r="Y97" s="57" t="str">
        <f t="array" ref="Y97">_xlfn.XLOOKUP(records_2[ID], dAir[roomNo], dAir[Class])</f>
        <v>D</v>
      </c>
      <c r="Z97" s="57">
        <f t="array" ref="Z97">_xlfn.XLOOKUP(records_2[Method]&amp;"-"&amp;records_2[Class], dAirSpec[ID], dAirSpec[Spec])</f>
        <v>100</v>
      </c>
      <c r="AA97" s="57" t="str">
        <f t="array" ref="AA97">_xlfn.XLOOKUP(records_2[Method]&amp;"-"&amp;records_2[Class], dAirSpec[ID], dAirSpec[Unit])</f>
        <v>cfu/plate</v>
      </c>
      <c r="AB97" s="62">
        <f t="array" ref="AB97">if(R97="","", if(records_2[Method]="Active Air",_xlfn.xlookup(records_2[ColonyCount]&amp;records_2[AirSampler],feller[code],feller[Vc]),records_2[ColonyCount]))</f>
        <v>0</v>
      </c>
      <c r="AC97" s="63" t="b">
        <f t="shared" si="1"/>
        <v>1</v>
      </c>
      <c r="AD97" s="61" t="b">
        <v>0</v>
      </c>
      <c r="AE97" s="32" t="s">
        <v>280</v>
      </c>
      <c r="AF97" s="46"/>
      <c r="AG97" s="46"/>
      <c r="AH97" s="46"/>
      <c r="AI97" s="46"/>
      <c r="AJ97" s="46"/>
    </row>
    <row r="98" ht="22.5" customHeight="1">
      <c r="A98" s="27">
        <v>46057.0</v>
      </c>
      <c r="B98" s="34" t="str">
        <f t="array" ref="B98">TEXT(A98, "MM-YYYY")</f>
        <v>02-2026</v>
      </c>
      <c r="C98" s="39" t="s">
        <v>572</v>
      </c>
      <c r="D98" s="36" t="s">
        <v>210</v>
      </c>
      <c r="E98" s="36" t="s">
        <v>213</v>
      </c>
      <c r="F98" s="29" t="b">
        <v>1</v>
      </c>
      <c r="G98" s="49"/>
      <c r="H98" s="49"/>
      <c r="I98" s="33"/>
      <c r="J98" s="33"/>
      <c r="K98" s="37" t="s">
        <v>469</v>
      </c>
      <c r="L98" s="37" t="s">
        <v>1332</v>
      </c>
      <c r="M98" s="37" t="s">
        <v>1296</v>
      </c>
      <c r="N98" s="37" t="s">
        <v>1272</v>
      </c>
      <c r="O98" s="37" t="s">
        <v>837</v>
      </c>
      <c r="P98" s="37" t="s">
        <v>838</v>
      </c>
      <c r="Q98" s="41">
        <v>46082.0</v>
      </c>
      <c r="R98" s="42">
        <v>0.0</v>
      </c>
      <c r="S98" s="55"/>
      <c r="T98" s="37" t="s">
        <v>839</v>
      </c>
      <c r="U98" s="57" t="str">
        <f>IF(records_2[Type]="Room",records_2[roomNo],records_2[roomNo]&amp;"-"&amp;SUBSTITUTE(RIGHT(records_2[roomNo]&amp;records_2[Type],2),"-",""))</f>
        <v>12-2-048</v>
      </c>
      <c r="V98" s="59" t="str">
        <f t="array" ref="V98">_xlfn.XLOOKUP(records_2[ID], dAir[roomNo], dAir[roomName])</f>
        <v>CORRIDOR</v>
      </c>
      <c r="W98" s="59" t="str">
        <f t="array" ref="W98">_xlfn.XLOOKUP(records_2[ID], dAir[roomNo], dAir[building])</f>
        <v>Building 12</v>
      </c>
      <c r="X98" s="59" t="str">
        <f t="array" ref="X98">_xlfn.XLOOKUP(records_2[ID], dAir[roomNo], dAir[floor])</f>
        <v>Floor 2</v>
      </c>
      <c r="Y98" s="57" t="str">
        <f t="array" ref="Y98">_xlfn.XLOOKUP(records_2[ID], dAir[roomNo], dAir[Class])</f>
        <v>D</v>
      </c>
      <c r="Z98" s="57">
        <f t="array" ref="Z98">_xlfn.XLOOKUP(records_2[Method]&amp;"-"&amp;records_2[Class], dAirSpec[ID], dAirSpec[Spec])</f>
        <v>100</v>
      </c>
      <c r="AA98" s="57" t="str">
        <f t="array" ref="AA98">_xlfn.XLOOKUP(records_2[Method]&amp;"-"&amp;records_2[Class], dAirSpec[ID], dAirSpec[Unit])</f>
        <v>cfu/plate</v>
      </c>
      <c r="AB98" s="62">
        <f t="array" ref="AB98">if(R98="","", if(records_2[Method]="Active Air",_xlfn.xlookup(records_2[ColonyCount]&amp;records_2[AirSampler],feller[code],feller[Vc]),records_2[ColonyCount]))</f>
        <v>0</v>
      </c>
      <c r="AC98" s="63" t="b">
        <f t="shared" si="1"/>
        <v>1</v>
      </c>
      <c r="AD98" s="61" t="b">
        <v>0</v>
      </c>
      <c r="AE98" s="32" t="s">
        <v>280</v>
      </c>
      <c r="AF98" s="46"/>
      <c r="AG98" s="46"/>
      <c r="AH98" s="46"/>
      <c r="AI98" s="46"/>
      <c r="AJ98" s="46"/>
    </row>
    <row r="99" ht="22.5" customHeight="1">
      <c r="A99" s="27">
        <v>46057.0</v>
      </c>
      <c r="B99" s="34" t="str">
        <f t="array" ref="B99">TEXT(A99, "MM-YYYY")</f>
        <v>02-2026</v>
      </c>
      <c r="C99" s="39" t="s">
        <v>581</v>
      </c>
      <c r="D99" s="36" t="s">
        <v>210</v>
      </c>
      <c r="E99" s="36" t="s">
        <v>213</v>
      </c>
      <c r="F99" s="29" t="b">
        <v>1</v>
      </c>
      <c r="G99" s="49"/>
      <c r="H99" s="49"/>
      <c r="I99" s="33"/>
      <c r="J99" s="33"/>
      <c r="K99" s="37" t="s">
        <v>326</v>
      </c>
      <c r="L99" s="37" t="s">
        <v>1357</v>
      </c>
      <c r="M99" s="37" t="s">
        <v>1296</v>
      </c>
      <c r="N99" s="37" t="s">
        <v>1272</v>
      </c>
      <c r="O99" s="37" t="s">
        <v>837</v>
      </c>
      <c r="P99" s="37" t="s">
        <v>838</v>
      </c>
      <c r="Q99" s="41">
        <v>46082.0</v>
      </c>
      <c r="R99" s="42">
        <v>0.0</v>
      </c>
      <c r="S99" s="55"/>
      <c r="T99" s="37" t="s">
        <v>839</v>
      </c>
      <c r="U99" s="57" t="str">
        <f>IF(records_2[Type]="Room",records_2[roomNo],records_2[roomNo]&amp;"-"&amp;SUBSTITUTE(RIGHT(records_2[roomNo]&amp;records_2[Type],2),"-",""))</f>
        <v>12-2-049</v>
      </c>
      <c r="V99" s="59" t="str">
        <f t="array" ref="V99">_xlfn.XLOOKUP(records_2[ID], dAir[roomNo], dAir[roomName])</f>
        <v>LINEN WASHING</v>
      </c>
      <c r="W99" s="59" t="str">
        <f t="array" ref="W99">_xlfn.XLOOKUP(records_2[ID], dAir[roomNo], dAir[building])</f>
        <v>Building 12</v>
      </c>
      <c r="X99" s="59" t="str">
        <f t="array" ref="X99">_xlfn.XLOOKUP(records_2[ID], dAir[roomNo], dAir[floor])</f>
        <v>Floor 2</v>
      </c>
      <c r="Y99" s="57" t="str">
        <f t="array" ref="Y99">_xlfn.XLOOKUP(records_2[ID], dAir[roomNo], dAir[Class])</f>
        <v>D</v>
      </c>
      <c r="Z99" s="57">
        <f t="array" ref="Z99">_xlfn.XLOOKUP(records_2[Method]&amp;"-"&amp;records_2[Class], dAirSpec[ID], dAirSpec[Spec])</f>
        <v>100</v>
      </c>
      <c r="AA99" s="57" t="str">
        <f t="array" ref="AA99">_xlfn.XLOOKUP(records_2[Method]&amp;"-"&amp;records_2[Class], dAirSpec[ID], dAirSpec[Unit])</f>
        <v>cfu/plate</v>
      </c>
      <c r="AB99" s="62">
        <f t="array" ref="AB99">if(R99="","", if(records_2[Method]="Active Air",_xlfn.xlookup(records_2[ColonyCount]&amp;records_2[AirSampler],feller[code],feller[Vc]),records_2[ColonyCount]))</f>
        <v>0</v>
      </c>
      <c r="AC99" s="63" t="b">
        <f t="shared" si="1"/>
        <v>1</v>
      </c>
      <c r="AD99" s="61" t="b">
        <v>0</v>
      </c>
      <c r="AE99" s="32" t="s">
        <v>280</v>
      </c>
      <c r="AF99" s="46"/>
      <c r="AG99" s="46"/>
      <c r="AH99" s="46"/>
      <c r="AI99" s="46"/>
      <c r="AJ99" s="46"/>
    </row>
    <row r="100" ht="22.5" customHeight="1">
      <c r="A100" s="27">
        <v>46057.0</v>
      </c>
      <c r="B100" s="34" t="str">
        <f t="array" ref="B100">TEXT(A100, "MM-YYYY")</f>
        <v>02-2026</v>
      </c>
      <c r="C100" s="39" t="s">
        <v>590</v>
      </c>
      <c r="D100" s="36" t="s">
        <v>210</v>
      </c>
      <c r="E100" s="36" t="s">
        <v>213</v>
      </c>
      <c r="F100" s="29" t="b">
        <v>1</v>
      </c>
      <c r="G100" s="49"/>
      <c r="H100" s="49"/>
      <c r="I100" s="33"/>
      <c r="J100" s="33"/>
      <c r="K100" s="37" t="s">
        <v>469</v>
      </c>
      <c r="L100" s="37" t="s">
        <v>1380</v>
      </c>
      <c r="M100" s="37" t="s">
        <v>1381</v>
      </c>
      <c r="N100" s="37" t="s">
        <v>1382</v>
      </c>
      <c r="O100" s="37" t="s">
        <v>837</v>
      </c>
      <c r="P100" s="37" t="s">
        <v>838</v>
      </c>
      <c r="Q100" s="41">
        <v>46082.0</v>
      </c>
      <c r="R100" s="42">
        <v>0.0</v>
      </c>
      <c r="S100" s="55"/>
      <c r="T100" s="37" t="s">
        <v>839</v>
      </c>
      <c r="U100" s="57" t="str">
        <f>IF(records_2[Type]="Room",records_2[roomNo],records_2[roomNo]&amp;"-"&amp;SUBSTITUTE(RIGHT(records_2[roomNo]&amp;records_2[Type],2),"-",""))</f>
        <v>12-2-050</v>
      </c>
      <c r="V100" s="59" t="str">
        <f t="array" ref="V100">_xlfn.XLOOKUP(records_2[ID], dAir[roomNo], dAir[roomName])</f>
        <v>LINEN DRY</v>
      </c>
      <c r="W100" s="59" t="str">
        <f t="array" ref="W100">_xlfn.XLOOKUP(records_2[ID], dAir[roomNo], dAir[building])</f>
        <v>Building 12</v>
      </c>
      <c r="X100" s="59" t="str">
        <f t="array" ref="X100">_xlfn.XLOOKUP(records_2[ID], dAir[roomNo], dAir[floor])</f>
        <v>Floor 2</v>
      </c>
      <c r="Y100" s="57" t="str">
        <f t="array" ref="Y100">_xlfn.XLOOKUP(records_2[ID], dAir[roomNo], dAir[Class])</f>
        <v>D</v>
      </c>
      <c r="Z100" s="57">
        <f t="array" ref="Z100">_xlfn.XLOOKUP(records_2[Method]&amp;"-"&amp;records_2[Class], dAirSpec[ID], dAirSpec[Spec])</f>
        <v>100</v>
      </c>
      <c r="AA100" s="57" t="str">
        <f t="array" ref="AA100">_xlfn.XLOOKUP(records_2[Method]&amp;"-"&amp;records_2[Class], dAirSpec[ID], dAirSpec[Unit])</f>
        <v>cfu/plate</v>
      </c>
      <c r="AB100" s="62">
        <f t="array" ref="AB100">if(R100="","", if(records_2[Method]="Active Air",_xlfn.xlookup(records_2[ColonyCount]&amp;records_2[AirSampler],feller[code],feller[Vc]),records_2[ColonyCount]))</f>
        <v>0</v>
      </c>
      <c r="AC100" s="63" t="b">
        <f t="shared" si="1"/>
        <v>1</v>
      </c>
      <c r="AD100" s="61" t="b">
        <v>0</v>
      </c>
      <c r="AE100" s="32" t="s">
        <v>280</v>
      </c>
      <c r="AF100" s="46"/>
      <c r="AG100" s="46"/>
      <c r="AH100" s="46"/>
      <c r="AI100" s="46"/>
      <c r="AJ100" s="46"/>
    </row>
    <row r="101" ht="22.5" customHeight="1">
      <c r="A101" s="27">
        <v>46057.0</v>
      </c>
      <c r="B101" s="34" t="str">
        <f t="array" ref="B101">TEXT(A101, "MM-YYYY")</f>
        <v>02-2026</v>
      </c>
      <c r="C101" s="39" t="s">
        <v>601</v>
      </c>
      <c r="D101" s="36" t="s">
        <v>210</v>
      </c>
      <c r="E101" s="36" t="s">
        <v>213</v>
      </c>
      <c r="F101" s="29" t="b">
        <v>1</v>
      </c>
      <c r="G101" s="49"/>
      <c r="H101" s="49"/>
      <c r="I101" s="33"/>
      <c r="J101" s="33"/>
      <c r="K101" s="37" t="s">
        <v>292</v>
      </c>
      <c r="L101" s="37" t="s">
        <v>1126</v>
      </c>
      <c r="M101" s="37" t="s">
        <v>1398</v>
      </c>
      <c r="N101" s="37" t="s">
        <v>1382</v>
      </c>
      <c r="O101" s="37" t="s">
        <v>837</v>
      </c>
      <c r="P101" s="37" t="s">
        <v>838</v>
      </c>
      <c r="Q101" s="41">
        <v>46082.0</v>
      </c>
      <c r="R101" s="42">
        <v>0.0</v>
      </c>
      <c r="S101" s="55"/>
      <c r="T101" s="37" t="s">
        <v>839</v>
      </c>
      <c r="U101" s="57" t="str">
        <f>IF(records_2[Type]="Room",records_2[roomNo],records_2[roomNo]&amp;"-"&amp;SUBSTITUTE(RIGHT(records_2[roomNo]&amp;records_2[Type],2),"-",""))</f>
        <v>12-2-051</v>
      </c>
      <c r="V101" s="59" t="str">
        <f t="array" ref="V101">_xlfn.XLOOKUP(records_2[ID], dAir[roomNo], dAir[roomName])</f>
        <v>SCRAP STORAGE</v>
      </c>
      <c r="W101" s="59" t="str">
        <f t="array" ref="W101">_xlfn.XLOOKUP(records_2[ID], dAir[roomNo], dAir[building])</f>
        <v>Building 12</v>
      </c>
      <c r="X101" s="59" t="str">
        <f t="array" ref="X101">_xlfn.XLOOKUP(records_2[ID], dAir[roomNo], dAir[floor])</f>
        <v>Floor 2</v>
      </c>
      <c r="Y101" s="57" t="str">
        <f t="array" ref="Y101">_xlfn.XLOOKUP(records_2[ID], dAir[roomNo], dAir[Class])</f>
        <v>D</v>
      </c>
      <c r="Z101" s="57">
        <f t="array" ref="Z101">_xlfn.XLOOKUP(records_2[Method]&amp;"-"&amp;records_2[Class], dAirSpec[ID], dAirSpec[Spec])</f>
        <v>100</v>
      </c>
      <c r="AA101" s="57" t="str">
        <f t="array" ref="AA101">_xlfn.XLOOKUP(records_2[Method]&amp;"-"&amp;records_2[Class], dAirSpec[ID], dAirSpec[Unit])</f>
        <v>cfu/plate</v>
      </c>
      <c r="AB101" s="62">
        <f t="array" ref="AB101">if(R101="","", if(records_2[Method]="Active Air",_xlfn.xlookup(records_2[ColonyCount]&amp;records_2[AirSampler],feller[code],feller[Vc]),records_2[ColonyCount]))</f>
        <v>0</v>
      </c>
      <c r="AC101" s="63" t="b">
        <f t="shared" si="1"/>
        <v>1</v>
      </c>
      <c r="AD101" s="61" t="b">
        <v>0</v>
      </c>
      <c r="AE101" s="32" t="s">
        <v>280</v>
      </c>
      <c r="AF101" s="46"/>
      <c r="AG101" s="46"/>
      <c r="AH101" s="46"/>
      <c r="AI101" s="46"/>
      <c r="AJ101" s="46"/>
    </row>
    <row r="102" ht="22.5" customHeight="1">
      <c r="A102" s="27">
        <v>46057.0</v>
      </c>
      <c r="B102" s="34" t="str">
        <f t="array" ref="B102">TEXT(A102, "MM-YYYY")</f>
        <v>02-2026</v>
      </c>
      <c r="C102" s="39" t="s">
        <v>610</v>
      </c>
      <c r="D102" s="36" t="s">
        <v>210</v>
      </c>
      <c r="E102" s="36" t="s">
        <v>213</v>
      </c>
      <c r="F102" s="29" t="b">
        <v>1</v>
      </c>
      <c r="G102" s="49"/>
      <c r="H102" s="49"/>
      <c r="I102" s="33"/>
      <c r="J102" s="33"/>
      <c r="K102" s="37" t="s">
        <v>569</v>
      </c>
      <c r="L102" s="37" t="s">
        <v>1405</v>
      </c>
      <c r="M102" s="37" t="s">
        <v>1406</v>
      </c>
      <c r="N102" s="37" t="s">
        <v>1407</v>
      </c>
      <c r="O102" s="37" t="s">
        <v>837</v>
      </c>
      <c r="P102" s="37" t="s">
        <v>838</v>
      </c>
      <c r="Q102" s="41">
        <v>46082.0</v>
      </c>
      <c r="R102" s="42">
        <v>2.0</v>
      </c>
      <c r="S102" s="55"/>
      <c r="T102" s="37" t="s">
        <v>839</v>
      </c>
      <c r="U102" s="57" t="str">
        <f>IF(records_2[Type]="Room",records_2[roomNo],records_2[roomNo]&amp;"-"&amp;SUBSTITUTE(RIGHT(records_2[roomNo]&amp;records_2[Type],2),"-",""))</f>
        <v>12-2-052</v>
      </c>
      <c r="V102" s="59" t="str">
        <f t="array" ref="V102">_xlfn.XLOOKUP(records_2[ID], dAir[roomNo], dAir[roomName])</f>
        <v>CORRIDOR</v>
      </c>
      <c r="W102" s="59" t="str">
        <f t="array" ref="W102">_xlfn.XLOOKUP(records_2[ID], dAir[roomNo], dAir[building])</f>
        <v>Building 12</v>
      </c>
      <c r="X102" s="59" t="str">
        <f t="array" ref="X102">_xlfn.XLOOKUP(records_2[ID], dAir[roomNo], dAir[floor])</f>
        <v>Floor 2</v>
      </c>
      <c r="Y102" s="57" t="str">
        <f t="array" ref="Y102">_xlfn.XLOOKUP(records_2[ID], dAir[roomNo], dAir[Class])</f>
        <v>D</v>
      </c>
      <c r="Z102" s="57">
        <f t="array" ref="Z102">_xlfn.XLOOKUP(records_2[Method]&amp;"-"&amp;records_2[Class], dAirSpec[ID], dAirSpec[Spec])</f>
        <v>100</v>
      </c>
      <c r="AA102" s="57" t="str">
        <f t="array" ref="AA102">_xlfn.XLOOKUP(records_2[Method]&amp;"-"&amp;records_2[Class], dAirSpec[ID], dAirSpec[Unit])</f>
        <v>cfu/plate</v>
      </c>
      <c r="AB102" s="62">
        <f t="array" ref="AB102">if(R102="","", if(records_2[Method]="Active Air",_xlfn.xlookup(records_2[ColonyCount]&amp;records_2[AirSampler],feller[code],feller[Vc]),records_2[ColonyCount]))</f>
        <v>2</v>
      </c>
      <c r="AC102" s="63" t="b">
        <f t="shared" si="1"/>
        <v>1</v>
      </c>
      <c r="AD102" s="61" t="b">
        <v>0</v>
      </c>
      <c r="AE102" s="32" t="s">
        <v>280</v>
      </c>
      <c r="AF102" s="46"/>
      <c r="AG102" s="46"/>
      <c r="AH102" s="46"/>
      <c r="AI102" s="46"/>
      <c r="AJ102" s="46"/>
    </row>
    <row r="103" ht="22.5" customHeight="1">
      <c r="A103" s="27">
        <v>46057.0</v>
      </c>
      <c r="B103" s="34" t="str">
        <f t="array" ref="B103">TEXT(A103, "MM-YYYY")</f>
        <v>02-2026</v>
      </c>
      <c r="C103" s="39" t="s">
        <v>622</v>
      </c>
      <c r="D103" s="36" t="s">
        <v>210</v>
      </c>
      <c r="E103" s="36" t="s">
        <v>213</v>
      </c>
      <c r="F103" s="29" t="b">
        <v>1</v>
      </c>
      <c r="G103" s="49"/>
      <c r="H103" s="49"/>
      <c r="I103" s="33"/>
      <c r="J103" s="33"/>
      <c r="K103" s="37" t="s">
        <v>1157</v>
      </c>
      <c r="L103" s="37" t="s">
        <v>1414</v>
      </c>
      <c r="M103" s="37" t="s">
        <v>1406</v>
      </c>
      <c r="N103" s="37" t="s">
        <v>1382</v>
      </c>
      <c r="O103" s="37" t="s">
        <v>837</v>
      </c>
      <c r="P103" s="37" t="s">
        <v>838</v>
      </c>
      <c r="Q103" s="41">
        <v>46082.0</v>
      </c>
      <c r="R103" s="42">
        <v>0.0</v>
      </c>
      <c r="S103" s="55"/>
      <c r="T103" s="37" t="s">
        <v>839</v>
      </c>
      <c r="U103" s="57" t="str">
        <f>IF(records_2[Type]="Room",records_2[roomNo],records_2[roomNo]&amp;"-"&amp;SUBSTITUTE(RIGHT(records_2[roomNo]&amp;records_2[Type],2),"-",""))</f>
        <v>12-2-053</v>
      </c>
      <c r="V103" s="59" t="str">
        <f t="array" ref="V103">_xlfn.XLOOKUP(records_2[ID], dAir[roomNo], dAir[roomName])</f>
        <v>IPQC</v>
      </c>
      <c r="W103" s="59" t="str">
        <f t="array" ref="W103">_xlfn.XLOOKUP(records_2[ID], dAir[roomNo], dAir[building])</f>
        <v>Building 12</v>
      </c>
      <c r="X103" s="59" t="str">
        <f t="array" ref="X103">_xlfn.XLOOKUP(records_2[ID], dAir[roomNo], dAir[floor])</f>
        <v>Floor 2</v>
      </c>
      <c r="Y103" s="57" t="str">
        <f t="array" ref="Y103">_xlfn.XLOOKUP(records_2[ID], dAir[roomNo], dAir[Class])</f>
        <v>D</v>
      </c>
      <c r="Z103" s="57">
        <f t="array" ref="Z103">_xlfn.XLOOKUP(records_2[Method]&amp;"-"&amp;records_2[Class], dAirSpec[ID], dAirSpec[Spec])</f>
        <v>100</v>
      </c>
      <c r="AA103" s="57" t="str">
        <f t="array" ref="AA103">_xlfn.XLOOKUP(records_2[Method]&amp;"-"&amp;records_2[Class], dAirSpec[ID], dAirSpec[Unit])</f>
        <v>cfu/plate</v>
      </c>
      <c r="AB103" s="62">
        <f t="array" ref="AB103">if(R103="","", if(records_2[Method]="Active Air",_xlfn.xlookup(records_2[ColonyCount]&amp;records_2[AirSampler],feller[code],feller[Vc]),records_2[ColonyCount]))</f>
        <v>0</v>
      </c>
      <c r="AC103" s="63" t="b">
        <f t="shared" si="1"/>
        <v>1</v>
      </c>
      <c r="AD103" s="61" t="b">
        <v>0</v>
      </c>
      <c r="AE103" s="32" t="s">
        <v>280</v>
      </c>
      <c r="AF103" s="46"/>
      <c r="AG103" s="46"/>
      <c r="AH103" s="46"/>
      <c r="AI103" s="46"/>
      <c r="AJ103" s="46"/>
    </row>
    <row r="104" ht="22.5" customHeight="1">
      <c r="A104" s="27">
        <v>46057.0</v>
      </c>
      <c r="B104" s="34" t="str">
        <f t="array" ref="B104">TEXT(A104, "MM-YYYY")</f>
        <v>02-2026</v>
      </c>
      <c r="C104" s="39" t="s">
        <v>626</v>
      </c>
      <c r="D104" s="36" t="s">
        <v>210</v>
      </c>
      <c r="E104" s="36" t="s">
        <v>213</v>
      </c>
      <c r="F104" s="29" t="b">
        <v>1</v>
      </c>
      <c r="G104" s="49"/>
      <c r="H104" s="49"/>
      <c r="I104" s="33"/>
      <c r="J104" s="33"/>
      <c r="K104" s="37" t="s">
        <v>303</v>
      </c>
      <c r="L104" s="37" t="s">
        <v>551</v>
      </c>
      <c r="M104" s="37" t="s">
        <v>1406</v>
      </c>
      <c r="N104" s="37" t="s">
        <v>1407</v>
      </c>
      <c r="O104" s="37" t="s">
        <v>837</v>
      </c>
      <c r="P104" s="37" t="s">
        <v>838</v>
      </c>
      <c r="Q104" s="41">
        <v>46082.0</v>
      </c>
      <c r="R104" s="42">
        <v>0.0</v>
      </c>
      <c r="S104" s="55"/>
      <c r="T104" s="37" t="s">
        <v>839</v>
      </c>
      <c r="U104" s="57" t="str">
        <f>IF(records_2[Type]="Room",records_2[roomNo],records_2[roomNo]&amp;"-"&amp;SUBSTITUTE(RIGHT(records_2[roomNo]&amp;records_2[Type],2),"-",""))</f>
        <v>12-2-054</v>
      </c>
      <c r="V104" s="59" t="str">
        <f t="array" ref="V104">_xlfn.XLOOKUP(records_2[ID], dAir[roomNo], dAir[roomName])</f>
        <v>STAGING 3</v>
      </c>
      <c r="W104" s="59" t="str">
        <f t="array" ref="W104">_xlfn.XLOOKUP(records_2[ID], dAir[roomNo], dAir[building])</f>
        <v>Building 12</v>
      </c>
      <c r="X104" s="59" t="str">
        <f t="array" ref="X104">_xlfn.XLOOKUP(records_2[ID], dAir[roomNo], dAir[floor])</f>
        <v>Floor 2</v>
      </c>
      <c r="Y104" s="57" t="str">
        <f t="array" ref="Y104">_xlfn.XLOOKUP(records_2[ID], dAir[roomNo], dAir[Class])</f>
        <v>D</v>
      </c>
      <c r="Z104" s="57">
        <f t="array" ref="Z104">_xlfn.XLOOKUP(records_2[Method]&amp;"-"&amp;records_2[Class], dAirSpec[ID], dAirSpec[Spec])</f>
        <v>100</v>
      </c>
      <c r="AA104" s="57" t="str">
        <f t="array" ref="AA104">_xlfn.XLOOKUP(records_2[Method]&amp;"-"&amp;records_2[Class], dAirSpec[ID], dAirSpec[Unit])</f>
        <v>cfu/plate</v>
      </c>
      <c r="AB104" s="62">
        <f t="array" ref="AB104">if(R104="","", if(records_2[Method]="Active Air",_xlfn.xlookup(records_2[ColonyCount]&amp;records_2[AirSampler],feller[code],feller[Vc]),records_2[ColonyCount]))</f>
        <v>0</v>
      </c>
      <c r="AC104" s="63" t="b">
        <f t="shared" si="1"/>
        <v>1</v>
      </c>
      <c r="AD104" s="61" t="b">
        <v>0</v>
      </c>
      <c r="AE104" s="32" t="s">
        <v>280</v>
      </c>
      <c r="AF104" s="46"/>
      <c r="AG104" s="46"/>
      <c r="AH104" s="46"/>
      <c r="AI104" s="46"/>
      <c r="AJ104" s="46"/>
    </row>
    <row r="105" ht="22.5" customHeight="1">
      <c r="A105" s="27">
        <v>46057.0</v>
      </c>
      <c r="B105" s="34" t="str">
        <f t="array" ref="B105">TEXT(A105, "MM-YYYY")</f>
        <v>02-2026</v>
      </c>
      <c r="C105" s="39" t="s">
        <v>635</v>
      </c>
      <c r="D105" s="36" t="s">
        <v>210</v>
      </c>
      <c r="E105" s="36" t="s">
        <v>213</v>
      </c>
      <c r="F105" s="29" t="b">
        <v>1</v>
      </c>
      <c r="G105" s="49"/>
      <c r="H105" s="49"/>
      <c r="I105" s="33"/>
      <c r="J105" s="33"/>
      <c r="K105" s="37" t="s">
        <v>1157</v>
      </c>
      <c r="L105" s="37" t="s">
        <v>1005</v>
      </c>
      <c r="M105" s="37" t="s">
        <v>1420</v>
      </c>
      <c r="N105" s="37" t="s">
        <v>1407</v>
      </c>
      <c r="O105" s="37" t="s">
        <v>837</v>
      </c>
      <c r="P105" s="37" t="s">
        <v>838</v>
      </c>
      <c r="Q105" s="41">
        <v>46082.0</v>
      </c>
      <c r="R105" s="42">
        <v>0.0</v>
      </c>
      <c r="S105" s="55"/>
      <c r="T105" s="37" t="s">
        <v>839</v>
      </c>
      <c r="U105" s="57" t="str">
        <f>IF(records_2[Type]="Room",records_2[roomNo],records_2[roomNo]&amp;"-"&amp;SUBSTITUTE(RIGHT(records_2[roomNo]&amp;records_2[Type],2),"-",""))</f>
        <v>12-2-055</v>
      </c>
      <c r="V105" s="59" t="str">
        <f t="array" ref="V105">_xlfn.XLOOKUP(records_2[ID], dAir[roomNo], dAir[roomName])</f>
        <v>CIP 3</v>
      </c>
      <c r="W105" s="59" t="str">
        <f t="array" ref="W105">_xlfn.XLOOKUP(records_2[ID], dAir[roomNo], dAir[building])</f>
        <v>Building 12</v>
      </c>
      <c r="X105" s="59" t="str">
        <f t="array" ref="X105">_xlfn.XLOOKUP(records_2[ID], dAir[roomNo], dAir[floor])</f>
        <v>Floor 2</v>
      </c>
      <c r="Y105" s="57" t="str">
        <f t="array" ref="Y105">_xlfn.XLOOKUP(records_2[ID], dAir[roomNo], dAir[Class])</f>
        <v>D</v>
      </c>
      <c r="Z105" s="57">
        <f t="array" ref="Z105">_xlfn.XLOOKUP(records_2[Method]&amp;"-"&amp;records_2[Class], dAirSpec[ID], dAirSpec[Spec])</f>
        <v>100</v>
      </c>
      <c r="AA105" s="57" t="str">
        <f t="array" ref="AA105">_xlfn.XLOOKUP(records_2[Method]&amp;"-"&amp;records_2[Class], dAirSpec[ID], dAirSpec[Unit])</f>
        <v>cfu/plate</v>
      </c>
      <c r="AB105" s="62">
        <f t="array" ref="AB105">if(R105="","", if(records_2[Method]="Active Air",_xlfn.xlookup(records_2[ColonyCount]&amp;records_2[AirSampler],feller[code],feller[Vc]),records_2[ColonyCount]))</f>
        <v>0</v>
      </c>
      <c r="AC105" s="63" t="b">
        <f t="shared" si="1"/>
        <v>1</v>
      </c>
      <c r="AD105" s="61" t="b">
        <v>0</v>
      </c>
      <c r="AE105" s="32" t="s">
        <v>280</v>
      </c>
      <c r="AF105" s="46"/>
      <c r="AG105" s="46"/>
      <c r="AH105" s="46"/>
      <c r="AI105" s="46"/>
      <c r="AJ105" s="46"/>
    </row>
    <row r="106" ht="22.5" customHeight="1">
      <c r="A106" s="27">
        <v>46057.0</v>
      </c>
      <c r="B106" s="34" t="str">
        <f t="array" ref="B106">TEXT(A106, "MM-YYYY")</f>
        <v>02-2026</v>
      </c>
      <c r="C106" s="39" t="s">
        <v>642</v>
      </c>
      <c r="D106" s="36" t="s">
        <v>210</v>
      </c>
      <c r="E106" s="36" t="s">
        <v>213</v>
      </c>
      <c r="F106" s="29" t="b">
        <v>1</v>
      </c>
      <c r="G106" s="49"/>
      <c r="H106" s="49"/>
      <c r="I106" s="33"/>
      <c r="J106" s="33"/>
      <c r="K106" s="37" t="s">
        <v>671</v>
      </c>
      <c r="L106" s="37" t="s">
        <v>585</v>
      </c>
      <c r="M106" s="37" t="s">
        <v>1430</v>
      </c>
      <c r="N106" s="37" t="s">
        <v>1407</v>
      </c>
      <c r="O106" s="37" t="s">
        <v>837</v>
      </c>
      <c r="P106" s="37" t="s">
        <v>838</v>
      </c>
      <c r="Q106" s="41">
        <v>46082.0</v>
      </c>
      <c r="R106" s="42">
        <v>0.0</v>
      </c>
      <c r="S106" s="55"/>
      <c r="T106" s="37" t="s">
        <v>839</v>
      </c>
      <c r="U106" s="57" t="str">
        <f>IF(records_2[Type]="Room",records_2[roomNo],records_2[roomNo]&amp;"-"&amp;SUBSTITUTE(RIGHT(records_2[roomNo]&amp;records_2[Type],2),"-",""))</f>
        <v>12-2-056</v>
      </c>
      <c r="V106" s="59" t="str">
        <f t="array" ref="V106">_xlfn.XLOOKUP(records_2[ID], dAir[roomNo], dAir[roomName])</f>
        <v>STAGING 2</v>
      </c>
      <c r="W106" s="59" t="str">
        <f t="array" ref="W106">_xlfn.XLOOKUP(records_2[ID], dAir[roomNo], dAir[building])</f>
        <v>Building 12</v>
      </c>
      <c r="X106" s="59" t="str">
        <f t="array" ref="X106">_xlfn.XLOOKUP(records_2[ID], dAir[roomNo], dAir[floor])</f>
        <v>Floor 2</v>
      </c>
      <c r="Y106" s="57" t="str">
        <f t="array" ref="Y106">_xlfn.XLOOKUP(records_2[ID], dAir[roomNo], dAir[Class])</f>
        <v>D</v>
      </c>
      <c r="Z106" s="57">
        <f t="array" ref="Z106">_xlfn.XLOOKUP(records_2[Method]&amp;"-"&amp;records_2[Class], dAirSpec[ID], dAirSpec[Spec])</f>
        <v>100</v>
      </c>
      <c r="AA106" s="57" t="str">
        <f t="array" ref="AA106">_xlfn.XLOOKUP(records_2[Method]&amp;"-"&amp;records_2[Class], dAirSpec[ID], dAirSpec[Unit])</f>
        <v>cfu/plate</v>
      </c>
      <c r="AB106" s="62">
        <f t="array" ref="AB106">if(R106="","", if(records_2[Method]="Active Air",_xlfn.xlookup(records_2[ColonyCount]&amp;records_2[AirSampler],feller[code],feller[Vc]),records_2[ColonyCount]))</f>
        <v>0</v>
      </c>
      <c r="AC106" s="63" t="b">
        <f t="shared" si="1"/>
        <v>1</v>
      </c>
      <c r="AD106" s="61" t="b">
        <v>0</v>
      </c>
      <c r="AE106" s="32" t="s">
        <v>280</v>
      </c>
      <c r="AF106" s="46"/>
      <c r="AG106" s="46"/>
      <c r="AH106" s="46"/>
      <c r="AI106" s="46"/>
      <c r="AJ106" s="46"/>
    </row>
    <row r="107" ht="22.5" customHeight="1">
      <c r="A107" s="27">
        <v>46057.0</v>
      </c>
      <c r="B107" s="34" t="str">
        <f t="array" ref="B107">TEXT(A107, "MM-YYYY")</f>
        <v>02-2026</v>
      </c>
      <c r="C107" s="39" t="s">
        <v>648</v>
      </c>
      <c r="D107" s="36" t="s">
        <v>210</v>
      </c>
      <c r="E107" s="36" t="s">
        <v>213</v>
      </c>
      <c r="F107" s="29" t="b">
        <v>1</v>
      </c>
      <c r="G107" s="49"/>
      <c r="H107" s="49"/>
      <c r="I107" s="33"/>
      <c r="J107" s="33"/>
      <c r="K107" s="37" t="s">
        <v>310</v>
      </c>
      <c r="L107" s="37" t="s">
        <v>1452</v>
      </c>
      <c r="M107" s="37" t="s">
        <v>1453</v>
      </c>
      <c r="N107" s="37" t="s">
        <v>1454</v>
      </c>
      <c r="O107" s="37" t="s">
        <v>837</v>
      </c>
      <c r="P107" s="37" t="s">
        <v>838</v>
      </c>
      <c r="Q107" s="41">
        <v>46082.0</v>
      </c>
      <c r="R107" s="42">
        <v>0.0</v>
      </c>
      <c r="S107" s="55"/>
      <c r="T107" s="37" t="s">
        <v>839</v>
      </c>
      <c r="U107" s="57" t="str">
        <f>IF(records_2[Type]="Room",records_2[roomNo],records_2[roomNo]&amp;"-"&amp;SUBSTITUTE(RIGHT(records_2[roomNo]&amp;records_2[Type],2),"-",""))</f>
        <v>12-2-057</v>
      </c>
      <c r="V107" s="59" t="str">
        <f t="array" ref="V107">_xlfn.XLOOKUP(records_2[ID], dAir[roomNo], dAir[roomName])</f>
        <v>CIP 2</v>
      </c>
      <c r="W107" s="59" t="str">
        <f t="array" ref="W107">_xlfn.XLOOKUP(records_2[ID], dAir[roomNo], dAir[building])</f>
        <v>Building 12</v>
      </c>
      <c r="X107" s="59" t="str">
        <f t="array" ref="X107">_xlfn.XLOOKUP(records_2[ID], dAir[roomNo], dAir[floor])</f>
        <v>Floor 2</v>
      </c>
      <c r="Y107" s="57" t="str">
        <f t="array" ref="Y107">_xlfn.XLOOKUP(records_2[ID], dAir[roomNo], dAir[Class])</f>
        <v>D</v>
      </c>
      <c r="Z107" s="57">
        <f t="array" ref="Z107">_xlfn.XLOOKUP(records_2[Method]&amp;"-"&amp;records_2[Class], dAirSpec[ID], dAirSpec[Spec])</f>
        <v>100</v>
      </c>
      <c r="AA107" s="57" t="str">
        <f t="array" ref="AA107">_xlfn.XLOOKUP(records_2[Method]&amp;"-"&amp;records_2[Class], dAirSpec[ID], dAirSpec[Unit])</f>
        <v>cfu/plate</v>
      </c>
      <c r="AB107" s="62">
        <f t="array" ref="AB107">if(R107="","", if(records_2[Method]="Active Air",_xlfn.xlookup(records_2[ColonyCount]&amp;records_2[AirSampler],feller[code],feller[Vc]),records_2[ColonyCount]))</f>
        <v>0</v>
      </c>
      <c r="AC107" s="63" t="b">
        <f t="shared" si="1"/>
        <v>1</v>
      </c>
      <c r="AD107" s="61" t="b">
        <v>0</v>
      </c>
      <c r="AE107" s="32" t="s">
        <v>280</v>
      </c>
      <c r="AF107" s="46"/>
      <c r="AG107" s="46"/>
      <c r="AH107" s="46"/>
      <c r="AI107" s="46"/>
      <c r="AJ107" s="46"/>
    </row>
    <row r="108" ht="22.5" customHeight="1">
      <c r="A108" s="27">
        <v>46057.0</v>
      </c>
      <c r="B108" s="34" t="str">
        <f t="array" ref="B108">TEXT(A108, "MM-YYYY")</f>
        <v>02-2026</v>
      </c>
      <c r="C108" s="39" t="s">
        <v>655</v>
      </c>
      <c r="D108" s="36" t="s">
        <v>210</v>
      </c>
      <c r="E108" s="36" t="s">
        <v>213</v>
      </c>
      <c r="F108" s="29" t="b">
        <v>1</v>
      </c>
      <c r="G108" s="49"/>
      <c r="H108" s="49"/>
      <c r="I108" s="33"/>
      <c r="J108" s="33"/>
      <c r="K108" s="37" t="s">
        <v>310</v>
      </c>
      <c r="L108" s="37" t="s">
        <v>875</v>
      </c>
      <c r="M108" s="37" t="s">
        <v>1470</v>
      </c>
      <c r="N108" s="37" t="s">
        <v>1079</v>
      </c>
      <c r="O108" s="37" t="s">
        <v>837</v>
      </c>
      <c r="P108" s="37" t="s">
        <v>838</v>
      </c>
      <c r="Q108" s="41">
        <v>46082.0</v>
      </c>
      <c r="R108" s="42">
        <v>0.0</v>
      </c>
      <c r="S108" s="55"/>
      <c r="T108" s="37" t="s">
        <v>839</v>
      </c>
      <c r="U108" s="57" t="str">
        <f>IF(records_2[Type]="Room",records_2[roomNo],records_2[roomNo]&amp;"-"&amp;SUBSTITUTE(RIGHT(records_2[roomNo]&amp;records_2[Type],2),"-",""))</f>
        <v>12-2-058</v>
      </c>
      <c r="V108" s="59" t="str">
        <f t="array" ref="V108">_xlfn.XLOOKUP(records_2[ID], dAir[roomNo], dAir[roomName])</f>
        <v>STAGING 1</v>
      </c>
      <c r="W108" s="59" t="str">
        <f t="array" ref="W108">_xlfn.XLOOKUP(records_2[ID], dAir[roomNo], dAir[building])</f>
        <v>Building 12</v>
      </c>
      <c r="X108" s="59" t="str">
        <f t="array" ref="X108">_xlfn.XLOOKUP(records_2[ID], dAir[roomNo], dAir[floor])</f>
        <v>Floor 2</v>
      </c>
      <c r="Y108" s="57" t="str">
        <f t="array" ref="Y108">_xlfn.XLOOKUP(records_2[ID], dAir[roomNo], dAir[Class])</f>
        <v>D</v>
      </c>
      <c r="Z108" s="57">
        <f t="array" ref="Z108">_xlfn.XLOOKUP(records_2[Method]&amp;"-"&amp;records_2[Class], dAirSpec[ID], dAirSpec[Spec])</f>
        <v>100</v>
      </c>
      <c r="AA108" s="57" t="str">
        <f t="array" ref="AA108">_xlfn.XLOOKUP(records_2[Method]&amp;"-"&amp;records_2[Class], dAirSpec[ID], dAirSpec[Unit])</f>
        <v>cfu/plate</v>
      </c>
      <c r="AB108" s="62">
        <f t="array" ref="AB108">if(R108="","", if(records_2[Method]="Active Air",_xlfn.xlookup(records_2[ColonyCount]&amp;records_2[AirSampler],feller[code],feller[Vc]),records_2[ColonyCount]))</f>
        <v>0</v>
      </c>
      <c r="AC108" s="63" t="b">
        <f t="shared" si="1"/>
        <v>1</v>
      </c>
      <c r="AD108" s="61" t="b">
        <v>0</v>
      </c>
      <c r="AE108" s="32" t="s">
        <v>280</v>
      </c>
      <c r="AF108" s="46"/>
      <c r="AG108" s="46"/>
      <c r="AH108" s="46"/>
      <c r="AI108" s="46"/>
      <c r="AJ108" s="46"/>
    </row>
    <row r="109" ht="22.5" customHeight="1">
      <c r="A109" s="27">
        <v>46057.0</v>
      </c>
      <c r="B109" s="34" t="str">
        <f t="array" ref="B109">TEXT(A109, "MM-YYYY")</f>
        <v>02-2026</v>
      </c>
      <c r="C109" s="39" t="s">
        <v>665</v>
      </c>
      <c r="D109" s="36" t="s">
        <v>210</v>
      </c>
      <c r="E109" s="36" t="s">
        <v>213</v>
      </c>
      <c r="F109" s="29" t="b">
        <v>1</v>
      </c>
      <c r="G109" s="49"/>
      <c r="H109" s="49"/>
      <c r="I109" s="33"/>
      <c r="J109" s="33"/>
      <c r="K109" s="37" t="s">
        <v>671</v>
      </c>
      <c r="L109" s="37" t="s">
        <v>1478</v>
      </c>
      <c r="M109" s="37" t="s">
        <v>1453</v>
      </c>
      <c r="N109" s="37" t="s">
        <v>1479</v>
      </c>
      <c r="O109" s="37" t="s">
        <v>837</v>
      </c>
      <c r="P109" s="37" t="s">
        <v>838</v>
      </c>
      <c r="Q109" s="41">
        <v>46082.0</v>
      </c>
      <c r="R109" s="42">
        <v>1.0</v>
      </c>
      <c r="S109" s="55"/>
      <c r="T109" s="37" t="s">
        <v>839</v>
      </c>
      <c r="U109" s="57" t="str">
        <f>IF(records_2[Type]="Room",records_2[roomNo],records_2[roomNo]&amp;"-"&amp;SUBSTITUTE(RIGHT(records_2[roomNo]&amp;records_2[Type],2),"-",""))</f>
        <v>12-2-059</v>
      </c>
      <c r="V109" s="59" t="str">
        <f t="array" ref="V109">_xlfn.XLOOKUP(records_2[ID], dAir[roomNo], dAir[roomName])</f>
        <v>CORRIDOR</v>
      </c>
      <c r="W109" s="59" t="str">
        <f t="array" ref="W109">_xlfn.XLOOKUP(records_2[ID], dAir[roomNo], dAir[building])</f>
        <v>Building 12</v>
      </c>
      <c r="X109" s="59" t="str">
        <f t="array" ref="X109">_xlfn.XLOOKUP(records_2[ID], dAir[roomNo], dAir[floor])</f>
        <v>Floor 2</v>
      </c>
      <c r="Y109" s="57" t="str">
        <f t="array" ref="Y109">_xlfn.XLOOKUP(records_2[ID], dAir[roomNo], dAir[Class])</f>
        <v>D</v>
      </c>
      <c r="Z109" s="57">
        <f t="array" ref="Z109">_xlfn.XLOOKUP(records_2[Method]&amp;"-"&amp;records_2[Class], dAirSpec[ID], dAirSpec[Spec])</f>
        <v>100</v>
      </c>
      <c r="AA109" s="57" t="str">
        <f t="array" ref="AA109">_xlfn.XLOOKUP(records_2[Method]&amp;"-"&amp;records_2[Class], dAirSpec[ID], dAirSpec[Unit])</f>
        <v>cfu/plate</v>
      </c>
      <c r="AB109" s="62">
        <f t="array" ref="AB109">if(R109="","", if(records_2[Method]="Active Air",_xlfn.xlookup(records_2[ColonyCount]&amp;records_2[AirSampler],feller[code],feller[Vc]),records_2[ColonyCount]))</f>
        <v>1</v>
      </c>
      <c r="AC109" s="63" t="b">
        <f t="shared" si="1"/>
        <v>1</v>
      </c>
      <c r="AD109" s="61" t="b">
        <v>0</v>
      </c>
      <c r="AE109" s="32" t="s">
        <v>280</v>
      </c>
      <c r="AF109" s="46"/>
      <c r="AG109" s="46"/>
      <c r="AH109" s="46"/>
      <c r="AI109" s="46"/>
      <c r="AJ109" s="46"/>
    </row>
    <row r="110" ht="22.5" customHeight="1">
      <c r="A110" s="27">
        <v>46057.0</v>
      </c>
      <c r="B110" s="34" t="str">
        <f t="array" ref="B110">TEXT(A110, "MM-YYYY")</f>
        <v>02-2026</v>
      </c>
      <c r="C110" s="39" t="s">
        <v>673</v>
      </c>
      <c r="D110" s="36" t="s">
        <v>210</v>
      </c>
      <c r="E110" s="36" t="s">
        <v>213</v>
      </c>
      <c r="F110" s="29" t="b">
        <v>1</v>
      </c>
      <c r="G110" s="49"/>
      <c r="H110" s="49"/>
      <c r="I110" s="33"/>
      <c r="J110" s="33"/>
      <c r="K110" s="37" t="s">
        <v>671</v>
      </c>
      <c r="L110" s="37" t="s">
        <v>1495</v>
      </c>
      <c r="M110" s="37" t="s">
        <v>1453</v>
      </c>
      <c r="N110" s="37" t="s">
        <v>1479</v>
      </c>
      <c r="O110" s="37" t="s">
        <v>837</v>
      </c>
      <c r="P110" s="37" t="s">
        <v>838</v>
      </c>
      <c r="Q110" s="41">
        <v>46082.0</v>
      </c>
      <c r="R110" s="42">
        <v>0.0</v>
      </c>
      <c r="S110" s="55"/>
      <c r="T110" s="37" t="s">
        <v>839</v>
      </c>
      <c r="U110" s="57" t="str">
        <f>IF(records_2[Type]="Room",records_2[roomNo],records_2[roomNo]&amp;"-"&amp;SUBSTITUTE(RIGHT(records_2[roomNo]&amp;records_2[Type],2),"-",""))</f>
        <v>12-2-060</v>
      </c>
      <c r="V110" s="59" t="str">
        <f t="array" ref="V110">_xlfn.XLOOKUP(records_2[ID], dAir[roomNo], dAir[roomName])</f>
        <v>DISPENSING 1</v>
      </c>
      <c r="W110" s="59" t="str">
        <f t="array" ref="W110">_xlfn.XLOOKUP(records_2[ID], dAir[roomNo], dAir[building])</f>
        <v>Building 12</v>
      </c>
      <c r="X110" s="59" t="str">
        <f t="array" ref="X110">_xlfn.XLOOKUP(records_2[ID], dAir[roomNo], dAir[floor])</f>
        <v>Floor 2</v>
      </c>
      <c r="Y110" s="57" t="str">
        <f t="array" ref="Y110">_xlfn.XLOOKUP(records_2[ID], dAir[roomNo], dAir[Class])</f>
        <v>D</v>
      </c>
      <c r="Z110" s="57">
        <f t="array" ref="Z110">_xlfn.XLOOKUP(records_2[Method]&amp;"-"&amp;records_2[Class], dAirSpec[ID], dAirSpec[Spec])</f>
        <v>100</v>
      </c>
      <c r="AA110" s="57" t="str">
        <f t="array" ref="AA110">_xlfn.XLOOKUP(records_2[Method]&amp;"-"&amp;records_2[Class], dAirSpec[ID], dAirSpec[Unit])</f>
        <v>cfu/plate</v>
      </c>
      <c r="AB110" s="62">
        <f t="array" ref="AB110">if(R110="","", if(records_2[Method]="Active Air",_xlfn.xlookup(records_2[ColonyCount]&amp;records_2[AirSampler],feller[code],feller[Vc]),records_2[ColonyCount]))</f>
        <v>0</v>
      </c>
      <c r="AC110" s="63" t="b">
        <f t="shared" si="1"/>
        <v>1</v>
      </c>
      <c r="AD110" s="61" t="b">
        <v>0</v>
      </c>
      <c r="AE110" s="32" t="s">
        <v>280</v>
      </c>
      <c r="AF110" s="46"/>
      <c r="AG110" s="46"/>
      <c r="AH110" s="46"/>
      <c r="AI110" s="46"/>
      <c r="AJ110" s="46"/>
    </row>
    <row r="111" ht="22.5" customHeight="1">
      <c r="A111" s="27">
        <v>46057.0</v>
      </c>
      <c r="B111" s="34" t="str">
        <f t="array" ref="B111">TEXT(A111, "MM-YYYY")</f>
        <v>02-2026</v>
      </c>
      <c r="C111" s="39" t="s">
        <v>673</v>
      </c>
      <c r="D111" s="36" t="s">
        <v>680</v>
      </c>
      <c r="E111" s="36" t="s">
        <v>213</v>
      </c>
      <c r="F111" s="29" t="b">
        <v>1</v>
      </c>
      <c r="G111" s="49"/>
      <c r="H111" s="49"/>
      <c r="I111" s="33"/>
      <c r="J111" s="33"/>
      <c r="K111" s="37" t="s">
        <v>671</v>
      </c>
      <c r="L111" s="37" t="s">
        <v>1495</v>
      </c>
      <c r="M111" s="37" t="s">
        <v>1453</v>
      </c>
      <c r="N111" s="37" t="s">
        <v>1479</v>
      </c>
      <c r="O111" s="37" t="s">
        <v>837</v>
      </c>
      <c r="P111" s="37" t="s">
        <v>838</v>
      </c>
      <c r="Q111" s="41">
        <v>46082.0</v>
      </c>
      <c r="R111" s="42">
        <v>0.0</v>
      </c>
      <c r="S111" s="29"/>
      <c r="T111" s="37" t="s">
        <v>839</v>
      </c>
      <c r="U111" s="57" t="str">
        <f>IF(records_2[Type]="Room",records_2[roomNo],records_2[roomNo]&amp;"-"&amp;SUBSTITUTE(RIGHT(records_2[roomNo]&amp;records_2[Type],2),"-",""))</f>
        <v>12-2-060-B</v>
      </c>
      <c r="V111" s="59" t="str">
        <f t="array" ref="V111">_xlfn.XLOOKUP(records_2[ID], dAir[roomNo], dAir[roomName])</f>
        <v>DISPENSING 1 (Booth)</v>
      </c>
      <c r="W111" s="59" t="str">
        <f t="array" ref="W111">_xlfn.XLOOKUP(records_2[ID], dAir[roomNo], dAir[building])</f>
        <v>Building 12</v>
      </c>
      <c r="X111" s="59" t="str">
        <f t="array" ref="X111">_xlfn.XLOOKUP(records_2[ID], dAir[roomNo], dAir[floor])</f>
        <v>Floor 2</v>
      </c>
      <c r="Y111" s="57" t="str">
        <f t="array" ref="Y111">_xlfn.XLOOKUP(records_2[ID], dAir[roomNo], dAir[Class])</f>
        <v>D</v>
      </c>
      <c r="Z111" s="57">
        <f t="array" ref="Z111">_xlfn.XLOOKUP(records_2[Method]&amp;"-"&amp;records_2[Class], dAirSpec[ID], dAirSpec[Spec])</f>
        <v>100</v>
      </c>
      <c r="AA111" s="57" t="str">
        <f t="array" ref="AA111">_xlfn.XLOOKUP(records_2[Method]&amp;"-"&amp;records_2[Class], dAirSpec[ID], dAirSpec[Unit])</f>
        <v>cfu/plate</v>
      </c>
      <c r="AB111" s="62">
        <f t="array" ref="AB111">if(R111="","", if(records_2[Method]="Active Air",_xlfn.xlookup(records_2[ColonyCount]&amp;records_2[AirSampler],feller[code],feller[Vc]),records_2[ColonyCount]))</f>
        <v>0</v>
      </c>
      <c r="AC111" s="63" t="b">
        <f t="shared" si="1"/>
        <v>1</v>
      </c>
      <c r="AD111" s="61" t="b">
        <v>0</v>
      </c>
      <c r="AE111" s="32" t="s">
        <v>280</v>
      </c>
      <c r="AF111" s="46"/>
      <c r="AG111" s="46"/>
      <c r="AH111" s="46"/>
      <c r="AI111" s="46"/>
      <c r="AJ111" s="46"/>
    </row>
    <row r="112" ht="22.5" customHeight="1">
      <c r="A112" s="27">
        <v>46057.0</v>
      </c>
      <c r="B112" s="34" t="str">
        <f t="array" ref="B112">TEXT(A112, "MM-YYYY")</f>
        <v>02-2026</v>
      </c>
      <c r="C112" s="39" t="s">
        <v>689</v>
      </c>
      <c r="D112" s="36" t="s">
        <v>210</v>
      </c>
      <c r="E112" s="36" t="s">
        <v>213</v>
      </c>
      <c r="F112" s="29" t="b">
        <v>1</v>
      </c>
      <c r="G112" s="49"/>
      <c r="H112" s="49"/>
      <c r="I112" s="33"/>
      <c r="J112" s="33"/>
      <c r="K112" s="37" t="s">
        <v>344</v>
      </c>
      <c r="L112" s="37" t="s">
        <v>495</v>
      </c>
      <c r="M112" s="37" t="s">
        <v>1521</v>
      </c>
      <c r="N112" s="37" t="s">
        <v>1522</v>
      </c>
      <c r="O112" s="37" t="s">
        <v>837</v>
      </c>
      <c r="P112" s="37" t="s">
        <v>838</v>
      </c>
      <c r="Q112" s="41">
        <v>46082.0</v>
      </c>
      <c r="R112" s="42">
        <v>0.0</v>
      </c>
      <c r="S112" s="55"/>
      <c r="T112" s="37" t="s">
        <v>839</v>
      </c>
      <c r="U112" s="57" t="str">
        <f>IF(records_2[Type]="Room",records_2[roomNo],records_2[roomNo]&amp;"-"&amp;SUBSTITUTE(RIGHT(records_2[roomNo]&amp;records_2[Type],2),"-",""))</f>
        <v>12-2-061</v>
      </c>
      <c r="V112" s="59" t="str">
        <f t="array" ref="V112">_xlfn.XLOOKUP(records_2[ID], dAir[roomNo], dAir[roomName])</f>
        <v>DISPENSING 2</v>
      </c>
      <c r="W112" s="59" t="str">
        <f t="array" ref="W112">_xlfn.XLOOKUP(records_2[ID], dAir[roomNo], dAir[building])</f>
        <v>Building 12</v>
      </c>
      <c r="X112" s="59" t="str">
        <f t="array" ref="X112">_xlfn.XLOOKUP(records_2[ID], dAir[roomNo], dAir[floor])</f>
        <v>Floor 2</v>
      </c>
      <c r="Y112" s="57" t="str">
        <f t="array" ref="Y112">_xlfn.XLOOKUP(records_2[ID], dAir[roomNo], dAir[Class])</f>
        <v>D</v>
      </c>
      <c r="Z112" s="57">
        <f t="array" ref="Z112">_xlfn.XLOOKUP(records_2[Method]&amp;"-"&amp;records_2[Class], dAirSpec[ID], dAirSpec[Spec])</f>
        <v>100</v>
      </c>
      <c r="AA112" s="57" t="str">
        <f t="array" ref="AA112">_xlfn.XLOOKUP(records_2[Method]&amp;"-"&amp;records_2[Class], dAirSpec[ID], dAirSpec[Unit])</f>
        <v>cfu/plate</v>
      </c>
      <c r="AB112" s="62">
        <f t="array" ref="AB112">if(R112="","", if(records_2[Method]="Active Air",_xlfn.xlookup(records_2[ColonyCount]&amp;records_2[AirSampler],feller[code],feller[Vc]),records_2[ColonyCount]))</f>
        <v>0</v>
      </c>
      <c r="AC112" s="63" t="b">
        <f t="shared" si="1"/>
        <v>1</v>
      </c>
      <c r="AD112" s="61" t="b">
        <v>0</v>
      </c>
      <c r="AE112" s="32" t="s">
        <v>280</v>
      </c>
      <c r="AF112" s="46"/>
      <c r="AG112" s="46"/>
      <c r="AH112" s="46"/>
      <c r="AI112" s="46"/>
      <c r="AJ112" s="46"/>
    </row>
    <row r="113" ht="22.5" customHeight="1">
      <c r="A113" s="27">
        <v>46057.0</v>
      </c>
      <c r="B113" s="34" t="str">
        <f t="array" ref="B113">TEXT(A113, "MM-YYYY")</f>
        <v>02-2026</v>
      </c>
      <c r="C113" s="39" t="s">
        <v>689</v>
      </c>
      <c r="D113" s="36" t="s">
        <v>680</v>
      </c>
      <c r="E113" s="36" t="s">
        <v>213</v>
      </c>
      <c r="F113" s="29" t="b">
        <v>1</v>
      </c>
      <c r="G113" s="49"/>
      <c r="H113" s="49"/>
      <c r="I113" s="33"/>
      <c r="J113" s="33"/>
      <c r="K113" s="37" t="s">
        <v>344</v>
      </c>
      <c r="L113" s="37" t="s">
        <v>495</v>
      </c>
      <c r="M113" s="37" t="s">
        <v>1521</v>
      </c>
      <c r="N113" s="37" t="s">
        <v>1479</v>
      </c>
      <c r="O113" s="37" t="s">
        <v>837</v>
      </c>
      <c r="P113" s="37" t="s">
        <v>838</v>
      </c>
      <c r="Q113" s="41">
        <v>46082.0</v>
      </c>
      <c r="R113" s="42">
        <v>0.0</v>
      </c>
      <c r="S113" s="29"/>
      <c r="T113" s="37" t="s">
        <v>839</v>
      </c>
      <c r="U113" s="57" t="str">
        <f>IF(records_2[Type]="Room",records_2[roomNo],records_2[roomNo]&amp;"-"&amp;SUBSTITUTE(RIGHT(records_2[roomNo]&amp;records_2[Type],2),"-",""))</f>
        <v>12-2-061-B</v>
      </c>
      <c r="V113" s="59" t="str">
        <f t="array" ref="V113">_xlfn.XLOOKUP(records_2[ID], dAir[roomNo], dAir[roomName])</f>
        <v>DISPENSING 2 (Booth)</v>
      </c>
      <c r="W113" s="59" t="str">
        <f t="array" ref="W113">_xlfn.XLOOKUP(records_2[ID], dAir[roomNo], dAir[building])</f>
        <v>Building 12</v>
      </c>
      <c r="X113" s="59" t="str">
        <f t="array" ref="X113">_xlfn.XLOOKUP(records_2[ID], dAir[roomNo], dAir[floor])</f>
        <v>Floor 2</v>
      </c>
      <c r="Y113" s="57" t="str">
        <f t="array" ref="Y113">_xlfn.XLOOKUP(records_2[ID], dAir[roomNo], dAir[Class])</f>
        <v>D</v>
      </c>
      <c r="Z113" s="57">
        <f t="array" ref="Z113">_xlfn.XLOOKUP(records_2[Method]&amp;"-"&amp;records_2[Class], dAirSpec[ID], dAirSpec[Spec])</f>
        <v>100</v>
      </c>
      <c r="AA113" s="57" t="str">
        <f t="array" ref="AA113">_xlfn.XLOOKUP(records_2[Method]&amp;"-"&amp;records_2[Class], dAirSpec[ID], dAirSpec[Unit])</f>
        <v>cfu/plate</v>
      </c>
      <c r="AB113" s="62">
        <f t="array" ref="AB113">if(R113="","", if(records_2[Method]="Active Air",_xlfn.xlookup(records_2[ColonyCount]&amp;records_2[AirSampler],feller[code],feller[Vc]),records_2[ColonyCount]))</f>
        <v>0</v>
      </c>
      <c r="AC113" s="63" t="b">
        <f t="shared" si="1"/>
        <v>1</v>
      </c>
      <c r="AD113" s="61" t="b">
        <v>0</v>
      </c>
      <c r="AE113" s="32" t="s">
        <v>280</v>
      </c>
      <c r="AF113" s="46"/>
      <c r="AG113" s="46"/>
      <c r="AH113" s="46"/>
      <c r="AI113" s="46"/>
      <c r="AJ113" s="46"/>
    </row>
    <row r="114" ht="22.5" customHeight="1">
      <c r="A114" s="27">
        <v>46057.0</v>
      </c>
      <c r="B114" s="34" t="str">
        <f t="array" ref="B114">TEXT(A114, "MM-YYYY")</f>
        <v>02-2026</v>
      </c>
      <c r="C114" s="39" t="s">
        <v>704</v>
      </c>
      <c r="D114" s="36" t="s">
        <v>210</v>
      </c>
      <c r="E114" s="36" t="s">
        <v>213</v>
      </c>
      <c r="F114" s="29" t="b">
        <v>1</v>
      </c>
      <c r="G114" s="49"/>
      <c r="H114" s="49"/>
      <c r="I114" s="33"/>
      <c r="J114" s="33"/>
      <c r="K114" s="37" t="s">
        <v>1546</v>
      </c>
      <c r="L114" s="37" t="s">
        <v>1495</v>
      </c>
      <c r="M114" s="37" t="s">
        <v>1521</v>
      </c>
      <c r="N114" s="37" t="s">
        <v>1522</v>
      </c>
      <c r="O114" s="37" t="s">
        <v>837</v>
      </c>
      <c r="P114" s="37" t="s">
        <v>838</v>
      </c>
      <c r="Q114" s="41">
        <v>46082.0</v>
      </c>
      <c r="R114" s="42">
        <v>0.0</v>
      </c>
      <c r="S114" s="55"/>
      <c r="T114" s="37" t="s">
        <v>839</v>
      </c>
      <c r="U114" s="57" t="str">
        <f>IF(records_2[Type]="Room",records_2[roomNo],records_2[roomNo]&amp;"-"&amp;SUBSTITUTE(RIGHT(records_2[roomNo]&amp;records_2[Type],2),"-",""))</f>
        <v>12-2-062</v>
      </c>
      <c r="V114" s="59" t="str">
        <f t="array" ref="V114">_xlfn.XLOOKUP(records_2[ID], dAir[roomNo], dAir[roomName])</f>
        <v>RM STAGING</v>
      </c>
      <c r="W114" s="59" t="str">
        <f t="array" ref="W114">_xlfn.XLOOKUP(records_2[ID], dAir[roomNo], dAir[building])</f>
        <v>Building 12</v>
      </c>
      <c r="X114" s="59" t="str">
        <f t="array" ref="X114">_xlfn.XLOOKUP(records_2[ID], dAir[roomNo], dAir[floor])</f>
        <v>Floor 2</v>
      </c>
      <c r="Y114" s="57" t="str">
        <f t="array" ref="Y114">_xlfn.XLOOKUP(records_2[ID], dAir[roomNo], dAir[Class])</f>
        <v>D</v>
      </c>
      <c r="Z114" s="57">
        <f t="array" ref="Z114">_xlfn.XLOOKUP(records_2[Method]&amp;"-"&amp;records_2[Class], dAirSpec[ID], dAirSpec[Spec])</f>
        <v>100</v>
      </c>
      <c r="AA114" s="57" t="str">
        <f t="array" ref="AA114">_xlfn.XLOOKUP(records_2[Method]&amp;"-"&amp;records_2[Class], dAirSpec[ID], dAirSpec[Unit])</f>
        <v>cfu/plate</v>
      </c>
      <c r="AB114" s="62">
        <f t="array" ref="AB114">if(R114="","", if(records_2[Method]="Active Air",_xlfn.xlookup(records_2[ColonyCount]&amp;records_2[AirSampler],feller[code],feller[Vc]),records_2[ColonyCount]))</f>
        <v>0</v>
      </c>
      <c r="AC114" s="63" t="b">
        <f t="shared" si="1"/>
        <v>1</v>
      </c>
      <c r="AD114" s="61" t="b">
        <v>0</v>
      </c>
      <c r="AE114" s="32" t="s">
        <v>280</v>
      </c>
      <c r="AF114" s="46"/>
      <c r="AG114" s="46"/>
      <c r="AH114" s="46"/>
      <c r="AI114" s="46"/>
      <c r="AJ114" s="46"/>
    </row>
    <row r="115" ht="22.5" customHeight="1">
      <c r="A115" s="27">
        <v>46057.0</v>
      </c>
      <c r="B115" s="34" t="str">
        <f t="array" ref="B115">TEXT(A115, "MM-YYYY")</f>
        <v>02-2026</v>
      </c>
      <c r="C115" s="39" t="s">
        <v>710</v>
      </c>
      <c r="D115" s="36" t="s">
        <v>210</v>
      </c>
      <c r="E115" s="36" t="s">
        <v>213</v>
      </c>
      <c r="F115" s="29" t="b">
        <v>1</v>
      </c>
      <c r="G115" s="49"/>
      <c r="H115" s="49"/>
      <c r="I115" s="33"/>
      <c r="J115" s="33"/>
      <c r="K115" s="37" t="s">
        <v>671</v>
      </c>
      <c r="L115" s="37" t="s">
        <v>682</v>
      </c>
      <c r="M115" s="37" t="s">
        <v>1470</v>
      </c>
      <c r="N115" s="37" t="s">
        <v>1522</v>
      </c>
      <c r="O115" s="37" t="s">
        <v>837</v>
      </c>
      <c r="P115" s="37" t="s">
        <v>838</v>
      </c>
      <c r="Q115" s="41">
        <v>46082.0</v>
      </c>
      <c r="R115" s="42">
        <v>0.0</v>
      </c>
      <c r="S115" s="55"/>
      <c r="T115" s="37" t="s">
        <v>839</v>
      </c>
      <c r="U115" s="57" t="str">
        <f>IF(records_2[Type]="Room",records_2[roomNo],records_2[roomNo]&amp;"-"&amp;SUBSTITUTE(RIGHT(records_2[roomNo]&amp;records_2[Type],2),"-",""))</f>
        <v>12-2-063</v>
      </c>
      <c r="V115" s="59" t="str">
        <f t="array" ref="V115">_xlfn.XLOOKUP(records_2[ID], dAir[roomNo], dAir[roomName])</f>
        <v>MAL</v>
      </c>
      <c r="W115" s="59" t="str">
        <f t="array" ref="W115">_xlfn.XLOOKUP(records_2[ID], dAir[roomNo], dAir[building])</f>
        <v>Building 12</v>
      </c>
      <c r="X115" s="59" t="str">
        <f t="array" ref="X115">_xlfn.XLOOKUP(records_2[ID], dAir[roomNo], dAir[floor])</f>
        <v>Floor 2</v>
      </c>
      <c r="Y115" s="57" t="str">
        <f t="array" ref="Y115">_xlfn.XLOOKUP(records_2[ID], dAir[roomNo], dAir[Class])</f>
        <v>D</v>
      </c>
      <c r="Z115" s="57">
        <f t="array" ref="Z115">_xlfn.XLOOKUP(records_2[Method]&amp;"-"&amp;records_2[Class], dAirSpec[ID], dAirSpec[Spec])</f>
        <v>100</v>
      </c>
      <c r="AA115" s="57" t="str">
        <f t="array" ref="AA115">_xlfn.XLOOKUP(records_2[Method]&amp;"-"&amp;records_2[Class], dAirSpec[ID], dAirSpec[Unit])</f>
        <v>cfu/plate</v>
      </c>
      <c r="AB115" s="62">
        <f t="array" ref="AB115">if(R115="","", if(records_2[Method]="Active Air",_xlfn.xlookup(records_2[ColonyCount]&amp;records_2[AirSampler],feller[code],feller[Vc]),records_2[ColonyCount]))</f>
        <v>0</v>
      </c>
      <c r="AC115" s="63" t="b">
        <f t="shared" si="1"/>
        <v>1</v>
      </c>
      <c r="AD115" s="61" t="b">
        <v>0</v>
      </c>
      <c r="AE115" s="32" t="s">
        <v>280</v>
      </c>
      <c r="AF115" s="46"/>
      <c r="AG115" s="46"/>
      <c r="AH115" s="46"/>
      <c r="AI115" s="46"/>
      <c r="AJ115" s="46"/>
    </row>
    <row r="116" ht="22.5" customHeight="1">
      <c r="A116" s="27">
        <v>46057.0</v>
      </c>
      <c r="B116" s="34" t="str">
        <f t="array" ref="B116">TEXT(A116, "MM-YYYY")</f>
        <v>02-2026</v>
      </c>
      <c r="C116" s="39" t="s">
        <v>714</v>
      </c>
      <c r="D116" s="36" t="s">
        <v>210</v>
      </c>
      <c r="E116" s="36" t="s">
        <v>213</v>
      </c>
      <c r="F116" s="29" t="b">
        <v>1</v>
      </c>
      <c r="G116" s="49"/>
      <c r="H116" s="49"/>
      <c r="I116" s="33"/>
      <c r="J116" s="33"/>
      <c r="K116" s="37" t="s">
        <v>292</v>
      </c>
      <c r="L116" s="37" t="s">
        <v>810</v>
      </c>
      <c r="M116" s="37" t="s">
        <v>1430</v>
      </c>
      <c r="N116" s="37" t="s">
        <v>1407</v>
      </c>
      <c r="O116" s="37" t="s">
        <v>837</v>
      </c>
      <c r="P116" s="37" t="s">
        <v>838</v>
      </c>
      <c r="Q116" s="41">
        <v>46082.0</v>
      </c>
      <c r="R116" s="42">
        <v>1.0</v>
      </c>
      <c r="S116" s="55"/>
      <c r="T116" s="37" t="s">
        <v>839</v>
      </c>
      <c r="U116" s="57" t="str">
        <f>IF(records_2[Type]="Room",records_2[roomNo],records_2[roomNo]&amp;"-"&amp;SUBSTITUTE(RIGHT(records_2[roomNo]&amp;records_2[Type],2),"-",""))</f>
        <v>12-2-064</v>
      </c>
      <c r="V116" s="59" t="str">
        <f t="array" ref="V116">_xlfn.XLOOKUP(records_2[ID], dAir[roomNo], dAir[roomName])</f>
        <v>CORRIDOR</v>
      </c>
      <c r="W116" s="59" t="str">
        <f t="array" ref="W116">_xlfn.XLOOKUP(records_2[ID], dAir[roomNo], dAir[building])</f>
        <v>Building 12</v>
      </c>
      <c r="X116" s="59" t="str">
        <f t="array" ref="X116">_xlfn.XLOOKUP(records_2[ID], dAir[roomNo], dAir[floor])</f>
        <v>Floor 2</v>
      </c>
      <c r="Y116" s="57" t="str">
        <f t="array" ref="Y116">_xlfn.XLOOKUP(records_2[ID], dAir[roomNo], dAir[Class])</f>
        <v>D</v>
      </c>
      <c r="Z116" s="57">
        <f t="array" ref="Z116">_xlfn.XLOOKUP(records_2[Method]&amp;"-"&amp;records_2[Class], dAirSpec[ID], dAirSpec[Spec])</f>
        <v>100</v>
      </c>
      <c r="AA116" s="57" t="str">
        <f t="array" ref="AA116">_xlfn.XLOOKUP(records_2[Method]&amp;"-"&amp;records_2[Class], dAirSpec[ID], dAirSpec[Unit])</f>
        <v>cfu/plate</v>
      </c>
      <c r="AB116" s="62">
        <f t="array" ref="AB116">if(R116="","", if(records_2[Method]="Active Air",_xlfn.xlookup(records_2[ColonyCount]&amp;records_2[AirSampler],feller[code],feller[Vc]),records_2[ColonyCount]))</f>
        <v>1</v>
      </c>
      <c r="AC116" s="63" t="b">
        <f t="shared" si="1"/>
        <v>1</v>
      </c>
      <c r="AD116" s="61" t="b">
        <v>0</v>
      </c>
      <c r="AE116" s="32" t="s">
        <v>280</v>
      </c>
      <c r="AF116" s="46"/>
      <c r="AG116" s="46"/>
      <c r="AH116" s="46"/>
      <c r="AI116" s="46"/>
      <c r="AJ116" s="46"/>
    </row>
    <row r="117" ht="22.5" customHeight="1">
      <c r="A117" s="27">
        <v>46057.0</v>
      </c>
      <c r="B117" s="34" t="str">
        <f t="array" ref="B117">TEXT(A117, "MM-YYYY")</f>
        <v>02-2026</v>
      </c>
      <c r="C117" s="39" t="s">
        <v>719</v>
      </c>
      <c r="D117" s="36" t="s">
        <v>210</v>
      </c>
      <c r="E117" s="36" t="s">
        <v>213</v>
      </c>
      <c r="F117" s="29" t="b">
        <v>1</v>
      </c>
      <c r="G117" s="49"/>
      <c r="H117" s="49"/>
      <c r="I117" s="33"/>
      <c r="J117" s="33"/>
      <c r="K117" s="37" t="s">
        <v>292</v>
      </c>
      <c r="L117" s="37" t="s">
        <v>1452</v>
      </c>
      <c r="M117" s="37" t="s">
        <v>1571</v>
      </c>
      <c r="N117" s="37" t="s">
        <v>1454</v>
      </c>
      <c r="O117" s="37" t="s">
        <v>837</v>
      </c>
      <c r="P117" s="37" t="s">
        <v>838</v>
      </c>
      <c r="Q117" s="41">
        <v>46082.0</v>
      </c>
      <c r="R117" s="42">
        <v>0.0</v>
      </c>
      <c r="S117" s="55"/>
      <c r="T117" s="37" t="s">
        <v>839</v>
      </c>
      <c r="U117" s="57" t="str">
        <f>IF(records_2[Type]="Room",records_2[roomNo],records_2[roomNo]&amp;"-"&amp;SUBSTITUTE(RIGHT(records_2[roomNo]&amp;records_2[Type],2),"-",""))</f>
        <v>12-2-065</v>
      </c>
      <c r="V117" s="59" t="str">
        <f t="array" ref="V117">_xlfn.XLOOKUP(records_2[ID], dAir[roomNo], dAir[roomName])</f>
        <v>WASHING</v>
      </c>
      <c r="W117" s="59" t="str">
        <f t="array" ref="W117">_xlfn.XLOOKUP(records_2[ID], dAir[roomNo], dAir[building])</f>
        <v>Building 12</v>
      </c>
      <c r="X117" s="59" t="str">
        <f t="array" ref="X117">_xlfn.XLOOKUP(records_2[ID], dAir[roomNo], dAir[floor])</f>
        <v>Floor 2</v>
      </c>
      <c r="Y117" s="57" t="str">
        <f t="array" ref="Y117">_xlfn.XLOOKUP(records_2[ID], dAir[roomNo], dAir[Class])</f>
        <v>D</v>
      </c>
      <c r="Z117" s="57">
        <f t="array" ref="Z117">_xlfn.XLOOKUP(records_2[Method]&amp;"-"&amp;records_2[Class], dAirSpec[ID], dAirSpec[Spec])</f>
        <v>100</v>
      </c>
      <c r="AA117" s="57" t="str">
        <f t="array" ref="AA117">_xlfn.XLOOKUP(records_2[Method]&amp;"-"&amp;records_2[Class], dAirSpec[ID], dAirSpec[Unit])</f>
        <v>cfu/plate</v>
      </c>
      <c r="AB117" s="62">
        <f t="array" ref="AB117">if(R117="","", if(records_2[Method]="Active Air",_xlfn.xlookup(records_2[ColonyCount]&amp;records_2[AirSampler],feller[code],feller[Vc]),records_2[ColonyCount]))</f>
        <v>0</v>
      </c>
      <c r="AC117" s="63" t="b">
        <f t="shared" si="1"/>
        <v>1</v>
      </c>
      <c r="AD117" s="61" t="b">
        <v>0</v>
      </c>
      <c r="AE117" s="32" t="s">
        <v>280</v>
      </c>
      <c r="AF117" s="46"/>
      <c r="AG117" s="46"/>
      <c r="AH117" s="46"/>
      <c r="AI117" s="46"/>
      <c r="AJ117" s="46"/>
    </row>
    <row r="118" ht="22.5" customHeight="1">
      <c r="A118" s="27">
        <v>46057.0</v>
      </c>
      <c r="B118" s="34" t="str">
        <f t="array" ref="B118">TEXT(A118, "MM-YYYY")</f>
        <v>02-2026</v>
      </c>
      <c r="C118" s="39" t="s">
        <v>725</v>
      </c>
      <c r="D118" s="36" t="s">
        <v>210</v>
      </c>
      <c r="E118" s="36" t="s">
        <v>213</v>
      </c>
      <c r="F118" s="29" t="b">
        <v>1</v>
      </c>
      <c r="G118" s="49"/>
      <c r="H118" s="49"/>
      <c r="I118" s="33"/>
      <c r="J118" s="33"/>
      <c r="K118" s="37" t="s">
        <v>428</v>
      </c>
      <c r="L118" s="37" t="s">
        <v>1414</v>
      </c>
      <c r="M118" s="37" t="s">
        <v>1574</v>
      </c>
      <c r="N118" s="37" t="s">
        <v>1454</v>
      </c>
      <c r="O118" s="37" t="s">
        <v>837</v>
      </c>
      <c r="P118" s="37" t="s">
        <v>838</v>
      </c>
      <c r="Q118" s="41">
        <v>46082.0</v>
      </c>
      <c r="R118" s="42">
        <v>0.0</v>
      </c>
      <c r="S118" s="55"/>
      <c r="T118" s="37" t="s">
        <v>839</v>
      </c>
      <c r="U118" s="57" t="str">
        <f>IF(records_2[Type]="Room",records_2[roomNo],records_2[roomNo]&amp;"-"&amp;SUBSTITUTE(RIGHT(records_2[roomNo]&amp;records_2[Type],2),"-",""))</f>
        <v>12-2-066</v>
      </c>
      <c r="V118" s="59" t="str">
        <f t="array" ref="V118">_xlfn.XLOOKUP(records_2[ID], dAir[roomNo], dAir[roomName])</f>
        <v>DRYING</v>
      </c>
      <c r="W118" s="59" t="str">
        <f t="array" ref="W118">_xlfn.XLOOKUP(records_2[ID], dAir[roomNo], dAir[building])</f>
        <v>Building 12</v>
      </c>
      <c r="X118" s="59" t="str">
        <f t="array" ref="X118">_xlfn.XLOOKUP(records_2[ID], dAir[roomNo], dAir[floor])</f>
        <v>Floor 2</v>
      </c>
      <c r="Y118" s="57" t="str">
        <f t="array" ref="Y118">_xlfn.XLOOKUP(records_2[ID], dAir[roomNo], dAir[Class])</f>
        <v>D</v>
      </c>
      <c r="Z118" s="57">
        <f t="array" ref="Z118">_xlfn.XLOOKUP(records_2[Method]&amp;"-"&amp;records_2[Class], dAirSpec[ID], dAirSpec[Spec])</f>
        <v>100</v>
      </c>
      <c r="AA118" s="57" t="str">
        <f t="array" ref="AA118">_xlfn.XLOOKUP(records_2[Method]&amp;"-"&amp;records_2[Class], dAirSpec[ID], dAirSpec[Unit])</f>
        <v>cfu/plate</v>
      </c>
      <c r="AB118" s="62">
        <f t="array" ref="AB118">if(R118="","", if(records_2[Method]="Active Air",_xlfn.xlookup(records_2[ColonyCount]&amp;records_2[AirSampler],feller[code],feller[Vc]),records_2[ColonyCount]))</f>
        <v>0</v>
      </c>
      <c r="AC118" s="63" t="b">
        <f t="shared" si="1"/>
        <v>1</v>
      </c>
      <c r="AD118" s="61" t="b">
        <v>0</v>
      </c>
      <c r="AE118" s="32" t="s">
        <v>280</v>
      </c>
      <c r="AF118" s="46"/>
      <c r="AG118" s="46"/>
      <c r="AH118" s="46"/>
      <c r="AI118" s="46"/>
      <c r="AJ118" s="46"/>
    </row>
    <row r="119" ht="22.5" customHeight="1">
      <c r="A119" s="27">
        <v>46057.0</v>
      </c>
      <c r="B119" s="34" t="str">
        <f t="array" ref="B119">TEXT(A119, "MM-YYYY")</f>
        <v>02-2026</v>
      </c>
      <c r="C119" s="39" t="s">
        <v>728</v>
      </c>
      <c r="D119" s="36" t="s">
        <v>210</v>
      </c>
      <c r="E119" s="36" t="s">
        <v>213</v>
      </c>
      <c r="F119" s="29" t="b">
        <v>1</v>
      </c>
      <c r="G119" s="49"/>
      <c r="H119" s="49"/>
      <c r="I119" s="33"/>
      <c r="J119" s="33"/>
      <c r="K119" s="37" t="s">
        <v>469</v>
      </c>
      <c r="L119" s="37" t="s">
        <v>1031</v>
      </c>
      <c r="M119" s="37" t="s">
        <v>1574</v>
      </c>
      <c r="N119" s="37" t="s">
        <v>1454</v>
      </c>
      <c r="O119" s="37" t="s">
        <v>837</v>
      </c>
      <c r="P119" s="37" t="s">
        <v>838</v>
      </c>
      <c r="Q119" s="41">
        <v>46082.0</v>
      </c>
      <c r="R119" s="42">
        <v>0.0</v>
      </c>
      <c r="S119" s="55"/>
      <c r="T119" s="37" t="s">
        <v>839</v>
      </c>
      <c r="U119" s="57" t="str">
        <f>IF(records_2[Type]="Room",records_2[roomNo],records_2[roomNo]&amp;"-"&amp;SUBSTITUTE(RIGHT(records_2[roomNo]&amp;records_2[Type],2),"-",""))</f>
        <v>12-2-067</v>
      </c>
      <c r="V119" s="59" t="str">
        <f t="array" ref="V119">_xlfn.XLOOKUP(records_2[ID], dAir[roomNo], dAir[roomName])</f>
        <v>CLEANED EQUIPMENT</v>
      </c>
      <c r="W119" s="59" t="str">
        <f t="array" ref="W119">_xlfn.XLOOKUP(records_2[ID], dAir[roomNo], dAir[building])</f>
        <v>Building 12</v>
      </c>
      <c r="X119" s="59" t="str">
        <f t="array" ref="X119">_xlfn.XLOOKUP(records_2[ID], dAir[roomNo], dAir[floor])</f>
        <v>Floor 2</v>
      </c>
      <c r="Y119" s="57" t="str">
        <f t="array" ref="Y119">_xlfn.XLOOKUP(records_2[ID], dAir[roomNo], dAir[Class])</f>
        <v>D</v>
      </c>
      <c r="Z119" s="57">
        <f t="array" ref="Z119">_xlfn.XLOOKUP(records_2[Method]&amp;"-"&amp;records_2[Class], dAirSpec[ID], dAirSpec[Spec])</f>
        <v>100</v>
      </c>
      <c r="AA119" s="57" t="str">
        <f t="array" ref="AA119">_xlfn.XLOOKUP(records_2[Method]&amp;"-"&amp;records_2[Class], dAirSpec[ID], dAirSpec[Unit])</f>
        <v>cfu/plate</v>
      </c>
      <c r="AB119" s="62">
        <f t="array" ref="AB119">if(R119="","", if(records_2[Method]="Active Air",_xlfn.xlookup(records_2[ColonyCount]&amp;records_2[AirSampler],feller[code],feller[Vc]),records_2[ColonyCount]))</f>
        <v>0</v>
      </c>
      <c r="AC119" s="63" t="b">
        <f t="shared" si="1"/>
        <v>1</v>
      </c>
      <c r="AD119" s="61" t="b">
        <v>0</v>
      </c>
      <c r="AE119" s="32" t="s">
        <v>280</v>
      </c>
      <c r="AF119" s="46"/>
      <c r="AG119" s="46"/>
      <c r="AH119" s="46"/>
      <c r="AI119" s="46"/>
      <c r="AJ119" s="46"/>
    </row>
    <row r="120" ht="22.5" customHeight="1">
      <c r="A120" s="27">
        <v>46057.0</v>
      </c>
      <c r="B120" s="34" t="str">
        <f t="array" ref="B120">TEXT(A120, "MM-YYYY")</f>
        <v>02-2026</v>
      </c>
      <c r="C120" s="39" t="s">
        <v>735</v>
      </c>
      <c r="D120" s="36" t="s">
        <v>210</v>
      </c>
      <c r="E120" s="36" t="s">
        <v>213</v>
      </c>
      <c r="F120" s="29" t="b">
        <v>1</v>
      </c>
      <c r="G120" s="49"/>
      <c r="H120" s="49"/>
      <c r="I120" s="33"/>
      <c r="J120" s="33"/>
      <c r="K120" s="37" t="s">
        <v>366</v>
      </c>
      <c r="L120" s="37" t="s">
        <v>1332</v>
      </c>
      <c r="M120" s="37" t="s">
        <v>1574</v>
      </c>
      <c r="N120" s="37" t="s">
        <v>1454</v>
      </c>
      <c r="O120" s="37" t="s">
        <v>837</v>
      </c>
      <c r="P120" s="37" t="s">
        <v>838</v>
      </c>
      <c r="Q120" s="41">
        <v>46082.0</v>
      </c>
      <c r="R120" s="42">
        <v>0.0</v>
      </c>
      <c r="S120" s="55"/>
      <c r="T120" s="37" t="s">
        <v>839</v>
      </c>
      <c r="U120" s="57" t="str">
        <f>IF(records_2[Type]="Room",records_2[roomNo],records_2[roomNo]&amp;"-"&amp;SUBSTITUTE(RIGHT(records_2[roomNo]&amp;records_2[Type],2),"-",""))</f>
        <v>12-2-068</v>
      </c>
      <c r="V120" s="59" t="str">
        <f t="array" ref="V120">_xlfn.XLOOKUP(records_2[ID], dAir[roomNo], dAir[roomName])</f>
        <v>JANITOR</v>
      </c>
      <c r="W120" s="59" t="str">
        <f t="array" ref="W120">_xlfn.XLOOKUP(records_2[ID], dAir[roomNo], dAir[building])</f>
        <v>Building 12</v>
      </c>
      <c r="X120" s="59" t="str">
        <f t="array" ref="X120">_xlfn.XLOOKUP(records_2[ID], dAir[roomNo], dAir[floor])</f>
        <v>Floor 2</v>
      </c>
      <c r="Y120" s="57" t="str">
        <f t="array" ref="Y120">_xlfn.XLOOKUP(records_2[ID], dAir[roomNo], dAir[Class])</f>
        <v>D</v>
      </c>
      <c r="Z120" s="57">
        <f t="array" ref="Z120">_xlfn.XLOOKUP(records_2[Method]&amp;"-"&amp;records_2[Class], dAirSpec[ID], dAirSpec[Spec])</f>
        <v>100</v>
      </c>
      <c r="AA120" s="57" t="str">
        <f t="array" ref="AA120">_xlfn.XLOOKUP(records_2[Method]&amp;"-"&amp;records_2[Class], dAirSpec[ID], dAirSpec[Unit])</f>
        <v>cfu/plate</v>
      </c>
      <c r="AB120" s="62">
        <f t="array" ref="AB120">if(R120="","", if(records_2[Method]="Active Air",_xlfn.xlookup(records_2[ColonyCount]&amp;records_2[AirSampler],feller[code],feller[Vc]),records_2[ColonyCount]))</f>
        <v>0</v>
      </c>
      <c r="AC120" s="63" t="b">
        <f t="shared" si="1"/>
        <v>1</v>
      </c>
      <c r="AD120" s="61" t="b">
        <v>0</v>
      </c>
      <c r="AE120" s="32" t="s">
        <v>280</v>
      </c>
      <c r="AF120" s="46"/>
      <c r="AG120" s="46"/>
      <c r="AH120" s="46"/>
      <c r="AI120" s="46"/>
      <c r="AJ120" s="46"/>
    </row>
    <row r="121" ht="22.5" customHeight="1">
      <c r="A121" s="27">
        <v>46057.0</v>
      </c>
      <c r="B121" s="34" t="str">
        <f t="array" ref="B121">TEXT(A121, "MM-YYYY")</f>
        <v>02-2026</v>
      </c>
      <c r="C121" s="39" t="s">
        <v>738</v>
      </c>
      <c r="D121" s="36" t="s">
        <v>210</v>
      </c>
      <c r="E121" s="36" t="s">
        <v>213</v>
      </c>
      <c r="F121" s="29" t="b">
        <v>1</v>
      </c>
      <c r="G121" s="49"/>
      <c r="H121" s="49"/>
      <c r="I121" s="33"/>
      <c r="J121" s="33"/>
      <c r="K121" s="37" t="s">
        <v>484</v>
      </c>
      <c r="L121" s="37" t="s">
        <v>1577</v>
      </c>
      <c r="M121" s="37" t="s">
        <v>1578</v>
      </c>
      <c r="N121" s="37" t="s">
        <v>1272</v>
      </c>
      <c r="O121" s="37" t="s">
        <v>837</v>
      </c>
      <c r="P121" s="37" t="s">
        <v>838</v>
      </c>
      <c r="Q121" s="41">
        <v>46082.0</v>
      </c>
      <c r="R121" s="42">
        <v>0.0</v>
      </c>
      <c r="S121" s="55"/>
      <c r="T121" s="37" t="s">
        <v>839</v>
      </c>
      <c r="U121" s="57" t="str">
        <f>IF(records_2[Type]="Room",records_2[roomNo],records_2[roomNo]&amp;"-"&amp;SUBSTITUTE(RIGHT(records_2[roomNo]&amp;records_2[Type],2),"-",""))</f>
        <v>12-2-069</v>
      </c>
      <c r="V121" s="59" t="str">
        <f t="array" ref="V121">_xlfn.XLOOKUP(records_2[ID], dAir[roomNo], dAir[roomName])</f>
        <v>PRODUCTION OFFICE</v>
      </c>
      <c r="W121" s="59" t="str">
        <f t="array" ref="W121">_xlfn.XLOOKUP(records_2[ID], dAir[roomNo], dAir[building])</f>
        <v>Building 12</v>
      </c>
      <c r="X121" s="59" t="str">
        <f t="array" ref="X121">_xlfn.XLOOKUP(records_2[ID], dAir[roomNo], dAir[floor])</f>
        <v>Floor 2</v>
      </c>
      <c r="Y121" s="57" t="str">
        <f t="array" ref="Y121">_xlfn.XLOOKUP(records_2[ID], dAir[roomNo], dAir[Class])</f>
        <v>D</v>
      </c>
      <c r="Z121" s="57">
        <f t="array" ref="Z121">_xlfn.XLOOKUP(records_2[Method]&amp;"-"&amp;records_2[Class], dAirSpec[ID], dAirSpec[Spec])</f>
        <v>100</v>
      </c>
      <c r="AA121" s="57" t="str">
        <f t="array" ref="AA121">_xlfn.XLOOKUP(records_2[Method]&amp;"-"&amp;records_2[Class], dAirSpec[ID], dAirSpec[Unit])</f>
        <v>cfu/plate</v>
      </c>
      <c r="AB121" s="62">
        <f t="array" ref="AB121">if(R121="","", if(records_2[Method]="Active Air",_xlfn.xlookup(records_2[ColonyCount]&amp;records_2[AirSampler],feller[code],feller[Vc]),records_2[ColonyCount]))</f>
        <v>0</v>
      </c>
      <c r="AC121" s="63" t="b">
        <f t="shared" si="1"/>
        <v>1</v>
      </c>
      <c r="AD121" s="61" t="b">
        <v>0</v>
      </c>
      <c r="AE121" s="32" t="s">
        <v>280</v>
      </c>
      <c r="AF121" s="46"/>
      <c r="AG121" s="46"/>
      <c r="AH121" s="46"/>
      <c r="AI121" s="46"/>
      <c r="AJ121" s="46"/>
    </row>
    <row r="122" ht="22.5" customHeight="1">
      <c r="A122" s="27">
        <v>46057.0</v>
      </c>
      <c r="B122" s="34" t="str">
        <f t="array" ref="B122">TEXT(A122, "MM-YYYY")</f>
        <v>02-2026</v>
      </c>
      <c r="C122" s="39" t="s">
        <v>744</v>
      </c>
      <c r="D122" s="36" t="s">
        <v>210</v>
      </c>
      <c r="E122" s="36" t="s">
        <v>213</v>
      </c>
      <c r="F122" s="29" t="b">
        <v>1</v>
      </c>
      <c r="G122" s="49"/>
      <c r="H122" s="49"/>
      <c r="I122" s="33"/>
      <c r="J122" s="33"/>
      <c r="K122" s="37" t="s">
        <v>326</v>
      </c>
      <c r="L122" s="37" t="s">
        <v>575</v>
      </c>
      <c r="M122" s="37" t="s">
        <v>1381</v>
      </c>
      <c r="N122" s="37" t="s">
        <v>1382</v>
      </c>
      <c r="O122" s="37" t="s">
        <v>837</v>
      </c>
      <c r="P122" s="37" t="s">
        <v>838</v>
      </c>
      <c r="Q122" s="41">
        <v>46082.0</v>
      </c>
      <c r="R122" s="42">
        <v>0.0</v>
      </c>
      <c r="S122" s="55"/>
      <c r="T122" s="37" t="s">
        <v>839</v>
      </c>
      <c r="U122" s="57" t="str">
        <f>IF(records_2[Type]="Room",records_2[roomNo],records_2[roomNo]&amp;"-"&amp;SUBSTITUTE(RIGHT(records_2[roomNo]&amp;records_2[Type],2),"-",""))</f>
        <v>12-2-082</v>
      </c>
      <c r="V122" s="59" t="str">
        <f t="array" ref="V122">_xlfn.XLOOKUP(records_2[ID], dAir[roomNo], dAir[roomName])</f>
        <v>LINEN STORAGE</v>
      </c>
      <c r="W122" s="59" t="str">
        <f t="array" ref="W122">_xlfn.XLOOKUP(records_2[ID], dAir[roomNo], dAir[building])</f>
        <v>Building 12</v>
      </c>
      <c r="X122" s="59" t="str">
        <f t="array" ref="X122">_xlfn.XLOOKUP(records_2[ID], dAir[roomNo], dAir[floor])</f>
        <v>Floor 2</v>
      </c>
      <c r="Y122" s="57" t="str">
        <f t="array" ref="Y122">_xlfn.XLOOKUP(records_2[ID], dAir[roomNo], dAir[Class])</f>
        <v>D</v>
      </c>
      <c r="Z122" s="57">
        <f t="array" ref="Z122">_xlfn.XLOOKUP(records_2[Method]&amp;"-"&amp;records_2[Class], dAirSpec[ID], dAirSpec[Spec])</f>
        <v>100</v>
      </c>
      <c r="AA122" s="57" t="str">
        <f t="array" ref="AA122">_xlfn.XLOOKUP(records_2[Method]&amp;"-"&amp;records_2[Class], dAirSpec[ID], dAirSpec[Unit])</f>
        <v>cfu/plate</v>
      </c>
      <c r="AB122" s="62">
        <f t="array" ref="AB122">if(R122="","", if(records_2[Method]="Active Air",_xlfn.xlookup(records_2[ColonyCount]&amp;records_2[AirSampler],feller[code],feller[Vc]),records_2[ColonyCount]))</f>
        <v>0</v>
      </c>
      <c r="AC122" s="63" t="b">
        <f t="shared" si="1"/>
        <v>1</v>
      </c>
      <c r="AD122" s="61" t="b">
        <v>0</v>
      </c>
      <c r="AE122" s="32" t="s">
        <v>280</v>
      </c>
      <c r="AF122" s="46"/>
      <c r="AG122" s="46"/>
      <c r="AH122" s="46"/>
      <c r="AI122" s="46"/>
      <c r="AJ122" s="46"/>
    </row>
    <row r="123" ht="22.5" customHeight="1">
      <c r="A123" s="27">
        <v>46057.0</v>
      </c>
      <c r="B123" s="34" t="str">
        <f t="array" ref="B123">TEXT(A123, "MM-YYYY")</f>
        <v>02-2026</v>
      </c>
      <c r="C123" s="39" t="s">
        <v>748</v>
      </c>
      <c r="D123" s="36" t="s">
        <v>210</v>
      </c>
      <c r="E123" s="36" t="s">
        <v>213</v>
      </c>
      <c r="F123" s="29" t="b">
        <v>1</v>
      </c>
      <c r="G123" s="49"/>
      <c r="H123" s="49"/>
      <c r="I123" s="33"/>
      <c r="J123" s="33"/>
      <c r="K123" s="37" t="s">
        <v>353</v>
      </c>
      <c r="L123" s="37" t="s">
        <v>1582</v>
      </c>
      <c r="M123" s="37" t="s">
        <v>1381</v>
      </c>
      <c r="N123" s="37" t="s">
        <v>1382</v>
      </c>
      <c r="O123" s="37" t="s">
        <v>837</v>
      </c>
      <c r="P123" s="37" t="s">
        <v>838</v>
      </c>
      <c r="Q123" s="41">
        <v>46082.0</v>
      </c>
      <c r="R123" s="42">
        <v>0.0</v>
      </c>
      <c r="S123" s="55"/>
      <c r="T123" s="37" t="s">
        <v>839</v>
      </c>
      <c r="U123" s="57" t="str">
        <f>IF(records_2[Type]="Room",records_2[roomNo],records_2[roomNo]&amp;"-"&amp;SUBSTITUTE(RIGHT(records_2[roomNo]&amp;records_2[Type],2),"-",""))</f>
        <v>12-2-083</v>
      </c>
      <c r="V123" s="59" t="str">
        <f t="array" ref="V123">_xlfn.XLOOKUP(records_2[ID], dAir[roomNo], dAir[roomName])</f>
        <v>CORRIDOR</v>
      </c>
      <c r="W123" s="59" t="str">
        <f t="array" ref="W123">_xlfn.XLOOKUP(records_2[ID], dAir[roomNo], dAir[building])</f>
        <v>Building 12</v>
      </c>
      <c r="X123" s="59" t="str">
        <f t="array" ref="X123">_xlfn.XLOOKUP(records_2[ID], dAir[roomNo], dAir[floor])</f>
        <v>Floor 2</v>
      </c>
      <c r="Y123" s="57" t="str">
        <f t="array" ref="Y123">_xlfn.XLOOKUP(records_2[ID], dAir[roomNo], dAir[Class])</f>
        <v>D</v>
      </c>
      <c r="Z123" s="57">
        <f t="array" ref="Z123">_xlfn.XLOOKUP(records_2[Method]&amp;"-"&amp;records_2[Class], dAirSpec[ID], dAirSpec[Spec])</f>
        <v>100</v>
      </c>
      <c r="AA123" s="57" t="str">
        <f t="array" ref="AA123">_xlfn.XLOOKUP(records_2[Method]&amp;"-"&amp;records_2[Class], dAirSpec[ID], dAirSpec[Unit])</f>
        <v>cfu/plate</v>
      </c>
      <c r="AB123" s="62">
        <f t="array" ref="AB123">if(R123="","", if(records_2[Method]="Active Air",_xlfn.xlookup(records_2[ColonyCount]&amp;records_2[AirSampler],feller[code],feller[Vc]),records_2[ColonyCount]))</f>
        <v>0</v>
      </c>
      <c r="AC123" s="63" t="b">
        <f t="shared" si="1"/>
        <v>1</v>
      </c>
      <c r="AD123" s="61" t="b">
        <v>0</v>
      </c>
      <c r="AE123" s="32" t="s">
        <v>280</v>
      </c>
      <c r="AF123" s="46"/>
      <c r="AG123" s="46"/>
      <c r="AH123" s="46"/>
      <c r="AI123" s="46"/>
      <c r="AJ123" s="46"/>
    </row>
    <row r="124" ht="22.5" customHeight="1">
      <c r="A124" s="18">
        <v>46059.0</v>
      </c>
      <c r="B124" s="20" t="str">
        <f t="array" ref="B124">TEXT(A124, "MM-YYYY")</f>
        <v>02-2026</v>
      </c>
      <c r="C124" s="32" t="s">
        <v>1360</v>
      </c>
      <c r="D124" s="36" t="s">
        <v>210</v>
      </c>
      <c r="E124" s="21" t="s">
        <v>213</v>
      </c>
      <c r="F124" s="29" t="b">
        <v>1</v>
      </c>
      <c r="G124" s="49"/>
      <c r="H124" s="49"/>
      <c r="I124" s="33"/>
      <c r="J124" s="33"/>
      <c r="K124" s="51" t="s">
        <v>252</v>
      </c>
      <c r="L124" s="51" t="s">
        <v>1583</v>
      </c>
      <c r="M124" s="51" t="s">
        <v>1584</v>
      </c>
      <c r="N124" s="51" t="s">
        <v>1585</v>
      </c>
      <c r="O124" s="51" t="s">
        <v>837</v>
      </c>
      <c r="P124" s="51" t="s">
        <v>1099</v>
      </c>
      <c r="Q124" s="52">
        <v>46082.0</v>
      </c>
      <c r="R124" s="53">
        <v>0.0</v>
      </c>
      <c r="S124" s="55"/>
      <c r="T124" s="51" t="s">
        <v>1586</v>
      </c>
      <c r="U124" s="57" t="str">
        <f>IF(records_2[Type]="Room",records_2[roomNo],records_2[roomNo]&amp;"-"&amp;SUBSTITUTE(RIGHT(records_2[roomNo]&amp;records_2[Type],2),"-",""))</f>
        <v>12-1-034</v>
      </c>
      <c r="V124" s="59" t="str">
        <f t="array" ref="V124">_xlfn.XLOOKUP(records_2[ID], dAir[roomNo], dAir[roomName])</f>
        <v>CHANGING ROOM</v>
      </c>
      <c r="W124" s="59" t="str">
        <f t="array" ref="W124">_xlfn.XLOOKUP(records_2[ID], dAir[roomNo], dAir[building])</f>
        <v>Building 12</v>
      </c>
      <c r="X124" s="59" t="str">
        <f t="array" ref="X124">_xlfn.XLOOKUP(records_2[ID], dAir[roomNo], dAir[floor])</f>
        <v>Floor 1</v>
      </c>
      <c r="Y124" s="57" t="str">
        <f t="array" ref="Y124">_xlfn.XLOOKUP(records_2[ID], dAir[roomNo], dAir[Class])</f>
        <v>D</v>
      </c>
      <c r="Z124" s="57">
        <f t="array" ref="Z124">_xlfn.XLOOKUP(records_2[Method]&amp;"-"&amp;records_2[Class], dAirSpec[ID], dAirSpec[Spec])</f>
        <v>100</v>
      </c>
      <c r="AA124" s="57" t="str">
        <f t="array" ref="AA124">_xlfn.XLOOKUP(records_2[Method]&amp;"-"&amp;records_2[Class], dAirSpec[ID], dAirSpec[Unit])</f>
        <v>cfu/plate</v>
      </c>
      <c r="AB124" s="62">
        <f t="array" ref="AB124">if(R124="","", if(records_2[Method]="Active Air",_xlfn.xlookup(records_2[ColonyCount]&amp;records_2[AirSampler],feller[code],feller[Vc]),records_2[ColonyCount]))</f>
        <v>0</v>
      </c>
      <c r="AC124" s="63" t="b">
        <f t="shared" si="1"/>
        <v>1</v>
      </c>
      <c r="AD124" s="61" t="b">
        <v>0</v>
      </c>
      <c r="AE124" s="32" t="s">
        <v>280</v>
      </c>
      <c r="AF124" s="46"/>
      <c r="AG124" s="46"/>
      <c r="AH124" s="46"/>
      <c r="AI124" s="46"/>
      <c r="AJ124" s="46"/>
    </row>
    <row r="125" ht="22.5" customHeight="1">
      <c r="A125" s="27">
        <v>46059.0</v>
      </c>
      <c r="B125" s="34" t="str">
        <f t="array" ref="B125">TEXT(A125, "MM-YYYY")</f>
        <v>02-2026</v>
      </c>
      <c r="C125" s="39" t="s">
        <v>1362</v>
      </c>
      <c r="D125" s="36" t="s">
        <v>210</v>
      </c>
      <c r="E125" s="36" t="s">
        <v>213</v>
      </c>
      <c r="F125" s="29" t="b">
        <v>1</v>
      </c>
      <c r="G125" s="49"/>
      <c r="H125" s="49"/>
      <c r="I125" s="33"/>
      <c r="J125" s="33"/>
      <c r="K125" s="37" t="s">
        <v>791</v>
      </c>
      <c r="L125" s="37" t="s">
        <v>1587</v>
      </c>
      <c r="M125" s="37" t="s">
        <v>1588</v>
      </c>
      <c r="N125" s="37" t="s">
        <v>1585</v>
      </c>
      <c r="O125" s="37" t="s">
        <v>837</v>
      </c>
      <c r="P125" s="37" t="s">
        <v>1099</v>
      </c>
      <c r="Q125" s="41">
        <v>46082.0</v>
      </c>
      <c r="R125" s="42">
        <v>1.0</v>
      </c>
      <c r="S125" s="55"/>
      <c r="T125" s="37" t="s">
        <v>1586</v>
      </c>
      <c r="U125" s="57" t="str">
        <f>IF(records_2[Type]="Room",records_2[roomNo],records_2[roomNo]&amp;"-"&amp;SUBSTITUTE(RIGHT(records_2[roomNo]&amp;records_2[Type],2),"-",""))</f>
        <v>12-1-035</v>
      </c>
      <c r="V125" s="59" t="str">
        <f t="array" ref="V125">_xlfn.XLOOKUP(records_2[ID], dAir[roomNo], dAir[roomName])</f>
        <v>SUGAR TRANSFERRING</v>
      </c>
      <c r="W125" s="59" t="str">
        <f t="array" ref="W125">_xlfn.XLOOKUP(records_2[ID], dAir[roomNo], dAir[building])</f>
        <v>Building 12</v>
      </c>
      <c r="X125" s="59" t="str">
        <f t="array" ref="X125">_xlfn.XLOOKUP(records_2[ID], dAir[roomNo], dAir[floor])</f>
        <v>Floor 1</v>
      </c>
      <c r="Y125" s="57" t="str">
        <f t="array" ref="Y125">_xlfn.XLOOKUP(records_2[ID], dAir[roomNo], dAir[Class])</f>
        <v>D</v>
      </c>
      <c r="Z125" s="57">
        <f t="array" ref="Z125">_xlfn.XLOOKUP(records_2[Method]&amp;"-"&amp;records_2[Class], dAirSpec[ID], dAirSpec[Spec])</f>
        <v>100</v>
      </c>
      <c r="AA125" s="57" t="str">
        <f t="array" ref="AA125">_xlfn.XLOOKUP(records_2[Method]&amp;"-"&amp;records_2[Class], dAirSpec[ID], dAirSpec[Unit])</f>
        <v>cfu/plate</v>
      </c>
      <c r="AB125" s="62">
        <f t="array" ref="AB125">if(R125="","", if(records_2[Method]="Active Air",_xlfn.xlookup(records_2[ColonyCount]&amp;records_2[AirSampler],feller[code],feller[Vc]),records_2[ColonyCount]))</f>
        <v>1</v>
      </c>
      <c r="AC125" s="63" t="b">
        <f t="shared" si="1"/>
        <v>1</v>
      </c>
      <c r="AD125" s="61" t="b">
        <v>0</v>
      </c>
      <c r="AE125" s="32" t="s">
        <v>280</v>
      </c>
      <c r="AF125" s="46"/>
      <c r="AG125" s="46"/>
      <c r="AH125" s="46"/>
      <c r="AI125" s="46"/>
      <c r="AJ125" s="46"/>
    </row>
    <row r="126" ht="22.5" customHeight="1">
      <c r="A126" s="27">
        <v>46059.0</v>
      </c>
      <c r="B126" s="34" t="str">
        <f t="array" ref="B126">TEXT(A126, "MM-YYYY")</f>
        <v>02-2026</v>
      </c>
      <c r="C126" s="39" t="s">
        <v>1365</v>
      </c>
      <c r="D126" s="36" t="s">
        <v>210</v>
      </c>
      <c r="E126" s="36" t="s">
        <v>213</v>
      </c>
      <c r="F126" s="29" t="b">
        <v>1</v>
      </c>
      <c r="G126" s="49"/>
      <c r="H126" s="49"/>
      <c r="I126" s="33"/>
      <c r="J126" s="33"/>
      <c r="K126" s="37" t="s">
        <v>326</v>
      </c>
      <c r="L126" s="37" t="s">
        <v>407</v>
      </c>
      <c r="M126" s="37" t="s">
        <v>399</v>
      </c>
      <c r="N126" s="37" t="s">
        <v>1585</v>
      </c>
      <c r="O126" s="37" t="s">
        <v>837</v>
      </c>
      <c r="P126" s="37" t="s">
        <v>1099</v>
      </c>
      <c r="Q126" s="41">
        <v>46082.0</v>
      </c>
      <c r="R126" s="42">
        <v>2.0</v>
      </c>
      <c r="S126" s="55"/>
      <c r="T126" s="37" t="s">
        <v>1586</v>
      </c>
      <c r="U126" s="57" t="str">
        <f>IF(records_2[Type]="Room",records_2[roomNo],records_2[roomNo]&amp;"-"&amp;SUBSTITUTE(RIGHT(records_2[roomNo]&amp;records_2[Type],2),"-",""))</f>
        <v>12-1-049</v>
      </c>
      <c r="V126" s="59" t="str">
        <f t="array" ref="V126">_xlfn.XLOOKUP(records_2[ID], dAir[roomNo], dAir[roomName])</f>
        <v>PROCESS CHANGE</v>
      </c>
      <c r="W126" s="59" t="str">
        <f t="array" ref="W126">_xlfn.XLOOKUP(records_2[ID], dAir[roomNo], dAir[building])</f>
        <v>Building 12</v>
      </c>
      <c r="X126" s="59" t="str">
        <f t="array" ref="X126">_xlfn.XLOOKUP(records_2[ID], dAir[roomNo], dAir[floor])</f>
        <v>Floor 1</v>
      </c>
      <c r="Y126" s="57" t="str">
        <f t="array" ref="Y126">_xlfn.XLOOKUP(records_2[ID], dAir[roomNo], dAir[Class])</f>
        <v>D</v>
      </c>
      <c r="Z126" s="57">
        <f t="array" ref="Z126">_xlfn.XLOOKUP(records_2[Method]&amp;"-"&amp;records_2[Class], dAirSpec[ID], dAirSpec[Spec])</f>
        <v>100</v>
      </c>
      <c r="AA126" s="57" t="str">
        <f t="array" ref="AA126">_xlfn.XLOOKUP(records_2[Method]&amp;"-"&amp;records_2[Class], dAirSpec[ID], dAirSpec[Unit])</f>
        <v>cfu/plate</v>
      </c>
      <c r="AB126" s="62">
        <f t="array" ref="AB126">if(R126="","", if(records_2[Method]="Active Air",_xlfn.xlookup(records_2[ColonyCount]&amp;records_2[AirSampler],feller[code],feller[Vc]),records_2[ColonyCount]))</f>
        <v>2</v>
      </c>
      <c r="AC126" s="63" t="b">
        <f t="shared" si="1"/>
        <v>1</v>
      </c>
      <c r="AD126" s="61" t="b">
        <v>0</v>
      </c>
      <c r="AE126" s="32" t="s">
        <v>280</v>
      </c>
      <c r="AF126" s="46"/>
      <c r="AG126" s="46"/>
      <c r="AH126" s="46"/>
      <c r="AI126" s="46"/>
      <c r="AJ126" s="46"/>
    </row>
    <row r="127" ht="22.5" customHeight="1">
      <c r="A127" s="27">
        <v>46059.0</v>
      </c>
      <c r="B127" s="34" t="str">
        <f t="array" ref="B127">TEXT(A127, "MM-YYYY")</f>
        <v>02-2026</v>
      </c>
      <c r="C127" s="39" t="s">
        <v>1366</v>
      </c>
      <c r="D127" s="36" t="s">
        <v>210</v>
      </c>
      <c r="E127" s="36" t="s">
        <v>213</v>
      </c>
      <c r="F127" s="29" t="b">
        <v>1</v>
      </c>
      <c r="G127" s="49"/>
      <c r="H127" s="49"/>
      <c r="I127" s="33"/>
      <c r="J127" s="33"/>
      <c r="K127" s="37" t="s">
        <v>303</v>
      </c>
      <c r="L127" s="37" t="s">
        <v>1604</v>
      </c>
      <c r="M127" s="37" t="s">
        <v>1605</v>
      </c>
      <c r="N127" s="37" t="s">
        <v>1585</v>
      </c>
      <c r="O127" s="37" t="s">
        <v>837</v>
      </c>
      <c r="P127" s="37" t="s">
        <v>1099</v>
      </c>
      <c r="Q127" s="41">
        <v>46082.0</v>
      </c>
      <c r="R127" s="42">
        <v>1.0</v>
      </c>
      <c r="S127" s="55"/>
      <c r="T127" s="37" t="s">
        <v>1586</v>
      </c>
      <c r="U127" s="57" t="str">
        <f>IF(records_2[Type]="Room",records_2[roomNo],records_2[roomNo]&amp;"-"&amp;SUBSTITUTE(RIGHT(records_2[roomNo]&amp;records_2[Type],2),"-",""))</f>
        <v>12-1-050</v>
      </c>
      <c r="V127" s="59" t="str">
        <f t="array" ref="V127">_xlfn.XLOOKUP(records_2[ID], dAir[roomNo], dAir[roomName])</f>
        <v>CORRIDOR</v>
      </c>
      <c r="W127" s="59" t="str">
        <f t="array" ref="W127">_xlfn.XLOOKUP(records_2[ID], dAir[roomNo], dAir[building])</f>
        <v>Building 12</v>
      </c>
      <c r="X127" s="59" t="str">
        <f t="array" ref="X127">_xlfn.XLOOKUP(records_2[ID], dAir[roomNo], dAir[floor])</f>
        <v>Floor 1</v>
      </c>
      <c r="Y127" s="57" t="str">
        <f t="array" ref="Y127">_xlfn.XLOOKUP(records_2[ID], dAir[roomNo], dAir[Class])</f>
        <v>D</v>
      </c>
      <c r="Z127" s="57">
        <f t="array" ref="Z127">_xlfn.XLOOKUP(records_2[Method]&amp;"-"&amp;records_2[Class], dAirSpec[ID], dAirSpec[Spec])</f>
        <v>100</v>
      </c>
      <c r="AA127" s="57" t="str">
        <f t="array" ref="AA127">_xlfn.XLOOKUP(records_2[Method]&amp;"-"&amp;records_2[Class], dAirSpec[ID], dAirSpec[Unit])</f>
        <v>cfu/plate</v>
      </c>
      <c r="AB127" s="62">
        <f t="array" ref="AB127">if(R127="","", if(records_2[Method]="Active Air",_xlfn.xlookup(records_2[ColonyCount]&amp;records_2[AirSampler],feller[code],feller[Vc]),records_2[ColonyCount]))</f>
        <v>1</v>
      </c>
      <c r="AC127" s="63" t="b">
        <f t="shared" si="1"/>
        <v>1</v>
      </c>
      <c r="AD127" s="61" t="b">
        <v>0</v>
      </c>
      <c r="AE127" s="32" t="s">
        <v>280</v>
      </c>
      <c r="AF127" s="46"/>
      <c r="AG127" s="46"/>
      <c r="AH127" s="46"/>
      <c r="AI127" s="46"/>
      <c r="AJ127" s="46"/>
    </row>
    <row r="128" ht="22.5" customHeight="1">
      <c r="A128" s="27">
        <v>46059.0</v>
      </c>
      <c r="B128" s="34" t="str">
        <f t="array" ref="B128">TEXT(A128, "MM-YYYY")</f>
        <v>02-2026</v>
      </c>
      <c r="C128" s="39" t="s">
        <v>1367</v>
      </c>
      <c r="D128" s="36" t="s">
        <v>210</v>
      </c>
      <c r="E128" s="36" t="s">
        <v>213</v>
      </c>
      <c r="F128" s="29" t="b">
        <v>1</v>
      </c>
      <c r="G128" s="49"/>
      <c r="H128" s="49"/>
      <c r="I128" s="33"/>
      <c r="J128" s="33"/>
      <c r="K128" s="37" t="s">
        <v>381</v>
      </c>
      <c r="L128" s="37" t="s">
        <v>767</v>
      </c>
      <c r="M128" s="37" t="s">
        <v>1609</v>
      </c>
      <c r="N128" s="37" t="s">
        <v>1585</v>
      </c>
      <c r="O128" s="37" t="s">
        <v>837</v>
      </c>
      <c r="P128" s="37" t="s">
        <v>1099</v>
      </c>
      <c r="Q128" s="41">
        <v>46082.0</v>
      </c>
      <c r="R128" s="42">
        <v>0.0</v>
      </c>
      <c r="S128" s="55"/>
      <c r="T128" s="37" t="s">
        <v>1586</v>
      </c>
      <c r="U128" s="57" t="str">
        <f>IF(records_2[Type]="Room",records_2[roomNo],records_2[roomNo]&amp;"-"&amp;SUBSTITUTE(RIGHT(records_2[roomNo]&amp;records_2[Type],2),"-",""))</f>
        <v>12-1-051</v>
      </c>
      <c r="V128" s="59" t="str">
        <f t="array" ref="V128">_xlfn.XLOOKUP(records_2[ID], dAir[roomNo], dAir[roomName])</f>
        <v>CORRIDOR</v>
      </c>
      <c r="W128" s="59" t="str">
        <f t="array" ref="W128">_xlfn.XLOOKUP(records_2[ID], dAir[roomNo], dAir[building])</f>
        <v>Building 12</v>
      </c>
      <c r="X128" s="59" t="str">
        <f t="array" ref="X128">_xlfn.XLOOKUP(records_2[ID], dAir[roomNo], dAir[floor])</f>
        <v>Floor 1</v>
      </c>
      <c r="Y128" s="57" t="str">
        <f t="array" ref="Y128">_xlfn.XLOOKUP(records_2[ID], dAir[roomNo], dAir[Class])</f>
        <v>D</v>
      </c>
      <c r="Z128" s="57">
        <f t="array" ref="Z128">_xlfn.XLOOKUP(records_2[Method]&amp;"-"&amp;records_2[Class], dAirSpec[ID], dAirSpec[Spec])</f>
        <v>100</v>
      </c>
      <c r="AA128" s="57" t="str">
        <f t="array" ref="AA128">_xlfn.XLOOKUP(records_2[Method]&amp;"-"&amp;records_2[Class], dAirSpec[ID], dAirSpec[Unit])</f>
        <v>cfu/plate</v>
      </c>
      <c r="AB128" s="62">
        <f t="array" ref="AB128">if(R128="","", if(records_2[Method]="Active Air",_xlfn.xlookup(records_2[ColonyCount]&amp;records_2[AirSampler],feller[code],feller[Vc]),records_2[ColonyCount]))</f>
        <v>0</v>
      </c>
      <c r="AC128" s="63" t="b">
        <f t="shared" si="1"/>
        <v>1</v>
      </c>
      <c r="AD128" s="61" t="b">
        <v>0</v>
      </c>
      <c r="AE128" s="32" t="s">
        <v>280</v>
      </c>
      <c r="AF128" s="46"/>
      <c r="AG128" s="46"/>
      <c r="AH128" s="46"/>
      <c r="AI128" s="46"/>
      <c r="AJ128" s="46"/>
    </row>
    <row r="129" ht="22.5" customHeight="1">
      <c r="A129" s="27">
        <v>46059.0</v>
      </c>
      <c r="B129" s="34" t="str">
        <f t="array" ref="B129">TEXT(A129, "MM-YYYY")</f>
        <v>02-2026</v>
      </c>
      <c r="C129" s="39" t="s">
        <v>1368</v>
      </c>
      <c r="D129" s="36" t="s">
        <v>210</v>
      </c>
      <c r="E129" s="36" t="s">
        <v>213</v>
      </c>
      <c r="F129" s="29" t="b">
        <v>1</v>
      </c>
      <c r="G129" s="49"/>
      <c r="H129" s="49"/>
      <c r="I129" s="33"/>
      <c r="J129" s="33"/>
      <c r="K129" s="37" t="s">
        <v>681</v>
      </c>
      <c r="L129" s="37" t="s">
        <v>557</v>
      </c>
      <c r="M129" s="37" t="s">
        <v>1609</v>
      </c>
      <c r="N129" s="37" t="s">
        <v>1585</v>
      </c>
      <c r="O129" s="37" t="s">
        <v>837</v>
      </c>
      <c r="P129" s="37" t="s">
        <v>1099</v>
      </c>
      <c r="Q129" s="41">
        <v>46082.0</v>
      </c>
      <c r="R129" s="42">
        <v>0.0</v>
      </c>
      <c r="S129" s="55"/>
      <c r="T129" s="37" t="s">
        <v>1586</v>
      </c>
      <c r="U129" s="57" t="str">
        <f>IF(records_2[Type]="Room",records_2[roomNo],records_2[roomNo]&amp;"-"&amp;SUBSTITUTE(RIGHT(records_2[roomNo]&amp;records_2[Type],2),"-",""))</f>
        <v>12-1-052</v>
      </c>
      <c r="V129" s="59" t="str">
        <f t="array" ref="V129">_xlfn.XLOOKUP(records_2[ID], dAir[roomNo], dAir[roomName])</f>
        <v>LINEN WASHING</v>
      </c>
      <c r="W129" s="59" t="str">
        <f t="array" ref="W129">_xlfn.XLOOKUP(records_2[ID], dAir[roomNo], dAir[building])</f>
        <v>Building 12</v>
      </c>
      <c r="X129" s="59" t="str">
        <f t="array" ref="X129">_xlfn.XLOOKUP(records_2[ID], dAir[roomNo], dAir[floor])</f>
        <v>Floor 1</v>
      </c>
      <c r="Y129" s="57" t="str">
        <f t="array" ref="Y129">_xlfn.XLOOKUP(records_2[ID], dAir[roomNo], dAir[Class])</f>
        <v>D</v>
      </c>
      <c r="Z129" s="57">
        <f t="array" ref="Z129">_xlfn.XLOOKUP(records_2[Method]&amp;"-"&amp;records_2[Class], dAirSpec[ID], dAirSpec[Spec])</f>
        <v>100</v>
      </c>
      <c r="AA129" s="57" t="str">
        <f t="array" ref="AA129">_xlfn.XLOOKUP(records_2[Method]&amp;"-"&amp;records_2[Class], dAirSpec[ID], dAirSpec[Unit])</f>
        <v>cfu/plate</v>
      </c>
      <c r="AB129" s="62">
        <f t="array" ref="AB129">if(R129="","", if(records_2[Method]="Active Air",_xlfn.xlookup(records_2[ColonyCount]&amp;records_2[AirSampler],feller[code],feller[Vc]),records_2[ColonyCount]))</f>
        <v>0</v>
      </c>
      <c r="AC129" s="63" t="b">
        <f t="shared" si="1"/>
        <v>1</v>
      </c>
      <c r="AD129" s="61" t="b">
        <v>0</v>
      </c>
      <c r="AE129" s="32" t="s">
        <v>280</v>
      </c>
      <c r="AF129" s="46"/>
      <c r="AG129" s="46"/>
      <c r="AH129" s="46"/>
      <c r="AI129" s="46"/>
      <c r="AJ129" s="46"/>
    </row>
    <row r="130" ht="22.5" customHeight="1">
      <c r="A130" s="27">
        <v>46059.0</v>
      </c>
      <c r="B130" s="34" t="str">
        <f t="array" ref="B130">TEXT(A130, "MM-YYYY")</f>
        <v>02-2026</v>
      </c>
      <c r="C130" s="39" t="s">
        <v>1369</v>
      </c>
      <c r="D130" s="36" t="s">
        <v>210</v>
      </c>
      <c r="E130" s="36" t="s">
        <v>213</v>
      </c>
      <c r="F130" s="29" t="b">
        <v>1</v>
      </c>
      <c r="G130" s="49"/>
      <c r="H130" s="49"/>
      <c r="I130" s="33"/>
      <c r="J130" s="33"/>
      <c r="K130" s="37" t="s">
        <v>700</v>
      </c>
      <c r="L130" s="37" t="s">
        <v>354</v>
      </c>
      <c r="M130" s="37" t="s">
        <v>1612</v>
      </c>
      <c r="N130" s="37" t="s">
        <v>1613</v>
      </c>
      <c r="O130" s="37" t="s">
        <v>837</v>
      </c>
      <c r="P130" s="37" t="s">
        <v>1099</v>
      </c>
      <c r="Q130" s="41">
        <v>46082.0</v>
      </c>
      <c r="R130" s="42">
        <v>1.0</v>
      </c>
      <c r="S130" s="55"/>
      <c r="T130" s="37" t="s">
        <v>1586</v>
      </c>
      <c r="U130" s="57" t="str">
        <f>IF(records_2[Type]="Room",records_2[roomNo],records_2[roomNo]&amp;"-"&amp;SUBSTITUTE(RIGHT(records_2[roomNo]&amp;records_2[Type],2),"-",""))</f>
        <v>12-1-053</v>
      </c>
      <c r="V130" s="59" t="str">
        <f t="array" ref="V130">_xlfn.XLOOKUP(records_2[ID], dAir[roomNo], dAir[roomName])</f>
        <v>LINEN DRY</v>
      </c>
      <c r="W130" s="59" t="str">
        <f t="array" ref="W130">_xlfn.XLOOKUP(records_2[ID], dAir[roomNo], dAir[building])</f>
        <v>Building 12</v>
      </c>
      <c r="X130" s="59" t="str">
        <f t="array" ref="X130">_xlfn.XLOOKUP(records_2[ID], dAir[roomNo], dAir[floor])</f>
        <v>Floor 1</v>
      </c>
      <c r="Y130" s="57" t="str">
        <f t="array" ref="Y130">_xlfn.XLOOKUP(records_2[ID], dAir[roomNo], dAir[Class])</f>
        <v>D</v>
      </c>
      <c r="Z130" s="57">
        <f t="array" ref="Z130">_xlfn.XLOOKUP(records_2[Method]&amp;"-"&amp;records_2[Class], dAirSpec[ID], dAirSpec[Spec])</f>
        <v>100</v>
      </c>
      <c r="AA130" s="57" t="str">
        <f t="array" ref="AA130">_xlfn.XLOOKUP(records_2[Method]&amp;"-"&amp;records_2[Class], dAirSpec[ID], dAirSpec[Unit])</f>
        <v>cfu/plate</v>
      </c>
      <c r="AB130" s="62">
        <f t="array" ref="AB130">if(R130="","", if(records_2[Method]="Active Air",_xlfn.xlookup(records_2[ColonyCount]&amp;records_2[AirSampler],feller[code],feller[Vc]),records_2[ColonyCount]))</f>
        <v>1</v>
      </c>
      <c r="AC130" s="63" t="b">
        <f t="shared" si="1"/>
        <v>1</v>
      </c>
      <c r="AD130" s="61" t="b">
        <v>0</v>
      </c>
      <c r="AE130" s="32" t="s">
        <v>280</v>
      </c>
      <c r="AF130" s="46"/>
      <c r="AG130" s="46"/>
      <c r="AH130" s="46"/>
      <c r="AI130" s="46"/>
      <c r="AJ130" s="46"/>
    </row>
    <row r="131" ht="22.5" customHeight="1">
      <c r="A131" s="27">
        <v>46059.0</v>
      </c>
      <c r="B131" s="34" t="str">
        <f t="array" ref="B131">TEXT(A131, "MM-YYYY")</f>
        <v>02-2026</v>
      </c>
      <c r="C131" s="39" t="s">
        <v>1370</v>
      </c>
      <c r="D131" s="36" t="s">
        <v>210</v>
      </c>
      <c r="E131" s="36" t="s">
        <v>213</v>
      </c>
      <c r="F131" s="29" t="b">
        <v>1</v>
      </c>
      <c r="G131" s="49"/>
      <c r="H131" s="49"/>
      <c r="I131" s="33"/>
      <c r="J131" s="33"/>
      <c r="K131" s="37" t="s">
        <v>435</v>
      </c>
      <c r="L131" s="37" t="s">
        <v>1622</v>
      </c>
      <c r="M131" s="37" t="s">
        <v>1623</v>
      </c>
      <c r="N131" s="37" t="s">
        <v>1613</v>
      </c>
      <c r="O131" s="37" t="s">
        <v>837</v>
      </c>
      <c r="P131" s="37" t="s">
        <v>1099</v>
      </c>
      <c r="Q131" s="41">
        <v>46082.0</v>
      </c>
      <c r="R131" s="42">
        <v>0.0</v>
      </c>
      <c r="S131" s="55"/>
      <c r="T131" s="37" t="s">
        <v>1586</v>
      </c>
      <c r="U131" s="57" t="str">
        <f>IF(records_2[Type]="Room",records_2[roomNo],records_2[roomNo]&amp;"-"&amp;SUBSTITUTE(RIGHT(records_2[roomNo]&amp;records_2[Type],2),"-",""))</f>
        <v>12-1-054</v>
      </c>
      <c r="V131" s="59" t="str">
        <f t="array" ref="V131">_xlfn.XLOOKUP(records_2[ID], dAir[roomNo], dAir[roomName])</f>
        <v>PALLET TRUCK ROOM</v>
      </c>
      <c r="W131" s="59" t="str">
        <f t="array" ref="W131">_xlfn.XLOOKUP(records_2[ID], dAir[roomNo], dAir[building])</f>
        <v>Building 12</v>
      </c>
      <c r="X131" s="59" t="str">
        <f t="array" ref="X131">_xlfn.XLOOKUP(records_2[ID], dAir[roomNo], dAir[floor])</f>
        <v>Floor 1</v>
      </c>
      <c r="Y131" s="57" t="str">
        <f t="array" ref="Y131">_xlfn.XLOOKUP(records_2[ID], dAir[roomNo], dAir[Class])</f>
        <v>D</v>
      </c>
      <c r="Z131" s="57">
        <f t="array" ref="Z131">_xlfn.XLOOKUP(records_2[Method]&amp;"-"&amp;records_2[Class], dAirSpec[ID], dAirSpec[Spec])</f>
        <v>100</v>
      </c>
      <c r="AA131" s="57" t="str">
        <f t="array" ref="AA131">_xlfn.XLOOKUP(records_2[Method]&amp;"-"&amp;records_2[Class], dAirSpec[ID], dAirSpec[Unit])</f>
        <v>cfu/plate</v>
      </c>
      <c r="AB131" s="62">
        <f t="array" ref="AB131">if(R131="","", if(records_2[Method]="Active Air",_xlfn.xlookup(records_2[ColonyCount]&amp;records_2[AirSampler],feller[code],feller[Vc]),records_2[ColonyCount]))</f>
        <v>0</v>
      </c>
      <c r="AC131" s="63" t="b">
        <f t="shared" si="1"/>
        <v>1</v>
      </c>
      <c r="AD131" s="61" t="b">
        <v>0</v>
      </c>
      <c r="AE131" s="32" t="s">
        <v>280</v>
      </c>
      <c r="AF131" s="46"/>
      <c r="AG131" s="46"/>
      <c r="AH131" s="46"/>
      <c r="AI131" s="46"/>
      <c r="AJ131" s="46"/>
    </row>
    <row r="132" ht="22.5" customHeight="1">
      <c r="A132" s="27">
        <v>46059.0</v>
      </c>
      <c r="B132" s="34" t="str">
        <f t="array" ref="B132">TEXT(A132, "MM-YYYY")</f>
        <v>02-2026</v>
      </c>
      <c r="C132" s="39" t="s">
        <v>1372</v>
      </c>
      <c r="D132" s="36" t="s">
        <v>210</v>
      </c>
      <c r="E132" s="36" t="s">
        <v>213</v>
      </c>
      <c r="F132" s="29" t="b">
        <v>1</v>
      </c>
      <c r="G132" s="49"/>
      <c r="H132" s="49"/>
      <c r="I132" s="33"/>
      <c r="J132" s="33"/>
      <c r="K132" s="37" t="s">
        <v>366</v>
      </c>
      <c r="L132" s="37" t="s">
        <v>343</v>
      </c>
      <c r="M132" s="37" t="s">
        <v>939</v>
      </c>
      <c r="N132" s="37" t="s">
        <v>1613</v>
      </c>
      <c r="O132" s="37" t="s">
        <v>837</v>
      </c>
      <c r="P132" s="37" t="s">
        <v>1099</v>
      </c>
      <c r="Q132" s="41">
        <v>46082.0</v>
      </c>
      <c r="R132" s="42">
        <v>4.0</v>
      </c>
      <c r="S132" s="55"/>
      <c r="T132" s="37" t="s">
        <v>1586</v>
      </c>
      <c r="U132" s="57" t="str">
        <f>IF(records_2[Type]="Room",records_2[roomNo],records_2[roomNo]&amp;"-"&amp;SUBSTITUTE(RIGHT(records_2[roomNo]&amp;records_2[Type],2),"-",""))</f>
        <v>12-1-055</v>
      </c>
      <c r="V132" s="59" t="str">
        <f t="array" ref="V132">_xlfn.XLOOKUP(records_2[ID], dAir[roomNo], dAir[roomName])</f>
        <v>AIRLOCK</v>
      </c>
      <c r="W132" s="59" t="str">
        <f t="array" ref="W132">_xlfn.XLOOKUP(records_2[ID], dAir[roomNo], dAir[building])</f>
        <v>Building 12</v>
      </c>
      <c r="X132" s="59" t="str">
        <f t="array" ref="X132">_xlfn.XLOOKUP(records_2[ID], dAir[roomNo], dAir[floor])</f>
        <v>Floor 1</v>
      </c>
      <c r="Y132" s="57" t="str">
        <f t="array" ref="Y132">_xlfn.XLOOKUP(records_2[ID], dAir[roomNo], dAir[Class])</f>
        <v>D</v>
      </c>
      <c r="Z132" s="57">
        <f t="array" ref="Z132">_xlfn.XLOOKUP(records_2[Method]&amp;"-"&amp;records_2[Class], dAirSpec[ID], dAirSpec[Spec])</f>
        <v>100</v>
      </c>
      <c r="AA132" s="57" t="str">
        <f t="array" ref="AA132">_xlfn.XLOOKUP(records_2[Method]&amp;"-"&amp;records_2[Class], dAirSpec[ID], dAirSpec[Unit])</f>
        <v>cfu/plate</v>
      </c>
      <c r="AB132" s="62">
        <f t="array" ref="AB132">if(R132="","", if(records_2[Method]="Active Air",_xlfn.xlookup(records_2[ColonyCount]&amp;records_2[AirSampler],feller[code],feller[Vc]),records_2[ColonyCount]))</f>
        <v>4</v>
      </c>
      <c r="AC132" s="63" t="b">
        <f t="shared" si="1"/>
        <v>1</v>
      </c>
      <c r="AD132" s="61" t="b">
        <v>0</v>
      </c>
      <c r="AE132" s="32" t="s">
        <v>280</v>
      </c>
      <c r="AF132" s="46"/>
      <c r="AG132" s="46"/>
      <c r="AH132" s="46"/>
      <c r="AI132" s="46"/>
      <c r="AJ132" s="46"/>
    </row>
    <row r="133" ht="22.5" customHeight="1">
      <c r="A133" s="27">
        <v>46059.0</v>
      </c>
      <c r="B133" s="34" t="str">
        <f t="array" ref="B133">TEXT(A133, "MM-YYYY")</f>
        <v>02-2026</v>
      </c>
      <c r="C133" s="39" t="s">
        <v>1373</v>
      </c>
      <c r="D133" s="36" t="s">
        <v>210</v>
      </c>
      <c r="E133" s="36" t="s">
        <v>213</v>
      </c>
      <c r="F133" s="29" t="b">
        <v>1</v>
      </c>
      <c r="G133" s="49"/>
      <c r="H133" s="49"/>
      <c r="I133" s="33"/>
      <c r="J133" s="33"/>
      <c r="K133" s="37" t="s">
        <v>428</v>
      </c>
      <c r="L133" s="37" t="s">
        <v>1604</v>
      </c>
      <c r="M133" s="37" t="s">
        <v>1605</v>
      </c>
      <c r="N133" s="37" t="s">
        <v>1613</v>
      </c>
      <c r="O133" s="37" t="s">
        <v>837</v>
      </c>
      <c r="P133" s="37" t="s">
        <v>1099</v>
      </c>
      <c r="Q133" s="41">
        <v>46082.0</v>
      </c>
      <c r="R133" s="42">
        <v>0.0</v>
      </c>
      <c r="S133" s="55"/>
      <c r="T133" s="37" t="s">
        <v>1586</v>
      </c>
      <c r="U133" s="57" t="str">
        <f>IF(records_2[Type]="Room",records_2[roomNo],records_2[roomNo]&amp;"-"&amp;SUBSTITUTE(RIGHT(records_2[roomNo]&amp;records_2[Type],2),"-",""))</f>
        <v>12-1-056</v>
      </c>
      <c r="V133" s="59" t="str">
        <f t="array" ref="V133">_xlfn.XLOOKUP(records_2[ID], dAir[roomNo], dAir[roomName])</f>
        <v>AIRLOCK</v>
      </c>
      <c r="W133" s="59" t="str">
        <f t="array" ref="W133">_xlfn.XLOOKUP(records_2[ID], dAir[roomNo], dAir[building])</f>
        <v>Building 12</v>
      </c>
      <c r="X133" s="59" t="str">
        <f t="array" ref="X133">_xlfn.XLOOKUP(records_2[ID], dAir[roomNo], dAir[floor])</f>
        <v>Floor 1</v>
      </c>
      <c r="Y133" s="57" t="str">
        <f t="array" ref="Y133">_xlfn.XLOOKUP(records_2[ID], dAir[roomNo], dAir[Class])</f>
        <v>D</v>
      </c>
      <c r="Z133" s="57">
        <f t="array" ref="Z133">_xlfn.XLOOKUP(records_2[Method]&amp;"-"&amp;records_2[Class], dAirSpec[ID], dAirSpec[Spec])</f>
        <v>100</v>
      </c>
      <c r="AA133" s="57" t="str">
        <f t="array" ref="AA133">_xlfn.XLOOKUP(records_2[Method]&amp;"-"&amp;records_2[Class], dAirSpec[ID], dAirSpec[Unit])</f>
        <v>cfu/plate</v>
      </c>
      <c r="AB133" s="62">
        <f t="array" ref="AB133">if(R133="","", if(records_2[Method]="Active Air",_xlfn.xlookup(records_2[ColonyCount]&amp;records_2[AirSampler],feller[code],feller[Vc]),records_2[ColonyCount]))</f>
        <v>0</v>
      </c>
      <c r="AC133" s="63" t="b">
        <f t="shared" si="1"/>
        <v>1</v>
      </c>
      <c r="AD133" s="61" t="b">
        <v>0</v>
      </c>
      <c r="AE133" s="32" t="s">
        <v>280</v>
      </c>
      <c r="AF133" s="46"/>
      <c r="AG133" s="46"/>
      <c r="AH133" s="46"/>
      <c r="AI133" s="46"/>
      <c r="AJ133" s="46"/>
    </row>
    <row r="134" ht="22.5" customHeight="1">
      <c r="A134" s="27">
        <v>46059.0</v>
      </c>
      <c r="B134" s="34" t="str">
        <f t="array" ref="B134">TEXT(A134, "MM-YYYY")</f>
        <v>02-2026</v>
      </c>
      <c r="C134" s="39" t="s">
        <v>1374</v>
      </c>
      <c r="D134" s="36" t="s">
        <v>210</v>
      </c>
      <c r="E134" s="36" t="s">
        <v>213</v>
      </c>
      <c r="F134" s="29" t="b">
        <v>1</v>
      </c>
      <c r="G134" s="49"/>
      <c r="H134" s="49"/>
      <c r="I134" s="33"/>
      <c r="J134" s="33"/>
      <c r="K134" s="37" t="s">
        <v>292</v>
      </c>
      <c r="L134" s="37" t="s">
        <v>503</v>
      </c>
      <c r="M134" s="37" t="s">
        <v>1635</v>
      </c>
      <c r="N134" s="37" t="s">
        <v>1636</v>
      </c>
      <c r="O134" s="37" t="s">
        <v>837</v>
      </c>
      <c r="P134" s="37" t="s">
        <v>1099</v>
      </c>
      <c r="Q134" s="41">
        <v>46082.0</v>
      </c>
      <c r="R134" s="42">
        <v>0.0</v>
      </c>
      <c r="S134" s="55"/>
      <c r="T134" s="37" t="s">
        <v>1586</v>
      </c>
      <c r="U134" s="57" t="str">
        <f>IF(records_2[Type]="Room",records_2[roomNo],records_2[roomNo]&amp;"-"&amp;SUBSTITUTE(RIGHT(records_2[roomNo]&amp;records_2[Type],2),"-",""))</f>
        <v>12-1-057</v>
      </c>
      <c r="V134" s="59" t="str">
        <f t="array" ref="V134">_xlfn.XLOOKUP(records_2[ID], dAir[roomNo], dAir[roomName])</f>
        <v>IPQC</v>
      </c>
      <c r="W134" s="59" t="str">
        <f t="array" ref="W134">_xlfn.XLOOKUP(records_2[ID], dAir[roomNo], dAir[building])</f>
        <v>Building 12</v>
      </c>
      <c r="X134" s="59" t="str">
        <f t="array" ref="X134">_xlfn.XLOOKUP(records_2[ID], dAir[roomNo], dAir[floor])</f>
        <v>Floor 1</v>
      </c>
      <c r="Y134" s="57" t="str">
        <f t="array" ref="Y134">_xlfn.XLOOKUP(records_2[ID], dAir[roomNo], dAir[Class])</f>
        <v>D</v>
      </c>
      <c r="Z134" s="57">
        <f t="array" ref="Z134">_xlfn.XLOOKUP(records_2[Method]&amp;"-"&amp;records_2[Class], dAirSpec[ID], dAirSpec[Spec])</f>
        <v>100</v>
      </c>
      <c r="AA134" s="57" t="str">
        <f t="array" ref="AA134">_xlfn.XLOOKUP(records_2[Method]&amp;"-"&amp;records_2[Class], dAirSpec[ID], dAirSpec[Unit])</f>
        <v>cfu/plate</v>
      </c>
      <c r="AB134" s="62">
        <f t="array" ref="AB134">if(R134="","", if(records_2[Method]="Active Air",_xlfn.xlookup(records_2[ColonyCount]&amp;records_2[AirSampler],feller[code],feller[Vc]),records_2[ColonyCount]))</f>
        <v>0</v>
      </c>
      <c r="AC134" s="63" t="b">
        <f t="shared" si="1"/>
        <v>1</v>
      </c>
      <c r="AD134" s="61" t="b">
        <v>0</v>
      </c>
      <c r="AE134" s="32" t="s">
        <v>280</v>
      </c>
      <c r="AF134" s="46"/>
      <c r="AG134" s="46"/>
      <c r="AH134" s="46"/>
      <c r="AI134" s="46"/>
      <c r="AJ134" s="46"/>
    </row>
    <row r="135" ht="22.5" customHeight="1">
      <c r="A135" s="27">
        <v>46059.0</v>
      </c>
      <c r="B135" s="34" t="str">
        <f t="array" ref="B135">TEXT(A135, "MM-YYYY")</f>
        <v>02-2026</v>
      </c>
      <c r="C135" s="39" t="s">
        <v>1375</v>
      </c>
      <c r="D135" s="36" t="s">
        <v>210</v>
      </c>
      <c r="E135" s="36" t="s">
        <v>213</v>
      </c>
      <c r="F135" s="29" t="b">
        <v>1</v>
      </c>
      <c r="G135" s="49"/>
      <c r="H135" s="49"/>
      <c r="I135" s="33"/>
      <c r="J135" s="33"/>
      <c r="K135" s="37" t="s">
        <v>428</v>
      </c>
      <c r="L135" s="37" t="s">
        <v>490</v>
      </c>
      <c r="M135" s="37" t="s">
        <v>1637</v>
      </c>
      <c r="N135" s="37" t="s">
        <v>1636</v>
      </c>
      <c r="O135" s="37" t="s">
        <v>837</v>
      </c>
      <c r="P135" s="37" t="s">
        <v>1099</v>
      </c>
      <c r="Q135" s="41">
        <v>46082.0</v>
      </c>
      <c r="R135" s="42">
        <v>0.0</v>
      </c>
      <c r="S135" s="55"/>
      <c r="T135" s="37" t="s">
        <v>1586</v>
      </c>
      <c r="U135" s="57" t="str">
        <f>IF(records_2[Type]="Room",records_2[roomNo],records_2[roomNo]&amp;"-"&amp;SUBSTITUTE(RIGHT(records_2[roomNo]&amp;records_2[Type],2),"-",""))</f>
        <v>12-1-058</v>
      </c>
      <c r="V135" s="59" t="str">
        <f t="array" ref="V135">_xlfn.XLOOKUP(records_2[ID], dAir[roomNo], dAir[roomName])</f>
        <v>CHANGE PART STORAGE</v>
      </c>
      <c r="W135" s="59" t="str">
        <f t="array" ref="W135">_xlfn.XLOOKUP(records_2[ID], dAir[roomNo], dAir[building])</f>
        <v>Building 12</v>
      </c>
      <c r="X135" s="59" t="str">
        <f t="array" ref="X135">_xlfn.XLOOKUP(records_2[ID], dAir[roomNo], dAir[floor])</f>
        <v>Floor 1</v>
      </c>
      <c r="Y135" s="57" t="str">
        <f t="array" ref="Y135">_xlfn.XLOOKUP(records_2[ID], dAir[roomNo], dAir[Class])</f>
        <v>D</v>
      </c>
      <c r="Z135" s="57">
        <f t="array" ref="Z135">_xlfn.XLOOKUP(records_2[Method]&amp;"-"&amp;records_2[Class], dAirSpec[ID], dAirSpec[Spec])</f>
        <v>100</v>
      </c>
      <c r="AA135" s="57" t="str">
        <f t="array" ref="AA135">_xlfn.XLOOKUP(records_2[Method]&amp;"-"&amp;records_2[Class], dAirSpec[ID], dAirSpec[Unit])</f>
        <v>cfu/plate</v>
      </c>
      <c r="AB135" s="62">
        <f t="array" ref="AB135">if(R135="","", if(records_2[Method]="Active Air",_xlfn.xlookup(records_2[ColonyCount]&amp;records_2[AirSampler],feller[code],feller[Vc]),records_2[ColonyCount]))</f>
        <v>0</v>
      </c>
      <c r="AC135" s="63" t="b">
        <f t="shared" si="1"/>
        <v>1</v>
      </c>
      <c r="AD135" s="61" t="b">
        <v>0</v>
      </c>
      <c r="AE135" s="32" t="s">
        <v>280</v>
      </c>
      <c r="AF135" s="46"/>
      <c r="AG135" s="46"/>
      <c r="AH135" s="46"/>
      <c r="AI135" s="46"/>
      <c r="AJ135" s="46"/>
    </row>
    <row r="136" ht="22.5" customHeight="1">
      <c r="A136" s="27">
        <v>46059.0</v>
      </c>
      <c r="B136" s="34" t="str">
        <f t="array" ref="B136">TEXT(A136, "MM-YYYY")</f>
        <v>02-2026</v>
      </c>
      <c r="C136" s="39" t="s">
        <v>1377</v>
      </c>
      <c r="D136" s="36" t="s">
        <v>210</v>
      </c>
      <c r="E136" s="36" t="s">
        <v>213</v>
      </c>
      <c r="F136" s="29" t="b">
        <v>1</v>
      </c>
      <c r="G136" s="49"/>
      <c r="H136" s="49"/>
      <c r="I136" s="33"/>
      <c r="J136" s="33"/>
      <c r="K136" s="37" t="s">
        <v>469</v>
      </c>
      <c r="L136" s="37" t="s">
        <v>522</v>
      </c>
      <c r="M136" s="37" t="s">
        <v>1637</v>
      </c>
      <c r="N136" s="37" t="s">
        <v>1636</v>
      </c>
      <c r="O136" s="37" t="s">
        <v>837</v>
      </c>
      <c r="P136" s="37" t="s">
        <v>1099</v>
      </c>
      <c r="Q136" s="41">
        <v>46082.0</v>
      </c>
      <c r="R136" s="42">
        <v>0.0</v>
      </c>
      <c r="S136" s="55"/>
      <c r="T136" s="37" t="s">
        <v>1586</v>
      </c>
      <c r="U136" s="57" t="str">
        <f>IF(records_2[Type]="Room",records_2[roomNo],records_2[roomNo]&amp;"-"&amp;SUBSTITUTE(RIGHT(records_2[roomNo]&amp;records_2[Type],2),"-",""))</f>
        <v>12-1-059</v>
      </c>
      <c r="V136" s="59" t="str">
        <f t="array" ref="V136">_xlfn.XLOOKUP(records_2[ID], dAir[roomNo], dAir[roomName])</f>
        <v>AIRLOCK</v>
      </c>
      <c r="W136" s="59" t="str">
        <f t="array" ref="W136">_xlfn.XLOOKUP(records_2[ID], dAir[roomNo], dAir[building])</f>
        <v>Building 12</v>
      </c>
      <c r="X136" s="59" t="str">
        <f t="array" ref="X136">_xlfn.XLOOKUP(records_2[ID], dAir[roomNo], dAir[floor])</f>
        <v>Floor 1</v>
      </c>
      <c r="Y136" s="57" t="str">
        <f t="array" ref="Y136">_xlfn.XLOOKUP(records_2[ID], dAir[roomNo], dAir[Class])</f>
        <v>D</v>
      </c>
      <c r="Z136" s="57">
        <f t="array" ref="Z136">_xlfn.XLOOKUP(records_2[Method]&amp;"-"&amp;records_2[Class], dAirSpec[ID], dAirSpec[Spec])</f>
        <v>100</v>
      </c>
      <c r="AA136" s="57" t="str">
        <f t="array" ref="AA136">_xlfn.XLOOKUP(records_2[Method]&amp;"-"&amp;records_2[Class], dAirSpec[ID], dAirSpec[Unit])</f>
        <v>cfu/plate</v>
      </c>
      <c r="AB136" s="62">
        <f t="array" ref="AB136">if(R136="","", if(records_2[Method]="Active Air",_xlfn.xlookup(records_2[ColonyCount]&amp;records_2[AirSampler],feller[code],feller[Vc]),records_2[ColonyCount]))</f>
        <v>0</v>
      </c>
      <c r="AC136" s="63" t="b">
        <f t="shared" si="1"/>
        <v>1</v>
      </c>
      <c r="AD136" s="61" t="b">
        <v>0</v>
      </c>
      <c r="AE136" s="32" t="s">
        <v>280</v>
      </c>
      <c r="AF136" s="46"/>
      <c r="AG136" s="46"/>
      <c r="AH136" s="46"/>
      <c r="AI136" s="46"/>
      <c r="AJ136" s="46"/>
    </row>
    <row r="137" ht="22.5" customHeight="1">
      <c r="A137" s="27">
        <v>46059.0</v>
      </c>
      <c r="B137" s="34" t="str">
        <f t="array" ref="B137">TEXT(A137, "MM-YYYY")</f>
        <v>02-2026</v>
      </c>
      <c r="C137" s="39" t="s">
        <v>1378</v>
      </c>
      <c r="D137" s="36" t="s">
        <v>210</v>
      </c>
      <c r="E137" s="36" t="s">
        <v>213</v>
      </c>
      <c r="F137" s="29" t="b">
        <v>1</v>
      </c>
      <c r="G137" s="49"/>
      <c r="H137" s="49"/>
      <c r="I137" s="33"/>
      <c r="J137" s="33"/>
      <c r="K137" s="37" t="s">
        <v>252</v>
      </c>
      <c r="L137" s="37" t="s">
        <v>1660</v>
      </c>
      <c r="M137" s="37" t="s">
        <v>1661</v>
      </c>
      <c r="N137" s="37" t="s">
        <v>1636</v>
      </c>
      <c r="O137" s="37" t="s">
        <v>837</v>
      </c>
      <c r="P137" s="37" t="s">
        <v>1099</v>
      </c>
      <c r="Q137" s="41">
        <v>46082.0</v>
      </c>
      <c r="R137" s="42">
        <v>0.0</v>
      </c>
      <c r="S137" s="55"/>
      <c r="T137" s="37" t="s">
        <v>1586</v>
      </c>
      <c r="U137" s="57" t="str">
        <f>IF(records_2[Type]="Room",records_2[roomNo],records_2[roomNo]&amp;"-"&amp;SUBSTITUTE(RIGHT(records_2[roomNo]&amp;records_2[Type],2),"-",""))</f>
        <v>12-1-060</v>
      </c>
      <c r="V137" s="59" t="str">
        <f t="array" ref="V137">_xlfn.XLOOKUP(records_2[ID], dAir[roomNo], dAir[roomName])</f>
        <v>CORRIDOR</v>
      </c>
      <c r="W137" s="59" t="str">
        <f t="array" ref="W137">_xlfn.XLOOKUP(records_2[ID], dAir[roomNo], dAir[building])</f>
        <v>Building 12</v>
      </c>
      <c r="X137" s="59" t="str">
        <f t="array" ref="X137">_xlfn.XLOOKUP(records_2[ID], dAir[roomNo], dAir[floor])</f>
        <v>Floor 1</v>
      </c>
      <c r="Y137" s="57" t="str">
        <f t="array" ref="Y137">_xlfn.XLOOKUP(records_2[ID], dAir[roomNo], dAir[Class])</f>
        <v>D</v>
      </c>
      <c r="Z137" s="57">
        <f t="array" ref="Z137">_xlfn.XLOOKUP(records_2[Method]&amp;"-"&amp;records_2[Class], dAirSpec[ID], dAirSpec[Spec])</f>
        <v>100</v>
      </c>
      <c r="AA137" s="57" t="str">
        <f t="array" ref="AA137">_xlfn.XLOOKUP(records_2[Method]&amp;"-"&amp;records_2[Class], dAirSpec[ID], dAirSpec[Unit])</f>
        <v>cfu/plate</v>
      </c>
      <c r="AB137" s="62">
        <f t="array" ref="AB137">if(R137="","", if(records_2[Method]="Active Air",_xlfn.xlookup(records_2[ColonyCount]&amp;records_2[AirSampler],feller[code],feller[Vc]),records_2[ColonyCount]))</f>
        <v>0</v>
      </c>
      <c r="AC137" s="63" t="b">
        <f t="shared" si="1"/>
        <v>1</v>
      </c>
      <c r="AD137" s="61" t="b">
        <v>0</v>
      </c>
      <c r="AE137" s="32" t="s">
        <v>280</v>
      </c>
      <c r="AF137" s="46"/>
      <c r="AG137" s="46"/>
      <c r="AH137" s="46"/>
      <c r="AI137" s="46"/>
      <c r="AJ137" s="46"/>
    </row>
    <row r="138" ht="22.5" customHeight="1">
      <c r="A138" s="27">
        <v>46059.0</v>
      </c>
      <c r="B138" s="34" t="str">
        <f t="array" ref="B138">TEXT(A138, "MM-YYYY")</f>
        <v>02-2026</v>
      </c>
      <c r="C138" s="39" t="s">
        <v>1379</v>
      </c>
      <c r="D138" s="36" t="s">
        <v>210</v>
      </c>
      <c r="E138" s="36" t="s">
        <v>213</v>
      </c>
      <c r="F138" s="29" t="b">
        <v>1</v>
      </c>
      <c r="G138" s="49"/>
      <c r="H138" s="49"/>
      <c r="I138" s="33"/>
      <c r="J138" s="33"/>
      <c r="K138" s="37" t="s">
        <v>671</v>
      </c>
      <c r="L138" s="37" t="s">
        <v>315</v>
      </c>
      <c r="M138" s="37" t="s">
        <v>1661</v>
      </c>
      <c r="N138" s="37" t="s">
        <v>1636</v>
      </c>
      <c r="O138" s="37" t="s">
        <v>837</v>
      </c>
      <c r="P138" s="37" t="s">
        <v>1099</v>
      </c>
      <c r="Q138" s="41">
        <v>46082.0</v>
      </c>
      <c r="R138" s="42">
        <v>0.0</v>
      </c>
      <c r="S138" s="55"/>
      <c r="T138" s="37" t="s">
        <v>1586</v>
      </c>
      <c r="U138" s="57" t="str">
        <f>IF(records_2[Type]="Room",records_2[roomNo],records_2[roomNo]&amp;"-"&amp;SUBSTITUTE(RIGHT(records_2[roomNo]&amp;records_2[Type],2),"-",""))</f>
        <v>12-1-061</v>
      </c>
      <c r="V138" s="59" t="str">
        <f t="array" ref="V138">_xlfn.XLOOKUP(records_2[ID], dAir[roomNo], dAir[roomName])</f>
        <v>JANITOR</v>
      </c>
      <c r="W138" s="59" t="str">
        <f t="array" ref="W138">_xlfn.XLOOKUP(records_2[ID], dAir[roomNo], dAir[building])</f>
        <v>Building 12</v>
      </c>
      <c r="X138" s="59" t="str">
        <f t="array" ref="X138">_xlfn.XLOOKUP(records_2[ID], dAir[roomNo], dAir[floor])</f>
        <v>Floor 1</v>
      </c>
      <c r="Y138" s="57" t="str">
        <f t="array" ref="Y138">_xlfn.XLOOKUP(records_2[ID], dAir[roomNo], dAir[Class])</f>
        <v>D</v>
      </c>
      <c r="Z138" s="57">
        <f t="array" ref="Z138">_xlfn.XLOOKUP(records_2[Method]&amp;"-"&amp;records_2[Class], dAirSpec[ID], dAirSpec[Spec])</f>
        <v>100</v>
      </c>
      <c r="AA138" s="57" t="str">
        <f t="array" ref="AA138">_xlfn.XLOOKUP(records_2[Method]&amp;"-"&amp;records_2[Class], dAirSpec[ID], dAirSpec[Unit])</f>
        <v>cfu/plate</v>
      </c>
      <c r="AB138" s="62">
        <f t="array" ref="AB138">if(R138="","", if(records_2[Method]="Active Air",_xlfn.xlookup(records_2[ColonyCount]&amp;records_2[AirSampler],feller[code],feller[Vc]),records_2[ColonyCount]))</f>
        <v>0</v>
      </c>
      <c r="AC138" s="63" t="b">
        <f t="shared" si="1"/>
        <v>1</v>
      </c>
      <c r="AD138" s="61" t="b">
        <v>0</v>
      </c>
      <c r="AE138" s="32" t="s">
        <v>280</v>
      </c>
      <c r="AF138" s="46"/>
      <c r="AG138" s="46"/>
      <c r="AH138" s="46"/>
      <c r="AI138" s="46"/>
      <c r="AJ138" s="46"/>
    </row>
    <row r="139" ht="22.5" customHeight="1">
      <c r="A139" s="27">
        <v>46059.0</v>
      </c>
      <c r="B139" s="34" t="str">
        <f t="array" ref="B139">TEXT(A139, "MM-YYYY")</f>
        <v>02-2026</v>
      </c>
      <c r="C139" s="39" t="s">
        <v>1383</v>
      </c>
      <c r="D139" s="36" t="s">
        <v>210</v>
      </c>
      <c r="E139" s="36" t="s">
        <v>213</v>
      </c>
      <c r="F139" s="29" t="b">
        <v>1</v>
      </c>
      <c r="G139" s="49"/>
      <c r="H139" s="49"/>
      <c r="I139" s="33"/>
      <c r="J139" s="33"/>
      <c r="K139" s="37" t="s">
        <v>344</v>
      </c>
      <c r="L139" s="37" t="s">
        <v>490</v>
      </c>
      <c r="M139" s="37" t="s">
        <v>1672</v>
      </c>
      <c r="N139" s="37" t="s">
        <v>1673</v>
      </c>
      <c r="O139" s="37" t="s">
        <v>837</v>
      </c>
      <c r="P139" s="37" t="s">
        <v>1099</v>
      </c>
      <c r="Q139" s="41">
        <v>46082.0</v>
      </c>
      <c r="R139" s="42">
        <v>0.0</v>
      </c>
      <c r="S139" s="55"/>
      <c r="T139" s="37" t="s">
        <v>1586</v>
      </c>
      <c r="U139" s="57" t="str">
        <f>IF(records_2[Type]="Room",records_2[roomNo],records_2[roomNo]&amp;"-"&amp;SUBSTITUTE(RIGHT(records_2[roomNo]&amp;records_2[Type],2),"-",""))</f>
        <v>12-1-062</v>
      </c>
      <c r="V139" s="59" t="str">
        <f t="array" ref="V139">_xlfn.XLOOKUP(records_2[ID], dAir[roomNo], dAir[roomName])</f>
        <v>CLEANED EQUIPMENT</v>
      </c>
      <c r="W139" s="59" t="str">
        <f t="array" ref="W139">_xlfn.XLOOKUP(records_2[ID], dAir[roomNo], dAir[building])</f>
        <v>Building 12</v>
      </c>
      <c r="X139" s="59" t="str">
        <f t="array" ref="X139">_xlfn.XLOOKUP(records_2[ID], dAir[roomNo], dAir[floor])</f>
        <v>Floor 1</v>
      </c>
      <c r="Y139" s="57" t="str">
        <f t="array" ref="Y139">_xlfn.XLOOKUP(records_2[ID], dAir[roomNo], dAir[Class])</f>
        <v>D</v>
      </c>
      <c r="Z139" s="57">
        <f t="array" ref="Z139">_xlfn.XLOOKUP(records_2[Method]&amp;"-"&amp;records_2[Class], dAirSpec[ID], dAirSpec[Spec])</f>
        <v>100</v>
      </c>
      <c r="AA139" s="57" t="str">
        <f t="array" ref="AA139">_xlfn.XLOOKUP(records_2[Method]&amp;"-"&amp;records_2[Class], dAirSpec[ID], dAirSpec[Unit])</f>
        <v>cfu/plate</v>
      </c>
      <c r="AB139" s="62">
        <f t="array" ref="AB139">if(R139="","", if(records_2[Method]="Active Air",_xlfn.xlookup(records_2[ColonyCount]&amp;records_2[AirSampler],feller[code],feller[Vc]),records_2[ColonyCount]))</f>
        <v>0</v>
      </c>
      <c r="AC139" s="63" t="b">
        <f t="shared" si="1"/>
        <v>1</v>
      </c>
      <c r="AD139" s="61" t="b">
        <v>0</v>
      </c>
      <c r="AE139" s="32" t="s">
        <v>280</v>
      </c>
      <c r="AF139" s="46"/>
      <c r="AG139" s="46"/>
      <c r="AH139" s="46"/>
      <c r="AI139" s="46"/>
      <c r="AJ139" s="46"/>
    </row>
    <row r="140" ht="22.5" customHeight="1">
      <c r="A140" s="27">
        <v>46059.0</v>
      </c>
      <c r="B140" s="34" t="str">
        <f t="array" ref="B140">TEXT(A140, "MM-YYYY")</f>
        <v>02-2026</v>
      </c>
      <c r="C140" s="39" t="s">
        <v>779</v>
      </c>
      <c r="D140" s="36" t="s">
        <v>210</v>
      </c>
      <c r="E140" s="36" t="s">
        <v>213</v>
      </c>
      <c r="F140" s="29" t="b">
        <v>1</v>
      </c>
      <c r="G140" s="49"/>
      <c r="H140" s="49"/>
      <c r="I140" s="33"/>
      <c r="J140" s="33"/>
      <c r="K140" s="37" t="s">
        <v>344</v>
      </c>
      <c r="L140" s="37" t="s">
        <v>354</v>
      </c>
      <c r="M140" s="37" t="s">
        <v>1672</v>
      </c>
      <c r="N140" s="37" t="s">
        <v>1673</v>
      </c>
      <c r="O140" s="37" t="s">
        <v>837</v>
      </c>
      <c r="P140" s="37" t="s">
        <v>1099</v>
      </c>
      <c r="Q140" s="41">
        <v>46082.0</v>
      </c>
      <c r="R140" s="42">
        <v>0.0</v>
      </c>
      <c r="S140" s="55"/>
      <c r="T140" s="37" t="s">
        <v>1586</v>
      </c>
      <c r="U140" s="57" t="str">
        <f>IF(records_2[Type]="Room",records_2[roomNo],records_2[roomNo]&amp;"-"&amp;SUBSTITUTE(RIGHT(records_2[roomNo]&amp;records_2[Type],2),"-",""))</f>
        <v>12-1-063</v>
      </c>
      <c r="V140" s="59" t="str">
        <f t="array" ref="V140">_xlfn.XLOOKUP(records_2[ID], dAir[roomNo], dAir[roomName])</f>
        <v>DRYING</v>
      </c>
      <c r="W140" s="59" t="str">
        <f t="array" ref="W140">_xlfn.XLOOKUP(records_2[ID], dAir[roomNo], dAir[building])</f>
        <v>Building 12</v>
      </c>
      <c r="X140" s="59" t="str">
        <f t="array" ref="X140">_xlfn.XLOOKUP(records_2[ID], dAir[roomNo], dAir[floor])</f>
        <v>Floor 1</v>
      </c>
      <c r="Y140" s="57" t="str">
        <f t="array" ref="Y140">_xlfn.XLOOKUP(records_2[ID], dAir[roomNo], dAir[Class])</f>
        <v>D</v>
      </c>
      <c r="Z140" s="57">
        <f t="array" ref="Z140">_xlfn.XLOOKUP(records_2[Method]&amp;"-"&amp;records_2[Class], dAirSpec[ID], dAirSpec[Spec])</f>
        <v>100</v>
      </c>
      <c r="AA140" s="57" t="str">
        <f t="array" ref="AA140">_xlfn.XLOOKUP(records_2[Method]&amp;"-"&amp;records_2[Class], dAirSpec[ID], dAirSpec[Unit])</f>
        <v>cfu/plate</v>
      </c>
      <c r="AB140" s="62">
        <f t="array" ref="AB140">if(R140="","", if(records_2[Method]="Active Air",_xlfn.xlookup(records_2[ColonyCount]&amp;records_2[AirSampler],feller[code],feller[Vc]),records_2[ColonyCount]))</f>
        <v>0</v>
      </c>
      <c r="AC140" s="63" t="b">
        <f t="shared" si="1"/>
        <v>1</v>
      </c>
      <c r="AD140" s="61" t="b">
        <v>0</v>
      </c>
      <c r="AE140" s="32" t="s">
        <v>280</v>
      </c>
      <c r="AF140" s="46"/>
      <c r="AG140" s="46"/>
      <c r="AH140" s="46"/>
      <c r="AI140" s="46"/>
      <c r="AJ140" s="46"/>
    </row>
    <row r="141" ht="22.5" customHeight="1">
      <c r="A141" s="27">
        <v>46059.0</v>
      </c>
      <c r="B141" s="34" t="str">
        <f t="array" ref="B141">TEXT(A141, "MM-YYYY")</f>
        <v>02-2026</v>
      </c>
      <c r="C141" s="39" t="s">
        <v>789</v>
      </c>
      <c r="D141" s="36" t="s">
        <v>210</v>
      </c>
      <c r="E141" s="36" t="s">
        <v>213</v>
      </c>
      <c r="F141" s="29" t="b">
        <v>1</v>
      </c>
      <c r="G141" s="49"/>
      <c r="H141" s="49"/>
      <c r="I141" s="33"/>
      <c r="J141" s="33"/>
      <c r="K141" s="37" t="s">
        <v>298</v>
      </c>
      <c r="L141" s="37" t="s">
        <v>1693</v>
      </c>
      <c r="M141" s="37" t="s">
        <v>818</v>
      </c>
      <c r="N141" s="37" t="s">
        <v>1673</v>
      </c>
      <c r="O141" s="37" t="s">
        <v>837</v>
      </c>
      <c r="P141" s="37" t="s">
        <v>1099</v>
      </c>
      <c r="Q141" s="41">
        <v>46082.0</v>
      </c>
      <c r="R141" s="42">
        <v>0.0</v>
      </c>
      <c r="S141" s="55"/>
      <c r="T141" s="37" t="s">
        <v>1586</v>
      </c>
      <c r="U141" s="57" t="str">
        <f>IF(records_2[Type]="Room",records_2[roomNo],records_2[roomNo]&amp;"-"&amp;SUBSTITUTE(RIGHT(records_2[roomNo]&amp;records_2[Type],2),"-",""))</f>
        <v>12-1-064</v>
      </c>
      <c r="V141" s="59" t="str">
        <f t="array" ref="V141">_xlfn.XLOOKUP(records_2[ID], dAir[roomNo], dAir[roomName])</f>
        <v>WASHING</v>
      </c>
      <c r="W141" s="59" t="str">
        <f t="array" ref="W141">_xlfn.XLOOKUP(records_2[ID], dAir[roomNo], dAir[building])</f>
        <v>Building 12</v>
      </c>
      <c r="X141" s="59" t="str">
        <f t="array" ref="X141">_xlfn.XLOOKUP(records_2[ID], dAir[roomNo], dAir[floor])</f>
        <v>Floor 1</v>
      </c>
      <c r="Y141" s="57" t="str">
        <f t="array" ref="Y141">_xlfn.XLOOKUP(records_2[ID], dAir[roomNo], dAir[Class])</f>
        <v>D</v>
      </c>
      <c r="Z141" s="57">
        <f t="array" ref="Z141">_xlfn.XLOOKUP(records_2[Method]&amp;"-"&amp;records_2[Class], dAirSpec[ID], dAirSpec[Spec])</f>
        <v>100</v>
      </c>
      <c r="AA141" s="57" t="str">
        <f t="array" ref="AA141">_xlfn.XLOOKUP(records_2[Method]&amp;"-"&amp;records_2[Class], dAirSpec[ID], dAirSpec[Unit])</f>
        <v>cfu/plate</v>
      </c>
      <c r="AB141" s="62">
        <f t="array" ref="AB141">if(R141="","", if(records_2[Method]="Active Air",_xlfn.xlookup(records_2[ColonyCount]&amp;records_2[AirSampler],feller[code],feller[Vc]),records_2[ColonyCount]))</f>
        <v>0</v>
      </c>
      <c r="AC141" s="63" t="b">
        <f t="shared" si="1"/>
        <v>1</v>
      </c>
      <c r="AD141" s="61" t="b">
        <v>0</v>
      </c>
      <c r="AE141" s="32" t="s">
        <v>280</v>
      </c>
      <c r="AF141" s="46"/>
      <c r="AG141" s="46"/>
      <c r="AH141" s="46"/>
      <c r="AI141" s="46"/>
      <c r="AJ141" s="46"/>
    </row>
    <row r="142" ht="22.5" customHeight="1">
      <c r="A142" s="27">
        <v>46059.0</v>
      </c>
      <c r="B142" s="20" t="str">
        <f t="array" ref="B142">TEXT(A142, "MM-YYYY")</f>
        <v>02-2026</v>
      </c>
      <c r="C142" s="32" t="s">
        <v>796</v>
      </c>
      <c r="D142" s="36" t="s">
        <v>210</v>
      </c>
      <c r="E142" s="36" t="s">
        <v>213</v>
      </c>
      <c r="F142" s="29" t="b">
        <v>1</v>
      </c>
      <c r="G142" s="49"/>
      <c r="H142" s="49"/>
      <c r="I142" s="33"/>
      <c r="J142" s="33"/>
      <c r="K142" s="37" t="s">
        <v>339</v>
      </c>
      <c r="L142" s="37" t="s">
        <v>1721</v>
      </c>
      <c r="M142" s="37" t="s">
        <v>1722</v>
      </c>
      <c r="N142" s="37" t="s">
        <v>1673</v>
      </c>
      <c r="O142" s="37" t="s">
        <v>837</v>
      </c>
      <c r="P142" s="37" t="s">
        <v>1099</v>
      </c>
      <c r="Q142" s="41">
        <v>46082.0</v>
      </c>
      <c r="R142" s="42">
        <v>0.0</v>
      </c>
      <c r="S142" s="29" t="s">
        <v>1723</v>
      </c>
      <c r="T142" s="37" t="s">
        <v>1586</v>
      </c>
      <c r="U142" s="57" t="str">
        <f>IF(records_2[Type]="Room",records_2[roomNo],records_2[roomNo]&amp;"-"&amp;SUBSTITUTE(RIGHT(records_2[roomNo]&amp;records_2[Type],2),"-",""))</f>
        <v>12-1-065</v>
      </c>
      <c r="V142" s="59" t="str">
        <f t="array" ref="V142">_xlfn.XLOOKUP(records_2[ID], dAir[roomNo], dAir[roomName])</f>
        <v>BOTTLE CLEANING 1</v>
      </c>
      <c r="W142" s="59" t="str">
        <f t="array" ref="W142">_xlfn.XLOOKUP(records_2[ID], dAir[roomNo], dAir[building])</f>
        <v>Building 12</v>
      </c>
      <c r="X142" s="59" t="str">
        <f t="array" ref="X142">_xlfn.XLOOKUP(records_2[ID], dAir[roomNo], dAir[floor])</f>
        <v>Floor 1</v>
      </c>
      <c r="Y142" s="57" t="str">
        <f t="array" ref="Y142">_xlfn.XLOOKUP(records_2[ID], dAir[roomNo], dAir[Class])</f>
        <v>D</v>
      </c>
      <c r="Z142" s="57">
        <f t="array" ref="Z142">_xlfn.XLOOKUP(records_2[Method]&amp;"-"&amp;records_2[Class], dAirSpec[ID], dAirSpec[Spec])</f>
        <v>100</v>
      </c>
      <c r="AA142" s="57" t="str">
        <f t="array" ref="AA142">_xlfn.XLOOKUP(records_2[Method]&amp;"-"&amp;records_2[Class], dAirSpec[ID], dAirSpec[Unit])</f>
        <v>cfu/plate</v>
      </c>
      <c r="AB142" s="62">
        <f t="array" ref="AB142">if(R142="","", if(records_2[Method]="Active Air",_xlfn.xlookup(records_2[ColonyCount]&amp;records_2[AirSampler],feller[code],feller[Vc]),records_2[ColonyCount]))</f>
        <v>0</v>
      </c>
      <c r="AC142" s="63" t="b">
        <f t="shared" si="1"/>
        <v>1</v>
      </c>
      <c r="AD142" s="61" t="b">
        <v>0</v>
      </c>
      <c r="AE142" s="32" t="s">
        <v>280</v>
      </c>
      <c r="AF142" s="46"/>
      <c r="AG142" s="46"/>
      <c r="AH142" s="46"/>
      <c r="AI142" s="46"/>
      <c r="AJ142" s="46"/>
    </row>
    <row r="143" ht="22.5" customHeight="1">
      <c r="A143" s="27">
        <v>46059.0</v>
      </c>
      <c r="B143" s="20" t="str">
        <f t="array" ref="B143">TEXT(A143, "MM-YYYY")</f>
        <v>02-2026</v>
      </c>
      <c r="C143" s="32" t="s">
        <v>1385</v>
      </c>
      <c r="D143" s="36" t="s">
        <v>210</v>
      </c>
      <c r="E143" s="36" t="s">
        <v>213</v>
      </c>
      <c r="F143" s="29" t="b">
        <v>1</v>
      </c>
      <c r="G143" s="49"/>
      <c r="H143" s="49"/>
      <c r="I143" s="33"/>
      <c r="J143" s="33"/>
      <c r="K143" s="37" t="s">
        <v>310</v>
      </c>
      <c r="L143" s="37" t="s">
        <v>311</v>
      </c>
      <c r="M143" s="37" t="s">
        <v>1731</v>
      </c>
      <c r="N143" s="37" t="s">
        <v>1673</v>
      </c>
      <c r="O143" s="37" t="s">
        <v>837</v>
      </c>
      <c r="P143" s="37" t="s">
        <v>1099</v>
      </c>
      <c r="Q143" s="41">
        <v>46082.0</v>
      </c>
      <c r="R143" s="42">
        <v>0.0</v>
      </c>
      <c r="S143" s="55"/>
      <c r="T143" s="37" t="s">
        <v>1586</v>
      </c>
      <c r="U143" s="57" t="str">
        <f>IF(records_2[Type]="Room",records_2[roomNo],records_2[roomNo]&amp;"-"&amp;SUBSTITUTE(RIGHT(records_2[roomNo]&amp;records_2[Type],2),"-",""))</f>
        <v>12-1-066</v>
      </c>
      <c r="V143" s="59" t="str">
        <f t="array" ref="V143">_xlfn.XLOOKUP(records_2[ID], dAir[roomNo], dAir[roomName])</f>
        <v>CORRIDOR</v>
      </c>
      <c r="W143" s="59" t="str">
        <f t="array" ref="W143">_xlfn.XLOOKUP(records_2[ID], dAir[roomNo], dAir[building])</f>
        <v>Building 12</v>
      </c>
      <c r="X143" s="59" t="str">
        <f t="array" ref="X143">_xlfn.XLOOKUP(records_2[ID], dAir[roomNo], dAir[floor])</f>
        <v>Floor 1</v>
      </c>
      <c r="Y143" s="57" t="str">
        <f t="array" ref="Y143">_xlfn.XLOOKUP(records_2[ID], dAir[roomNo], dAir[Class])</f>
        <v>D</v>
      </c>
      <c r="Z143" s="57">
        <f t="array" ref="Z143">_xlfn.XLOOKUP(records_2[Method]&amp;"-"&amp;records_2[Class], dAirSpec[ID], dAirSpec[Spec])</f>
        <v>100</v>
      </c>
      <c r="AA143" s="57" t="str">
        <f t="array" ref="AA143">_xlfn.XLOOKUP(records_2[Method]&amp;"-"&amp;records_2[Class], dAirSpec[ID], dAirSpec[Unit])</f>
        <v>cfu/plate</v>
      </c>
      <c r="AB143" s="62">
        <f t="array" ref="AB143">if(R143="","", if(records_2[Method]="Active Air",_xlfn.xlookup(records_2[ColonyCount]&amp;records_2[AirSampler],feller[code],feller[Vc]),records_2[ColonyCount]))</f>
        <v>0</v>
      </c>
      <c r="AC143" s="63" t="b">
        <f t="shared" si="1"/>
        <v>1</v>
      </c>
      <c r="AD143" s="61" t="b">
        <v>0</v>
      </c>
      <c r="AE143" s="32" t="s">
        <v>280</v>
      </c>
      <c r="AF143" s="46"/>
      <c r="AG143" s="46"/>
      <c r="AH143" s="46"/>
      <c r="AI143" s="46"/>
      <c r="AJ143" s="46"/>
    </row>
    <row r="144" ht="22.5" customHeight="1">
      <c r="A144" s="27">
        <v>46059.0</v>
      </c>
      <c r="B144" s="20" t="str">
        <f t="array" ref="B144">TEXT(A144, "MM-YYYY")</f>
        <v>02-2026</v>
      </c>
      <c r="C144" s="32" t="s">
        <v>1386</v>
      </c>
      <c r="D144" s="36" t="s">
        <v>210</v>
      </c>
      <c r="E144" s="36" t="s">
        <v>213</v>
      </c>
      <c r="F144" s="29" t="b">
        <v>1</v>
      </c>
      <c r="G144" s="49"/>
      <c r="H144" s="49"/>
      <c r="I144" s="33"/>
      <c r="J144" s="33"/>
      <c r="K144" s="37" t="s">
        <v>339</v>
      </c>
      <c r="L144" s="37" t="s">
        <v>1743</v>
      </c>
      <c r="M144" s="37" t="s">
        <v>1744</v>
      </c>
      <c r="N144" s="37" t="s">
        <v>1745</v>
      </c>
      <c r="O144" s="37" t="s">
        <v>837</v>
      </c>
      <c r="P144" s="37" t="s">
        <v>1099</v>
      </c>
      <c r="Q144" s="41">
        <v>46082.0</v>
      </c>
      <c r="R144" s="42">
        <v>0.0</v>
      </c>
      <c r="S144" s="29" t="s">
        <v>1723</v>
      </c>
      <c r="T144" s="37" t="s">
        <v>1586</v>
      </c>
      <c r="U144" s="57" t="str">
        <f>IF(records_2[Type]="Room",records_2[roomNo],records_2[roomNo]&amp;"-"&amp;SUBSTITUTE(RIGHT(records_2[roomNo]&amp;records_2[Type],2),"-",""))</f>
        <v>12-1-067</v>
      </c>
      <c r="V144" s="59" t="str">
        <f t="array" ref="V144">_xlfn.XLOOKUP(records_2[ID], dAir[roomNo], dAir[roomName])</f>
        <v>FILLING LINE 1</v>
      </c>
      <c r="W144" s="59" t="str">
        <f t="array" ref="W144">_xlfn.XLOOKUP(records_2[ID], dAir[roomNo], dAir[building])</f>
        <v>Building 12</v>
      </c>
      <c r="X144" s="59" t="str">
        <f t="array" ref="X144">_xlfn.XLOOKUP(records_2[ID], dAir[roomNo], dAir[floor])</f>
        <v>Floor 1</v>
      </c>
      <c r="Y144" s="57" t="str">
        <f t="array" ref="Y144">_xlfn.XLOOKUP(records_2[ID], dAir[roomNo], dAir[Class])</f>
        <v>D</v>
      </c>
      <c r="Z144" s="57">
        <f t="array" ref="Z144">_xlfn.XLOOKUP(records_2[Method]&amp;"-"&amp;records_2[Class], dAirSpec[ID], dAirSpec[Spec])</f>
        <v>100</v>
      </c>
      <c r="AA144" s="57" t="str">
        <f t="array" ref="AA144">_xlfn.XLOOKUP(records_2[Method]&amp;"-"&amp;records_2[Class], dAirSpec[ID], dAirSpec[Unit])</f>
        <v>cfu/plate</v>
      </c>
      <c r="AB144" s="62">
        <f t="array" ref="AB144">if(R144="","", if(records_2[Method]="Active Air",_xlfn.xlookup(records_2[ColonyCount]&amp;records_2[AirSampler],feller[code],feller[Vc]),records_2[ColonyCount]))</f>
        <v>0</v>
      </c>
      <c r="AC144" s="63" t="b">
        <f t="shared" si="1"/>
        <v>1</v>
      </c>
      <c r="AD144" s="61" t="b">
        <v>0</v>
      </c>
      <c r="AE144" s="32" t="s">
        <v>280</v>
      </c>
      <c r="AF144" s="46"/>
      <c r="AG144" s="46"/>
      <c r="AH144" s="46"/>
      <c r="AI144" s="46"/>
      <c r="AJ144" s="46"/>
    </row>
    <row r="145" ht="22.5" customHeight="1">
      <c r="A145" s="27">
        <v>46059.0</v>
      </c>
      <c r="B145" s="20" t="str">
        <f t="array" ref="B145">TEXT(A145, "MM-YYYY")</f>
        <v>02-2026</v>
      </c>
      <c r="C145" s="32" t="s">
        <v>1388</v>
      </c>
      <c r="D145" s="36" t="s">
        <v>210</v>
      </c>
      <c r="E145" s="36" t="s">
        <v>213</v>
      </c>
      <c r="F145" s="29" t="b">
        <v>1</v>
      </c>
      <c r="G145" s="49"/>
      <c r="H145" s="49"/>
      <c r="I145" s="33"/>
      <c r="J145" s="33"/>
      <c r="K145" s="37" t="s">
        <v>546</v>
      </c>
      <c r="L145" s="37" t="s">
        <v>1754</v>
      </c>
      <c r="M145" s="37" t="s">
        <v>1755</v>
      </c>
      <c r="N145" s="37" t="s">
        <v>1745</v>
      </c>
      <c r="O145" s="37" t="s">
        <v>837</v>
      </c>
      <c r="P145" s="37" t="s">
        <v>1099</v>
      </c>
      <c r="Q145" s="41">
        <v>46082.0</v>
      </c>
      <c r="R145" s="42">
        <v>0.0</v>
      </c>
      <c r="S145" s="29" t="s">
        <v>1723</v>
      </c>
      <c r="T145" s="37" t="s">
        <v>1586</v>
      </c>
      <c r="U145" s="57" t="str">
        <f>IF(records_2[Type]="Room",records_2[roomNo],records_2[roomNo]&amp;"-"&amp;SUBSTITUTE(RIGHT(records_2[roomNo]&amp;records_2[Type],2),"-",""))</f>
        <v>12-1-068</v>
      </c>
      <c r="V145" s="59" t="str">
        <f t="array" ref="V145">_xlfn.XLOOKUP(records_2[ID], dAir[roomNo], dAir[roomName])</f>
        <v>FILLING LINE 2</v>
      </c>
      <c r="W145" s="59" t="str">
        <f t="array" ref="W145">_xlfn.XLOOKUP(records_2[ID], dAir[roomNo], dAir[building])</f>
        <v>Building 12</v>
      </c>
      <c r="X145" s="59" t="str">
        <f t="array" ref="X145">_xlfn.XLOOKUP(records_2[ID], dAir[roomNo], dAir[floor])</f>
        <v>Floor 1</v>
      </c>
      <c r="Y145" s="57" t="str">
        <f t="array" ref="Y145">_xlfn.XLOOKUP(records_2[ID], dAir[roomNo], dAir[Class])</f>
        <v>D</v>
      </c>
      <c r="Z145" s="57">
        <f t="array" ref="Z145">_xlfn.XLOOKUP(records_2[Method]&amp;"-"&amp;records_2[Class], dAirSpec[ID], dAirSpec[Spec])</f>
        <v>100</v>
      </c>
      <c r="AA145" s="57" t="str">
        <f t="array" ref="AA145">_xlfn.XLOOKUP(records_2[Method]&amp;"-"&amp;records_2[Class], dAirSpec[ID], dAirSpec[Unit])</f>
        <v>cfu/plate</v>
      </c>
      <c r="AB145" s="62">
        <f t="array" ref="AB145">if(R145="","", if(records_2[Method]="Active Air",_xlfn.xlookup(records_2[ColonyCount]&amp;records_2[AirSampler],feller[code],feller[Vc]),records_2[ColonyCount]))</f>
        <v>0</v>
      </c>
      <c r="AC145" s="63" t="b">
        <f t="shared" si="1"/>
        <v>1</v>
      </c>
      <c r="AD145" s="61" t="b">
        <v>0</v>
      </c>
      <c r="AE145" s="32" t="s">
        <v>280</v>
      </c>
      <c r="AF145" s="46"/>
      <c r="AG145" s="46"/>
      <c r="AH145" s="46"/>
      <c r="AI145" s="46"/>
      <c r="AJ145" s="46"/>
    </row>
    <row r="146" ht="22.5" customHeight="1">
      <c r="A146" s="27">
        <v>46059.0</v>
      </c>
      <c r="B146" s="20" t="str">
        <f t="array" ref="B146">TEXT(A146, "MM-YYYY")</f>
        <v>02-2026</v>
      </c>
      <c r="C146" s="32" t="s">
        <v>804</v>
      </c>
      <c r="D146" s="36" t="s">
        <v>210</v>
      </c>
      <c r="E146" s="36" t="s">
        <v>213</v>
      </c>
      <c r="F146" s="29" t="b">
        <v>1</v>
      </c>
      <c r="G146" s="49"/>
      <c r="H146" s="49"/>
      <c r="I146" s="33"/>
      <c r="J146" s="33"/>
      <c r="K146" s="37" t="s">
        <v>317</v>
      </c>
      <c r="L146" s="37" t="s">
        <v>1743</v>
      </c>
      <c r="M146" s="37" t="s">
        <v>1767</v>
      </c>
      <c r="N146" s="37" t="s">
        <v>1745</v>
      </c>
      <c r="O146" s="37" t="s">
        <v>837</v>
      </c>
      <c r="P146" s="37" t="s">
        <v>1099</v>
      </c>
      <c r="Q146" s="41">
        <v>46082.0</v>
      </c>
      <c r="R146" s="42">
        <v>0.0</v>
      </c>
      <c r="S146" s="29" t="s">
        <v>1723</v>
      </c>
      <c r="T146" s="37" t="s">
        <v>1586</v>
      </c>
      <c r="U146" s="57" t="str">
        <f>IF(records_2[Type]="Room",records_2[roomNo],records_2[roomNo]&amp;"-"&amp;SUBSTITUTE(RIGHT(records_2[roomNo]&amp;records_2[Type],2),"-",""))</f>
        <v>12-1-069</v>
      </c>
      <c r="V146" s="59" t="str">
        <f t="array" ref="V146">_xlfn.XLOOKUP(records_2[ID], dAir[roomNo], dAir[roomName])</f>
        <v>BOTTLE CLEANING 2</v>
      </c>
      <c r="W146" s="59" t="str">
        <f t="array" ref="W146">_xlfn.XLOOKUP(records_2[ID], dAir[roomNo], dAir[building])</f>
        <v>Building 12</v>
      </c>
      <c r="X146" s="59" t="str">
        <f t="array" ref="X146">_xlfn.XLOOKUP(records_2[ID], dAir[roomNo], dAir[floor])</f>
        <v>Floor 1</v>
      </c>
      <c r="Y146" s="57" t="str">
        <f t="array" ref="Y146">_xlfn.XLOOKUP(records_2[ID], dAir[roomNo], dAir[Class])</f>
        <v>D</v>
      </c>
      <c r="Z146" s="57">
        <f t="array" ref="Z146">_xlfn.XLOOKUP(records_2[Method]&amp;"-"&amp;records_2[Class], dAirSpec[ID], dAirSpec[Spec])</f>
        <v>100</v>
      </c>
      <c r="AA146" s="57" t="str">
        <f t="array" ref="AA146">_xlfn.XLOOKUP(records_2[Method]&amp;"-"&amp;records_2[Class], dAirSpec[ID], dAirSpec[Unit])</f>
        <v>cfu/plate</v>
      </c>
      <c r="AB146" s="62">
        <f t="array" ref="AB146">if(R146="","", if(records_2[Method]="Active Air",_xlfn.xlookup(records_2[ColonyCount]&amp;records_2[AirSampler],feller[code],feller[Vc]),records_2[ColonyCount]))</f>
        <v>0</v>
      </c>
      <c r="AC146" s="63" t="b">
        <f t="shared" si="1"/>
        <v>1</v>
      </c>
      <c r="AD146" s="61" t="b">
        <v>0</v>
      </c>
      <c r="AE146" s="32" t="s">
        <v>280</v>
      </c>
      <c r="AF146" s="46"/>
      <c r="AG146" s="46"/>
      <c r="AH146" s="46"/>
      <c r="AI146" s="46"/>
      <c r="AJ146" s="46"/>
    </row>
    <row r="147" ht="22.5" customHeight="1">
      <c r="A147" s="27">
        <v>46059.0</v>
      </c>
      <c r="B147" s="20" t="str">
        <f t="array" ref="B147">TEXT(A147, "MM-YYYY")</f>
        <v>02-2026</v>
      </c>
      <c r="C147" s="32" t="s">
        <v>812</v>
      </c>
      <c r="D147" s="36" t="s">
        <v>210</v>
      </c>
      <c r="E147" s="36" t="s">
        <v>213</v>
      </c>
      <c r="F147" s="29" t="b">
        <v>1</v>
      </c>
      <c r="G147" s="49"/>
      <c r="H147" s="49"/>
      <c r="I147" s="33"/>
      <c r="J147" s="33"/>
      <c r="K147" s="51" t="s">
        <v>194</v>
      </c>
      <c r="L147" s="51" t="s">
        <v>194</v>
      </c>
      <c r="M147" s="37" t="s">
        <v>1773</v>
      </c>
      <c r="N147" s="37" t="s">
        <v>1745</v>
      </c>
      <c r="O147" s="37" t="s">
        <v>837</v>
      </c>
      <c r="P147" s="37" t="s">
        <v>1099</v>
      </c>
      <c r="Q147" s="41">
        <v>46082.0</v>
      </c>
      <c r="R147" s="42">
        <v>1.0</v>
      </c>
      <c r="S147" s="29" t="s">
        <v>1723</v>
      </c>
      <c r="T147" s="37" t="s">
        <v>1586</v>
      </c>
      <c r="U147" s="57" t="str">
        <f>IF(records_2[Type]="Room",records_2[roomNo],records_2[roomNo]&amp;"-"&amp;SUBSTITUTE(RIGHT(records_2[roomNo]&amp;records_2[Type],2),"-",""))</f>
        <v>12-1-070</v>
      </c>
      <c r="V147" s="59" t="str">
        <f t="array" ref="V147">_xlfn.XLOOKUP(records_2[ID], dAir[roomNo], dAir[roomName])</f>
        <v>BOTTLE CLEANING 3</v>
      </c>
      <c r="W147" s="59" t="str">
        <f t="array" ref="W147">_xlfn.XLOOKUP(records_2[ID], dAir[roomNo], dAir[building])</f>
        <v>Building 12</v>
      </c>
      <c r="X147" s="59" t="str">
        <f t="array" ref="X147">_xlfn.XLOOKUP(records_2[ID], dAir[roomNo], dAir[floor])</f>
        <v>Floor 1</v>
      </c>
      <c r="Y147" s="57" t="str">
        <f t="array" ref="Y147">_xlfn.XLOOKUP(records_2[ID], dAir[roomNo], dAir[Class])</f>
        <v>D</v>
      </c>
      <c r="Z147" s="57">
        <f t="array" ref="Z147">_xlfn.XLOOKUP(records_2[Method]&amp;"-"&amp;records_2[Class], dAirSpec[ID], dAirSpec[Spec])</f>
        <v>100</v>
      </c>
      <c r="AA147" s="57" t="str">
        <f t="array" ref="AA147">_xlfn.XLOOKUP(records_2[Method]&amp;"-"&amp;records_2[Class], dAirSpec[ID], dAirSpec[Unit])</f>
        <v>cfu/plate</v>
      </c>
      <c r="AB147" s="62">
        <f t="array" ref="AB147">if(R147="","", if(records_2[Method]="Active Air",_xlfn.xlookup(records_2[ColonyCount]&amp;records_2[AirSampler],feller[code],feller[Vc]),records_2[ColonyCount]))</f>
        <v>1</v>
      </c>
      <c r="AC147" s="63" t="b">
        <f t="shared" si="1"/>
        <v>1</v>
      </c>
      <c r="AD147" s="61" t="b">
        <v>0</v>
      </c>
      <c r="AE147" s="32" t="s">
        <v>280</v>
      </c>
      <c r="AF147" s="46"/>
      <c r="AG147" s="46"/>
      <c r="AH147" s="46"/>
      <c r="AI147" s="46"/>
      <c r="AJ147" s="46"/>
    </row>
    <row r="148" ht="22.5" customHeight="1">
      <c r="A148" s="27">
        <v>46059.0</v>
      </c>
      <c r="B148" s="20" t="str">
        <f t="array" ref="B148">TEXT(A148, "MM-YYYY")</f>
        <v>02-2026</v>
      </c>
      <c r="C148" s="32" t="s">
        <v>1390</v>
      </c>
      <c r="D148" s="36" t="s">
        <v>210</v>
      </c>
      <c r="E148" s="36" t="s">
        <v>213</v>
      </c>
      <c r="F148" s="29" t="b">
        <v>1</v>
      </c>
      <c r="G148" s="49"/>
      <c r="H148" s="49"/>
      <c r="I148" s="33"/>
      <c r="J148" s="33"/>
      <c r="K148" s="37" t="s">
        <v>638</v>
      </c>
      <c r="L148" s="37" t="s">
        <v>354</v>
      </c>
      <c r="M148" s="37" t="s">
        <v>1776</v>
      </c>
      <c r="N148" s="37" t="s">
        <v>1745</v>
      </c>
      <c r="O148" s="37" t="s">
        <v>837</v>
      </c>
      <c r="P148" s="37" t="s">
        <v>1099</v>
      </c>
      <c r="Q148" s="41">
        <v>46082.0</v>
      </c>
      <c r="R148" s="42">
        <v>0.0</v>
      </c>
      <c r="S148" s="55"/>
      <c r="T148" s="37" t="s">
        <v>1586</v>
      </c>
      <c r="U148" s="57" t="str">
        <f>IF(records_2[Type]="Room",records_2[roomNo],records_2[roomNo]&amp;"-"&amp;SUBSTITUTE(RIGHT(records_2[roomNo]&amp;records_2[Type],2),"-",""))</f>
        <v>12-1-071</v>
      </c>
      <c r="V148" s="59" t="str">
        <f t="array" ref="V148">_xlfn.XLOOKUP(records_2[ID], dAir[roomNo], dAir[roomName])</f>
        <v>CORRIDOR</v>
      </c>
      <c r="W148" s="59" t="str">
        <f t="array" ref="W148">_xlfn.XLOOKUP(records_2[ID], dAir[roomNo], dAir[building])</f>
        <v>Building 12</v>
      </c>
      <c r="X148" s="59" t="str">
        <f t="array" ref="X148">_xlfn.XLOOKUP(records_2[ID], dAir[roomNo], dAir[floor])</f>
        <v>Floor 1</v>
      </c>
      <c r="Y148" s="57" t="str">
        <f t="array" ref="Y148">_xlfn.XLOOKUP(records_2[ID], dAir[roomNo], dAir[Class])</f>
        <v>D</v>
      </c>
      <c r="Z148" s="57">
        <f t="array" ref="Z148">_xlfn.XLOOKUP(records_2[Method]&amp;"-"&amp;records_2[Class], dAirSpec[ID], dAirSpec[Spec])</f>
        <v>100</v>
      </c>
      <c r="AA148" s="57" t="str">
        <f t="array" ref="AA148">_xlfn.XLOOKUP(records_2[Method]&amp;"-"&amp;records_2[Class], dAirSpec[ID], dAirSpec[Unit])</f>
        <v>cfu/plate</v>
      </c>
      <c r="AB148" s="62">
        <f t="array" ref="AB148">if(R148="","", if(records_2[Method]="Active Air",_xlfn.xlookup(records_2[ColonyCount]&amp;records_2[AirSampler],feller[code],feller[Vc]),records_2[ColonyCount]))</f>
        <v>0</v>
      </c>
      <c r="AC148" s="63" t="b">
        <f t="shared" si="1"/>
        <v>1</v>
      </c>
      <c r="AD148" s="61" t="b">
        <v>0</v>
      </c>
      <c r="AE148" s="32" t="s">
        <v>280</v>
      </c>
      <c r="AF148" s="46"/>
      <c r="AG148" s="46"/>
      <c r="AH148" s="46"/>
      <c r="AI148" s="46"/>
      <c r="AJ148" s="46"/>
    </row>
    <row r="149" ht="22.5" customHeight="1">
      <c r="A149" s="27">
        <v>46059.0</v>
      </c>
      <c r="B149" s="20" t="str">
        <f t="array" ref="B149">TEXT(A149, "MM-YYYY")</f>
        <v>02-2026</v>
      </c>
      <c r="C149" s="32" t="s">
        <v>1391</v>
      </c>
      <c r="D149" s="36" t="s">
        <v>210</v>
      </c>
      <c r="E149" s="36" t="s">
        <v>213</v>
      </c>
      <c r="F149" s="29" t="b">
        <v>1</v>
      </c>
      <c r="G149" s="49"/>
      <c r="H149" s="49"/>
      <c r="I149" s="33"/>
      <c r="J149" s="33"/>
      <c r="K149" s="37" t="s">
        <v>353</v>
      </c>
      <c r="L149" s="37" t="s">
        <v>767</v>
      </c>
      <c r="M149" s="37" t="s">
        <v>1773</v>
      </c>
      <c r="N149" s="37" t="s">
        <v>1745</v>
      </c>
      <c r="O149" s="37" t="s">
        <v>837</v>
      </c>
      <c r="P149" s="37" t="s">
        <v>1099</v>
      </c>
      <c r="Q149" s="41">
        <v>46082.0</v>
      </c>
      <c r="R149" s="42">
        <v>0.0</v>
      </c>
      <c r="S149" s="29" t="s">
        <v>1723</v>
      </c>
      <c r="T149" s="37" t="s">
        <v>1586</v>
      </c>
      <c r="U149" s="57" t="str">
        <f>IF(records_2[Type]="Room",records_2[roomNo],records_2[roomNo]&amp;"-"&amp;SUBSTITUTE(RIGHT(records_2[roomNo]&amp;records_2[Type],2),"-",""))</f>
        <v>12-1-072</v>
      </c>
      <c r="V149" s="59" t="str">
        <f t="array" ref="V149">_xlfn.XLOOKUP(records_2[ID], dAir[roomNo], dAir[roomName])</f>
        <v>FILLING LINE 3</v>
      </c>
      <c r="W149" s="59" t="str">
        <f t="array" ref="W149">_xlfn.XLOOKUP(records_2[ID], dAir[roomNo], dAir[building])</f>
        <v>Building 12</v>
      </c>
      <c r="X149" s="59" t="str">
        <f t="array" ref="X149">_xlfn.XLOOKUP(records_2[ID], dAir[roomNo], dAir[floor])</f>
        <v>Floor 1</v>
      </c>
      <c r="Y149" s="57" t="str">
        <f t="array" ref="Y149">_xlfn.XLOOKUP(records_2[ID], dAir[roomNo], dAir[Class])</f>
        <v>D</v>
      </c>
      <c r="Z149" s="57">
        <f t="array" ref="Z149">_xlfn.XLOOKUP(records_2[Method]&amp;"-"&amp;records_2[Class], dAirSpec[ID], dAirSpec[Spec])</f>
        <v>100</v>
      </c>
      <c r="AA149" s="57" t="str">
        <f t="array" ref="AA149">_xlfn.XLOOKUP(records_2[Method]&amp;"-"&amp;records_2[Class], dAirSpec[ID], dAirSpec[Unit])</f>
        <v>cfu/plate</v>
      </c>
      <c r="AB149" s="62">
        <f t="array" ref="AB149">if(R149="","", if(records_2[Method]="Active Air",_xlfn.xlookup(records_2[ColonyCount]&amp;records_2[AirSampler],feller[code],feller[Vc]),records_2[ColonyCount]))</f>
        <v>0</v>
      </c>
      <c r="AC149" s="63" t="b">
        <f t="shared" si="1"/>
        <v>1</v>
      </c>
      <c r="AD149" s="61" t="b">
        <v>0</v>
      </c>
      <c r="AE149" s="32" t="s">
        <v>280</v>
      </c>
      <c r="AF149" s="46"/>
      <c r="AG149" s="46"/>
      <c r="AH149" s="46"/>
      <c r="AI149" s="46"/>
      <c r="AJ149" s="46"/>
    </row>
    <row r="150" ht="22.5" customHeight="1">
      <c r="A150" s="27">
        <v>46059.0</v>
      </c>
      <c r="B150" s="20" t="str">
        <f t="array" ref="B150">TEXT(A150, "MM-YYYY")</f>
        <v>02-2026</v>
      </c>
      <c r="C150" s="32" t="s">
        <v>1393</v>
      </c>
      <c r="D150" s="36" t="s">
        <v>210</v>
      </c>
      <c r="E150" s="36" t="s">
        <v>213</v>
      </c>
      <c r="F150" s="29" t="b">
        <v>1</v>
      </c>
      <c r="G150" s="49"/>
      <c r="H150" s="49"/>
      <c r="I150" s="33"/>
      <c r="J150" s="33"/>
      <c r="K150" s="37" t="s">
        <v>435</v>
      </c>
      <c r="L150" s="37" t="s">
        <v>540</v>
      </c>
      <c r="M150" s="37" t="s">
        <v>909</v>
      </c>
      <c r="N150" s="37" t="s">
        <v>1781</v>
      </c>
      <c r="O150" s="37" t="s">
        <v>837</v>
      </c>
      <c r="P150" s="37" t="s">
        <v>1099</v>
      </c>
      <c r="Q150" s="41">
        <v>46082.0</v>
      </c>
      <c r="R150" s="42">
        <v>0.0</v>
      </c>
      <c r="S150" s="29" t="s">
        <v>1723</v>
      </c>
      <c r="T150" s="37" t="s">
        <v>1586</v>
      </c>
      <c r="U150" s="57" t="str">
        <f>IF(records_2[Type]="Room",records_2[roomNo],records_2[roomNo]&amp;"-"&amp;SUBSTITUTE(RIGHT(records_2[roomNo]&amp;records_2[Type],2),"-",""))</f>
        <v>12-1-073</v>
      </c>
      <c r="V150" s="59" t="str">
        <f t="array" ref="V150">_xlfn.XLOOKUP(records_2[ID], dAir[roomNo], dAir[roomName])</f>
        <v>FILLING LINE 4</v>
      </c>
      <c r="W150" s="59" t="str">
        <f t="array" ref="W150">_xlfn.XLOOKUP(records_2[ID], dAir[roomNo], dAir[building])</f>
        <v>Building 12</v>
      </c>
      <c r="X150" s="59" t="str">
        <f t="array" ref="X150">_xlfn.XLOOKUP(records_2[ID], dAir[roomNo], dAir[floor])</f>
        <v>Floor 1</v>
      </c>
      <c r="Y150" s="57" t="str">
        <f t="array" ref="Y150">_xlfn.XLOOKUP(records_2[ID], dAir[roomNo], dAir[Class])</f>
        <v>D</v>
      </c>
      <c r="Z150" s="57">
        <f t="array" ref="Z150">_xlfn.XLOOKUP(records_2[Method]&amp;"-"&amp;records_2[Class], dAirSpec[ID], dAirSpec[Spec])</f>
        <v>100</v>
      </c>
      <c r="AA150" s="57" t="str">
        <f t="array" ref="AA150">_xlfn.XLOOKUP(records_2[Method]&amp;"-"&amp;records_2[Class], dAirSpec[ID], dAirSpec[Unit])</f>
        <v>cfu/plate</v>
      </c>
      <c r="AB150" s="62">
        <f t="array" ref="AB150">if(R150="","", if(records_2[Method]="Active Air",_xlfn.xlookup(records_2[ColonyCount]&amp;records_2[AirSampler],feller[code],feller[Vc]),records_2[ColonyCount]))</f>
        <v>0</v>
      </c>
      <c r="AC150" s="63" t="b">
        <f t="shared" si="1"/>
        <v>1</v>
      </c>
      <c r="AD150" s="61" t="b">
        <v>0</v>
      </c>
      <c r="AE150" s="32" t="s">
        <v>280</v>
      </c>
      <c r="AF150" s="46"/>
      <c r="AG150" s="46"/>
      <c r="AH150" s="46"/>
      <c r="AI150" s="46"/>
      <c r="AJ150" s="46"/>
    </row>
    <row r="151" ht="22.5" customHeight="1">
      <c r="A151" s="27">
        <v>46059.0</v>
      </c>
      <c r="B151" s="20" t="str">
        <f t="array" ref="B151">TEXT(A151, "MM-YYYY")</f>
        <v>02-2026</v>
      </c>
      <c r="C151" s="32" t="s">
        <v>815</v>
      </c>
      <c r="D151" s="36" t="s">
        <v>210</v>
      </c>
      <c r="E151" s="36" t="s">
        <v>213</v>
      </c>
      <c r="F151" s="29" t="b">
        <v>1</v>
      </c>
      <c r="G151" s="49"/>
      <c r="H151" s="49"/>
      <c r="I151" s="33"/>
      <c r="J151" s="33"/>
      <c r="K151" s="37" t="s">
        <v>292</v>
      </c>
      <c r="L151" s="37" t="s">
        <v>1126</v>
      </c>
      <c r="M151" s="37" t="s">
        <v>827</v>
      </c>
      <c r="N151" s="37" t="s">
        <v>1781</v>
      </c>
      <c r="O151" s="37" t="s">
        <v>837</v>
      </c>
      <c r="P151" s="37" t="s">
        <v>1099</v>
      </c>
      <c r="Q151" s="41">
        <v>46082.0</v>
      </c>
      <c r="R151" s="42">
        <v>0.0</v>
      </c>
      <c r="S151" s="29" t="s">
        <v>1723</v>
      </c>
      <c r="T151" s="37" t="s">
        <v>1586</v>
      </c>
      <c r="U151" s="57" t="str">
        <f>IF(records_2[Type]="Room",records_2[roomNo],records_2[roomNo]&amp;"-"&amp;SUBSTITUTE(RIGHT(records_2[roomNo]&amp;records_2[Type],2),"-",""))</f>
        <v>12-1-074</v>
      </c>
      <c r="V151" s="59" t="str">
        <f t="array" ref="V151">_xlfn.XLOOKUP(records_2[ID], dAir[roomNo], dAir[roomName])</f>
        <v>BOTTLE CLEANING 4</v>
      </c>
      <c r="W151" s="59" t="str">
        <f t="array" ref="W151">_xlfn.XLOOKUP(records_2[ID], dAir[roomNo], dAir[building])</f>
        <v>Building 12</v>
      </c>
      <c r="X151" s="59" t="str">
        <f t="array" ref="X151">_xlfn.XLOOKUP(records_2[ID], dAir[roomNo], dAir[floor])</f>
        <v>Floor 1</v>
      </c>
      <c r="Y151" s="57" t="str">
        <f t="array" ref="Y151">_xlfn.XLOOKUP(records_2[ID], dAir[roomNo], dAir[Class])</f>
        <v>D</v>
      </c>
      <c r="Z151" s="57">
        <f t="array" ref="Z151">_xlfn.XLOOKUP(records_2[Method]&amp;"-"&amp;records_2[Class], dAirSpec[ID], dAirSpec[Spec])</f>
        <v>100</v>
      </c>
      <c r="AA151" s="57" t="str">
        <f t="array" ref="AA151">_xlfn.XLOOKUP(records_2[Method]&amp;"-"&amp;records_2[Class], dAirSpec[ID], dAirSpec[Unit])</f>
        <v>cfu/plate</v>
      </c>
      <c r="AB151" s="62">
        <f t="array" ref="AB151">if(R151="","", if(records_2[Method]="Active Air",_xlfn.xlookup(records_2[ColonyCount]&amp;records_2[AirSampler],feller[code],feller[Vc]),records_2[ColonyCount]))</f>
        <v>0</v>
      </c>
      <c r="AC151" s="63" t="b">
        <f t="shared" si="1"/>
        <v>1</v>
      </c>
      <c r="AD151" s="61" t="b">
        <v>0</v>
      </c>
      <c r="AE151" s="32" t="s">
        <v>280</v>
      </c>
      <c r="AF151" s="46"/>
      <c r="AG151" s="46"/>
      <c r="AH151" s="46"/>
      <c r="AI151" s="46"/>
      <c r="AJ151" s="46"/>
    </row>
    <row r="152" ht="22.5" customHeight="1">
      <c r="A152" s="27">
        <v>46059.0</v>
      </c>
      <c r="B152" s="34" t="str">
        <f t="array" ref="B152">TEXT(A152, "MM-YYYY")</f>
        <v>02-2026</v>
      </c>
      <c r="C152" s="39" t="s">
        <v>1395</v>
      </c>
      <c r="D152" s="36" t="s">
        <v>210</v>
      </c>
      <c r="E152" s="36" t="s">
        <v>213</v>
      </c>
      <c r="F152" s="29" t="b">
        <v>1</v>
      </c>
      <c r="G152" s="49"/>
      <c r="H152" s="49"/>
      <c r="I152" s="33"/>
      <c r="J152" s="33"/>
      <c r="K152" s="37" t="s">
        <v>317</v>
      </c>
      <c r="L152" s="37" t="s">
        <v>532</v>
      </c>
      <c r="M152" s="37" t="s">
        <v>1784</v>
      </c>
      <c r="N152" s="37" t="s">
        <v>1781</v>
      </c>
      <c r="O152" s="37" t="s">
        <v>837</v>
      </c>
      <c r="P152" s="37" t="s">
        <v>1099</v>
      </c>
      <c r="Q152" s="41">
        <v>46082.0</v>
      </c>
      <c r="R152" s="42">
        <v>1.0</v>
      </c>
      <c r="S152" s="55"/>
      <c r="T152" s="37" t="s">
        <v>1586</v>
      </c>
      <c r="U152" s="57" t="str">
        <f>IF(records_2[Type]="Room",records_2[roomNo],records_2[roomNo]&amp;"-"&amp;SUBSTITUTE(RIGHT(records_2[roomNo]&amp;records_2[Type],2),"-",""))</f>
        <v>12-1-076</v>
      </c>
      <c r="V152" s="59" t="str">
        <f t="array" ref="V152">_xlfn.XLOOKUP(records_2[ID], dAir[roomNo], dAir[roomName])</f>
        <v>PAL</v>
      </c>
      <c r="W152" s="59" t="str">
        <f t="array" ref="W152">_xlfn.XLOOKUP(records_2[ID], dAir[roomNo], dAir[building])</f>
        <v>Building 12</v>
      </c>
      <c r="X152" s="59" t="str">
        <f t="array" ref="X152">_xlfn.XLOOKUP(records_2[ID], dAir[roomNo], dAir[floor])</f>
        <v>Floor 1</v>
      </c>
      <c r="Y152" s="57" t="str">
        <f t="array" ref="Y152">_xlfn.XLOOKUP(records_2[ID], dAir[roomNo], dAir[Class])</f>
        <v>D</v>
      </c>
      <c r="Z152" s="57">
        <f t="array" ref="Z152">_xlfn.XLOOKUP(records_2[Method]&amp;"-"&amp;records_2[Class], dAirSpec[ID], dAirSpec[Spec])</f>
        <v>100</v>
      </c>
      <c r="AA152" s="57" t="str">
        <f t="array" ref="AA152">_xlfn.XLOOKUP(records_2[Method]&amp;"-"&amp;records_2[Class], dAirSpec[ID], dAirSpec[Unit])</f>
        <v>cfu/plate</v>
      </c>
      <c r="AB152" s="62">
        <f t="array" ref="AB152">if(R152="","", if(records_2[Method]="Active Air",_xlfn.xlookup(records_2[ColonyCount]&amp;records_2[AirSampler],feller[code],feller[Vc]),records_2[ColonyCount]))</f>
        <v>1</v>
      </c>
      <c r="AC152" s="63" t="b">
        <f t="shared" si="1"/>
        <v>1</v>
      </c>
      <c r="AD152" s="61" t="b">
        <v>0</v>
      </c>
      <c r="AE152" s="32" t="s">
        <v>280</v>
      </c>
      <c r="AF152" s="46"/>
      <c r="AG152" s="46"/>
      <c r="AH152" s="46"/>
      <c r="AI152" s="46"/>
      <c r="AJ152" s="46"/>
    </row>
    <row r="153" ht="22.5" customHeight="1">
      <c r="A153" s="27">
        <v>46059.0</v>
      </c>
      <c r="B153" s="34" t="str">
        <f t="array" ref="B153">TEXT(A153, "MM-YYYY")</f>
        <v>02-2026</v>
      </c>
      <c r="C153" s="39" t="s">
        <v>1397</v>
      </c>
      <c r="D153" s="36" t="s">
        <v>210</v>
      </c>
      <c r="E153" s="36" t="s">
        <v>213</v>
      </c>
      <c r="F153" s="29" t="b">
        <v>1</v>
      </c>
      <c r="G153" s="49"/>
      <c r="H153" s="49"/>
      <c r="I153" s="33"/>
      <c r="J153" s="33"/>
      <c r="K153" s="37" t="s">
        <v>310</v>
      </c>
      <c r="L153" s="37" t="s">
        <v>522</v>
      </c>
      <c r="M153" s="37" t="s">
        <v>1784</v>
      </c>
      <c r="N153" s="37" t="s">
        <v>1785</v>
      </c>
      <c r="O153" s="37" t="s">
        <v>837</v>
      </c>
      <c r="P153" s="37" t="s">
        <v>1099</v>
      </c>
      <c r="Q153" s="41">
        <v>46082.0</v>
      </c>
      <c r="R153" s="42">
        <v>1.0</v>
      </c>
      <c r="S153" s="55"/>
      <c r="T153" s="37" t="s">
        <v>1586</v>
      </c>
      <c r="U153" s="57" t="str">
        <f>IF(records_2[Type]="Room",records_2[roomNo],records_2[roomNo]&amp;"-"&amp;SUBSTITUTE(RIGHT(records_2[roomNo]&amp;records_2[Type],2),"-",""))</f>
        <v>12-1-077</v>
      </c>
      <c r="V153" s="59" t="str">
        <f t="array" ref="V153">_xlfn.XLOOKUP(records_2[ID], dAir[roomNo], dAir[roomName])</f>
        <v>MAL</v>
      </c>
      <c r="W153" s="59" t="str">
        <f t="array" ref="W153">_xlfn.XLOOKUP(records_2[ID], dAir[roomNo], dAir[building])</f>
        <v>Building 12</v>
      </c>
      <c r="X153" s="59" t="str">
        <f t="array" ref="X153">_xlfn.XLOOKUP(records_2[ID], dAir[roomNo], dAir[floor])</f>
        <v>Floor 1</v>
      </c>
      <c r="Y153" s="57" t="str">
        <f t="array" ref="Y153">_xlfn.XLOOKUP(records_2[ID], dAir[roomNo], dAir[Class])</f>
        <v>D</v>
      </c>
      <c r="Z153" s="57">
        <f t="array" ref="Z153">_xlfn.XLOOKUP(records_2[Method]&amp;"-"&amp;records_2[Class], dAirSpec[ID], dAirSpec[Spec])</f>
        <v>100</v>
      </c>
      <c r="AA153" s="57" t="str">
        <f t="array" ref="AA153">_xlfn.XLOOKUP(records_2[Method]&amp;"-"&amp;records_2[Class], dAirSpec[ID], dAirSpec[Unit])</f>
        <v>cfu/plate</v>
      </c>
      <c r="AB153" s="62">
        <f t="array" ref="AB153">if(R153="","", if(records_2[Method]="Active Air",_xlfn.xlookup(records_2[ColonyCount]&amp;records_2[AirSampler],feller[code],feller[Vc]),records_2[ColonyCount]))</f>
        <v>1</v>
      </c>
      <c r="AC153" s="63" t="b">
        <f t="shared" si="1"/>
        <v>1</v>
      </c>
      <c r="AD153" s="61" t="b">
        <v>0</v>
      </c>
      <c r="AE153" s="32" t="s">
        <v>280</v>
      </c>
      <c r="AF153" s="46"/>
      <c r="AG153" s="46"/>
      <c r="AH153" s="46"/>
      <c r="AI153" s="46"/>
      <c r="AJ153" s="46"/>
    </row>
    <row r="154" ht="22.5" customHeight="1">
      <c r="A154" s="27">
        <v>46059.0</v>
      </c>
      <c r="B154" s="34" t="str">
        <f t="array" ref="B154">TEXT(A154, "MM-YYYY")</f>
        <v>02-2026</v>
      </c>
      <c r="C154" s="39" t="s">
        <v>945</v>
      </c>
      <c r="D154" s="36" t="s">
        <v>210</v>
      </c>
      <c r="E154" s="36" t="s">
        <v>213</v>
      </c>
      <c r="F154" s="29" t="b">
        <v>1</v>
      </c>
      <c r="G154" s="49"/>
      <c r="H154" s="49"/>
      <c r="I154" s="33"/>
      <c r="J154" s="33"/>
      <c r="K154" s="37" t="s">
        <v>1157</v>
      </c>
      <c r="L154" s="37" t="s">
        <v>1787</v>
      </c>
      <c r="M154" s="37" t="s">
        <v>1784</v>
      </c>
      <c r="N154" s="37" t="s">
        <v>1785</v>
      </c>
      <c r="O154" s="37" t="s">
        <v>837</v>
      </c>
      <c r="P154" s="37" t="s">
        <v>1099</v>
      </c>
      <c r="Q154" s="41">
        <v>46082.0</v>
      </c>
      <c r="R154" s="42">
        <v>0.0</v>
      </c>
      <c r="S154" s="55"/>
      <c r="T154" s="37" t="s">
        <v>1586</v>
      </c>
      <c r="U154" s="57" t="str">
        <f>IF(records_2[Type]="Room",records_2[roomNo],records_2[roomNo]&amp;"-"&amp;SUBSTITUTE(RIGHT(records_2[roomNo]&amp;records_2[Type],2),"-",""))</f>
        <v>12-1-078</v>
      </c>
      <c r="V154" s="59" t="str">
        <f t="array" ref="V154">_xlfn.XLOOKUP(records_2[ID], dAir[roomNo], dAir[roomName])</f>
        <v>SOLVENTS UNLOADING</v>
      </c>
      <c r="W154" s="59" t="str">
        <f t="array" ref="W154">_xlfn.XLOOKUP(records_2[ID], dAir[roomNo], dAir[building])</f>
        <v>Building 12</v>
      </c>
      <c r="X154" s="59" t="str">
        <f t="array" ref="X154">_xlfn.XLOOKUP(records_2[ID], dAir[roomNo], dAir[floor])</f>
        <v>Floor 1</v>
      </c>
      <c r="Y154" s="57" t="str">
        <f t="array" ref="Y154">_xlfn.XLOOKUP(records_2[ID], dAir[roomNo], dAir[Class])</f>
        <v>D</v>
      </c>
      <c r="Z154" s="57">
        <f t="array" ref="Z154">_xlfn.XLOOKUP(records_2[Method]&amp;"-"&amp;records_2[Class], dAirSpec[ID], dAirSpec[Spec])</f>
        <v>100</v>
      </c>
      <c r="AA154" s="57" t="str">
        <f t="array" ref="AA154">_xlfn.XLOOKUP(records_2[Method]&amp;"-"&amp;records_2[Class], dAirSpec[ID], dAirSpec[Unit])</f>
        <v>cfu/plate</v>
      </c>
      <c r="AB154" s="62">
        <f t="array" ref="AB154">if(R154="","", if(records_2[Method]="Active Air",_xlfn.xlookup(records_2[ColonyCount]&amp;records_2[AirSampler],feller[code],feller[Vc]),records_2[ColonyCount]))</f>
        <v>0</v>
      </c>
      <c r="AC154" s="63" t="b">
        <f t="shared" si="1"/>
        <v>1</v>
      </c>
      <c r="AD154" s="61" t="b">
        <v>0</v>
      </c>
      <c r="AE154" s="32" t="s">
        <v>280</v>
      </c>
      <c r="AF154" s="46"/>
      <c r="AG154" s="46"/>
      <c r="AH154" s="46"/>
      <c r="AI154" s="46"/>
      <c r="AJ154" s="46"/>
    </row>
    <row r="155" ht="22.5" customHeight="1">
      <c r="A155" s="27">
        <v>46059.0</v>
      </c>
      <c r="B155" s="34" t="str">
        <f t="array" ref="B155">TEXT(A155, "MM-YYYY")</f>
        <v>02-2026</v>
      </c>
      <c r="C155" s="39" t="s">
        <v>1399</v>
      </c>
      <c r="D155" s="36" t="s">
        <v>210</v>
      </c>
      <c r="E155" s="36" t="s">
        <v>213</v>
      </c>
      <c r="F155" s="29" t="b">
        <v>1</v>
      </c>
      <c r="G155" s="49"/>
      <c r="H155" s="49"/>
      <c r="I155" s="33"/>
      <c r="J155" s="33"/>
      <c r="K155" s="37" t="s">
        <v>578</v>
      </c>
      <c r="L155" s="37" t="s">
        <v>294</v>
      </c>
      <c r="M155" s="37" t="s">
        <v>1788</v>
      </c>
      <c r="N155" s="37" t="s">
        <v>1785</v>
      </c>
      <c r="O155" s="37" t="s">
        <v>837</v>
      </c>
      <c r="P155" s="37" t="s">
        <v>1099</v>
      </c>
      <c r="Q155" s="41">
        <v>46082.0</v>
      </c>
      <c r="R155" s="42">
        <v>0.0</v>
      </c>
      <c r="S155" s="55"/>
      <c r="T155" s="37" t="s">
        <v>1586</v>
      </c>
      <c r="U155" s="57" t="str">
        <f>IF(records_2[Type]="Room",records_2[roomNo],records_2[roomNo]&amp;"-"&amp;SUBSTITUTE(RIGHT(records_2[roomNo]&amp;records_2[Type],2),"-",""))</f>
        <v>12-1-086</v>
      </c>
      <c r="V155" s="59" t="str">
        <f t="array" ref="V155">_xlfn.XLOOKUP(records_2[ID], dAir[roomNo], dAir[roomName])</f>
        <v>LINEN STORAGE</v>
      </c>
      <c r="W155" s="59" t="str">
        <f t="array" ref="W155">_xlfn.XLOOKUP(records_2[ID], dAir[roomNo], dAir[building])</f>
        <v>Building 12</v>
      </c>
      <c r="X155" s="59" t="str">
        <f t="array" ref="X155">_xlfn.XLOOKUP(records_2[ID], dAir[roomNo], dAir[floor])</f>
        <v>Floor 1</v>
      </c>
      <c r="Y155" s="57" t="str">
        <f t="array" ref="Y155">_xlfn.XLOOKUP(records_2[ID], dAir[roomNo], dAir[Class])</f>
        <v>D</v>
      </c>
      <c r="Z155" s="57">
        <f t="array" ref="Z155">_xlfn.XLOOKUP(records_2[Method]&amp;"-"&amp;records_2[Class], dAirSpec[ID], dAirSpec[Spec])</f>
        <v>100</v>
      </c>
      <c r="AA155" s="57" t="str">
        <f t="array" ref="AA155">_xlfn.XLOOKUP(records_2[Method]&amp;"-"&amp;records_2[Class], dAirSpec[ID], dAirSpec[Unit])</f>
        <v>cfu/plate</v>
      </c>
      <c r="AB155" s="62">
        <f t="array" ref="AB155">if(R155="","", if(records_2[Method]="Active Air",_xlfn.xlookup(records_2[ColonyCount]&amp;records_2[AirSampler],feller[code],feller[Vc]),records_2[ColonyCount]))</f>
        <v>0</v>
      </c>
      <c r="AC155" s="63" t="b">
        <f t="shared" si="1"/>
        <v>1</v>
      </c>
      <c r="AD155" s="61" t="b">
        <v>0</v>
      </c>
      <c r="AE155" s="32" t="s">
        <v>280</v>
      </c>
      <c r="AF155" s="46"/>
      <c r="AG155" s="46"/>
      <c r="AH155" s="46"/>
      <c r="AI155" s="46"/>
      <c r="AJ155" s="46"/>
    </row>
    <row r="156" ht="22.5" customHeight="1">
      <c r="A156" s="27">
        <v>46059.0</v>
      </c>
      <c r="B156" s="34" t="str">
        <f t="array" ref="B156">TEXT(A156, "MM-YYYY")</f>
        <v>02-2026</v>
      </c>
      <c r="C156" s="39" t="s">
        <v>1400</v>
      </c>
      <c r="D156" s="36" t="s">
        <v>210</v>
      </c>
      <c r="E156" s="36" t="s">
        <v>213</v>
      </c>
      <c r="F156" s="29" t="b">
        <v>1</v>
      </c>
      <c r="G156" s="49"/>
      <c r="H156" s="49"/>
      <c r="I156" s="33"/>
      <c r="J156" s="33"/>
      <c r="K156" s="37" t="s">
        <v>1790</v>
      </c>
      <c r="L156" s="37" t="s">
        <v>1791</v>
      </c>
      <c r="M156" s="37" t="s">
        <v>1609</v>
      </c>
      <c r="N156" s="37" t="s">
        <v>1785</v>
      </c>
      <c r="O156" s="37" t="s">
        <v>837</v>
      </c>
      <c r="P156" s="37" t="s">
        <v>1099</v>
      </c>
      <c r="Q156" s="41">
        <v>46082.0</v>
      </c>
      <c r="R156" s="42">
        <v>0.0</v>
      </c>
      <c r="S156" s="55"/>
      <c r="T156" s="37" t="s">
        <v>1586</v>
      </c>
      <c r="U156" s="57" t="str">
        <f>IF(records_2[Type]="Room",records_2[roomNo],records_2[roomNo]&amp;"-"&amp;SUBSTITUTE(RIGHT(records_2[roomNo]&amp;records_2[Type],2),"-",""))</f>
        <v>12-1-087</v>
      </c>
      <c r="V156" s="59" t="str">
        <f t="array" ref="V156">_xlfn.XLOOKUP(records_2[ID], dAir[roomNo], dAir[roomName])</f>
        <v>CORRIDOR</v>
      </c>
      <c r="W156" s="59" t="str">
        <f t="array" ref="W156">_xlfn.XLOOKUP(records_2[ID], dAir[roomNo], dAir[building])</f>
        <v>Building 12</v>
      </c>
      <c r="X156" s="59" t="str">
        <f t="array" ref="X156">_xlfn.XLOOKUP(records_2[ID], dAir[roomNo], dAir[floor])</f>
        <v>Floor 1</v>
      </c>
      <c r="Y156" s="57" t="str">
        <f t="array" ref="Y156">_xlfn.XLOOKUP(records_2[ID], dAir[roomNo], dAir[Class])</f>
        <v>D</v>
      </c>
      <c r="Z156" s="57">
        <f t="array" ref="Z156">_xlfn.XLOOKUP(records_2[Method]&amp;"-"&amp;records_2[Class], dAirSpec[ID], dAirSpec[Spec])</f>
        <v>100</v>
      </c>
      <c r="AA156" s="57" t="str">
        <f t="array" ref="AA156">_xlfn.XLOOKUP(records_2[Method]&amp;"-"&amp;records_2[Class], dAirSpec[ID], dAirSpec[Unit])</f>
        <v>cfu/plate</v>
      </c>
      <c r="AB156" s="62">
        <f t="array" ref="AB156">if(R156="","", if(records_2[Method]="Active Air",_xlfn.xlookup(records_2[ColonyCount]&amp;records_2[AirSampler],feller[code],feller[Vc]),records_2[ColonyCount]))</f>
        <v>0</v>
      </c>
      <c r="AC156" s="63" t="b">
        <f t="shared" si="1"/>
        <v>1</v>
      </c>
      <c r="AD156" s="61" t="b">
        <v>0</v>
      </c>
      <c r="AE156" s="32" t="s">
        <v>280</v>
      </c>
      <c r="AF156" s="46"/>
      <c r="AG156" s="46"/>
      <c r="AH156" s="46"/>
      <c r="AI156" s="46"/>
      <c r="AJ156" s="46"/>
    </row>
    <row r="157" ht="22.5" customHeight="1">
      <c r="A157" s="18">
        <v>46062.0</v>
      </c>
      <c r="B157" s="20" t="str">
        <f t="array" ref="B157">TEXT(A157, "MM-YYYY")</f>
        <v>02-2026</v>
      </c>
      <c r="C157" s="20" t="s">
        <v>840</v>
      </c>
      <c r="D157" s="21" t="s">
        <v>210</v>
      </c>
      <c r="E157" s="139" t="s">
        <v>531</v>
      </c>
      <c r="F157" s="29" t="b">
        <v>1</v>
      </c>
      <c r="G157" s="140"/>
      <c r="H157" s="140" t="s">
        <v>534</v>
      </c>
      <c r="I157" s="18" t="s">
        <v>1792</v>
      </c>
      <c r="J157" s="18">
        <v>46081.0</v>
      </c>
      <c r="K157" s="51" t="s">
        <v>546</v>
      </c>
      <c r="L157" s="51" t="s">
        <v>1793</v>
      </c>
      <c r="M157" s="51" t="s">
        <v>1794</v>
      </c>
      <c r="N157" s="51" t="s">
        <v>194</v>
      </c>
      <c r="O157" s="51" t="s">
        <v>199</v>
      </c>
      <c r="P157" s="51" t="s">
        <v>201</v>
      </c>
      <c r="Q157" s="52">
        <v>46057.0</v>
      </c>
      <c r="R157" s="53">
        <v>1.0</v>
      </c>
      <c r="S157" s="44" t="s">
        <v>194</v>
      </c>
      <c r="T157" s="51" t="s">
        <v>1795</v>
      </c>
      <c r="U157" s="141" t="str">
        <f>IF(records_2[Type]="Room",records_2[roomNo],records_2[roomNo]&amp;"-"&amp;SUBSTITUTE(RIGHT(records_2[roomNo]&amp;records_2[Type],2),"-",""))</f>
        <v>16-1-069</v>
      </c>
      <c r="V157" s="141" t="str">
        <f t="array" ref="V157">_xlfn.XLOOKUP(records_2[ID], dAir[roomNo], dAir[roomName])</f>
        <v>MEN PAL</v>
      </c>
      <c r="W157" s="141" t="str">
        <f t="array" ref="W157">_xlfn.XLOOKUP(records_2[ID], dAir[roomNo], dAir[building])</f>
        <v>Building 16</v>
      </c>
      <c r="X157" s="141" t="str">
        <f t="array" ref="X157">_xlfn.XLOOKUP(records_2[ID], dAir[roomNo], dAir[floor])</f>
        <v>Floor 1</v>
      </c>
      <c r="Y157" s="142" t="str">
        <f t="array" ref="Y157">_xlfn.XLOOKUP(records_2[ID], dAir[roomNo], dAir[Class])</f>
        <v>D</v>
      </c>
      <c r="Z157" s="142">
        <f t="array" ref="Z157">_xlfn.XLOOKUP(records_2[Method]&amp;"-"&amp;records_2[Class], dAirSpec[ID], dAirSpec[Spec])</f>
        <v>200</v>
      </c>
      <c r="AA157" s="142" t="str">
        <f t="array" ref="AA157">_xlfn.XLOOKUP(records_2[Method]&amp;"-"&amp;records_2[Class], dAirSpec[ID], dAirSpec[Unit])</f>
        <v>cfu/m3</v>
      </c>
      <c r="AB157" s="142">
        <f t="array" ref="AB157">if(R157="","", if(records_2[Method]="Active Air",_xlfn.xlookup(records_2[ColonyCount]&amp;records_2[AirSampler],feller[code],feller[Vc]),records_2[ColonyCount]))</f>
        <v>1</v>
      </c>
      <c r="AC157" s="143" t="b">
        <f t="shared" si="1"/>
        <v>1</v>
      </c>
      <c r="AD157" s="61" t="b">
        <v>0</v>
      </c>
      <c r="AE157" s="32" t="s">
        <v>280</v>
      </c>
      <c r="AF157" s="46"/>
      <c r="AG157" s="46"/>
      <c r="AH157" s="46"/>
      <c r="AI157" s="46"/>
      <c r="AJ157" s="46"/>
    </row>
    <row r="158" ht="22.5" customHeight="1">
      <c r="A158" s="27">
        <v>46062.0</v>
      </c>
      <c r="B158" s="34" t="str">
        <f t="array" ref="B158">TEXT(A158, "MM-YYYY")</f>
        <v>02-2026</v>
      </c>
      <c r="C158" s="39" t="s">
        <v>845</v>
      </c>
      <c r="D158" s="36" t="s">
        <v>210</v>
      </c>
      <c r="E158" s="36" t="s">
        <v>531</v>
      </c>
      <c r="F158" s="29" t="b">
        <v>1</v>
      </c>
      <c r="G158" s="140"/>
      <c r="H158" s="140" t="s">
        <v>534</v>
      </c>
      <c r="I158" s="32" t="s">
        <v>1792</v>
      </c>
      <c r="J158" s="144">
        <v>46081.0</v>
      </c>
      <c r="K158" s="37" t="s">
        <v>435</v>
      </c>
      <c r="L158" s="37" t="s">
        <v>1797</v>
      </c>
      <c r="M158" s="37" t="s">
        <v>1798</v>
      </c>
      <c r="N158" s="37" t="s">
        <v>194</v>
      </c>
      <c r="O158" s="37" t="s">
        <v>199</v>
      </c>
      <c r="P158" s="37" t="s">
        <v>201</v>
      </c>
      <c r="Q158" s="41">
        <v>46057.0</v>
      </c>
      <c r="R158" s="42">
        <v>2.0</v>
      </c>
      <c r="S158" s="44" t="s">
        <v>194</v>
      </c>
      <c r="T158" s="37" t="s">
        <v>1795</v>
      </c>
      <c r="U158" s="57" t="str">
        <f>IF(records_2[Type]="Room",records_2[roomNo],records_2[roomNo]&amp;"-"&amp;SUBSTITUTE(RIGHT(records_2[roomNo]&amp;records_2[Type],2),"-",""))</f>
        <v>16-1-070</v>
      </c>
      <c r="V158" s="59" t="str">
        <f t="array" ref="V158">_xlfn.XLOOKUP(records_2[ID], dAir[roomNo], dAir[roomName])</f>
        <v>MEN PROCESS CHANGE</v>
      </c>
      <c r="W158" s="59" t="str">
        <f t="array" ref="W158">_xlfn.XLOOKUP(records_2[ID], dAir[roomNo], dAir[building])</f>
        <v>Building 16</v>
      </c>
      <c r="X158" s="59" t="str">
        <f t="array" ref="X158">_xlfn.XLOOKUP(records_2[ID], dAir[roomNo], dAir[floor])</f>
        <v>Floor 1</v>
      </c>
      <c r="Y158" s="57" t="str">
        <f t="array" ref="Y158">_xlfn.XLOOKUP(records_2[ID], dAir[roomNo], dAir[Class])</f>
        <v>C</v>
      </c>
      <c r="Z158" s="57">
        <f t="array" ref="Z158">_xlfn.XLOOKUP(records_2[Method]&amp;"-"&amp;records_2[Class], dAirSpec[ID], dAirSpec[Spec])</f>
        <v>100</v>
      </c>
      <c r="AA158" s="57" t="str">
        <f t="array" ref="AA158">_xlfn.XLOOKUP(records_2[Method]&amp;"-"&amp;records_2[Class], dAirSpec[ID], dAirSpec[Unit])</f>
        <v>cfu/m3</v>
      </c>
      <c r="AB158" s="57">
        <f t="array" ref="AB158">if(R158="","", if(records_2[Method]="Active Air",_xlfn.xlookup(records_2[ColonyCount]&amp;records_2[AirSampler],feller[code],feller[Vc]),records_2[ColonyCount]))</f>
        <v>2</v>
      </c>
      <c r="AC158" s="63" t="b">
        <f t="shared" si="1"/>
        <v>1</v>
      </c>
      <c r="AD158" s="61" t="b">
        <v>0</v>
      </c>
      <c r="AE158" s="32" t="s">
        <v>280</v>
      </c>
      <c r="AF158" s="46"/>
      <c r="AG158" s="46"/>
      <c r="AH158" s="46"/>
      <c r="AI158" s="46"/>
      <c r="AJ158" s="46"/>
    </row>
    <row r="159" ht="22.5" customHeight="1">
      <c r="A159" s="27">
        <v>46062.0</v>
      </c>
      <c r="B159" s="34" t="str">
        <f t="array" ref="B159">TEXT(A159, "MM-YYYY")</f>
        <v>02-2026</v>
      </c>
      <c r="C159" s="39" t="s">
        <v>857</v>
      </c>
      <c r="D159" s="36" t="s">
        <v>210</v>
      </c>
      <c r="E159" s="36" t="s">
        <v>531</v>
      </c>
      <c r="F159" s="29" t="b">
        <v>1</v>
      </c>
      <c r="G159" s="140"/>
      <c r="H159" s="140" t="s">
        <v>534</v>
      </c>
      <c r="I159" s="32" t="s">
        <v>1792</v>
      </c>
      <c r="J159" s="144">
        <v>46081.0</v>
      </c>
      <c r="K159" s="37" t="s">
        <v>344</v>
      </c>
      <c r="L159" s="37" t="s">
        <v>1800</v>
      </c>
      <c r="M159" s="37" t="s">
        <v>373</v>
      </c>
      <c r="N159" s="37" t="s">
        <v>194</v>
      </c>
      <c r="O159" s="37" t="s">
        <v>199</v>
      </c>
      <c r="P159" s="37" t="s">
        <v>201</v>
      </c>
      <c r="Q159" s="41">
        <v>46057.0</v>
      </c>
      <c r="R159" s="42">
        <v>0.0</v>
      </c>
      <c r="S159" s="44" t="s">
        <v>194</v>
      </c>
      <c r="T159" s="37" t="s">
        <v>1795</v>
      </c>
      <c r="U159" s="57" t="str">
        <f>IF(records_2[Type]="Room",records_2[roomNo],records_2[roomNo]&amp;"-"&amp;SUBSTITUTE(RIGHT(records_2[roomNo]&amp;records_2[Type],2),"-",""))</f>
        <v>16-1-071</v>
      </c>
      <c r="V159" s="59" t="str">
        <f t="array" ref="V159">_xlfn.XLOOKUP(records_2[ID], dAir[roomNo], dAir[roomName])</f>
        <v>WOMEN PAL</v>
      </c>
      <c r="W159" s="59" t="str">
        <f t="array" ref="W159">_xlfn.XLOOKUP(records_2[ID], dAir[roomNo], dAir[building])</f>
        <v>Building 16</v>
      </c>
      <c r="X159" s="59" t="str">
        <f t="array" ref="X159">_xlfn.XLOOKUP(records_2[ID], dAir[roomNo], dAir[floor])</f>
        <v>Floor 1</v>
      </c>
      <c r="Y159" s="57" t="str">
        <f t="array" ref="Y159">_xlfn.XLOOKUP(records_2[ID], dAir[roomNo], dAir[Class])</f>
        <v>D</v>
      </c>
      <c r="Z159" s="57">
        <f t="array" ref="Z159">_xlfn.XLOOKUP(records_2[Method]&amp;"-"&amp;records_2[Class], dAirSpec[ID], dAirSpec[Spec])</f>
        <v>200</v>
      </c>
      <c r="AA159" s="57" t="str">
        <f t="array" ref="AA159">_xlfn.XLOOKUP(records_2[Method]&amp;"-"&amp;records_2[Class], dAirSpec[ID], dAirSpec[Unit])</f>
        <v>cfu/m3</v>
      </c>
      <c r="AB159" s="57">
        <f t="array" ref="AB159">if(R159="","", if(records_2[Method]="Active Air",_xlfn.xlookup(records_2[ColonyCount]&amp;records_2[AirSampler],feller[code],feller[Vc]),records_2[ColonyCount]))</f>
        <v>0</v>
      </c>
      <c r="AC159" s="63" t="b">
        <f t="shared" si="1"/>
        <v>1</v>
      </c>
      <c r="AD159" s="61" t="b">
        <v>0</v>
      </c>
      <c r="AE159" s="32" t="s">
        <v>280</v>
      </c>
      <c r="AF159" s="46"/>
      <c r="AG159" s="46"/>
      <c r="AH159" s="46"/>
      <c r="AI159" s="46"/>
      <c r="AJ159" s="46"/>
    </row>
    <row r="160" ht="22.5" customHeight="1">
      <c r="A160" s="27">
        <v>46062.0</v>
      </c>
      <c r="B160" s="34" t="str">
        <f t="array" ref="B160">TEXT(A160, "MM-YYYY")</f>
        <v>02-2026</v>
      </c>
      <c r="C160" s="39" t="s">
        <v>878</v>
      </c>
      <c r="D160" s="36" t="s">
        <v>210</v>
      </c>
      <c r="E160" s="36" t="s">
        <v>531</v>
      </c>
      <c r="F160" s="29" t="b">
        <v>1</v>
      </c>
      <c r="G160" s="140"/>
      <c r="H160" s="140" t="s">
        <v>534</v>
      </c>
      <c r="I160" s="32" t="s">
        <v>1792</v>
      </c>
      <c r="J160" s="144">
        <v>46081.0</v>
      </c>
      <c r="K160" s="37" t="s">
        <v>428</v>
      </c>
      <c r="L160" s="37" t="s">
        <v>1797</v>
      </c>
      <c r="M160" s="37" t="s">
        <v>1804</v>
      </c>
      <c r="N160" s="37" t="s">
        <v>194</v>
      </c>
      <c r="O160" s="37" t="s">
        <v>199</v>
      </c>
      <c r="P160" s="37" t="s">
        <v>201</v>
      </c>
      <c r="Q160" s="41">
        <v>46057.0</v>
      </c>
      <c r="R160" s="42">
        <v>0.0</v>
      </c>
      <c r="S160" s="44" t="s">
        <v>194</v>
      </c>
      <c r="T160" s="37" t="s">
        <v>1795</v>
      </c>
      <c r="U160" s="57" t="str">
        <f>IF(records_2[Type]="Room",records_2[roomNo],records_2[roomNo]&amp;"-"&amp;SUBSTITUTE(RIGHT(records_2[roomNo]&amp;records_2[Type],2),"-",""))</f>
        <v>16-1-072</v>
      </c>
      <c r="V160" s="59" t="str">
        <f t="array" ref="V160">_xlfn.XLOOKUP(records_2[ID], dAir[roomNo], dAir[roomName])</f>
        <v>WOMEN PROCESS CHANGE</v>
      </c>
      <c r="W160" s="59" t="str">
        <f t="array" ref="W160">_xlfn.XLOOKUP(records_2[ID], dAir[roomNo], dAir[building])</f>
        <v>Building 16</v>
      </c>
      <c r="X160" s="59" t="str">
        <f t="array" ref="X160">_xlfn.XLOOKUP(records_2[ID], dAir[roomNo], dAir[floor])</f>
        <v>Floor 1</v>
      </c>
      <c r="Y160" s="57" t="str">
        <f t="array" ref="Y160">_xlfn.XLOOKUP(records_2[ID], dAir[roomNo], dAir[Class])</f>
        <v>C</v>
      </c>
      <c r="Z160" s="57">
        <f t="array" ref="Z160">_xlfn.XLOOKUP(records_2[Method]&amp;"-"&amp;records_2[Class], dAirSpec[ID], dAirSpec[Spec])</f>
        <v>100</v>
      </c>
      <c r="AA160" s="57" t="str">
        <f t="array" ref="AA160">_xlfn.XLOOKUP(records_2[Method]&amp;"-"&amp;records_2[Class], dAirSpec[ID], dAirSpec[Unit])</f>
        <v>cfu/m3</v>
      </c>
      <c r="AB160" s="57">
        <f t="array" ref="AB160">if(R160="","", if(records_2[Method]="Active Air",_xlfn.xlookup(records_2[ColonyCount]&amp;records_2[AirSampler],feller[code],feller[Vc]),records_2[ColonyCount]))</f>
        <v>0</v>
      </c>
      <c r="AC160" s="63" t="b">
        <f t="shared" si="1"/>
        <v>1</v>
      </c>
      <c r="AD160" s="61" t="b">
        <v>0</v>
      </c>
      <c r="AE160" s="32" t="s">
        <v>280</v>
      </c>
      <c r="AF160" s="46"/>
      <c r="AG160" s="46"/>
      <c r="AH160" s="46"/>
      <c r="AI160" s="46"/>
      <c r="AJ160" s="46"/>
    </row>
    <row r="161" ht="22.5" customHeight="1">
      <c r="A161" s="27">
        <v>46062.0</v>
      </c>
      <c r="B161" s="34" t="str">
        <f t="array" ref="B161">TEXT(A161, "MM-YYYY")</f>
        <v>02-2026</v>
      </c>
      <c r="C161" s="39" t="s">
        <v>898</v>
      </c>
      <c r="D161" s="36" t="s">
        <v>210</v>
      </c>
      <c r="E161" s="36" t="s">
        <v>531</v>
      </c>
      <c r="F161" s="29" t="b">
        <v>1</v>
      </c>
      <c r="G161" s="140"/>
      <c r="H161" s="140" t="s">
        <v>534</v>
      </c>
      <c r="I161" s="32" t="s">
        <v>1792</v>
      </c>
      <c r="J161" s="144">
        <v>46081.0</v>
      </c>
      <c r="K161" s="37" t="s">
        <v>303</v>
      </c>
      <c r="L161" s="37" t="s">
        <v>1806</v>
      </c>
      <c r="M161" s="37" t="s">
        <v>1807</v>
      </c>
      <c r="N161" s="37" t="s">
        <v>194</v>
      </c>
      <c r="O161" s="37" t="s">
        <v>199</v>
      </c>
      <c r="P161" s="37" t="s">
        <v>201</v>
      </c>
      <c r="Q161" s="41">
        <v>46057.0</v>
      </c>
      <c r="R161" s="42">
        <v>0.0</v>
      </c>
      <c r="S161" s="29" t="s">
        <v>902</v>
      </c>
      <c r="T161" s="37" t="s">
        <v>1795</v>
      </c>
      <c r="U161" s="57" t="str">
        <f>IF(records_2[Type]="Room",records_2[roomNo],records_2[roomNo]&amp;"-"&amp;SUBSTITUTE(RIGHT(records_2[roomNo]&amp;records_2[Type],2),"-",""))</f>
        <v>16-1-073</v>
      </c>
      <c r="V161" s="59" t="str">
        <f t="array" ref="V161">_xlfn.XLOOKUP(records_2[ID], dAir[roomNo], dAir[roomName])</f>
        <v>CORRIDOR</v>
      </c>
      <c r="W161" s="59" t="str">
        <f t="array" ref="W161">_xlfn.XLOOKUP(records_2[ID], dAir[roomNo], dAir[building])</f>
        <v>Building 16</v>
      </c>
      <c r="X161" s="59" t="str">
        <f t="array" ref="X161">_xlfn.XLOOKUP(records_2[ID], dAir[roomNo], dAir[floor])</f>
        <v>Floor 1</v>
      </c>
      <c r="Y161" s="57" t="str">
        <f t="array" ref="Y161">_xlfn.XLOOKUP(records_2[ID], dAir[roomNo], dAir[Class])</f>
        <v>C</v>
      </c>
      <c r="Z161" s="57">
        <f t="array" ref="Z161">_xlfn.XLOOKUP(records_2[Method]&amp;"-"&amp;records_2[Class], dAirSpec[ID], dAirSpec[Spec])</f>
        <v>100</v>
      </c>
      <c r="AA161" s="57" t="str">
        <f t="array" ref="AA161">_xlfn.XLOOKUP(records_2[Method]&amp;"-"&amp;records_2[Class], dAirSpec[ID], dAirSpec[Unit])</f>
        <v>cfu/m3</v>
      </c>
      <c r="AB161" s="57">
        <f t="array" ref="AB161">if(R161="","", if(records_2[Method]="Active Air",_xlfn.xlookup(records_2[ColonyCount]&amp;records_2[AirSampler],feller[code],feller[Vc]),records_2[ColonyCount]))</f>
        <v>0</v>
      </c>
      <c r="AC161" s="63" t="b">
        <f t="shared" si="1"/>
        <v>1</v>
      </c>
      <c r="AD161" s="61" t="b">
        <v>0</v>
      </c>
      <c r="AE161" s="32" t="s">
        <v>280</v>
      </c>
      <c r="AF161" s="46"/>
      <c r="AG161" s="46"/>
      <c r="AH161" s="46"/>
      <c r="AI161" s="46"/>
      <c r="AJ161" s="46"/>
    </row>
    <row r="162" ht="22.5" customHeight="1">
      <c r="A162" s="27">
        <v>46062.0</v>
      </c>
      <c r="B162" s="34" t="str">
        <f t="array" ref="B162">TEXT(A162, "MM-YYYY")</f>
        <v>02-2026</v>
      </c>
      <c r="C162" s="39" t="s">
        <v>919</v>
      </c>
      <c r="D162" s="36" t="s">
        <v>210</v>
      </c>
      <c r="E162" s="36" t="s">
        <v>531</v>
      </c>
      <c r="F162" s="29" t="b">
        <v>1</v>
      </c>
      <c r="G162" s="140"/>
      <c r="H162" s="140" t="s">
        <v>534</v>
      </c>
      <c r="I162" s="32" t="s">
        <v>1792</v>
      </c>
      <c r="J162" s="144">
        <v>46081.0</v>
      </c>
      <c r="K162" s="37" t="s">
        <v>428</v>
      </c>
      <c r="L162" s="37" t="s">
        <v>1808</v>
      </c>
      <c r="M162" s="37" t="s">
        <v>1612</v>
      </c>
      <c r="N162" s="37" t="s">
        <v>194</v>
      </c>
      <c r="O162" s="37" t="s">
        <v>199</v>
      </c>
      <c r="P162" s="37" t="s">
        <v>201</v>
      </c>
      <c r="Q162" s="41">
        <v>46057.0</v>
      </c>
      <c r="R162" s="42">
        <v>0.0</v>
      </c>
      <c r="S162" s="44" t="s">
        <v>194</v>
      </c>
      <c r="T162" s="37" t="s">
        <v>1795</v>
      </c>
      <c r="U162" s="57" t="str">
        <f>IF(records_2[Type]="Room",records_2[roomNo],records_2[roomNo]&amp;"-"&amp;SUBSTITUTE(RIGHT(records_2[roomNo]&amp;records_2[Type],2),"-",""))</f>
        <v>16-1-074</v>
      </c>
      <c r="V162" s="59" t="str">
        <f t="array" ref="V162">_xlfn.XLOOKUP(records_2[ID], dAir[roomNo], dAir[roomName])</f>
        <v>AIRLOCK</v>
      </c>
      <c r="W162" s="59" t="str">
        <f t="array" ref="W162">_xlfn.XLOOKUP(records_2[ID], dAir[roomNo], dAir[building])</f>
        <v>Building 16</v>
      </c>
      <c r="X162" s="59" t="str">
        <f t="array" ref="X162">_xlfn.XLOOKUP(records_2[ID], dAir[roomNo], dAir[floor])</f>
        <v>Floor 1</v>
      </c>
      <c r="Y162" s="57" t="str">
        <f t="array" ref="Y162">_xlfn.XLOOKUP(records_2[ID], dAir[roomNo], dAir[Class])</f>
        <v>C</v>
      </c>
      <c r="Z162" s="57">
        <f t="array" ref="Z162">_xlfn.XLOOKUP(records_2[Method]&amp;"-"&amp;records_2[Class], dAirSpec[ID], dAirSpec[Spec])</f>
        <v>100</v>
      </c>
      <c r="AA162" s="57" t="str">
        <f t="array" ref="AA162">_xlfn.XLOOKUP(records_2[Method]&amp;"-"&amp;records_2[Class], dAirSpec[ID], dAirSpec[Unit])</f>
        <v>cfu/m3</v>
      </c>
      <c r="AB162" s="57">
        <f t="array" ref="AB162">if(R162="","", if(records_2[Method]="Active Air",_xlfn.xlookup(records_2[ColonyCount]&amp;records_2[AirSampler],feller[code],feller[Vc]),records_2[ColonyCount]))</f>
        <v>0</v>
      </c>
      <c r="AC162" s="63" t="b">
        <f t="shared" si="1"/>
        <v>1</v>
      </c>
      <c r="AD162" s="61" t="b">
        <v>0</v>
      </c>
      <c r="AE162" s="32" t="s">
        <v>280</v>
      </c>
      <c r="AF162" s="46"/>
      <c r="AG162" s="46"/>
      <c r="AH162" s="46"/>
      <c r="AI162" s="46"/>
      <c r="AJ162" s="46"/>
    </row>
    <row r="163" ht="22.5" customHeight="1">
      <c r="A163" s="27">
        <v>46062.0</v>
      </c>
      <c r="B163" s="34" t="str">
        <f t="array" ref="B163">TEXT(A163, "MM-YYYY")</f>
        <v>02-2026</v>
      </c>
      <c r="C163" s="39" t="s">
        <v>753</v>
      </c>
      <c r="D163" s="36" t="s">
        <v>210</v>
      </c>
      <c r="E163" s="36" t="s">
        <v>531</v>
      </c>
      <c r="F163" s="29" t="b">
        <v>1</v>
      </c>
      <c r="G163" s="140"/>
      <c r="H163" s="140" t="s">
        <v>534</v>
      </c>
      <c r="I163" s="32" t="s">
        <v>1792</v>
      </c>
      <c r="J163" s="144">
        <v>46081.0</v>
      </c>
      <c r="K163" s="37" t="s">
        <v>377</v>
      </c>
      <c r="L163" s="37" t="s">
        <v>908</v>
      </c>
      <c r="M163" s="37" t="s">
        <v>1612</v>
      </c>
      <c r="N163" s="37" t="s">
        <v>194</v>
      </c>
      <c r="O163" s="37" t="s">
        <v>199</v>
      </c>
      <c r="P163" s="37" t="s">
        <v>201</v>
      </c>
      <c r="Q163" s="41">
        <v>46057.0</v>
      </c>
      <c r="R163" s="42">
        <v>0.0</v>
      </c>
      <c r="S163" s="44" t="s">
        <v>194</v>
      </c>
      <c r="T163" s="37" t="s">
        <v>1795</v>
      </c>
      <c r="U163" s="57" t="str">
        <f>IF(records_2[Type]="Room",records_2[roomNo],records_2[roomNo]&amp;"-"&amp;SUBSTITUTE(RIGHT(records_2[roomNo]&amp;records_2[Type],2),"-",""))</f>
        <v>16-1-075</v>
      </c>
      <c r="V163" s="59" t="str">
        <f t="array" ref="V163">_xlfn.XLOOKUP(records_2[ID], dAir[roomNo], dAir[roomName])</f>
        <v>VIALS CAPPING</v>
      </c>
      <c r="W163" s="59" t="str">
        <f t="array" ref="W163">_xlfn.XLOOKUP(records_2[ID], dAir[roomNo], dAir[building])</f>
        <v>Building 16</v>
      </c>
      <c r="X163" s="59" t="str">
        <f t="array" ref="X163">_xlfn.XLOOKUP(records_2[ID], dAir[roomNo], dAir[floor])</f>
        <v>Floor 1</v>
      </c>
      <c r="Y163" s="57" t="str">
        <f t="array" ref="Y163">_xlfn.XLOOKUP(records_2[ID], dAir[roomNo], dAir[Class])</f>
        <v>C</v>
      </c>
      <c r="Z163" s="57">
        <f t="array" ref="Z163">_xlfn.XLOOKUP(records_2[Method]&amp;"-"&amp;records_2[Class], dAirSpec[ID], dAirSpec[Spec])</f>
        <v>100</v>
      </c>
      <c r="AA163" s="57" t="str">
        <f t="array" ref="AA163">_xlfn.XLOOKUP(records_2[Method]&amp;"-"&amp;records_2[Class], dAirSpec[ID], dAirSpec[Unit])</f>
        <v>cfu/m3</v>
      </c>
      <c r="AB163" s="57">
        <f t="array" ref="AB163">if(R163="","", if(records_2[Method]="Active Air",_xlfn.xlookup(records_2[ColonyCount]&amp;records_2[AirSampler],feller[code],feller[Vc]),records_2[ColonyCount]))</f>
        <v>0</v>
      </c>
      <c r="AC163" s="63" t="b">
        <f t="shared" si="1"/>
        <v>1</v>
      </c>
      <c r="AD163" s="61" t="b">
        <v>0</v>
      </c>
      <c r="AE163" s="32" t="s">
        <v>280</v>
      </c>
      <c r="AF163" s="46"/>
      <c r="AG163" s="46"/>
      <c r="AH163" s="46"/>
      <c r="AI163" s="46"/>
      <c r="AJ163" s="46"/>
    </row>
    <row r="164" ht="22.5" customHeight="1">
      <c r="A164" s="27">
        <v>46062.0</v>
      </c>
      <c r="B164" s="34" t="str">
        <f t="array" ref="B164">TEXT(A164, "MM-YYYY")</f>
        <v>02-2026</v>
      </c>
      <c r="C164" s="39" t="s">
        <v>753</v>
      </c>
      <c r="D164" s="36" t="s">
        <v>755</v>
      </c>
      <c r="E164" s="36" t="s">
        <v>531</v>
      </c>
      <c r="F164" s="29" t="b">
        <v>1</v>
      </c>
      <c r="G164" s="140"/>
      <c r="H164" s="140" t="s">
        <v>534</v>
      </c>
      <c r="I164" s="32" t="s">
        <v>1792</v>
      </c>
      <c r="J164" s="144">
        <v>46081.0</v>
      </c>
      <c r="K164" s="37" t="s">
        <v>377</v>
      </c>
      <c r="L164" s="37" t="s">
        <v>908</v>
      </c>
      <c r="M164" s="37" t="s">
        <v>1809</v>
      </c>
      <c r="N164" s="37" t="s">
        <v>194</v>
      </c>
      <c r="O164" s="37" t="s">
        <v>199</v>
      </c>
      <c r="P164" s="37" t="s">
        <v>201</v>
      </c>
      <c r="Q164" s="41">
        <v>46057.0</v>
      </c>
      <c r="R164" s="42">
        <v>0.0</v>
      </c>
      <c r="S164" s="44" t="s">
        <v>755</v>
      </c>
      <c r="T164" s="37" t="s">
        <v>1795</v>
      </c>
      <c r="U164" s="57" t="str">
        <f>IF(records_2[Type]="Room",records_2[roomNo],records_2[roomNo]&amp;"-"&amp;SUBSTITUTE(RIGHT(records_2[roomNo]&amp;records_2[Type],2),"-",""))</f>
        <v>16-1-075-M</v>
      </c>
      <c r="V164" s="59" t="str">
        <f t="array" ref="V164">_xlfn.XLOOKUP(records_2[ID], dAir[roomNo], dAir[roomName])</f>
        <v>VIALS CAPPING (Machine)</v>
      </c>
      <c r="W164" s="59" t="str">
        <f t="array" ref="W164">_xlfn.XLOOKUP(records_2[ID], dAir[roomNo], dAir[building])</f>
        <v>Building 16</v>
      </c>
      <c r="X164" s="59" t="str">
        <f t="array" ref="X164">_xlfn.XLOOKUP(records_2[ID], dAir[roomNo], dAir[floor])</f>
        <v>Floor 1</v>
      </c>
      <c r="Y164" s="57" t="str">
        <f t="array" ref="Y164">_xlfn.XLOOKUP(records_2[ID], dAir[roomNo], dAir[Class])</f>
        <v>A</v>
      </c>
      <c r="Z164" s="57">
        <f t="array" ref="Z164">_xlfn.XLOOKUP(records_2[Method]&amp;"-"&amp;records_2[Class], dAirSpec[ID], dAirSpec[Spec])</f>
        <v>0</v>
      </c>
      <c r="AA164" s="57" t="str">
        <f t="array" ref="AA164">_xlfn.XLOOKUP(records_2[Method]&amp;"-"&amp;records_2[Class], dAirSpec[ID], dAirSpec[Unit])</f>
        <v>cfu/m3</v>
      </c>
      <c r="AB164" s="57">
        <f t="array" ref="AB164">if(R164="","", if(records_2[Method]="Active Air",_xlfn.xlookup(records_2[ColonyCount]&amp;records_2[AirSampler],feller[code],feller[Vc]),records_2[ColonyCount]))</f>
        <v>0</v>
      </c>
      <c r="AC164" s="63" t="b">
        <f t="shared" si="1"/>
        <v>1</v>
      </c>
      <c r="AD164" s="61" t="b">
        <v>0</v>
      </c>
      <c r="AE164" s="32" t="s">
        <v>280</v>
      </c>
      <c r="AF164" s="46"/>
      <c r="AG164" s="46"/>
      <c r="AH164" s="46"/>
      <c r="AI164" s="46"/>
      <c r="AJ164" s="46"/>
    </row>
    <row r="165" ht="22.5" customHeight="1">
      <c r="A165" s="27">
        <v>46062.0</v>
      </c>
      <c r="B165" s="34" t="str">
        <f t="array" ref="B165">TEXT(A165, "MM-YYYY")</f>
        <v>02-2026</v>
      </c>
      <c r="C165" s="39" t="s">
        <v>765</v>
      </c>
      <c r="D165" s="36" t="s">
        <v>755</v>
      </c>
      <c r="E165" s="36" t="s">
        <v>531</v>
      </c>
      <c r="F165" s="29" t="b">
        <v>1</v>
      </c>
      <c r="G165" s="140"/>
      <c r="H165" s="140" t="s">
        <v>1413</v>
      </c>
      <c r="I165" s="32" t="s">
        <v>1810</v>
      </c>
      <c r="J165" s="144">
        <v>46187.0</v>
      </c>
      <c r="K165" s="37" t="s">
        <v>252</v>
      </c>
      <c r="L165" s="37" t="s">
        <v>1811</v>
      </c>
      <c r="M165" s="37" t="s">
        <v>1812</v>
      </c>
      <c r="N165" s="37" t="s">
        <v>194</v>
      </c>
      <c r="O165" s="37" t="s">
        <v>199</v>
      </c>
      <c r="P165" s="37" t="s">
        <v>201</v>
      </c>
      <c r="Q165" s="41">
        <v>46057.0</v>
      </c>
      <c r="R165" s="42">
        <v>0.0</v>
      </c>
      <c r="S165" s="44" t="s">
        <v>755</v>
      </c>
      <c r="T165" s="37" t="s">
        <v>1795</v>
      </c>
      <c r="U165" s="57" t="str">
        <f>IF(records_2[Type]="Room",records_2[roomNo],records_2[roomNo]&amp;"-"&amp;SUBSTITUTE(RIGHT(records_2[roomNo]&amp;records_2[Type],2),"-",""))</f>
        <v>16-1-076-M</v>
      </c>
      <c r="V165" s="59" t="str">
        <f t="array" ref="V165">_xlfn.XLOOKUP(records_2[ID], dAir[roomNo], dAir[roomName])</f>
        <v>FILLING 2 (Machine)</v>
      </c>
      <c r="W165" s="59" t="str">
        <f t="array" ref="W165">_xlfn.XLOOKUP(records_2[ID], dAir[roomNo], dAir[building])</f>
        <v>Building 16</v>
      </c>
      <c r="X165" s="59" t="str">
        <f t="array" ref="X165">_xlfn.XLOOKUP(records_2[ID], dAir[roomNo], dAir[floor])</f>
        <v>Floor 1</v>
      </c>
      <c r="Y165" s="57" t="str">
        <f t="array" ref="Y165">_xlfn.XLOOKUP(records_2[ID], dAir[roomNo], dAir[Class])</f>
        <v>A</v>
      </c>
      <c r="Z165" s="57">
        <f t="array" ref="Z165">_xlfn.XLOOKUP(records_2[Method]&amp;"-"&amp;records_2[Class], dAirSpec[ID], dAirSpec[Spec])</f>
        <v>0</v>
      </c>
      <c r="AA165" s="57" t="str">
        <f t="array" ref="AA165">_xlfn.XLOOKUP(records_2[Method]&amp;"-"&amp;records_2[Class], dAirSpec[ID], dAirSpec[Unit])</f>
        <v>cfu/m3</v>
      </c>
      <c r="AB165" s="57">
        <f t="array" ref="AB165">if(R165="","", if(records_2[Method]="Active Air",_xlfn.xlookup(records_2[ColonyCount]&amp;records_2[AirSampler],feller[code],feller[Vc]),records_2[ColonyCount]))</f>
        <v>0</v>
      </c>
      <c r="AC165" s="63" t="b">
        <f t="shared" si="1"/>
        <v>1</v>
      </c>
      <c r="AD165" s="61" t="b">
        <v>0</v>
      </c>
      <c r="AE165" s="32" t="s">
        <v>280</v>
      </c>
      <c r="AF165" s="46"/>
      <c r="AG165" s="46"/>
      <c r="AH165" s="46"/>
      <c r="AI165" s="46"/>
      <c r="AJ165" s="46"/>
    </row>
    <row r="166" ht="22.5" customHeight="1">
      <c r="A166" s="27">
        <v>46062.0</v>
      </c>
      <c r="B166" s="34" t="str">
        <f t="array" ref="B166">TEXT(A166, "MM-YYYY")</f>
        <v>02-2026</v>
      </c>
      <c r="C166" s="39" t="s">
        <v>765</v>
      </c>
      <c r="D166" s="36" t="s">
        <v>770</v>
      </c>
      <c r="E166" s="36" t="s">
        <v>531</v>
      </c>
      <c r="F166" s="29" t="b">
        <v>1</v>
      </c>
      <c r="G166" s="140"/>
      <c r="H166" s="140" t="s">
        <v>534</v>
      </c>
      <c r="I166" s="32" t="s">
        <v>1792</v>
      </c>
      <c r="J166" s="144">
        <v>46081.0</v>
      </c>
      <c r="K166" s="37" t="s">
        <v>252</v>
      </c>
      <c r="L166" s="37" t="s">
        <v>1811</v>
      </c>
      <c r="M166" s="37" t="s">
        <v>1812</v>
      </c>
      <c r="N166" s="37" t="s">
        <v>194</v>
      </c>
      <c r="O166" s="37" t="s">
        <v>199</v>
      </c>
      <c r="P166" s="37" t="s">
        <v>201</v>
      </c>
      <c r="Q166" s="41">
        <v>46057.0</v>
      </c>
      <c r="R166" s="42">
        <v>1.0</v>
      </c>
      <c r="S166" s="44" t="s">
        <v>770</v>
      </c>
      <c r="T166" s="37" t="s">
        <v>1795</v>
      </c>
      <c r="U166" s="57" t="str">
        <f>IF(records_2[Type]="Room",records_2[roomNo],records_2[roomNo]&amp;"-"&amp;SUBSTITUTE(RIGHT(records_2[roomNo]&amp;records_2[Type],2),"-",""))</f>
        <v>16-1-076-L</v>
      </c>
      <c r="V166" s="59" t="str">
        <f t="array" ref="V166">_xlfn.XLOOKUP(records_2[ID], dAir[roomNo], dAir[roomName])</f>
        <v>FILLING 2 (Laminar)</v>
      </c>
      <c r="W166" s="59" t="str">
        <f t="array" ref="W166">_xlfn.XLOOKUP(records_2[ID], dAir[roomNo], dAir[building])</f>
        <v>Building 16</v>
      </c>
      <c r="X166" s="59" t="str">
        <f t="array" ref="X166">_xlfn.XLOOKUP(records_2[ID], dAir[roomNo], dAir[floor])</f>
        <v>Floor 1</v>
      </c>
      <c r="Y166" s="57" t="str">
        <f t="array" ref="Y166">_xlfn.XLOOKUP(records_2[ID], dAir[roomNo], dAir[Class])</f>
        <v>A</v>
      </c>
      <c r="Z166" s="57">
        <f t="array" ref="Z166">_xlfn.XLOOKUP(records_2[Method]&amp;"-"&amp;records_2[Class], dAirSpec[ID], dAirSpec[Spec])</f>
        <v>0</v>
      </c>
      <c r="AA166" s="57" t="str">
        <f t="array" ref="AA166">_xlfn.XLOOKUP(records_2[Method]&amp;"-"&amp;records_2[Class], dAirSpec[ID], dAirSpec[Unit])</f>
        <v>cfu/m3</v>
      </c>
      <c r="AB166" s="57">
        <f t="array" ref="AB166">if(R166="","", if(records_2[Method]="Active Air",_xlfn.xlookup(records_2[ColonyCount]&amp;records_2[AirSampler],feller[code],feller[Vc]),records_2[ColonyCount]))</f>
        <v>1</v>
      </c>
      <c r="AC166" s="63" t="b">
        <f t="shared" si="1"/>
        <v>0</v>
      </c>
      <c r="AD166" s="61" t="b">
        <v>1</v>
      </c>
      <c r="AE166" s="32" t="s">
        <v>280</v>
      </c>
      <c r="AF166" s="46"/>
      <c r="AG166" s="46"/>
      <c r="AH166" s="46"/>
      <c r="AI166" s="46"/>
      <c r="AJ166" s="46"/>
    </row>
    <row r="167" ht="22.5" customHeight="1">
      <c r="A167" s="27">
        <v>46062.0</v>
      </c>
      <c r="B167" s="34" t="str">
        <f t="array" ref="B167">TEXT(A167, "MM-YYYY")</f>
        <v>02-2026</v>
      </c>
      <c r="C167" s="39" t="s">
        <v>765</v>
      </c>
      <c r="D167" s="36" t="s">
        <v>210</v>
      </c>
      <c r="E167" s="36" t="s">
        <v>531</v>
      </c>
      <c r="F167" s="29" t="b">
        <v>1</v>
      </c>
      <c r="G167" s="140"/>
      <c r="H167" s="140" t="s">
        <v>1413</v>
      </c>
      <c r="I167" s="32" t="s">
        <v>1810</v>
      </c>
      <c r="J167" s="144">
        <v>46187.0</v>
      </c>
      <c r="K167" s="37" t="s">
        <v>252</v>
      </c>
      <c r="L167" s="37" t="s">
        <v>1811</v>
      </c>
      <c r="M167" s="37" t="s">
        <v>1813</v>
      </c>
      <c r="N167" s="37" t="s">
        <v>194</v>
      </c>
      <c r="O167" s="37" t="s">
        <v>199</v>
      </c>
      <c r="P167" s="37" t="s">
        <v>201</v>
      </c>
      <c r="Q167" s="41">
        <v>46057.0</v>
      </c>
      <c r="R167" s="42">
        <v>0.0</v>
      </c>
      <c r="S167" s="44" t="s">
        <v>194</v>
      </c>
      <c r="T167" s="37" t="s">
        <v>1795</v>
      </c>
      <c r="U167" s="57" t="str">
        <f>IF(records_2[Type]="Room",records_2[roomNo],records_2[roomNo]&amp;"-"&amp;SUBSTITUTE(RIGHT(records_2[roomNo]&amp;records_2[Type],2),"-",""))</f>
        <v>16-1-076</v>
      </c>
      <c r="V167" s="59" t="str">
        <f t="array" ref="V167">_xlfn.XLOOKUP(records_2[ID], dAir[roomNo], dAir[roomName])</f>
        <v>FILLING 2</v>
      </c>
      <c r="W167" s="59" t="str">
        <f t="array" ref="W167">_xlfn.XLOOKUP(records_2[ID], dAir[roomNo], dAir[building])</f>
        <v>Building 16</v>
      </c>
      <c r="X167" s="59" t="str">
        <f t="array" ref="X167">_xlfn.XLOOKUP(records_2[ID], dAir[roomNo], dAir[floor])</f>
        <v>Floor 1</v>
      </c>
      <c r="Y167" s="57" t="str">
        <f t="array" ref="Y167">_xlfn.XLOOKUP(records_2[ID], dAir[roomNo], dAir[Class])</f>
        <v>C</v>
      </c>
      <c r="Z167" s="57">
        <f t="array" ref="Z167">_xlfn.XLOOKUP(records_2[Method]&amp;"-"&amp;records_2[Class], dAirSpec[ID], dAirSpec[Spec])</f>
        <v>100</v>
      </c>
      <c r="AA167" s="57" t="str">
        <f t="array" ref="AA167">_xlfn.XLOOKUP(records_2[Method]&amp;"-"&amp;records_2[Class], dAirSpec[ID], dAirSpec[Unit])</f>
        <v>cfu/m3</v>
      </c>
      <c r="AB167" s="57">
        <f t="array" ref="AB167">if(R167="","", if(records_2[Method]="Active Air",_xlfn.xlookup(records_2[ColonyCount]&amp;records_2[AirSampler],feller[code],feller[Vc]),records_2[ColonyCount]))</f>
        <v>0</v>
      </c>
      <c r="AC167" s="63" t="b">
        <f t="shared" si="1"/>
        <v>1</v>
      </c>
      <c r="AD167" s="61" t="b">
        <v>0</v>
      </c>
      <c r="AE167" s="32" t="s">
        <v>280</v>
      </c>
      <c r="AF167" s="46"/>
      <c r="AG167" s="46"/>
      <c r="AH167" s="46"/>
      <c r="AI167" s="46"/>
      <c r="AJ167" s="46"/>
    </row>
    <row r="168" ht="22.5" customHeight="1">
      <c r="A168" s="27">
        <v>46062.0</v>
      </c>
      <c r="B168" s="34" t="str">
        <f t="array" ref="B168">TEXT(A168, "MM-YYYY")</f>
        <v>02-2026</v>
      </c>
      <c r="C168" s="39" t="s">
        <v>729</v>
      </c>
      <c r="D168" s="36" t="s">
        <v>210</v>
      </c>
      <c r="E168" s="36" t="s">
        <v>531</v>
      </c>
      <c r="F168" s="29" t="b">
        <v>1</v>
      </c>
      <c r="G168" s="140"/>
      <c r="H168" s="140" t="s">
        <v>1413</v>
      </c>
      <c r="I168" s="32" t="s">
        <v>1810</v>
      </c>
      <c r="J168" s="144">
        <v>46187.0</v>
      </c>
      <c r="K168" s="37" t="s">
        <v>326</v>
      </c>
      <c r="L168" s="37" t="s">
        <v>842</v>
      </c>
      <c r="M168" s="37" t="s">
        <v>1588</v>
      </c>
      <c r="N168" s="37" t="s">
        <v>194</v>
      </c>
      <c r="O168" s="37" t="s">
        <v>199</v>
      </c>
      <c r="P168" s="37" t="s">
        <v>201</v>
      </c>
      <c r="Q168" s="41">
        <v>46057.0</v>
      </c>
      <c r="R168" s="42">
        <v>0.0</v>
      </c>
      <c r="S168" s="44" t="s">
        <v>194</v>
      </c>
      <c r="T168" s="37" t="s">
        <v>1795</v>
      </c>
      <c r="U168" s="57" t="str">
        <f>IF(records_2[Type]="Room",records_2[roomNo],records_2[roomNo]&amp;"-"&amp;SUBSTITUTE(RIGHT(records_2[roomNo]&amp;records_2[Type],2),"-",""))</f>
        <v>16-1-077</v>
      </c>
      <c r="V168" s="59" t="str">
        <f t="array" ref="V168">_xlfn.XLOOKUP(records_2[ID], dAir[roomNo], dAir[roomName])</f>
        <v>FILTRATION 2</v>
      </c>
      <c r="W168" s="59" t="str">
        <f t="array" ref="W168">_xlfn.XLOOKUP(records_2[ID], dAir[roomNo], dAir[building])</f>
        <v>Building 16</v>
      </c>
      <c r="X168" s="59" t="str">
        <f t="array" ref="X168">_xlfn.XLOOKUP(records_2[ID], dAir[roomNo], dAir[floor])</f>
        <v>Floor 1</v>
      </c>
      <c r="Y168" s="57" t="str">
        <f t="array" ref="Y168">_xlfn.XLOOKUP(records_2[ID], dAir[roomNo], dAir[Class])</f>
        <v>C</v>
      </c>
      <c r="Z168" s="57">
        <f t="array" ref="Z168">_xlfn.XLOOKUP(records_2[Method]&amp;"-"&amp;records_2[Class], dAirSpec[ID], dAirSpec[Spec])</f>
        <v>100</v>
      </c>
      <c r="AA168" s="57" t="str">
        <f t="array" ref="AA168">_xlfn.XLOOKUP(records_2[Method]&amp;"-"&amp;records_2[Class], dAirSpec[ID], dAirSpec[Unit])</f>
        <v>cfu/m3</v>
      </c>
      <c r="AB168" s="57">
        <f t="array" ref="AB168">if(R168="","", if(records_2[Method]="Active Air",_xlfn.xlookup(records_2[ColonyCount]&amp;records_2[AirSampler],feller[code],feller[Vc]),records_2[ColonyCount]))</f>
        <v>0</v>
      </c>
      <c r="AC168" s="63" t="b">
        <f t="shared" si="1"/>
        <v>1</v>
      </c>
      <c r="AD168" s="61" t="b">
        <v>0</v>
      </c>
      <c r="AE168" s="32" t="s">
        <v>280</v>
      </c>
      <c r="AF168" s="46"/>
      <c r="AG168" s="46"/>
      <c r="AH168" s="46"/>
      <c r="AI168" s="46"/>
      <c r="AJ168" s="46"/>
    </row>
    <row r="169" ht="22.5" customHeight="1">
      <c r="A169" s="27">
        <v>46062.0</v>
      </c>
      <c r="B169" s="34" t="str">
        <f t="array" ref="B169">TEXT(A169, "MM-YYYY")</f>
        <v>02-2026</v>
      </c>
      <c r="C169" s="39" t="s">
        <v>1041</v>
      </c>
      <c r="D169" s="36" t="s">
        <v>210</v>
      </c>
      <c r="E169" s="36" t="s">
        <v>531</v>
      </c>
      <c r="F169" s="29" t="b">
        <v>1</v>
      </c>
      <c r="G169" s="140"/>
      <c r="H169" s="140" t="s">
        <v>1413</v>
      </c>
      <c r="I169" s="32" t="s">
        <v>1810</v>
      </c>
      <c r="J169" s="144">
        <v>46187.0</v>
      </c>
      <c r="K169" s="37" t="s">
        <v>303</v>
      </c>
      <c r="L169" s="37" t="s">
        <v>1806</v>
      </c>
      <c r="M169" s="37" t="s">
        <v>827</v>
      </c>
      <c r="N169" s="37" t="s">
        <v>194</v>
      </c>
      <c r="O169" s="37" t="s">
        <v>199</v>
      </c>
      <c r="P169" s="37" t="s">
        <v>201</v>
      </c>
      <c r="Q169" s="41">
        <v>46057.0</v>
      </c>
      <c r="R169" s="42">
        <v>1.0</v>
      </c>
      <c r="S169" s="29" t="s">
        <v>1043</v>
      </c>
      <c r="T169" s="37" t="s">
        <v>1795</v>
      </c>
      <c r="U169" s="57" t="str">
        <f>IF(records_2[Type]="Room",records_2[roomNo],records_2[roomNo]&amp;"-"&amp;SUBSTITUTE(RIGHT(records_2[roomNo]&amp;records_2[Type],2),"-",""))</f>
        <v>16-1-078</v>
      </c>
      <c r="V169" s="59" t="str">
        <f t="array" ref="V169">_xlfn.XLOOKUP(records_2[ID], dAir[roomNo], dAir[roomName])</f>
        <v>PASSAGE</v>
      </c>
      <c r="W169" s="59" t="str">
        <f t="array" ref="W169">_xlfn.XLOOKUP(records_2[ID], dAir[roomNo], dAir[building])</f>
        <v>Building 16</v>
      </c>
      <c r="X169" s="59" t="str">
        <f t="array" ref="X169">_xlfn.XLOOKUP(records_2[ID], dAir[roomNo], dAir[floor])</f>
        <v>Floor 1</v>
      </c>
      <c r="Y169" s="57" t="str">
        <f t="array" ref="Y169">_xlfn.XLOOKUP(records_2[ID], dAir[roomNo], dAir[Class])</f>
        <v>C</v>
      </c>
      <c r="Z169" s="57">
        <f t="array" ref="Z169">_xlfn.XLOOKUP(records_2[Method]&amp;"-"&amp;records_2[Class], dAirSpec[ID], dAirSpec[Spec])</f>
        <v>100</v>
      </c>
      <c r="AA169" s="57" t="str">
        <f t="array" ref="AA169">_xlfn.XLOOKUP(records_2[Method]&amp;"-"&amp;records_2[Class], dAirSpec[ID], dAirSpec[Unit])</f>
        <v>cfu/m3</v>
      </c>
      <c r="AB169" s="57">
        <f t="array" ref="AB169">if(R169="","", if(records_2[Method]="Active Air",_xlfn.xlookup(records_2[ColonyCount]&amp;records_2[AirSampler],feller[code],feller[Vc]),records_2[ColonyCount]))</f>
        <v>1</v>
      </c>
      <c r="AC169" s="63" t="b">
        <f t="shared" si="1"/>
        <v>1</v>
      </c>
      <c r="AD169" s="61" t="b">
        <v>0</v>
      </c>
      <c r="AE169" s="32" t="s">
        <v>280</v>
      </c>
      <c r="AF169" s="46"/>
      <c r="AG169" s="46"/>
      <c r="AH169" s="46"/>
      <c r="AI169" s="46"/>
      <c r="AJ169" s="46"/>
    </row>
    <row r="170" ht="22.5" customHeight="1">
      <c r="A170" s="27">
        <v>46062.0</v>
      </c>
      <c r="B170" s="34" t="str">
        <f t="array" ref="B170">TEXT(A170, "MM-YYYY")</f>
        <v>02-2026</v>
      </c>
      <c r="C170" s="39" t="s">
        <v>1047</v>
      </c>
      <c r="D170" s="36" t="s">
        <v>210</v>
      </c>
      <c r="E170" s="36" t="s">
        <v>531</v>
      </c>
      <c r="F170" s="29" t="b">
        <v>1</v>
      </c>
      <c r="G170" s="140"/>
      <c r="H170" s="140" t="s">
        <v>1413</v>
      </c>
      <c r="I170" s="32" t="s">
        <v>1810</v>
      </c>
      <c r="J170" s="144">
        <v>46187.0</v>
      </c>
      <c r="K170" s="37" t="s">
        <v>381</v>
      </c>
      <c r="L170" s="37" t="s">
        <v>1833</v>
      </c>
      <c r="M170" s="37" t="s">
        <v>939</v>
      </c>
      <c r="N170" s="37" t="s">
        <v>194</v>
      </c>
      <c r="O170" s="37" t="s">
        <v>199</v>
      </c>
      <c r="P170" s="37" t="s">
        <v>201</v>
      </c>
      <c r="Q170" s="41">
        <v>46057.0</v>
      </c>
      <c r="R170" s="42">
        <v>0.0</v>
      </c>
      <c r="S170" s="44" t="s">
        <v>194</v>
      </c>
      <c r="T170" s="37" t="s">
        <v>1795</v>
      </c>
      <c r="U170" s="57" t="str">
        <f>IF(records_2[Type]="Room",records_2[roomNo],records_2[roomNo]&amp;"-"&amp;SUBSTITUTE(RIGHT(records_2[roomNo]&amp;records_2[Type],2),"-",""))</f>
        <v>16-1-079</v>
      </c>
      <c r="V170" s="59" t="str">
        <f t="array" ref="V170">_xlfn.XLOOKUP(records_2[ID], dAir[roomNo], dAir[roomName])</f>
        <v>COOLING ZONE</v>
      </c>
      <c r="W170" s="59" t="str">
        <f t="array" ref="W170">_xlfn.XLOOKUP(records_2[ID], dAir[roomNo], dAir[building])</f>
        <v>Building 16</v>
      </c>
      <c r="X170" s="59" t="str">
        <f t="array" ref="X170">_xlfn.XLOOKUP(records_2[ID], dAir[roomNo], dAir[floor])</f>
        <v>Floor 1</v>
      </c>
      <c r="Y170" s="57" t="str">
        <f t="array" ref="Y170">_xlfn.XLOOKUP(records_2[ID], dAir[roomNo], dAir[Class])</f>
        <v>C</v>
      </c>
      <c r="Z170" s="57">
        <f t="array" ref="Z170">_xlfn.XLOOKUP(records_2[Method]&amp;"-"&amp;records_2[Class], dAirSpec[ID], dAirSpec[Spec])</f>
        <v>100</v>
      </c>
      <c r="AA170" s="57" t="str">
        <f t="array" ref="AA170">_xlfn.XLOOKUP(records_2[Method]&amp;"-"&amp;records_2[Class], dAirSpec[ID], dAirSpec[Unit])</f>
        <v>cfu/m3</v>
      </c>
      <c r="AB170" s="57">
        <f t="array" ref="AB170">if(R170="","", if(records_2[Method]="Active Air",_xlfn.xlookup(records_2[ColonyCount]&amp;records_2[AirSampler],feller[code],feller[Vc]),records_2[ColonyCount]))</f>
        <v>0</v>
      </c>
      <c r="AC170" s="63" t="b">
        <f t="shared" si="1"/>
        <v>1</v>
      </c>
      <c r="AD170" s="61" t="b">
        <v>0</v>
      </c>
      <c r="AE170" s="32" t="s">
        <v>280</v>
      </c>
      <c r="AF170" s="46"/>
      <c r="AG170" s="46"/>
      <c r="AH170" s="46"/>
      <c r="AI170" s="46"/>
      <c r="AJ170" s="46"/>
    </row>
    <row r="171" ht="22.5" customHeight="1">
      <c r="A171" s="27">
        <v>46062.0</v>
      </c>
      <c r="B171" s="34" t="str">
        <f t="array" ref="B171">TEXT(A171, "MM-YYYY")</f>
        <v>02-2026</v>
      </c>
      <c r="C171" s="39" t="s">
        <v>1052</v>
      </c>
      <c r="D171" s="36" t="s">
        <v>210</v>
      </c>
      <c r="E171" s="36" t="s">
        <v>531</v>
      </c>
      <c r="F171" s="29" t="b">
        <v>1</v>
      </c>
      <c r="G171" s="140"/>
      <c r="H171" s="140" t="s">
        <v>1413</v>
      </c>
      <c r="I171" s="32" t="s">
        <v>1810</v>
      </c>
      <c r="J171" s="144">
        <v>46187.0</v>
      </c>
      <c r="K171" s="37" t="s">
        <v>292</v>
      </c>
      <c r="L171" s="37" t="s">
        <v>570</v>
      </c>
      <c r="M171" s="37" t="s">
        <v>1836</v>
      </c>
      <c r="N171" s="37" t="s">
        <v>194</v>
      </c>
      <c r="O171" s="37" t="s">
        <v>199</v>
      </c>
      <c r="P171" s="37" t="s">
        <v>201</v>
      </c>
      <c r="Q171" s="41">
        <v>46057.0</v>
      </c>
      <c r="R171" s="42">
        <v>0.0</v>
      </c>
      <c r="S171" s="44" t="s">
        <v>194</v>
      </c>
      <c r="T171" s="37" t="s">
        <v>1795</v>
      </c>
      <c r="U171" s="57" t="str">
        <f>IF(records_2[Type]="Room",records_2[roomNo],records_2[roomNo]&amp;"-"&amp;SUBSTITUTE(RIGHT(records_2[roomNo]&amp;records_2[Type],2),"-",""))</f>
        <v>16-1-080</v>
      </c>
      <c r="V171" s="59" t="str">
        <f t="array" ref="V171">_xlfn.XLOOKUP(records_2[ID], dAir[roomNo], dAir[roomName])</f>
        <v>TOOL STORAGE</v>
      </c>
      <c r="W171" s="59" t="str">
        <f t="array" ref="W171">_xlfn.XLOOKUP(records_2[ID], dAir[roomNo], dAir[building])</f>
        <v>Building 16</v>
      </c>
      <c r="X171" s="59" t="str">
        <f t="array" ref="X171">_xlfn.XLOOKUP(records_2[ID], dAir[roomNo], dAir[floor])</f>
        <v>Floor 1</v>
      </c>
      <c r="Y171" s="57" t="str">
        <f t="array" ref="Y171">_xlfn.XLOOKUP(records_2[ID], dAir[roomNo], dAir[Class])</f>
        <v>C</v>
      </c>
      <c r="Z171" s="57">
        <f t="array" ref="Z171">_xlfn.XLOOKUP(records_2[Method]&amp;"-"&amp;records_2[Class], dAirSpec[ID], dAirSpec[Spec])</f>
        <v>100</v>
      </c>
      <c r="AA171" s="57" t="str">
        <f t="array" ref="AA171">_xlfn.XLOOKUP(records_2[Method]&amp;"-"&amp;records_2[Class], dAirSpec[ID], dAirSpec[Unit])</f>
        <v>cfu/m3</v>
      </c>
      <c r="AB171" s="57">
        <f t="array" ref="AB171">if(R171="","", if(records_2[Method]="Active Air",_xlfn.xlookup(records_2[ColonyCount]&amp;records_2[AirSampler],feller[code],feller[Vc]),records_2[ColonyCount]))</f>
        <v>0</v>
      </c>
      <c r="AC171" s="63" t="b">
        <f t="shared" si="1"/>
        <v>1</v>
      </c>
      <c r="AD171" s="61" t="b">
        <v>0</v>
      </c>
      <c r="AE171" s="32" t="s">
        <v>280</v>
      </c>
      <c r="AF171" s="46"/>
      <c r="AG171" s="46"/>
      <c r="AH171" s="46"/>
      <c r="AI171" s="46"/>
      <c r="AJ171" s="46"/>
    </row>
    <row r="172" ht="22.5" customHeight="1">
      <c r="A172" s="27">
        <v>46062.0</v>
      </c>
      <c r="B172" s="34" t="str">
        <f t="array" ref="B172">TEXT(A172, "MM-YYYY")</f>
        <v>02-2026</v>
      </c>
      <c r="C172" s="39" t="s">
        <v>1068</v>
      </c>
      <c r="D172" s="36" t="s">
        <v>210</v>
      </c>
      <c r="E172" s="36" t="s">
        <v>531</v>
      </c>
      <c r="F172" s="29" t="b">
        <v>1</v>
      </c>
      <c r="G172" s="140"/>
      <c r="H172" s="140" t="s">
        <v>534</v>
      </c>
      <c r="I172" s="32" t="s">
        <v>1792</v>
      </c>
      <c r="J172" s="144">
        <v>46081.0</v>
      </c>
      <c r="K172" s="37" t="s">
        <v>326</v>
      </c>
      <c r="L172" s="37" t="s">
        <v>1839</v>
      </c>
      <c r="M172" s="37" t="s">
        <v>1840</v>
      </c>
      <c r="N172" s="37" t="s">
        <v>194</v>
      </c>
      <c r="O172" s="37" t="s">
        <v>199</v>
      </c>
      <c r="P172" s="37" t="s">
        <v>201</v>
      </c>
      <c r="Q172" s="41">
        <v>46057.0</v>
      </c>
      <c r="R172" s="42">
        <v>1.0</v>
      </c>
      <c r="S172" s="44" t="s">
        <v>194</v>
      </c>
      <c r="T172" s="37" t="s">
        <v>1795</v>
      </c>
      <c r="U172" s="57" t="str">
        <f>IF(records_2[Type]="Room",records_2[roomNo],records_2[roomNo]&amp;"-"&amp;SUBSTITUTE(RIGHT(records_2[roomNo]&amp;records_2[Type],2),"-",""))</f>
        <v>16-1-081</v>
      </c>
      <c r="V172" s="59" t="str">
        <f t="array" ref="V172">_xlfn.XLOOKUP(records_2[ID], dAir[roomNo], dAir[roomName])</f>
        <v>AIRLOCK</v>
      </c>
      <c r="W172" s="59" t="str">
        <f t="array" ref="W172">_xlfn.XLOOKUP(records_2[ID], dAir[roomNo], dAir[building])</f>
        <v>Building 16</v>
      </c>
      <c r="X172" s="59" t="str">
        <f t="array" ref="X172">_xlfn.XLOOKUP(records_2[ID], dAir[roomNo], dAir[floor])</f>
        <v>Floor 1</v>
      </c>
      <c r="Y172" s="57" t="str">
        <f t="array" ref="Y172">_xlfn.XLOOKUP(records_2[ID], dAir[roomNo], dAir[Class])</f>
        <v>C</v>
      </c>
      <c r="Z172" s="57">
        <f t="array" ref="Z172">_xlfn.XLOOKUP(records_2[Method]&amp;"-"&amp;records_2[Class], dAirSpec[ID], dAirSpec[Spec])</f>
        <v>100</v>
      </c>
      <c r="AA172" s="57" t="str">
        <f t="array" ref="AA172">_xlfn.XLOOKUP(records_2[Method]&amp;"-"&amp;records_2[Class], dAirSpec[ID], dAirSpec[Unit])</f>
        <v>cfu/m3</v>
      </c>
      <c r="AB172" s="57">
        <f t="array" ref="AB172">if(R172="","", if(records_2[Method]="Active Air",_xlfn.xlookup(records_2[ColonyCount]&amp;records_2[AirSampler],feller[code],feller[Vc]),records_2[ColonyCount]))</f>
        <v>1</v>
      </c>
      <c r="AC172" s="63" t="b">
        <f t="shared" si="1"/>
        <v>1</v>
      </c>
      <c r="AD172" s="61" t="b">
        <v>0</v>
      </c>
      <c r="AE172" s="32" t="s">
        <v>280</v>
      </c>
      <c r="AF172" s="46"/>
      <c r="AG172" s="46"/>
      <c r="AH172" s="46"/>
      <c r="AI172" s="46"/>
      <c r="AJ172" s="46"/>
    </row>
    <row r="173" ht="22.5" customHeight="1">
      <c r="A173" s="27">
        <v>46062.0</v>
      </c>
      <c r="B173" s="34" t="str">
        <f t="array" ref="B173">TEXT(A173, "MM-YYYY")</f>
        <v>02-2026</v>
      </c>
      <c r="C173" s="39" t="s">
        <v>736</v>
      </c>
      <c r="D173" s="36" t="s">
        <v>210</v>
      </c>
      <c r="E173" s="36" t="s">
        <v>531</v>
      </c>
      <c r="F173" s="29" t="b">
        <v>1</v>
      </c>
      <c r="G173" s="140"/>
      <c r="H173" s="140" t="s">
        <v>534</v>
      </c>
      <c r="I173" s="32" t="s">
        <v>1792</v>
      </c>
      <c r="J173" s="144">
        <v>46081.0</v>
      </c>
      <c r="K173" s="37" t="s">
        <v>314</v>
      </c>
      <c r="L173" s="37" t="s">
        <v>1841</v>
      </c>
      <c r="M173" s="37" t="s">
        <v>1842</v>
      </c>
      <c r="N173" s="37" t="s">
        <v>194</v>
      </c>
      <c r="O173" s="37" t="s">
        <v>199</v>
      </c>
      <c r="P173" s="37" t="s">
        <v>201</v>
      </c>
      <c r="Q173" s="41">
        <v>46057.0</v>
      </c>
      <c r="R173" s="42">
        <v>2.0</v>
      </c>
      <c r="S173" s="44" t="s">
        <v>194</v>
      </c>
      <c r="T173" s="37" t="s">
        <v>1795</v>
      </c>
      <c r="U173" s="57" t="str">
        <f>IF(records_2[Type]="Room",records_2[roomNo],records_2[roomNo]&amp;"-"&amp;SUBSTITUTE(RIGHT(records_2[roomNo]&amp;records_2[Type],2),"-",""))</f>
        <v>16-1-082</v>
      </c>
      <c r="V173" s="59" t="str">
        <f t="array" ref="V173">_xlfn.XLOOKUP(records_2[ID], dAir[roomNo], dAir[roomName])</f>
        <v>WASHING</v>
      </c>
      <c r="W173" s="59" t="str">
        <f t="array" ref="W173">_xlfn.XLOOKUP(records_2[ID], dAir[roomNo], dAir[building])</f>
        <v>Building 16</v>
      </c>
      <c r="X173" s="59" t="str">
        <f t="array" ref="X173">_xlfn.XLOOKUP(records_2[ID], dAir[roomNo], dAir[floor])</f>
        <v>Floor 1</v>
      </c>
      <c r="Y173" s="57" t="str">
        <f t="array" ref="Y173">_xlfn.XLOOKUP(records_2[ID], dAir[roomNo], dAir[Class])</f>
        <v>C</v>
      </c>
      <c r="Z173" s="57">
        <f t="array" ref="Z173">_xlfn.XLOOKUP(records_2[Method]&amp;"-"&amp;records_2[Class], dAirSpec[ID], dAirSpec[Spec])</f>
        <v>100</v>
      </c>
      <c r="AA173" s="57" t="str">
        <f t="array" ref="AA173">_xlfn.XLOOKUP(records_2[Method]&amp;"-"&amp;records_2[Class], dAirSpec[ID], dAirSpec[Unit])</f>
        <v>cfu/m3</v>
      </c>
      <c r="AB173" s="57">
        <f t="array" ref="AB173">if(R173="","", if(records_2[Method]="Active Air",_xlfn.xlookup(records_2[ColonyCount]&amp;records_2[AirSampler],feller[code],feller[Vc]),records_2[ColonyCount]))</f>
        <v>2</v>
      </c>
      <c r="AC173" s="63" t="b">
        <f t="shared" si="1"/>
        <v>1</v>
      </c>
      <c r="AD173" s="61" t="b">
        <v>0</v>
      </c>
      <c r="AE173" s="32" t="s">
        <v>280</v>
      </c>
      <c r="AF173" s="46"/>
      <c r="AG173" s="46"/>
      <c r="AH173" s="46"/>
      <c r="AI173" s="46"/>
      <c r="AJ173" s="46"/>
    </row>
    <row r="174" ht="22.5" customHeight="1">
      <c r="A174" s="27">
        <v>46062.0</v>
      </c>
      <c r="B174" s="34" t="str">
        <f t="array" ref="B174">TEXT(A174, "MM-YYYY")</f>
        <v>02-2026</v>
      </c>
      <c r="C174" s="39" t="s">
        <v>740</v>
      </c>
      <c r="D174" s="36" t="s">
        <v>210</v>
      </c>
      <c r="E174" s="36" t="s">
        <v>531</v>
      </c>
      <c r="F174" s="29" t="b">
        <v>1</v>
      </c>
      <c r="G174" s="140"/>
      <c r="H174" s="140" t="s">
        <v>1413</v>
      </c>
      <c r="I174" s="32" t="s">
        <v>1810</v>
      </c>
      <c r="J174" s="144">
        <v>46187.0</v>
      </c>
      <c r="K174" s="37" t="s">
        <v>1546</v>
      </c>
      <c r="L174" s="37" t="s">
        <v>1806</v>
      </c>
      <c r="M174" s="37" t="s">
        <v>1843</v>
      </c>
      <c r="N174" s="37" t="s">
        <v>194</v>
      </c>
      <c r="O174" s="37" t="s">
        <v>199</v>
      </c>
      <c r="P174" s="37" t="s">
        <v>201</v>
      </c>
      <c r="Q174" s="41">
        <v>46057.0</v>
      </c>
      <c r="R174" s="42">
        <v>0.0</v>
      </c>
      <c r="S174" s="44" t="s">
        <v>194</v>
      </c>
      <c r="T174" s="37" t="s">
        <v>1795</v>
      </c>
      <c r="U174" s="57" t="str">
        <f>IF(records_2[Type]="Room",records_2[roomNo],records_2[roomNo]&amp;"-"&amp;SUBSTITUTE(RIGHT(records_2[roomNo]&amp;records_2[Type],2),"-",""))</f>
        <v>16-1-083</v>
      </c>
      <c r="V174" s="59" t="str">
        <f t="array" ref="V174">_xlfn.XLOOKUP(records_2[ID], dAir[roomNo], dAir[roomName])</f>
        <v>FILTRATION 1</v>
      </c>
      <c r="W174" s="59" t="str">
        <f t="array" ref="W174">_xlfn.XLOOKUP(records_2[ID], dAir[roomNo], dAir[building])</f>
        <v>Building 16</v>
      </c>
      <c r="X174" s="59" t="str">
        <f t="array" ref="X174">_xlfn.XLOOKUP(records_2[ID], dAir[roomNo], dAir[floor])</f>
        <v>Floor 1</v>
      </c>
      <c r="Y174" s="57" t="str">
        <f t="array" ref="Y174">_xlfn.XLOOKUP(records_2[ID], dAir[roomNo], dAir[Class])</f>
        <v>C</v>
      </c>
      <c r="Z174" s="57">
        <f t="array" ref="Z174">_xlfn.XLOOKUP(records_2[Method]&amp;"-"&amp;records_2[Class], dAirSpec[ID], dAirSpec[Spec])</f>
        <v>100</v>
      </c>
      <c r="AA174" s="57" t="str">
        <f t="array" ref="AA174">_xlfn.XLOOKUP(records_2[Method]&amp;"-"&amp;records_2[Class], dAirSpec[ID], dAirSpec[Unit])</f>
        <v>cfu/m3</v>
      </c>
      <c r="AB174" s="57">
        <f t="array" ref="AB174">if(R174="","", if(records_2[Method]="Active Air",_xlfn.xlookup(records_2[ColonyCount]&amp;records_2[AirSampler],feller[code],feller[Vc]),records_2[ColonyCount]))</f>
        <v>0</v>
      </c>
      <c r="AC174" s="63" t="b">
        <f t="shared" si="1"/>
        <v>1</v>
      </c>
      <c r="AD174" s="61" t="b">
        <v>0</v>
      </c>
      <c r="AE174" s="32" t="s">
        <v>280</v>
      </c>
      <c r="AF174" s="46"/>
      <c r="AG174" s="46"/>
      <c r="AH174" s="46"/>
      <c r="AI174" s="46"/>
      <c r="AJ174" s="46"/>
    </row>
    <row r="175" ht="22.5" customHeight="1">
      <c r="A175" s="27">
        <v>46062.0</v>
      </c>
      <c r="B175" s="34" t="str">
        <f t="array" ref="B175">TEXT(A175, "MM-YYYY")</f>
        <v>02-2026</v>
      </c>
      <c r="C175" s="39" t="s">
        <v>774</v>
      </c>
      <c r="D175" s="36" t="s">
        <v>755</v>
      </c>
      <c r="E175" s="36" t="s">
        <v>531</v>
      </c>
      <c r="F175" s="29" t="b">
        <v>1</v>
      </c>
      <c r="G175" s="140"/>
      <c r="H175" s="140" t="s">
        <v>1413</v>
      </c>
      <c r="I175" s="32" t="s">
        <v>1810</v>
      </c>
      <c r="J175" s="144">
        <v>46187.0</v>
      </c>
      <c r="K175" s="37" t="s">
        <v>458</v>
      </c>
      <c r="L175" s="37" t="s">
        <v>1845</v>
      </c>
      <c r="M175" s="37" t="s">
        <v>1846</v>
      </c>
      <c r="N175" s="37" t="s">
        <v>194</v>
      </c>
      <c r="O175" s="37" t="s">
        <v>199</v>
      </c>
      <c r="P175" s="37" t="s">
        <v>201</v>
      </c>
      <c r="Q175" s="41">
        <v>46057.0</v>
      </c>
      <c r="R175" s="42">
        <v>0.0</v>
      </c>
      <c r="S175" s="44" t="s">
        <v>755</v>
      </c>
      <c r="T175" s="37" t="s">
        <v>1795</v>
      </c>
      <c r="U175" s="57" t="str">
        <f>IF(records_2[Type]="Room",records_2[roomNo],records_2[roomNo]&amp;"-"&amp;SUBSTITUTE(RIGHT(records_2[roomNo]&amp;records_2[Type],2),"-",""))</f>
        <v>16-1-084-M</v>
      </c>
      <c r="V175" s="59" t="str">
        <f t="array" ref="V175">_xlfn.XLOOKUP(records_2[ID], dAir[roomNo], dAir[roomName])</f>
        <v>FILLING 1 (Machine)</v>
      </c>
      <c r="W175" s="59" t="str">
        <f t="array" ref="W175">_xlfn.XLOOKUP(records_2[ID], dAir[roomNo], dAir[building])</f>
        <v>Building 16</v>
      </c>
      <c r="X175" s="59" t="str">
        <f t="array" ref="X175">_xlfn.XLOOKUP(records_2[ID], dAir[roomNo], dAir[floor])</f>
        <v>Floor 1</v>
      </c>
      <c r="Y175" s="57" t="str">
        <f t="array" ref="Y175">_xlfn.XLOOKUP(records_2[ID], dAir[roomNo], dAir[Class])</f>
        <v>A</v>
      </c>
      <c r="Z175" s="57">
        <f t="array" ref="Z175">_xlfn.XLOOKUP(records_2[Method]&amp;"-"&amp;records_2[Class], dAirSpec[ID], dAirSpec[Spec])</f>
        <v>0</v>
      </c>
      <c r="AA175" s="57" t="str">
        <f t="array" ref="AA175">_xlfn.XLOOKUP(records_2[Method]&amp;"-"&amp;records_2[Class], dAirSpec[ID], dAirSpec[Unit])</f>
        <v>cfu/m3</v>
      </c>
      <c r="AB175" s="57">
        <f t="array" ref="AB175">if(R175="","", if(records_2[Method]="Active Air",_xlfn.xlookup(records_2[ColonyCount]&amp;records_2[AirSampler],feller[code],feller[Vc]),records_2[ColonyCount]))</f>
        <v>0</v>
      </c>
      <c r="AC175" s="63" t="b">
        <f t="shared" si="1"/>
        <v>1</v>
      </c>
      <c r="AD175" s="61" t="b">
        <v>0</v>
      </c>
      <c r="AE175" s="32" t="s">
        <v>280</v>
      </c>
      <c r="AF175" s="46"/>
      <c r="AG175" s="46"/>
      <c r="AH175" s="46"/>
      <c r="AI175" s="46"/>
      <c r="AJ175" s="46"/>
    </row>
    <row r="176" ht="22.5" customHeight="1">
      <c r="A176" s="27">
        <v>46062.0</v>
      </c>
      <c r="B176" s="34" t="str">
        <f t="array" ref="B176">TEXT(A176, "MM-YYYY")</f>
        <v>02-2026</v>
      </c>
      <c r="C176" s="39" t="s">
        <v>774</v>
      </c>
      <c r="D176" s="36" t="s">
        <v>770</v>
      </c>
      <c r="E176" s="36" t="s">
        <v>531</v>
      </c>
      <c r="F176" s="29" t="b">
        <v>1</v>
      </c>
      <c r="G176" s="140"/>
      <c r="H176" s="140" t="s">
        <v>534</v>
      </c>
      <c r="I176" s="32" t="s">
        <v>1792</v>
      </c>
      <c r="J176" s="144">
        <v>46081.0</v>
      </c>
      <c r="K176" s="37" t="s">
        <v>458</v>
      </c>
      <c r="L176" s="37" t="s">
        <v>1845</v>
      </c>
      <c r="M176" s="37" t="s">
        <v>1846</v>
      </c>
      <c r="N176" s="37" t="s">
        <v>194</v>
      </c>
      <c r="O176" s="37" t="s">
        <v>199</v>
      </c>
      <c r="P176" s="37" t="s">
        <v>201</v>
      </c>
      <c r="Q176" s="41">
        <v>46057.0</v>
      </c>
      <c r="R176" s="42">
        <v>0.0</v>
      </c>
      <c r="S176" s="44" t="s">
        <v>770</v>
      </c>
      <c r="T176" s="37" t="s">
        <v>1795</v>
      </c>
      <c r="U176" s="57" t="str">
        <f>IF(records_2[Type]="Room",records_2[roomNo],records_2[roomNo]&amp;"-"&amp;SUBSTITUTE(RIGHT(records_2[roomNo]&amp;records_2[Type],2),"-",""))</f>
        <v>16-1-084-L</v>
      </c>
      <c r="V176" s="59" t="str">
        <f t="array" ref="V176">_xlfn.XLOOKUP(records_2[ID], dAir[roomNo], dAir[roomName])</f>
        <v>FILLING 1 (Laminar)</v>
      </c>
      <c r="W176" s="59" t="str">
        <f t="array" ref="W176">_xlfn.XLOOKUP(records_2[ID], dAir[roomNo], dAir[building])</f>
        <v>Building 16</v>
      </c>
      <c r="X176" s="59" t="str">
        <f t="array" ref="X176">_xlfn.XLOOKUP(records_2[ID], dAir[roomNo], dAir[floor])</f>
        <v>Floor 1</v>
      </c>
      <c r="Y176" s="57" t="str">
        <f t="array" ref="Y176">_xlfn.XLOOKUP(records_2[ID], dAir[roomNo], dAir[Class])</f>
        <v>A</v>
      </c>
      <c r="Z176" s="57">
        <f t="array" ref="Z176">_xlfn.XLOOKUP(records_2[Method]&amp;"-"&amp;records_2[Class], dAirSpec[ID], dAirSpec[Spec])</f>
        <v>0</v>
      </c>
      <c r="AA176" s="57" t="str">
        <f t="array" ref="AA176">_xlfn.XLOOKUP(records_2[Method]&amp;"-"&amp;records_2[Class], dAirSpec[ID], dAirSpec[Unit])</f>
        <v>cfu/m3</v>
      </c>
      <c r="AB176" s="57">
        <f t="array" ref="AB176">if(R176="","", if(records_2[Method]="Active Air",_xlfn.xlookup(records_2[ColonyCount]&amp;records_2[AirSampler],feller[code],feller[Vc]),records_2[ColonyCount]))</f>
        <v>0</v>
      </c>
      <c r="AC176" s="63" t="b">
        <f t="shared" si="1"/>
        <v>1</v>
      </c>
      <c r="AD176" s="61" t="b">
        <v>0</v>
      </c>
      <c r="AE176" s="32" t="s">
        <v>280</v>
      </c>
      <c r="AF176" s="46"/>
      <c r="AG176" s="46"/>
      <c r="AH176" s="46"/>
      <c r="AI176" s="46"/>
      <c r="AJ176" s="46"/>
    </row>
    <row r="177" ht="22.5" customHeight="1">
      <c r="A177" s="27">
        <v>46062.0</v>
      </c>
      <c r="B177" s="34" t="str">
        <f t="array" ref="B177">TEXT(A177, "MM-YYYY")</f>
        <v>02-2026</v>
      </c>
      <c r="C177" s="39" t="s">
        <v>774</v>
      </c>
      <c r="D177" s="36" t="s">
        <v>210</v>
      </c>
      <c r="E177" s="36" t="s">
        <v>531</v>
      </c>
      <c r="F177" s="29" t="b">
        <v>1</v>
      </c>
      <c r="G177" s="140"/>
      <c r="H177" s="140" t="s">
        <v>1413</v>
      </c>
      <c r="I177" s="32" t="s">
        <v>1810</v>
      </c>
      <c r="J177" s="144">
        <v>46187.0</v>
      </c>
      <c r="K177" s="37" t="s">
        <v>458</v>
      </c>
      <c r="L177" s="37" t="s">
        <v>1845</v>
      </c>
      <c r="M177" s="37" t="s">
        <v>1784</v>
      </c>
      <c r="N177" s="37" t="s">
        <v>194</v>
      </c>
      <c r="O177" s="37" t="s">
        <v>199</v>
      </c>
      <c r="P177" s="37" t="s">
        <v>201</v>
      </c>
      <c r="Q177" s="41">
        <v>46057.0</v>
      </c>
      <c r="R177" s="42">
        <v>0.0</v>
      </c>
      <c r="S177" s="44" t="s">
        <v>194</v>
      </c>
      <c r="T177" s="37" t="s">
        <v>1795</v>
      </c>
      <c r="U177" s="57" t="str">
        <f>IF(records_2[Type]="Room",records_2[roomNo],records_2[roomNo]&amp;"-"&amp;SUBSTITUTE(RIGHT(records_2[roomNo]&amp;records_2[Type],2),"-",""))</f>
        <v>16-1-084</v>
      </c>
      <c r="V177" s="59" t="str">
        <f t="array" ref="V177">_xlfn.XLOOKUP(records_2[ID], dAir[roomNo], dAir[roomName])</f>
        <v>FILLING 1</v>
      </c>
      <c r="W177" s="59" t="str">
        <f t="array" ref="W177">_xlfn.XLOOKUP(records_2[ID], dAir[roomNo], dAir[building])</f>
        <v>Building 16</v>
      </c>
      <c r="X177" s="59" t="str">
        <f t="array" ref="X177">_xlfn.XLOOKUP(records_2[ID], dAir[roomNo], dAir[floor])</f>
        <v>Floor 1</v>
      </c>
      <c r="Y177" s="57" t="str">
        <f t="array" ref="Y177">_xlfn.XLOOKUP(records_2[ID], dAir[roomNo], dAir[Class])</f>
        <v>C</v>
      </c>
      <c r="Z177" s="57">
        <f t="array" ref="Z177">_xlfn.XLOOKUP(records_2[Method]&amp;"-"&amp;records_2[Class], dAirSpec[ID], dAirSpec[Spec])</f>
        <v>100</v>
      </c>
      <c r="AA177" s="57" t="str">
        <f t="array" ref="AA177">_xlfn.XLOOKUP(records_2[Method]&amp;"-"&amp;records_2[Class], dAirSpec[ID], dAirSpec[Unit])</f>
        <v>cfu/m3</v>
      </c>
      <c r="AB177" s="57">
        <f t="array" ref="AB177">if(R177="","", if(records_2[Method]="Active Air",_xlfn.xlookup(records_2[ColonyCount]&amp;records_2[AirSampler],feller[code],feller[Vc]),records_2[ColonyCount]))</f>
        <v>0</v>
      </c>
      <c r="AC177" s="63" t="b">
        <f t="shared" si="1"/>
        <v>1</v>
      </c>
      <c r="AD177" s="61" t="b">
        <v>0</v>
      </c>
      <c r="AE177" s="32" t="s">
        <v>280</v>
      </c>
      <c r="AF177" s="46"/>
      <c r="AG177" s="46"/>
      <c r="AH177" s="46"/>
      <c r="AI177" s="46"/>
      <c r="AJ177" s="46"/>
    </row>
    <row r="178" ht="22.5" customHeight="1">
      <c r="A178" s="27">
        <v>46062.0</v>
      </c>
      <c r="B178" s="34" t="str">
        <f t="array" ref="B178">TEXT(A178, "MM-YYYY")</f>
        <v>02-2026</v>
      </c>
      <c r="C178" s="39" t="s">
        <v>1162</v>
      </c>
      <c r="D178" s="36" t="s">
        <v>210</v>
      </c>
      <c r="E178" s="36" t="s">
        <v>531</v>
      </c>
      <c r="F178" s="29" t="b">
        <v>1</v>
      </c>
      <c r="G178" s="140"/>
      <c r="H178" s="140" t="s">
        <v>534</v>
      </c>
      <c r="I178" s="32" t="s">
        <v>1792</v>
      </c>
      <c r="J178" s="144">
        <v>46081.0</v>
      </c>
      <c r="K178" s="37" t="s">
        <v>366</v>
      </c>
      <c r="L178" s="37" t="s">
        <v>1797</v>
      </c>
      <c r="M178" s="37" t="s">
        <v>1849</v>
      </c>
      <c r="N178" s="37" t="s">
        <v>194</v>
      </c>
      <c r="O178" s="37" t="s">
        <v>199</v>
      </c>
      <c r="P178" s="37" t="s">
        <v>201</v>
      </c>
      <c r="Q178" s="41">
        <v>46057.0</v>
      </c>
      <c r="R178" s="42">
        <v>0.0</v>
      </c>
      <c r="S178" s="44" t="s">
        <v>194</v>
      </c>
      <c r="T178" s="37" t="s">
        <v>1795</v>
      </c>
      <c r="U178" s="57" t="str">
        <f>IF(records_2[Type]="Room",records_2[roomNo],records_2[roomNo]&amp;"-"&amp;SUBSTITUTE(RIGHT(records_2[roomNo]&amp;records_2[Type],2),"-",""))</f>
        <v>16-1-085</v>
      </c>
      <c r="V178" s="59" t="str">
        <f t="array" ref="V178">_xlfn.XLOOKUP(records_2[ID], dAir[roomNo], dAir[roomName])</f>
        <v>IPQC</v>
      </c>
      <c r="W178" s="59" t="str">
        <f t="array" ref="W178">_xlfn.XLOOKUP(records_2[ID], dAir[roomNo], dAir[building])</f>
        <v>Building 16</v>
      </c>
      <c r="X178" s="59" t="str">
        <f t="array" ref="X178">_xlfn.XLOOKUP(records_2[ID], dAir[roomNo], dAir[floor])</f>
        <v>Floor 1</v>
      </c>
      <c r="Y178" s="57" t="str">
        <f t="array" ref="Y178">_xlfn.XLOOKUP(records_2[ID], dAir[roomNo], dAir[Class])</f>
        <v>C</v>
      </c>
      <c r="Z178" s="57">
        <f t="array" ref="Z178">_xlfn.XLOOKUP(records_2[Method]&amp;"-"&amp;records_2[Class], dAirSpec[ID], dAirSpec[Spec])</f>
        <v>100</v>
      </c>
      <c r="AA178" s="57" t="str">
        <f t="array" ref="AA178">_xlfn.XLOOKUP(records_2[Method]&amp;"-"&amp;records_2[Class], dAirSpec[ID], dAirSpec[Unit])</f>
        <v>cfu/m3</v>
      </c>
      <c r="AB178" s="57">
        <f t="array" ref="AB178">if(R178="","", if(records_2[Method]="Active Air",_xlfn.xlookup(records_2[ColonyCount]&amp;records_2[AirSampler],feller[code],feller[Vc]),records_2[ColonyCount]))</f>
        <v>0</v>
      </c>
      <c r="AC178" s="63" t="b">
        <f t="shared" si="1"/>
        <v>1</v>
      </c>
      <c r="AD178" s="61" t="b">
        <v>0</v>
      </c>
      <c r="AE178" s="32" t="s">
        <v>280</v>
      </c>
      <c r="AF178" s="46"/>
      <c r="AG178" s="46"/>
      <c r="AH178" s="46"/>
      <c r="AI178" s="46"/>
      <c r="AJ178" s="46"/>
    </row>
    <row r="179" ht="22.5" customHeight="1">
      <c r="A179" s="27">
        <v>46062.0</v>
      </c>
      <c r="B179" s="34" t="str">
        <f t="array" ref="B179">TEXT(A179, "MM-YYYY")</f>
        <v>02-2026</v>
      </c>
      <c r="C179" s="39" t="s">
        <v>1174</v>
      </c>
      <c r="D179" s="36" t="s">
        <v>210</v>
      </c>
      <c r="E179" s="36" t="s">
        <v>531</v>
      </c>
      <c r="F179" s="29" t="b">
        <v>1</v>
      </c>
      <c r="G179" s="140"/>
      <c r="H179" s="140" t="s">
        <v>1413</v>
      </c>
      <c r="I179" s="32" t="s">
        <v>1810</v>
      </c>
      <c r="J179" s="144">
        <v>46187.0</v>
      </c>
      <c r="K179" s="37" t="s">
        <v>458</v>
      </c>
      <c r="L179" s="37" t="s">
        <v>1850</v>
      </c>
      <c r="M179" s="37" t="s">
        <v>1836</v>
      </c>
      <c r="N179" s="37" t="s">
        <v>194</v>
      </c>
      <c r="O179" s="37" t="s">
        <v>199</v>
      </c>
      <c r="P179" s="37" t="s">
        <v>201</v>
      </c>
      <c r="Q179" s="41">
        <v>46057.0</v>
      </c>
      <c r="R179" s="42">
        <v>0.0</v>
      </c>
      <c r="S179" s="44" t="s">
        <v>194</v>
      </c>
      <c r="T179" s="37" t="s">
        <v>1795</v>
      </c>
      <c r="U179" s="57" t="str">
        <f>IF(records_2[Type]="Room",records_2[roomNo],records_2[roomNo]&amp;"-"&amp;SUBSTITUTE(RIGHT(records_2[roomNo]&amp;records_2[Type],2),"-",""))</f>
        <v>16-1-086</v>
      </c>
      <c r="V179" s="59" t="str">
        <f t="array" ref="V179">_xlfn.XLOOKUP(records_2[ID], dAir[roomNo], dAir[roomName])</f>
        <v>CLEANED EQUIPMENT</v>
      </c>
      <c r="W179" s="59" t="str">
        <f t="array" ref="W179">_xlfn.XLOOKUP(records_2[ID], dAir[roomNo], dAir[building])</f>
        <v>Building 16</v>
      </c>
      <c r="X179" s="59" t="str">
        <f t="array" ref="X179">_xlfn.XLOOKUP(records_2[ID], dAir[roomNo], dAir[floor])</f>
        <v>Floor 1</v>
      </c>
      <c r="Y179" s="57" t="str">
        <f t="array" ref="Y179">_xlfn.XLOOKUP(records_2[ID], dAir[roomNo], dAir[Class])</f>
        <v>C</v>
      </c>
      <c r="Z179" s="57">
        <f t="array" ref="Z179">_xlfn.XLOOKUP(records_2[Method]&amp;"-"&amp;records_2[Class], dAirSpec[ID], dAirSpec[Spec])</f>
        <v>100</v>
      </c>
      <c r="AA179" s="57" t="str">
        <f t="array" ref="AA179">_xlfn.XLOOKUP(records_2[Method]&amp;"-"&amp;records_2[Class], dAirSpec[ID], dAirSpec[Unit])</f>
        <v>cfu/m3</v>
      </c>
      <c r="AB179" s="57">
        <f t="array" ref="AB179">if(R179="","", if(records_2[Method]="Active Air",_xlfn.xlookup(records_2[ColonyCount]&amp;records_2[AirSampler],feller[code],feller[Vc]),records_2[ColonyCount]))</f>
        <v>0</v>
      </c>
      <c r="AC179" s="63" t="b">
        <f t="shared" si="1"/>
        <v>1</v>
      </c>
      <c r="AD179" s="61" t="b">
        <v>0</v>
      </c>
      <c r="AE179" s="32" t="s">
        <v>280</v>
      </c>
      <c r="AF179" s="46"/>
      <c r="AG179" s="46"/>
      <c r="AH179" s="46"/>
      <c r="AI179" s="46"/>
      <c r="AJ179" s="46"/>
    </row>
    <row r="180" ht="22.5" customHeight="1">
      <c r="A180" s="27">
        <v>46062.0</v>
      </c>
      <c r="B180" s="34" t="str">
        <f t="array" ref="B180">TEXT(A180, "MM-YYYY")</f>
        <v>02-2026</v>
      </c>
      <c r="C180" s="39" t="s">
        <v>1194</v>
      </c>
      <c r="D180" s="36" t="s">
        <v>210</v>
      </c>
      <c r="E180" s="36" t="s">
        <v>531</v>
      </c>
      <c r="F180" s="29" t="b">
        <v>1</v>
      </c>
      <c r="G180" s="140"/>
      <c r="H180" s="140" t="s">
        <v>203</v>
      </c>
      <c r="I180" s="32">
        <v>3.11015016E8</v>
      </c>
      <c r="J180" s="144">
        <v>46081.0</v>
      </c>
      <c r="K180" s="37" t="s">
        <v>353</v>
      </c>
      <c r="L180" s="37" t="s">
        <v>1583</v>
      </c>
      <c r="M180" s="37" t="s">
        <v>1853</v>
      </c>
      <c r="N180" s="37" t="s">
        <v>194</v>
      </c>
      <c r="O180" s="37" t="s">
        <v>199</v>
      </c>
      <c r="P180" s="37" t="s">
        <v>201</v>
      </c>
      <c r="Q180" s="41">
        <v>46057.0</v>
      </c>
      <c r="R180" s="42">
        <v>9.0</v>
      </c>
      <c r="S180" s="44" t="s">
        <v>194</v>
      </c>
      <c r="T180" s="37" t="s">
        <v>1795</v>
      </c>
      <c r="U180" s="57" t="str">
        <f>IF(records_2[Type]="Room",records_2[roomNo],records_2[roomNo]&amp;"-"&amp;SUBSTITUTE(RIGHT(records_2[roomNo]&amp;records_2[Type],2),"-",""))</f>
        <v>16-1-087</v>
      </c>
      <c r="V180" s="59" t="str">
        <f t="array" ref="V180">_xlfn.XLOOKUP(records_2[ID], dAir[roomNo], dAir[roomName])</f>
        <v>MEN PAL</v>
      </c>
      <c r="W180" s="59" t="str">
        <f t="array" ref="W180">_xlfn.XLOOKUP(records_2[ID], dAir[roomNo], dAir[building])</f>
        <v>Building 16</v>
      </c>
      <c r="X180" s="59" t="str">
        <f t="array" ref="X180">_xlfn.XLOOKUP(records_2[ID], dAir[roomNo], dAir[floor])</f>
        <v>Floor 1</v>
      </c>
      <c r="Y180" s="57" t="str">
        <f t="array" ref="Y180">_xlfn.XLOOKUP(records_2[ID], dAir[roomNo], dAir[Class])</f>
        <v>D</v>
      </c>
      <c r="Z180" s="57">
        <f t="array" ref="Z180">_xlfn.XLOOKUP(records_2[Method]&amp;"-"&amp;records_2[Class], dAirSpec[ID], dAirSpec[Spec])</f>
        <v>200</v>
      </c>
      <c r="AA180" s="57" t="str">
        <f t="array" ref="AA180">_xlfn.XLOOKUP(records_2[Method]&amp;"-"&amp;records_2[Class], dAirSpec[ID], dAirSpec[Unit])</f>
        <v>cfu/m3</v>
      </c>
      <c r="AB180" s="57">
        <f t="array" ref="AB180">if(R180="","", if(records_2[Method]="Active Air",_xlfn.xlookup(records_2[ColonyCount]&amp;records_2[AirSampler],feller[code],feller[Vc]),records_2[ColonyCount]))</f>
        <v>9</v>
      </c>
      <c r="AC180" s="63" t="b">
        <f t="shared" si="1"/>
        <v>1</v>
      </c>
      <c r="AD180" s="61" t="b">
        <v>0</v>
      </c>
      <c r="AE180" s="32" t="s">
        <v>280</v>
      </c>
      <c r="AF180" s="46"/>
      <c r="AG180" s="46"/>
      <c r="AH180" s="46"/>
      <c r="AI180" s="46"/>
      <c r="AJ180" s="46"/>
    </row>
    <row r="181" ht="22.5" customHeight="1">
      <c r="A181" s="27">
        <v>46062.0</v>
      </c>
      <c r="B181" s="34" t="str">
        <f t="array" ref="B181">TEXT(A181, "MM-YYYY")</f>
        <v>02-2026</v>
      </c>
      <c r="C181" s="39" t="s">
        <v>1226</v>
      </c>
      <c r="D181" s="36" t="s">
        <v>210</v>
      </c>
      <c r="E181" s="36" t="s">
        <v>531</v>
      </c>
      <c r="F181" s="29" t="b">
        <v>1</v>
      </c>
      <c r="G181" s="140"/>
      <c r="H181" s="140" t="s">
        <v>203</v>
      </c>
      <c r="I181" s="32">
        <v>3.11015016E8</v>
      </c>
      <c r="J181" s="144">
        <v>46081.0</v>
      </c>
      <c r="K181" s="37" t="s">
        <v>469</v>
      </c>
      <c r="L181" s="37" t="s">
        <v>1854</v>
      </c>
      <c r="M181" s="37" t="s">
        <v>1853</v>
      </c>
      <c r="N181" s="37" t="s">
        <v>194</v>
      </c>
      <c r="O181" s="37" t="s">
        <v>199</v>
      </c>
      <c r="P181" s="37" t="s">
        <v>201</v>
      </c>
      <c r="Q181" s="41">
        <v>46057.0</v>
      </c>
      <c r="R181" s="42">
        <v>7.0</v>
      </c>
      <c r="S181" s="44" t="s">
        <v>194</v>
      </c>
      <c r="T181" s="37" t="s">
        <v>1795</v>
      </c>
      <c r="U181" s="57" t="str">
        <f>IF(records_2[Type]="Room",records_2[roomNo],records_2[roomNo]&amp;"-"&amp;SUBSTITUTE(RIGHT(records_2[roomNo]&amp;records_2[Type],2),"-",""))</f>
        <v>16-1-088</v>
      </c>
      <c r="V181" s="59" t="str">
        <f t="array" ref="V181">_xlfn.XLOOKUP(records_2[ID], dAir[roomNo], dAir[roomName])</f>
        <v>MEN PROCESS CHANGE</v>
      </c>
      <c r="W181" s="59" t="str">
        <f t="array" ref="W181">_xlfn.XLOOKUP(records_2[ID], dAir[roomNo], dAir[building])</f>
        <v>Building 16</v>
      </c>
      <c r="X181" s="59" t="str">
        <f t="array" ref="X181">_xlfn.XLOOKUP(records_2[ID], dAir[roomNo], dAir[floor])</f>
        <v>Floor 1</v>
      </c>
      <c r="Y181" s="57" t="str">
        <f t="array" ref="Y181">_xlfn.XLOOKUP(records_2[ID], dAir[roomNo], dAir[Class])</f>
        <v>C</v>
      </c>
      <c r="Z181" s="57">
        <f t="array" ref="Z181">_xlfn.XLOOKUP(records_2[Method]&amp;"-"&amp;records_2[Class], dAirSpec[ID], dAirSpec[Spec])</f>
        <v>100</v>
      </c>
      <c r="AA181" s="57" t="str">
        <f t="array" ref="AA181">_xlfn.XLOOKUP(records_2[Method]&amp;"-"&amp;records_2[Class], dAirSpec[ID], dAirSpec[Unit])</f>
        <v>cfu/m3</v>
      </c>
      <c r="AB181" s="57">
        <f t="array" ref="AB181">if(R181="","", if(records_2[Method]="Active Air",_xlfn.xlookup(records_2[ColonyCount]&amp;records_2[AirSampler],feller[code],feller[Vc]),records_2[ColonyCount]))</f>
        <v>7</v>
      </c>
      <c r="AC181" s="63" t="b">
        <f t="shared" si="1"/>
        <v>1</v>
      </c>
      <c r="AD181" s="61" t="b">
        <v>0</v>
      </c>
      <c r="AE181" s="32" t="s">
        <v>280</v>
      </c>
      <c r="AF181" s="46"/>
      <c r="AG181" s="46"/>
      <c r="AH181" s="46"/>
      <c r="AI181" s="46"/>
      <c r="AJ181" s="46"/>
    </row>
    <row r="182" ht="22.5" customHeight="1">
      <c r="A182" s="27">
        <v>46062.0</v>
      </c>
      <c r="B182" s="34" t="str">
        <f t="array" ref="B182">TEXT(A182, "MM-YYYY")</f>
        <v>02-2026</v>
      </c>
      <c r="C182" s="39" t="s">
        <v>1250</v>
      </c>
      <c r="D182" s="36" t="s">
        <v>210</v>
      </c>
      <c r="E182" s="36" t="s">
        <v>531</v>
      </c>
      <c r="F182" s="29" t="b">
        <v>1</v>
      </c>
      <c r="G182" s="140"/>
      <c r="H182" s="140" t="s">
        <v>534</v>
      </c>
      <c r="I182" s="32" t="s">
        <v>1792</v>
      </c>
      <c r="J182" s="144">
        <v>46081.0</v>
      </c>
      <c r="K182" s="37" t="s">
        <v>292</v>
      </c>
      <c r="L182" s="37" t="s">
        <v>1857</v>
      </c>
      <c r="M182" s="37" t="s">
        <v>1271</v>
      </c>
      <c r="N182" s="37" t="s">
        <v>194</v>
      </c>
      <c r="O182" s="37" t="s">
        <v>199</v>
      </c>
      <c r="P182" s="37" t="s">
        <v>201</v>
      </c>
      <c r="Q182" s="41">
        <v>46057.0</v>
      </c>
      <c r="R182" s="42">
        <v>1.0</v>
      </c>
      <c r="S182" s="44" t="s">
        <v>194</v>
      </c>
      <c r="T182" s="37" t="s">
        <v>1795</v>
      </c>
      <c r="U182" s="57" t="str">
        <f>IF(records_2[Type]="Room",records_2[roomNo],records_2[roomNo]&amp;"-"&amp;SUBSTITUTE(RIGHT(records_2[roomNo]&amp;records_2[Type],2),"-",""))</f>
        <v>16-1-089</v>
      </c>
      <c r="V182" s="59" t="str">
        <f t="array" ref="V182">_xlfn.XLOOKUP(records_2[ID], dAir[roomNo], dAir[roomName])</f>
        <v>WOMEN PAL</v>
      </c>
      <c r="W182" s="59" t="str">
        <f t="array" ref="W182">_xlfn.XLOOKUP(records_2[ID], dAir[roomNo], dAir[building])</f>
        <v>Building 16</v>
      </c>
      <c r="X182" s="59" t="str">
        <f t="array" ref="X182">_xlfn.XLOOKUP(records_2[ID], dAir[roomNo], dAir[floor])</f>
        <v>Floor 1</v>
      </c>
      <c r="Y182" s="57" t="str">
        <f t="array" ref="Y182">_xlfn.XLOOKUP(records_2[ID], dAir[roomNo], dAir[Class])</f>
        <v>D</v>
      </c>
      <c r="Z182" s="57">
        <f t="array" ref="Z182">_xlfn.XLOOKUP(records_2[Method]&amp;"-"&amp;records_2[Class], dAirSpec[ID], dAirSpec[Spec])</f>
        <v>200</v>
      </c>
      <c r="AA182" s="57" t="str">
        <f t="array" ref="AA182">_xlfn.XLOOKUP(records_2[Method]&amp;"-"&amp;records_2[Class], dAirSpec[ID], dAirSpec[Unit])</f>
        <v>cfu/m3</v>
      </c>
      <c r="AB182" s="57">
        <f t="array" ref="AB182">if(R182="","", if(records_2[Method]="Active Air",_xlfn.xlookup(records_2[ColonyCount]&amp;records_2[AirSampler],feller[code],feller[Vc]),records_2[ColonyCount]))</f>
        <v>1</v>
      </c>
      <c r="AC182" s="63" t="b">
        <f t="shared" si="1"/>
        <v>1</v>
      </c>
      <c r="AD182" s="61" t="b">
        <v>0</v>
      </c>
      <c r="AE182" s="32" t="s">
        <v>280</v>
      </c>
      <c r="AF182" s="46"/>
      <c r="AG182" s="46"/>
      <c r="AH182" s="46"/>
      <c r="AI182" s="46"/>
      <c r="AJ182" s="46"/>
    </row>
    <row r="183" ht="22.5" customHeight="1">
      <c r="A183" s="27">
        <v>46062.0</v>
      </c>
      <c r="B183" s="34" t="str">
        <f t="array" ref="B183">TEXT(A183, "MM-YYYY")</f>
        <v>02-2026</v>
      </c>
      <c r="C183" s="39" t="s">
        <v>1273</v>
      </c>
      <c r="D183" s="36" t="s">
        <v>210</v>
      </c>
      <c r="E183" s="36" t="s">
        <v>531</v>
      </c>
      <c r="F183" s="29" t="b">
        <v>1</v>
      </c>
      <c r="G183" s="140"/>
      <c r="H183" s="140" t="s">
        <v>203</v>
      </c>
      <c r="I183" s="32">
        <v>3.11015016E8</v>
      </c>
      <c r="J183" s="144">
        <v>46081.0</v>
      </c>
      <c r="K183" s="37" t="s">
        <v>292</v>
      </c>
      <c r="L183" s="37" t="s">
        <v>1858</v>
      </c>
      <c r="M183" s="37" t="s">
        <v>1794</v>
      </c>
      <c r="N183" s="37" t="s">
        <v>194</v>
      </c>
      <c r="O183" s="37" t="s">
        <v>199</v>
      </c>
      <c r="P183" s="37" t="s">
        <v>201</v>
      </c>
      <c r="Q183" s="41">
        <v>46057.0</v>
      </c>
      <c r="R183" s="42">
        <v>1.0</v>
      </c>
      <c r="S183" s="44" t="s">
        <v>194</v>
      </c>
      <c r="T183" s="37" t="s">
        <v>1795</v>
      </c>
      <c r="U183" s="57" t="str">
        <f>IF(records_2[Type]="Room",records_2[roomNo],records_2[roomNo]&amp;"-"&amp;SUBSTITUTE(RIGHT(records_2[roomNo]&amp;records_2[Type],2),"-",""))</f>
        <v>16-1-090</v>
      </c>
      <c r="V183" s="59" t="str">
        <f t="array" ref="V183">_xlfn.XLOOKUP(records_2[ID], dAir[roomNo], dAir[roomName])</f>
        <v>WOMEN PROCESS CHANGE</v>
      </c>
      <c r="W183" s="59" t="str">
        <f t="array" ref="W183">_xlfn.XLOOKUP(records_2[ID], dAir[roomNo], dAir[building])</f>
        <v>Building 16</v>
      </c>
      <c r="X183" s="59" t="str">
        <f t="array" ref="X183">_xlfn.XLOOKUP(records_2[ID], dAir[roomNo], dAir[floor])</f>
        <v>Floor 1</v>
      </c>
      <c r="Y183" s="57" t="str">
        <f t="array" ref="Y183">_xlfn.XLOOKUP(records_2[ID], dAir[roomNo], dAir[Class])</f>
        <v>C</v>
      </c>
      <c r="Z183" s="57">
        <f t="array" ref="Z183">_xlfn.XLOOKUP(records_2[Method]&amp;"-"&amp;records_2[Class], dAirSpec[ID], dAirSpec[Spec])</f>
        <v>100</v>
      </c>
      <c r="AA183" s="57" t="str">
        <f t="array" ref="AA183">_xlfn.XLOOKUP(records_2[Method]&amp;"-"&amp;records_2[Class], dAirSpec[ID], dAirSpec[Unit])</f>
        <v>cfu/m3</v>
      </c>
      <c r="AB183" s="57">
        <f t="array" ref="AB183">if(R183="","", if(records_2[Method]="Active Air",_xlfn.xlookup(records_2[ColonyCount]&amp;records_2[AirSampler],feller[code],feller[Vc]),records_2[ColonyCount]))</f>
        <v>1</v>
      </c>
      <c r="AC183" s="63" t="b">
        <f t="shared" si="1"/>
        <v>1</v>
      </c>
      <c r="AD183" s="61" t="b">
        <v>0</v>
      </c>
      <c r="AE183" s="32" t="s">
        <v>280</v>
      </c>
      <c r="AF183" s="46"/>
      <c r="AG183" s="46"/>
      <c r="AH183" s="46"/>
      <c r="AI183" s="46"/>
      <c r="AJ183" s="46"/>
    </row>
    <row r="184" ht="22.5" customHeight="1">
      <c r="A184" s="27">
        <v>46062.0</v>
      </c>
      <c r="B184" s="34" t="str">
        <f t="array" ref="B184">TEXT(A184, "MM-YYYY")</f>
        <v>02-2026</v>
      </c>
      <c r="C184" s="39" t="s">
        <v>1311</v>
      </c>
      <c r="D184" s="36" t="s">
        <v>210</v>
      </c>
      <c r="E184" s="36" t="s">
        <v>531</v>
      </c>
      <c r="F184" s="29" t="b">
        <v>1</v>
      </c>
      <c r="G184" s="140"/>
      <c r="H184" s="140" t="s">
        <v>203</v>
      </c>
      <c r="I184" s="32">
        <v>3.11015016E8</v>
      </c>
      <c r="J184" s="144">
        <v>46081.0</v>
      </c>
      <c r="K184" s="37" t="s">
        <v>798</v>
      </c>
      <c r="L184" s="37" t="s">
        <v>1811</v>
      </c>
      <c r="M184" s="37" t="s">
        <v>1755</v>
      </c>
      <c r="N184" s="37" t="s">
        <v>194</v>
      </c>
      <c r="O184" s="37" t="s">
        <v>199</v>
      </c>
      <c r="P184" s="37" t="s">
        <v>201</v>
      </c>
      <c r="Q184" s="41">
        <v>46057.0</v>
      </c>
      <c r="R184" s="42">
        <v>3.0</v>
      </c>
      <c r="S184" s="29" t="s">
        <v>1318</v>
      </c>
      <c r="T184" s="37" t="s">
        <v>1795</v>
      </c>
      <c r="U184" s="57" t="str">
        <f>IF(records_2[Type]="Room",records_2[roomNo],records_2[roomNo]&amp;"-"&amp;SUBSTITUTE(RIGHT(records_2[roomNo]&amp;records_2[Type],2),"-",""))</f>
        <v>16-1-091</v>
      </c>
      <c r="V184" s="59" t="str">
        <f t="array" ref="V184">_xlfn.XLOOKUP(records_2[ID], dAir[roomNo], dAir[roomName])</f>
        <v>CORRIDOR</v>
      </c>
      <c r="W184" s="59" t="str">
        <f t="array" ref="W184">_xlfn.XLOOKUP(records_2[ID], dAir[roomNo], dAir[building])</f>
        <v>Building 16</v>
      </c>
      <c r="X184" s="59" t="str">
        <f t="array" ref="X184">_xlfn.XLOOKUP(records_2[ID], dAir[roomNo], dAir[floor])</f>
        <v>Floor 1</v>
      </c>
      <c r="Y184" s="57" t="str">
        <f t="array" ref="Y184">_xlfn.XLOOKUP(records_2[ID], dAir[roomNo], dAir[Class])</f>
        <v>C</v>
      </c>
      <c r="Z184" s="57">
        <f t="array" ref="Z184">_xlfn.XLOOKUP(records_2[Method]&amp;"-"&amp;records_2[Class], dAirSpec[ID], dAirSpec[Spec])</f>
        <v>100</v>
      </c>
      <c r="AA184" s="57" t="str">
        <f t="array" ref="AA184">_xlfn.XLOOKUP(records_2[Method]&amp;"-"&amp;records_2[Class], dAirSpec[ID], dAirSpec[Unit])</f>
        <v>cfu/m3</v>
      </c>
      <c r="AB184" s="57">
        <f t="array" ref="AB184">if(R184="","", if(records_2[Method]="Active Air",_xlfn.xlookup(records_2[ColonyCount]&amp;records_2[AirSampler],feller[code],feller[Vc]),records_2[ColonyCount]))</f>
        <v>3</v>
      </c>
      <c r="AC184" s="63" t="b">
        <f t="shared" si="1"/>
        <v>1</v>
      </c>
      <c r="AD184" s="61" t="b">
        <v>0</v>
      </c>
      <c r="AE184" s="32" t="s">
        <v>280</v>
      </c>
      <c r="AF184" s="46"/>
      <c r="AG184" s="46"/>
      <c r="AH184" s="46"/>
      <c r="AI184" s="46"/>
      <c r="AJ184" s="46"/>
    </row>
    <row r="185" ht="22.5" customHeight="1">
      <c r="A185" s="27">
        <v>46062.0</v>
      </c>
      <c r="B185" s="34" t="str">
        <f t="array" ref="B185">TEXT(A185, "MM-YYYY")</f>
        <v>02-2026</v>
      </c>
      <c r="C185" s="39" t="s">
        <v>1311</v>
      </c>
      <c r="D185" s="36" t="s">
        <v>1350</v>
      </c>
      <c r="E185" s="36" t="s">
        <v>531</v>
      </c>
      <c r="F185" s="29" t="b">
        <v>1</v>
      </c>
      <c r="G185" s="140"/>
      <c r="H185" s="140" t="s">
        <v>203</v>
      </c>
      <c r="I185" s="32">
        <v>3.11015016E8</v>
      </c>
      <c r="J185" s="144">
        <v>46081.0</v>
      </c>
      <c r="K185" s="37" t="s">
        <v>798</v>
      </c>
      <c r="L185" s="37" t="s">
        <v>1811</v>
      </c>
      <c r="M185" s="37" t="s">
        <v>1006</v>
      </c>
      <c r="N185" s="37" t="s">
        <v>194</v>
      </c>
      <c r="O185" s="37" t="s">
        <v>199</v>
      </c>
      <c r="P185" s="37" t="s">
        <v>201</v>
      </c>
      <c r="Q185" s="41">
        <v>46057.0</v>
      </c>
      <c r="R185" s="42">
        <v>2.0</v>
      </c>
      <c r="S185" s="29" t="s">
        <v>1354</v>
      </c>
      <c r="T185" s="37" t="s">
        <v>1795</v>
      </c>
      <c r="U185" s="57" t="str">
        <f>IF(records_2[Type]="Room",records_2[roomNo],records_2[roomNo]&amp;"-"&amp;SUBSTITUTE(RIGHT(records_2[roomNo]&amp;records_2[Type],2),"-",""))</f>
        <v>16-1-091-PB</v>
      </c>
      <c r="V185" s="59" t="str">
        <f t="array" ref="V185">_xlfn.XLOOKUP(records_2[ID], dAir[roomNo], dAir[roomName])</f>
        <v>CORRIDOR (Passbox)</v>
      </c>
      <c r="W185" s="59" t="str">
        <f t="array" ref="W185">_xlfn.XLOOKUP(records_2[ID], dAir[roomNo], dAir[building])</f>
        <v>Building 16</v>
      </c>
      <c r="X185" s="59" t="str">
        <f t="array" ref="X185">_xlfn.XLOOKUP(records_2[ID], dAir[roomNo], dAir[floor])</f>
        <v>Floor 1</v>
      </c>
      <c r="Y185" s="57" t="str">
        <f t="array" ref="Y185">_xlfn.XLOOKUP(records_2[ID], dAir[roomNo], dAir[Class])</f>
        <v>C</v>
      </c>
      <c r="Z185" s="57">
        <f t="array" ref="Z185">_xlfn.XLOOKUP(records_2[Method]&amp;"-"&amp;records_2[Class], dAirSpec[ID], dAirSpec[Spec])</f>
        <v>100</v>
      </c>
      <c r="AA185" s="57" t="str">
        <f t="array" ref="AA185">_xlfn.XLOOKUP(records_2[Method]&amp;"-"&amp;records_2[Class], dAirSpec[ID], dAirSpec[Unit])</f>
        <v>cfu/m3</v>
      </c>
      <c r="AB185" s="57">
        <f t="array" ref="AB185">if(R185="","", if(records_2[Method]="Active Air",_xlfn.xlookup(records_2[ColonyCount]&amp;records_2[AirSampler],feller[code],feller[Vc]),records_2[ColonyCount]))</f>
        <v>2</v>
      </c>
      <c r="AC185" s="63" t="b">
        <f t="shared" si="1"/>
        <v>1</v>
      </c>
      <c r="AD185" s="61" t="b">
        <v>0</v>
      </c>
      <c r="AE185" s="32" t="s">
        <v>280</v>
      </c>
      <c r="AF185" s="46"/>
      <c r="AG185" s="46"/>
      <c r="AH185" s="46"/>
      <c r="AI185" s="46"/>
      <c r="AJ185" s="46"/>
    </row>
    <row r="186" ht="22.5" customHeight="1">
      <c r="A186" s="27">
        <v>46062.0</v>
      </c>
      <c r="B186" s="34" t="str">
        <f t="array" ref="B186">TEXT(A186, "MM-YYYY")</f>
        <v>02-2026</v>
      </c>
      <c r="C186" s="39" t="s">
        <v>1041</v>
      </c>
      <c r="D186" s="36" t="s">
        <v>1350</v>
      </c>
      <c r="E186" s="36" t="s">
        <v>531</v>
      </c>
      <c r="F186" s="29" t="b">
        <v>1</v>
      </c>
      <c r="G186" s="140"/>
      <c r="H186" s="140" t="s">
        <v>1413</v>
      </c>
      <c r="I186" s="32" t="s">
        <v>1810</v>
      </c>
      <c r="J186" s="144">
        <v>46187.0</v>
      </c>
      <c r="K186" s="37" t="s">
        <v>330</v>
      </c>
      <c r="L186" s="37" t="s">
        <v>1861</v>
      </c>
      <c r="M186" s="37" t="s">
        <v>328</v>
      </c>
      <c r="N186" s="37" t="s">
        <v>194</v>
      </c>
      <c r="O186" s="37" t="s">
        <v>199</v>
      </c>
      <c r="P186" s="37" t="s">
        <v>201</v>
      </c>
      <c r="Q186" s="41">
        <v>46057.0</v>
      </c>
      <c r="R186" s="42">
        <v>4.0</v>
      </c>
      <c r="S186" s="29" t="s">
        <v>1862</v>
      </c>
      <c r="T186" s="37" t="s">
        <v>1795</v>
      </c>
      <c r="U186" s="57" t="str">
        <f>IF(records_2[Type]="Room",records_2[roomNo],records_2[roomNo]&amp;"-"&amp;SUBSTITUTE(RIGHT(records_2[roomNo]&amp;records_2[Type],2),"-",""))</f>
        <v>16-1-078-PB</v>
      </c>
      <c r="V186" s="59" t="str">
        <f t="array" ref="V186">_xlfn.XLOOKUP(records_2[ID], dAir[roomNo], dAir[roomName])</f>
        <v>PASSAGE (Passbox)</v>
      </c>
      <c r="W186" s="59" t="str">
        <f t="array" ref="W186">_xlfn.XLOOKUP(records_2[ID], dAir[roomNo], dAir[building])</f>
        <v>Building 16</v>
      </c>
      <c r="X186" s="59" t="str">
        <f t="array" ref="X186">_xlfn.XLOOKUP(records_2[ID], dAir[roomNo], dAir[floor])</f>
        <v>Floor 1</v>
      </c>
      <c r="Y186" s="57" t="str">
        <f t="array" ref="Y186">_xlfn.XLOOKUP(records_2[ID], dAir[roomNo], dAir[Class])</f>
        <v>C</v>
      </c>
      <c r="Z186" s="57">
        <f t="array" ref="Z186">_xlfn.XLOOKUP(records_2[Method]&amp;"-"&amp;records_2[Class], dAirSpec[ID], dAirSpec[Spec])</f>
        <v>100</v>
      </c>
      <c r="AA186" s="57" t="str">
        <f t="array" ref="AA186">_xlfn.XLOOKUP(records_2[Method]&amp;"-"&amp;records_2[Class], dAirSpec[ID], dAirSpec[Unit])</f>
        <v>cfu/m3</v>
      </c>
      <c r="AB186" s="57">
        <f t="array" ref="AB186">if(R186="","", if(records_2[Method]="Active Air",_xlfn.xlookup(records_2[ColonyCount]&amp;records_2[AirSampler],feller[code],feller[Vc]),records_2[ColonyCount]))</f>
        <v>4</v>
      </c>
      <c r="AC186" s="63" t="b">
        <f t="shared" si="1"/>
        <v>1</v>
      </c>
      <c r="AD186" s="61" t="b">
        <v>0</v>
      </c>
      <c r="AE186" s="32" t="s">
        <v>280</v>
      </c>
      <c r="AF186" s="46"/>
      <c r="AG186" s="46"/>
      <c r="AH186" s="46"/>
      <c r="AI186" s="46"/>
      <c r="AJ186" s="46"/>
    </row>
    <row r="187" ht="22.5" customHeight="1">
      <c r="A187" s="27">
        <v>46062.0</v>
      </c>
      <c r="B187" s="34" t="str">
        <f t="array" ref="B187">TEXT(A187, "MM-YYYY")</f>
        <v>02-2026</v>
      </c>
      <c r="C187" s="39" t="s">
        <v>1311</v>
      </c>
      <c r="D187" s="36" t="s">
        <v>210</v>
      </c>
      <c r="E187" s="36" t="s">
        <v>531</v>
      </c>
      <c r="F187" s="29" t="b">
        <v>1</v>
      </c>
      <c r="G187" s="140"/>
      <c r="H187" s="140" t="s">
        <v>203</v>
      </c>
      <c r="I187" s="32">
        <v>3.11015016E8</v>
      </c>
      <c r="J187" s="144">
        <v>46081.0</v>
      </c>
      <c r="K187" s="37" t="s">
        <v>798</v>
      </c>
      <c r="L187" s="37" t="s">
        <v>1811</v>
      </c>
      <c r="M187" s="37" t="s">
        <v>835</v>
      </c>
      <c r="N187" s="37" t="s">
        <v>194</v>
      </c>
      <c r="O187" s="37" t="s">
        <v>199</v>
      </c>
      <c r="P187" s="37" t="s">
        <v>201</v>
      </c>
      <c r="Q187" s="41">
        <v>46057.0</v>
      </c>
      <c r="R187" s="42">
        <v>5.0</v>
      </c>
      <c r="S187" s="29" t="s">
        <v>1403</v>
      </c>
      <c r="T187" s="37" t="s">
        <v>1795</v>
      </c>
      <c r="U187" s="57" t="str">
        <f>IF(records_2[Type]="Room",records_2[roomNo],records_2[roomNo]&amp;"-"&amp;SUBSTITUTE(RIGHT(records_2[roomNo]&amp;records_2[Type],2),"-",""))</f>
        <v>16-1-091</v>
      </c>
      <c r="V187" s="59" t="str">
        <f t="array" ref="V187">_xlfn.XLOOKUP(records_2[ID], dAir[roomNo], dAir[roomName])</f>
        <v>CORRIDOR</v>
      </c>
      <c r="W187" s="59" t="str">
        <f t="array" ref="W187">_xlfn.XLOOKUP(records_2[ID], dAir[roomNo], dAir[building])</f>
        <v>Building 16</v>
      </c>
      <c r="X187" s="59" t="str">
        <f t="array" ref="X187">_xlfn.XLOOKUP(records_2[ID], dAir[roomNo], dAir[floor])</f>
        <v>Floor 1</v>
      </c>
      <c r="Y187" s="57" t="str">
        <f t="array" ref="Y187">_xlfn.XLOOKUP(records_2[ID], dAir[roomNo], dAir[Class])</f>
        <v>C</v>
      </c>
      <c r="Z187" s="57">
        <f t="array" ref="Z187">_xlfn.XLOOKUP(records_2[Method]&amp;"-"&amp;records_2[Class], dAirSpec[ID], dAirSpec[Spec])</f>
        <v>100</v>
      </c>
      <c r="AA187" s="57" t="str">
        <f t="array" ref="AA187">_xlfn.XLOOKUP(records_2[Method]&amp;"-"&amp;records_2[Class], dAirSpec[ID], dAirSpec[Unit])</f>
        <v>cfu/m3</v>
      </c>
      <c r="AB187" s="57">
        <f t="array" ref="AB187">if(R187="","", if(records_2[Method]="Active Air",_xlfn.xlookup(records_2[ColonyCount]&amp;records_2[AirSampler],feller[code],feller[Vc]),records_2[ColonyCount]))</f>
        <v>5</v>
      </c>
      <c r="AC187" s="63" t="b">
        <f t="shared" si="1"/>
        <v>1</v>
      </c>
      <c r="AD187" s="61" t="b">
        <v>0</v>
      </c>
      <c r="AE187" s="32" t="s">
        <v>280</v>
      </c>
      <c r="AF187" s="46"/>
      <c r="AG187" s="46"/>
      <c r="AH187" s="46"/>
      <c r="AI187" s="46"/>
      <c r="AJ187" s="46"/>
    </row>
    <row r="188" ht="22.5" customHeight="1">
      <c r="A188" s="27">
        <v>46062.0</v>
      </c>
      <c r="B188" s="34" t="str">
        <f t="array" ref="B188">TEXT(A188, "MM-YYYY")</f>
        <v>02-2026</v>
      </c>
      <c r="C188" s="39" t="s">
        <v>1412</v>
      </c>
      <c r="D188" s="36" t="s">
        <v>210</v>
      </c>
      <c r="E188" s="36" t="s">
        <v>531</v>
      </c>
      <c r="F188" s="29" t="b">
        <v>1</v>
      </c>
      <c r="G188" s="140"/>
      <c r="H188" s="140" t="s">
        <v>1413</v>
      </c>
      <c r="I188" s="32" t="s">
        <v>1834</v>
      </c>
      <c r="J188" s="144">
        <v>46187.0</v>
      </c>
      <c r="K188" s="37" t="s">
        <v>366</v>
      </c>
      <c r="L188" s="37" t="s">
        <v>1859</v>
      </c>
      <c r="M188" s="37" t="s">
        <v>982</v>
      </c>
      <c r="N188" s="37" t="s">
        <v>194</v>
      </c>
      <c r="O188" s="37" t="s">
        <v>199</v>
      </c>
      <c r="P188" s="37" t="s">
        <v>201</v>
      </c>
      <c r="Q188" s="41">
        <v>46057.0</v>
      </c>
      <c r="R188" s="42">
        <v>1.0</v>
      </c>
      <c r="S188" s="44" t="s">
        <v>194</v>
      </c>
      <c r="T188" s="37" t="s">
        <v>1795</v>
      </c>
      <c r="U188" s="57" t="str">
        <f>IF(records_2[Type]="Room",records_2[roomNo],records_2[roomNo]&amp;"-"&amp;SUBSTITUTE(RIGHT(records_2[roomNo]&amp;records_2[Type],2),"-",""))</f>
        <v>16-1-092</v>
      </c>
      <c r="V188" s="59" t="str">
        <f t="array" ref="V188">_xlfn.XLOOKUP(records_2[ID], dAir[roomNo], dAir[roomName])</f>
        <v>LINEN WASHING</v>
      </c>
      <c r="W188" s="59" t="str">
        <f t="array" ref="W188">_xlfn.XLOOKUP(records_2[ID], dAir[roomNo], dAir[building])</f>
        <v>Building 16</v>
      </c>
      <c r="X188" s="59" t="str">
        <f t="array" ref="X188">_xlfn.XLOOKUP(records_2[ID], dAir[roomNo], dAir[floor])</f>
        <v>Floor 1</v>
      </c>
      <c r="Y188" s="57" t="str">
        <f t="array" ref="Y188">_xlfn.XLOOKUP(records_2[ID], dAir[roomNo], dAir[Class])</f>
        <v>C</v>
      </c>
      <c r="Z188" s="57">
        <f t="array" ref="Z188">_xlfn.XLOOKUP(records_2[Method]&amp;"-"&amp;records_2[Class], dAirSpec[ID], dAirSpec[Spec])</f>
        <v>100</v>
      </c>
      <c r="AA188" s="57" t="str">
        <f t="array" ref="AA188">_xlfn.XLOOKUP(records_2[Method]&amp;"-"&amp;records_2[Class], dAirSpec[ID], dAirSpec[Unit])</f>
        <v>cfu/m3</v>
      </c>
      <c r="AB188" s="57">
        <f t="array" ref="AB188">if(R188="","", if(records_2[Method]="Active Air",_xlfn.xlookup(records_2[ColonyCount]&amp;records_2[AirSampler],feller[code],feller[Vc]),records_2[ColonyCount]))</f>
        <v>1</v>
      </c>
      <c r="AC188" s="63" t="b">
        <f t="shared" si="1"/>
        <v>1</v>
      </c>
      <c r="AD188" s="61" t="b">
        <v>0</v>
      </c>
      <c r="AE188" s="32" t="s">
        <v>280</v>
      </c>
      <c r="AF188" s="46"/>
      <c r="AG188" s="46"/>
      <c r="AH188" s="46"/>
      <c r="AI188" s="46"/>
      <c r="AJ188" s="46"/>
    </row>
    <row r="189" ht="22.5" customHeight="1">
      <c r="A189" s="27">
        <v>46062.0</v>
      </c>
      <c r="B189" s="34" t="str">
        <f t="array" ref="B189">TEXT(A189, "MM-YYYY")</f>
        <v>02-2026</v>
      </c>
      <c r="C189" s="39" t="s">
        <v>1417</v>
      </c>
      <c r="D189" s="36" t="s">
        <v>210</v>
      </c>
      <c r="E189" s="36" t="s">
        <v>531</v>
      </c>
      <c r="F189" s="29" t="b">
        <v>1</v>
      </c>
      <c r="G189" s="140"/>
      <c r="H189" s="140" t="s">
        <v>534</v>
      </c>
      <c r="I189" s="32" t="s">
        <v>1792</v>
      </c>
      <c r="J189" s="144">
        <v>46081.0</v>
      </c>
      <c r="K189" s="37" t="s">
        <v>381</v>
      </c>
      <c r="L189" s="37" t="s">
        <v>1743</v>
      </c>
      <c r="M189" s="37" t="s">
        <v>1040</v>
      </c>
      <c r="N189" s="37" t="s">
        <v>194</v>
      </c>
      <c r="O189" s="37" t="s">
        <v>199</v>
      </c>
      <c r="P189" s="37" t="s">
        <v>201</v>
      </c>
      <c r="Q189" s="41">
        <v>46057.0</v>
      </c>
      <c r="R189" s="42">
        <v>0.0</v>
      </c>
      <c r="S189" s="44" t="s">
        <v>194</v>
      </c>
      <c r="T189" s="37" t="s">
        <v>1795</v>
      </c>
      <c r="U189" s="57" t="str">
        <f>IF(records_2[Type]="Room",records_2[roomNo],records_2[roomNo]&amp;"-"&amp;SUBSTITUTE(RIGHT(records_2[roomNo]&amp;records_2[Type],2),"-",""))</f>
        <v>16-1-093</v>
      </c>
      <c r="V189" s="59" t="str">
        <f t="array" ref="V189">_xlfn.XLOOKUP(records_2[ID], dAir[roomNo], dAir[roomName])</f>
        <v>LINEN DRY</v>
      </c>
      <c r="W189" s="59" t="str">
        <f t="array" ref="W189">_xlfn.XLOOKUP(records_2[ID], dAir[roomNo], dAir[building])</f>
        <v>Building 16</v>
      </c>
      <c r="X189" s="59" t="str">
        <f t="array" ref="X189">_xlfn.XLOOKUP(records_2[ID], dAir[roomNo], dAir[floor])</f>
        <v>Floor 1</v>
      </c>
      <c r="Y189" s="57" t="str">
        <f t="array" ref="Y189">_xlfn.XLOOKUP(records_2[ID], dAir[roomNo], dAir[Class])</f>
        <v>C</v>
      </c>
      <c r="Z189" s="57">
        <f t="array" ref="Z189">_xlfn.XLOOKUP(records_2[Method]&amp;"-"&amp;records_2[Class], dAirSpec[ID], dAirSpec[Spec])</f>
        <v>100</v>
      </c>
      <c r="AA189" s="57" t="str">
        <f t="array" ref="AA189">_xlfn.XLOOKUP(records_2[Method]&amp;"-"&amp;records_2[Class], dAirSpec[ID], dAirSpec[Unit])</f>
        <v>cfu/m3</v>
      </c>
      <c r="AB189" s="57">
        <f t="array" ref="AB189">if(R189="","", if(records_2[Method]="Active Air",_xlfn.xlookup(records_2[ColonyCount]&amp;records_2[AirSampler],feller[code],feller[Vc]),records_2[ColonyCount]))</f>
        <v>0</v>
      </c>
      <c r="AC189" s="63" t="b">
        <f t="shared" si="1"/>
        <v>1</v>
      </c>
      <c r="AD189" s="61" t="b">
        <v>0</v>
      </c>
      <c r="AE189" s="32" t="s">
        <v>280</v>
      </c>
      <c r="AF189" s="46"/>
      <c r="AG189" s="46"/>
      <c r="AH189" s="46"/>
      <c r="AI189" s="46"/>
      <c r="AJ189" s="46"/>
    </row>
    <row r="190" ht="22.5" customHeight="1">
      <c r="A190" s="27">
        <v>46062.0</v>
      </c>
      <c r="B190" s="34" t="str">
        <f t="array" ref="B190">TEXT(A190, "MM-YYYY")</f>
        <v>02-2026</v>
      </c>
      <c r="C190" s="39" t="s">
        <v>1421</v>
      </c>
      <c r="D190" s="36" t="s">
        <v>210</v>
      </c>
      <c r="E190" s="36" t="s">
        <v>531</v>
      </c>
      <c r="F190" s="29" t="b">
        <v>1</v>
      </c>
      <c r="G190" s="140"/>
      <c r="H190" s="140" t="s">
        <v>534</v>
      </c>
      <c r="I190" s="32" t="s">
        <v>1792</v>
      </c>
      <c r="J190" s="144">
        <v>46081.0</v>
      </c>
      <c r="K190" s="37" t="s">
        <v>366</v>
      </c>
      <c r="L190" s="37" t="s">
        <v>345</v>
      </c>
      <c r="M190" s="37" t="s">
        <v>1883</v>
      </c>
      <c r="N190" s="37" t="s">
        <v>194</v>
      </c>
      <c r="O190" s="37" t="s">
        <v>199</v>
      </c>
      <c r="P190" s="37" t="s">
        <v>201</v>
      </c>
      <c r="Q190" s="41">
        <v>46057.0</v>
      </c>
      <c r="R190" s="42">
        <v>1.0</v>
      </c>
      <c r="S190" s="44" t="s">
        <v>194</v>
      </c>
      <c r="T190" s="37" t="s">
        <v>1795</v>
      </c>
      <c r="U190" s="57" t="str">
        <f>IF(records_2[Type]="Room",records_2[roomNo],records_2[roomNo]&amp;"-"&amp;SUBSTITUTE(RIGHT(records_2[roomNo]&amp;records_2[Type],2),"-",""))</f>
        <v>16-1-094</v>
      </c>
      <c r="V190" s="59" t="str">
        <f t="array" ref="V190">_xlfn.XLOOKUP(records_2[ID], dAir[roomNo], dAir[roomName])</f>
        <v>LINEN STORAGE</v>
      </c>
      <c r="W190" s="59" t="str">
        <f t="array" ref="W190">_xlfn.XLOOKUP(records_2[ID], dAir[roomNo], dAir[building])</f>
        <v>Building 16</v>
      </c>
      <c r="X190" s="59" t="str">
        <f t="array" ref="X190">_xlfn.XLOOKUP(records_2[ID], dAir[roomNo], dAir[floor])</f>
        <v>Floor 1</v>
      </c>
      <c r="Y190" s="57" t="str">
        <f t="array" ref="Y190">_xlfn.XLOOKUP(records_2[ID], dAir[roomNo], dAir[Class])</f>
        <v>C</v>
      </c>
      <c r="Z190" s="57">
        <f t="array" ref="Z190">_xlfn.XLOOKUP(records_2[Method]&amp;"-"&amp;records_2[Class], dAirSpec[ID], dAirSpec[Spec])</f>
        <v>100</v>
      </c>
      <c r="AA190" s="57" t="str">
        <f t="array" ref="AA190">_xlfn.XLOOKUP(records_2[Method]&amp;"-"&amp;records_2[Class], dAirSpec[ID], dAirSpec[Unit])</f>
        <v>cfu/m3</v>
      </c>
      <c r="AB190" s="57">
        <f t="array" ref="AB190">if(R190="","", if(records_2[Method]="Active Air",_xlfn.xlookup(records_2[ColonyCount]&amp;records_2[AirSampler],feller[code],feller[Vc]),records_2[ColonyCount]))</f>
        <v>1</v>
      </c>
      <c r="AC190" s="63" t="b">
        <f t="shared" si="1"/>
        <v>1</v>
      </c>
      <c r="AD190" s="61" t="b">
        <v>0</v>
      </c>
      <c r="AE190" s="32" t="s">
        <v>280</v>
      </c>
      <c r="AF190" s="46"/>
      <c r="AG190" s="46"/>
      <c r="AH190" s="46"/>
      <c r="AI190" s="46"/>
      <c r="AJ190" s="46"/>
    </row>
    <row r="191" ht="22.5" customHeight="1">
      <c r="A191" s="27">
        <v>46062.0</v>
      </c>
      <c r="B191" s="34" t="str">
        <f t="array" ref="B191">TEXT(A191, "MM-YYYY")</f>
        <v>02-2026</v>
      </c>
      <c r="C191" s="39" t="s">
        <v>1431</v>
      </c>
      <c r="D191" s="36" t="s">
        <v>210</v>
      </c>
      <c r="E191" s="36" t="s">
        <v>531</v>
      </c>
      <c r="F191" s="29" t="b">
        <v>1</v>
      </c>
      <c r="G191" s="140"/>
      <c r="H191" s="140" t="s">
        <v>1413</v>
      </c>
      <c r="I191" s="32" t="s">
        <v>1834</v>
      </c>
      <c r="J191" s="144">
        <v>46187.0</v>
      </c>
      <c r="K191" s="37" t="s">
        <v>326</v>
      </c>
      <c r="L191" s="37" t="s">
        <v>799</v>
      </c>
      <c r="M191" s="37" t="s">
        <v>1886</v>
      </c>
      <c r="N191" s="37" t="s">
        <v>194</v>
      </c>
      <c r="O191" s="37" t="s">
        <v>199</v>
      </c>
      <c r="P191" s="37" t="s">
        <v>201</v>
      </c>
      <c r="Q191" s="41">
        <v>46057.0</v>
      </c>
      <c r="R191" s="42">
        <v>2.0</v>
      </c>
      <c r="S191" s="44" t="s">
        <v>194</v>
      </c>
      <c r="T191" s="37" t="s">
        <v>1795</v>
      </c>
      <c r="U191" s="57" t="str">
        <f>IF(records_2[Type]="Room",records_2[roomNo],records_2[roomNo]&amp;"-"&amp;SUBSTITUTE(RIGHT(records_2[roomNo]&amp;records_2[Type],2),"-",""))</f>
        <v>16-1-095</v>
      </c>
      <c r="V191" s="59" t="str">
        <f t="array" ref="V191">_xlfn.XLOOKUP(records_2[ID], dAir[roomNo], dAir[roomName])</f>
        <v>JANITOR</v>
      </c>
      <c r="W191" s="59" t="str">
        <f t="array" ref="W191">_xlfn.XLOOKUP(records_2[ID], dAir[roomNo], dAir[building])</f>
        <v>Building 16</v>
      </c>
      <c r="X191" s="59" t="str">
        <f t="array" ref="X191">_xlfn.XLOOKUP(records_2[ID], dAir[roomNo], dAir[floor])</f>
        <v>Floor 1</v>
      </c>
      <c r="Y191" s="57" t="str">
        <f t="array" ref="Y191">_xlfn.XLOOKUP(records_2[ID], dAir[roomNo], dAir[Class])</f>
        <v>C</v>
      </c>
      <c r="Z191" s="57">
        <f t="array" ref="Z191">_xlfn.XLOOKUP(records_2[Method]&amp;"-"&amp;records_2[Class], dAirSpec[ID], dAirSpec[Spec])</f>
        <v>100</v>
      </c>
      <c r="AA191" s="57" t="str">
        <f t="array" ref="AA191">_xlfn.XLOOKUP(records_2[Method]&amp;"-"&amp;records_2[Class], dAirSpec[ID], dAirSpec[Unit])</f>
        <v>cfu/m3</v>
      </c>
      <c r="AB191" s="57">
        <f t="array" ref="AB191">if(R191="","", if(records_2[Method]="Active Air",_xlfn.xlookup(records_2[ColonyCount]&amp;records_2[AirSampler],feller[code],feller[Vc]),records_2[ColonyCount]))</f>
        <v>2</v>
      </c>
      <c r="AC191" s="63" t="b">
        <f t="shared" si="1"/>
        <v>1</v>
      </c>
      <c r="AD191" s="61" t="b">
        <v>0</v>
      </c>
      <c r="AE191" s="32" t="s">
        <v>280</v>
      </c>
      <c r="AF191" s="46"/>
      <c r="AG191" s="46"/>
      <c r="AH191" s="46"/>
      <c r="AI191" s="46"/>
      <c r="AJ191" s="46"/>
    </row>
    <row r="192" ht="22.5" customHeight="1">
      <c r="A192" s="27">
        <v>46062.0</v>
      </c>
      <c r="B192" s="34" t="str">
        <f t="array" ref="B192">TEXT(A192, "MM-YYYY")</f>
        <v>02-2026</v>
      </c>
      <c r="C192" s="39" t="s">
        <v>745</v>
      </c>
      <c r="D192" s="36" t="s">
        <v>210</v>
      </c>
      <c r="E192" s="36" t="s">
        <v>531</v>
      </c>
      <c r="F192" s="29" t="b">
        <v>1</v>
      </c>
      <c r="G192" s="140"/>
      <c r="H192" s="140" t="s">
        <v>1413</v>
      </c>
      <c r="I192" s="32" t="s">
        <v>1810</v>
      </c>
      <c r="J192" s="144">
        <v>46187.0</v>
      </c>
      <c r="K192" s="37" t="s">
        <v>1790</v>
      </c>
      <c r="L192" s="37" t="s">
        <v>1088</v>
      </c>
      <c r="M192" s="37" t="s">
        <v>1813</v>
      </c>
      <c r="N192" s="37" t="s">
        <v>194</v>
      </c>
      <c r="O192" s="37" t="s">
        <v>199</v>
      </c>
      <c r="P192" s="37" t="s">
        <v>201</v>
      </c>
      <c r="Q192" s="41">
        <v>46057.0</v>
      </c>
      <c r="R192" s="42">
        <v>0.0</v>
      </c>
      <c r="S192" s="44" t="s">
        <v>194</v>
      </c>
      <c r="T192" s="37" t="s">
        <v>1795</v>
      </c>
      <c r="U192" s="57" t="str">
        <f>IF(records_2[Type]="Room",records_2[roomNo],records_2[roomNo]&amp;"-"&amp;SUBSTITUTE(RIGHT(records_2[roomNo]&amp;records_2[Type],2),"-",""))</f>
        <v>16-1-096</v>
      </c>
      <c r="V192" s="59" t="str">
        <f t="array" ref="V192">_xlfn.XLOOKUP(records_2[ID], dAir[roomNo], dAir[roomName])</f>
        <v>WASHING / TUNNEL 2</v>
      </c>
      <c r="W192" s="59" t="str">
        <f t="array" ref="W192">_xlfn.XLOOKUP(records_2[ID], dAir[roomNo], dAir[building])</f>
        <v>Building 16</v>
      </c>
      <c r="X192" s="59" t="str">
        <f t="array" ref="X192">_xlfn.XLOOKUP(records_2[ID], dAir[roomNo], dAir[floor])</f>
        <v>Floor 1</v>
      </c>
      <c r="Y192" s="57" t="str">
        <f t="array" ref="Y192">_xlfn.XLOOKUP(records_2[ID], dAir[roomNo], dAir[Class])</f>
        <v>C</v>
      </c>
      <c r="Z192" s="57">
        <f t="array" ref="Z192">_xlfn.XLOOKUP(records_2[Method]&amp;"-"&amp;records_2[Class], dAirSpec[ID], dAirSpec[Spec])</f>
        <v>100</v>
      </c>
      <c r="AA192" s="57" t="str">
        <f t="array" ref="AA192">_xlfn.XLOOKUP(records_2[Method]&amp;"-"&amp;records_2[Class], dAirSpec[ID], dAirSpec[Unit])</f>
        <v>cfu/m3</v>
      </c>
      <c r="AB192" s="57">
        <f t="array" ref="AB192">if(R192="","", if(records_2[Method]="Active Air",_xlfn.xlookup(records_2[ColonyCount]&amp;records_2[AirSampler],feller[code],feller[Vc]),records_2[ColonyCount]))</f>
        <v>0</v>
      </c>
      <c r="AC192" s="63" t="b">
        <f t="shared" si="1"/>
        <v>1</v>
      </c>
      <c r="AD192" s="61" t="b">
        <v>0</v>
      </c>
      <c r="AE192" s="32" t="s">
        <v>280</v>
      </c>
      <c r="AF192" s="46"/>
      <c r="AG192" s="46"/>
      <c r="AH192" s="46"/>
      <c r="AI192" s="46"/>
      <c r="AJ192" s="46"/>
    </row>
    <row r="193" ht="22.5" customHeight="1">
      <c r="A193" s="27">
        <v>46062.0</v>
      </c>
      <c r="B193" s="34" t="str">
        <f t="array" ref="B193">TEXT(A193, "MM-YYYY")</f>
        <v>02-2026</v>
      </c>
      <c r="C193" s="39" t="s">
        <v>1471</v>
      </c>
      <c r="D193" s="36" t="s">
        <v>210</v>
      </c>
      <c r="E193" s="36" t="s">
        <v>531</v>
      </c>
      <c r="F193" s="29" t="b">
        <v>1</v>
      </c>
      <c r="G193" s="140"/>
      <c r="H193" s="140" t="s">
        <v>1413</v>
      </c>
      <c r="I193" s="32" t="s">
        <v>1810</v>
      </c>
      <c r="J193" s="144">
        <v>46187.0</v>
      </c>
      <c r="K193" s="37" t="s">
        <v>330</v>
      </c>
      <c r="L193" s="37" t="s">
        <v>1861</v>
      </c>
      <c r="M193" s="37" t="s">
        <v>1006</v>
      </c>
      <c r="N193" s="37" t="s">
        <v>194</v>
      </c>
      <c r="O193" s="37" t="s">
        <v>199</v>
      </c>
      <c r="P193" s="37" t="s">
        <v>201</v>
      </c>
      <c r="Q193" s="41">
        <v>46057.0</v>
      </c>
      <c r="R193" s="42">
        <v>0.0</v>
      </c>
      <c r="S193" s="44" t="s">
        <v>194</v>
      </c>
      <c r="T193" s="37" t="s">
        <v>1795</v>
      </c>
      <c r="U193" s="57" t="str">
        <f>IF(records_2[Type]="Room",records_2[roomNo],records_2[roomNo]&amp;"-"&amp;SUBSTITUTE(RIGHT(records_2[roomNo]&amp;records_2[Type],2),"-",""))</f>
        <v>16-1-097</v>
      </c>
      <c r="V193" s="59" t="str">
        <f t="array" ref="V193">_xlfn.XLOOKUP(records_2[ID], dAir[roomNo], dAir[roomName])</f>
        <v>VIALS INTERNAL STAGING</v>
      </c>
      <c r="W193" s="59" t="str">
        <f t="array" ref="W193">_xlfn.XLOOKUP(records_2[ID], dAir[roomNo], dAir[building])</f>
        <v>Building 16</v>
      </c>
      <c r="X193" s="59" t="str">
        <f t="array" ref="X193">_xlfn.XLOOKUP(records_2[ID], dAir[roomNo], dAir[floor])</f>
        <v>Floor 1</v>
      </c>
      <c r="Y193" s="57" t="str">
        <f t="array" ref="Y193">_xlfn.XLOOKUP(records_2[ID], dAir[roomNo], dAir[Class])</f>
        <v>C</v>
      </c>
      <c r="Z193" s="57">
        <f t="array" ref="Z193">_xlfn.XLOOKUP(records_2[Method]&amp;"-"&amp;records_2[Class], dAirSpec[ID], dAirSpec[Spec])</f>
        <v>100</v>
      </c>
      <c r="AA193" s="57" t="str">
        <f t="array" ref="AA193">_xlfn.XLOOKUP(records_2[Method]&amp;"-"&amp;records_2[Class], dAirSpec[ID], dAirSpec[Unit])</f>
        <v>cfu/m3</v>
      </c>
      <c r="AB193" s="57">
        <f t="array" ref="AB193">if(R193="","", if(records_2[Method]="Active Air",_xlfn.xlookup(records_2[ColonyCount]&amp;records_2[AirSampler],feller[code],feller[Vc]),records_2[ColonyCount]))</f>
        <v>0</v>
      </c>
      <c r="AC193" s="63" t="b">
        <f t="shared" si="1"/>
        <v>1</v>
      </c>
      <c r="AD193" s="61" t="b">
        <v>0</v>
      </c>
      <c r="AE193" s="32" t="s">
        <v>280</v>
      </c>
      <c r="AF193" s="46"/>
      <c r="AG193" s="46"/>
      <c r="AH193" s="46"/>
      <c r="AI193" s="46"/>
      <c r="AJ193" s="46"/>
    </row>
    <row r="194" ht="22.5" customHeight="1">
      <c r="A194" s="27">
        <v>46062.0</v>
      </c>
      <c r="B194" s="34" t="str">
        <f t="array" ref="B194">TEXT(A194, "MM-YYYY")</f>
        <v>02-2026</v>
      </c>
      <c r="C194" s="39" t="s">
        <v>1471</v>
      </c>
      <c r="D194" s="36" t="s">
        <v>1350</v>
      </c>
      <c r="E194" s="36" t="s">
        <v>531</v>
      </c>
      <c r="F194" s="29" t="b">
        <v>1</v>
      </c>
      <c r="G194" s="140"/>
      <c r="H194" s="140" t="s">
        <v>1413</v>
      </c>
      <c r="I194" s="32" t="s">
        <v>1810</v>
      </c>
      <c r="J194" s="144">
        <v>46187.0</v>
      </c>
      <c r="K194" s="37" t="s">
        <v>330</v>
      </c>
      <c r="L194" s="37" t="s">
        <v>1861</v>
      </c>
      <c r="M194" s="37" t="s">
        <v>1901</v>
      </c>
      <c r="N194" s="37" t="s">
        <v>194</v>
      </c>
      <c r="O194" s="37" t="s">
        <v>199</v>
      </c>
      <c r="P194" s="37" t="s">
        <v>201</v>
      </c>
      <c r="Q194" s="41">
        <v>46057.0</v>
      </c>
      <c r="R194" s="42">
        <v>0.0</v>
      </c>
      <c r="S194" s="44" t="s">
        <v>1483</v>
      </c>
      <c r="T194" s="37" t="s">
        <v>1795</v>
      </c>
      <c r="U194" s="57" t="str">
        <f>IF(records_2[Type]="Room",records_2[roomNo],records_2[roomNo]&amp;"-"&amp;SUBSTITUTE(RIGHT(records_2[roomNo]&amp;records_2[Type],2),"-",""))</f>
        <v>16-1-097-PB</v>
      </c>
      <c r="V194" s="59" t="str">
        <f t="array" ref="V194">_xlfn.XLOOKUP(records_2[ID], dAir[roomNo], dAir[roomName])</f>
        <v>VIALS INTERNAL STAGING (Passbox)</v>
      </c>
      <c r="W194" s="59" t="str">
        <f t="array" ref="W194">_xlfn.XLOOKUP(records_2[ID], dAir[roomNo], dAir[building])</f>
        <v>Building 16</v>
      </c>
      <c r="X194" s="59" t="str">
        <f t="array" ref="X194">_xlfn.XLOOKUP(records_2[ID], dAir[roomNo], dAir[floor])</f>
        <v>Floor 1</v>
      </c>
      <c r="Y194" s="57" t="str">
        <f t="array" ref="Y194">_xlfn.XLOOKUP(records_2[ID], dAir[roomNo], dAir[Class])</f>
        <v>C</v>
      </c>
      <c r="Z194" s="57">
        <f t="array" ref="Z194">_xlfn.XLOOKUP(records_2[Method]&amp;"-"&amp;records_2[Class], dAirSpec[ID], dAirSpec[Spec])</f>
        <v>100</v>
      </c>
      <c r="AA194" s="57" t="str">
        <f t="array" ref="AA194">_xlfn.XLOOKUP(records_2[Method]&amp;"-"&amp;records_2[Class], dAirSpec[ID], dAirSpec[Unit])</f>
        <v>cfu/m3</v>
      </c>
      <c r="AB194" s="57">
        <f t="array" ref="AB194">if(R194="","", if(records_2[Method]="Active Air",_xlfn.xlookup(records_2[ColonyCount]&amp;records_2[AirSampler],feller[code],feller[Vc]),records_2[ColonyCount]))</f>
        <v>0</v>
      </c>
      <c r="AC194" s="63" t="b">
        <f t="shared" si="1"/>
        <v>1</v>
      </c>
      <c r="AD194" s="61" t="b">
        <v>0</v>
      </c>
      <c r="AE194" s="32" t="s">
        <v>280</v>
      </c>
      <c r="AF194" s="46"/>
      <c r="AG194" s="46"/>
      <c r="AH194" s="46"/>
      <c r="AI194" s="46"/>
      <c r="AJ194" s="46"/>
    </row>
    <row r="195" ht="22.5" customHeight="1">
      <c r="A195" s="27">
        <v>46062.0</v>
      </c>
      <c r="B195" s="34" t="str">
        <f t="array" ref="B195">TEXT(A195, "MM-YYYY")</f>
        <v>02-2026</v>
      </c>
      <c r="C195" s="39" t="s">
        <v>749</v>
      </c>
      <c r="D195" s="36" t="s">
        <v>210</v>
      </c>
      <c r="E195" s="36" t="s">
        <v>531</v>
      </c>
      <c r="F195" s="29" t="b">
        <v>1</v>
      </c>
      <c r="G195" s="140"/>
      <c r="H195" s="140" t="s">
        <v>1413</v>
      </c>
      <c r="I195" s="32" t="s">
        <v>1834</v>
      </c>
      <c r="J195" s="144">
        <v>46187.0</v>
      </c>
      <c r="K195" s="37" t="s">
        <v>353</v>
      </c>
      <c r="L195" s="37" t="s">
        <v>1583</v>
      </c>
      <c r="M195" s="37" t="s">
        <v>1910</v>
      </c>
      <c r="N195" s="37" t="s">
        <v>194</v>
      </c>
      <c r="O195" s="37" t="s">
        <v>199</v>
      </c>
      <c r="P195" s="37" t="s">
        <v>201</v>
      </c>
      <c r="Q195" s="41">
        <v>46057.0</v>
      </c>
      <c r="R195" s="42">
        <v>0.0</v>
      </c>
      <c r="S195" s="44" t="s">
        <v>194</v>
      </c>
      <c r="T195" s="37" t="s">
        <v>1795</v>
      </c>
      <c r="U195" s="57" t="str">
        <f>IF(records_2[Type]="Room",records_2[roomNo],records_2[roomNo]&amp;"-"&amp;SUBSTITUTE(RIGHT(records_2[roomNo]&amp;records_2[Type],2),"-",""))</f>
        <v>16-1-098</v>
      </c>
      <c r="V195" s="59" t="str">
        <f t="array" ref="V195">_xlfn.XLOOKUP(records_2[ID], dAir[roomNo], dAir[roomName])</f>
        <v>CIP/SIP</v>
      </c>
      <c r="W195" s="59" t="str">
        <f t="array" ref="W195">_xlfn.XLOOKUP(records_2[ID], dAir[roomNo], dAir[building])</f>
        <v>Building 16</v>
      </c>
      <c r="X195" s="59" t="str">
        <f t="array" ref="X195">_xlfn.XLOOKUP(records_2[ID], dAir[roomNo], dAir[floor])</f>
        <v>Floor 1</v>
      </c>
      <c r="Y195" s="57" t="str">
        <f t="array" ref="Y195">_xlfn.XLOOKUP(records_2[ID], dAir[roomNo], dAir[Class])</f>
        <v>C</v>
      </c>
      <c r="Z195" s="57">
        <f t="array" ref="Z195">_xlfn.XLOOKUP(records_2[Method]&amp;"-"&amp;records_2[Class], dAirSpec[ID], dAirSpec[Spec])</f>
        <v>100</v>
      </c>
      <c r="AA195" s="57" t="str">
        <f t="array" ref="AA195">_xlfn.XLOOKUP(records_2[Method]&amp;"-"&amp;records_2[Class], dAirSpec[ID], dAirSpec[Unit])</f>
        <v>cfu/m3</v>
      </c>
      <c r="AB195" s="57">
        <f t="array" ref="AB195">if(R195="","", if(records_2[Method]="Active Air",_xlfn.xlookup(records_2[ColonyCount]&amp;records_2[AirSampler],feller[code],feller[Vc]),records_2[ColonyCount]))</f>
        <v>0</v>
      </c>
      <c r="AC195" s="63" t="b">
        <f t="shared" si="1"/>
        <v>1</v>
      </c>
      <c r="AD195" s="61" t="b">
        <v>0</v>
      </c>
      <c r="AE195" s="32" t="s">
        <v>280</v>
      </c>
      <c r="AF195" s="46"/>
      <c r="AG195" s="46"/>
      <c r="AH195" s="46"/>
      <c r="AI195" s="46"/>
      <c r="AJ195" s="46"/>
    </row>
    <row r="196" ht="22.5" customHeight="1">
      <c r="A196" s="27">
        <v>46062.0</v>
      </c>
      <c r="B196" s="34" t="str">
        <f t="array" ref="B196">TEXT(A196, "MM-YYYY")</f>
        <v>02-2026</v>
      </c>
      <c r="C196" s="39" t="s">
        <v>1484</v>
      </c>
      <c r="D196" s="36" t="s">
        <v>210</v>
      </c>
      <c r="E196" s="36" t="s">
        <v>531</v>
      </c>
      <c r="F196" s="29" t="b">
        <v>1</v>
      </c>
      <c r="G196" s="140"/>
      <c r="H196" s="140" t="s">
        <v>203</v>
      </c>
      <c r="I196" s="32">
        <v>3.11015016E8</v>
      </c>
      <c r="J196" s="144">
        <v>46081.0</v>
      </c>
      <c r="K196" s="37" t="s">
        <v>326</v>
      </c>
      <c r="L196" s="37" t="s">
        <v>1918</v>
      </c>
      <c r="M196" s="37" t="s">
        <v>1588</v>
      </c>
      <c r="N196" s="37" t="s">
        <v>194</v>
      </c>
      <c r="O196" s="37" t="s">
        <v>199</v>
      </c>
      <c r="P196" s="37" t="s">
        <v>201</v>
      </c>
      <c r="Q196" s="41">
        <v>46057.0</v>
      </c>
      <c r="R196" s="42">
        <v>2.0</v>
      </c>
      <c r="S196" s="44" t="s">
        <v>194</v>
      </c>
      <c r="T196" s="37" t="s">
        <v>1795</v>
      </c>
      <c r="U196" s="57" t="str">
        <f>IF(records_2[Type]="Room",records_2[roomNo],records_2[roomNo]&amp;"-"&amp;SUBSTITUTE(RIGHT(records_2[roomNo]&amp;records_2[Type],2),"-",""))</f>
        <v>16-1-099</v>
      </c>
      <c r="V196" s="59" t="str">
        <f t="array" ref="V196">_xlfn.XLOOKUP(records_2[ID], dAir[roomNo], dAir[roomName])</f>
        <v>MAL</v>
      </c>
      <c r="W196" s="59" t="str">
        <f t="array" ref="W196">_xlfn.XLOOKUP(records_2[ID], dAir[roomNo], dAir[building])</f>
        <v>Building 16</v>
      </c>
      <c r="X196" s="59" t="str">
        <f t="array" ref="X196">_xlfn.XLOOKUP(records_2[ID], dAir[roomNo], dAir[floor])</f>
        <v>Floor 1</v>
      </c>
      <c r="Y196" s="57" t="str">
        <f t="array" ref="Y196">_xlfn.XLOOKUP(records_2[ID], dAir[roomNo], dAir[Class])</f>
        <v>C</v>
      </c>
      <c r="Z196" s="57">
        <f t="array" ref="Z196">_xlfn.XLOOKUP(records_2[Method]&amp;"-"&amp;records_2[Class], dAirSpec[ID], dAirSpec[Spec])</f>
        <v>100</v>
      </c>
      <c r="AA196" s="57" t="str">
        <f t="array" ref="AA196">_xlfn.XLOOKUP(records_2[Method]&amp;"-"&amp;records_2[Class], dAirSpec[ID], dAirSpec[Unit])</f>
        <v>cfu/m3</v>
      </c>
      <c r="AB196" s="57">
        <f t="array" ref="AB196">if(R196="","", if(records_2[Method]="Active Air",_xlfn.xlookup(records_2[ColonyCount]&amp;records_2[AirSampler],feller[code],feller[Vc]),records_2[ColonyCount]))</f>
        <v>2</v>
      </c>
      <c r="AC196" s="63" t="b">
        <f t="shared" si="1"/>
        <v>1</v>
      </c>
      <c r="AD196" s="61" t="b">
        <v>0</v>
      </c>
      <c r="AE196" s="32" t="s">
        <v>280</v>
      </c>
      <c r="AF196" s="46"/>
      <c r="AG196" s="46"/>
      <c r="AH196" s="46"/>
      <c r="AI196" s="46"/>
      <c r="AJ196" s="46"/>
    </row>
    <row r="197" ht="22.5" customHeight="1">
      <c r="A197" s="27">
        <v>46062.0</v>
      </c>
      <c r="B197" s="34" t="str">
        <f t="array" ref="B197">TEXT(A197, "MM-YYYY")</f>
        <v>02-2026</v>
      </c>
      <c r="C197" s="39" t="s">
        <v>1485</v>
      </c>
      <c r="D197" s="36" t="s">
        <v>210</v>
      </c>
      <c r="E197" s="36" t="s">
        <v>531</v>
      </c>
      <c r="F197" s="29" t="b">
        <v>1</v>
      </c>
      <c r="G197" s="140"/>
      <c r="H197" s="140" t="s">
        <v>1413</v>
      </c>
      <c r="I197" s="32" t="s">
        <v>1810</v>
      </c>
      <c r="J197" s="144">
        <v>46187.0</v>
      </c>
      <c r="K197" s="37" t="s">
        <v>317</v>
      </c>
      <c r="L197" s="37" t="s">
        <v>1921</v>
      </c>
      <c r="M197" s="37" t="s">
        <v>1922</v>
      </c>
      <c r="N197" s="37" t="s">
        <v>194</v>
      </c>
      <c r="O197" s="37" t="s">
        <v>199</v>
      </c>
      <c r="P197" s="37" t="s">
        <v>201</v>
      </c>
      <c r="Q197" s="41">
        <v>46057.0</v>
      </c>
      <c r="R197" s="42">
        <v>0.0</v>
      </c>
      <c r="S197" s="44" t="s">
        <v>194</v>
      </c>
      <c r="T197" s="37" t="s">
        <v>1795</v>
      </c>
      <c r="U197" s="57" t="str">
        <f>IF(records_2[Type]="Room",records_2[roomNo],records_2[roomNo]&amp;"-"&amp;SUBSTITUTE(RIGHT(records_2[roomNo]&amp;records_2[Type],2),"-",""))</f>
        <v>16-1-100</v>
      </c>
      <c r="V197" s="59" t="str">
        <f t="array" ref="V197">_xlfn.XLOOKUP(records_2[ID], dAir[roomNo], dAir[roomName])</f>
        <v>MAL</v>
      </c>
      <c r="W197" s="59" t="str">
        <f t="array" ref="W197">_xlfn.XLOOKUP(records_2[ID], dAir[roomNo], dAir[building])</f>
        <v>Building 16</v>
      </c>
      <c r="X197" s="59" t="str">
        <f t="array" ref="X197">_xlfn.XLOOKUP(records_2[ID], dAir[roomNo], dAir[floor])</f>
        <v>Floor 1</v>
      </c>
      <c r="Y197" s="57" t="str">
        <f t="array" ref="Y197">_xlfn.XLOOKUP(records_2[ID], dAir[roomNo], dAir[Class])</f>
        <v>D</v>
      </c>
      <c r="Z197" s="57">
        <f t="array" ref="Z197">_xlfn.XLOOKUP(records_2[Method]&amp;"-"&amp;records_2[Class], dAirSpec[ID], dAirSpec[Spec])</f>
        <v>200</v>
      </c>
      <c r="AA197" s="57" t="str">
        <f t="array" ref="AA197">_xlfn.XLOOKUP(records_2[Method]&amp;"-"&amp;records_2[Class], dAirSpec[ID], dAirSpec[Unit])</f>
        <v>cfu/m3</v>
      </c>
      <c r="AB197" s="57">
        <f t="array" ref="AB197">if(R197="","", if(records_2[Method]="Active Air",_xlfn.xlookup(records_2[ColonyCount]&amp;records_2[AirSampler],feller[code],feller[Vc]),records_2[ColonyCount]))</f>
        <v>0</v>
      </c>
      <c r="AC197" s="63" t="b">
        <f t="shared" si="1"/>
        <v>1</v>
      </c>
      <c r="AD197" s="61" t="b">
        <v>0</v>
      </c>
      <c r="AE197" s="32" t="s">
        <v>280</v>
      </c>
      <c r="AF197" s="46"/>
      <c r="AG197" s="46"/>
      <c r="AH197" s="46"/>
      <c r="AI197" s="46"/>
      <c r="AJ197" s="46"/>
    </row>
    <row r="198" ht="22.5" customHeight="1">
      <c r="A198" s="27">
        <v>46062.0</v>
      </c>
      <c r="B198" s="34" t="str">
        <f t="array" ref="B198">TEXT(A198, "MM-YYYY")</f>
        <v>02-2026</v>
      </c>
      <c r="C198" s="39" t="s">
        <v>1486</v>
      </c>
      <c r="D198" s="36" t="s">
        <v>210</v>
      </c>
      <c r="E198" s="36" t="s">
        <v>531</v>
      </c>
      <c r="F198" s="29" t="b">
        <v>1</v>
      </c>
      <c r="G198" s="140"/>
      <c r="H198" s="140" t="s">
        <v>1413</v>
      </c>
      <c r="I198" s="32" t="s">
        <v>1834</v>
      </c>
      <c r="J198" s="33"/>
      <c r="K198" s="37" t="s">
        <v>353</v>
      </c>
      <c r="L198" s="37" t="s">
        <v>1857</v>
      </c>
      <c r="M198" s="37" t="s">
        <v>1925</v>
      </c>
      <c r="N198" s="37" t="s">
        <v>194</v>
      </c>
      <c r="O198" s="37" t="s">
        <v>199</v>
      </c>
      <c r="P198" s="37" t="s">
        <v>201</v>
      </c>
      <c r="Q198" s="41">
        <v>46057.0</v>
      </c>
      <c r="R198" s="42">
        <v>9.0</v>
      </c>
      <c r="S198" s="44" t="s">
        <v>194</v>
      </c>
      <c r="T198" s="37" t="s">
        <v>1795</v>
      </c>
      <c r="U198" s="57" t="str">
        <f>IF(records_2[Type]="Room",records_2[roomNo],records_2[roomNo]&amp;"-"&amp;SUBSTITUTE(RIGHT(records_2[roomNo]&amp;records_2[Type],2),"-",""))</f>
        <v>16-1-101</v>
      </c>
      <c r="V198" s="59" t="str">
        <f t="array" ref="V198">_xlfn.XLOOKUP(records_2[ID], dAir[roomNo], dAir[roomName])</f>
        <v>AIRLOCK</v>
      </c>
      <c r="W198" s="59" t="str">
        <f t="array" ref="W198">_xlfn.XLOOKUP(records_2[ID], dAir[roomNo], dAir[building])</f>
        <v>Building 16</v>
      </c>
      <c r="X198" s="59" t="str">
        <f t="array" ref="X198">_xlfn.XLOOKUP(records_2[ID], dAir[roomNo], dAir[floor])</f>
        <v>Floor 1</v>
      </c>
      <c r="Y198" s="57" t="str">
        <f t="array" ref="Y198">_xlfn.XLOOKUP(records_2[ID], dAir[roomNo], dAir[Class])</f>
        <v>C</v>
      </c>
      <c r="Z198" s="57">
        <f t="array" ref="Z198">_xlfn.XLOOKUP(records_2[Method]&amp;"-"&amp;records_2[Class], dAirSpec[ID], dAirSpec[Spec])</f>
        <v>100</v>
      </c>
      <c r="AA198" s="57" t="str">
        <f t="array" ref="AA198">_xlfn.XLOOKUP(records_2[Method]&amp;"-"&amp;records_2[Class], dAirSpec[ID], dAirSpec[Unit])</f>
        <v>cfu/m3</v>
      </c>
      <c r="AB198" s="57">
        <f t="array" ref="AB198">if(R198="","", if(records_2[Method]="Active Air",_xlfn.xlookup(records_2[ColonyCount]&amp;records_2[AirSampler],feller[code],feller[Vc]),records_2[ColonyCount]))</f>
        <v>9</v>
      </c>
      <c r="AC198" s="63" t="b">
        <f t="shared" si="1"/>
        <v>1</v>
      </c>
      <c r="AD198" s="61" t="b">
        <v>0</v>
      </c>
      <c r="AE198" s="32" t="s">
        <v>280</v>
      </c>
      <c r="AF198" s="46"/>
      <c r="AG198" s="46"/>
      <c r="AH198" s="46"/>
      <c r="AI198" s="46"/>
      <c r="AJ198" s="46"/>
    </row>
    <row r="199" ht="22.5" customHeight="1">
      <c r="A199" s="27">
        <v>46062.0</v>
      </c>
      <c r="B199" s="34" t="str">
        <f t="array" ref="B199">TEXT(A199, "MM-YYYY")</f>
        <v>02-2026</v>
      </c>
      <c r="C199" s="39" t="s">
        <v>1486</v>
      </c>
      <c r="D199" s="36" t="s">
        <v>1350</v>
      </c>
      <c r="E199" s="36" t="s">
        <v>531</v>
      </c>
      <c r="F199" s="29" t="b">
        <v>1</v>
      </c>
      <c r="G199" s="140"/>
      <c r="H199" s="140" t="s">
        <v>203</v>
      </c>
      <c r="I199" s="32">
        <v>3.11015016E8</v>
      </c>
      <c r="J199" s="144">
        <v>46081.0</v>
      </c>
      <c r="K199" s="37" t="s">
        <v>353</v>
      </c>
      <c r="L199" s="37" t="s">
        <v>1857</v>
      </c>
      <c r="M199" s="37" t="s">
        <v>1925</v>
      </c>
      <c r="N199" s="37" t="s">
        <v>194</v>
      </c>
      <c r="O199" s="37" t="s">
        <v>199</v>
      </c>
      <c r="P199" s="37" t="s">
        <v>201</v>
      </c>
      <c r="Q199" s="41">
        <v>46057.0</v>
      </c>
      <c r="R199" s="42">
        <v>0.0</v>
      </c>
      <c r="S199" s="44" t="s">
        <v>1483</v>
      </c>
      <c r="T199" s="37" t="s">
        <v>1795</v>
      </c>
      <c r="U199" s="57" t="str">
        <f>IF(records_2[Type]="Room",records_2[roomNo],records_2[roomNo]&amp;"-"&amp;SUBSTITUTE(RIGHT(records_2[roomNo]&amp;records_2[Type],2),"-",""))</f>
        <v>16-1-101-PB</v>
      </c>
      <c r="V199" s="59" t="str">
        <f t="array" ref="V199">_xlfn.XLOOKUP(records_2[ID], dAir[roomNo], dAir[roomName])</f>
        <v>AIRLOCK (Passbox)</v>
      </c>
      <c r="W199" s="59" t="str">
        <f t="array" ref="W199">_xlfn.XLOOKUP(records_2[ID], dAir[roomNo], dAir[building])</f>
        <v>Building 16</v>
      </c>
      <c r="X199" s="59" t="str">
        <f t="array" ref="X199">_xlfn.XLOOKUP(records_2[ID], dAir[roomNo], dAir[floor])</f>
        <v>Floor 1</v>
      </c>
      <c r="Y199" s="57" t="str">
        <f t="array" ref="Y199">_xlfn.XLOOKUP(records_2[ID], dAir[roomNo], dAir[Class])</f>
        <v>C</v>
      </c>
      <c r="Z199" s="57">
        <f t="array" ref="Z199">_xlfn.XLOOKUP(records_2[Method]&amp;"-"&amp;records_2[Class], dAirSpec[ID], dAirSpec[Spec])</f>
        <v>100</v>
      </c>
      <c r="AA199" s="57" t="str">
        <f t="array" ref="AA199">_xlfn.XLOOKUP(records_2[Method]&amp;"-"&amp;records_2[Class], dAirSpec[ID], dAirSpec[Unit])</f>
        <v>cfu/m3</v>
      </c>
      <c r="AB199" s="57">
        <f t="array" ref="AB199">if(R199="","", if(records_2[Method]="Active Air",_xlfn.xlookup(records_2[ColonyCount]&amp;records_2[AirSampler],feller[code],feller[Vc]),records_2[ColonyCount]))</f>
        <v>0</v>
      </c>
      <c r="AC199" s="63" t="b">
        <f t="shared" si="1"/>
        <v>1</v>
      </c>
      <c r="AD199" s="61" t="b">
        <v>0</v>
      </c>
      <c r="AE199" s="32" t="s">
        <v>280</v>
      </c>
      <c r="AF199" s="46"/>
      <c r="AG199" s="46"/>
      <c r="AH199" s="46"/>
      <c r="AI199" s="46"/>
      <c r="AJ199" s="46"/>
    </row>
    <row r="200" ht="22.5" customHeight="1">
      <c r="A200" s="18">
        <v>46062.0</v>
      </c>
      <c r="B200" s="20" t="str">
        <f t="array" ref="B200">TEXT(A200, "MM-YYYY")</f>
        <v>02-2026</v>
      </c>
      <c r="C200" s="32" t="s">
        <v>786</v>
      </c>
      <c r="D200" s="21" t="s">
        <v>680</v>
      </c>
      <c r="E200" s="21" t="s">
        <v>531</v>
      </c>
      <c r="F200" s="29" t="b">
        <v>1</v>
      </c>
      <c r="G200" s="140"/>
      <c r="H200" s="140" t="s">
        <v>203</v>
      </c>
      <c r="I200" s="32">
        <v>3.11015016E8</v>
      </c>
      <c r="J200" s="144">
        <v>46081.0</v>
      </c>
      <c r="K200" s="51" t="s">
        <v>377</v>
      </c>
      <c r="L200" s="51" t="s">
        <v>1808</v>
      </c>
      <c r="M200" s="51" t="s">
        <v>1930</v>
      </c>
      <c r="N200" s="51" t="s">
        <v>194</v>
      </c>
      <c r="O200" s="51" t="s">
        <v>199</v>
      </c>
      <c r="P200" s="51" t="s">
        <v>201</v>
      </c>
      <c r="Q200" s="52">
        <v>46057.0</v>
      </c>
      <c r="R200" s="42">
        <v>1.0</v>
      </c>
      <c r="S200" s="44" t="s">
        <v>680</v>
      </c>
      <c r="T200" s="37" t="s">
        <v>1795</v>
      </c>
      <c r="U200" s="57" t="str">
        <f>IF(records_2[Type]="Room",records_2[roomNo],records_2[roomNo]&amp;"-"&amp;SUBSTITUTE(RIGHT(records_2[roomNo]&amp;records_2[Type],2),"-",""))</f>
        <v>16-1-102-B</v>
      </c>
      <c r="V200" s="59" t="str">
        <f t="array" ref="V200">_xlfn.XLOOKUP(records_2[ID], dAir[roomNo], dAir[roomName])</f>
        <v>DISPENSING (Booth)</v>
      </c>
      <c r="W200" s="59" t="str">
        <f t="array" ref="W200">_xlfn.XLOOKUP(records_2[ID], dAir[roomNo], dAir[building])</f>
        <v>Building 16</v>
      </c>
      <c r="X200" s="59" t="str">
        <f t="array" ref="X200">_xlfn.XLOOKUP(records_2[ID], dAir[roomNo], dAir[floor])</f>
        <v>Floor 1</v>
      </c>
      <c r="Y200" s="57" t="str">
        <f t="array" ref="Y200">_xlfn.XLOOKUP(records_2[ID], dAir[roomNo], dAir[Class])</f>
        <v>A</v>
      </c>
      <c r="Z200" s="57">
        <f t="array" ref="Z200">_xlfn.XLOOKUP(records_2[Method]&amp;"-"&amp;records_2[Class], dAirSpec[ID], dAirSpec[Spec])</f>
        <v>0</v>
      </c>
      <c r="AA200" s="57" t="str">
        <f t="array" ref="AA200">_xlfn.XLOOKUP(records_2[Method]&amp;"-"&amp;records_2[Class], dAirSpec[ID], dAirSpec[Unit])</f>
        <v>cfu/m3</v>
      </c>
      <c r="AB200" s="57">
        <f t="array" ref="AB200">if(R200="","", if(records_2[Method]="Active Air",_xlfn.xlookup(records_2[ColonyCount]&amp;records_2[AirSampler],feller[code],feller[Vc]),records_2[ColonyCount]))</f>
        <v>1</v>
      </c>
      <c r="AC200" s="63" t="b">
        <f t="shared" si="1"/>
        <v>0</v>
      </c>
      <c r="AD200" s="61" t="b">
        <v>1</v>
      </c>
      <c r="AE200" s="32" t="s">
        <v>280</v>
      </c>
      <c r="AF200" s="46"/>
      <c r="AG200" s="46"/>
      <c r="AH200" s="46"/>
      <c r="AI200" s="46"/>
      <c r="AJ200" s="46"/>
    </row>
    <row r="201" ht="22.5" customHeight="1">
      <c r="A201" s="27">
        <v>46062.0</v>
      </c>
      <c r="B201" s="34" t="str">
        <f t="array" ref="B201">TEXT(A201, "MM-YYYY")</f>
        <v>02-2026</v>
      </c>
      <c r="C201" s="39" t="s">
        <v>786</v>
      </c>
      <c r="D201" s="36" t="s">
        <v>210</v>
      </c>
      <c r="E201" s="36" t="s">
        <v>531</v>
      </c>
      <c r="F201" s="29" t="b">
        <v>1</v>
      </c>
      <c r="G201" s="140"/>
      <c r="H201" s="140" t="s">
        <v>203</v>
      </c>
      <c r="I201" s="32">
        <v>3.11015016E8</v>
      </c>
      <c r="J201" s="144">
        <v>46081.0</v>
      </c>
      <c r="K201" s="37" t="s">
        <v>377</v>
      </c>
      <c r="L201" s="37" t="s">
        <v>1808</v>
      </c>
      <c r="M201" s="37" t="s">
        <v>1930</v>
      </c>
      <c r="N201" s="37" t="s">
        <v>194</v>
      </c>
      <c r="O201" s="37" t="s">
        <v>199</v>
      </c>
      <c r="P201" s="37" t="s">
        <v>201</v>
      </c>
      <c r="Q201" s="41">
        <v>46057.0</v>
      </c>
      <c r="R201" s="42">
        <v>3.0</v>
      </c>
      <c r="S201" s="44" t="s">
        <v>194</v>
      </c>
      <c r="T201" s="37" t="s">
        <v>1795</v>
      </c>
      <c r="U201" s="57" t="str">
        <f>IF(records_2[Type]="Room",records_2[roomNo],records_2[roomNo]&amp;"-"&amp;SUBSTITUTE(RIGHT(records_2[roomNo]&amp;records_2[Type],2),"-",""))</f>
        <v>16-1-102</v>
      </c>
      <c r="V201" s="59" t="str">
        <f t="array" ref="V201">_xlfn.XLOOKUP(records_2[ID], dAir[roomNo], dAir[roomName])</f>
        <v>DISPENSING</v>
      </c>
      <c r="W201" s="59" t="str">
        <f t="array" ref="W201">_xlfn.XLOOKUP(records_2[ID], dAir[roomNo], dAir[building])</f>
        <v>Building 16</v>
      </c>
      <c r="X201" s="59" t="str">
        <f t="array" ref="X201">_xlfn.XLOOKUP(records_2[ID], dAir[roomNo], dAir[floor])</f>
        <v>Floor 1</v>
      </c>
      <c r="Y201" s="57" t="str">
        <f t="array" ref="Y201">_xlfn.XLOOKUP(records_2[ID], dAir[roomNo], dAir[Class])</f>
        <v>C</v>
      </c>
      <c r="Z201" s="57">
        <f t="array" ref="Z201">_xlfn.XLOOKUP(records_2[Method]&amp;"-"&amp;records_2[Class], dAirSpec[ID], dAirSpec[Spec])</f>
        <v>100</v>
      </c>
      <c r="AA201" s="57" t="str">
        <f t="array" ref="AA201">_xlfn.XLOOKUP(records_2[Method]&amp;"-"&amp;records_2[Class], dAirSpec[ID], dAirSpec[Unit])</f>
        <v>cfu/m3</v>
      </c>
      <c r="AB201" s="57">
        <f t="array" ref="AB201">if(R201="","", if(records_2[Method]="Active Air",_xlfn.xlookup(records_2[ColonyCount]&amp;records_2[AirSampler],feller[code],feller[Vc]),records_2[ColonyCount]))</f>
        <v>3</v>
      </c>
      <c r="AC201" s="63" t="b">
        <f t="shared" si="1"/>
        <v>1</v>
      </c>
      <c r="AD201" s="61" t="b">
        <v>0</v>
      </c>
      <c r="AE201" s="32" t="s">
        <v>280</v>
      </c>
      <c r="AF201" s="46"/>
      <c r="AG201" s="46"/>
      <c r="AH201" s="46"/>
      <c r="AI201" s="46"/>
      <c r="AJ201" s="46"/>
    </row>
    <row r="202" ht="22.5" customHeight="1">
      <c r="A202" s="27">
        <v>46062.0</v>
      </c>
      <c r="B202" s="34" t="str">
        <f t="array" ref="B202">TEXT(A202, "MM-YYYY")</f>
        <v>02-2026</v>
      </c>
      <c r="C202" s="39" t="s">
        <v>1492</v>
      </c>
      <c r="D202" s="36" t="s">
        <v>210</v>
      </c>
      <c r="E202" s="36" t="s">
        <v>531</v>
      </c>
      <c r="F202" s="29" t="b">
        <v>1</v>
      </c>
      <c r="G202" s="140"/>
      <c r="H202" s="140" t="s">
        <v>203</v>
      </c>
      <c r="I202" s="32">
        <v>3.11015016E8</v>
      </c>
      <c r="J202" s="144">
        <v>46081.0</v>
      </c>
      <c r="K202" s="37" t="s">
        <v>381</v>
      </c>
      <c r="L202" s="37" t="s">
        <v>1054</v>
      </c>
      <c r="M202" s="37" t="s">
        <v>1943</v>
      </c>
      <c r="N202" s="37" t="s">
        <v>194</v>
      </c>
      <c r="O202" s="37" t="s">
        <v>199</v>
      </c>
      <c r="P202" s="37" t="s">
        <v>201</v>
      </c>
      <c r="Q202" s="41">
        <v>46057.0</v>
      </c>
      <c r="R202" s="42">
        <v>1.0</v>
      </c>
      <c r="S202" s="44" t="s">
        <v>194</v>
      </c>
      <c r="T202" s="37" t="s">
        <v>1795</v>
      </c>
      <c r="U202" s="57" t="str">
        <f>IF(records_2[Type]="Room",records_2[roomNo],records_2[roomNo]&amp;"-"&amp;SUBSTITUTE(RIGHT(records_2[roomNo]&amp;records_2[Type],2),"-",""))</f>
        <v>16-1-103</v>
      </c>
      <c r="V202" s="59" t="str">
        <f t="array" ref="V202">_xlfn.XLOOKUP(records_2[ID], dAir[roomNo], dAir[roomName])</f>
        <v>DISPENSED MATERIAL STAGING</v>
      </c>
      <c r="W202" s="59" t="str">
        <f t="array" ref="W202">_xlfn.XLOOKUP(records_2[ID], dAir[roomNo], dAir[building])</f>
        <v>Building 16</v>
      </c>
      <c r="X202" s="59" t="str">
        <f t="array" ref="X202">_xlfn.XLOOKUP(records_2[ID], dAir[roomNo], dAir[floor])</f>
        <v>Floor 1</v>
      </c>
      <c r="Y202" s="57" t="str">
        <f t="array" ref="Y202">_xlfn.XLOOKUP(records_2[ID], dAir[roomNo], dAir[Class])</f>
        <v>C</v>
      </c>
      <c r="Z202" s="57">
        <f t="array" ref="Z202">_xlfn.XLOOKUP(records_2[Method]&amp;"-"&amp;records_2[Class], dAirSpec[ID], dAirSpec[Spec])</f>
        <v>100</v>
      </c>
      <c r="AA202" s="57" t="str">
        <f t="array" ref="AA202">_xlfn.XLOOKUP(records_2[Method]&amp;"-"&amp;records_2[Class], dAirSpec[ID], dAirSpec[Unit])</f>
        <v>cfu/m3</v>
      </c>
      <c r="AB202" s="57">
        <f t="array" ref="AB202">if(R202="","", if(records_2[Method]="Active Air",_xlfn.xlookup(records_2[ColonyCount]&amp;records_2[AirSampler],feller[code],feller[Vc]),records_2[ColonyCount]))</f>
        <v>1</v>
      </c>
      <c r="AC202" s="63" t="b">
        <f t="shared" si="1"/>
        <v>1</v>
      </c>
      <c r="AD202" s="61" t="b">
        <v>0</v>
      </c>
      <c r="AE202" s="32" t="s">
        <v>280</v>
      </c>
      <c r="AF202" s="46"/>
      <c r="AG202" s="46"/>
      <c r="AH202" s="46"/>
      <c r="AI202" s="46"/>
      <c r="AJ202" s="46"/>
    </row>
    <row r="203" ht="22.5" customHeight="1">
      <c r="A203" s="27">
        <v>46062.0</v>
      </c>
      <c r="B203" s="34" t="str">
        <f t="array" ref="B203">TEXT(A203, "MM-YYYY")</f>
        <v>02-2026</v>
      </c>
      <c r="C203" s="39" t="s">
        <v>1493</v>
      </c>
      <c r="D203" s="36" t="s">
        <v>210</v>
      </c>
      <c r="E203" s="36" t="s">
        <v>531</v>
      </c>
      <c r="F203" s="29" t="b">
        <v>1</v>
      </c>
      <c r="G203" s="140"/>
      <c r="H203" s="140" t="s">
        <v>203</v>
      </c>
      <c r="I203" s="32">
        <v>3.11015016E8</v>
      </c>
      <c r="J203" s="144">
        <v>46081.0</v>
      </c>
      <c r="K203" s="37" t="s">
        <v>591</v>
      </c>
      <c r="L203" s="37" t="s">
        <v>842</v>
      </c>
      <c r="M203" s="37" t="s">
        <v>782</v>
      </c>
      <c r="N203" s="37" t="s">
        <v>194</v>
      </c>
      <c r="O203" s="37" t="s">
        <v>199</v>
      </c>
      <c r="P203" s="37" t="s">
        <v>201</v>
      </c>
      <c r="Q203" s="41">
        <v>46057.0</v>
      </c>
      <c r="R203" s="42">
        <v>22.0</v>
      </c>
      <c r="S203" s="44" t="s">
        <v>194</v>
      </c>
      <c r="T203" s="37" t="s">
        <v>1795</v>
      </c>
      <c r="U203" s="57" t="str">
        <f>IF(records_2[Type]="Room",records_2[roomNo],records_2[roomNo]&amp;"-"&amp;SUBSTITUTE(RIGHT(records_2[roomNo]&amp;records_2[Type],2),"-",""))</f>
        <v>16-1-104</v>
      </c>
      <c r="V203" s="59" t="str">
        <f t="array" ref="V203">_xlfn.XLOOKUP(records_2[ID], dAir[roomNo], dAir[roomName])</f>
        <v>AMPOULES INTERNAL STAGING</v>
      </c>
      <c r="W203" s="59" t="str">
        <f t="array" ref="W203">_xlfn.XLOOKUP(records_2[ID], dAir[roomNo], dAir[building])</f>
        <v>Building 16</v>
      </c>
      <c r="X203" s="59" t="str">
        <f t="array" ref="X203">_xlfn.XLOOKUP(records_2[ID], dAir[roomNo], dAir[floor])</f>
        <v>Floor 1</v>
      </c>
      <c r="Y203" s="57" t="str">
        <f t="array" ref="Y203">_xlfn.XLOOKUP(records_2[ID], dAir[roomNo], dAir[Class])</f>
        <v>C</v>
      </c>
      <c r="Z203" s="57">
        <f t="array" ref="Z203">_xlfn.XLOOKUP(records_2[Method]&amp;"-"&amp;records_2[Class], dAirSpec[ID], dAirSpec[Spec])</f>
        <v>100</v>
      </c>
      <c r="AA203" s="57" t="str">
        <f t="array" ref="AA203">_xlfn.XLOOKUP(records_2[Method]&amp;"-"&amp;records_2[Class], dAirSpec[ID], dAirSpec[Unit])</f>
        <v>cfu/m3</v>
      </c>
      <c r="AB203" s="57">
        <f t="array" ref="AB203">if(R203="","", if(records_2[Method]="Active Air",_xlfn.xlookup(records_2[ColonyCount]&amp;records_2[AirSampler],feller[code],feller[Vc]),records_2[ColonyCount]))</f>
        <v>22</v>
      </c>
      <c r="AC203" s="63" t="b">
        <f t="shared" si="1"/>
        <v>1</v>
      </c>
      <c r="AD203" s="61" t="b">
        <v>0</v>
      </c>
      <c r="AE203" s="32" t="s">
        <v>280</v>
      </c>
      <c r="AF203" s="46"/>
      <c r="AG203" s="46"/>
      <c r="AH203" s="46"/>
      <c r="AI203" s="46"/>
      <c r="AJ203" s="46"/>
    </row>
    <row r="204" ht="22.5" customHeight="1">
      <c r="A204" s="27">
        <v>46062.0</v>
      </c>
      <c r="B204" s="34" t="str">
        <f t="array" ref="B204">TEXT(A204, "MM-YYYY")</f>
        <v>02-2026</v>
      </c>
      <c r="C204" s="39" t="s">
        <v>1493</v>
      </c>
      <c r="D204" s="36" t="s">
        <v>1350</v>
      </c>
      <c r="E204" s="36" t="s">
        <v>531</v>
      </c>
      <c r="F204" s="29" t="b">
        <v>1</v>
      </c>
      <c r="G204" s="140"/>
      <c r="H204" s="140" t="s">
        <v>1413</v>
      </c>
      <c r="I204" s="32" t="s">
        <v>1834</v>
      </c>
      <c r="J204" s="144">
        <v>46187.0</v>
      </c>
      <c r="K204" s="37" t="s">
        <v>591</v>
      </c>
      <c r="L204" s="37" t="s">
        <v>842</v>
      </c>
      <c r="M204" s="37" t="s">
        <v>782</v>
      </c>
      <c r="N204" s="37" t="s">
        <v>194</v>
      </c>
      <c r="O204" s="37" t="s">
        <v>199</v>
      </c>
      <c r="P204" s="37" t="s">
        <v>201</v>
      </c>
      <c r="Q204" s="41">
        <v>46057.0</v>
      </c>
      <c r="R204" s="42">
        <v>24.0</v>
      </c>
      <c r="S204" s="44" t="s">
        <v>1483</v>
      </c>
      <c r="T204" s="37" t="s">
        <v>1795</v>
      </c>
      <c r="U204" s="57" t="str">
        <f>IF(records_2[Type]="Room",records_2[roomNo],records_2[roomNo]&amp;"-"&amp;SUBSTITUTE(RIGHT(records_2[roomNo]&amp;records_2[Type],2),"-",""))</f>
        <v>16-1-104-PB</v>
      </c>
      <c r="V204" s="59" t="str">
        <f t="array" ref="V204">_xlfn.XLOOKUP(records_2[ID], dAir[roomNo], dAir[roomName])</f>
        <v>AMPOULES INTERNAL STAGING (Passbox)</v>
      </c>
      <c r="W204" s="59" t="str">
        <f t="array" ref="W204">_xlfn.XLOOKUP(records_2[ID], dAir[roomNo], dAir[building])</f>
        <v>Building 16</v>
      </c>
      <c r="X204" s="59" t="str">
        <f t="array" ref="X204">_xlfn.XLOOKUP(records_2[ID], dAir[roomNo], dAir[floor])</f>
        <v>Floor 1</v>
      </c>
      <c r="Y204" s="57" t="str">
        <f t="array" ref="Y204">_xlfn.XLOOKUP(records_2[ID], dAir[roomNo], dAir[Class])</f>
        <v>C</v>
      </c>
      <c r="Z204" s="57">
        <f t="array" ref="Z204">_xlfn.XLOOKUP(records_2[Method]&amp;"-"&amp;records_2[Class], dAirSpec[ID], dAirSpec[Spec])</f>
        <v>100</v>
      </c>
      <c r="AA204" s="57" t="str">
        <f t="array" ref="AA204">_xlfn.XLOOKUP(records_2[Method]&amp;"-"&amp;records_2[Class], dAirSpec[ID], dAirSpec[Unit])</f>
        <v>cfu/m3</v>
      </c>
      <c r="AB204" s="57">
        <f t="array" ref="AB204">if(R204="","", if(records_2[Method]="Active Air",_xlfn.xlookup(records_2[ColonyCount]&amp;records_2[AirSampler],feller[code],feller[Vc]),records_2[ColonyCount]))</f>
        <v>25</v>
      </c>
      <c r="AC204" s="63" t="b">
        <f t="shared" si="1"/>
        <v>1</v>
      </c>
      <c r="AD204" s="61" t="b">
        <v>0</v>
      </c>
      <c r="AE204" s="32" t="s">
        <v>280</v>
      </c>
      <c r="AF204" s="46"/>
      <c r="AG204" s="46"/>
      <c r="AH204" s="46"/>
      <c r="AI204" s="46"/>
      <c r="AJ204" s="46"/>
    </row>
    <row r="205" ht="22.5" customHeight="1">
      <c r="A205" s="27">
        <v>46062.0</v>
      </c>
      <c r="B205" s="34" t="str">
        <f t="array" ref="B205">TEXT(A205, "MM-YYYY")</f>
        <v>02-2026</v>
      </c>
      <c r="C205" s="39" t="s">
        <v>754</v>
      </c>
      <c r="D205" s="36" t="s">
        <v>210</v>
      </c>
      <c r="E205" s="36" t="s">
        <v>531</v>
      </c>
      <c r="F205" s="29" t="b">
        <v>1</v>
      </c>
      <c r="G205" s="140"/>
      <c r="H205" s="140" t="s">
        <v>1413</v>
      </c>
      <c r="I205" s="32" t="s">
        <v>1834</v>
      </c>
      <c r="J205" s="144">
        <v>46187.0</v>
      </c>
      <c r="K205" s="37" t="s">
        <v>733</v>
      </c>
      <c r="L205" s="37" t="s">
        <v>1743</v>
      </c>
      <c r="M205" s="37" t="s">
        <v>1970</v>
      </c>
      <c r="N205" s="37" t="s">
        <v>194</v>
      </c>
      <c r="O205" s="37" t="s">
        <v>199</v>
      </c>
      <c r="P205" s="37" t="s">
        <v>201</v>
      </c>
      <c r="Q205" s="41">
        <v>46057.0</v>
      </c>
      <c r="R205" s="42">
        <v>0.0</v>
      </c>
      <c r="S205" s="44" t="s">
        <v>194</v>
      </c>
      <c r="T205" s="37" t="s">
        <v>1795</v>
      </c>
      <c r="U205" s="57" t="str">
        <f>IF(records_2[Type]="Room",records_2[roomNo],records_2[roomNo]&amp;"-"&amp;SUBSTITUTE(RIGHT(records_2[roomNo]&amp;records_2[Type],2),"-",""))</f>
        <v>16-1-105</v>
      </c>
      <c r="V205" s="59" t="str">
        <f t="array" ref="V205">_xlfn.XLOOKUP(records_2[ID], dAir[roomNo], dAir[roomName])</f>
        <v>WASHING / TUNNEL 1</v>
      </c>
      <c r="W205" s="59" t="str">
        <f t="array" ref="W205">_xlfn.XLOOKUP(records_2[ID], dAir[roomNo], dAir[building])</f>
        <v>Building 16</v>
      </c>
      <c r="X205" s="59" t="str">
        <f t="array" ref="X205">_xlfn.XLOOKUP(records_2[ID], dAir[roomNo], dAir[floor])</f>
        <v>Floor 1</v>
      </c>
      <c r="Y205" s="57" t="str">
        <f t="array" ref="Y205">_xlfn.XLOOKUP(records_2[ID], dAir[roomNo], dAir[Class])</f>
        <v>C</v>
      </c>
      <c r="Z205" s="57">
        <f t="array" ref="Z205">_xlfn.XLOOKUP(records_2[Method]&amp;"-"&amp;records_2[Class], dAirSpec[ID], dAirSpec[Spec])</f>
        <v>100</v>
      </c>
      <c r="AA205" s="57" t="str">
        <f t="array" ref="AA205">_xlfn.XLOOKUP(records_2[Method]&amp;"-"&amp;records_2[Class], dAirSpec[ID], dAirSpec[Unit])</f>
        <v>cfu/m3</v>
      </c>
      <c r="AB205" s="57">
        <f t="array" ref="AB205">if(R205="","", if(records_2[Method]="Active Air",_xlfn.xlookup(records_2[ColonyCount]&amp;records_2[AirSampler],feller[code],feller[Vc]),records_2[ColonyCount]))</f>
        <v>0</v>
      </c>
      <c r="AC205" s="63" t="b">
        <f t="shared" si="1"/>
        <v>1</v>
      </c>
      <c r="AD205" s="61" t="b">
        <v>0</v>
      </c>
      <c r="AE205" s="32" t="s">
        <v>280</v>
      </c>
      <c r="AF205" s="46"/>
      <c r="AG205" s="46"/>
      <c r="AH205" s="46"/>
      <c r="AI205" s="46"/>
      <c r="AJ205" s="46"/>
    </row>
    <row r="206" ht="22.5" customHeight="1">
      <c r="A206" s="27">
        <v>46062.0</v>
      </c>
      <c r="B206" s="34" t="str">
        <f t="array" ref="B206">TEXT(A206, "MM-YYYY")</f>
        <v>02-2026</v>
      </c>
      <c r="C206" s="39" t="s">
        <v>1498</v>
      </c>
      <c r="D206" s="36" t="s">
        <v>210</v>
      </c>
      <c r="E206" s="36" t="s">
        <v>531</v>
      </c>
      <c r="F206" s="29" t="b">
        <v>1</v>
      </c>
      <c r="G206" s="140"/>
      <c r="H206" s="140" t="s">
        <v>203</v>
      </c>
      <c r="I206" s="32">
        <v>3.11015016E8</v>
      </c>
      <c r="J206" s="144">
        <v>46081.0</v>
      </c>
      <c r="K206" s="37" t="s">
        <v>706</v>
      </c>
      <c r="L206" s="37" t="s">
        <v>1983</v>
      </c>
      <c r="M206" s="37" t="s">
        <v>1984</v>
      </c>
      <c r="N206" s="37" t="s">
        <v>194</v>
      </c>
      <c r="O206" s="37" t="s">
        <v>199</v>
      </c>
      <c r="P206" s="37" t="s">
        <v>201</v>
      </c>
      <c r="Q206" s="41">
        <v>46057.0</v>
      </c>
      <c r="R206" s="42">
        <v>9.0</v>
      </c>
      <c r="S206" s="44" t="s">
        <v>194</v>
      </c>
      <c r="T206" s="37" t="s">
        <v>1795</v>
      </c>
      <c r="U206" s="57" t="str">
        <f>IF(records_2[Type]="Room",records_2[roomNo],records_2[roomNo]&amp;"-"&amp;SUBSTITUTE(RIGHT(records_2[roomNo]&amp;records_2[Type],2),"-",""))</f>
        <v>16-1-106</v>
      </c>
      <c r="V206" s="59" t="str">
        <f t="array" ref="V206">_xlfn.XLOOKUP(records_2[ID], dAir[roomNo], dAir[roomName])</f>
        <v>AIRLOCK</v>
      </c>
      <c r="W206" s="59" t="str">
        <f t="array" ref="W206">_xlfn.XLOOKUP(records_2[ID], dAir[roomNo], dAir[building])</f>
        <v>Building 16</v>
      </c>
      <c r="X206" s="59" t="str">
        <f t="array" ref="X206">_xlfn.XLOOKUP(records_2[ID], dAir[roomNo], dAir[floor])</f>
        <v>Floor 1</v>
      </c>
      <c r="Y206" s="57" t="str">
        <f t="array" ref="Y206">_xlfn.XLOOKUP(records_2[ID], dAir[roomNo], dAir[Class])</f>
        <v>C</v>
      </c>
      <c r="Z206" s="57">
        <f t="array" ref="Z206">_xlfn.XLOOKUP(records_2[Method]&amp;"-"&amp;records_2[Class], dAirSpec[ID], dAirSpec[Spec])</f>
        <v>100</v>
      </c>
      <c r="AA206" s="57" t="str">
        <f t="array" ref="AA206">_xlfn.XLOOKUP(records_2[Method]&amp;"-"&amp;records_2[Class], dAirSpec[ID], dAirSpec[Unit])</f>
        <v>cfu/m3</v>
      </c>
      <c r="AB206" s="57">
        <f t="array" ref="AB206">if(R206="","", if(records_2[Method]="Active Air",_xlfn.xlookup(records_2[ColonyCount]&amp;records_2[AirSampler],feller[code],feller[Vc]),records_2[ColonyCount]))</f>
        <v>9</v>
      </c>
      <c r="AC206" s="63" t="b">
        <f t="shared" si="1"/>
        <v>1</v>
      </c>
      <c r="AD206" s="61" t="b">
        <v>0</v>
      </c>
      <c r="AE206" s="32" t="s">
        <v>280</v>
      </c>
      <c r="AF206" s="46"/>
      <c r="AG206" s="46"/>
      <c r="AH206" s="46"/>
      <c r="AI206" s="46"/>
      <c r="AJ206" s="46"/>
    </row>
    <row r="207" ht="22.5" customHeight="1">
      <c r="A207" s="27">
        <v>46062.0</v>
      </c>
      <c r="B207" s="34" t="str">
        <f t="array" ref="B207">TEXT(A207, "MM-YYYY")</f>
        <v>02-2026</v>
      </c>
      <c r="C207" s="39" t="s">
        <v>763</v>
      </c>
      <c r="D207" s="36" t="s">
        <v>210</v>
      </c>
      <c r="E207" s="36" t="s">
        <v>531</v>
      </c>
      <c r="F207" s="29" t="b">
        <v>1</v>
      </c>
      <c r="G207" s="140"/>
      <c r="H207" s="140" t="s">
        <v>1413</v>
      </c>
      <c r="I207" s="32" t="s">
        <v>1834</v>
      </c>
      <c r="J207" s="144">
        <v>46187.0</v>
      </c>
      <c r="K207" s="37" t="s">
        <v>706</v>
      </c>
      <c r="L207" s="37" t="s">
        <v>299</v>
      </c>
      <c r="M207" s="37" t="s">
        <v>1984</v>
      </c>
      <c r="N207" s="37" t="s">
        <v>194</v>
      </c>
      <c r="O207" s="37" t="s">
        <v>199</v>
      </c>
      <c r="P207" s="37" t="s">
        <v>201</v>
      </c>
      <c r="Q207" s="41">
        <v>46057.0</v>
      </c>
      <c r="R207" s="42">
        <v>1.0</v>
      </c>
      <c r="S207" s="44" t="s">
        <v>194</v>
      </c>
      <c r="T207" s="37" t="s">
        <v>1795</v>
      </c>
      <c r="U207" s="57" t="str">
        <f>IF(records_2[Type]="Room",records_2[roomNo],records_2[roomNo]&amp;"-"&amp;SUBSTITUTE(RIGHT(records_2[roomNo]&amp;records_2[Type],2),"-",""))</f>
        <v>16-1-107</v>
      </c>
      <c r="V207" s="59" t="str">
        <f t="array" ref="V207">_xlfn.XLOOKUP(records_2[ID], dAir[roomNo], dAir[roomName])</f>
        <v>COMPOUNDING 1</v>
      </c>
      <c r="W207" s="59" t="str">
        <f t="array" ref="W207">_xlfn.XLOOKUP(records_2[ID], dAir[roomNo], dAir[building])</f>
        <v>Building 16</v>
      </c>
      <c r="X207" s="59" t="str">
        <f t="array" ref="X207">_xlfn.XLOOKUP(records_2[ID], dAir[roomNo], dAir[floor])</f>
        <v>Floor 1</v>
      </c>
      <c r="Y207" s="57" t="str">
        <f t="array" ref="Y207">_xlfn.XLOOKUP(records_2[ID], dAir[roomNo], dAir[Class])</f>
        <v>C</v>
      </c>
      <c r="Z207" s="57">
        <f t="array" ref="Z207">_xlfn.XLOOKUP(records_2[Method]&amp;"-"&amp;records_2[Class], dAirSpec[ID], dAirSpec[Spec])</f>
        <v>100</v>
      </c>
      <c r="AA207" s="57" t="str">
        <f t="array" ref="AA207">_xlfn.XLOOKUP(records_2[Method]&amp;"-"&amp;records_2[Class], dAirSpec[ID], dAirSpec[Unit])</f>
        <v>cfu/m3</v>
      </c>
      <c r="AB207" s="57">
        <f t="array" ref="AB207">if(R207="","", if(records_2[Method]="Active Air",_xlfn.xlookup(records_2[ColonyCount]&amp;records_2[AirSampler],feller[code],feller[Vc]),records_2[ColonyCount]))</f>
        <v>1</v>
      </c>
      <c r="AC207" s="63" t="b">
        <f t="shared" si="1"/>
        <v>1</v>
      </c>
      <c r="AD207" s="61" t="b">
        <v>0</v>
      </c>
      <c r="AE207" s="32" t="s">
        <v>280</v>
      </c>
      <c r="AF207" s="46"/>
      <c r="AG207" s="46"/>
      <c r="AH207" s="46"/>
      <c r="AI207" s="46"/>
      <c r="AJ207" s="46"/>
    </row>
    <row r="208" ht="22.5" customHeight="1">
      <c r="A208" s="27">
        <v>46062.0</v>
      </c>
      <c r="B208" s="34" t="str">
        <f t="array" ref="B208">TEXT(A208, "MM-YYYY")</f>
        <v>02-2026</v>
      </c>
      <c r="C208" s="39" t="s">
        <v>1499</v>
      </c>
      <c r="D208" s="36" t="s">
        <v>210</v>
      </c>
      <c r="E208" s="36" t="s">
        <v>531</v>
      </c>
      <c r="F208" s="29" t="b">
        <v>1</v>
      </c>
      <c r="G208" s="140"/>
      <c r="H208" s="140" t="s">
        <v>1413</v>
      </c>
      <c r="I208" s="32" t="s">
        <v>1834</v>
      </c>
      <c r="J208" s="144">
        <v>46187.0</v>
      </c>
      <c r="K208" s="37" t="s">
        <v>366</v>
      </c>
      <c r="L208" s="37" t="s">
        <v>1858</v>
      </c>
      <c r="M208" s="170" t="s">
        <v>2000</v>
      </c>
      <c r="N208" s="37" t="s">
        <v>194</v>
      </c>
      <c r="O208" s="37" t="s">
        <v>199</v>
      </c>
      <c r="P208" s="37" t="s">
        <v>201</v>
      </c>
      <c r="Q208" s="41">
        <v>46057.0</v>
      </c>
      <c r="R208" s="42">
        <v>1.0</v>
      </c>
      <c r="S208" s="44" t="s">
        <v>194</v>
      </c>
      <c r="T208" s="37" t="s">
        <v>1795</v>
      </c>
      <c r="U208" s="57" t="str">
        <f>IF(records_2[Type]="Room",records_2[roomNo],records_2[roomNo]&amp;"-"&amp;SUBSTITUTE(RIGHT(records_2[roomNo]&amp;records_2[Type],2),"-",""))</f>
        <v>16-1-108</v>
      </c>
      <c r="V208" s="59" t="str">
        <f t="array" ref="V208">_xlfn.XLOOKUP(records_2[ID], dAir[roomNo], dAir[roomName])</f>
        <v>CLEANED EQUIPMENT</v>
      </c>
      <c r="W208" s="59" t="str">
        <f t="array" ref="W208">_xlfn.XLOOKUP(records_2[ID], dAir[roomNo], dAir[building])</f>
        <v>Building 16</v>
      </c>
      <c r="X208" s="59" t="str">
        <f t="array" ref="X208">_xlfn.XLOOKUP(records_2[ID], dAir[roomNo], dAir[floor])</f>
        <v>Floor 1</v>
      </c>
      <c r="Y208" s="57" t="str">
        <f t="array" ref="Y208">_xlfn.XLOOKUP(records_2[ID], dAir[roomNo], dAir[Class])</f>
        <v>C</v>
      </c>
      <c r="Z208" s="57">
        <f t="array" ref="Z208">_xlfn.XLOOKUP(records_2[Method]&amp;"-"&amp;records_2[Class], dAirSpec[ID], dAirSpec[Spec])</f>
        <v>100</v>
      </c>
      <c r="AA208" s="57" t="str">
        <f t="array" ref="AA208">_xlfn.XLOOKUP(records_2[Method]&amp;"-"&amp;records_2[Class], dAirSpec[ID], dAirSpec[Unit])</f>
        <v>cfu/m3</v>
      </c>
      <c r="AB208" s="57">
        <f t="array" ref="AB208">if(R208="","", if(records_2[Method]="Active Air",_xlfn.xlookup(records_2[ColonyCount]&amp;records_2[AirSampler],feller[code],feller[Vc]),records_2[ColonyCount]))</f>
        <v>1</v>
      </c>
      <c r="AC208" s="63" t="b">
        <f t="shared" si="1"/>
        <v>1</v>
      </c>
      <c r="AD208" s="61" t="b">
        <v>0</v>
      </c>
      <c r="AE208" s="32" t="s">
        <v>280</v>
      </c>
      <c r="AF208" s="46"/>
      <c r="AG208" s="46"/>
      <c r="AH208" s="46"/>
      <c r="AI208" s="46"/>
      <c r="AJ208" s="46"/>
    </row>
    <row r="209" ht="22.5" customHeight="1">
      <c r="A209" s="27">
        <v>46062.0</v>
      </c>
      <c r="B209" s="34" t="str">
        <f t="array" ref="B209">TEXT(A209, "MM-YYYY")</f>
        <v>02-2026</v>
      </c>
      <c r="C209" s="39" t="s">
        <v>769</v>
      </c>
      <c r="D209" s="36" t="s">
        <v>210</v>
      </c>
      <c r="E209" s="36" t="s">
        <v>531</v>
      </c>
      <c r="F209" s="29" t="b">
        <v>1</v>
      </c>
      <c r="G209" s="140"/>
      <c r="H209" s="140" t="s">
        <v>1413</v>
      </c>
      <c r="I209" s="32" t="s">
        <v>1834</v>
      </c>
      <c r="J209" s="144">
        <v>46187.0</v>
      </c>
      <c r="K209" s="37" t="s">
        <v>326</v>
      </c>
      <c r="L209" s="37" t="s">
        <v>2012</v>
      </c>
      <c r="M209" s="37" t="s">
        <v>332</v>
      </c>
      <c r="N209" s="37" t="s">
        <v>194</v>
      </c>
      <c r="O209" s="37" t="s">
        <v>199</v>
      </c>
      <c r="P209" s="37" t="s">
        <v>201</v>
      </c>
      <c r="Q209" s="41">
        <v>46057.0</v>
      </c>
      <c r="R209" s="42">
        <v>7.0</v>
      </c>
      <c r="S209" s="44" t="s">
        <v>194</v>
      </c>
      <c r="T209" s="37" t="s">
        <v>1795</v>
      </c>
      <c r="U209" s="57" t="str">
        <f>IF(records_2[Type]="Room",records_2[roomNo],records_2[roomNo]&amp;"-"&amp;SUBSTITUTE(RIGHT(records_2[roomNo]&amp;records_2[Type],2),"-",""))</f>
        <v>16-1-109</v>
      </c>
      <c r="V209" s="59" t="str">
        <f t="array" ref="V209">_xlfn.XLOOKUP(records_2[ID], dAir[roomNo], dAir[roomName])</f>
        <v>DRYING</v>
      </c>
      <c r="W209" s="59" t="str">
        <f t="array" ref="W209">_xlfn.XLOOKUP(records_2[ID], dAir[roomNo], dAir[building])</f>
        <v>Building 16</v>
      </c>
      <c r="X209" s="59" t="str">
        <f t="array" ref="X209">_xlfn.XLOOKUP(records_2[ID], dAir[roomNo], dAir[floor])</f>
        <v>Floor 1</v>
      </c>
      <c r="Y209" s="57" t="str">
        <f t="array" ref="Y209">_xlfn.XLOOKUP(records_2[ID], dAir[roomNo], dAir[Class])</f>
        <v>C</v>
      </c>
      <c r="Z209" s="57">
        <f t="array" ref="Z209">_xlfn.XLOOKUP(records_2[Method]&amp;"-"&amp;records_2[Class], dAirSpec[ID], dAirSpec[Spec])</f>
        <v>100</v>
      </c>
      <c r="AA209" s="57" t="str">
        <f t="array" ref="AA209">_xlfn.XLOOKUP(records_2[Method]&amp;"-"&amp;records_2[Class], dAirSpec[ID], dAirSpec[Unit])</f>
        <v>cfu/m3</v>
      </c>
      <c r="AB209" s="57">
        <f t="array" ref="AB209">if(R209="","", if(records_2[Method]="Active Air",_xlfn.xlookup(records_2[ColonyCount]&amp;records_2[AirSampler],feller[code],feller[Vc]),records_2[ColonyCount]))</f>
        <v>7</v>
      </c>
      <c r="AC209" s="63" t="b">
        <f t="shared" si="1"/>
        <v>1</v>
      </c>
      <c r="AD209" s="61" t="b">
        <v>0</v>
      </c>
      <c r="AE209" s="32" t="s">
        <v>280</v>
      </c>
      <c r="AF209" s="46"/>
      <c r="AG209" s="46"/>
      <c r="AH209" s="46"/>
      <c r="AI209" s="46"/>
      <c r="AJ209" s="46"/>
    </row>
    <row r="210" ht="22.5" customHeight="1">
      <c r="A210" s="27">
        <v>46062.0</v>
      </c>
      <c r="B210" s="34" t="str">
        <f t="array" ref="B210">TEXT(A210, "MM-YYYY")</f>
        <v>02-2026</v>
      </c>
      <c r="C210" s="39" t="s">
        <v>1024</v>
      </c>
      <c r="D210" s="36" t="s">
        <v>210</v>
      </c>
      <c r="E210" s="36" t="s">
        <v>531</v>
      </c>
      <c r="F210" s="29" t="b">
        <v>1</v>
      </c>
      <c r="G210" s="140"/>
      <c r="H210" s="140" t="s">
        <v>1413</v>
      </c>
      <c r="I210" s="32" t="s">
        <v>1834</v>
      </c>
      <c r="J210" s="144">
        <v>46187.0</v>
      </c>
      <c r="K210" s="37" t="s">
        <v>314</v>
      </c>
      <c r="L210" s="37" t="s">
        <v>1583</v>
      </c>
      <c r="M210" s="37" t="s">
        <v>1767</v>
      </c>
      <c r="N210" s="37" t="s">
        <v>194</v>
      </c>
      <c r="O210" s="37" t="s">
        <v>199</v>
      </c>
      <c r="P210" s="37" t="s">
        <v>201</v>
      </c>
      <c r="Q210" s="41">
        <v>46057.0</v>
      </c>
      <c r="R210" s="42">
        <v>2.0</v>
      </c>
      <c r="S210" s="44" t="s">
        <v>194</v>
      </c>
      <c r="T210" s="37" t="s">
        <v>1795</v>
      </c>
      <c r="U210" s="57" t="str">
        <f>IF(records_2[Type]="Room",records_2[roomNo],records_2[roomNo]&amp;"-"&amp;SUBSTITUTE(RIGHT(records_2[roomNo]&amp;records_2[Type],2),"-",""))</f>
        <v>16-1-110</v>
      </c>
      <c r="V210" s="59" t="str">
        <f t="array" ref="V210">_xlfn.XLOOKUP(records_2[ID], dAir[roomNo], dAir[roomName])</f>
        <v>DISINFECTANT PREPARATION</v>
      </c>
      <c r="W210" s="59" t="str">
        <f t="array" ref="W210">_xlfn.XLOOKUP(records_2[ID], dAir[roomNo], dAir[building])</f>
        <v>Building 16</v>
      </c>
      <c r="X210" s="59" t="str">
        <f t="array" ref="X210">_xlfn.XLOOKUP(records_2[ID], dAir[roomNo], dAir[floor])</f>
        <v>Floor 1</v>
      </c>
      <c r="Y210" s="57" t="str">
        <f t="array" ref="Y210">_xlfn.XLOOKUP(records_2[ID], dAir[roomNo], dAir[Class])</f>
        <v>C</v>
      </c>
      <c r="Z210" s="57">
        <f t="array" ref="Z210">_xlfn.XLOOKUP(records_2[Method]&amp;"-"&amp;records_2[Class], dAirSpec[ID], dAirSpec[Spec])</f>
        <v>100</v>
      </c>
      <c r="AA210" s="57" t="str">
        <f t="array" ref="AA210">_xlfn.XLOOKUP(records_2[Method]&amp;"-"&amp;records_2[Class], dAirSpec[ID], dAirSpec[Unit])</f>
        <v>cfu/m3</v>
      </c>
      <c r="AB210" s="57">
        <f t="array" ref="AB210">if(R210="","", if(records_2[Method]="Active Air",_xlfn.xlookup(records_2[ColonyCount]&amp;records_2[AirSampler],feller[code],feller[Vc]),records_2[ColonyCount]))</f>
        <v>2</v>
      </c>
      <c r="AC210" s="63" t="b">
        <f t="shared" si="1"/>
        <v>1</v>
      </c>
      <c r="AD210" s="61" t="b">
        <v>0</v>
      </c>
      <c r="AE210" s="32" t="s">
        <v>280</v>
      </c>
      <c r="AF210" s="46"/>
      <c r="AG210" s="46"/>
      <c r="AH210" s="46"/>
      <c r="AI210" s="46"/>
      <c r="AJ210" s="46"/>
    </row>
    <row r="211" ht="22.5" customHeight="1">
      <c r="A211" s="27">
        <v>46062.0</v>
      </c>
      <c r="B211" s="34" t="str">
        <f t="array" ref="B211">TEXT(A211, "MM-YYYY")</f>
        <v>02-2026</v>
      </c>
      <c r="C211" s="39" t="s">
        <v>1500</v>
      </c>
      <c r="D211" s="36" t="s">
        <v>210</v>
      </c>
      <c r="E211" s="36" t="s">
        <v>531</v>
      </c>
      <c r="F211" s="29" t="b">
        <v>1</v>
      </c>
      <c r="G211" s="140"/>
      <c r="H211" s="140" t="s">
        <v>1413</v>
      </c>
      <c r="I211" s="32" t="s">
        <v>1834</v>
      </c>
      <c r="J211" s="144">
        <v>46187.0</v>
      </c>
      <c r="K211" s="37" t="s">
        <v>366</v>
      </c>
      <c r="L211" s="37" t="s">
        <v>1858</v>
      </c>
      <c r="M211" s="37" t="s">
        <v>2020</v>
      </c>
      <c r="N211" s="37" t="s">
        <v>194</v>
      </c>
      <c r="O211" s="37" t="s">
        <v>199</v>
      </c>
      <c r="P211" s="37" t="s">
        <v>201</v>
      </c>
      <c r="Q211" s="41">
        <v>46057.0</v>
      </c>
      <c r="R211" s="42">
        <v>2.0</v>
      </c>
      <c r="S211" s="44" t="s">
        <v>194</v>
      </c>
      <c r="T211" s="37" t="s">
        <v>1795</v>
      </c>
      <c r="U211" s="57" t="str">
        <f>IF(records_2[Type]="Room",records_2[roomNo],records_2[roomNo]&amp;"-"&amp;SUBSTITUTE(RIGHT(records_2[roomNo]&amp;records_2[Type],2),"-",""))</f>
        <v>16-1-111</v>
      </c>
      <c r="V211" s="59" t="str">
        <f t="array" ref="V211">_xlfn.XLOOKUP(records_2[ID], dAir[roomNo], dAir[roomName])</f>
        <v>COMPONENT PREPARATION</v>
      </c>
      <c r="W211" s="59" t="str">
        <f t="array" ref="W211">_xlfn.XLOOKUP(records_2[ID], dAir[roomNo], dAir[building])</f>
        <v>Building 16</v>
      </c>
      <c r="X211" s="59" t="str">
        <f t="array" ref="X211">_xlfn.XLOOKUP(records_2[ID], dAir[roomNo], dAir[floor])</f>
        <v>Floor 1</v>
      </c>
      <c r="Y211" s="57" t="str">
        <f t="array" ref="Y211">_xlfn.XLOOKUP(records_2[ID], dAir[roomNo], dAir[Class])</f>
        <v>C</v>
      </c>
      <c r="Z211" s="57">
        <f t="array" ref="Z211">_xlfn.XLOOKUP(records_2[Method]&amp;"-"&amp;records_2[Class], dAirSpec[ID], dAirSpec[Spec])</f>
        <v>100</v>
      </c>
      <c r="AA211" s="57" t="str">
        <f t="array" ref="AA211">_xlfn.XLOOKUP(records_2[Method]&amp;"-"&amp;records_2[Class], dAirSpec[ID], dAirSpec[Unit])</f>
        <v>cfu/m3</v>
      </c>
      <c r="AB211" s="57">
        <f t="array" ref="AB211">if(R211="","", if(records_2[Method]="Active Air",_xlfn.xlookup(records_2[ColonyCount]&amp;records_2[AirSampler],feller[code],feller[Vc]),records_2[ColonyCount]))</f>
        <v>2</v>
      </c>
      <c r="AC211" s="63" t="b">
        <f t="shared" si="1"/>
        <v>1</v>
      </c>
      <c r="AD211" s="61" t="b">
        <v>0</v>
      </c>
      <c r="AE211" s="32" t="s">
        <v>280</v>
      </c>
      <c r="AF211" s="46"/>
      <c r="AG211" s="46"/>
      <c r="AH211" s="46"/>
      <c r="AI211" s="46"/>
      <c r="AJ211" s="46"/>
    </row>
    <row r="212" ht="22.5" customHeight="1">
      <c r="A212" s="27">
        <v>46062.0</v>
      </c>
      <c r="B212" s="34" t="str">
        <f t="array" ref="B212">TEXT(A212, "MM-YYYY")</f>
        <v>02-2026</v>
      </c>
      <c r="C212" s="39" t="s">
        <v>1502</v>
      </c>
      <c r="D212" s="36" t="s">
        <v>210</v>
      </c>
      <c r="E212" s="36" t="s">
        <v>531</v>
      </c>
      <c r="F212" s="29" t="b">
        <v>1</v>
      </c>
      <c r="G212" s="140"/>
      <c r="H212" s="140" t="s">
        <v>1413</v>
      </c>
      <c r="I212" s="32" t="s">
        <v>1834</v>
      </c>
      <c r="J212" s="144">
        <v>46187.0</v>
      </c>
      <c r="K212" s="37" t="s">
        <v>798</v>
      </c>
      <c r="L212" s="37" t="s">
        <v>1811</v>
      </c>
      <c r="M212" s="37" t="s">
        <v>818</v>
      </c>
      <c r="N212" s="37" t="s">
        <v>194</v>
      </c>
      <c r="O212" s="37" t="s">
        <v>199</v>
      </c>
      <c r="P212" s="37" t="s">
        <v>201</v>
      </c>
      <c r="Q212" s="41">
        <v>46057.0</v>
      </c>
      <c r="R212" s="42">
        <v>0.0</v>
      </c>
      <c r="S212" s="29" t="s">
        <v>1043</v>
      </c>
      <c r="T212" s="37" t="s">
        <v>1795</v>
      </c>
      <c r="U212" s="57" t="str">
        <f>IF(records_2[Type]="Room",records_2[roomNo],records_2[roomNo]&amp;"-"&amp;SUBSTITUTE(RIGHT(records_2[roomNo]&amp;records_2[Type],2),"-",""))</f>
        <v>16-1-112</v>
      </c>
      <c r="V212" s="59" t="str">
        <f t="array" ref="V212">_xlfn.XLOOKUP(records_2[ID], dAir[roomNo], dAir[roomName])</f>
        <v>PASSAGE</v>
      </c>
      <c r="W212" s="59" t="str">
        <f t="array" ref="W212">_xlfn.XLOOKUP(records_2[ID], dAir[roomNo], dAir[building])</f>
        <v>Building 16</v>
      </c>
      <c r="X212" s="59" t="str">
        <f t="array" ref="X212">_xlfn.XLOOKUP(records_2[ID], dAir[roomNo], dAir[floor])</f>
        <v>Floor 1</v>
      </c>
      <c r="Y212" s="57" t="str">
        <f t="array" ref="Y212">_xlfn.XLOOKUP(records_2[ID], dAir[roomNo], dAir[Class])</f>
        <v>C</v>
      </c>
      <c r="Z212" s="57">
        <f t="array" ref="Z212">_xlfn.XLOOKUP(records_2[Method]&amp;"-"&amp;records_2[Class], dAirSpec[ID], dAirSpec[Spec])</f>
        <v>100</v>
      </c>
      <c r="AA212" s="57" t="str">
        <f t="array" ref="AA212">_xlfn.XLOOKUP(records_2[Method]&amp;"-"&amp;records_2[Class], dAirSpec[ID], dAirSpec[Unit])</f>
        <v>cfu/m3</v>
      </c>
      <c r="AB212" s="57">
        <f t="array" ref="AB212">if(R212="","", if(records_2[Method]="Active Air",_xlfn.xlookup(records_2[ColonyCount]&amp;records_2[AirSampler],feller[code],feller[Vc]),records_2[ColonyCount]))</f>
        <v>0</v>
      </c>
      <c r="AC212" s="63" t="b">
        <f t="shared" si="1"/>
        <v>1</v>
      </c>
      <c r="AD212" s="61" t="b">
        <v>0</v>
      </c>
      <c r="AE212" s="32" t="s">
        <v>280</v>
      </c>
      <c r="AF212" s="46"/>
      <c r="AG212" s="46"/>
      <c r="AH212" s="46"/>
      <c r="AI212" s="46"/>
      <c r="AJ212" s="46"/>
    </row>
    <row r="213" ht="22.5" customHeight="1">
      <c r="A213" s="27">
        <v>46062.0</v>
      </c>
      <c r="B213" s="34" t="str">
        <f t="array" ref="B213">TEXT(A213, "MM-YYYY")</f>
        <v>02-2026</v>
      </c>
      <c r="C213" s="39" t="s">
        <v>1503</v>
      </c>
      <c r="D213" s="36" t="s">
        <v>210</v>
      </c>
      <c r="E213" s="36" t="s">
        <v>531</v>
      </c>
      <c r="F213" s="29" t="b">
        <v>1</v>
      </c>
      <c r="G213" s="140"/>
      <c r="H213" s="140" t="s">
        <v>203</v>
      </c>
      <c r="I213" s="32">
        <v>3.11015016E8</v>
      </c>
      <c r="J213" s="144">
        <v>46081.0</v>
      </c>
      <c r="K213" s="37" t="s">
        <v>2027</v>
      </c>
      <c r="L213" s="37" t="s">
        <v>2028</v>
      </c>
      <c r="M213" s="37" t="s">
        <v>1886</v>
      </c>
      <c r="N213" s="37" t="s">
        <v>194</v>
      </c>
      <c r="O213" s="37" t="s">
        <v>199</v>
      </c>
      <c r="P213" s="37" t="s">
        <v>201</v>
      </c>
      <c r="Q213" s="41">
        <v>46057.0</v>
      </c>
      <c r="R213" s="42">
        <v>2.0</v>
      </c>
      <c r="S213" s="44" t="s">
        <v>194</v>
      </c>
      <c r="T213" s="37" t="s">
        <v>1795</v>
      </c>
      <c r="U213" s="57" t="str">
        <f>IF(records_2[Type]="Room",records_2[roomNo],records_2[roomNo]&amp;"-"&amp;SUBSTITUTE(RIGHT(records_2[roomNo]&amp;records_2[Type],2),"-",""))</f>
        <v>16-1-113</v>
      </c>
      <c r="V213" s="59" t="str">
        <f t="array" ref="V213">_xlfn.XLOOKUP(records_2[ID], dAir[roomNo], dAir[roomName])</f>
        <v>AIRLOCK</v>
      </c>
      <c r="W213" s="59" t="str">
        <f t="array" ref="W213">_xlfn.XLOOKUP(records_2[ID], dAir[roomNo], dAir[building])</f>
        <v>Building 16</v>
      </c>
      <c r="X213" s="59" t="str">
        <f t="array" ref="X213">_xlfn.XLOOKUP(records_2[ID], dAir[roomNo], dAir[floor])</f>
        <v>Floor 1</v>
      </c>
      <c r="Y213" s="57" t="str">
        <f t="array" ref="Y213">_xlfn.XLOOKUP(records_2[ID], dAir[roomNo], dAir[Class])</f>
        <v>C</v>
      </c>
      <c r="Z213" s="57">
        <f t="array" ref="Z213">_xlfn.XLOOKUP(records_2[Method]&amp;"-"&amp;records_2[Class], dAirSpec[ID], dAirSpec[Spec])</f>
        <v>100</v>
      </c>
      <c r="AA213" s="57" t="str">
        <f t="array" ref="AA213">_xlfn.XLOOKUP(records_2[Method]&amp;"-"&amp;records_2[Class], dAirSpec[ID], dAirSpec[Unit])</f>
        <v>cfu/m3</v>
      </c>
      <c r="AB213" s="57">
        <f t="array" ref="AB213">if(R213="","", if(records_2[Method]="Active Air",_xlfn.xlookup(records_2[ColonyCount]&amp;records_2[AirSampler],feller[code],feller[Vc]),records_2[ColonyCount]))</f>
        <v>2</v>
      </c>
      <c r="AC213" s="63" t="b">
        <f t="shared" si="1"/>
        <v>1</v>
      </c>
      <c r="AD213" s="61" t="b">
        <v>0</v>
      </c>
      <c r="AE213" s="32" t="s">
        <v>280</v>
      </c>
      <c r="AF213" s="46"/>
      <c r="AG213" s="46"/>
      <c r="AH213" s="46"/>
      <c r="AI213" s="46"/>
      <c r="AJ213" s="46"/>
    </row>
    <row r="214" ht="22.5" customHeight="1">
      <c r="A214" s="27">
        <v>46062.0</v>
      </c>
      <c r="B214" s="34" t="str">
        <f t="array" ref="B214">TEXT(A214, "MM-YYYY")</f>
        <v>02-2026</v>
      </c>
      <c r="C214" s="39" t="s">
        <v>776</v>
      </c>
      <c r="D214" s="36" t="s">
        <v>210</v>
      </c>
      <c r="E214" s="36" t="s">
        <v>531</v>
      </c>
      <c r="F214" s="29" t="b">
        <v>1</v>
      </c>
      <c r="G214" s="140"/>
      <c r="H214" s="140" t="s">
        <v>534</v>
      </c>
      <c r="I214" s="32" t="s">
        <v>1792</v>
      </c>
      <c r="J214" s="144">
        <v>46081.0</v>
      </c>
      <c r="K214" s="37" t="s">
        <v>452</v>
      </c>
      <c r="L214" s="37" t="s">
        <v>2039</v>
      </c>
      <c r="M214" s="37" t="s">
        <v>1886</v>
      </c>
      <c r="N214" s="37" t="s">
        <v>194</v>
      </c>
      <c r="O214" s="37" t="s">
        <v>199</v>
      </c>
      <c r="P214" s="37" t="s">
        <v>201</v>
      </c>
      <c r="Q214" s="41">
        <v>46057.0</v>
      </c>
      <c r="R214" s="42">
        <v>2.0</v>
      </c>
      <c r="S214" s="44" t="s">
        <v>194</v>
      </c>
      <c r="T214" s="37" t="s">
        <v>1795</v>
      </c>
      <c r="U214" s="57" t="str">
        <f>IF(records_2[Type]="Room",records_2[roomNo],records_2[roomNo]&amp;"-"&amp;SUBSTITUTE(RIGHT(records_2[roomNo]&amp;records_2[Type],2),"-",""))</f>
        <v>16-1-114</v>
      </c>
      <c r="V214" s="59" t="str">
        <f t="array" ref="V214">_xlfn.XLOOKUP(records_2[ID], dAir[roomNo], dAir[roomName])</f>
        <v>COMPOUNDING 2</v>
      </c>
      <c r="W214" s="59" t="str">
        <f t="array" ref="W214">_xlfn.XLOOKUP(records_2[ID], dAir[roomNo], dAir[building])</f>
        <v>Building 16</v>
      </c>
      <c r="X214" s="59" t="str">
        <f t="array" ref="X214">_xlfn.XLOOKUP(records_2[ID], dAir[roomNo], dAir[floor])</f>
        <v>Floor 1</v>
      </c>
      <c r="Y214" s="57" t="str">
        <f t="array" ref="Y214">_xlfn.XLOOKUP(records_2[ID], dAir[roomNo], dAir[Class])</f>
        <v>C</v>
      </c>
      <c r="Z214" s="57">
        <f t="array" ref="Z214">_xlfn.XLOOKUP(records_2[Method]&amp;"-"&amp;records_2[Class], dAirSpec[ID], dAirSpec[Spec])</f>
        <v>100</v>
      </c>
      <c r="AA214" s="57" t="str">
        <f t="array" ref="AA214">_xlfn.XLOOKUP(records_2[Method]&amp;"-"&amp;records_2[Class], dAirSpec[ID], dAirSpec[Unit])</f>
        <v>cfu/m3</v>
      </c>
      <c r="AB214" s="57">
        <f t="array" ref="AB214">if(R214="","", if(records_2[Method]="Active Air",_xlfn.xlookup(records_2[ColonyCount]&amp;records_2[AirSampler],feller[code],feller[Vc]),records_2[ColonyCount]))</f>
        <v>2</v>
      </c>
      <c r="AC214" s="63" t="b">
        <f t="shared" si="1"/>
        <v>1</v>
      </c>
      <c r="AD214" s="61" t="b">
        <v>0</v>
      </c>
      <c r="AE214" s="32" t="s">
        <v>280</v>
      </c>
      <c r="AF214" s="46"/>
      <c r="AG214" s="46"/>
      <c r="AH214" s="46"/>
      <c r="AI214" s="46"/>
      <c r="AJ214" s="46"/>
    </row>
    <row r="215" ht="22.5" customHeight="1">
      <c r="A215" s="27">
        <v>46062.0</v>
      </c>
      <c r="B215" s="34" t="str">
        <f t="array" ref="B215">TEXT(A215, "MM-YYYY")</f>
        <v>02-2026</v>
      </c>
      <c r="C215" s="39" t="s">
        <v>1504</v>
      </c>
      <c r="D215" s="36" t="s">
        <v>210</v>
      </c>
      <c r="E215" s="36" t="s">
        <v>531</v>
      </c>
      <c r="F215" s="29" t="b">
        <v>1</v>
      </c>
      <c r="G215" s="140"/>
      <c r="H215" s="140" t="s">
        <v>1413</v>
      </c>
      <c r="I215" s="32" t="s">
        <v>1834</v>
      </c>
      <c r="J215" s="144">
        <v>46187.0</v>
      </c>
      <c r="K215" s="37" t="s">
        <v>366</v>
      </c>
      <c r="L215" s="37" t="s">
        <v>952</v>
      </c>
      <c r="M215" s="37" t="s">
        <v>1571</v>
      </c>
      <c r="N215" s="37" t="s">
        <v>194</v>
      </c>
      <c r="O215" s="37" t="s">
        <v>199</v>
      </c>
      <c r="P215" s="37" t="s">
        <v>201</v>
      </c>
      <c r="Q215" s="41">
        <v>46057.0</v>
      </c>
      <c r="R215" s="42">
        <v>4.0</v>
      </c>
      <c r="S215" s="44" t="s">
        <v>194</v>
      </c>
      <c r="T215" s="37" t="s">
        <v>1795</v>
      </c>
      <c r="U215" s="57" t="str">
        <f>IF(records_2[Type]="Room",records_2[roomNo],records_2[roomNo]&amp;"-"&amp;SUBSTITUTE(RIGHT(records_2[roomNo]&amp;records_2[Type],2),"-",""))</f>
        <v>16-1-124</v>
      </c>
      <c r="V215" s="59" t="str">
        <f t="array" ref="V215">_xlfn.XLOOKUP(records_2[ID], dAir[roomNo], dAir[roomName])</f>
        <v>CORRIDOR</v>
      </c>
      <c r="W215" s="59" t="str">
        <f t="array" ref="W215">_xlfn.XLOOKUP(records_2[ID], dAir[roomNo], dAir[building])</f>
        <v>Building 16</v>
      </c>
      <c r="X215" s="59" t="str">
        <f t="array" ref="X215">_xlfn.XLOOKUP(records_2[ID], dAir[roomNo], dAir[floor])</f>
        <v>Floor 1</v>
      </c>
      <c r="Y215" s="57" t="str">
        <f t="array" ref="Y215">_xlfn.XLOOKUP(records_2[ID], dAir[roomNo], dAir[Class])</f>
        <v>C</v>
      </c>
      <c r="Z215" s="57">
        <f t="array" ref="Z215">_xlfn.XLOOKUP(records_2[Method]&amp;"-"&amp;records_2[Class], dAirSpec[ID], dAirSpec[Spec])</f>
        <v>100</v>
      </c>
      <c r="AA215" s="57" t="str">
        <f t="array" ref="AA215">_xlfn.XLOOKUP(records_2[Method]&amp;"-"&amp;records_2[Class], dAirSpec[ID], dAirSpec[Unit])</f>
        <v>cfu/m3</v>
      </c>
      <c r="AB215" s="57">
        <f t="array" ref="AB215">if(R215="","", if(records_2[Method]="Active Air",_xlfn.xlookup(records_2[ColonyCount]&amp;records_2[AirSampler],feller[code],feller[Vc]),records_2[ColonyCount]))</f>
        <v>4</v>
      </c>
      <c r="AC215" s="63" t="b">
        <f t="shared" si="1"/>
        <v>1</v>
      </c>
      <c r="AD215" s="61" t="b">
        <v>0</v>
      </c>
      <c r="AE215" s="32" t="s">
        <v>280</v>
      </c>
      <c r="AF215" s="46"/>
      <c r="AG215" s="46"/>
      <c r="AH215" s="46"/>
      <c r="AI215" s="46"/>
      <c r="AJ215" s="46"/>
    </row>
    <row r="216" ht="22.5" customHeight="1">
      <c r="A216" s="27">
        <v>46062.0</v>
      </c>
      <c r="B216" s="34" t="str">
        <f t="array" ref="B216">TEXT(A216, "MM-YYYY")</f>
        <v>02-2026</v>
      </c>
      <c r="C216" s="39" t="s">
        <v>1505</v>
      </c>
      <c r="D216" s="36" t="s">
        <v>210</v>
      </c>
      <c r="E216" s="36" t="s">
        <v>531</v>
      </c>
      <c r="F216" s="29" t="b">
        <v>1</v>
      </c>
      <c r="G216" s="140"/>
      <c r="H216" s="140" t="s">
        <v>534</v>
      </c>
      <c r="I216" s="32" t="s">
        <v>1792</v>
      </c>
      <c r="J216" s="144">
        <v>46081.0</v>
      </c>
      <c r="K216" s="37" t="s">
        <v>2068</v>
      </c>
      <c r="L216" s="37" t="s">
        <v>2069</v>
      </c>
      <c r="M216" s="37" t="s">
        <v>1574</v>
      </c>
      <c r="N216" s="37" t="s">
        <v>194</v>
      </c>
      <c r="O216" s="37" t="s">
        <v>199</v>
      </c>
      <c r="P216" s="37" t="s">
        <v>201</v>
      </c>
      <c r="Q216" s="41">
        <v>46057.0</v>
      </c>
      <c r="R216" s="42">
        <v>1.0</v>
      </c>
      <c r="S216" s="44" t="s">
        <v>194</v>
      </c>
      <c r="T216" s="37" t="s">
        <v>1795</v>
      </c>
      <c r="U216" s="57" t="str">
        <f>IF(records_2[Type]="Room",records_2[roomNo],records_2[roomNo]&amp;"-"&amp;SUBSTITUTE(RIGHT(records_2[roomNo]&amp;records_2[Type],2),"-",""))</f>
        <v>16-1-125</v>
      </c>
      <c r="V216" s="59" t="str">
        <f t="array" ref="V216">_xlfn.XLOOKUP(records_2[ID], dAir[roomNo], dAir[roomName])</f>
        <v>CORRIDOR</v>
      </c>
      <c r="W216" s="59" t="str">
        <f t="array" ref="W216">_xlfn.XLOOKUP(records_2[ID], dAir[roomNo], dAir[building])</f>
        <v>Building 16</v>
      </c>
      <c r="X216" s="59" t="str">
        <f t="array" ref="X216">_xlfn.XLOOKUP(records_2[ID], dAir[roomNo], dAir[floor])</f>
        <v>Floor 1</v>
      </c>
      <c r="Y216" s="57" t="str">
        <f t="array" ref="Y216">_xlfn.XLOOKUP(records_2[ID], dAir[roomNo], dAir[Class])</f>
        <v>C</v>
      </c>
      <c r="Z216" s="57">
        <f t="array" ref="Z216">_xlfn.XLOOKUP(records_2[Method]&amp;"-"&amp;records_2[Class], dAirSpec[ID], dAirSpec[Spec])</f>
        <v>100</v>
      </c>
      <c r="AA216" s="57" t="str">
        <f t="array" ref="AA216">_xlfn.XLOOKUP(records_2[Method]&amp;"-"&amp;records_2[Class], dAirSpec[ID], dAirSpec[Unit])</f>
        <v>cfu/m3</v>
      </c>
      <c r="AB216" s="57">
        <f t="array" ref="AB216">if(R216="","", if(records_2[Method]="Active Air",_xlfn.xlookup(records_2[ColonyCount]&amp;records_2[AirSampler],feller[code],feller[Vc]),records_2[ColonyCount]))</f>
        <v>1</v>
      </c>
      <c r="AC216" s="63" t="b">
        <f t="shared" si="1"/>
        <v>1</v>
      </c>
      <c r="AD216" s="61" t="b">
        <v>0</v>
      </c>
      <c r="AE216" s="32" t="s">
        <v>280</v>
      </c>
      <c r="AF216" s="46"/>
      <c r="AG216" s="46"/>
      <c r="AH216" s="46"/>
      <c r="AI216" s="46"/>
      <c r="AJ216" s="46"/>
    </row>
    <row r="217" ht="22.5" customHeight="1">
      <c r="A217" s="18">
        <v>46063.0</v>
      </c>
      <c r="B217" s="20" t="str">
        <f t="array" ref="B217">TEXT(A217, "MM-YYYY")</f>
        <v>02-2026</v>
      </c>
      <c r="C217" s="20" t="s">
        <v>1506</v>
      </c>
      <c r="D217" s="21" t="s">
        <v>210</v>
      </c>
      <c r="E217" s="139" t="s">
        <v>213</v>
      </c>
      <c r="F217" s="29" t="b">
        <v>1</v>
      </c>
      <c r="G217" s="140"/>
      <c r="H217" s="140"/>
      <c r="I217" s="18"/>
      <c r="J217" s="18"/>
      <c r="K217" s="51" t="s">
        <v>550</v>
      </c>
      <c r="L217" s="51" t="s">
        <v>2080</v>
      </c>
      <c r="M217" s="51" t="s">
        <v>430</v>
      </c>
      <c r="N217" s="51" t="s">
        <v>713</v>
      </c>
      <c r="O217" s="51" t="s">
        <v>837</v>
      </c>
      <c r="P217" s="51" t="s">
        <v>1099</v>
      </c>
      <c r="Q217" s="52">
        <v>46025.0</v>
      </c>
      <c r="R217" s="53">
        <v>0.0</v>
      </c>
      <c r="S217" s="174"/>
      <c r="T217" s="51" t="s">
        <v>2083</v>
      </c>
      <c r="U217" s="141" t="str">
        <f>IF(records_2[Type]="Room",records_2[roomNo],records_2[roomNo]&amp;"-"&amp;SUBSTITUTE(RIGHT(records_2[roomNo]&amp;records_2[Type],2),"-",""))</f>
        <v>16-3-047</v>
      </c>
      <c r="V217" s="141" t="str">
        <f t="array" ref="V217">_xlfn.XLOOKUP(records_2[ID], dAir[roomNo], dAir[roomName])</f>
        <v>PROCESS CHANGE</v>
      </c>
      <c r="W217" s="141" t="str">
        <f t="array" ref="W217">_xlfn.XLOOKUP(records_2[ID], dAir[roomNo], dAir[building])</f>
        <v>Building 16</v>
      </c>
      <c r="X217" s="141" t="str">
        <f t="array" ref="X217">_xlfn.XLOOKUP(records_2[ID], dAir[roomNo], dAir[floor])</f>
        <v>Floor 3</v>
      </c>
      <c r="Y217" s="142" t="str">
        <f t="array" ref="Y217">_xlfn.XLOOKUP(records_2[ID], dAir[roomNo], dAir[Class])</f>
        <v>D</v>
      </c>
      <c r="Z217" s="142">
        <f t="array" ref="Z217">_xlfn.XLOOKUP(records_2[Method]&amp;"-"&amp;records_2[Class], dAirSpec[ID], dAirSpec[Spec])</f>
        <v>100</v>
      </c>
      <c r="AA217" s="142" t="str">
        <f t="array" ref="AA217">_xlfn.XLOOKUP(records_2[Method]&amp;"-"&amp;records_2[Class], dAirSpec[ID], dAirSpec[Unit])</f>
        <v>cfu/plate</v>
      </c>
      <c r="AB217" s="175">
        <f t="array" ref="AB217">if(R217="","", if(records_2[Method]="Active Air",_xlfn.xlookup(records_2[ColonyCount]&amp;records_2[AirSampler],feller[code],feller[Vc]),records_2[ColonyCount]))</f>
        <v>0</v>
      </c>
      <c r="AC217" s="143" t="b">
        <f t="shared" si="1"/>
        <v>1</v>
      </c>
      <c r="AD217" s="61" t="b">
        <v>0</v>
      </c>
      <c r="AE217" s="32" t="s">
        <v>280</v>
      </c>
      <c r="AF217" s="46"/>
      <c r="AG217" s="46"/>
      <c r="AH217" s="46"/>
      <c r="AI217" s="46"/>
      <c r="AJ217" s="46"/>
    </row>
    <row r="218" ht="22.5" customHeight="1">
      <c r="A218" s="27">
        <v>46063.0</v>
      </c>
      <c r="B218" s="34" t="str">
        <f t="array" ref="B218">TEXT(A218, "MM-YYYY")</f>
        <v>02-2026</v>
      </c>
      <c r="C218" s="39" t="s">
        <v>1507</v>
      </c>
      <c r="D218" s="36" t="s">
        <v>210</v>
      </c>
      <c r="E218" s="36" t="s">
        <v>213</v>
      </c>
      <c r="F218" s="29" t="b">
        <v>1</v>
      </c>
      <c r="G218" s="49"/>
      <c r="H218" s="49"/>
      <c r="I218" s="39"/>
      <c r="J218" s="43"/>
      <c r="K218" s="37" t="s">
        <v>353</v>
      </c>
      <c r="L218" s="37" t="s">
        <v>792</v>
      </c>
      <c r="M218" s="37" t="s">
        <v>2087</v>
      </c>
      <c r="N218" s="37" t="s">
        <v>262</v>
      </c>
      <c r="O218" s="37" t="s">
        <v>837</v>
      </c>
      <c r="P218" s="37" t="s">
        <v>1099</v>
      </c>
      <c r="Q218" s="41">
        <v>46025.0</v>
      </c>
      <c r="R218" s="42">
        <v>0.0</v>
      </c>
      <c r="S218" s="29"/>
      <c r="T218" s="37" t="s">
        <v>2083</v>
      </c>
      <c r="U218" s="57" t="str">
        <f>IF(records_2[Type]="Room",records_2[roomNo],records_2[roomNo]&amp;"-"&amp;SUBSTITUTE(RIGHT(records_2[roomNo]&amp;records_2[Type],2),"-",""))</f>
        <v>16-3-048</v>
      </c>
      <c r="V218" s="59" t="str">
        <f t="array" ref="V218">_xlfn.XLOOKUP(records_2[ID], dAir[roomNo], dAir[roomName])</f>
        <v>CORRIDOR</v>
      </c>
      <c r="W218" s="59" t="str">
        <f t="array" ref="W218">_xlfn.XLOOKUP(records_2[ID], dAir[roomNo], dAir[building])</f>
        <v>Building 16</v>
      </c>
      <c r="X218" s="59" t="str">
        <f t="array" ref="X218">_xlfn.XLOOKUP(records_2[ID], dAir[roomNo], dAir[floor])</f>
        <v>Floor 3</v>
      </c>
      <c r="Y218" s="57" t="str">
        <f t="array" ref="Y218">_xlfn.XLOOKUP(records_2[ID], dAir[roomNo], dAir[Class])</f>
        <v>D</v>
      </c>
      <c r="Z218" s="57">
        <f t="array" ref="Z218">_xlfn.XLOOKUP(records_2[Method]&amp;"-"&amp;records_2[Class], dAirSpec[ID], dAirSpec[Spec])</f>
        <v>100</v>
      </c>
      <c r="AA218" s="57" t="str">
        <f t="array" ref="AA218">_xlfn.XLOOKUP(records_2[Method]&amp;"-"&amp;records_2[Class], dAirSpec[ID], dAirSpec[Unit])</f>
        <v>cfu/plate</v>
      </c>
      <c r="AB218" s="62">
        <f t="array" ref="AB218">if(R218="","", if(records_2[Method]="Active Air",_xlfn.xlookup(records_2[ColonyCount]&amp;records_2[AirSampler],feller[code],feller[Vc]),records_2[ColonyCount]))</f>
        <v>0</v>
      </c>
      <c r="AC218" s="63" t="b">
        <f t="shared" si="1"/>
        <v>1</v>
      </c>
      <c r="AD218" s="61" t="b">
        <v>0</v>
      </c>
      <c r="AE218" s="32" t="s">
        <v>280</v>
      </c>
      <c r="AF218" s="46"/>
      <c r="AG218" s="46"/>
      <c r="AH218" s="46"/>
      <c r="AI218" s="46"/>
      <c r="AJ218" s="46"/>
    </row>
    <row r="219" ht="22.5" customHeight="1">
      <c r="A219" s="27">
        <v>46063.0</v>
      </c>
      <c r="B219" s="34" t="str">
        <f t="array" ref="B219">TEXT(A219, "MM-YYYY")</f>
        <v>02-2026</v>
      </c>
      <c r="C219" s="39" t="s">
        <v>1508</v>
      </c>
      <c r="D219" s="36" t="s">
        <v>210</v>
      </c>
      <c r="E219" s="36" t="s">
        <v>213</v>
      </c>
      <c r="F219" s="29" t="b">
        <v>1</v>
      </c>
      <c r="G219" s="49"/>
      <c r="H219" s="49"/>
      <c r="I219" s="39"/>
      <c r="J219" s="43"/>
      <c r="K219" s="37" t="s">
        <v>539</v>
      </c>
      <c r="L219" s="37" t="s">
        <v>2092</v>
      </c>
      <c r="M219" s="37" t="s">
        <v>2093</v>
      </c>
      <c r="N219" s="37" t="s">
        <v>811</v>
      </c>
      <c r="O219" s="37" t="s">
        <v>837</v>
      </c>
      <c r="P219" s="37" t="s">
        <v>1099</v>
      </c>
      <c r="Q219" s="41">
        <v>46025.0</v>
      </c>
      <c r="R219" s="42">
        <v>0.0</v>
      </c>
      <c r="S219" s="29"/>
      <c r="T219" s="37" t="s">
        <v>2083</v>
      </c>
      <c r="U219" s="57" t="str">
        <f>IF(records_2[Type]="Room",records_2[roomNo],records_2[roomNo]&amp;"-"&amp;SUBSTITUTE(RIGHT(records_2[roomNo]&amp;records_2[Type],2),"-",""))</f>
        <v>16-3-049</v>
      </c>
      <c r="V219" s="59" t="str">
        <f t="array" ref="V219">_xlfn.XLOOKUP(records_2[ID], dAir[roomNo], dAir[roomName])</f>
        <v>LINEN WASHING</v>
      </c>
      <c r="W219" s="59" t="str">
        <f t="array" ref="W219">_xlfn.XLOOKUP(records_2[ID], dAir[roomNo], dAir[building])</f>
        <v>Building 16</v>
      </c>
      <c r="X219" s="59" t="str">
        <f t="array" ref="X219">_xlfn.XLOOKUP(records_2[ID], dAir[roomNo], dAir[floor])</f>
        <v>Floor 3</v>
      </c>
      <c r="Y219" s="57" t="str">
        <f t="array" ref="Y219">_xlfn.XLOOKUP(records_2[ID], dAir[roomNo], dAir[Class])</f>
        <v>D</v>
      </c>
      <c r="Z219" s="57">
        <f t="array" ref="Z219">_xlfn.XLOOKUP(records_2[Method]&amp;"-"&amp;records_2[Class], dAirSpec[ID], dAirSpec[Spec])</f>
        <v>100</v>
      </c>
      <c r="AA219" s="57" t="str">
        <f t="array" ref="AA219">_xlfn.XLOOKUP(records_2[Method]&amp;"-"&amp;records_2[Class], dAirSpec[ID], dAirSpec[Unit])</f>
        <v>cfu/plate</v>
      </c>
      <c r="AB219" s="62">
        <f t="array" ref="AB219">if(R219="","", if(records_2[Method]="Active Air",_xlfn.xlookup(records_2[ColonyCount]&amp;records_2[AirSampler],feller[code],feller[Vc]),records_2[ColonyCount]))</f>
        <v>0</v>
      </c>
      <c r="AC219" s="63" t="b">
        <f t="shared" si="1"/>
        <v>1</v>
      </c>
      <c r="AD219" s="61" t="b">
        <v>0</v>
      </c>
      <c r="AE219" s="32" t="s">
        <v>280</v>
      </c>
      <c r="AF219" s="46"/>
      <c r="AG219" s="46"/>
      <c r="AH219" s="46"/>
      <c r="AI219" s="46"/>
      <c r="AJ219" s="46"/>
    </row>
    <row r="220" ht="22.5" customHeight="1">
      <c r="A220" s="27">
        <v>46063.0</v>
      </c>
      <c r="B220" s="34" t="str">
        <f t="array" ref="B220">TEXT(A220, "MM-YYYY")</f>
        <v>02-2026</v>
      </c>
      <c r="C220" s="39" t="s">
        <v>1509</v>
      </c>
      <c r="D220" s="36" t="s">
        <v>210</v>
      </c>
      <c r="E220" s="36" t="s">
        <v>213</v>
      </c>
      <c r="F220" s="29" t="b">
        <v>1</v>
      </c>
      <c r="G220" s="49"/>
      <c r="H220" s="49"/>
      <c r="I220" s="39"/>
      <c r="J220" s="43"/>
      <c r="K220" s="37" t="s">
        <v>550</v>
      </c>
      <c r="L220" s="37" t="s">
        <v>557</v>
      </c>
      <c r="M220" s="37" t="s">
        <v>2095</v>
      </c>
      <c r="N220" s="37" t="s">
        <v>811</v>
      </c>
      <c r="O220" s="37" t="s">
        <v>837</v>
      </c>
      <c r="P220" s="37" t="s">
        <v>1099</v>
      </c>
      <c r="Q220" s="41">
        <v>46025.0</v>
      </c>
      <c r="R220" s="42">
        <v>0.0</v>
      </c>
      <c r="S220" s="29"/>
      <c r="T220" s="37" t="s">
        <v>2083</v>
      </c>
      <c r="U220" s="57" t="str">
        <f>IF(records_2[Type]="Room",records_2[roomNo],records_2[roomNo]&amp;"-"&amp;SUBSTITUTE(RIGHT(records_2[roomNo]&amp;records_2[Type],2),"-",""))</f>
        <v>16-3-050</v>
      </c>
      <c r="V220" s="59" t="str">
        <f t="array" ref="V220">_xlfn.XLOOKUP(records_2[ID], dAir[roomNo], dAir[roomName])</f>
        <v>LINEN DRY</v>
      </c>
      <c r="W220" s="59" t="str">
        <f t="array" ref="W220">_xlfn.XLOOKUP(records_2[ID], dAir[roomNo], dAir[building])</f>
        <v>Building 16</v>
      </c>
      <c r="X220" s="59" t="str">
        <f t="array" ref="X220">_xlfn.XLOOKUP(records_2[ID], dAir[roomNo], dAir[floor])</f>
        <v>Floor 3</v>
      </c>
      <c r="Y220" s="57" t="str">
        <f t="array" ref="Y220">_xlfn.XLOOKUP(records_2[ID], dAir[roomNo], dAir[Class])</f>
        <v>D</v>
      </c>
      <c r="Z220" s="57">
        <f t="array" ref="Z220">_xlfn.XLOOKUP(records_2[Method]&amp;"-"&amp;records_2[Class], dAirSpec[ID], dAirSpec[Spec])</f>
        <v>100</v>
      </c>
      <c r="AA220" s="57" t="str">
        <f t="array" ref="AA220">_xlfn.XLOOKUP(records_2[Method]&amp;"-"&amp;records_2[Class], dAirSpec[ID], dAirSpec[Unit])</f>
        <v>cfu/plate</v>
      </c>
      <c r="AB220" s="62">
        <f t="array" ref="AB220">if(R220="","", if(records_2[Method]="Active Air",_xlfn.xlookup(records_2[ColonyCount]&amp;records_2[AirSampler],feller[code],feller[Vc]),records_2[ColonyCount]))</f>
        <v>0</v>
      </c>
      <c r="AC220" s="63" t="b">
        <f t="shared" si="1"/>
        <v>1</v>
      </c>
      <c r="AD220" s="61" t="b">
        <v>0</v>
      </c>
      <c r="AE220" s="32" t="s">
        <v>280</v>
      </c>
      <c r="AF220" s="46"/>
      <c r="AG220" s="46"/>
      <c r="AH220" s="46"/>
      <c r="AI220" s="46"/>
      <c r="AJ220" s="46"/>
    </row>
    <row r="221" ht="22.5" customHeight="1">
      <c r="A221" s="27">
        <v>46063.0</v>
      </c>
      <c r="B221" s="34" t="str">
        <f t="array" ref="B221">TEXT(A221, "MM-YYYY")</f>
        <v>02-2026</v>
      </c>
      <c r="C221" s="39" t="s">
        <v>1510</v>
      </c>
      <c r="D221" s="36" t="s">
        <v>210</v>
      </c>
      <c r="E221" s="36" t="s">
        <v>213</v>
      </c>
      <c r="F221" s="29" t="b">
        <v>1</v>
      </c>
      <c r="G221" s="49"/>
      <c r="H221" s="49"/>
      <c r="I221" s="39"/>
      <c r="J221" s="43"/>
      <c r="K221" s="37" t="s">
        <v>2100</v>
      </c>
      <c r="L221" s="37" t="s">
        <v>2101</v>
      </c>
      <c r="M221" s="37" t="s">
        <v>2095</v>
      </c>
      <c r="N221" s="37" t="s">
        <v>262</v>
      </c>
      <c r="O221" s="37" t="s">
        <v>837</v>
      </c>
      <c r="P221" s="37" t="s">
        <v>1099</v>
      </c>
      <c r="Q221" s="41">
        <v>46025.0</v>
      </c>
      <c r="R221" s="42">
        <v>0.0</v>
      </c>
      <c r="S221" s="29"/>
      <c r="T221" s="37" t="s">
        <v>2083</v>
      </c>
      <c r="U221" s="57" t="str">
        <f>IF(records_2[Type]="Room",records_2[roomNo],records_2[roomNo]&amp;"-"&amp;SUBSTITUTE(RIGHT(records_2[roomNo]&amp;records_2[Type],2),"-",""))</f>
        <v>16-3-051</v>
      </c>
      <c r="V221" s="59" t="str">
        <f t="array" ref="V221">_xlfn.XLOOKUP(records_2[ID], dAir[roomNo], dAir[roomName])</f>
        <v>LINEN STORAGE</v>
      </c>
      <c r="W221" s="59" t="str">
        <f t="array" ref="W221">_xlfn.XLOOKUP(records_2[ID], dAir[roomNo], dAir[building])</f>
        <v>Building 16</v>
      </c>
      <c r="X221" s="59" t="str">
        <f t="array" ref="X221">_xlfn.XLOOKUP(records_2[ID], dAir[roomNo], dAir[floor])</f>
        <v>Floor 3</v>
      </c>
      <c r="Y221" s="57" t="str">
        <f t="array" ref="Y221">_xlfn.XLOOKUP(records_2[ID], dAir[roomNo], dAir[Class])</f>
        <v>D</v>
      </c>
      <c r="Z221" s="57">
        <f t="array" ref="Z221">_xlfn.XLOOKUP(records_2[Method]&amp;"-"&amp;records_2[Class], dAirSpec[ID], dAirSpec[Spec])</f>
        <v>100</v>
      </c>
      <c r="AA221" s="57" t="str">
        <f t="array" ref="AA221">_xlfn.XLOOKUP(records_2[Method]&amp;"-"&amp;records_2[Class], dAirSpec[ID], dAirSpec[Unit])</f>
        <v>cfu/plate</v>
      </c>
      <c r="AB221" s="62">
        <f t="array" ref="AB221">if(R221="","", if(records_2[Method]="Active Air",_xlfn.xlookup(records_2[ColonyCount]&amp;records_2[AirSampler],feller[code],feller[Vc]),records_2[ColonyCount]))</f>
        <v>0</v>
      </c>
      <c r="AC221" s="63" t="b">
        <f t="shared" si="1"/>
        <v>1</v>
      </c>
      <c r="AD221" s="61" t="b">
        <v>0</v>
      </c>
      <c r="AE221" s="32" t="s">
        <v>280</v>
      </c>
      <c r="AF221" s="46"/>
      <c r="AG221" s="46"/>
      <c r="AH221" s="46"/>
      <c r="AI221" s="46"/>
      <c r="AJ221" s="46"/>
    </row>
    <row r="222" ht="22.5" customHeight="1">
      <c r="A222" s="27">
        <v>46063.0</v>
      </c>
      <c r="B222" s="34" t="str">
        <f t="array" ref="B222">TEXT(A222, "MM-YYYY")</f>
        <v>02-2026</v>
      </c>
      <c r="C222" s="39" t="s">
        <v>1511</v>
      </c>
      <c r="D222" s="36" t="s">
        <v>210</v>
      </c>
      <c r="E222" s="36" t="s">
        <v>213</v>
      </c>
      <c r="F222" s="29" t="b">
        <v>1</v>
      </c>
      <c r="G222" s="49"/>
      <c r="H222" s="49"/>
      <c r="I222" s="39"/>
      <c r="J222" s="43"/>
      <c r="K222" s="37" t="s">
        <v>591</v>
      </c>
      <c r="L222" s="37" t="s">
        <v>299</v>
      </c>
      <c r="M222" s="37" t="s">
        <v>2105</v>
      </c>
      <c r="N222" s="37" t="s">
        <v>1798</v>
      </c>
      <c r="O222" s="37" t="s">
        <v>837</v>
      </c>
      <c r="P222" s="37" t="s">
        <v>1099</v>
      </c>
      <c r="Q222" s="41">
        <v>46025.0</v>
      </c>
      <c r="R222" s="42">
        <v>0.0</v>
      </c>
      <c r="S222" s="29"/>
      <c r="T222" s="37" t="s">
        <v>2083</v>
      </c>
      <c r="U222" s="57" t="str">
        <f>IF(records_2[Type]="Room",records_2[roomNo],records_2[roomNo]&amp;"-"&amp;SUBSTITUTE(RIGHT(records_2[roomNo]&amp;records_2[Type],2),"-",""))</f>
        <v>16-3-052</v>
      </c>
      <c r="V222" s="59" t="str">
        <f t="array" ref="V222">_xlfn.XLOOKUP(records_2[ID], dAir[roomNo], dAir[roomName])</f>
        <v>CLEANED EQUIPMENT</v>
      </c>
      <c r="W222" s="59" t="str">
        <f t="array" ref="W222">_xlfn.XLOOKUP(records_2[ID], dAir[roomNo], dAir[building])</f>
        <v>Building 16</v>
      </c>
      <c r="X222" s="59" t="str">
        <f t="array" ref="X222">_xlfn.XLOOKUP(records_2[ID], dAir[roomNo], dAir[floor])</f>
        <v>Floor 3</v>
      </c>
      <c r="Y222" s="57" t="str">
        <f t="array" ref="Y222">_xlfn.XLOOKUP(records_2[ID], dAir[roomNo], dAir[Class])</f>
        <v>D</v>
      </c>
      <c r="Z222" s="57">
        <f t="array" ref="Z222">_xlfn.XLOOKUP(records_2[Method]&amp;"-"&amp;records_2[Class], dAirSpec[ID], dAirSpec[Spec])</f>
        <v>100</v>
      </c>
      <c r="AA222" s="57" t="str">
        <f t="array" ref="AA222">_xlfn.XLOOKUP(records_2[Method]&amp;"-"&amp;records_2[Class], dAirSpec[ID], dAirSpec[Unit])</f>
        <v>cfu/plate</v>
      </c>
      <c r="AB222" s="62">
        <f t="array" ref="AB222">if(R222="","", if(records_2[Method]="Active Air",_xlfn.xlookup(records_2[ColonyCount]&amp;records_2[AirSampler],feller[code],feller[Vc]),records_2[ColonyCount]))</f>
        <v>0</v>
      </c>
      <c r="AC222" s="63" t="b">
        <f t="shared" si="1"/>
        <v>1</v>
      </c>
      <c r="AD222" s="61" t="b">
        <v>0</v>
      </c>
      <c r="AE222" s="32" t="s">
        <v>280</v>
      </c>
      <c r="AF222" s="46"/>
      <c r="AG222" s="46"/>
      <c r="AH222" s="46"/>
      <c r="AI222" s="46"/>
      <c r="AJ222" s="46"/>
    </row>
    <row r="223" ht="22.5" customHeight="1">
      <c r="A223" s="27">
        <v>46063.0</v>
      </c>
      <c r="B223" s="34" t="str">
        <f t="array" ref="B223">TEXT(A223, "MM-YYYY")</f>
        <v>02-2026</v>
      </c>
      <c r="C223" s="39" t="s">
        <v>1512</v>
      </c>
      <c r="D223" s="36" t="s">
        <v>210</v>
      </c>
      <c r="E223" s="36" t="s">
        <v>213</v>
      </c>
      <c r="F223" s="29" t="b">
        <v>1</v>
      </c>
      <c r="G223" s="49"/>
      <c r="H223" s="49"/>
      <c r="I223" s="39"/>
      <c r="J223" s="43"/>
      <c r="K223" s="37" t="s">
        <v>550</v>
      </c>
      <c r="L223" s="37" t="s">
        <v>356</v>
      </c>
      <c r="M223" s="37" t="s">
        <v>2111</v>
      </c>
      <c r="N223" s="37" t="s">
        <v>1798</v>
      </c>
      <c r="O223" s="37" t="s">
        <v>837</v>
      </c>
      <c r="P223" s="37" t="s">
        <v>1099</v>
      </c>
      <c r="Q223" s="41">
        <v>46025.0</v>
      </c>
      <c r="R223" s="42">
        <v>0.0</v>
      </c>
      <c r="S223" s="29"/>
      <c r="T223" s="37" t="s">
        <v>2083</v>
      </c>
      <c r="U223" s="57" t="str">
        <f>IF(records_2[Type]="Room",records_2[roomNo],records_2[roomNo]&amp;"-"&amp;SUBSTITUTE(RIGHT(records_2[roomNo]&amp;records_2[Type],2),"-",""))</f>
        <v>16-3-053</v>
      </c>
      <c r="V223" s="59" t="str">
        <f t="array" ref="V223">_xlfn.XLOOKUP(records_2[ID], dAir[roomNo], dAir[roomName])</f>
        <v>DRYING</v>
      </c>
      <c r="W223" s="59" t="str">
        <f t="array" ref="W223">_xlfn.XLOOKUP(records_2[ID], dAir[roomNo], dAir[building])</f>
        <v>Building 16</v>
      </c>
      <c r="X223" s="59" t="str">
        <f t="array" ref="X223">_xlfn.XLOOKUP(records_2[ID], dAir[roomNo], dAir[floor])</f>
        <v>Floor 3</v>
      </c>
      <c r="Y223" s="57" t="str">
        <f t="array" ref="Y223">_xlfn.XLOOKUP(records_2[ID], dAir[roomNo], dAir[Class])</f>
        <v>D</v>
      </c>
      <c r="Z223" s="57">
        <f t="array" ref="Z223">_xlfn.XLOOKUP(records_2[Method]&amp;"-"&amp;records_2[Class], dAirSpec[ID], dAirSpec[Spec])</f>
        <v>100</v>
      </c>
      <c r="AA223" s="57" t="str">
        <f t="array" ref="AA223">_xlfn.XLOOKUP(records_2[Method]&amp;"-"&amp;records_2[Class], dAirSpec[ID], dAirSpec[Unit])</f>
        <v>cfu/plate</v>
      </c>
      <c r="AB223" s="62">
        <f t="array" ref="AB223">if(R223="","", if(records_2[Method]="Active Air",_xlfn.xlookup(records_2[ColonyCount]&amp;records_2[AirSampler],feller[code],feller[Vc]),records_2[ColonyCount]))</f>
        <v>0</v>
      </c>
      <c r="AC223" s="63" t="b">
        <f t="shared" si="1"/>
        <v>1</v>
      </c>
      <c r="AD223" s="61" t="b">
        <v>0</v>
      </c>
      <c r="AE223" s="32" t="s">
        <v>280</v>
      </c>
      <c r="AF223" s="46"/>
      <c r="AG223" s="46"/>
      <c r="AH223" s="46"/>
      <c r="AI223" s="46"/>
      <c r="AJ223" s="46"/>
    </row>
    <row r="224" ht="22.5" customHeight="1">
      <c r="A224" s="27">
        <v>46063.0</v>
      </c>
      <c r="B224" s="34" t="str">
        <f t="array" ref="B224">TEXT(A224, "MM-YYYY")</f>
        <v>02-2026</v>
      </c>
      <c r="C224" s="39" t="s">
        <v>1513</v>
      </c>
      <c r="D224" s="36" t="s">
        <v>210</v>
      </c>
      <c r="E224" s="36" t="s">
        <v>213</v>
      </c>
      <c r="F224" s="29" t="b">
        <v>1</v>
      </c>
      <c r="G224" s="49"/>
      <c r="H224" s="49"/>
      <c r="I224" s="39"/>
      <c r="J224" s="43"/>
      <c r="K224" s="37" t="s">
        <v>578</v>
      </c>
      <c r="L224" s="37" t="s">
        <v>1859</v>
      </c>
      <c r="M224" s="37" t="s">
        <v>2111</v>
      </c>
      <c r="N224" s="37" t="s">
        <v>1798</v>
      </c>
      <c r="O224" s="37" t="s">
        <v>837</v>
      </c>
      <c r="P224" s="37" t="s">
        <v>1099</v>
      </c>
      <c r="Q224" s="41">
        <v>46025.0</v>
      </c>
      <c r="R224" s="42">
        <v>0.0</v>
      </c>
      <c r="S224" s="29"/>
      <c r="T224" s="37" t="s">
        <v>2083</v>
      </c>
      <c r="U224" s="57" t="str">
        <f>IF(records_2[Type]="Room",records_2[roomNo],records_2[roomNo]&amp;"-"&amp;SUBSTITUTE(RIGHT(records_2[roomNo]&amp;records_2[Type],2),"-",""))</f>
        <v>16-3-054</v>
      </c>
      <c r="V224" s="59" t="str">
        <f t="array" ref="V224">_xlfn.XLOOKUP(records_2[ID], dAir[roomNo], dAir[roomName])</f>
        <v>WASHING</v>
      </c>
      <c r="W224" s="59" t="str">
        <f t="array" ref="W224">_xlfn.XLOOKUP(records_2[ID], dAir[roomNo], dAir[building])</f>
        <v>Building 16</v>
      </c>
      <c r="X224" s="59" t="str">
        <f t="array" ref="X224">_xlfn.XLOOKUP(records_2[ID], dAir[roomNo], dAir[floor])</f>
        <v>Floor 3</v>
      </c>
      <c r="Y224" s="57" t="str">
        <f t="array" ref="Y224">_xlfn.XLOOKUP(records_2[ID], dAir[roomNo], dAir[Class])</f>
        <v>D</v>
      </c>
      <c r="Z224" s="57">
        <f t="array" ref="Z224">_xlfn.XLOOKUP(records_2[Method]&amp;"-"&amp;records_2[Class], dAirSpec[ID], dAirSpec[Spec])</f>
        <v>100</v>
      </c>
      <c r="AA224" s="57" t="str">
        <f t="array" ref="AA224">_xlfn.XLOOKUP(records_2[Method]&amp;"-"&amp;records_2[Class], dAirSpec[ID], dAirSpec[Unit])</f>
        <v>cfu/plate</v>
      </c>
      <c r="AB224" s="62">
        <f t="array" ref="AB224">if(R224="","", if(records_2[Method]="Active Air",_xlfn.xlookup(records_2[ColonyCount]&amp;records_2[AirSampler],feller[code],feller[Vc]),records_2[ColonyCount]))</f>
        <v>0</v>
      </c>
      <c r="AC224" s="63" t="b">
        <f t="shared" si="1"/>
        <v>1</v>
      </c>
      <c r="AD224" s="61" t="b">
        <v>0</v>
      </c>
      <c r="AE224" s="32" t="s">
        <v>280</v>
      </c>
      <c r="AF224" s="46"/>
      <c r="AG224" s="46"/>
      <c r="AH224" s="46"/>
      <c r="AI224" s="46"/>
      <c r="AJ224" s="46"/>
    </row>
    <row r="225" ht="22.5" customHeight="1">
      <c r="A225" s="27">
        <v>46063.0</v>
      </c>
      <c r="B225" s="34" t="str">
        <f t="array" ref="B225">TEXT(A225, "MM-YYYY")</f>
        <v>02-2026</v>
      </c>
      <c r="C225" s="39" t="s">
        <v>1514</v>
      </c>
      <c r="D225" s="36" t="s">
        <v>210</v>
      </c>
      <c r="E225" s="36" t="s">
        <v>213</v>
      </c>
      <c r="F225" s="29" t="b">
        <v>1</v>
      </c>
      <c r="G225" s="49"/>
      <c r="H225" s="49"/>
      <c r="I225" s="39"/>
      <c r="J225" s="43"/>
      <c r="K225" s="37" t="s">
        <v>700</v>
      </c>
      <c r="L225" s="37" t="s">
        <v>2101</v>
      </c>
      <c r="M225" s="37" t="s">
        <v>2000</v>
      </c>
      <c r="N225" s="37" t="s">
        <v>1788</v>
      </c>
      <c r="O225" s="37" t="s">
        <v>837</v>
      </c>
      <c r="P225" s="37" t="s">
        <v>1099</v>
      </c>
      <c r="Q225" s="41">
        <v>46025.0</v>
      </c>
      <c r="R225" s="42">
        <v>1.0</v>
      </c>
      <c r="S225" s="29"/>
      <c r="T225" s="37" t="s">
        <v>2083</v>
      </c>
      <c r="U225" s="57" t="str">
        <f>IF(records_2[Type]="Room",records_2[roomNo],records_2[roomNo]&amp;"-"&amp;SUBSTITUTE(RIGHT(records_2[roomNo]&amp;records_2[Type],2),"-",""))</f>
        <v>16-3-055</v>
      </c>
      <c r="V225" s="59" t="str">
        <f t="array" ref="V225">_xlfn.XLOOKUP(records_2[ID], dAir[roomNo], dAir[roomName])</f>
        <v>AIRLOCK</v>
      </c>
      <c r="W225" s="59" t="str">
        <f t="array" ref="W225">_xlfn.XLOOKUP(records_2[ID], dAir[roomNo], dAir[building])</f>
        <v>Building 16</v>
      </c>
      <c r="X225" s="59" t="str">
        <f t="array" ref="X225">_xlfn.XLOOKUP(records_2[ID], dAir[roomNo], dAir[floor])</f>
        <v>Floor 3</v>
      </c>
      <c r="Y225" s="57" t="str">
        <f t="array" ref="Y225">_xlfn.XLOOKUP(records_2[ID], dAir[roomNo], dAir[Class])</f>
        <v>D</v>
      </c>
      <c r="Z225" s="57">
        <f t="array" ref="Z225">_xlfn.XLOOKUP(records_2[Method]&amp;"-"&amp;records_2[Class], dAirSpec[ID], dAirSpec[Spec])</f>
        <v>100</v>
      </c>
      <c r="AA225" s="57" t="str">
        <f t="array" ref="AA225">_xlfn.XLOOKUP(records_2[Method]&amp;"-"&amp;records_2[Class], dAirSpec[ID], dAirSpec[Unit])</f>
        <v>cfu/plate</v>
      </c>
      <c r="AB225" s="62">
        <f t="array" ref="AB225">if(R225="","", if(records_2[Method]="Active Air",_xlfn.xlookup(records_2[ColonyCount]&amp;records_2[AirSampler],feller[code],feller[Vc]),records_2[ColonyCount]))</f>
        <v>1</v>
      </c>
      <c r="AC225" s="63" t="b">
        <f t="shared" si="1"/>
        <v>1</v>
      </c>
      <c r="AD225" s="61" t="b">
        <v>0</v>
      </c>
      <c r="AE225" s="32" t="s">
        <v>280</v>
      </c>
      <c r="AF225" s="46"/>
      <c r="AG225" s="46"/>
      <c r="AH225" s="46"/>
      <c r="AI225" s="46"/>
      <c r="AJ225" s="46"/>
    </row>
    <row r="226" ht="22.5" customHeight="1">
      <c r="A226" s="27">
        <v>46063.0</v>
      </c>
      <c r="B226" s="34" t="str">
        <f t="array" ref="B226">TEXT(A226, "MM-YYYY")</f>
        <v>02-2026</v>
      </c>
      <c r="C226" s="39" t="s">
        <v>1515</v>
      </c>
      <c r="D226" s="36" t="s">
        <v>210</v>
      </c>
      <c r="E226" s="36" t="s">
        <v>213</v>
      </c>
      <c r="F226" s="29" t="b">
        <v>1</v>
      </c>
      <c r="G226" s="49"/>
      <c r="H226" s="49"/>
      <c r="I226" s="39"/>
      <c r="J226" s="43"/>
      <c r="K226" s="37" t="s">
        <v>428</v>
      </c>
      <c r="L226" s="37" t="s">
        <v>1859</v>
      </c>
      <c r="M226" s="37" t="s">
        <v>2000</v>
      </c>
      <c r="N226" s="37" t="s">
        <v>1788</v>
      </c>
      <c r="O226" s="37" t="s">
        <v>837</v>
      </c>
      <c r="P226" s="37" t="s">
        <v>1099</v>
      </c>
      <c r="Q226" s="41">
        <v>46025.0</v>
      </c>
      <c r="R226" s="42">
        <v>0.0</v>
      </c>
      <c r="S226" s="29"/>
      <c r="T226" s="37" t="s">
        <v>2083</v>
      </c>
      <c r="U226" s="57" t="str">
        <f>IF(records_2[Type]="Room",records_2[roomNo],records_2[roomNo]&amp;"-"&amp;SUBSTITUTE(RIGHT(records_2[roomNo]&amp;records_2[Type],2),"-",""))</f>
        <v>16-3-056</v>
      </c>
      <c r="V226" s="59" t="str">
        <f t="array" ref="V226">_xlfn.XLOOKUP(records_2[ID], dAir[roomNo], dAir[roomName])</f>
        <v>JANITOR</v>
      </c>
      <c r="W226" s="59" t="str">
        <f t="array" ref="W226">_xlfn.XLOOKUP(records_2[ID], dAir[roomNo], dAir[building])</f>
        <v>Building 16</v>
      </c>
      <c r="X226" s="59" t="str">
        <f t="array" ref="X226">_xlfn.XLOOKUP(records_2[ID], dAir[roomNo], dAir[floor])</f>
        <v>Floor 3</v>
      </c>
      <c r="Y226" s="57" t="str">
        <f t="array" ref="Y226">_xlfn.XLOOKUP(records_2[ID], dAir[roomNo], dAir[Class])</f>
        <v>D</v>
      </c>
      <c r="Z226" s="57">
        <f t="array" ref="Z226">_xlfn.XLOOKUP(records_2[Method]&amp;"-"&amp;records_2[Class], dAirSpec[ID], dAirSpec[Spec])</f>
        <v>100</v>
      </c>
      <c r="AA226" s="57" t="str">
        <f t="array" ref="AA226">_xlfn.XLOOKUP(records_2[Method]&amp;"-"&amp;records_2[Class], dAirSpec[ID], dAirSpec[Unit])</f>
        <v>cfu/plate</v>
      </c>
      <c r="AB226" s="62">
        <f t="array" ref="AB226">if(R226="","", if(records_2[Method]="Active Air",_xlfn.xlookup(records_2[ColonyCount]&amp;records_2[AirSampler],feller[code],feller[Vc]),records_2[ColonyCount]))</f>
        <v>0</v>
      </c>
      <c r="AC226" s="63" t="b">
        <f t="shared" si="1"/>
        <v>1</v>
      </c>
      <c r="AD226" s="61" t="b">
        <v>0</v>
      </c>
      <c r="AE226" s="32" t="s">
        <v>280</v>
      </c>
      <c r="AF226" s="46"/>
      <c r="AG226" s="46"/>
      <c r="AH226" s="46"/>
      <c r="AI226" s="46"/>
      <c r="AJ226" s="46"/>
    </row>
    <row r="227" ht="22.5" customHeight="1">
      <c r="A227" s="27">
        <v>46063.0</v>
      </c>
      <c r="B227" s="34" t="str">
        <f t="array" ref="B227">TEXT(A227, "MM-YYYY")</f>
        <v>02-2026</v>
      </c>
      <c r="C227" s="39" t="s">
        <v>1516</v>
      </c>
      <c r="D227" s="36" t="s">
        <v>210</v>
      </c>
      <c r="E227" s="36" t="s">
        <v>213</v>
      </c>
      <c r="F227" s="29" t="b">
        <v>1</v>
      </c>
      <c r="G227" s="49"/>
      <c r="H227" s="49"/>
      <c r="I227" s="39"/>
      <c r="J227" s="43"/>
      <c r="K227" s="37" t="s">
        <v>700</v>
      </c>
      <c r="L227" s="37" t="s">
        <v>2101</v>
      </c>
      <c r="M227" s="37" t="s">
        <v>2139</v>
      </c>
      <c r="N227" s="37" t="s">
        <v>1798</v>
      </c>
      <c r="O227" s="37" t="s">
        <v>837</v>
      </c>
      <c r="P227" s="37" t="s">
        <v>1099</v>
      </c>
      <c r="Q227" s="41">
        <v>46025.0</v>
      </c>
      <c r="R227" s="42">
        <v>0.0</v>
      </c>
      <c r="S227" s="29"/>
      <c r="T227" s="37" t="s">
        <v>2083</v>
      </c>
      <c r="U227" s="57" t="str">
        <f>IF(records_2[Type]="Room",records_2[roomNo],records_2[roomNo]&amp;"-"&amp;SUBSTITUTE(RIGHT(records_2[roomNo]&amp;records_2[Type],2),"-",""))</f>
        <v>16-3-057</v>
      </c>
      <c r="V227" s="59" t="str">
        <f t="array" ref="V227">_xlfn.XLOOKUP(records_2[ID], dAir[roomNo], dAir[roomName])</f>
        <v>WAX MELTING</v>
      </c>
      <c r="W227" s="59" t="str">
        <f t="array" ref="W227">_xlfn.XLOOKUP(records_2[ID], dAir[roomNo], dAir[building])</f>
        <v>Building 16</v>
      </c>
      <c r="X227" s="59" t="str">
        <f t="array" ref="X227">_xlfn.XLOOKUP(records_2[ID], dAir[roomNo], dAir[floor])</f>
        <v>Floor 3</v>
      </c>
      <c r="Y227" s="57" t="str">
        <f t="array" ref="Y227">_xlfn.XLOOKUP(records_2[ID], dAir[roomNo], dAir[Class])</f>
        <v>D</v>
      </c>
      <c r="Z227" s="57">
        <f t="array" ref="Z227">_xlfn.XLOOKUP(records_2[Method]&amp;"-"&amp;records_2[Class], dAirSpec[ID], dAirSpec[Spec])</f>
        <v>100</v>
      </c>
      <c r="AA227" s="57" t="str">
        <f t="array" ref="AA227">_xlfn.XLOOKUP(records_2[Method]&amp;"-"&amp;records_2[Class], dAirSpec[ID], dAirSpec[Unit])</f>
        <v>cfu/plate</v>
      </c>
      <c r="AB227" s="62">
        <f t="array" ref="AB227">if(R227="","", if(records_2[Method]="Active Air",_xlfn.xlookup(records_2[ColonyCount]&amp;records_2[AirSampler],feller[code],feller[Vc]),records_2[ColonyCount]))</f>
        <v>0</v>
      </c>
      <c r="AC227" s="63" t="b">
        <f t="shared" si="1"/>
        <v>1</v>
      </c>
      <c r="AD227" s="61" t="b">
        <v>0</v>
      </c>
      <c r="AE227" s="32" t="s">
        <v>280</v>
      </c>
      <c r="AF227" s="46"/>
      <c r="AG227" s="46"/>
      <c r="AH227" s="46"/>
      <c r="AI227" s="46"/>
      <c r="AJ227" s="46"/>
    </row>
    <row r="228" ht="22.5" customHeight="1">
      <c r="A228" s="27">
        <v>46063.0</v>
      </c>
      <c r="B228" s="34" t="str">
        <f t="array" ref="B228">TEXT(A228, "MM-YYYY")</f>
        <v>02-2026</v>
      </c>
      <c r="C228" s="39" t="s">
        <v>1518</v>
      </c>
      <c r="D228" s="36" t="s">
        <v>210</v>
      </c>
      <c r="E228" s="36" t="s">
        <v>213</v>
      </c>
      <c r="F228" s="29" t="b">
        <v>1</v>
      </c>
      <c r="G228" s="49"/>
      <c r="H228" s="49"/>
      <c r="I228" s="39"/>
      <c r="J228" s="43"/>
      <c r="K228" s="37" t="s">
        <v>435</v>
      </c>
      <c r="L228" s="37" t="s">
        <v>2144</v>
      </c>
      <c r="M228" s="37" t="s">
        <v>2145</v>
      </c>
      <c r="N228" s="37" t="s">
        <v>399</v>
      </c>
      <c r="O228" s="37" t="s">
        <v>837</v>
      </c>
      <c r="P228" s="37" t="s">
        <v>1099</v>
      </c>
      <c r="Q228" s="41">
        <v>46025.0</v>
      </c>
      <c r="R228" s="42">
        <v>0.0</v>
      </c>
      <c r="S228" s="29"/>
      <c r="T228" s="37" t="s">
        <v>2083</v>
      </c>
      <c r="U228" s="57" t="str">
        <f>IF(records_2[Type]="Room",records_2[roomNo],records_2[roomNo]&amp;"-"&amp;SUBSTITUTE(RIGHT(records_2[roomNo]&amp;records_2[Type],2),"-",""))</f>
        <v>16-3-058</v>
      </c>
      <c r="V228" s="59" t="str">
        <f t="array" ref="V228">_xlfn.XLOOKUP(records_2[ID], dAir[roomNo], dAir[roomName])</f>
        <v>IPQC</v>
      </c>
      <c r="W228" s="59" t="str">
        <f t="array" ref="W228">_xlfn.XLOOKUP(records_2[ID], dAir[roomNo], dAir[building])</f>
        <v>Building 16</v>
      </c>
      <c r="X228" s="59" t="str">
        <f t="array" ref="X228">_xlfn.XLOOKUP(records_2[ID], dAir[roomNo], dAir[floor])</f>
        <v>Floor 3</v>
      </c>
      <c r="Y228" s="57" t="str">
        <f t="array" ref="Y228">_xlfn.XLOOKUP(records_2[ID], dAir[roomNo], dAir[Class])</f>
        <v>D</v>
      </c>
      <c r="Z228" s="57">
        <f t="array" ref="Z228">_xlfn.XLOOKUP(records_2[Method]&amp;"-"&amp;records_2[Class], dAirSpec[ID], dAirSpec[Spec])</f>
        <v>100</v>
      </c>
      <c r="AA228" s="57" t="str">
        <f t="array" ref="AA228">_xlfn.XLOOKUP(records_2[Method]&amp;"-"&amp;records_2[Class], dAirSpec[ID], dAirSpec[Unit])</f>
        <v>cfu/plate</v>
      </c>
      <c r="AB228" s="62">
        <f t="array" ref="AB228">if(R228="","", if(records_2[Method]="Active Air",_xlfn.xlookup(records_2[ColonyCount]&amp;records_2[AirSampler],feller[code],feller[Vc]),records_2[ColonyCount]))</f>
        <v>0</v>
      </c>
      <c r="AC228" s="63" t="b">
        <f t="shared" si="1"/>
        <v>1</v>
      </c>
      <c r="AD228" s="61" t="b">
        <v>0</v>
      </c>
      <c r="AE228" s="32" t="s">
        <v>280</v>
      </c>
      <c r="AF228" s="46"/>
      <c r="AG228" s="46"/>
      <c r="AH228" s="46"/>
      <c r="AI228" s="46"/>
      <c r="AJ228" s="46"/>
    </row>
    <row r="229" ht="22.5" customHeight="1">
      <c r="A229" s="27">
        <v>46063.0</v>
      </c>
      <c r="B229" s="34" t="str">
        <f t="array" ref="B229">TEXT(A229, "MM-YYYY")</f>
        <v>02-2026</v>
      </c>
      <c r="C229" s="39" t="s">
        <v>1519</v>
      </c>
      <c r="D229" s="36" t="s">
        <v>210</v>
      </c>
      <c r="E229" s="36" t="s">
        <v>213</v>
      </c>
      <c r="F229" s="29" t="b">
        <v>1</v>
      </c>
      <c r="G229" s="49"/>
      <c r="H229" s="49"/>
      <c r="I229" s="39"/>
      <c r="J229" s="43"/>
      <c r="K229" s="37" t="s">
        <v>330</v>
      </c>
      <c r="L229" s="37" t="s">
        <v>2039</v>
      </c>
      <c r="M229" s="37" t="s">
        <v>1846</v>
      </c>
      <c r="N229" s="37" t="s">
        <v>399</v>
      </c>
      <c r="O229" s="37" t="s">
        <v>837</v>
      </c>
      <c r="P229" s="37" t="s">
        <v>1099</v>
      </c>
      <c r="Q229" s="41">
        <v>46025.0</v>
      </c>
      <c r="R229" s="42">
        <v>0.0</v>
      </c>
      <c r="S229" s="29"/>
      <c r="T229" s="37" t="s">
        <v>2083</v>
      </c>
      <c r="U229" s="57" t="str">
        <f>IF(records_2[Type]="Room",records_2[roomNo],records_2[roomNo]&amp;"-"&amp;SUBSTITUTE(RIGHT(records_2[roomNo]&amp;records_2[Type],2),"-",""))</f>
        <v>16-3-059</v>
      </c>
      <c r="V229" s="59" t="str">
        <f t="array" ref="V229">_xlfn.XLOOKUP(records_2[ID], dAir[roomNo], dAir[roomName])</f>
        <v>DISPENSED MATERIAL STAGING</v>
      </c>
      <c r="W229" s="59" t="str">
        <f t="array" ref="W229">_xlfn.XLOOKUP(records_2[ID], dAir[roomNo], dAir[building])</f>
        <v>Building 16</v>
      </c>
      <c r="X229" s="59" t="str">
        <f t="array" ref="X229">_xlfn.XLOOKUP(records_2[ID], dAir[roomNo], dAir[floor])</f>
        <v>Floor 3</v>
      </c>
      <c r="Y229" s="57" t="str">
        <f t="array" ref="Y229">_xlfn.XLOOKUP(records_2[ID], dAir[roomNo], dAir[Class])</f>
        <v>D</v>
      </c>
      <c r="Z229" s="57">
        <f t="array" ref="Z229">_xlfn.XLOOKUP(records_2[Method]&amp;"-"&amp;records_2[Class], dAirSpec[ID], dAirSpec[Spec])</f>
        <v>100</v>
      </c>
      <c r="AA229" s="57" t="str">
        <f t="array" ref="AA229">_xlfn.XLOOKUP(records_2[Method]&amp;"-"&amp;records_2[Class], dAirSpec[ID], dAirSpec[Unit])</f>
        <v>cfu/plate</v>
      </c>
      <c r="AB229" s="62">
        <f t="array" ref="AB229">if(R229="","", if(records_2[Method]="Active Air",_xlfn.xlookup(records_2[ColonyCount]&amp;records_2[AirSampler],feller[code],feller[Vc]),records_2[ColonyCount]))</f>
        <v>0</v>
      </c>
      <c r="AC229" s="63" t="b">
        <f t="shared" si="1"/>
        <v>1</v>
      </c>
      <c r="AD229" s="61" t="b">
        <v>0</v>
      </c>
      <c r="AE229" s="32" t="s">
        <v>280</v>
      </c>
      <c r="AF229" s="46"/>
      <c r="AG229" s="46"/>
      <c r="AH229" s="46"/>
      <c r="AI229" s="46"/>
      <c r="AJ229" s="46"/>
    </row>
    <row r="230" ht="22.5" customHeight="1">
      <c r="A230" s="27">
        <v>46063.0</v>
      </c>
      <c r="B230" s="34" t="str">
        <f t="array" ref="B230">TEXT(A230, "MM-YYYY")</f>
        <v>02-2026</v>
      </c>
      <c r="C230" s="39" t="s">
        <v>1520</v>
      </c>
      <c r="D230" s="36" t="s">
        <v>210</v>
      </c>
      <c r="E230" s="36" t="s">
        <v>213</v>
      </c>
      <c r="F230" s="29" t="b">
        <v>1</v>
      </c>
      <c r="G230" s="49"/>
      <c r="H230" s="49"/>
      <c r="I230" s="39"/>
      <c r="J230" s="43"/>
      <c r="K230" s="37" t="s">
        <v>638</v>
      </c>
      <c r="L230" s="37" t="s">
        <v>2148</v>
      </c>
      <c r="M230" s="37" t="s">
        <v>2149</v>
      </c>
      <c r="N230" s="37" t="s">
        <v>320</v>
      </c>
      <c r="O230" s="37" t="s">
        <v>837</v>
      </c>
      <c r="P230" s="37" t="s">
        <v>1099</v>
      </c>
      <c r="Q230" s="41">
        <v>46025.0</v>
      </c>
      <c r="R230" s="42">
        <v>3.0</v>
      </c>
      <c r="S230" s="29"/>
      <c r="T230" s="37" t="s">
        <v>2083</v>
      </c>
      <c r="U230" s="57" t="str">
        <f>IF(records_2[Type]="Room",records_2[roomNo],records_2[roomNo]&amp;"-"&amp;SUBSTITUTE(RIGHT(records_2[roomNo]&amp;records_2[Type],2),"-",""))</f>
        <v>16-3-060</v>
      </c>
      <c r="V230" s="59" t="str">
        <f t="array" ref="V230">_xlfn.XLOOKUP(records_2[ID], dAir[roomNo], dAir[roomName])</f>
        <v>AIRLOCK</v>
      </c>
      <c r="W230" s="59" t="str">
        <f t="array" ref="W230">_xlfn.XLOOKUP(records_2[ID], dAir[roomNo], dAir[building])</f>
        <v>Building 16</v>
      </c>
      <c r="X230" s="59" t="str">
        <f t="array" ref="X230">_xlfn.XLOOKUP(records_2[ID], dAir[roomNo], dAir[floor])</f>
        <v>Floor 3</v>
      </c>
      <c r="Y230" s="57" t="str">
        <f t="array" ref="Y230">_xlfn.XLOOKUP(records_2[ID], dAir[roomNo], dAir[Class])</f>
        <v>D</v>
      </c>
      <c r="Z230" s="57">
        <f t="array" ref="Z230">_xlfn.XLOOKUP(records_2[Method]&amp;"-"&amp;records_2[Class], dAirSpec[ID], dAirSpec[Spec])</f>
        <v>100</v>
      </c>
      <c r="AA230" s="57" t="str">
        <f t="array" ref="AA230">_xlfn.XLOOKUP(records_2[Method]&amp;"-"&amp;records_2[Class], dAirSpec[ID], dAirSpec[Unit])</f>
        <v>cfu/plate</v>
      </c>
      <c r="AB230" s="62">
        <f t="array" ref="AB230">if(R230="","", if(records_2[Method]="Active Air",_xlfn.xlookup(records_2[ColonyCount]&amp;records_2[AirSampler],feller[code],feller[Vc]),records_2[ColonyCount]))</f>
        <v>3</v>
      </c>
      <c r="AC230" s="63" t="b">
        <f t="shared" si="1"/>
        <v>1</v>
      </c>
      <c r="AD230" s="61" t="b">
        <v>0</v>
      </c>
      <c r="AE230" s="32" t="s">
        <v>280</v>
      </c>
      <c r="AF230" s="46"/>
      <c r="AG230" s="46"/>
      <c r="AH230" s="46"/>
      <c r="AI230" s="46"/>
      <c r="AJ230" s="46"/>
    </row>
    <row r="231" ht="22.5" customHeight="1">
      <c r="A231" s="27">
        <v>46063.0</v>
      </c>
      <c r="B231" s="34" t="str">
        <f t="array" ref="B231">TEXT(A231, "MM-YYYY")</f>
        <v>02-2026</v>
      </c>
      <c r="C231" s="39" t="s">
        <v>1523</v>
      </c>
      <c r="D231" s="36" t="s">
        <v>680</v>
      </c>
      <c r="E231" s="36" t="s">
        <v>213</v>
      </c>
      <c r="F231" s="29" t="b">
        <v>1</v>
      </c>
      <c r="G231" s="49"/>
      <c r="H231" s="49"/>
      <c r="I231" s="39"/>
      <c r="J231" s="43"/>
      <c r="K231" s="37" t="s">
        <v>596</v>
      </c>
      <c r="L231" s="37" t="s">
        <v>2151</v>
      </c>
      <c r="M231" s="37" t="s">
        <v>972</v>
      </c>
      <c r="N231" s="37" t="s">
        <v>333</v>
      </c>
      <c r="O231" s="37" t="s">
        <v>837</v>
      </c>
      <c r="P231" s="37" t="s">
        <v>1099</v>
      </c>
      <c r="Q231" s="41">
        <v>46025.0</v>
      </c>
      <c r="R231" s="42">
        <v>0.0</v>
      </c>
      <c r="S231" s="29"/>
      <c r="T231" s="37" t="s">
        <v>2083</v>
      </c>
      <c r="U231" s="57" t="str">
        <f>IF(records_2[Type]="Room",records_2[roomNo],records_2[roomNo]&amp;"-"&amp;SUBSTITUTE(RIGHT(records_2[roomNo]&amp;records_2[Type],2),"-",""))</f>
        <v>16-3-061-B</v>
      </c>
      <c r="V231" s="59" t="str">
        <f t="array" ref="V231">_xlfn.XLOOKUP(records_2[ID], dAir[roomNo], dAir[roomName])</f>
        <v>DISPENSING 1 (Booth)</v>
      </c>
      <c r="W231" s="59" t="str">
        <f t="array" ref="W231">_xlfn.XLOOKUP(records_2[ID], dAir[roomNo], dAir[building])</f>
        <v>Building 16</v>
      </c>
      <c r="X231" s="59" t="str">
        <f t="array" ref="X231">_xlfn.XLOOKUP(records_2[ID], dAir[roomNo], dAir[floor])</f>
        <v>Floor 3</v>
      </c>
      <c r="Y231" s="57" t="str">
        <f t="array" ref="Y231">_xlfn.XLOOKUP(records_2[ID], dAir[roomNo], dAir[Class])</f>
        <v>D</v>
      </c>
      <c r="Z231" s="57">
        <f t="array" ref="Z231">_xlfn.XLOOKUP(records_2[Method]&amp;"-"&amp;records_2[Class], dAirSpec[ID], dAirSpec[Spec])</f>
        <v>100</v>
      </c>
      <c r="AA231" s="57" t="str">
        <f t="array" ref="AA231">_xlfn.XLOOKUP(records_2[Method]&amp;"-"&amp;records_2[Class], dAirSpec[ID], dAirSpec[Unit])</f>
        <v>cfu/plate</v>
      </c>
      <c r="AB231" s="62">
        <f t="array" ref="AB231">if(R231="","", if(records_2[Method]="Active Air",_xlfn.xlookup(records_2[ColonyCount]&amp;records_2[AirSampler],feller[code],feller[Vc]),records_2[ColonyCount]))</f>
        <v>0</v>
      </c>
      <c r="AC231" s="63" t="b">
        <f t="shared" si="1"/>
        <v>1</v>
      </c>
      <c r="AD231" s="61" t="b">
        <v>0</v>
      </c>
      <c r="AE231" s="32" t="s">
        <v>280</v>
      </c>
      <c r="AF231" s="46"/>
      <c r="AG231" s="46"/>
      <c r="AH231" s="46"/>
      <c r="AI231" s="46"/>
      <c r="AJ231" s="46"/>
    </row>
    <row r="232" ht="22.5" customHeight="1">
      <c r="A232" s="27">
        <v>46063.0</v>
      </c>
      <c r="B232" s="34" t="str">
        <f t="array" ref="B232">TEXT(A232, "MM-YYYY")</f>
        <v>02-2026</v>
      </c>
      <c r="C232" s="39" t="s">
        <v>1523</v>
      </c>
      <c r="D232" s="36" t="s">
        <v>210</v>
      </c>
      <c r="E232" s="36" t="s">
        <v>213</v>
      </c>
      <c r="F232" s="29" t="b">
        <v>1</v>
      </c>
      <c r="G232" s="49"/>
      <c r="H232" s="49"/>
      <c r="I232" s="39"/>
      <c r="J232" s="43"/>
      <c r="K232" s="37" t="s">
        <v>596</v>
      </c>
      <c r="L232" s="37" t="s">
        <v>2151</v>
      </c>
      <c r="M232" s="37" t="s">
        <v>972</v>
      </c>
      <c r="N232" s="37" t="s">
        <v>333</v>
      </c>
      <c r="O232" s="37" t="s">
        <v>837</v>
      </c>
      <c r="P232" s="37" t="s">
        <v>1099</v>
      </c>
      <c r="Q232" s="41">
        <v>46025.0</v>
      </c>
      <c r="R232" s="42">
        <v>1.0</v>
      </c>
      <c r="S232" s="29"/>
      <c r="T232" s="37" t="s">
        <v>2083</v>
      </c>
      <c r="U232" s="57" t="str">
        <f>IF(records_2[Type]="Room",records_2[roomNo],records_2[roomNo]&amp;"-"&amp;SUBSTITUTE(RIGHT(records_2[roomNo]&amp;records_2[Type],2),"-",""))</f>
        <v>16-3-061</v>
      </c>
      <c r="V232" s="59" t="str">
        <f t="array" ref="V232">_xlfn.XLOOKUP(records_2[ID], dAir[roomNo], dAir[roomName])</f>
        <v>DISPENSING 1</v>
      </c>
      <c r="W232" s="59" t="str">
        <f t="array" ref="W232">_xlfn.XLOOKUP(records_2[ID], dAir[roomNo], dAir[building])</f>
        <v>Building 16</v>
      </c>
      <c r="X232" s="59" t="str">
        <f t="array" ref="X232">_xlfn.XLOOKUP(records_2[ID], dAir[roomNo], dAir[floor])</f>
        <v>Floor 3</v>
      </c>
      <c r="Y232" s="57" t="str">
        <f t="array" ref="Y232">_xlfn.XLOOKUP(records_2[ID], dAir[roomNo], dAir[Class])</f>
        <v>D</v>
      </c>
      <c r="Z232" s="57">
        <f t="array" ref="Z232">_xlfn.XLOOKUP(records_2[Method]&amp;"-"&amp;records_2[Class], dAirSpec[ID], dAirSpec[Spec])</f>
        <v>100</v>
      </c>
      <c r="AA232" s="57" t="str">
        <f t="array" ref="AA232">_xlfn.XLOOKUP(records_2[Method]&amp;"-"&amp;records_2[Class], dAirSpec[ID], dAirSpec[Unit])</f>
        <v>cfu/plate</v>
      </c>
      <c r="AB232" s="62">
        <f t="array" ref="AB232">if(R232="","", if(records_2[Method]="Active Air",_xlfn.xlookup(records_2[ColonyCount]&amp;records_2[AirSampler],feller[code],feller[Vc]),records_2[ColonyCount]))</f>
        <v>1</v>
      </c>
      <c r="AC232" s="63" t="b">
        <f t="shared" si="1"/>
        <v>1</v>
      </c>
      <c r="AD232" s="61" t="b">
        <v>0</v>
      </c>
      <c r="AE232" s="32" t="s">
        <v>280</v>
      </c>
      <c r="AF232" s="46"/>
      <c r="AG232" s="46"/>
      <c r="AH232" s="46"/>
      <c r="AI232" s="46"/>
      <c r="AJ232" s="46"/>
    </row>
    <row r="233" ht="22.5" customHeight="1">
      <c r="A233" s="27">
        <v>46063.0</v>
      </c>
      <c r="B233" s="34" t="str">
        <f t="array" ref="B233">TEXT(A233, "MM-YYYY")</f>
        <v>02-2026</v>
      </c>
      <c r="C233" s="39" t="s">
        <v>1525</v>
      </c>
      <c r="D233" s="36" t="s">
        <v>210</v>
      </c>
      <c r="E233" s="36" t="s">
        <v>213</v>
      </c>
      <c r="F233" s="29" t="b">
        <v>1</v>
      </c>
      <c r="G233" s="49"/>
      <c r="H233" s="49"/>
      <c r="I233" s="39"/>
      <c r="J233" s="43"/>
      <c r="K233" s="37" t="s">
        <v>452</v>
      </c>
      <c r="L233" s="37" t="s">
        <v>1856</v>
      </c>
      <c r="M233" s="37" t="s">
        <v>2152</v>
      </c>
      <c r="N233" s="37" t="s">
        <v>333</v>
      </c>
      <c r="O233" s="37" t="s">
        <v>837</v>
      </c>
      <c r="P233" s="37" t="s">
        <v>1099</v>
      </c>
      <c r="Q233" s="41">
        <v>46025.0</v>
      </c>
      <c r="R233" s="42">
        <v>0.0</v>
      </c>
      <c r="S233" s="29"/>
      <c r="T233" s="37" t="s">
        <v>2083</v>
      </c>
      <c r="U233" s="57" t="str">
        <f>IF(records_2[Type]="Room",records_2[roomNo],records_2[roomNo]&amp;"-"&amp;SUBSTITUTE(RIGHT(records_2[roomNo]&amp;records_2[Type],2),"-",""))</f>
        <v>16-3-062</v>
      </c>
      <c r="V233" s="59" t="str">
        <f t="array" ref="V233">_xlfn.XLOOKUP(records_2[ID], dAir[roomNo], dAir[roomName])</f>
        <v>MAL</v>
      </c>
      <c r="W233" s="59" t="str">
        <f t="array" ref="W233">_xlfn.XLOOKUP(records_2[ID], dAir[roomNo], dAir[building])</f>
        <v>Building 16</v>
      </c>
      <c r="X233" s="59" t="str">
        <f t="array" ref="X233">_xlfn.XLOOKUP(records_2[ID], dAir[roomNo], dAir[floor])</f>
        <v>Floor 3</v>
      </c>
      <c r="Y233" s="57" t="str">
        <f t="array" ref="Y233">_xlfn.XLOOKUP(records_2[ID], dAir[roomNo], dAir[Class])</f>
        <v>D</v>
      </c>
      <c r="Z233" s="57">
        <f t="array" ref="Z233">_xlfn.XLOOKUP(records_2[Method]&amp;"-"&amp;records_2[Class], dAirSpec[ID], dAirSpec[Spec])</f>
        <v>100</v>
      </c>
      <c r="AA233" s="57" t="str">
        <f t="array" ref="AA233">_xlfn.XLOOKUP(records_2[Method]&amp;"-"&amp;records_2[Class], dAirSpec[ID], dAirSpec[Unit])</f>
        <v>cfu/plate</v>
      </c>
      <c r="AB233" s="62">
        <f t="array" ref="AB233">if(R233="","", if(records_2[Method]="Active Air",_xlfn.xlookup(records_2[ColonyCount]&amp;records_2[AirSampler],feller[code],feller[Vc]),records_2[ColonyCount]))</f>
        <v>0</v>
      </c>
      <c r="AC233" s="63" t="b">
        <f t="shared" si="1"/>
        <v>1</v>
      </c>
      <c r="AD233" s="61" t="b">
        <v>0</v>
      </c>
      <c r="AE233" s="32" t="s">
        <v>280</v>
      </c>
      <c r="AF233" s="46"/>
      <c r="AG233" s="46"/>
      <c r="AH233" s="46"/>
      <c r="AI233" s="46"/>
      <c r="AJ233" s="46"/>
    </row>
    <row r="234" ht="22.5" customHeight="1">
      <c r="A234" s="27">
        <v>46063.0</v>
      </c>
      <c r="B234" s="34" t="str">
        <f t="array" ref="B234">TEXT(A234, "MM-YYYY")</f>
        <v>02-2026</v>
      </c>
      <c r="C234" s="39" t="s">
        <v>1526</v>
      </c>
      <c r="D234" s="36" t="s">
        <v>680</v>
      </c>
      <c r="E234" s="36" t="s">
        <v>213</v>
      </c>
      <c r="F234" s="29" t="b">
        <v>1</v>
      </c>
      <c r="G234" s="49"/>
      <c r="H234" s="49"/>
      <c r="I234" s="39"/>
      <c r="J234" s="43"/>
      <c r="K234" s="37" t="s">
        <v>194</v>
      </c>
      <c r="L234" s="37" t="s">
        <v>194</v>
      </c>
      <c r="M234" s="37" t="s">
        <v>2149</v>
      </c>
      <c r="N234" s="37" t="s">
        <v>320</v>
      </c>
      <c r="O234" s="37" t="s">
        <v>837</v>
      </c>
      <c r="P234" s="37" t="s">
        <v>1099</v>
      </c>
      <c r="Q234" s="41">
        <v>46025.0</v>
      </c>
      <c r="R234" s="42">
        <v>1.0</v>
      </c>
      <c r="S234" s="29"/>
      <c r="T234" s="37" t="s">
        <v>2083</v>
      </c>
      <c r="U234" s="57" t="str">
        <f>IF(records_2[Type]="Room",records_2[roomNo],records_2[roomNo]&amp;"-"&amp;SUBSTITUTE(RIGHT(records_2[roomNo]&amp;records_2[Type],2),"-",""))</f>
        <v>16-3-063-B</v>
      </c>
      <c r="V234" s="59" t="str">
        <f t="array" ref="V234">_xlfn.XLOOKUP(records_2[ID], dAir[roomNo], dAir[roomName])</f>
        <v>DISPENSING 2 (Booth)</v>
      </c>
      <c r="W234" s="59" t="str">
        <f t="array" ref="W234">_xlfn.XLOOKUP(records_2[ID], dAir[roomNo], dAir[building])</f>
        <v>Building 16</v>
      </c>
      <c r="X234" s="59" t="str">
        <f t="array" ref="X234">_xlfn.XLOOKUP(records_2[ID], dAir[roomNo], dAir[floor])</f>
        <v>Floor 3</v>
      </c>
      <c r="Y234" s="57" t="str">
        <f t="array" ref="Y234">_xlfn.XLOOKUP(records_2[ID], dAir[roomNo], dAir[Class])</f>
        <v>D</v>
      </c>
      <c r="Z234" s="57">
        <f t="array" ref="Z234">_xlfn.XLOOKUP(records_2[Method]&amp;"-"&amp;records_2[Class], dAirSpec[ID], dAirSpec[Spec])</f>
        <v>100</v>
      </c>
      <c r="AA234" s="57" t="str">
        <f t="array" ref="AA234">_xlfn.XLOOKUP(records_2[Method]&amp;"-"&amp;records_2[Class], dAirSpec[ID], dAirSpec[Unit])</f>
        <v>cfu/plate</v>
      </c>
      <c r="AB234" s="62">
        <f t="array" ref="AB234">if(R234="","", if(records_2[Method]="Active Air",_xlfn.xlookup(records_2[ColonyCount]&amp;records_2[AirSampler],feller[code],feller[Vc]),records_2[ColonyCount]))</f>
        <v>1</v>
      </c>
      <c r="AC234" s="63" t="b">
        <f t="shared" si="1"/>
        <v>1</v>
      </c>
      <c r="AD234" s="61" t="b">
        <v>0</v>
      </c>
      <c r="AE234" s="32" t="s">
        <v>280</v>
      </c>
      <c r="AF234" s="46"/>
      <c r="AG234" s="46"/>
      <c r="AH234" s="46"/>
      <c r="AI234" s="46"/>
      <c r="AJ234" s="46"/>
    </row>
    <row r="235" ht="22.5" customHeight="1">
      <c r="A235" s="27">
        <v>46063.0</v>
      </c>
      <c r="B235" s="34" t="str">
        <f t="array" ref="B235">TEXT(A235, "MM-YYYY")</f>
        <v>02-2026</v>
      </c>
      <c r="C235" s="39" t="s">
        <v>1526</v>
      </c>
      <c r="D235" s="36" t="s">
        <v>210</v>
      </c>
      <c r="E235" s="36" t="s">
        <v>213</v>
      </c>
      <c r="F235" s="29" t="b">
        <v>1</v>
      </c>
      <c r="G235" s="49"/>
      <c r="H235" s="49"/>
      <c r="I235" s="39"/>
      <c r="J235" s="43"/>
      <c r="K235" s="37" t="s">
        <v>194</v>
      </c>
      <c r="L235" s="37" t="s">
        <v>194</v>
      </c>
      <c r="M235" s="37" t="s">
        <v>2149</v>
      </c>
      <c r="N235" s="37" t="s">
        <v>320</v>
      </c>
      <c r="O235" s="37" t="s">
        <v>837</v>
      </c>
      <c r="P235" s="37" t="s">
        <v>1099</v>
      </c>
      <c r="Q235" s="41">
        <v>46025.0</v>
      </c>
      <c r="R235" s="42">
        <v>0.0</v>
      </c>
      <c r="S235" s="29"/>
      <c r="T235" s="37" t="s">
        <v>2083</v>
      </c>
      <c r="U235" s="57" t="str">
        <f>IF(records_2[Type]="Room",records_2[roomNo],records_2[roomNo]&amp;"-"&amp;SUBSTITUTE(RIGHT(records_2[roomNo]&amp;records_2[Type],2),"-",""))</f>
        <v>16-3-063</v>
      </c>
      <c r="V235" s="59" t="str">
        <f t="array" ref="V235">_xlfn.XLOOKUP(records_2[ID], dAir[roomNo], dAir[roomName])</f>
        <v>DISPENSING 2</v>
      </c>
      <c r="W235" s="59" t="str">
        <f t="array" ref="W235">_xlfn.XLOOKUP(records_2[ID], dAir[roomNo], dAir[building])</f>
        <v>Building 16</v>
      </c>
      <c r="X235" s="59" t="str">
        <f t="array" ref="X235">_xlfn.XLOOKUP(records_2[ID], dAir[roomNo], dAir[floor])</f>
        <v>Floor 3</v>
      </c>
      <c r="Y235" s="57" t="str">
        <f t="array" ref="Y235">_xlfn.XLOOKUP(records_2[ID], dAir[roomNo], dAir[Class])</f>
        <v>D</v>
      </c>
      <c r="Z235" s="57">
        <f t="array" ref="Z235">_xlfn.XLOOKUP(records_2[Method]&amp;"-"&amp;records_2[Class], dAirSpec[ID], dAirSpec[Spec])</f>
        <v>100</v>
      </c>
      <c r="AA235" s="57" t="str">
        <f t="array" ref="AA235">_xlfn.XLOOKUP(records_2[Method]&amp;"-"&amp;records_2[Class], dAirSpec[ID], dAirSpec[Unit])</f>
        <v>cfu/plate</v>
      </c>
      <c r="AB235" s="62">
        <f t="array" ref="AB235">if(R235="","", if(records_2[Method]="Active Air",_xlfn.xlookup(records_2[ColonyCount]&amp;records_2[AirSampler],feller[code],feller[Vc]),records_2[ColonyCount]))</f>
        <v>0</v>
      </c>
      <c r="AC235" s="63" t="b">
        <f t="shared" si="1"/>
        <v>1</v>
      </c>
      <c r="AD235" s="61" t="b">
        <v>0</v>
      </c>
      <c r="AE235" s="32" t="s">
        <v>280</v>
      </c>
      <c r="AF235" s="46"/>
      <c r="AG235" s="46"/>
      <c r="AH235" s="46"/>
      <c r="AI235" s="46"/>
      <c r="AJ235" s="46"/>
    </row>
    <row r="236" ht="22.5" customHeight="1">
      <c r="A236" s="27">
        <v>46063.0</v>
      </c>
      <c r="B236" s="34" t="str">
        <f t="array" ref="B236">TEXT(A236, "MM-YYYY")</f>
        <v>02-2026</v>
      </c>
      <c r="C236" s="39" t="s">
        <v>1528</v>
      </c>
      <c r="D236" s="36" t="s">
        <v>210</v>
      </c>
      <c r="E236" s="36" t="s">
        <v>213</v>
      </c>
      <c r="F236" s="29" t="b">
        <v>1</v>
      </c>
      <c r="G236" s="49"/>
      <c r="H236" s="49"/>
      <c r="I236" s="39"/>
      <c r="J236" s="43"/>
      <c r="K236" s="37" t="s">
        <v>798</v>
      </c>
      <c r="L236" s="37" t="s">
        <v>1054</v>
      </c>
      <c r="M236" s="37" t="s">
        <v>2153</v>
      </c>
      <c r="N236" s="37" t="s">
        <v>778</v>
      </c>
      <c r="O236" s="37" t="s">
        <v>837</v>
      </c>
      <c r="P236" s="37" t="s">
        <v>1099</v>
      </c>
      <c r="Q236" s="41">
        <v>46025.0</v>
      </c>
      <c r="R236" s="42">
        <v>0.0</v>
      </c>
      <c r="S236" s="29"/>
      <c r="T236" s="37" t="s">
        <v>2083</v>
      </c>
      <c r="U236" s="57" t="str">
        <f>IF(records_2[Type]="Room",records_2[roomNo],records_2[roomNo]&amp;"-"&amp;SUBSTITUTE(RIGHT(records_2[roomNo]&amp;records_2[Type],2),"-",""))</f>
        <v>16-3-064</v>
      </c>
      <c r="V236" s="59" t="str">
        <f t="array" ref="V236">_xlfn.XLOOKUP(records_2[ID], dAir[roomNo], dAir[roomName])</f>
        <v>AIRLOCK</v>
      </c>
      <c r="W236" s="59" t="str">
        <f t="array" ref="W236">_xlfn.XLOOKUP(records_2[ID], dAir[roomNo], dAir[building])</f>
        <v>Building 16</v>
      </c>
      <c r="X236" s="59" t="str">
        <f t="array" ref="X236">_xlfn.XLOOKUP(records_2[ID], dAir[roomNo], dAir[floor])</f>
        <v>Floor 3</v>
      </c>
      <c r="Y236" s="57" t="str">
        <f t="array" ref="Y236">_xlfn.XLOOKUP(records_2[ID], dAir[roomNo], dAir[Class])</f>
        <v>D</v>
      </c>
      <c r="Z236" s="57">
        <f t="array" ref="Z236">_xlfn.XLOOKUP(records_2[Method]&amp;"-"&amp;records_2[Class], dAirSpec[ID], dAirSpec[Spec])</f>
        <v>100</v>
      </c>
      <c r="AA236" s="57" t="str">
        <f t="array" ref="AA236">_xlfn.XLOOKUP(records_2[Method]&amp;"-"&amp;records_2[Class], dAirSpec[ID], dAirSpec[Unit])</f>
        <v>cfu/plate</v>
      </c>
      <c r="AB236" s="62">
        <f t="array" ref="AB236">if(R236="","", if(records_2[Method]="Active Air",_xlfn.xlookup(records_2[ColonyCount]&amp;records_2[AirSampler],feller[code],feller[Vc]),records_2[ColonyCount]))</f>
        <v>0</v>
      </c>
      <c r="AC236" s="63" t="b">
        <f t="shared" si="1"/>
        <v>1</v>
      </c>
      <c r="AD236" s="61" t="b">
        <v>0</v>
      </c>
      <c r="AE236" s="32" t="s">
        <v>280</v>
      </c>
      <c r="AF236" s="46"/>
      <c r="AG236" s="46"/>
      <c r="AH236" s="46"/>
      <c r="AI236" s="46"/>
      <c r="AJ236" s="46"/>
    </row>
    <row r="237" ht="22.5" customHeight="1">
      <c r="A237" s="27">
        <v>46063.0</v>
      </c>
      <c r="B237" s="34" t="str">
        <f t="array" ref="B237">TEXT(A237, "MM-YYYY")</f>
        <v>02-2026</v>
      </c>
      <c r="C237" s="39" t="s">
        <v>1529</v>
      </c>
      <c r="D237" s="36" t="s">
        <v>210</v>
      </c>
      <c r="E237" s="36" t="s">
        <v>213</v>
      </c>
      <c r="F237" s="29" t="b">
        <v>1</v>
      </c>
      <c r="G237" s="49"/>
      <c r="H237" s="49"/>
      <c r="I237" s="39"/>
      <c r="J237" s="43"/>
      <c r="K237" s="37" t="s">
        <v>339</v>
      </c>
      <c r="L237" s="37" t="s">
        <v>1587</v>
      </c>
      <c r="M237" s="37" t="s">
        <v>2153</v>
      </c>
      <c r="N237" s="37" t="s">
        <v>778</v>
      </c>
      <c r="O237" s="37" t="s">
        <v>837</v>
      </c>
      <c r="P237" s="37" t="s">
        <v>1099</v>
      </c>
      <c r="Q237" s="41">
        <v>46025.0</v>
      </c>
      <c r="R237" s="42">
        <v>0.0</v>
      </c>
      <c r="S237" s="29"/>
      <c r="T237" s="37" t="s">
        <v>2083</v>
      </c>
      <c r="U237" s="57" t="str">
        <f>IF(records_2[Type]="Room",records_2[roomNo],records_2[roomNo]&amp;"-"&amp;SUBSTITUTE(RIGHT(records_2[roomNo]&amp;records_2[Type],2),"-",""))</f>
        <v>16-3-065</v>
      </c>
      <c r="V237" s="59" t="str">
        <f t="array" ref="V237">_xlfn.XLOOKUP(records_2[ID], dAir[roomNo], dAir[roomName])</f>
        <v>ETHANOL STORAGE</v>
      </c>
      <c r="W237" s="59" t="str">
        <f t="array" ref="W237">_xlfn.XLOOKUP(records_2[ID], dAir[roomNo], dAir[building])</f>
        <v>Building 16</v>
      </c>
      <c r="X237" s="59" t="str">
        <f t="array" ref="X237">_xlfn.XLOOKUP(records_2[ID], dAir[roomNo], dAir[floor])</f>
        <v>Floor 3</v>
      </c>
      <c r="Y237" s="57" t="str">
        <f t="array" ref="Y237">_xlfn.XLOOKUP(records_2[ID], dAir[roomNo], dAir[Class])</f>
        <v>D</v>
      </c>
      <c r="Z237" s="57">
        <f t="array" ref="Z237">_xlfn.XLOOKUP(records_2[Method]&amp;"-"&amp;records_2[Class], dAirSpec[ID], dAirSpec[Spec])</f>
        <v>100</v>
      </c>
      <c r="AA237" s="57" t="str">
        <f t="array" ref="AA237">_xlfn.XLOOKUP(records_2[Method]&amp;"-"&amp;records_2[Class], dAirSpec[ID], dAirSpec[Unit])</f>
        <v>cfu/plate</v>
      </c>
      <c r="AB237" s="62">
        <f t="array" ref="AB237">if(R237="","", if(records_2[Method]="Active Air",_xlfn.xlookup(records_2[ColonyCount]&amp;records_2[AirSampler],feller[code],feller[Vc]),records_2[ColonyCount]))</f>
        <v>0</v>
      </c>
      <c r="AC237" s="63" t="b">
        <f t="shared" si="1"/>
        <v>1</v>
      </c>
      <c r="AD237" s="61" t="b">
        <v>0</v>
      </c>
      <c r="AE237" s="32" t="s">
        <v>280</v>
      </c>
      <c r="AF237" s="46"/>
      <c r="AG237" s="46"/>
      <c r="AH237" s="46"/>
      <c r="AI237" s="46"/>
      <c r="AJ237" s="46"/>
    </row>
    <row r="238" ht="22.5" customHeight="1">
      <c r="A238" s="27">
        <v>46063.0</v>
      </c>
      <c r="B238" s="34" t="str">
        <f t="array" ref="B238">TEXT(A238, "MM-YYYY")</f>
        <v>02-2026</v>
      </c>
      <c r="C238" s="39" t="s">
        <v>1531</v>
      </c>
      <c r="D238" s="36" t="s">
        <v>210</v>
      </c>
      <c r="E238" s="36" t="s">
        <v>213</v>
      </c>
      <c r="F238" s="29" t="b">
        <v>1</v>
      </c>
      <c r="G238" s="49"/>
      <c r="H238" s="49"/>
      <c r="I238" s="39"/>
      <c r="J238" s="43"/>
      <c r="K238" s="37" t="s">
        <v>402</v>
      </c>
      <c r="L238" s="37" t="s">
        <v>971</v>
      </c>
      <c r="M238" s="37" t="s">
        <v>1809</v>
      </c>
      <c r="N238" s="37" t="s">
        <v>778</v>
      </c>
      <c r="O238" s="37" t="s">
        <v>837</v>
      </c>
      <c r="P238" s="37" t="s">
        <v>1099</v>
      </c>
      <c r="Q238" s="41">
        <v>46025.0</v>
      </c>
      <c r="R238" s="42">
        <v>0.0</v>
      </c>
      <c r="S238" s="29"/>
      <c r="T238" s="37" t="s">
        <v>2083</v>
      </c>
      <c r="U238" s="57" t="str">
        <f>IF(records_2[Type]="Room",records_2[roomNo],records_2[roomNo]&amp;"-"&amp;SUBSTITUTE(RIGHT(records_2[roomNo]&amp;records_2[Type],2),"-",""))</f>
        <v>16-3-066</v>
      </c>
      <c r="V238" s="59" t="str">
        <f t="array" ref="V238">_xlfn.XLOOKUP(records_2[ID], dAir[roomNo], dAir[roomName])</f>
        <v>AIRLOCK</v>
      </c>
      <c r="W238" s="59" t="str">
        <f t="array" ref="W238">_xlfn.XLOOKUP(records_2[ID], dAir[roomNo], dAir[building])</f>
        <v>Building 16</v>
      </c>
      <c r="X238" s="59" t="str">
        <f t="array" ref="X238">_xlfn.XLOOKUP(records_2[ID], dAir[roomNo], dAir[floor])</f>
        <v>Floor 3</v>
      </c>
      <c r="Y238" s="57" t="str">
        <f t="array" ref="Y238">_xlfn.XLOOKUP(records_2[ID], dAir[roomNo], dAir[Class])</f>
        <v>D</v>
      </c>
      <c r="Z238" s="57">
        <f t="array" ref="Z238">_xlfn.XLOOKUP(records_2[Method]&amp;"-"&amp;records_2[Class], dAirSpec[ID], dAirSpec[Spec])</f>
        <v>100</v>
      </c>
      <c r="AA238" s="57" t="str">
        <f t="array" ref="AA238">_xlfn.XLOOKUP(records_2[Method]&amp;"-"&amp;records_2[Class], dAirSpec[ID], dAirSpec[Unit])</f>
        <v>cfu/plate</v>
      </c>
      <c r="AB238" s="62">
        <f t="array" ref="AB238">if(R238="","", if(records_2[Method]="Active Air",_xlfn.xlookup(records_2[ColonyCount]&amp;records_2[AirSampler],feller[code],feller[Vc]),records_2[ColonyCount]))</f>
        <v>0</v>
      </c>
      <c r="AC238" s="63" t="b">
        <f t="shared" si="1"/>
        <v>1</v>
      </c>
      <c r="AD238" s="61" t="b">
        <v>0</v>
      </c>
      <c r="AE238" s="32" t="s">
        <v>280</v>
      </c>
      <c r="AF238" s="46"/>
      <c r="AG238" s="46"/>
      <c r="AH238" s="46"/>
      <c r="AI238" s="46"/>
      <c r="AJ238" s="46"/>
    </row>
    <row r="239" ht="22.5" customHeight="1">
      <c r="A239" s="27">
        <v>46063.0</v>
      </c>
      <c r="B239" s="34" t="str">
        <f t="array" ref="B239">TEXT(A239, "MM-YYYY")</f>
        <v>02-2026</v>
      </c>
      <c r="C239" s="39" t="s">
        <v>987</v>
      </c>
      <c r="D239" s="36" t="s">
        <v>210</v>
      </c>
      <c r="E239" s="36" t="s">
        <v>213</v>
      </c>
      <c r="F239" s="29" t="b">
        <v>1</v>
      </c>
      <c r="G239" s="49"/>
      <c r="H239" s="49"/>
      <c r="I239" s="39"/>
      <c r="J239" s="43"/>
      <c r="K239" s="37" t="s">
        <v>310</v>
      </c>
      <c r="L239" s="37" t="s">
        <v>253</v>
      </c>
      <c r="M239" s="37" t="s">
        <v>2087</v>
      </c>
      <c r="N239" s="37" t="s">
        <v>778</v>
      </c>
      <c r="O239" s="37" t="s">
        <v>837</v>
      </c>
      <c r="P239" s="37" t="s">
        <v>1099</v>
      </c>
      <c r="Q239" s="41">
        <v>46025.0</v>
      </c>
      <c r="R239" s="42">
        <v>0.0</v>
      </c>
      <c r="S239" s="29"/>
      <c r="T239" s="37" t="s">
        <v>2083</v>
      </c>
      <c r="U239" s="57" t="str">
        <f>IF(records_2[Type]="Room",records_2[roomNo],records_2[roomNo]&amp;"-"&amp;SUBSTITUTE(RIGHT(records_2[roomNo]&amp;records_2[Type],2),"-",""))</f>
        <v>16-3-067</v>
      </c>
      <c r="V239" s="59" t="str">
        <f t="array" ref="V239">_xlfn.XLOOKUP(records_2[ID], dAir[roomNo], dAir[roomName])</f>
        <v>MFG 1</v>
      </c>
      <c r="W239" s="59" t="str">
        <f t="array" ref="W239">_xlfn.XLOOKUP(records_2[ID], dAir[roomNo], dAir[building])</f>
        <v>Building 16</v>
      </c>
      <c r="X239" s="59" t="str">
        <f t="array" ref="X239">_xlfn.XLOOKUP(records_2[ID], dAir[roomNo], dAir[floor])</f>
        <v>Floor 3</v>
      </c>
      <c r="Y239" s="57" t="str">
        <f t="array" ref="Y239">_xlfn.XLOOKUP(records_2[ID], dAir[roomNo], dAir[Class])</f>
        <v>D</v>
      </c>
      <c r="Z239" s="57">
        <f t="array" ref="Z239">_xlfn.XLOOKUP(records_2[Method]&amp;"-"&amp;records_2[Class], dAirSpec[ID], dAirSpec[Spec])</f>
        <v>100</v>
      </c>
      <c r="AA239" s="57" t="str">
        <f t="array" ref="AA239">_xlfn.XLOOKUP(records_2[Method]&amp;"-"&amp;records_2[Class], dAirSpec[ID], dAirSpec[Unit])</f>
        <v>cfu/plate</v>
      </c>
      <c r="AB239" s="62">
        <f t="array" ref="AB239">if(R239="","", if(records_2[Method]="Active Air",_xlfn.xlookup(records_2[ColonyCount]&amp;records_2[AirSampler],feller[code],feller[Vc]),records_2[ColonyCount]))</f>
        <v>0</v>
      </c>
      <c r="AC239" s="63" t="b">
        <f t="shared" si="1"/>
        <v>1</v>
      </c>
      <c r="AD239" s="61" t="b">
        <v>0</v>
      </c>
      <c r="AE239" s="32" t="s">
        <v>280</v>
      </c>
      <c r="AF239" s="46"/>
      <c r="AG239" s="46"/>
      <c r="AH239" s="46"/>
      <c r="AI239" s="46"/>
      <c r="AJ239" s="46"/>
    </row>
    <row r="240" ht="22.5" customHeight="1">
      <c r="A240" s="27">
        <v>46063.0</v>
      </c>
      <c r="B240" s="34" t="str">
        <f t="array" ref="B240">TEXT(A240, "MM-YYYY")</f>
        <v>02-2026</v>
      </c>
      <c r="C240" s="39" t="s">
        <v>1532</v>
      </c>
      <c r="D240" s="36" t="s">
        <v>210</v>
      </c>
      <c r="E240" s="36" t="s">
        <v>213</v>
      </c>
      <c r="F240" s="29" t="b">
        <v>1</v>
      </c>
      <c r="G240" s="49"/>
      <c r="H240" s="49"/>
      <c r="I240" s="39"/>
      <c r="J240" s="43"/>
      <c r="K240" s="37" t="s">
        <v>377</v>
      </c>
      <c r="L240" s="37" t="s">
        <v>1918</v>
      </c>
      <c r="M240" s="37" t="s">
        <v>2154</v>
      </c>
      <c r="N240" s="37" t="s">
        <v>333</v>
      </c>
      <c r="O240" s="37" t="s">
        <v>837</v>
      </c>
      <c r="P240" s="37" t="s">
        <v>1099</v>
      </c>
      <c r="Q240" s="41">
        <v>46025.0</v>
      </c>
      <c r="R240" s="42">
        <v>1.0</v>
      </c>
      <c r="S240" s="29"/>
      <c r="T240" s="37" t="s">
        <v>2083</v>
      </c>
      <c r="U240" s="57" t="str">
        <f>IF(records_2[Type]="Room",records_2[roomNo],records_2[roomNo]&amp;"-"&amp;SUBSTITUTE(RIGHT(records_2[roomNo]&amp;records_2[Type],2),"-",""))</f>
        <v>16-3-068</v>
      </c>
      <c r="V240" s="59" t="str">
        <f t="array" ref="V240">_xlfn.XLOOKUP(records_2[ID], dAir[roomNo], dAir[roomName])</f>
        <v>AIRLOCK</v>
      </c>
      <c r="W240" s="59" t="str">
        <f t="array" ref="W240">_xlfn.XLOOKUP(records_2[ID], dAir[roomNo], dAir[building])</f>
        <v>Building 16</v>
      </c>
      <c r="X240" s="59" t="str">
        <f t="array" ref="X240">_xlfn.XLOOKUP(records_2[ID], dAir[roomNo], dAir[floor])</f>
        <v>Floor 3</v>
      </c>
      <c r="Y240" s="57" t="str">
        <f t="array" ref="Y240">_xlfn.XLOOKUP(records_2[ID], dAir[roomNo], dAir[Class])</f>
        <v>D</v>
      </c>
      <c r="Z240" s="57">
        <f t="array" ref="Z240">_xlfn.XLOOKUP(records_2[Method]&amp;"-"&amp;records_2[Class], dAirSpec[ID], dAirSpec[Spec])</f>
        <v>100</v>
      </c>
      <c r="AA240" s="57" t="str">
        <f t="array" ref="AA240">_xlfn.XLOOKUP(records_2[Method]&amp;"-"&amp;records_2[Class], dAirSpec[ID], dAirSpec[Unit])</f>
        <v>cfu/plate</v>
      </c>
      <c r="AB240" s="62">
        <f t="array" ref="AB240">if(R240="","", if(records_2[Method]="Active Air",_xlfn.xlookup(records_2[ColonyCount]&amp;records_2[AirSampler],feller[code],feller[Vc]),records_2[ColonyCount]))</f>
        <v>1</v>
      </c>
      <c r="AC240" s="63" t="b">
        <f t="shared" si="1"/>
        <v>1</v>
      </c>
      <c r="AD240" s="61" t="b">
        <v>0</v>
      </c>
      <c r="AE240" s="32" t="s">
        <v>280</v>
      </c>
      <c r="AF240" s="46"/>
      <c r="AG240" s="46"/>
      <c r="AH240" s="46"/>
      <c r="AI240" s="46"/>
      <c r="AJ240" s="46"/>
    </row>
    <row r="241" ht="22.5" customHeight="1">
      <c r="A241" s="27">
        <v>46063.0</v>
      </c>
      <c r="B241" s="34" t="str">
        <f t="array" ref="B241">TEXT(A241, "MM-YYYY")</f>
        <v>02-2026</v>
      </c>
      <c r="C241" s="39" t="s">
        <v>1533</v>
      </c>
      <c r="D241" s="36" t="s">
        <v>210</v>
      </c>
      <c r="E241" s="36" t="s">
        <v>213</v>
      </c>
      <c r="F241" s="29" t="b">
        <v>1</v>
      </c>
      <c r="G241" s="49"/>
      <c r="H241" s="49"/>
      <c r="I241" s="39"/>
      <c r="J241" s="43"/>
      <c r="K241" s="37" t="s">
        <v>798</v>
      </c>
      <c r="L241" s="37" t="s">
        <v>1858</v>
      </c>
      <c r="M241" s="37" t="s">
        <v>2154</v>
      </c>
      <c r="N241" s="37" t="s">
        <v>333</v>
      </c>
      <c r="O241" s="37" t="s">
        <v>837</v>
      </c>
      <c r="P241" s="37" t="s">
        <v>1099</v>
      </c>
      <c r="Q241" s="41">
        <v>46025.0</v>
      </c>
      <c r="R241" s="42">
        <v>0.0</v>
      </c>
      <c r="S241" s="29"/>
      <c r="T241" s="37" t="s">
        <v>2083</v>
      </c>
      <c r="U241" s="57" t="str">
        <f>IF(records_2[Type]="Room",records_2[roomNo],records_2[roomNo]&amp;"-"&amp;SUBSTITUTE(RIGHT(records_2[roomNo]&amp;records_2[Type],2),"-",""))</f>
        <v>16-3-069</v>
      </c>
      <c r="V241" s="59" t="str">
        <f t="array" ref="V241">_xlfn.XLOOKUP(records_2[ID], dAir[roomNo], dAir[roomName])</f>
        <v>MFG 2</v>
      </c>
      <c r="W241" s="59" t="str">
        <f t="array" ref="W241">_xlfn.XLOOKUP(records_2[ID], dAir[roomNo], dAir[building])</f>
        <v>Building 16</v>
      </c>
      <c r="X241" s="59" t="str">
        <f t="array" ref="X241">_xlfn.XLOOKUP(records_2[ID], dAir[roomNo], dAir[floor])</f>
        <v>Floor 3</v>
      </c>
      <c r="Y241" s="57" t="str">
        <f t="array" ref="Y241">_xlfn.XLOOKUP(records_2[ID], dAir[roomNo], dAir[Class])</f>
        <v>D</v>
      </c>
      <c r="Z241" s="57">
        <f t="array" ref="Z241">_xlfn.XLOOKUP(records_2[Method]&amp;"-"&amp;records_2[Class], dAirSpec[ID], dAirSpec[Spec])</f>
        <v>100</v>
      </c>
      <c r="AA241" s="57" t="str">
        <f t="array" ref="AA241">_xlfn.XLOOKUP(records_2[Method]&amp;"-"&amp;records_2[Class], dAirSpec[ID], dAirSpec[Unit])</f>
        <v>cfu/plate</v>
      </c>
      <c r="AB241" s="62">
        <f t="array" ref="AB241">if(R241="","", if(records_2[Method]="Active Air",_xlfn.xlookup(records_2[ColonyCount]&amp;records_2[AirSampler],feller[code],feller[Vc]),records_2[ColonyCount]))</f>
        <v>0</v>
      </c>
      <c r="AC241" s="63" t="b">
        <f t="shared" si="1"/>
        <v>1</v>
      </c>
      <c r="AD241" s="61" t="b">
        <v>0</v>
      </c>
      <c r="AE241" s="32" t="s">
        <v>280</v>
      </c>
      <c r="AF241" s="46"/>
      <c r="AG241" s="46"/>
      <c r="AH241" s="46"/>
      <c r="AI241" s="46"/>
      <c r="AJ241" s="46"/>
    </row>
    <row r="242" ht="22.5" customHeight="1">
      <c r="A242" s="27">
        <v>46063.0</v>
      </c>
      <c r="B242" s="34" t="str">
        <f t="array" ref="B242">TEXT(A242, "MM-YYYY")</f>
        <v>02-2026</v>
      </c>
      <c r="C242" s="39" t="s">
        <v>1534</v>
      </c>
      <c r="D242" s="36" t="s">
        <v>210</v>
      </c>
      <c r="E242" s="36" t="s">
        <v>213</v>
      </c>
      <c r="F242" s="29" t="b">
        <v>1</v>
      </c>
      <c r="G242" s="49"/>
      <c r="H242" s="49"/>
      <c r="I242" s="39"/>
      <c r="J242" s="43"/>
      <c r="K242" s="37" t="s">
        <v>314</v>
      </c>
      <c r="L242" s="37" t="s">
        <v>792</v>
      </c>
      <c r="M242" s="37" t="s">
        <v>2156</v>
      </c>
      <c r="N242" s="37" t="s">
        <v>320</v>
      </c>
      <c r="O242" s="37" t="s">
        <v>837</v>
      </c>
      <c r="P242" s="37" t="s">
        <v>1099</v>
      </c>
      <c r="Q242" s="41">
        <v>46025.0</v>
      </c>
      <c r="R242" s="42">
        <v>0.0</v>
      </c>
      <c r="S242" s="29"/>
      <c r="T242" s="37" t="s">
        <v>2083</v>
      </c>
      <c r="U242" s="57" t="str">
        <f>IF(records_2[Type]="Room",records_2[roomNo],records_2[roomNo]&amp;"-"&amp;SUBSTITUTE(RIGHT(records_2[roomNo]&amp;records_2[Type],2),"-",""))</f>
        <v>16-3-070</v>
      </c>
      <c r="V242" s="59" t="str">
        <f t="array" ref="V242">_xlfn.XLOOKUP(records_2[ID], dAir[roomNo], dAir[roomName])</f>
        <v>AIRLOCK</v>
      </c>
      <c r="W242" s="59" t="str">
        <f t="array" ref="W242">_xlfn.XLOOKUP(records_2[ID], dAir[roomNo], dAir[building])</f>
        <v>Building 16</v>
      </c>
      <c r="X242" s="59" t="str">
        <f t="array" ref="X242">_xlfn.XLOOKUP(records_2[ID], dAir[roomNo], dAir[floor])</f>
        <v>Floor 3</v>
      </c>
      <c r="Y242" s="57" t="str">
        <f t="array" ref="Y242">_xlfn.XLOOKUP(records_2[ID], dAir[roomNo], dAir[Class])</f>
        <v>D</v>
      </c>
      <c r="Z242" s="57">
        <f t="array" ref="Z242">_xlfn.XLOOKUP(records_2[Method]&amp;"-"&amp;records_2[Class], dAirSpec[ID], dAirSpec[Spec])</f>
        <v>100</v>
      </c>
      <c r="AA242" s="57" t="str">
        <f t="array" ref="AA242">_xlfn.XLOOKUP(records_2[Method]&amp;"-"&amp;records_2[Class], dAirSpec[ID], dAirSpec[Unit])</f>
        <v>cfu/plate</v>
      </c>
      <c r="AB242" s="62">
        <f t="array" ref="AB242">if(R242="","", if(records_2[Method]="Active Air",_xlfn.xlookup(records_2[ColonyCount]&amp;records_2[AirSampler],feller[code],feller[Vc]),records_2[ColonyCount]))</f>
        <v>0</v>
      </c>
      <c r="AC242" s="63" t="b">
        <f t="shared" si="1"/>
        <v>1</v>
      </c>
      <c r="AD242" s="61" t="b">
        <v>0</v>
      </c>
      <c r="AE242" s="32" t="s">
        <v>280</v>
      </c>
      <c r="AF242" s="46"/>
      <c r="AG242" s="46"/>
      <c r="AH242" s="46"/>
      <c r="AI242" s="46"/>
      <c r="AJ242" s="46"/>
    </row>
    <row r="243" ht="22.5" customHeight="1">
      <c r="A243" s="27">
        <v>46063.0</v>
      </c>
      <c r="B243" s="34" t="str">
        <f t="array" ref="B243">TEXT(A243, "MM-YYYY")</f>
        <v>02-2026</v>
      </c>
      <c r="C243" s="39" t="s">
        <v>989</v>
      </c>
      <c r="D243" s="36" t="s">
        <v>210</v>
      </c>
      <c r="E243" s="36" t="s">
        <v>213</v>
      </c>
      <c r="F243" s="29" t="b">
        <v>1</v>
      </c>
      <c r="G243" s="49"/>
      <c r="H243" s="49"/>
      <c r="I243" s="39"/>
      <c r="J243" s="43"/>
      <c r="K243" s="37" t="s">
        <v>292</v>
      </c>
      <c r="L243" s="37" t="s">
        <v>1858</v>
      </c>
      <c r="M243" s="37" t="s">
        <v>2156</v>
      </c>
      <c r="N243" s="37" t="s">
        <v>320</v>
      </c>
      <c r="O243" s="37" t="s">
        <v>837</v>
      </c>
      <c r="P243" s="37" t="s">
        <v>1099</v>
      </c>
      <c r="Q243" s="41">
        <v>46025.0</v>
      </c>
      <c r="R243" s="42">
        <v>0.0</v>
      </c>
      <c r="S243" s="29"/>
      <c r="T243" s="37" t="s">
        <v>2083</v>
      </c>
      <c r="U243" s="57" t="str">
        <f>IF(records_2[Type]="Room",records_2[roomNo],records_2[roomNo]&amp;"-"&amp;SUBSTITUTE(RIGHT(records_2[roomNo]&amp;records_2[Type],2),"-",""))</f>
        <v>16-3-071</v>
      </c>
      <c r="V243" s="59" t="str">
        <f t="array" ref="V243">_xlfn.XLOOKUP(records_2[ID], dAir[roomNo], dAir[roomName])</f>
        <v>MFG 3</v>
      </c>
      <c r="W243" s="59" t="str">
        <f t="array" ref="W243">_xlfn.XLOOKUP(records_2[ID], dAir[roomNo], dAir[building])</f>
        <v>Building 16</v>
      </c>
      <c r="X243" s="59" t="str">
        <f t="array" ref="X243">_xlfn.XLOOKUP(records_2[ID], dAir[roomNo], dAir[floor])</f>
        <v>Floor 3</v>
      </c>
      <c r="Y243" s="57" t="str">
        <f t="array" ref="Y243">_xlfn.XLOOKUP(records_2[ID], dAir[roomNo], dAir[Class])</f>
        <v>D</v>
      </c>
      <c r="Z243" s="57">
        <f t="array" ref="Z243">_xlfn.XLOOKUP(records_2[Method]&amp;"-"&amp;records_2[Class], dAirSpec[ID], dAirSpec[Spec])</f>
        <v>100</v>
      </c>
      <c r="AA243" s="57" t="str">
        <f t="array" ref="AA243">_xlfn.XLOOKUP(records_2[Method]&amp;"-"&amp;records_2[Class], dAirSpec[ID], dAirSpec[Unit])</f>
        <v>cfu/plate</v>
      </c>
      <c r="AB243" s="62">
        <f t="array" ref="AB243">if(R243="","", if(records_2[Method]="Active Air",_xlfn.xlookup(records_2[ColonyCount]&amp;records_2[AirSampler],feller[code],feller[Vc]),records_2[ColonyCount]))</f>
        <v>0</v>
      </c>
      <c r="AC243" s="63" t="b">
        <f t="shared" si="1"/>
        <v>1</v>
      </c>
      <c r="AD243" s="61" t="b">
        <v>0</v>
      </c>
      <c r="AE243" s="32" t="s">
        <v>280</v>
      </c>
      <c r="AF243" s="46"/>
      <c r="AG243" s="46"/>
      <c r="AH243" s="46"/>
      <c r="AI243" s="46"/>
      <c r="AJ243" s="46"/>
    </row>
    <row r="244" ht="22.5" customHeight="1">
      <c r="A244" s="27">
        <v>46063.0</v>
      </c>
      <c r="B244" s="34" t="str">
        <f t="array" ref="B244">TEXT(A244, "MM-YYYY")</f>
        <v>02-2026</v>
      </c>
      <c r="C244" s="39" t="s">
        <v>1535</v>
      </c>
      <c r="D244" s="36" t="s">
        <v>210</v>
      </c>
      <c r="E244" s="36" t="s">
        <v>213</v>
      </c>
      <c r="F244" s="29" t="b">
        <v>1</v>
      </c>
      <c r="G244" s="49"/>
      <c r="H244" s="49"/>
      <c r="I244" s="39"/>
      <c r="J244" s="43"/>
      <c r="K244" s="37" t="s">
        <v>326</v>
      </c>
      <c r="L244" s="37" t="s">
        <v>2158</v>
      </c>
      <c r="M244" s="37" t="s">
        <v>2159</v>
      </c>
      <c r="N244" s="37" t="s">
        <v>399</v>
      </c>
      <c r="O244" s="37" t="s">
        <v>837</v>
      </c>
      <c r="P244" s="37" t="s">
        <v>1099</v>
      </c>
      <c r="Q244" s="41">
        <v>46025.0</v>
      </c>
      <c r="R244" s="42">
        <v>0.0</v>
      </c>
      <c r="S244" s="29"/>
      <c r="T244" s="37" t="s">
        <v>2083</v>
      </c>
      <c r="U244" s="57" t="str">
        <f>IF(records_2[Type]="Room",records_2[roomNo],records_2[roomNo]&amp;"-"&amp;SUBSTITUTE(RIGHT(records_2[roomNo]&amp;records_2[Type],2),"-",""))</f>
        <v>16-3-072</v>
      </c>
      <c r="V244" s="59" t="str">
        <f t="array" ref="V244">_xlfn.XLOOKUP(records_2[ID], dAir[roomNo], dAir[roomName])</f>
        <v>AIRLOCK</v>
      </c>
      <c r="W244" s="59" t="str">
        <f t="array" ref="W244">_xlfn.XLOOKUP(records_2[ID], dAir[roomNo], dAir[building])</f>
        <v>Building 16</v>
      </c>
      <c r="X244" s="59" t="str">
        <f t="array" ref="X244">_xlfn.XLOOKUP(records_2[ID], dAir[roomNo], dAir[floor])</f>
        <v>Floor 3</v>
      </c>
      <c r="Y244" s="57" t="str">
        <f t="array" ref="Y244">_xlfn.XLOOKUP(records_2[ID], dAir[roomNo], dAir[Class])</f>
        <v>D</v>
      </c>
      <c r="Z244" s="57">
        <f t="array" ref="Z244">_xlfn.XLOOKUP(records_2[Method]&amp;"-"&amp;records_2[Class], dAirSpec[ID], dAirSpec[Spec])</f>
        <v>100</v>
      </c>
      <c r="AA244" s="57" t="str">
        <f t="array" ref="AA244">_xlfn.XLOOKUP(records_2[Method]&amp;"-"&amp;records_2[Class], dAirSpec[ID], dAirSpec[Unit])</f>
        <v>cfu/plate</v>
      </c>
      <c r="AB244" s="62">
        <f t="array" ref="AB244">if(R244="","", if(records_2[Method]="Active Air",_xlfn.xlookup(records_2[ColonyCount]&amp;records_2[AirSampler],feller[code],feller[Vc]),records_2[ColonyCount]))</f>
        <v>0</v>
      </c>
      <c r="AC244" s="63" t="b">
        <f t="shared" si="1"/>
        <v>1</v>
      </c>
      <c r="AD244" s="61" t="b">
        <v>0</v>
      </c>
      <c r="AE244" s="32" t="s">
        <v>280</v>
      </c>
      <c r="AF244" s="46"/>
      <c r="AG244" s="46"/>
      <c r="AH244" s="46"/>
      <c r="AI244" s="46"/>
      <c r="AJ244" s="46"/>
    </row>
    <row r="245" ht="22.5" customHeight="1">
      <c r="A245" s="27">
        <v>46063.0</v>
      </c>
      <c r="B245" s="34" t="str">
        <f t="array" ref="B245">TEXT(A245, "MM-YYYY")</f>
        <v>02-2026</v>
      </c>
      <c r="C245" s="39" t="s">
        <v>990</v>
      </c>
      <c r="D245" s="36" t="s">
        <v>210</v>
      </c>
      <c r="E245" s="36" t="s">
        <v>213</v>
      </c>
      <c r="F245" s="29" t="b">
        <v>1</v>
      </c>
      <c r="G245" s="49"/>
      <c r="H245" s="49"/>
      <c r="I245" s="39"/>
      <c r="J245" s="43"/>
      <c r="K245" s="37" t="s">
        <v>292</v>
      </c>
      <c r="L245" s="37" t="s">
        <v>2158</v>
      </c>
      <c r="M245" s="37" t="s">
        <v>2159</v>
      </c>
      <c r="N245" s="37" t="s">
        <v>399</v>
      </c>
      <c r="O245" s="37" t="s">
        <v>837</v>
      </c>
      <c r="P245" s="37" t="s">
        <v>1099</v>
      </c>
      <c r="Q245" s="41">
        <v>46025.0</v>
      </c>
      <c r="R245" s="42">
        <v>0.0</v>
      </c>
      <c r="S245" s="29"/>
      <c r="T245" s="37" t="s">
        <v>2083</v>
      </c>
      <c r="U245" s="57" t="str">
        <f>IF(records_2[Type]="Room",records_2[roomNo],records_2[roomNo]&amp;"-"&amp;SUBSTITUTE(RIGHT(records_2[roomNo]&amp;records_2[Type],2),"-",""))</f>
        <v>16-3-073</v>
      </c>
      <c r="V245" s="59" t="str">
        <f t="array" ref="V245">_xlfn.XLOOKUP(records_2[ID], dAir[roomNo], dAir[roomName])</f>
        <v>MFG 4</v>
      </c>
      <c r="W245" s="59" t="str">
        <f t="array" ref="W245">_xlfn.XLOOKUP(records_2[ID], dAir[roomNo], dAir[building])</f>
        <v>Building 16</v>
      </c>
      <c r="X245" s="59" t="str">
        <f t="array" ref="X245">_xlfn.XLOOKUP(records_2[ID], dAir[roomNo], dAir[floor])</f>
        <v>Floor 3</v>
      </c>
      <c r="Y245" s="57" t="str">
        <f t="array" ref="Y245">_xlfn.XLOOKUP(records_2[ID], dAir[roomNo], dAir[Class])</f>
        <v>D</v>
      </c>
      <c r="Z245" s="57">
        <f t="array" ref="Z245">_xlfn.XLOOKUP(records_2[Method]&amp;"-"&amp;records_2[Class], dAirSpec[ID], dAirSpec[Spec])</f>
        <v>100</v>
      </c>
      <c r="AA245" s="57" t="str">
        <f t="array" ref="AA245">_xlfn.XLOOKUP(records_2[Method]&amp;"-"&amp;records_2[Class], dAirSpec[ID], dAirSpec[Unit])</f>
        <v>cfu/plate</v>
      </c>
      <c r="AB245" s="62">
        <f t="array" ref="AB245">if(R245="","", if(records_2[Method]="Active Air",_xlfn.xlookup(records_2[ColonyCount]&amp;records_2[AirSampler],feller[code],feller[Vc]),records_2[ColonyCount]))</f>
        <v>0</v>
      </c>
      <c r="AC245" s="63" t="b">
        <f t="shared" si="1"/>
        <v>1</v>
      </c>
      <c r="AD245" s="61" t="b">
        <v>0</v>
      </c>
      <c r="AE245" s="32" t="s">
        <v>280</v>
      </c>
      <c r="AF245" s="46"/>
      <c r="AG245" s="46"/>
      <c r="AH245" s="46"/>
      <c r="AI245" s="46"/>
      <c r="AJ245" s="46"/>
    </row>
    <row r="246" ht="22.5" customHeight="1">
      <c r="A246" s="27">
        <v>46063.0</v>
      </c>
      <c r="B246" s="34" t="str">
        <f t="array" ref="B246">TEXT(A246, "MM-YYYY")</f>
        <v>02-2026</v>
      </c>
      <c r="C246" s="39" t="s">
        <v>1536</v>
      </c>
      <c r="D246" s="36" t="s">
        <v>210</v>
      </c>
      <c r="E246" s="36" t="s">
        <v>213</v>
      </c>
      <c r="F246" s="29" t="b">
        <v>1</v>
      </c>
      <c r="G246" s="49"/>
      <c r="H246" s="49"/>
      <c r="I246" s="39"/>
      <c r="J246" s="43"/>
      <c r="K246" s="37" t="s">
        <v>314</v>
      </c>
      <c r="L246" s="37" t="s">
        <v>253</v>
      </c>
      <c r="M246" s="37" t="s">
        <v>2161</v>
      </c>
      <c r="N246" s="37" t="s">
        <v>1788</v>
      </c>
      <c r="O246" s="37" t="s">
        <v>837</v>
      </c>
      <c r="P246" s="37" t="s">
        <v>1099</v>
      </c>
      <c r="Q246" s="41">
        <v>46025.0</v>
      </c>
      <c r="R246" s="42">
        <v>0.0</v>
      </c>
      <c r="S246" s="29"/>
      <c r="T246" s="37" t="s">
        <v>2083</v>
      </c>
      <c r="U246" s="57" t="str">
        <f>IF(records_2[Type]="Room",records_2[roomNo],records_2[roomNo]&amp;"-"&amp;SUBSTITUTE(RIGHT(records_2[roomNo]&amp;records_2[Type],2),"-",""))</f>
        <v>16-3-074</v>
      </c>
      <c r="V246" s="59" t="str">
        <f t="array" ref="V246">_xlfn.XLOOKUP(records_2[ID], dAir[roomNo], dAir[roomName])</f>
        <v>AIRLOCK</v>
      </c>
      <c r="W246" s="59" t="str">
        <f t="array" ref="W246">_xlfn.XLOOKUP(records_2[ID], dAir[roomNo], dAir[building])</f>
        <v>Building 16</v>
      </c>
      <c r="X246" s="59" t="str">
        <f t="array" ref="X246">_xlfn.XLOOKUP(records_2[ID], dAir[roomNo], dAir[floor])</f>
        <v>Floor 3</v>
      </c>
      <c r="Y246" s="57" t="str">
        <f t="array" ref="Y246">_xlfn.XLOOKUP(records_2[ID], dAir[roomNo], dAir[Class])</f>
        <v>D</v>
      </c>
      <c r="Z246" s="57">
        <f t="array" ref="Z246">_xlfn.XLOOKUP(records_2[Method]&amp;"-"&amp;records_2[Class], dAirSpec[ID], dAirSpec[Spec])</f>
        <v>100</v>
      </c>
      <c r="AA246" s="57" t="str">
        <f t="array" ref="AA246">_xlfn.XLOOKUP(records_2[Method]&amp;"-"&amp;records_2[Class], dAirSpec[ID], dAirSpec[Unit])</f>
        <v>cfu/plate</v>
      </c>
      <c r="AB246" s="62">
        <f t="array" ref="AB246">if(R246="","", if(records_2[Method]="Active Air",_xlfn.xlookup(records_2[ColonyCount]&amp;records_2[AirSampler],feller[code],feller[Vc]),records_2[ColonyCount]))</f>
        <v>0</v>
      </c>
      <c r="AC246" s="63" t="b">
        <f t="shared" si="1"/>
        <v>1</v>
      </c>
      <c r="AD246" s="61" t="b">
        <v>0</v>
      </c>
      <c r="AE246" s="32" t="s">
        <v>280</v>
      </c>
      <c r="AF246" s="46"/>
      <c r="AG246" s="46"/>
      <c r="AH246" s="46"/>
      <c r="AI246" s="46"/>
      <c r="AJ246" s="46"/>
    </row>
    <row r="247" ht="22.5" customHeight="1">
      <c r="A247" s="27">
        <v>46063.0</v>
      </c>
      <c r="B247" s="34" t="str">
        <f t="array" ref="B247">TEXT(A247, "MM-YYYY")</f>
        <v>02-2026</v>
      </c>
      <c r="C247" s="39" t="s">
        <v>991</v>
      </c>
      <c r="D247" s="36" t="s">
        <v>210</v>
      </c>
      <c r="E247" s="36" t="s">
        <v>213</v>
      </c>
      <c r="F247" s="29" t="b">
        <v>1</v>
      </c>
      <c r="G247" s="49"/>
      <c r="H247" s="49"/>
      <c r="I247" s="39"/>
      <c r="J247" s="43"/>
      <c r="K247" s="37" t="s">
        <v>292</v>
      </c>
      <c r="L247" s="37" t="s">
        <v>952</v>
      </c>
      <c r="M247" s="37" t="s">
        <v>2000</v>
      </c>
      <c r="N247" s="37" t="s">
        <v>1788</v>
      </c>
      <c r="O247" s="37" t="s">
        <v>837</v>
      </c>
      <c r="P247" s="37" t="s">
        <v>1099</v>
      </c>
      <c r="Q247" s="41">
        <v>46025.0</v>
      </c>
      <c r="R247" s="42">
        <v>0.0</v>
      </c>
      <c r="S247" s="29"/>
      <c r="T247" s="37" t="s">
        <v>2083</v>
      </c>
      <c r="U247" s="57" t="str">
        <f>IF(records_2[Type]="Room",records_2[roomNo],records_2[roomNo]&amp;"-"&amp;SUBSTITUTE(RIGHT(records_2[roomNo]&amp;records_2[Type],2),"-",""))</f>
        <v>16-3-075</v>
      </c>
      <c r="V247" s="59" t="str">
        <f t="array" ref="V247">_xlfn.XLOOKUP(records_2[ID], dAir[roomNo], dAir[roomName])</f>
        <v>MFG 5</v>
      </c>
      <c r="W247" s="59" t="str">
        <f t="array" ref="W247">_xlfn.XLOOKUP(records_2[ID], dAir[roomNo], dAir[building])</f>
        <v>Building 16</v>
      </c>
      <c r="X247" s="59" t="str">
        <f t="array" ref="X247">_xlfn.XLOOKUP(records_2[ID], dAir[roomNo], dAir[floor])</f>
        <v>Floor 3</v>
      </c>
      <c r="Y247" s="57" t="str">
        <f t="array" ref="Y247">_xlfn.XLOOKUP(records_2[ID], dAir[roomNo], dAir[Class])</f>
        <v>D</v>
      </c>
      <c r="Z247" s="57">
        <f t="array" ref="Z247">_xlfn.XLOOKUP(records_2[Method]&amp;"-"&amp;records_2[Class], dAirSpec[ID], dAirSpec[Spec])</f>
        <v>100</v>
      </c>
      <c r="AA247" s="57" t="str">
        <f t="array" ref="AA247">_xlfn.XLOOKUP(records_2[Method]&amp;"-"&amp;records_2[Class], dAirSpec[ID], dAirSpec[Unit])</f>
        <v>cfu/plate</v>
      </c>
      <c r="AB247" s="62">
        <f t="array" ref="AB247">if(R247="","", if(records_2[Method]="Active Air",_xlfn.xlookup(records_2[ColonyCount]&amp;records_2[AirSampler],feller[code],feller[Vc]),records_2[ColonyCount]))</f>
        <v>0</v>
      </c>
      <c r="AC247" s="63" t="b">
        <f t="shared" si="1"/>
        <v>1</v>
      </c>
      <c r="AD247" s="61" t="b">
        <v>0</v>
      </c>
      <c r="AE247" s="32" t="s">
        <v>280</v>
      </c>
      <c r="AF247" s="46"/>
      <c r="AG247" s="46"/>
      <c r="AH247" s="46"/>
      <c r="AI247" s="46"/>
      <c r="AJ247" s="46"/>
    </row>
    <row r="248" ht="22.5" customHeight="1">
      <c r="A248" s="27">
        <v>46063.0</v>
      </c>
      <c r="B248" s="34" t="str">
        <f t="array" ref="B248">TEXT(A248, "MM-YYYY")</f>
        <v>02-2026</v>
      </c>
      <c r="C248" s="39" t="s">
        <v>1537</v>
      </c>
      <c r="D248" s="36" t="s">
        <v>210</v>
      </c>
      <c r="E248" s="36" t="s">
        <v>213</v>
      </c>
      <c r="F248" s="29" t="b">
        <v>1</v>
      </c>
      <c r="G248" s="49"/>
      <c r="H248" s="49"/>
      <c r="I248" s="39"/>
      <c r="J248" s="43"/>
      <c r="K248" s="37" t="s">
        <v>314</v>
      </c>
      <c r="L248" s="37" t="s">
        <v>253</v>
      </c>
      <c r="M248" s="37" t="s">
        <v>2093</v>
      </c>
      <c r="N248" s="37" t="s">
        <v>811</v>
      </c>
      <c r="O248" s="37" t="s">
        <v>837</v>
      </c>
      <c r="P248" s="37" t="s">
        <v>1099</v>
      </c>
      <c r="Q248" s="41">
        <v>46025.0</v>
      </c>
      <c r="R248" s="42">
        <v>0.0</v>
      </c>
      <c r="S248" s="29"/>
      <c r="T248" s="37" t="s">
        <v>2083</v>
      </c>
      <c r="U248" s="57" t="str">
        <f>IF(records_2[Type]="Room",records_2[roomNo],records_2[roomNo]&amp;"-"&amp;SUBSTITUTE(RIGHT(records_2[roomNo]&amp;records_2[Type],2),"-",""))</f>
        <v>16-3-076</v>
      </c>
      <c r="V248" s="59" t="str">
        <f t="array" ref="V248">_xlfn.XLOOKUP(records_2[ID], dAir[roomNo], dAir[roomName])</f>
        <v>AIRLOCK</v>
      </c>
      <c r="W248" s="59" t="str">
        <f t="array" ref="W248">_xlfn.XLOOKUP(records_2[ID], dAir[roomNo], dAir[building])</f>
        <v>Building 16</v>
      </c>
      <c r="X248" s="59" t="str">
        <f t="array" ref="X248">_xlfn.XLOOKUP(records_2[ID], dAir[roomNo], dAir[floor])</f>
        <v>Floor 3</v>
      </c>
      <c r="Y248" s="57" t="str">
        <f t="array" ref="Y248">_xlfn.XLOOKUP(records_2[ID], dAir[roomNo], dAir[Class])</f>
        <v>D</v>
      </c>
      <c r="Z248" s="57">
        <f t="array" ref="Z248">_xlfn.XLOOKUP(records_2[Method]&amp;"-"&amp;records_2[Class], dAirSpec[ID], dAirSpec[Spec])</f>
        <v>100</v>
      </c>
      <c r="AA248" s="57" t="str">
        <f t="array" ref="AA248">_xlfn.XLOOKUP(records_2[Method]&amp;"-"&amp;records_2[Class], dAirSpec[ID], dAirSpec[Unit])</f>
        <v>cfu/plate</v>
      </c>
      <c r="AB248" s="62">
        <f t="array" ref="AB248">if(R248="","", if(records_2[Method]="Active Air",_xlfn.xlookup(records_2[ColonyCount]&amp;records_2[AirSampler],feller[code],feller[Vc]),records_2[ColonyCount]))</f>
        <v>0</v>
      </c>
      <c r="AC248" s="63" t="b">
        <f t="shared" si="1"/>
        <v>1</v>
      </c>
      <c r="AD248" s="61" t="b">
        <v>0</v>
      </c>
      <c r="AE248" s="32" t="s">
        <v>280</v>
      </c>
      <c r="AF248" s="46"/>
      <c r="AG248" s="46"/>
      <c r="AH248" s="46"/>
      <c r="AI248" s="46"/>
      <c r="AJ248" s="46"/>
    </row>
    <row r="249" ht="22.5" customHeight="1">
      <c r="A249" s="27">
        <v>46063.0</v>
      </c>
      <c r="B249" s="34" t="str">
        <f t="array" ref="B249">TEXT(A249, "MM-YYYY")</f>
        <v>02-2026</v>
      </c>
      <c r="C249" s="39" t="s">
        <v>1538</v>
      </c>
      <c r="D249" s="36" t="s">
        <v>210</v>
      </c>
      <c r="E249" s="36" t="s">
        <v>213</v>
      </c>
      <c r="F249" s="29" t="b">
        <v>1</v>
      </c>
      <c r="G249" s="49"/>
      <c r="H249" s="49"/>
      <c r="I249" s="39"/>
      <c r="J249" s="43"/>
      <c r="K249" s="37" t="s">
        <v>292</v>
      </c>
      <c r="L249" s="37" t="s">
        <v>253</v>
      </c>
      <c r="M249" s="37" t="s">
        <v>1812</v>
      </c>
      <c r="N249" s="37" t="s">
        <v>336</v>
      </c>
      <c r="O249" s="37" t="s">
        <v>837</v>
      </c>
      <c r="P249" s="37" t="s">
        <v>1099</v>
      </c>
      <c r="Q249" s="41">
        <v>46025.0</v>
      </c>
      <c r="R249" s="42">
        <v>0.0</v>
      </c>
      <c r="S249" s="29"/>
      <c r="T249" s="37" t="s">
        <v>2083</v>
      </c>
      <c r="U249" s="57" t="str">
        <f>IF(records_2[Type]="Room",records_2[roomNo],records_2[roomNo]&amp;"-"&amp;SUBSTITUTE(RIGHT(records_2[roomNo]&amp;records_2[Type],2),"-",""))</f>
        <v>16-3-077</v>
      </c>
      <c r="V249" s="59" t="str">
        <f t="array" ref="V249">_xlfn.XLOOKUP(records_2[ID], dAir[roomNo], dAir[roomName])</f>
        <v>MFG 6</v>
      </c>
      <c r="W249" s="59" t="str">
        <f t="array" ref="W249">_xlfn.XLOOKUP(records_2[ID], dAir[roomNo], dAir[building])</f>
        <v>Building 16</v>
      </c>
      <c r="X249" s="59" t="str">
        <f t="array" ref="X249">_xlfn.XLOOKUP(records_2[ID], dAir[roomNo], dAir[floor])</f>
        <v>Floor 3</v>
      </c>
      <c r="Y249" s="57" t="str">
        <f t="array" ref="Y249">_xlfn.XLOOKUP(records_2[ID], dAir[roomNo], dAir[Class])</f>
        <v>D</v>
      </c>
      <c r="Z249" s="57">
        <f t="array" ref="Z249">_xlfn.XLOOKUP(records_2[Method]&amp;"-"&amp;records_2[Class], dAirSpec[ID], dAirSpec[Spec])</f>
        <v>100</v>
      </c>
      <c r="AA249" s="57" t="str">
        <f t="array" ref="AA249">_xlfn.XLOOKUP(records_2[Method]&amp;"-"&amp;records_2[Class], dAirSpec[ID], dAirSpec[Unit])</f>
        <v>cfu/plate</v>
      </c>
      <c r="AB249" s="62">
        <f t="array" ref="AB249">if(R249="","", if(records_2[Method]="Active Air",_xlfn.xlookup(records_2[ColonyCount]&amp;records_2[AirSampler],feller[code],feller[Vc]),records_2[ColonyCount]))</f>
        <v>0</v>
      </c>
      <c r="AC249" s="63" t="b">
        <f t="shared" si="1"/>
        <v>1</v>
      </c>
      <c r="AD249" s="61" t="b">
        <v>0</v>
      </c>
      <c r="AE249" s="32" t="s">
        <v>280</v>
      </c>
      <c r="AF249" s="46"/>
      <c r="AG249" s="46"/>
      <c r="AH249" s="46"/>
      <c r="AI249" s="46"/>
      <c r="AJ249" s="46"/>
    </row>
    <row r="250" ht="22.5" customHeight="1">
      <c r="A250" s="27">
        <v>46063.0</v>
      </c>
      <c r="B250" s="34" t="str">
        <f t="array" ref="B250">TEXT(A250, "MM-YYYY")</f>
        <v>02-2026</v>
      </c>
      <c r="C250" s="39" t="s">
        <v>1540</v>
      </c>
      <c r="D250" s="36" t="s">
        <v>210</v>
      </c>
      <c r="E250" s="36" t="s">
        <v>213</v>
      </c>
      <c r="F250" s="29" t="b">
        <v>1</v>
      </c>
      <c r="G250" s="49"/>
      <c r="H250" s="49"/>
      <c r="I250" s="39"/>
      <c r="J250" s="43"/>
      <c r="K250" s="37" t="s">
        <v>381</v>
      </c>
      <c r="L250" s="37" t="s">
        <v>1859</v>
      </c>
      <c r="M250" s="37" t="s">
        <v>1812</v>
      </c>
      <c r="N250" s="37" t="s">
        <v>336</v>
      </c>
      <c r="O250" s="37" t="s">
        <v>837</v>
      </c>
      <c r="P250" s="37" t="s">
        <v>1099</v>
      </c>
      <c r="Q250" s="41">
        <v>46025.0</v>
      </c>
      <c r="R250" s="42">
        <v>0.0</v>
      </c>
      <c r="S250" s="29"/>
      <c r="T250" s="37" t="s">
        <v>2083</v>
      </c>
      <c r="U250" s="57" t="str">
        <f>IF(records_2[Type]="Room",records_2[roomNo],records_2[roomNo]&amp;"-"&amp;SUBSTITUTE(RIGHT(records_2[roomNo]&amp;records_2[Type],2),"-",""))</f>
        <v>16-3-078</v>
      </c>
      <c r="V250" s="59" t="str">
        <f t="array" ref="V250">_xlfn.XLOOKUP(records_2[ID], dAir[roomNo], dAir[roomName])</f>
        <v>CORRIDOR</v>
      </c>
      <c r="W250" s="59" t="str">
        <f t="array" ref="W250">_xlfn.XLOOKUP(records_2[ID], dAir[roomNo], dAir[building])</f>
        <v>Building 16</v>
      </c>
      <c r="X250" s="59" t="str">
        <f t="array" ref="X250">_xlfn.XLOOKUP(records_2[ID], dAir[roomNo], dAir[floor])</f>
        <v>Floor 3</v>
      </c>
      <c r="Y250" s="57" t="str">
        <f t="array" ref="Y250">_xlfn.XLOOKUP(records_2[ID], dAir[roomNo], dAir[Class])</f>
        <v>D</v>
      </c>
      <c r="Z250" s="57">
        <f t="array" ref="Z250">_xlfn.XLOOKUP(records_2[Method]&amp;"-"&amp;records_2[Class], dAirSpec[ID], dAirSpec[Spec])</f>
        <v>100</v>
      </c>
      <c r="AA250" s="57" t="str">
        <f t="array" ref="AA250">_xlfn.XLOOKUP(records_2[Method]&amp;"-"&amp;records_2[Class], dAirSpec[ID], dAirSpec[Unit])</f>
        <v>cfu/plate</v>
      </c>
      <c r="AB250" s="62">
        <f t="array" ref="AB250">if(R250="","", if(records_2[Method]="Active Air",_xlfn.xlookup(records_2[ColonyCount]&amp;records_2[AirSampler],feller[code],feller[Vc]),records_2[ColonyCount]))</f>
        <v>0</v>
      </c>
      <c r="AC250" s="63" t="b">
        <f t="shared" si="1"/>
        <v>1</v>
      </c>
      <c r="AD250" s="61" t="b">
        <v>0</v>
      </c>
      <c r="AE250" s="32" t="s">
        <v>280</v>
      </c>
      <c r="AF250" s="46"/>
      <c r="AG250" s="46"/>
      <c r="AH250" s="46"/>
      <c r="AI250" s="46"/>
      <c r="AJ250" s="46"/>
    </row>
    <row r="251" ht="22.5" customHeight="1">
      <c r="A251" s="27">
        <v>46063.0</v>
      </c>
      <c r="B251" s="34" t="str">
        <f t="array" ref="B251">TEXT(A251, "MM-YYYY")</f>
        <v>02-2026</v>
      </c>
      <c r="C251" s="39" t="s">
        <v>1541</v>
      </c>
      <c r="D251" s="36" t="s">
        <v>210</v>
      </c>
      <c r="E251" s="36" t="s">
        <v>213</v>
      </c>
      <c r="F251" s="29" t="b">
        <v>1</v>
      </c>
      <c r="G251" s="49"/>
      <c r="H251" s="49"/>
      <c r="I251" s="39"/>
      <c r="J251" s="43"/>
      <c r="K251" s="37" t="s">
        <v>339</v>
      </c>
      <c r="L251" s="37" t="s">
        <v>403</v>
      </c>
      <c r="M251" s="37" t="s">
        <v>2185</v>
      </c>
      <c r="N251" s="37" t="s">
        <v>336</v>
      </c>
      <c r="O251" s="37" t="s">
        <v>837</v>
      </c>
      <c r="P251" s="37" t="s">
        <v>1099</v>
      </c>
      <c r="Q251" s="41">
        <v>46025.0</v>
      </c>
      <c r="R251" s="42">
        <v>0.0</v>
      </c>
      <c r="S251" s="29"/>
      <c r="T251" s="37" t="s">
        <v>2083</v>
      </c>
      <c r="U251" s="57" t="str">
        <f>IF(records_2[Type]="Room",records_2[roomNo],records_2[roomNo]&amp;"-"&amp;SUBSTITUTE(RIGHT(records_2[roomNo]&amp;records_2[Type],2),"-",""))</f>
        <v>16-3-079</v>
      </c>
      <c r="V251" s="59" t="str">
        <f t="array" ref="V251">_xlfn.XLOOKUP(records_2[ID], dAir[roomNo], dAir[roomName])</f>
        <v>CORRIDOR</v>
      </c>
      <c r="W251" s="59" t="str">
        <f t="array" ref="W251">_xlfn.XLOOKUP(records_2[ID], dAir[roomNo], dAir[building])</f>
        <v>Building 16</v>
      </c>
      <c r="X251" s="59" t="str">
        <f t="array" ref="X251">_xlfn.XLOOKUP(records_2[ID], dAir[roomNo], dAir[floor])</f>
        <v>Floor 3</v>
      </c>
      <c r="Y251" s="57" t="str">
        <f t="array" ref="Y251">_xlfn.XLOOKUP(records_2[ID], dAir[roomNo], dAir[Class])</f>
        <v>D</v>
      </c>
      <c r="Z251" s="57">
        <f t="array" ref="Z251">_xlfn.XLOOKUP(records_2[Method]&amp;"-"&amp;records_2[Class], dAirSpec[ID], dAirSpec[Spec])</f>
        <v>100</v>
      </c>
      <c r="AA251" s="57" t="str">
        <f t="array" ref="AA251">_xlfn.XLOOKUP(records_2[Method]&amp;"-"&amp;records_2[Class], dAirSpec[ID], dAirSpec[Unit])</f>
        <v>cfu/plate</v>
      </c>
      <c r="AB251" s="62">
        <f t="array" ref="AB251">if(R251="","", if(records_2[Method]="Active Air",_xlfn.xlookup(records_2[ColonyCount]&amp;records_2[AirSampler],feller[code],feller[Vc]),records_2[ColonyCount]))</f>
        <v>0</v>
      </c>
      <c r="AC251" s="63" t="b">
        <f t="shared" si="1"/>
        <v>1</v>
      </c>
      <c r="AD251" s="61" t="b">
        <v>0</v>
      </c>
      <c r="AE251" s="32" t="s">
        <v>280</v>
      </c>
      <c r="AF251" s="46"/>
      <c r="AG251" s="46"/>
      <c r="AH251" s="46"/>
      <c r="AI251" s="46"/>
      <c r="AJ251" s="46"/>
    </row>
    <row r="252" ht="22.5" customHeight="1">
      <c r="A252" s="27">
        <v>46063.0</v>
      </c>
      <c r="B252" s="34" t="str">
        <f t="array" ref="B252">TEXT(A252, "MM-YYYY")</f>
        <v>02-2026</v>
      </c>
      <c r="C252" s="39" t="s">
        <v>994</v>
      </c>
      <c r="D252" s="36" t="s">
        <v>210</v>
      </c>
      <c r="E252" s="36" t="s">
        <v>213</v>
      </c>
      <c r="F252" s="29" t="b">
        <v>1</v>
      </c>
      <c r="G252" s="49"/>
      <c r="H252" s="49"/>
      <c r="I252" s="39"/>
      <c r="J252" s="43"/>
      <c r="K252" s="37" t="s">
        <v>366</v>
      </c>
      <c r="L252" s="37" t="s">
        <v>563</v>
      </c>
      <c r="M252" s="37" t="s">
        <v>829</v>
      </c>
      <c r="N252" s="37" t="s">
        <v>1984</v>
      </c>
      <c r="O252" s="37" t="s">
        <v>837</v>
      </c>
      <c r="P252" s="37" t="s">
        <v>1099</v>
      </c>
      <c r="Q252" s="41">
        <v>46025.0</v>
      </c>
      <c r="R252" s="42">
        <v>0.0</v>
      </c>
      <c r="S252" s="29"/>
      <c r="T252" s="37" t="s">
        <v>2083</v>
      </c>
      <c r="U252" s="57" t="str">
        <f>IF(records_2[Type]="Room",records_2[roomNo],records_2[roomNo]&amp;"-"&amp;SUBSTITUTE(RIGHT(records_2[roomNo]&amp;records_2[Type],2),"-",""))</f>
        <v>16-3-080</v>
      </c>
      <c r="V252" s="59" t="str">
        <f t="array" ref="V252">_xlfn.XLOOKUP(records_2[ID], dAir[roomNo], dAir[roomName])</f>
        <v>STAGING 6</v>
      </c>
      <c r="W252" s="59" t="str">
        <f t="array" ref="W252">_xlfn.XLOOKUP(records_2[ID], dAir[roomNo], dAir[building])</f>
        <v>Building 16</v>
      </c>
      <c r="X252" s="59" t="str">
        <f t="array" ref="X252">_xlfn.XLOOKUP(records_2[ID], dAir[roomNo], dAir[floor])</f>
        <v>Floor 3</v>
      </c>
      <c r="Y252" s="57" t="str">
        <f t="array" ref="Y252">_xlfn.XLOOKUP(records_2[ID], dAir[roomNo], dAir[Class])</f>
        <v>D</v>
      </c>
      <c r="Z252" s="57">
        <f t="array" ref="Z252">_xlfn.XLOOKUP(records_2[Method]&amp;"-"&amp;records_2[Class], dAirSpec[ID], dAirSpec[Spec])</f>
        <v>100</v>
      </c>
      <c r="AA252" s="57" t="str">
        <f t="array" ref="AA252">_xlfn.XLOOKUP(records_2[Method]&amp;"-"&amp;records_2[Class], dAirSpec[ID], dAirSpec[Unit])</f>
        <v>cfu/plate</v>
      </c>
      <c r="AB252" s="62">
        <f t="array" ref="AB252">if(R252="","", if(records_2[Method]="Active Air",_xlfn.xlookup(records_2[ColonyCount]&amp;records_2[AirSampler],feller[code],feller[Vc]),records_2[ColonyCount]))</f>
        <v>0</v>
      </c>
      <c r="AC252" s="63" t="b">
        <f t="shared" si="1"/>
        <v>1</v>
      </c>
      <c r="AD252" s="61" t="b">
        <v>0</v>
      </c>
      <c r="AE252" s="32" t="s">
        <v>280</v>
      </c>
      <c r="AF252" s="46"/>
      <c r="AG252" s="46"/>
      <c r="AH252" s="46"/>
      <c r="AI252" s="46"/>
      <c r="AJ252" s="46"/>
    </row>
    <row r="253" ht="22.5" customHeight="1">
      <c r="A253" s="27">
        <v>46063.0</v>
      </c>
      <c r="B253" s="34" t="str">
        <f t="array" ref="B253">TEXT(A253, "MM-YYYY")</f>
        <v>02-2026</v>
      </c>
      <c r="C253" s="39" t="s">
        <v>1542</v>
      </c>
      <c r="D253" s="36" t="s">
        <v>210</v>
      </c>
      <c r="E253" s="36" t="s">
        <v>213</v>
      </c>
      <c r="F253" s="29" t="b">
        <v>1</v>
      </c>
      <c r="G253" s="49"/>
      <c r="H253" s="49"/>
      <c r="I253" s="39"/>
      <c r="J253" s="43"/>
      <c r="K253" s="37" t="s">
        <v>435</v>
      </c>
      <c r="L253" s="37" t="s">
        <v>2101</v>
      </c>
      <c r="M253" s="37" t="s">
        <v>2195</v>
      </c>
      <c r="N253" s="37" t="s">
        <v>1984</v>
      </c>
      <c r="O253" s="37" t="s">
        <v>837</v>
      </c>
      <c r="P253" s="37" t="s">
        <v>1099</v>
      </c>
      <c r="Q253" s="41">
        <v>46025.0</v>
      </c>
      <c r="R253" s="42">
        <v>0.0</v>
      </c>
      <c r="S253" s="29"/>
      <c r="T253" s="37" t="s">
        <v>2083</v>
      </c>
      <c r="U253" s="57" t="str">
        <f>IF(records_2[Type]="Room",records_2[roomNo],records_2[roomNo]&amp;"-"&amp;SUBSTITUTE(RIGHT(records_2[roomNo]&amp;records_2[Type],2),"-",""))</f>
        <v>16-3-081</v>
      </c>
      <c r="V253" s="59" t="str">
        <f t="array" ref="V253">_xlfn.XLOOKUP(records_2[ID], dAir[roomNo], dAir[roomName])</f>
        <v>OFFICE</v>
      </c>
      <c r="W253" s="59" t="str">
        <f t="array" ref="W253">_xlfn.XLOOKUP(records_2[ID], dAir[roomNo], dAir[building])</f>
        <v>Building 16</v>
      </c>
      <c r="X253" s="59" t="str">
        <f t="array" ref="X253">_xlfn.XLOOKUP(records_2[ID], dAir[roomNo], dAir[floor])</f>
        <v>Floor 3</v>
      </c>
      <c r="Y253" s="57" t="str">
        <f t="array" ref="Y253">_xlfn.XLOOKUP(records_2[ID], dAir[roomNo], dAir[Class])</f>
        <v>D</v>
      </c>
      <c r="Z253" s="57">
        <f t="array" ref="Z253">_xlfn.XLOOKUP(records_2[Method]&amp;"-"&amp;records_2[Class], dAirSpec[ID], dAirSpec[Spec])</f>
        <v>100</v>
      </c>
      <c r="AA253" s="57" t="str">
        <f t="array" ref="AA253">_xlfn.XLOOKUP(records_2[Method]&amp;"-"&amp;records_2[Class], dAirSpec[ID], dAirSpec[Unit])</f>
        <v>cfu/plate</v>
      </c>
      <c r="AB253" s="62">
        <f t="array" ref="AB253">if(R253="","", if(records_2[Method]="Active Air",_xlfn.xlookup(records_2[ColonyCount]&amp;records_2[AirSampler],feller[code],feller[Vc]),records_2[ColonyCount]))</f>
        <v>0</v>
      </c>
      <c r="AC253" s="63" t="b">
        <f t="shared" si="1"/>
        <v>1</v>
      </c>
      <c r="AD253" s="61" t="b">
        <v>0</v>
      </c>
      <c r="AE253" s="32" t="s">
        <v>280</v>
      </c>
      <c r="AF253" s="46"/>
      <c r="AG253" s="46"/>
      <c r="AH253" s="46"/>
      <c r="AI253" s="46"/>
      <c r="AJ253" s="46"/>
    </row>
    <row r="254" ht="22.5" customHeight="1">
      <c r="A254" s="27">
        <v>46063.0</v>
      </c>
      <c r="B254" s="34" t="str">
        <f t="array" ref="B254">TEXT(A254, "MM-YYYY")</f>
        <v>02-2026</v>
      </c>
      <c r="C254" s="39" t="s">
        <v>1543</v>
      </c>
      <c r="D254" s="36" t="s">
        <v>210</v>
      </c>
      <c r="E254" s="36" t="s">
        <v>213</v>
      </c>
      <c r="F254" s="29" t="b">
        <v>1</v>
      </c>
      <c r="G254" s="49"/>
      <c r="H254" s="49"/>
      <c r="I254" s="39"/>
      <c r="J254" s="43"/>
      <c r="K254" s="37" t="s">
        <v>353</v>
      </c>
      <c r="L254" s="37" t="s">
        <v>284</v>
      </c>
      <c r="M254" s="37" t="s">
        <v>2185</v>
      </c>
      <c r="N254" s="37" t="s">
        <v>336</v>
      </c>
      <c r="O254" s="37" t="s">
        <v>837</v>
      </c>
      <c r="P254" s="37" t="s">
        <v>1099</v>
      </c>
      <c r="Q254" s="41">
        <v>46025.0</v>
      </c>
      <c r="R254" s="42">
        <v>0.0</v>
      </c>
      <c r="S254" s="29"/>
      <c r="T254" s="37" t="s">
        <v>2083</v>
      </c>
      <c r="U254" s="57" t="str">
        <f>IF(records_2[Type]="Room",records_2[roomNo],records_2[roomNo]&amp;"-"&amp;SUBSTITUTE(RIGHT(records_2[roomNo]&amp;records_2[Type],2),"-",""))</f>
        <v>16-3-082</v>
      </c>
      <c r="V254" s="59" t="str">
        <f t="array" ref="V254">_xlfn.XLOOKUP(records_2[ID], dAir[roomNo], dAir[roomName])</f>
        <v>AIRLOCK</v>
      </c>
      <c r="W254" s="59" t="str">
        <f t="array" ref="W254">_xlfn.XLOOKUP(records_2[ID], dAir[roomNo], dAir[building])</f>
        <v>Building 16</v>
      </c>
      <c r="X254" s="59" t="str">
        <f t="array" ref="X254">_xlfn.XLOOKUP(records_2[ID], dAir[roomNo], dAir[floor])</f>
        <v>Floor 3</v>
      </c>
      <c r="Y254" s="57" t="str">
        <f t="array" ref="Y254">_xlfn.XLOOKUP(records_2[ID], dAir[roomNo], dAir[Class])</f>
        <v>D</v>
      </c>
      <c r="Z254" s="57">
        <f t="array" ref="Z254">_xlfn.XLOOKUP(records_2[Method]&amp;"-"&amp;records_2[Class], dAirSpec[ID], dAirSpec[Spec])</f>
        <v>100</v>
      </c>
      <c r="AA254" s="57" t="str">
        <f t="array" ref="AA254">_xlfn.XLOOKUP(records_2[Method]&amp;"-"&amp;records_2[Class], dAirSpec[ID], dAirSpec[Unit])</f>
        <v>cfu/plate</v>
      </c>
      <c r="AB254" s="62">
        <f t="array" ref="AB254">if(R254="","", if(records_2[Method]="Active Air",_xlfn.xlookup(records_2[ColonyCount]&amp;records_2[AirSampler],feller[code],feller[Vc]),records_2[ColonyCount]))</f>
        <v>0</v>
      </c>
      <c r="AC254" s="63" t="b">
        <f t="shared" si="1"/>
        <v>1</v>
      </c>
      <c r="AD254" s="61" t="b">
        <v>0</v>
      </c>
      <c r="AE254" s="32" t="s">
        <v>280</v>
      </c>
      <c r="AF254" s="46"/>
      <c r="AG254" s="46"/>
      <c r="AH254" s="46"/>
      <c r="AI254" s="46"/>
      <c r="AJ254" s="46"/>
    </row>
    <row r="255" ht="22.5" customHeight="1">
      <c r="A255" s="27">
        <v>46063.0</v>
      </c>
      <c r="B255" s="34" t="str">
        <f t="array" ref="B255">TEXT(A255, "MM-YYYY")</f>
        <v>02-2026</v>
      </c>
      <c r="C255" s="39" t="s">
        <v>996</v>
      </c>
      <c r="D255" s="36" t="s">
        <v>210</v>
      </c>
      <c r="E255" s="36" t="s">
        <v>213</v>
      </c>
      <c r="F255" s="29" t="b">
        <v>1</v>
      </c>
      <c r="G255" s="49"/>
      <c r="H255" s="49"/>
      <c r="I255" s="39"/>
      <c r="J255" s="43"/>
      <c r="K255" s="37" t="s">
        <v>366</v>
      </c>
      <c r="L255" s="37" t="s">
        <v>485</v>
      </c>
      <c r="M255" s="37" t="s">
        <v>378</v>
      </c>
      <c r="N255" s="37" t="s">
        <v>650</v>
      </c>
      <c r="O255" s="37" t="s">
        <v>837</v>
      </c>
      <c r="P255" s="37" t="s">
        <v>1099</v>
      </c>
      <c r="Q255" s="41">
        <v>46025.0</v>
      </c>
      <c r="R255" s="42">
        <v>0.0</v>
      </c>
      <c r="S255" s="29"/>
      <c r="T255" s="37" t="s">
        <v>2083</v>
      </c>
      <c r="U255" s="57" t="str">
        <f>IF(records_2[Type]="Room",records_2[roomNo],records_2[roomNo]&amp;"-"&amp;SUBSTITUTE(RIGHT(records_2[roomNo]&amp;records_2[Type],2),"-",""))</f>
        <v>16-3-083</v>
      </c>
      <c r="V255" s="59" t="str">
        <f t="array" ref="V255">_xlfn.XLOOKUP(records_2[ID], dAir[roomNo], dAir[roomName])</f>
        <v>STAGING 5</v>
      </c>
      <c r="W255" s="59" t="str">
        <f t="array" ref="W255">_xlfn.XLOOKUP(records_2[ID], dAir[roomNo], dAir[building])</f>
        <v>Building 16</v>
      </c>
      <c r="X255" s="59" t="str">
        <f t="array" ref="X255">_xlfn.XLOOKUP(records_2[ID], dAir[roomNo], dAir[floor])</f>
        <v>Floor 3</v>
      </c>
      <c r="Y255" s="57" t="str">
        <f t="array" ref="Y255">_xlfn.XLOOKUP(records_2[ID], dAir[roomNo], dAir[Class])</f>
        <v>D</v>
      </c>
      <c r="Z255" s="57">
        <f t="array" ref="Z255">_xlfn.XLOOKUP(records_2[Method]&amp;"-"&amp;records_2[Class], dAirSpec[ID], dAirSpec[Spec])</f>
        <v>100</v>
      </c>
      <c r="AA255" s="57" t="str">
        <f t="array" ref="AA255">_xlfn.XLOOKUP(records_2[Method]&amp;"-"&amp;records_2[Class], dAirSpec[ID], dAirSpec[Unit])</f>
        <v>cfu/plate</v>
      </c>
      <c r="AB255" s="62">
        <f t="array" ref="AB255">if(R255="","", if(records_2[Method]="Active Air",_xlfn.xlookup(records_2[ColonyCount]&amp;records_2[AirSampler],feller[code],feller[Vc]),records_2[ColonyCount]))</f>
        <v>0</v>
      </c>
      <c r="AC255" s="63" t="b">
        <f t="shared" si="1"/>
        <v>1</v>
      </c>
      <c r="AD255" s="61" t="b">
        <v>0</v>
      </c>
      <c r="AE255" s="32" t="s">
        <v>280</v>
      </c>
      <c r="AF255" s="46"/>
      <c r="AG255" s="46"/>
      <c r="AH255" s="46"/>
      <c r="AI255" s="46"/>
      <c r="AJ255" s="46"/>
    </row>
    <row r="256" ht="22.5" customHeight="1">
      <c r="A256" s="27">
        <v>46063.0</v>
      </c>
      <c r="B256" s="34" t="str">
        <f t="array" ref="B256">TEXT(A256, "MM-YYYY")</f>
        <v>02-2026</v>
      </c>
      <c r="C256" s="39" t="s">
        <v>1544</v>
      </c>
      <c r="D256" s="36" t="s">
        <v>210</v>
      </c>
      <c r="E256" s="36" t="s">
        <v>213</v>
      </c>
      <c r="F256" s="29" t="b">
        <v>1</v>
      </c>
      <c r="G256" s="49"/>
      <c r="H256" s="49"/>
      <c r="I256" s="39"/>
      <c r="J256" s="43"/>
      <c r="K256" s="37" t="s">
        <v>435</v>
      </c>
      <c r="L256" s="37" t="s">
        <v>1829</v>
      </c>
      <c r="M256" s="37" t="s">
        <v>785</v>
      </c>
      <c r="N256" s="37" t="s">
        <v>650</v>
      </c>
      <c r="O256" s="37" t="s">
        <v>837</v>
      </c>
      <c r="P256" s="37" t="s">
        <v>1099</v>
      </c>
      <c r="Q256" s="41">
        <v>46025.0</v>
      </c>
      <c r="R256" s="42">
        <v>0.0</v>
      </c>
      <c r="S256" s="29"/>
      <c r="T256" s="37" t="s">
        <v>2083</v>
      </c>
      <c r="U256" s="57" t="str">
        <f>IF(records_2[Type]="Room",records_2[roomNo],records_2[roomNo]&amp;"-"&amp;SUBSTITUTE(RIGHT(records_2[roomNo]&amp;records_2[Type],2),"-",""))</f>
        <v>16-3-084</v>
      </c>
      <c r="V256" s="59" t="str">
        <f t="array" ref="V256">_xlfn.XLOOKUP(records_2[ID], dAir[roomNo], dAir[roomName])</f>
        <v>IPQC</v>
      </c>
      <c r="W256" s="59" t="str">
        <f t="array" ref="W256">_xlfn.XLOOKUP(records_2[ID], dAir[roomNo], dAir[building])</f>
        <v>Building 16</v>
      </c>
      <c r="X256" s="59" t="str">
        <f t="array" ref="X256">_xlfn.XLOOKUP(records_2[ID], dAir[roomNo], dAir[floor])</f>
        <v>Floor 3</v>
      </c>
      <c r="Y256" s="57" t="str">
        <f t="array" ref="Y256">_xlfn.XLOOKUP(records_2[ID], dAir[roomNo], dAir[Class])</f>
        <v>D</v>
      </c>
      <c r="Z256" s="57">
        <f t="array" ref="Z256">_xlfn.XLOOKUP(records_2[Method]&amp;"-"&amp;records_2[Class], dAirSpec[ID], dAirSpec[Spec])</f>
        <v>100</v>
      </c>
      <c r="AA256" s="57" t="str">
        <f t="array" ref="AA256">_xlfn.XLOOKUP(records_2[Method]&amp;"-"&amp;records_2[Class], dAirSpec[ID], dAirSpec[Unit])</f>
        <v>cfu/plate</v>
      </c>
      <c r="AB256" s="62">
        <f t="array" ref="AB256">if(R256="","", if(records_2[Method]="Active Air",_xlfn.xlookup(records_2[ColonyCount]&amp;records_2[AirSampler],feller[code],feller[Vc]),records_2[ColonyCount]))</f>
        <v>0</v>
      </c>
      <c r="AC256" s="63" t="b">
        <f t="shared" si="1"/>
        <v>1</v>
      </c>
      <c r="AD256" s="61" t="b">
        <v>0</v>
      </c>
      <c r="AE256" s="32" t="s">
        <v>280</v>
      </c>
      <c r="AF256" s="46"/>
      <c r="AG256" s="46"/>
      <c r="AH256" s="46"/>
      <c r="AI256" s="46"/>
      <c r="AJ256" s="46"/>
    </row>
    <row r="257" ht="22.5" customHeight="1">
      <c r="A257" s="27">
        <v>46063.0</v>
      </c>
      <c r="B257" s="34" t="str">
        <f t="array" ref="B257">TEXT(A257, "MM-YYYY")</f>
        <v>02-2026</v>
      </c>
      <c r="C257" s="39" t="s">
        <v>998</v>
      </c>
      <c r="D257" s="36" t="s">
        <v>210</v>
      </c>
      <c r="E257" s="36" t="s">
        <v>213</v>
      </c>
      <c r="F257" s="29" t="b">
        <v>1</v>
      </c>
      <c r="G257" s="49"/>
      <c r="H257" s="49"/>
      <c r="I257" s="39"/>
      <c r="J257" s="43"/>
      <c r="K257" s="37" t="s">
        <v>428</v>
      </c>
      <c r="L257" s="37" t="s">
        <v>299</v>
      </c>
      <c r="M257" s="37" t="s">
        <v>261</v>
      </c>
      <c r="N257" s="37" t="s">
        <v>650</v>
      </c>
      <c r="O257" s="37" t="s">
        <v>837</v>
      </c>
      <c r="P257" s="37" t="s">
        <v>1099</v>
      </c>
      <c r="Q257" s="41">
        <v>46025.0</v>
      </c>
      <c r="R257" s="42">
        <v>0.0</v>
      </c>
      <c r="S257" s="29"/>
      <c r="T257" s="37" t="s">
        <v>2083</v>
      </c>
      <c r="U257" s="57" t="str">
        <f>IF(records_2[Type]="Room",records_2[roomNo],records_2[roomNo]&amp;"-"&amp;SUBSTITUTE(RIGHT(records_2[roomNo]&amp;records_2[Type],2),"-",""))</f>
        <v>16-3-085</v>
      </c>
      <c r="V257" s="59" t="str">
        <f t="array" ref="V257">_xlfn.XLOOKUP(records_2[ID], dAir[roomNo], dAir[roomName])</f>
        <v>CIP 3</v>
      </c>
      <c r="W257" s="59" t="str">
        <f t="array" ref="W257">_xlfn.XLOOKUP(records_2[ID], dAir[roomNo], dAir[building])</f>
        <v>Building 16</v>
      </c>
      <c r="X257" s="59" t="str">
        <f t="array" ref="X257">_xlfn.XLOOKUP(records_2[ID], dAir[roomNo], dAir[floor])</f>
        <v>Floor 3</v>
      </c>
      <c r="Y257" s="57" t="str">
        <f t="array" ref="Y257">_xlfn.XLOOKUP(records_2[ID], dAir[roomNo], dAir[Class])</f>
        <v>D</v>
      </c>
      <c r="Z257" s="57">
        <f t="array" ref="Z257">_xlfn.XLOOKUP(records_2[Method]&amp;"-"&amp;records_2[Class], dAirSpec[ID], dAirSpec[Spec])</f>
        <v>100</v>
      </c>
      <c r="AA257" s="57" t="str">
        <f t="array" ref="AA257">_xlfn.XLOOKUP(records_2[Method]&amp;"-"&amp;records_2[Class], dAirSpec[ID], dAirSpec[Unit])</f>
        <v>cfu/plate</v>
      </c>
      <c r="AB257" s="62">
        <f t="array" ref="AB257">if(R257="","", if(records_2[Method]="Active Air",_xlfn.xlookup(records_2[ColonyCount]&amp;records_2[AirSampler],feller[code],feller[Vc]),records_2[ColonyCount]))</f>
        <v>0</v>
      </c>
      <c r="AC257" s="63" t="b">
        <f t="shared" si="1"/>
        <v>1</v>
      </c>
      <c r="AD257" s="61" t="b">
        <v>0</v>
      </c>
      <c r="AE257" s="32" t="s">
        <v>280</v>
      </c>
      <c r="AF257" s="46"/>
      <c r="AG257" s="46"/>
      <c r="AH257" s="46"/>
      <c r="AI257" s="46"/>
      <c r="AJ257" s="46"/>
    </row>
    <row r="258" ht="22.5" customHeight="1">
      <c r="A258" s="27">
        <v>46063.0</v>
      </c>
      <c r="B258" s="34" t="str">
        <f t="array" ref="B258">TEXT(A258, "MM-YYYY")</f>
        <v>02-2026</v>
      </c>
      <c r="C258" s="39" t="s">
        <v>1000</v>
      </c>
      <c r="D258" s="36" t="s">
        <v>210</v>
      </c>
      <c r="E258" s="36" t="s">
        <v>213</v>
      </c>
      <c r="F258" s="29" t="b">
        <v>1</v>
      </c>
      <c r="G258" s="49"/>
      <c r="H258" s="49"/>
      <c r="I258" s="39"/>
      <c r="J258" s="43"/>
      <c r="K258" s="37" t="s">
        <v>428</v>
      </c>
      <c r="L258" s="37" t="s">
        <v>1054</v>
      </c>
      <c r="M258" s="37" t="s">
        <v>820</v>
      </c>
      <c r="N258" s="37" t="s">
        <v>634</v>
      </c>
      <c r="O258" s="37" t="s">
        <v>837</v>
      </c>
      <c r="P258" s="37" t="s">
        <v>1099</v>
      </c>
      <c r="Q258" s="41">
        <v>46025.0</v>
      </c>
      <c r="R258" s="42">
        <v>0.0</v>
      </c>
      <c r="S258" s="29"/>
      <c r="T258" s="37" t="s">
        <v>2083</v>
      </c>
      <c r="U258" s="57" t="str">
        <f>IF(records_2[Type]="Room",records_2[roomNo],records_2[roomNo]&amp;"-"&amp;SUBSTITUTE(RIGHT(records_2[roomNo]&amp;records_2[Type],2),"-",""))</f>
        <v>16-3-086</v>
      </c>
      <c r="V258" s="59" t="str">
        <f t="array" ref="V258">_xlfn.XLOOKUP(records_2[ID], dAir[roomNo], dAir[roomName])</f>
        <v>STAGING 4</v>
      </c>
      <c r="W258" s="59" t="str">
        <f t="array" ref="W258">_xlfn.XLOOKUP(records_2[ID], dAir[roomNo], dAir[building])</f>
        <v>Building 16</v>
      </c>
      <c r="X258" s="59" t="str">
        <f t="array" ref="X258">_xlfn.XLOOKUP(records_2[ID], dAir[roomNo], dAir[floor])</f>
        <v>Floor 3</v>
      </c>
      <c r="Y258" s="57" t="str">
        <f t="array" ref="Y258">_xlfn.XLOOKUP(records_2[ID], dAir[roomNo], dAir[Class])</f>
        <v>D</v>
      </c>
      <c r="Z258" s="57">
        <f t="array" ref="Z258">_xlfn.XLOOKUP(records_2[Method]&amp;"-"&amp;records_2[Class], dAirSpec[ID], dAirSpec[Spec])</f>
        <v>100</v>
      </c>
      <c r="AA258" s="57" t="str">
        <f t="array" ref="AA258">_xlfn.XLOOKUP(records_2[Method]&amp;"-"&amp;records_2[Class], dAirSpec[ID], dAirSpec[Unit])</f>
        <v>cfu/plate</v>
      </c>
      <c r="AB258" s="62">
        <f t="array" ref="AB258">if(R258="","", if(records_2[Method]="Active Air",_xlfn.xlookup(records_2[ColonyCount]&amp;records_2[AirSampler],feller[code],feller[Vc]),records_2[ColonyCount]))</f>
        <v>0</v>
      </c>
      <c r="AC258" s="63" t="b">
        <f t="shared" si="1"/>
        <v>1</v>
      </c>
      <c r="AD258" s="61" t="b">
        <v>0</v>
      </c>
      <c r="AE258" s="32" t="s">
        <v>280</v>
      </c>
      <c r="AF258" s="46"/>
      <c r="AG258" s="46"/>
      <c r="AH258" s="46"/>
      <c r="AI258" s="46"/>
      <c r="AJ258" s="46"/>
    </row>
    <row r="259" ht="22.5" customHeight="1">
      <c r="A259" s="27">
        <v>46063.0</v>
      </c>
      <c r="B259" s="34" t="str">
        <f t="array" ref="B259">TEXT(A259, "MM-YYYY")</f>
        <v>02-2026</v>
      </c>
      <c r="C259" s="39" t="s">
        <v>1002</v>
      </c>
      <c r="D259" s="36" t="s">
        <v>210</v>
      </c>
      <c r="E259" s="36" t="s">
        <v>213</v>
      </c>
      <c r="F259" s="29" t="b">
        <v>1</v>
      </c>
      <c r="G259" s="49"/>
      <c r="H259" s="49"/>
      <c r="I259" s="39"/>
      <c r="J259" s="43"/>
      <c r="K259" s="37" t="s">
        <v>292</v>
      </c>
      <c r="L259" s="37" t="s">
        <v>563</v>
      </c>
      <c r="M259" s="37" t="s">
        <v>664</v>
      </c>
      <c r="N259" s="37" t="s">
        <v>618</v>
      </c>
      <c r="O259" s="37" t="s">
        <v>837</v>
      </c>
      <c r="P259" s="37" t="s">
        <v>1099</v>
      </c>
      <c r="Q259" s="41">
        <v>46025.0</v>
      </c>
      <c r="R259" s="42">
        <v>0.0</v>
      </c>
      <c r="S259" s="29"/>
      <c r="T259" s="37" t="s">
        <v>2083</v>
      </c>
      <c r="U259" s="57" t="str">
        <f>IF(records_2[Type]="Room",records_2[roomNo],records_2[roomNo]&amp;"-"&amp;SUBSTITUTE(RIGHT(records_2[roomNo]&amp;records_2[Type],2),"-",""))</f>
        <v>16-3-087</v>
      </c>
      <c r="V259" s="59" t="str">
        <f t="array" ref="V259">_xlfn.XLOOKUP(records_2[ID], dAir[roomNo], dAir[roomName])</f>
        <v>CIP 2</v>
      </c>
      <c r="W259" s="59" t="str">
        <f t="array" ref="W259">_xlfn.XLOOKUP(records_2[ID], dAir[roomNo], dAir[building])</f>
        <v>Building 16</v>
      </c>
      <c r="X259" s="59" t="str">
        <f t="array" ref="X259">_xlfn.XLOOKUP(records_2[ID], dAir[roomNo], dAir[floor])</f>
        <v>Floor 3</v>
      </c>
      <c r="Y259" s="57" t="str">
        <f t="array" ref="Y259">_xlfn.XLOOKUP(records_2[ID], dAir[roomNo], dAir[Class])</f>
        <v>D</v>
      </c>
      <c r="Z259" s="57">
        <f t="array" ref="Z259">_xlfn.XLOOKUP(records_2[Method]&amp;"-"&amp;records_2[Class], dAirSpec[ID], dAirSpec[Spec])</f>
        <v>100</v>
      </c>
      <c r="AA259" s="57" t="str">
        <f t="array" ref="AA259">_xlfn.XLOOKUP(records_2[Method]&amp;"-"&amp;records_2[Class], dAirSpec[ID], dAirSpec[Unit])</f>
        <v>cfu/plate</v>
      </c>
      <c r="AB259" s="62">
        <f t="array" ref="AB259">if(R259="","", if(records_2[Method]="Active Air",_xlfn.xlookup(records_2[ColonyCount]&amp;records_2[AirSampler],feller[code],feller[Vc]),records_2[ColonyCount]))</f>
        <v>0</v>
      </c>
      <c r="AC259" s="63" t="b">
        <f t="shared" si="1"/>
        <v>1</v>
      </c>
      <c r="AD259" s="61" t="b">
        <v>0</v>
      </c>
      <c r="AE259" s="32" t="s">
        <v>280</v>
      </c>
      <c r="AF259" s="46"/>
      <c r="AG259" s="46"/>
      <c r="AH259" s="46"/>
      <c r="AI259" s="46"/>
      <c r="AJ259" s="46"/>
    </row>
    <row r="260" ht="22.5" customHeight="1">
      <c r="A260" s="27">
        <v>46063.0</v>
      </c>
      <c r="B260" s="34" t="str">
        <f t="array" ref="B260">TEXT(A260, "MM-YYYY")</f>
        <v>02-2026</v>
      </c>
      <c r="C260" s="39" t="s">
        <v>1003</v>
      </c>
      <c r="D260" s="36" t="s">
        <v>210</v>
      </c>
      <c r="E260" s="36" t="s">
        <v>213</v>
      </c>
      <c r="F260" s="29" t="b">
        <v>1</v>
      </c>
      <c r="G260" s="49"/>
      <c r="H260" s="49"/>
      <c r="I260" s="39"/>
      <c r="J260" s="43"/>
      <c r="K260" s="37" t="s">
        <v>366</v>
      </c>
      <c r="L260" s="37" t="s">
        <v>563</v>
      </c>
      <c r="M260" s="37" t="s">
        <v>641</v>
      </c>
      <c r="N260" s="37" t="s">
        <v>618</v>
      </c>
      <c r="O260" s="37" t="s">
        <v>837</v>
      </c>
      <c r="P260" s="37" t="s">
        <v>1099</v>
      </c>
      <c r="Q260" s="41">
        <v>46025.0</v>
      </c>
      <c r="R260" s="42">
        <v>0.0</v>
      </c>
      <c r="S260" s="29"/>
      <c r="T260" s="37" t="s">
        <v>2083</v>
      </c>
      <c r="U260" s="57" t="str">
        <f>IF(records_2[Type]="Room",records_2[roomNo],records_2[roomNo]&amp;"-"&amp;SUBSTITUTE(RIGHT(records_2[roomNo]&amp;records_2[Type],2),"-",""))</f>
        <v>16-3-088</v>
      </c>
      <c r="V260" s="59" t="str">
        <f t="array" ref="V260">_xlfn.XLOOKUP(records_2[ID], dAir[roomNo], dAir[roomName])</f>
        <v>STAGING 3</v>
      </c>
      <c r="W260" s="59" t="str">
        <f t="array" ref="W260">_xlfn.XLOOKUP(records_2[ID], dAir[roomNo], dAir[building])</f>
        <v>Building 16</v>
      </c>
      <c r="X260" s="59" t="str">
        <f t="array" ref="X260">_xlfn.XLOOKUP(records_2[ID], dAir[roomNo], dAir[floor])</f>
        <v>Floor 3</v>
      </c>
      <c r="Y260" s="57" t="str">
        <f t="array" ref="Y260">_xlfn.XLOOKUP(records_2[ID], dAir[roomNo], dAir[Class])</f>
        <v>D</v>
      </c>
      <c r="Z260" s="57">
        <f t="array" ref="Z260">_xlfn.XLOOKUP(records_2[Method]&amp;"-"&amp;records_2[Class], dAirSpec[ID], dAirSpec[Spec])</f>
        <v>100</v>
      </c>
      <c r="AA260" s="57" t="str">
        <f t="array" ref="AA260">_xlfn.XLOOKUP(records_2[Method]&amp;"-"&amp;records_2[Class], dAirSpec[ID], dAirSpec[Unit])</f>
        <v>cfu/plate</v>
      </c>
      <c r="AB260" s="62">
        <f t="array" ref="AB260">if(R260="","", if(records_2[Method]="Active Air",_xlfn.xlookup(records_2[ColonyCount]&amp;records_2[AirSampler],feller[code],feller[Vc]),records_2[ColonyCount]))</f>
        <v>0</v>
      </c>
      <c r="AC260" s="63" t="b">
        <f t="shared" si="1"/>
        <v>1</v>
      </c>
      <c r="AD260" s="61" t="b">
        <v>0</v>
      </c>
      <c r="AE260" s="32" t="s">
        <v>280</v>
      </c>
      <c r="AF260" s="46"/>
      <c r="AG260" s="46"/>
      <c r="AH260" s="46"/>
      <c r="AI260" s="46"/>
      <c r="AJ260" s="46"/>
    </row>
    <row r="261" ht="22.5" customHeight="1">
      <c r="A261" s="27">
        <v>46063.0</v>
      </c>
      <c r="B261" s="34" t="str">
        <f t="array" ref="B261">TEXT(A261, "MM-YYYY")</f>
        <v>02-2026</v>
      </c>
      <c r="C261" s="39" t="s">
        <v>1545</v>
      </c>
      <c r="D261" s="36" t="s">
        <v>210</v>
      </c>
      <c r="E261" s="36" t="s">
        <v>213</v>
      </c>
      <c r="F261" s="29" t="b">
        <v>1</v>
      </c>
      <c r="G261" s="49"/>
      <c r="H261" s="49"/>
      <c r="I261" s="39"/>
      <c r="J261" s="43"/>
      <c r="K261" s="37" t="s">
        <v>569</v>
      </c>
      <c r="L261" s="37" t="s">
        <v>1921</v>
      </c>
      <c r="M261" s="37" t="s">
        <v>617</v>
      </c>
      <c r="N261" s="37" t="s">
        <v>691</v>
      </c>
      <c r="O261" s="37" t="s">
        <v>837</v>
      </c>
      <c r="P261" s="37" t="s">
        <v>1099</v>
      </c>
      <c r="Q261" s="41">
        <v>46025.0</v>
      </c>
      <c r="R261" s="42">
        <v>0.0</v>
      </c>
      <c r="S261" s="29"/>
      <c r="T261" s="37" t="s">
        <v>2083</v>
      </c>
      <c r="U261" s="57" t="str">
        <f>IF(records_2[Type]="Room",records_2[roomNo],records_2[roomNo]&amp;"-"&amp;SUBSTITUTE(RIGHT(records_2[roomNo]&amp;records_2[Type],2),"-",""))</f>
        <v>16-3-089</v>
      </c>
      <c r="V261" s="59" t="str">
        <f t="array" ref="V261">_xlfn.XLOOKUP(records_2[ID], dAir[roomNo], dAir[roomName])</f>
        <v>STAGING 2</v>
      </c>
      <c r="W261" s="59" t="str">
        <f t="array" ref="W261">_xlfn.XLOOKUP(records_2[ID], dAir[roomNo], dAir[building])</f>
        <v>Building 16</v>
      </c>
      <c r="X261" s="59" t="str">
        <f t="array" ref="X261">_xlfn.XLOOKUP(records_2[ID], dAir[roomNo], dAir[floor])</f>
        <v>Floor 3</v>
      </c>
      <c r="Y261" s="57" t="str">
        <f t="array" ref="Y261">_xlfn.XLOOKUP(records_2[ID], dAir[roomNo], dAir[Class])</f>
        <v>D</v>
      </c>
      <c r="Z261" s="57">
        <f t="array" ref="Z261">_xlfn.XLOOKUP(records_2[Method]&amp;"-"&amp;records_2[Class], dAirSpec[ID], dAirSpec[Spec])</f>
        <v>100</v>
      </c>
      <c r="AA261" s="57" t="str">
        <f t="array" ref="AA261">_xlfn.XLOOKUP(records_2[Method]&amp;"-"&amp;records_2[Class], dAirSpec[ID], dAirSpec[Unit])</f>
        <v>cfu/plate</v>
      </c>
      <c r="AB261" s="62">
        <f t="array" ref="AB261">if(R261="","", if(records_2[Method]="Active Air",_xlfn.xlookup(records_2[ColonyCount]&amp;records_2[AirSampler],feller[code],feller[Vc]),records_2[ColonyCount]))</f>
        <v>0</v>
      </c>
      <c r="AC261" s="63" t="b">
        <f t="shared" si="1"/>
        <v>1</v>
      </c>
      <c r="AD261" s="61" t="b">
        <v>0</v>
      </c>
      <c r="AE261" s="32" t="s">
        <v>280</v>
      </c>
      <c r="AF261" s="46"/>
      <c r="AG261" s="46"/>
      <c r="AH261" s="46"/>
      <c r="AI261" s="46"/>
      <c r="AJ261" s="46"/>
    </row>
    <row r="262" ht="22.5" customHeight="1">
      <c r="A262" s="27">
        <v>46063.0</v>
      </c>
      <c r="B262" s="34" t="str">
        <f t="array" ref="B262">TEXT(A262, "MM-YYYY")</f>
        <v>02-2026</v>
      </c>
      <c r="C262" s="39" t="s">
        <v>1004</v>
      </c>
      <c r="D262" s="36" t="s">
        <v>210</v>
      </c>
      <c r="E262" s="36" t="s">
        <v>213</v>
      </c>
      <c r="F262" s="29" t="b">
        <v>1</v>
      </c>
      <c r="G262" s="49"/>
      <c r="H262" s="49"/>
      <c r="I262" s="39"/>
      <c r="J262" s="43"/>
      <c r="K262" s="37" t="s">
        <v>428</v>
      </c>
      <c r="L262" s="37" t="s">
        <v>2092</v>
      </c>
      <c r="M262" s="37" t="s">
        <v>743</v>
      </c>
      <c r="N262" s="37" t="s">
        <v>691</v>
      </c>
      <c r="O262" s="37" t="s">
        <v>837</v>
      </c>
      <c r="P262" s="37" t="s">
        <v>1099</v>
      </c>
      <c r="Q262" s="41">
        <v>46025.0</v>
      </c>
      <c r="R262" s="42">
        <v>3.0</v>
      </c>
      <c r="S262" s="29"/>
      <c r="T262" s="37" t="s">
        <v>2083</v>
      </c>
      <c r="U262" s="57" t="str">
        <f>IF(records_2[Type]="Room",records_2[roomNo],records_2[roomNo]&amp;"-"&amp;SUBSTITUTE(RIGHT(records_2[roomNo]&amp;records_2[Type],2),"-",""))</f>
        <v>16-3-090</v>
      </c>
      <c r="V262" s="59" t="str">
        <f t="array" ref="V262">_xlfn.XLOOKUP(records_2[ID], dAir[roomNo], dAir[roomName])</f>
        <v>CIP 1</v>
      </c>
      <c r="W262" s="59" t="str">
        <f t="array" ref="W262">_xlfn.XLOOKUP(records_2[ID], dAir[roomNo], dAir[building])</f>
        <v>Building 16</v>
      </c>
      <c r="X262" s="59" t="str">
        <f t="array" ref="X262">_xlfn.XLOOKUP(records_2[ID], dAir[roomNo], dAir[floor])</f>
        <v>Floor 3</v>
      </c>
      <c r="Y262" s="57" t="str">
        <f t="array" ref="Y262">_xlfn.XLOOKUP(records_2[ID], dAir[roomNo], dAir[Class])</f>
        <v>D</v>
      </c>
      <c r="Z262" s="57">
        <f t="array" ref="Z262">_xlfn.XLOOKUP(records_2[Method]&amp;"-"&amp;records_2[Class], dAirSpec[ID], dAirSpec[Spec])</f>
        <v>100</v>
      </c>
      <c r="AA262" s="57" t="str">
        <f t="array" ref="AA262">_xlfn.XLOOKUP(records_2[Method]&amp;"-"&amp;records_2[Class], dAirSpec[ID], dAirSpec[Unit])</f>
        <v>cfu/plate</v>
      </c>
      <c r="AB262" s="62">
        <f t="array" ref="AB262">if(R262="","", if(records_2[Method]="Active Air",_xlfn.xlookup(records_2[ColonyCount]&amp;records_2[AirSampler],feller[code],feller[Vc]),records_2[ColonyCount]))</f>
        <v>3</v>
      </c>
      <c r="AC262" s="63" t="b">
        <f t="shared" si="1"/>
        <v>1</v>
      </c>
      <c r="AD262" s="61" t="b">
        <v>0</v>
      </c>
      <c r="AE262" s="32" t="s">
        <v>280</v>
      </c>
      <c r="AF262" s="46"/>
      <c r="AG262" s="46"/>
      <c r="AH262" s="46"/>
      <c r="AI262" s="46"/>
      <c r="AJ262" s="46"/>
    </row>
    <row r="263" ht="22.5" customHeight="1">
      <c r="A263" s="27">
        <v>46063.0</v>
      </c>
      <c r="B263" s="34" t="str">
        <f t="array" ref="B263">TEXT(A263, "MM-YYYY")</f>
        <v>02-2026</v>
      </c>
      <c r="C263" s="39" t="s">
        <v>1007</v>
      </c>
      <c r="D263" s="36" t="s">
        <v>210</v>
      </c>
      <c r="E263" s="36" t="s">
        <v>213</v>
      </c>
      <c r="F263" s="29" t="b">
        <v>1</v>
      </c>
      <c r="G263" s="49"/>
      <c r="H263" s="49"/>
      <c r="I263" s="39"/>
      <c r="J263" s="43"/>
      <c r="K263" s="37" t="s">
        <v>310</v>
      </c>
      <c r="L263" s="37" t="s">
        <v>2158</v>
      </c>
      <c r="M263" s="37" t="s">
        <v>727</v>
      </c>
      <c r="N263" s="37" t="s">
        <v>713</v>
      </c>
      <c r="O263" s="37" t="s">
        <v>837</v>
      </c>
      <c r="P263" s="37" t="s">
        <v>1099</v>
      </c>
      <c r="Q263" s="41">
        <v>46025.0</v>
      </c>
      <c r="R263" s="42">
        <v>0.0</v>
      </c>
      <c r="S263" s="29"/>
      <c r="T263" s="37" t="s">
        <v>2083</v>
      </c>
      <c r="U263" s="57" t="str">
        <f>IF(records_2[Type]="Room",records_2[roomNo],records_2[roomNo]&amp;"-"&amp;SUBSTITUTE(RIGHT(records_2[roomNo]&amp;records_2[Type],2),"-",""))</f>
        <v>16-3-091</v>
      </c>
      <c r="V263" s="59" t="str">
        <f t="array" ref="V263">_xlfn.XLOOKUP(records_2[ID], dAir[roomNo], dAir[roomName])</f>
        <v>STAGING 1</v>
      </c>
      <c r="W263" s="59" t="str">
        <f t="array" ref="W263">_xlfn.XLOOKUP(records_2[ID], dAir[roomNo], dAir[building])</f>
        <v>Building 16</v>
      </c>
      <c r="X263" s="59" t="str">
        <f t="array" ref="X263">_xlfn.XLOOKUP(records_2[ID], dAir[roomNo], dAir[floor])</f>
        <v>Floor 3</v>
      </c>
      <c r="Y263" s="57" t="str">
        <f t="array" ref="Y263">_xlfn.XLOOKUP(records_2[ID], dAir[roomNo], dAir[Class])</f>
        <v>D</v>
      </c>
      <c r="Z263" s="57">
        <f t="array" ref="Z263">_xlfn.XLOOKUP(records_2[Method]&amp;"-"&amp;records_2[Class], dAirSpec[ID], dAirSpec[Spec])</f>
        <v>100</v>
      </c>
      <c r="AA263" s="57" t="str">
        <f t="array" ref="AA263">_xlfn.XLOOKUP(records_2[Method]&amp;"-"&amp;records_2[Class], dAirSpec[ID], dAirSpec[Unit])</f>
        <v>cfu/plate</v>
      </c>
      <c r="AB263" s="62">
        <f t="array" ref="AB263">if(R263="","", if(records_2[Method]="Active Air",_xlfn.xlookup(records_2[ColonyCount]&amp;records_2[AirSampler],feller[code],feller[Vc]),records_2[ColonyCount]))</f>
        <v>0</v>
      </c>
      <c r="AC263" s="63" t="b">
        <f t="shared" si="1"/>
        <v>1</v>
      </c>
      <c r="AD263" s="61" t="b">
        <v>0</v>
      </c>
      <c r="AE263" s="32" t="s">
        <v>280</v>
      </c>
      <c r="AF263" s="46"/>
      <c r="AG263" s="46"/>
      <c r="AH263" s="46"/>
      <c r="AI263" s="46"/>
      <c r="AJ263" s="46"/>
    </row>
    <row r="264" ht="22.5" customHeight="1">
      <c r="A264" s="27">
        <v>46063.0</v>
      </c>
      <c r="B264" s="34" t="str">
        <f t="array" ref="B264">TEXT(A264, "MM-YYYY")</f>
        <v>02-2026</v>
      </c>
      <c r="C264" s="39" t="s">
        <v>1547</v>
      </c>
      <c r="D264" s="36" t="s">
        <v>210</v>
      </c>
      <c r="E264" s="36" t="s">
        <v>213</v>
      </c>
      <c r="F264" s="29" t="b">
        <v>1</v>
      </c>
      <c r="G264" s="49"/>
      <c r="H264" s="49"/>
      <c r="I264" s="39"/>
      <c r="J264" s="43"/>
      <c r="K264" s="37" t="s">
        <v>1546</v>
      </c>
      <c r="L264" s="37" t="s">
        <v>2012</v>
      </c>
      <c r="M264" s="37" t="s">
        <v>723</v>
      </c>
      <c r="N264" s="37" t="s">
        <v>713</v>
      </c>
      <c r="O264" s="37" t="s">
        <v>837</v>
      </c>
      <c r="P264" s="37" t="s">
        <v>1099</v>
      </c>
      <c r="Q264" s="41">
        <v>46025.0</v>
      </c>
      <c r="R264" s="42">
        <v>0.0</v>
      </c>
      <c r="S264" s="29"/>
      <c r="T264" s="37" t="s">
        <v>2083</v>
      </c>
      <c r="U264" s="57" t="str">
        <f>IF(records_2[Type]="Room",records_2[roomNo],records_2[roomNo]&amp;"-"&amp;SUBSTITUTE(RIGHT(records_2[roomNo]&amp;records_2[Type],2),"-",""))</f>
        <v>16-3-092</v>
      </c>
      <c r="V264" s="59" t="str">
        <f t="array" ref="V264">_xlfn.XLOOKUP(records_2[ID], dAir[roomNo], dAir[roomName])</f>
        <v>AIRLOCK</v>
      </c>
      <c r="W264" s="59" t="str">
        <f t="array" ref="W264">_xlfn.XLOOKUP(records_2[ID], dAir[roomNo], dAir[building])</f>
        <v>Building 16</v>
      </c>
      <c r="X264" s="59" t="str">
        <f t="array" ref="X264">_xlfn.XLOOKUP(records_2[ID], dAir[roomNo], dAir[floor])</f>
        <v>Floor 3</v>
      </c>
      <c r="Y264" s="57" t="str">
        <f t="array" ref="Y264">_xlfn.XLOOKUP(records_2[ID], dAir[roomNo], dAir[Class])</f>
        <v>D</v>
      </c>
      <c r="Z264" s="57">
        <f t="array" ref="Z264">_xlfn.XLOOKUP(records_2[Method]&amp;"-"&amp;records_2[Class], dAirSpec[ID], dAirSpec[Spec])</f>
        <v>100</v>
      </c>
      <c r="AA264" s="57" t="str">
        <f t="array" ref="AA264">_xlfn.XLOOKUP(records_2[Method]&amp;"-"&amp;records_2[Class], dAirSpec[ID], dAirSpec[Unit])</f>
        <v>cfu/plate</v>
      </c>
      <c r="AB264" s="62">
        <f t="array" ref="AB264">if(R264="","", if(records_2[Method]="Active Air",_xlfn.xlookup(records_2[ColonyCount]&amp;records_2[AirSampler],feller[code],feller[Vc]),records_2[ColonyCount]))</f>
        <v>0</v>
      </c>
      <c r="AC264" s="63" t="b">
        <f t="shared" si="1"/>
        <v>1</v>
      </c>
      <c r="AD264" s="61" t="b">
        <v>0</v>
      </c>
      <c r="AE264" s="32" t="s">
        <v>280</v>
      </c>
      <c r="AF264" s="46"/>
      <c r="AG264" s="46"/>
      <c r="AH264" s="46"/>
      <c r="AI264" s="46"/>
      <c r="AJ264" s="46"/>
    </row>
    <row r="265" ht="22.5" customHeight="1">
      <c r="A265" s="27">
        <v>46063.0</v>
      </c>
      <c r="B265" s="34" t="str">
        <f t="array" ref="B265">TEXT(A265, "MM-YYYY")</f>
        <v>02-2026</v>
      </c>
      <c r="C265" s="39" t="s">
        <v>1009</v>
      </c>
      <c r="D265" s="36" t="s">
        <v>210</v>
      </c>
      <c r="E265" s="36" t="s">
        <v>213</v>
      </c>
      <c r="F265" s="29" t="b">
        <v>1</v>
      </c>
      <c r="G265" s="49"/>
      <c r="H265" s="49"/>
      <c r="I265" s="39"/>
      <c r="J265" s="43"/>
      <c r="K265" s="37" t="s">
        <v>787</v>
      </c>
      <c r="L265" s="37" t="s">
        <v>1857</v>
      </c>
      <c r="M265" s="37" t="s">
        <v>723</v>
      </c>
      <c r="N265" s="37" t="s">
        <v>713</v>
      </c>
      <c r="O265" s="37" t="s">
        <v>837</v>
      </c>
      <c r="P265" s="37" t="s">
        <v>1099</v>
      </c>
      <c r="Q265" s="41">
        <v>46025.0</v>
      </c>
      <c r="R265" s="42">
        <v>1.0</v>
      </c>
      <c r="S265" s="29"/>
      <c r="T265" s="37" t="s">
        <v>2083</v>
      </c>
      <c r="U265" s="57" t="str">
        <f>IF(records_2[Type]="Room",records_2[roomNo],records_2[roomNo]&amp;"-"&amp;SUBSTITUTE(RIGHT(records_2[roomNo]&amp;records_2[Type],2),"-",""))</f>
        <v>16-3-093</v>
      </c>
      <c r="V265" s="59" t="str">
        <f t="array" ref="V265">_xlfn.XLOOKUP(records_2[ID], dAir[roomNo], dAir[roomName])</f>
        <v>PPM CLEANING</v>
      </c>
      <c r="W265" s="59" t="str">
        <f t="array" ref="W265">_xlfn.XLOOKUP(records_2[ID], dAir[roomNo], dAir[building])</f>
        <v>Building 16</v>
      </c>
      <c r="X265" s="59" t="str">
        <f t="array" ref="X265">_xlfn.XLOOKUP(records_2[ID], dAir[roomNo], dAir[floor])</f>
        <v>Floor 3</v>
      </c>
      <c r="Y265" s="57" t="str">
        <f t="array" ref="Y265">_xlfn.XLOOKUP(records_2[ID], dAir[roomNo], dAir[Class])</f>
        <v>D</v>
      </c>
      <c r="Z265" s="57">
        <f t="array" ref="Z265">_xlfn.XLOOKUP(records_2[Method]&amp;"-"&amp;records_2[Class], dAirSpec[ID], dAirSpec[Spec])</f>
        <v>100</v>
      </c>
      <c r="AA265" s="57" t="str">
        <f t="array" ref="AA265">_xlfn.XLOOKUP(records_2[Method]&amp;"-"&amp;records_2[Class], dAirSpec[ID], dAirSpec[Unit])</f>
        <v>cfu/plate</v>
      </c>
      <c r="AB265" s="62">
        <f t="array" ref="AB265">if(R265="","", if(records_2[Method]="Active Air",_xlfn.xlookup(records_2[ColonyCount]&amp;records_2[AirSampler],feller[code],feller[Vc]),records_2[ColonyCount]))</f>
        <v>1</v>
      </c>
      <c r="AC265" s="63" t="b">
        <f t="shared" si="1"/>
        <v>1</v>
      </c>
      <c r="AD265" s="61" t="b">
        <v>0</v>
      </c>
      <c r="AE265" s="32" t="s">
        <v>280</v>
      </c>
      <c r="AF265" s="46"/>
      <c r="AG265" s="46"/>
      <c r="AH265" s="46"/>
      <c r="AI265" s="46"/>
      <c r="AJ265" s="46"/>
    </row>
    <row r="266" ht="22.5" customHeight="1">
      <c r="A266" s="27">
        <v>46063.0</v>
      </c>
      <c r="B266" s="34" t="str">
        <f t="array" ref="B266">TEXT(A266, "MM-YYYY")</f>
        <v>02-2026</v>
      </c>
      <c r="C266" s="39" t="s">
        <v>1548</v>
      </c>
      <c r="D266" s="36" t="s">
        <v>210</v>
      </c>
      <c r="E266" s="36" t="s">
        <v>213</v>
      </c>
      <c r="F266" s="29" t="b">
        <v>1</v>
      </c>
      <c r="G266" s="49"/>
      <c r="H266" s="36" t="s">
        <v>215</v>
      </c>
      <c r="I266" s="39"/>
      <c r="J266" s="43"/>
      <c r="K266" s="37" t="s">
        <v>377</v>
      </c>
      <c r="L266" s="37" t="s">
        <v>2158</v>
      </c>
      <c r="M266" s="37" t="s">
        <v>723</v>
      </c>
      <c r="N266" s="37" t="s">
        <v>713</v>
      </c>
      <c r="O266" s="37" t="s">
        <v>837</v>
      </c>
      <c r="P266" s="37" t="s">
        <v>1099</v>
      </c>
      <c r="Q266" s="41">
        <v>46025.0</v>
      </c>
      <c r="R266" s="42">
        <v>0.0</v>
      </c>
      <c r="S266" s="29"/>
      <c r="T266" s="37" t="s">
        <v>2083</v>
      </c>
      <c r="U266" s="57" t="str">
        <f>IF(records_2[Type]="Room",records_2[roomNo],records_2[roomNo]&amp;"-"&amp;SUBSTITUTE(RIGHT(records_2[roomNo]&amp;records_2[Type],2),"-",""))</f>
        <v>16-3-094</v>
      </c>
      <c r="V266" s="59" t="str">
        <f t="array" ref="V266">_xlfn.XLOOKUP(records_2[ID], dAir[roomNo], dAir[roomName])</f>
        <v>PPM STORAGE</v>
      </c>
      <c r="W266" s="59" t="str">
        <f t="array" ref="W266">_xlfn.XLOOKUP(records_2[ID], dAir[roomNo], dAir[building])</f>
        <v>Building 16</v>
      </c>
      <c r="X266" s="59" t="str">
        <f t="array" ref="X266">_xlfn.XLOOKUP(records_2[ID], dAir[roomNo], dAir[floor])</f>
        <v>Floor 3</v>
      </c>
      <c r="Y266" s="57" t="str">
        <f t="array" ref="Y266">_xlfn.XLOOKUP(records_2[ID], dAir[roomNo], dAir[Class])</f>
        <v>D</v>
      </c>
      <c r="Z266" s="57">
        <f t="array" ref="Z266">_xlfn.XLOOKUP(records_2[Method]&amp;"-"&amp;records_2[Class], dAirSpec[ID], dAirSpec[Spec])</f>
        <v>100</v>
      </c>
      <c r="AA266" s="57" t="str">
        <f t="array" ref="AA266">_xlfn.XLOOKUP(records_2[Method]&amp;"-"&amp;records_2[Class], dAirSpec[ID], dAirSpec[Unit])</f>
        <v>cfu/plate</v>
      </c>
      <c r="AB266" s="62">
        <f t="array" ref="AB266">if(R266="","", if(records_2[Method]="Active Air",_xlfn.xlookup(records_2[ColonyCount]&amp;records_2[AirSampler],feller[code],feller[Vc]),records_2[ColonyCount]))</f>
        <v>0</v>
      </c>
      <c r="AC266" s="63" t="b">
        <f t="shared" si="1"/>
        <v>1</v>
      </c>
      <c r="AD266" s="61" t="b">
        <v>0</v>
      </c>
      <c r="AE266" s="32" t="s">
        <v>280</v>
      </c>
      <c r="AF266" s="46"/>
      <c r="AG266" s="46"/>
      <c r="AH266" s="46"/>
      <c r="AI266" s="46"/>
      <c r="AJ266" s="46"/>
    </row>
    <row r="267" ht="22.5" customHeight="1">
      <c r="A267" s="27">
        <v>46063.0</v>
      </c>
      <c r="B267" s="34" t="str">
        <f t="array" ref="B267">TEXT(A267, "MM-YYYY")</f>
        <v>02-2026</v>
      </c>
      <c r="C267" s="39" t="s">
        <v>1550</v>
      </c>
      <c r="D267" s="36" t="s">
        <v>210</v>
      </c>
      <c r="E267" s="36" t="s">
        <v>213</v>
      </c>
      <c r="F267" s="29" t="b">
        <v>1</v>
      </c>
      <c r="G267" s="49"/>
      <c r="H267" s="36" t="s">
        <v>215</v>
      </c>
      <c r="I267" s="39"/>
      <c r="J267" s="43"/>
      <c r="K267" s="37" t="s">
        <v>402</v>
      </c>
      <c r="L267" s="37" t="s">
        <v>1754</v>
      </c>
      <c r="M267" s="37" t="s">
        <v>617</v>
      </c>
      <c r="N267" s="37" t="s">
        <v>691</v>
      </c>
      <c r="O267" s="37" t="s">
        <v>837</v>
      </c>
      <c r="P267" s="37" t="s">
        <v>1099</v>
      </c>
      <c r="Q267" s="41">
        <v>46025.0</v>
      </c>
      <c r="R267" s="42">
        <v>0.0</v>
      </c>
      <c r="S267" s="29"/>
      <c r="T267" s="37" t="s">
        <v>2083</v>
      </c>
      <c r="U267" s="57" t="str">
        <f>IF(records_2[Type]="Room",records_2[roomNo],records_2[roomNo]&amp;"-"&amp;SUBSTITUTE(RIGHT(records_2[roomNo]&amp;records_2[Type],2),"-",""))</f>
        <v>16-3-095</v>
      </c>
      <c r="V267" s="59" t="str">
        <f t="array" ref="V267">_xlfn.XLOOKUP(records_2[ID], dAir[roomNo], dAir[roomName])</f>
        <v>AIRLOCK</v>
      </c>
      <c r="W267" s="59" t="str">
        <f t="array" ref="W267">_xlfn.XLOOKUP(records_2[ID], dAir[roomNo], dAir[building])</f>
        <v>Building 16</v>
      </c>
      <c r="X267" s="59" t="str">
        <f t="array" ref="X267">_xlfn.XLOOKUP(records_2[ID], dAir[roomNo], dAir[floor])</f>
        <v>Floor 3</v>
      </c>
      <c r="Y267" s="57" t="str">
        <f t="array" ref="Y267">_xlfn.XLOOKUP(records_2[ID], dAir[roomNo], dAir[Class])</f>
        <v>D</v>
      </c>
      <c r="Z267" s="57">
        <f t="array" ref="Z267">_xlfn.XLOOKUP(records_2[Method]&amp;"-"&amp;records_2[Class], dAirSpec[ID], dAirSpec[Spec])</f>
        <v>100</v>
      </c>
      <c r="AA267" s="57" t="str">
        <f t="array" ref="AA267">_xlfn.XLOOKUP(records_2[Method]&amp;"-"&amp;records_2[Class], dAirSpec[ID], dAirSpec[Unit])</f>
        <v>cfu/plate</v>
      </c>
      <c r="AB267" s="62">
        <f t="array" ref="AB267">if(R267="","", if(records_2[Method]="Active Air",_xlfn.xlookup(records_2[ColonyCount]&amp;records_2[AirSampler],feller[code],feller[Vc]),records_2[ColonyCount]))</f>
        <v>0</v>
      </c>
      <c r="AC267" s="63" t="b">
        <f t="shared" si="1"/>
        <v>1</v>
      </c>
      <c r="AD267" s="61" t="b">
        <v>0</v>
      </c>
      <c r="AE267" s="32" t="s">
        <v>280</v>
      </c>
      <c r="AF267" s="46"/>
      <c r="AG267" s="46"/>
      <c r="AH267" s="46"/>
      <c r="AI267" s="46"/>
      <c r="AJ267" s="46"/>
    </row>
    <row r="268" ht="22.5" customHeight="1">
      <c r="A268" s="27">
        <v>46063.0</v>
      </c>
      <c r="B268" s="34" t="str">
        <f t="array" ref="B268">TEXT(A268, "MM-YYYY")</f>
        <v>02-2026</v>
      </c>
      <c r="C268" s="39" t="s">
        <v>1014</v>
      </c>
      <c r="D268" s="36" t="s">
        <v>210</v>
      </c>
      <c r="E268" s="36" t="s">
        <v>213</v>
      </c>
      <c r="F268" s="29" t="b">
        <v>1</v>
      </c>
      <c r="G268" s="49"/>
      <c r="H268" s="36" t="s">
        <v>215</v>
      </c>
      <c r="I268" s="39"/>
      <c r="J268" s="43"/>
      <c r="K268" s="37" t="s">
        <v>402</v>
      </c>
      <c r="L268" s="37" t="s">
        <v>1095</v>
      </c>
      <c r="M268" s="37" t="s">
        <v>690</v>
      </c>
      <c r="N268" s="37" t="s">
        <v>691</v>
      </c>
      <c r="O268" s="37" t="s">
        <v>837</v>
      </c>
      <c r="P268" s="37" t="s">
        <v>1099</v>
      </c>
      <c r="Q268" s="41">
        <v>46025.0</v>
      </c>
      <c r="R268" s="42">
        <v>0.0</v>
      </c>
      <c r="S268" s="29"/>
      <c r="T268" s="37" t="s">
        <v>2083</v>
      </c>
      <c r="U268" s="57" t="str">
        <f>IF(records_2[Type]="Room",records_2[roomNo],records_2[roomNo]&amp;"-"&amp;SUBSTITUTE(RIGHT(records_2[roomNo]&amp;records_2[Type],2),"-",""))</f>
        <v>16-3-096</v>
      </c>
      <c r="V268" s="59" t="str">
        <f t="array" ref="V268">_xlfn.XLOOKUP(records_2[ID], dAir[roomNo], dAir[roomName])</f>
        <v>FILLING 1</v>
      </c>
      <c r="W268" s="59" t="str">
        <f t="array" ref="W268">_xlfn.XLOOKUP(records_2[ID], dAir[roomNo], dAir[building])</f>
        <v>Building 16</v>
      </c>
      <c r="X268" s="59" t="str">
        <f t="array" ref="X268">_xlfn.XLOOKUP(records_2[ID], dAir[roomNo], dAir[floor])</f>
        <v>Floor 3</v>
      </c>
      <c r="Y268" s="57" t="str">
        <f t="array" ref="Y268">_xlfn.XLOOKUP(records_2[ID], dAir[roomNo], dAir[Class])</f>
        <v>D</v>
      </c>
      <c r="Z268" s="57">
        <f t="array" ref="Z268">_xlfn.XLOOKUP(records_2[Method]&amp;"-"&amp;records_2[Class], dAirSpec[ID], dAirSpec[Spec])</f>
        <v>100</v>
      </c>
      <c r="AA268" s="57" t="str">
        <f t="array" ref="AA268">_xlfn.XLOOKUP(records_2[Method]&amp;"-"&amp;records_2[Class], dAirSpec[ID], dAirSpec[Unit])</f>
        <v>cfu/plate</v>
      </c>
      <c r="AB268" s="62">
        <f t="array" ref="AB268">if(R268="","", if(records_2[Method]="Active Air",_xlfn.xlookup(records_2[ColonyCount]&amp;records_2[AirSampler],feller[code],feller[Vc]),records_2[ColonyCount]))</f>
        <v>0</v>
      </c>
      <c r="AC268" s="63" t="b">
        <f t="shared" si="1"/>
        <v>1</v>
      </c>
      <c r="AD268" s="61" t="b">
        <v>0</v>
      </c>
      <c r="AE268" s="32" t="s">
        <v>280</v>
      </c>
      <c r="AF268" s="46"/>
      <c r="AG268" s="46"/>
      <c r="AH268" s="46"/>
      <c r="AI268" s="46"/>
      <c r="AJ268" s="46"/>
    </row>
    <row r="269" ht="22.5" customHeight="1">
      <c r="A269" s="27">
        <v>46063.0</v>
      </c>
      <c r="B269" s="34" t="str">
        <f t="array" ref="B269">TEXT(A269, "MM-YYYY")</f>
        <v>02-2026</v>
      </c>
      <c r="C269" s="39" t="s">
        <v>1551</v>
      </c>
      <c r="D269" s="36" t="s">
        <v>210</v>
      </c>
      <c r="E269" s="36" t="s">
        <v>213</v>
      </c>
      <c r="F269" s="29" t="b">
        <v>1</v>
      </c>
      <c r="G269" s="49"/>
      <c r="H269" s="36" t="s">
        <v>215</v>
      </c>
      <c r="I269" s="39"/>
      <c r="J269" s="43"/>
      <c r="K269" s="37" t="s">
        <v>292</v>
      </c>
      <c r="L269" s="37" t="s">
        <v>788</v>
      </c>
      <c r="M269" s="37" t="s">
        <v>641</v>
      </c>
      <c r="N269" s="37" t="s">
        <v>618</v>
      </c>
      <c r="O269" s="37" t="s">
        <v>837</v>
      </c>
      <c r="P269" s="37" t="s">
        <v>1099</v>
      </c>
      <c r="Q269" s="41">
        <v>46025.0</v>
      </c>
      <c r="R269" s="42">
        <v>0.0</v>
      </c>
      <c r="S269" s="29"/>
      <c r="T269" s="37" t="s">
        <v>2083</v>
      </c>
      <c r="U269" s="57" t="str">
        <f>IF(records_2[Type]="Room",records_2[roomNo],records_2[roomNo]&amp;"-"&amp;SUBSTITUTE(RIGHT(records_2[roomNo]&amp;records_2[Type],2),"-",""))</f>
        <v>16-3-097</v>
      </c>
      <c r="V269" s="59" t="str">
        <f t="array" ref="V269">_xlfn.XLOOKUP(records_2[ID], dAir[roomNo], dAir[roomName])</f>
        <v>JANITOR</v>
      </c>
      <c r="W269" s="59" t="str">
        <f t="array" ref="W269">_xlfn.XLOOKUP(records_2[ID], dAir[roomNo], dAir[building])</f>
        <v>Building 16</v>
      </c>
      <c r="X269" s="59" t="str">
        <f t="array" ref="X269">_xlfn.XLOOKUP(records_2[ID], dAir[roomNo], dAir[floor])</f>
        <v>Floor 3</v>
      </c>
      <c r="Y269" s="57" t="str">
        <f t="array" ref="Y269">_xlfn.XLOOKUP(records_2[ID], dAir[roomNo], dAir[Class])</f>
        <v>D</v>
      </c>
      <c r="Z269" s="57">
        <f t="array" ref="Z269">_xlfn.XLOOKUP(records_2[Method]&amp;"-"&amp;records_2[Class], dAirSpec[ID], dAirSpec[Spec])</f>
        <v>100</v>
      </c>
      <c r="AA269" s="57" t="str">
        <f t="array" ref="AA269">_xlfn.XLOOKUP(records_2[Method]&amp;"-"&amp;records_2[Class], dAirSpec[ID], dAirSpec[Unit])</f>
        <v>cfu/plate</v>
      </c>
      <c r="AB269" s="62">
        <f t="array" ref="AB269">if(R269="","", if(records_2[Method]="Active Air",_xlfn.xlookup(records_2[ColonyCount]&amp;records_2[AirSampler],feller[code],feller[Vc]),records_2[ColonyCount]))</f>
        <v>0</v>
      </c>
      <c r="AC269" s="63" t="b">
        <f t="shared" si="1"/>
        <v>1</v>
      </c>
      <c r="AD269" s="61" t="b">
        <v>0</v>
      </c>
      <c r="AE269" s="32" t="s">
        <v>280</v>
      </c>
      <c r="AF269" s="46"/>
      <c r="AG269" s="46"/>
      <c r="AH269" s="46"/>
      <c r="AI269" s="46"/>
      <c r="AJ269" s="46"/>
    </row>
    <row r="270" ht="22.5" customHeight="1">
      <c r="A270" s="27">
        <v>46063.0</v>
      </c>
      <c r="B270" s="34" t="str">
        <f t="array" ref="B270">TEXT(A270, "MM-YYYY")</f>
        <v>02-2026</v>
      </c>
      <c r="C270" s="39" t="s">
        <v>1552</v>
      </c>
      <c r="D270" s="36" t="s">
        <v>210</v>
      </c>
      <c r="E270" s="36" t="s">
        <v>213</v>
      </c>
      <c r="F270" s="29" t="b">
        <v>1</v>
      </c>
      <c r="G270" s="49"/>
      <c r="H270" s="36" t="s">
        <v>215</v>
      </c>
      <c r="I270" s="39"/>
      <c r="J270" s="43"/>
      <c r="K270" s="37" t="s">
        <v>396</v>
      </c>
      <c r="L270" s="37" t="s">
        <v>2080</v>
      </c>
      <c r="M270" s="37" t="s">
        <v>658</v>
      </c>
      <c r="N270" s="37" t="s">
        <v>618</v>
      </c>
      <c r="O270" s="37" t="s">
        <v>837</v>
      </c>
      <c r="P270" s="37" t="s">
        <v>1099</v>
      </c>
      <c r="Q270" s="41">
        <v>46025.0</v>
      </c>
      <c r="R270" s="42">
        <v>0.0</v>
      </c>
      <c r="S270" s="29"/>
      <c r="T270" s="37" t="s">
        <v>2083</v>
      </c>
      <c r="U270" s="57" t="str">
        <f>IF(records_2[Type]="Room",records_2[roomNo],records_2[roomNo]&amp;"-"&amp;SUBSTITUTE(RIGHT(records_2[roomNo]&amp;records_2[Type],2),"-",""))</f>
        <v>16-3-098</v>
      </c>
      <c r="V270" s="59" t="str">
        <f t="array" ref="V270">_xlfn.XLOOKUP(records_2[ID], dAir[roomNo], dAir[roomName])</f>
        <v>AIRLOCK</v>
      </c>
      <c r="W270" s="59" t="str">
        <f t="array" ref="W270">_xlfn.XLOOKUP(records_2[ID], dAir[roomNo], dAir[building])</f>
        <v>Building 16</v>
      </c>
      <c r="X270" s="59" t="str">
        <f t="array" ref="X270">_xlfn.XLOOKUP(records_2[ID], dAir[roomNo], dAir[floor])</f>
        <v>Floor 3</v>
      </c>
      <c r="Y270" s="57" t="str">
        <f t="array" ref="Y270">_xlfn.XLOOKUP(records_2[ID], dAir[roomNo], dAir[Class])</f>
        <v>D</v>
      </c>
      <c r="Z270" s="57">
        <f t="array" ref="Z270">_xlfn.XLOOKUP(records_2[Method]&amp;"-"&amp;records_2[Class], dAirSpec[ID], dAirSpec[Spec])</f>
        <v>100</v>
      </c>
      <c r="AA270" s="57" t="str">
        <f t="array" ref="AA270">_xlfn.XLOOKUP(records_2[Method]&amp;"-"&amp;records_2[Class], dAirSpec[ID], dAirSpec[Unit])</f>
        <v>cfu/plate</v>
      </c>
      <c r="AB270" s="62">
        <f t="array" ref="AB270">if(R270="","", if(records_2[Method]="Active Air",_xlfn.xlookup(records_2[ColonyCount]&amp;records_2[AirSampler],feller[code],feller[Vc]),records_2[ColonyCount]))</f>
        <v>0</v>
      </c>
      <c r="AC270" s="63" t="b">
        <f t="shared" si="1"/>
        <v>1</v>
      </c>
      <c r="AD270" s="61" t="b">
        <v>0</v>
      </c>
      <c r="AE270" s="32" t="s">
        <v>280</v>
      </c>
      <c r="AF270" s="46"/>
      <c r="AG270" s="46"/>
      <c r="AH270" s="46"/>
      <c r="AI270" s="46"/>
      <c r="AJ270" s="46"/>
    </row>
    <row r="271" ht="22.5" customHeight="1">
      <c r="A271" s="27">
        <v>46063.0</v>
      </c>
      <c r="B271" s="34" t="str">
        <f t="array" ref="B271">TEXT(A271, "MM-YYYY")</f>
        <v>02-2026</v>
      </c>
      <c r="C271" s="39" t="s">
        <v>1553</v>
      </c>
      <c r="D271" s="36" t="s">
        <v>210</v>
      </c>
      <c r="E271" s="36" t="s">
        <v>213</v>
      </c>
      <c r="F271" s="29" t="b">
        <v>1</v>
      </c>
      <c r="G271" s="49"/>
      <c r="H271" s="36" t="s">
        <v>215</v>
      </c>
      <c r="I271" s="39"/>
      <c r="J271" s="43"/>
      <c r="K271" s="37" t="s">
        <v>396</v>
      </c>
      <c r="L271" s="37" t="s">
        <v>1791</v>
      </c>
      <c r="M271" s="37" t="s">
        <v>658</v>
      </c>
      <c r="N271" s="37" t="s">
        <v>618</v>
      </c>
      <c r="O271" s="37" t="s">
        <v>837</v>
      </c>
      <c r="P271" s="37" t="s">
        <v>1099</v>
      </c>
      <c r="Q271" s="41">
        <v>46025.0</v>
      </c>
      <c r="R271" s="42">
        <v>0.0</v>
      </c>
      <c r="S271" s="29"/>
      <c r="T271" s="37" t="s">
        <v>2083</v>
      </c>
      <c r="U271" s="57" t="str">
        <f>IF(records_2[Type]="Room",records_2[roomNo],records_2[roomNo]&amp;"-"&amp;SUBSTITUTE(RIGHT(records_2[roomNo]&amp;records_2[Type],2),"-",""))</f>
        <v>16-3-099</v>
      </c>
      <c r="V271" s="59" t="str">
        <f t="array" ref="V271">_xlfn.XLOOKUP(records_2[ID], dAir[roomNo], dAir[roomName])</f>
        <v>FILLING 2</v>
      </c>
      <c r="W271" s="59" t="str">
        <f t="array" ref="W271">_xlfn.XLOOKUP(records_2[ID], dAir[roomNo], dAir[building])</f>
        <v>Building 16</v>
      </c>
      <c r="X271" s="59" t="str">
        <f t="array" ref="X271">_xlfn.XLOOKUP(records_2[ID], dAir[roomNo], dAir[floor])</f>
        <v>Floor 3</v>
      </c>
      <c r="Y271" s="57" t="str">
        <f t="array" ref="Y271">_xlfn.XLOOKUP(records_2[ID], dAir[roomNo], dAir[Class])</f>
        <v>D</v>
      </c>
      <c r="Z271" s="57">
        <f t="array" ref="Z271">_xlfn.XLOOKUP(records_2[Method]&amp;"-"&amp;records_2[Class], dAirSpec[ID], dAirSpec[Spec])</f>
        <v>100</v>
      </c>
      <c r="AA271" s="57" t="str">
        <f t="array" ref="AA271">_xlfn.XLOOKUP(records_2[Method]&amp;"-"&amp;records_2[Class], dAirSpec[ID], dAirSpec[Unit])</f>
        <v>cfu/plate</v>
      </c>
      <c r="AB271" s="62">
        <f t="array" ref="AB271">if(R271="","", if(records_2[Method]="Active Air",_xlfn.xlookup(records_2[ColonyCount]&amp;records_2[AirSampler],feller[code],feller[Vc]),records_2[ColonyCount]))</f>
        <v>0</v>
      </c>
      <c r="AC271" s="63" t="b">
        <f t="shared" si="1"/>
        <v>1</v>
      </c>
      <c r="AD271" s="61" t="b">
        <v>0</v>
      </c>
      <c r="AE271" s="32" t="s">
        <v>280</v>
      </c>
      <c r="AF271" s="46"/>
      <c r="AG271" s="46"/>
      <c r="AH271" s="46"/>
      <c r="AI271" s="46"/>
      <c r="AJ271" s="46"/>
    </row>
    <row r="272" ht="22.5" customHeight="1">
      <c r="A272" s="27">
        <v>46063.0</v>
      </c>
      <c r="B272" s="34" t="str">
        <f t="array" ref="B272">TEXT(A272, "MM-YYYY")</f>
        <v>02-2026</v>
      </c>
      <c r="C272" s="39" t="s">
        <v>1554</v>
      </c>
      <c r="D272" s="36" t="s">
        <v>210</v>
      </c>
      <c r="E272" s="36" t="s">
        <v>213</v>
      </c>
      <c r="F272" s="29" t="b">
        <v>1</v>
      </c>
      <c r="G272" s="49"/>
      <c r="H272" s="36" t="s">
        <v>215</v>
      </c>
      <c r="I272" s="39"/>
      <c r="J272" s="43"/>
      <c r="K272" s="37" t="s">
        <v>2100</v>
      </c>
      <c r="L272" s="37" t="s">
        <v>526</v>
      </c>
      <c r="M272" s="37" t="s">
        <v>677</v>
      </c>
      <c r="N272" s="37" t="s">
        <v>634</v>
      </c>
      <c r="O272" s="37" t="s">
        <v>837</v>
      </c>
      <c r="P272" s="37" t="s">
        <v>1099</v>
      </c>
      <c r="Q272" s="41">
        <v>46025.0</v>
      </c>
      <c r="R272" s="42">
        <v>0.0</v>
      </c>
      <c r="S272" s="29"/>
      <c r="T272" s="37" t="s">
        <v>2083</v>
      </c>
      <c r="U272" s="57" t="str">
        <f>IF(records_2[Type]="Room",records_2[roomNo],records_2[roomNo]&amp;"-"&amp;SUBSTITUTE(RIGHT(records_2[roomNo]&amp;records_2[Type],2),"-",""))</f>
        <v>16-3-100</v>
      </c>
      <c r="V272" s="59" t="str">
        <f t="array" ref="V272">_xlfn.XLOOKUP(records_2[ID], dAir[roomNo], dAir[roomName])</f>
        <v>AIRLOCK</v>
      </c>
      <c r="W272" s="59" t="str">
        <f t="array" ref="W272">_xlfn.XLOOKUP(records_2[ID], dAir[roomNo], dAir[building])</f>
        <v>Building 16</v>
      </c>
      <c r="X272" s="59" t="str">
        <f t="array" ref="X272">_xlfn.XLOOKUP(records_2[ID], dAir[roomNo], dAir[floor])</f>
        <v>Floor 3</v>
      </c>
      <c r="Y272" s="57" t="str">
        <f t="array" ref="Y272">_xlfn.XLOOKUP(records_2[ID], dAir[roomNo], dAir[Class])</f>
        <v>D</v>
      </c>
      <c r="Z272" s="57">
        <f t="array" ref="Z272">_xlfn.XLOOKUP(records_2[Method]&amp;"-"&amp;records_2[Class], dAirSpec[ID], dAirSpec[Spec])</f>
        <v>100</v>
      </c>
      <c r="AA272" s="57" t="str">
        <f t="array" ref="AA272">_xlfn.XLOOKUP(records_2[Method]&amp;"-"&amp;records_2[Class], dAirSpec[ID], dAirSpec[Unit])</f>
        <v>cfu/plate</v>
      </c>
      <c r="AB272" s="62">
        <f t="array" ref="AB272">if(R272="","", if(records_2[Method]="Active Air",_xlfn.xlookup(records_2[ColonyCount]&amp;records_2[AirSampler],feller[code],feller[Vc]),records_2[ColonyCount]))</f>
        <v>0</v>
      </c>
      <c r="AC272" s="63" t="b">
        <f t="shared" si="1"/>
        <v>1</v>
      </c>
      <c r="AD272" s="61" t="b">
        <v>0</v>
      </c>
      <c r="AE272" s="32" t="s">
        <v>280</v>
      </c>
      <c r="AF272" s="46"/>
      <c r="AG272" s="46"/>
      <c r="AH272" s="46"/>
      <c r="AI272" s="46"/>
      <c r="AJ272" s="46"/>
    </row>
    <row r="273" ht="22.5" customHeight="1">
      <c r="A273" s="27">
        <v>46063.0</v>
      </c>
      <c r="B273" s="34" t="str">
        <f t="array" ref="B273">TEXT(A273, "MM-YYYY")</f>
        <v>02-2026</v>
      </c>
      <c r="C273" s="39" t="s">
        <v>1555</v>
      </c>
      <c r="D273" s="36" t="s">
        <v>210</v>
      </c>
      <c r="E273" s="36" t="s">
        <v>213</v>
      </c>
      <c r="F273" s="29" t="b">
        <v>1</v>
      </c>
      <c r="G273" s="49"/>
      <c r="H273" s="36" t="s">
        <v>215</v>
      </c>
      <c r="I273" s="39"/>
      <c r="J273" s="43"/>
      <c r="K273" s="37" t="s">
        <v>591</v>
      </c>
      <c r="L273" s="37" t="s">
        <v>477</v>
      </c>
      <c r="M273" s="37" t="s">
        <v>664</v>
      </c>
      <c r="N273" s="37" t="s">
        <v>634</v>
      </c>
      <c r="O273" s="37" t="s">
        <v>837</v>
      </c>
      <c r="P273" s="37" t="s">
        <v>1099</v>
      </c>
      <c r="Q273" s="41">
        <v>46025.0</v>
      </c>
      <c r="R273" s="42">
        <v>0.0</v>
      </c>
      <c r="S273" s="29"/>
      <c r="T273" s="37" t="s">
        <v>2083</v>
      </c>
      <c r="U273" s="57" t="str">
        <f>IF(records_2[Type]="Room",records_2[roomNo],records_2[roomNo]&amp;"-"&amp;SUBSTITUTE(RIGHT(records_2[roomNo]&amp;records_2[Type],2),"-",""))</f>
        <v>16-3-101</v>
      </c>
      <c r="V273" s="59" t="str">
        <f t="array" ref="V273">_xlfn.XLOOKUP(records_2[ID], dAir[roomNo], dAir[roomName])</f>
        <v>FILLING 3</v>
      </c>
      <c r="W273" s="59" t="str">
        <f t="array" ref="W273">_xlfn.XLOOKUP(records_2[ID], dAir[roomNo], dAir[building])</f>
        <v>Building 16</v>
      </c>
      <c r="X273" s="59" t="str">
        <f t="array" ref="X273">_xlfn.XLOOKUP(records_2[ID], dAir[roomNo], dAir[floor])</f>
        <v>Floor 3</v>
      </c>
      <c r="Y273" s="57" t="str">
        <f t="array" ref="Y273">_xlfn.XLOOKUP(records_2[ID], dAir[roomNo], dAir[Class])</f>
        <v>D</v>
      </c>
      <c r="Z273" s="57">
        <f t="array" ref="Z273">_xlfn.XLOOKUP(records_2[Method]&amp;"-"&amp;records_2[Class], dAirSpec[ID], dAirSpec[Spec])</f>
        <v>100</v>
      </c>
      <c r="AA273" s="57" t="str">
        <f t="array" ref="AA273">_xlfn.XLOOKUP(records_2[Method]&amp;"-"&amp;records_2[Class], dAirSpec[ID], dAirSpec[Unit])</f>
        <v>cfu/plate</v>
      </c>
      <c r="AB273" s="62">
        <f t="array" ref="AB273">if(R273="","", if(records_2[Method]="Active Air",_xlfn.xlookup(records_2[ColonyCount]&amp;records_2[AirSampler],feller[code],feller[Vc]),records_2[ColonyCount]))</f>
        <v>0</v>
      </c>
      <c r="AC273" s="63" t="b">
        <f t="shared" si="1"/>
        <v>1</v>
      </c>
      <c r="AD273" s="61" t="b">
        <v>0</v>
      </c>
      <c r="AE273" s="32" t="s">
        <v>280</v>
      </c>
      <c r="AF273" s="46"/>
      <c r="AG273" s="46"/>
      <c r="AH273" s="46"/>
      <c r="AI273" s="46"/>
      <c r="AJ273" s="46"/>
    </row>
    <row r="274" ht="22.5" customHeight="1">
      <c r="A274" s="27">
        <v>46063.0</v>
      </c>
      <c r="B274" s="34" t="str">
        <f t="array" ref="B274">TEXT(A274, "MM-YYYY")</f>
        <v>02-2026</v>
      </c>
      <c r="C274" s="39" t="s">
        <v>1557</v>
      </c>
      <c r="D274" s="36" t="s">
        <v>210</v>
      </c>
      <c r="E274" s="36" t="s">
        <v>213</v>
      </c>
      <c r="F274" s="29" t="b">
        <v>1</v>
      </c>
      <c r="G274" s="49"/>
      <c r="H274" s="36" t="s">
        <v>215</v>
      </c>
      <c r="I274" s="39"/>
      <c r="J274" s="43"/>
      <c r="K274" s="37" t="s">
        <v>591</v>
      </c>
      <c r="L274" s="37" t="s">
        <v>2236</v>
      </c>
      <c r="M274" s="37" t="s">
        <v>261</v>
      </c>
      <c r="N274" s="37" t="s">
        <v>650</v>
      </c>
      <c r="O274" s="37" t="s">
        <v>837</v>
      </c>
      <c r="P274" s="37" t="s">
        <v>1099</v>
      </c>
      <c r="Q274" s="41">
        <v>46025.0</v>
      </c>
      <c r="R274" s="42">
        <v>0.0</v>
      </c>
      <c r="S274" s="29"/>
      <c r="T274" s="37" t="s">
        <v>2083</v>
      </c>
      <c r="U274" s="57" t="str">
        <f>IF(records_2[Type]="Room",records_2[roomNo],records_2[roomNo]&amp;"-"&amp;SUBSTITUTE(RIGHT(records_2[roomNo]&amp;records_2[Type],2),"-",""))</f>
        <v>16-3-102</v>
      </c>
      <c r="V274" s="59" t="str">
        <f t="array" ref="V274">_xlfn.XLOOKUP(records_2[ID], dAir[roomNo], dAir[roomName])</f>
        <v>AIRLOCK</v>
      </c>
      <c r="W274" s="59" t="str">
        <f t="array" ref="W274">_xlfn.XLOOKUP(records_2[ID], dAir[roomNo], dAir[building])</f>
        <v>Building 16</v>
      </c>
      <c r="X274" s="59" t="str">
        <f t="array" ref="X274">_xlfn.XLOOKUP(records_2[ID], dAir[roomNo], dAir[floor])</f>
        <v>Floor 3</v>
      </c>
      <c r="Y274" s="57" t="str">
        <f t="array" ref="Y274">_xlfn.XLOOKUP(records_2[ID], dAir[roomNo], dAir[Class])</f>
        <v>D</v>
      </c>
      <c r="Z274" s="57">
        <f t="array" ref="Z274">_xlfn.XLOOKUP(records_2[Method]&amp;"-"&amp;records_2[Class], dAirSpec[ID], dAirSpec[Spec])</f>
        <v>100</v>
      </c>
      <c r="AA274" s="57" t="str">
        <f t="array" ref="AA274">_xlfn.XLOOKUP(records_2[Method]&amp;"-"&amp;records_2[Class], dAirSpec[ID], dAirSpec[Unit])</f>
        <v>cfu/plate</v>
      </c>
      <c r="AB274" s="62">
        <f t="array" ref="AB274">if(R274="","", if(records_2[Method]="Active Air",_xlfn.xlookup(records_2[ColonyCount]&amp;records_2[AirSampler],feller[code],feller[Vc]),records_2[ColonyCount]))</f>
        <v>0</v>
      </c>
      <c r="AC274" s="63" t="b">
        <f t="shared" si="1"/>
        <v>1</v>
      </c>
      <c r="AD274" s="61" t="b">
        <v>0</v>
      </c>
      <c r="AE274" s="32" t="s">
        <v>280</v>
      </c>
      <c r="AF274" s="46"/>
      <c r="AG274" s="46"/>
      <c r="AH274" s="46"/>
      <c r="AI274" s="46"/>
      <c r="AJ274" s="46"/>
    </row>
    <row r="275" ht="22.5" customHeight="1">
      <c r="A275" s="27">
        <v>46063.0</v>
      </c>
      <c r="B275" s="34" t="str">
        <f t="array" ref="B275">TEXT(A275, "MM-YYYY")</f>
        <v>02-2026</v>
      </c>
      <c r="C275" s="39" t="s">
        <v>1558</v>
      </c>
      <c r="D275" s="36" t="s">
        <v>210</v>
      </c>
      <c r="E275" s="36" t="s">
        <v>213</v>
      </c>
      <c r="F275" s="29" t="b">
        <v>1</v>
      </c>
      <c r="G275" s="49"/>
      <c r="H275" s="36" t="s">
        <v>215</v>
      </c>
      <c r="I275" s="39"/>
      <c r="J275" s="43"/>
      <c r="K275" s="37" t="s">
        <v>599</v>
      </c>
      <c r="L275" s="37" t="s">
        <v>429</v>
      </c>
      <c r="M275" s="37" t="s">
        <v>261</v>
      </c>
      <c r="N275" s="37" t="s">
        <v>634</v>
      </c>
      <c r="O275" s="37" t="s">
        <v>837</v>
      </c>
      <c r="P275" s="37" t="s">
        <v>1099</v>
      </c>
      <c r="Q275" s="41">
        <v>46025.0</v>
      </c>
      <c r="R275" s="42">
        <v>0.0</v>
      </c>
      <c r="S275" s="29"/>
      <c r="T275" s="37" t="s">
        <v>2083</v>
      </c>
      <c r="U275" s="57" t="str">
        <f>IF(records_2[Type]="Room",records_2[roomNo],records_2[roomNo]&amp;"-"&amp;SUBSTITUTE(RIGHT(records_2[roomNo]&amp;records_2[Type],2),"-",""))</f>
        <v>16-3-103</v>
      </c>
      <c r="V275" s="59" t="str">
        <f t="array" ref="V275">_xlfn.XLOOKUP(records_2[ID], dAir[roomNo], dAir[roomName])</f>
        <v>FILLING 4</v>
      </c>
      <c r="W275" s="59" t="str">
        <f t="array" ref="W275">_xlfn.XLOOKUP(records_2[ID], dAir[roomNo], dAir[building])</f>
        <v>Building 16</v>
      </c>
      <c r="X275" s="59" t="str">
        <f t="array" ref="X275">_xlfn.XLOOKUP(records_2[ID], dAir[roomNo], dAir[floor])</f>
        <v>Floor 3</v>
      </c>
      <c r="Y275" s="57" t="str">
        <f t="array" ref="Y275">_xlfn.XLOOKUP(records_2[ID], dAir[roomNo], dAir[Class])</f>
        <v>D</v>
      </c>
      <c r="Z275" s="57">
        <f t="array" ref="Z275">_xlfn.XLOOKUP(records_2[Method]&amp;"-"&amp;records_2[Class], dAirSpec[ID], dAirSpec[Spec])</f>
        <v>100</v>
      </c>
      <c r="AA275" s="57" t="str">
        <f t="array" ref="AA275">_xlfn.XLOOKUP(records_2[Method]&amp;"-"&amp;records_2[Class], dAirSpec[ID], dAirSpec[Unit])</f>
        <v>cfu/plate</v>
      </c>
      <c r="AB275" s="62">
        <f t="array" ref="AB275">if(R275="","", if(records_2[Method]="Active Air",_xlfn.xlookup(records_2[ColonyCount]&amp;records_2[AirSampler],feller[code],feller[Vc]),records_2[ColonyCount]))</f>
        <v>0</v>
      </c>
      <c r="AC275" s="63" t="b">
        <f t="shared" si="1"/>
        <v>1</v>
      </c>
      <c r="AD275" s="61" t="b">
        <v>0</v>
      </c>
      <c r="AE275" s="32" t="s">
        <v>280</v>
      </c>
      <c r="AF275" s="46"/>
      <c r="AG275" s="46"/>
      <c r="AH275" s="46"/>
      <c r="AI275" s="46"/>
      <c r="AJ275" s="46"/>
    </row>
    <row r="276" ht="22.5" customHeight="1">
      <c r="A276" s="27">
        <v>46063.0</v>
      </c>
      <c r="B276" s="34" t="str">
        <f t="array" ref="B276">TEXT(A276, "MM-YYYY")</f>
        <v>02-2026</v>
      </c>
      <c r="C276" s="39" t="s">
        <v>1560</v>
      </c>
      <c r="D276" s="36" t="s">
        <v>210</v>
      </c>
      <c r="E276" s="36" t="s">
        <v>213</v>
      </c>
      <c r="F276" s="29" t="b">
        <v>1</v>
      </c>
      <c r="G276" s="49"/>
      <c r="H276" s="36" t="s">
        <v>215</v>
      </c>
      <c r="I276" s="39"/>
      <c r="J276" s="43"/>
      <c r="K276" s="37" t="s">
        <v>539</v>
      </c>
      <c r="L276" s="37" t="s">
        <v>1072</v>
      </c>
      <c r="M276" s="37" t="s">
        <v>319</v>
      </c>
      <c r="N276" s="37" t="s">
        <v>650</v>
      </c>
      <c r="O276" s="37" t="s">
        <v>837</v>
      </c>
      <c r="P276" s="37" t="s">
        <v>1099</v>
      </c>
      <c r="Q276" s="41">
        <v>46025.0</v>
      </c>
      <c r="R276" s="42">
        <v>0.0</v>
      </c>
      <c r="S276" s="29"/>
      <c r="T276" s="37" t="s">
        <v>2083</v>
      </c>
      <c r="U276" s="57" t="str">
        <f>IF(records_2[Type]="Room",records_2[roomNo],records_2[roomNo]&amp;"-"&amp;SUBSTITUTE(RIGHT(records_2[roomNo]&amp;records_2[Type],2),"-",""))</f>
        <v>16-3-104</v>
      </c>
      <c r="V276" s="59" t="str">
        <f t="array" ref="V276">_xlfn.XLOOKUP(records_2[ID], dAir[roomNo], dAir[roomName])</f>
        <v>AIRLOCK</v>
      </c>
      <c r="W276" s="59" t="str">
        <f t="array" ref="W276">_xlfn.XLOOKUP(records_2[ID], dAir[roomNo], dAir[building])</f>
        <v>Building 16</v>
      </c>
      <c r="X276" s="59" t="str">
        <f t="array" ref="X276">_xlfn.XLOOKUP(records_2[ID], dAir[roomNo], dAir[floor])</f>
        <v>Floor 3</v>
      </c>
      <c r="Y276" s="57" t="str">
        <f t="array" ref="Y276">_xlfn.XLOOKUP(records_2[ID], dAir[roomNo], dAir[Class])</f>
        <v>D</v>
      </c>
      <c r="Z276" s="57">
        <f t="array" ref="Z276">_xlfn.XLOOKUP(records_2[Method]&amp;"-"&amp;records_2[Class], dAirSpec[ID], dAirSpec[Spec])</f>
        <v>100</v>
      </c>
      <c r="AA276" s="57" t="str">
        <f t="array" ref="AA276">_xlfn.XLOOKUP(records_2[Method]&amp;"-"&amp;records_2[Class], dAirSpec[ID], dAirSpec[Unit])</f>
        <v>cfu/plate</v>
      </c>
      <c r="AB276" s="62">
        <f t="array" ref="AB276">if(R276="","", if(records_2[Method]="Active Air",_xlfn.xlookup(records_2[ColonyCount]&amp;records_2[AirSampler],feller[code],feller[Vc]),records_2[ColonyCount]))</f>
        <v>0</v>
      </c>
      <c r="AC276" s="63" t="b">
        <f t="shared" si="1"/>
        <v>1</v>
      </c>
      <c r="AD276" s="61" t="b">
        <v>0</v>
      </c>
      <c r="AE276" s="32" t="s">
        <v>280</v>
      </c>
      <c r="AF276" s="46"/>
      <c r="AG276" s="46"/>
      <c r="AH276" s="46"/>
      <c r="AI276" s="46"/>
      <c r="AJ276" s="46"/>
    </row>
    <row r="277" ht="22.5" customHeight="1">
      <c r="A277" s="27">
        <v>46063.0</v>
      </c>
      <c r="B277" s="34" t="str">
        <f t="array" ref="B277">TEXT(A277, "MM-YYYY")</f>
        <v>02-2026</v>
      </c>
      <c r="C277" s="39" t="s">
        <v>1561</v>
      </c>
      <c r="D277" s="36" t="s">
        <v>210</v>
      </c>
      <c r="E277" s="36" t="s">
        <v>213</v>
      </c>
      <c r="F277" s="29" t="b">
        <v>1</v>
      </c>
      <c r="G277" s="49"/>
      <c r="H277" s="36" t="s">
        <v>215</v>
      </c>
      <c r="I277" s="39"/>
      <c r="J277" s="43"/>
      <c r="K277" s="37" t="s">
        <v>696</v>
      </c>
      <c r="L277" s="37" t="s">
        <v>311</v>
      </c>
      <c r="M277" s="37" t="s">
        <v>332</v>
      </c>
      <c r="N277" s="37" t="s">
        <v>650</v>
      </c>
      <c r="O277" s="37" t="s">
        <v>837</v>
      </c>
      <c r="P277" s="37" t="s">
        <v>1099</v>
      </c>
      <c r="Q277" s="41">
        <v>46025.0</v>
      </c>
      <c r="R277" s="42">
        <v>0.0</v>
      </c>
      <c r="S277" s="29"/>
      <c r="T277" s="37" t="s">
        <v>2083</v>
      </c>
      <c r="U277" s="57" t="str">
        <f>IF(records_2[Type]="Room",records_2[roomNo],records_2[roomNo]&amp;"-"&amp;SUBSTITUTE(RIGHT(records_2[roomNo]&amp;records_2[Type],2),"-",""))</f>
        <v>16-3-105</v>
      </c>
      <c r="V277" s="59" t="str">
        <f t="array" ref="V277">_xlfn.XLOOKUP(records_2[ID], dAir[roomNo], dAir[roomName])</f>
        <v>FILLING 5</v>
      </c>
      <c r="W277" s="59" t="str">
        <f t="array" ref="W277">_xlfn.XLOOKUP(records_2[ID], dAir[roomNo], dAir[building])</f>
        <v>Building 16</v>
      </c>
      <c r="X277" s="59" t="str">
        <f t="array" ref="X277">_xlfn.XLOOKUP(records_2[ID], dAir[roomNo], dAir[floor])</f>
        <v>Floor 3</v>
      </c>
      <c r="Y277" s="57" t="str">
        <f t="array" ref="Y277">_xlfn.XLOOKUP(records_2[ID], dAir[roomNo], dAir[Class])</f>
        <v>D</v>
      </c>
      <c r="Z277" s="57">
        <f t="array" ref="Z277">_xlfn.XLOOKUP(records_2[Method]&amp;"-"&amp;records_2[Class], dAirSpec[ID], dAirSpec[Spec])</f>
        <v>100</v>
      </c>
      <c r="AA277" s="57" t="str">
        <f t="array" ref="AA277">_xlfn.XLOOKUP(records_2[Method]&amp;"-"&amp;records_2[Class], dAirSpec[ID], dAirSpec[Unit])</f>
        <v>cfu/plate</v>
      </c>
      <c r="AB277" s="62">
        <f t="array" ref="AB277">if(R277="","", if(records_2[Method]="Active Air",_xlfn.xlookup(records_2[ColonyCount]&amp;records_2[AirSampler],feller[code],feller[Vc]),records_2[ColonyCount]))</f>
        <v>0</v>
      </c>
      <c r="AC277" s="63" t="b">
        <f t="shared" si="1"/>
        <v>1</v>
      </c>
      <c r="AD277" s="61" t="b">
        <v>0</v>
      </c>
      <c r="AE277" s="32" t="s">
        <v>280</v>
      </c>
      <c r="AF277" s="46"/>
      <c r="AG277" s="46"/>
      <c r="AH277" s="46"/>
      <c r="AI277" s="46"/>
      <c r="AJ277" s="46"/>
    </row>
    <row r="278" ht="22.5" customHeight="1">
      <c r="A278" s="27">
        <v>46063.0</v>
      </c>
      <c r="B278" s="34" t="str">
        <f t="array" ref="B278">TEXT(A278, "MM-YYYY")</f>
        <v>02-2026</v>
      </c>
      <c r="C278" s="39" t="s">
        <v>1563</v>
      </c>
      <c r="D278" s="36" t="s">
        <v>210</v>
      </c>
      <c r="E278" s="36" t="s">
        <v>213</v>
      </c>
      <c r="F278" s="29" t="b">
        <v>1</v>
      </c>
      <c r="G278" s="49"/>
      <c r="H278" s="36" t="s">
        <v>215</v>
      </c>
      <c r="I278" s="39"/>
      <c r="J278" s="43"/>
      <c r="K278" s="37" t="s">
        <v>591</v>
      </c>
      <c r="L278" s="37" t="s">
        <v>403</v>
      </c>
      <c r="M278" s="37" t="s">
        <v>829</v>
      </c>
      <c r="N278" s="37" t="s">
        <v>1984</v>
      </c>
      <c r="O278" s="37" t="s">
        <v>837</v>
      </c>
      <c r="P278" s="37" t="s">
        <v>1099</v>
      </c>
      <c r="Q278" s="41">
        <v>46025.0</v>
      </c>
      <c r="R278" s="42">
        <v>0.0</v>
      </c>
      <c r="S278" s="29"/>
      <c r="T278" s="37" t="s">
        <v>2083</v>
      </c>
      <c r="U278" s="57" t="str">
        <f>IF(records_2[Type]="Room",records_2[roomNo],records_2[roomNo]&amp;"-"&amp;SUBSTITUTE(RIGHT(records_2[roomNo]&amp;records_2[Type],2),"-",""))</f>
        <v>16-3-106</v>
      </c>
      <c r="V278" s="59" t="str">
        <f t="array" ref="V278">_xlfn.XLOOKUP(records_2[ID], dAir[roomNo], dAir[roomName])</f>
        <v>AIRLOCK</v>
      </c>
      <c r="W278" s="59" t="str">
        <f t="array" ref="W278">_xlfn.XLOOKUP(records_2[ID], dAir[roomNo], dAir[building])</f>
        <v>Building 16</v>
      </c>
      <c r="X278" s="59" t="str">
        <f t="array" ref="X278">_xlfn.XLOOKUP(records_2[ID], dAir[roomNo], dAir[floor])</f>
        <v>Floor 3</v>
      </c>
      <c r="Y278" s="57" t="str">
        <f t="array" ref="Y278">_xlfn.XLOOKUP(records_2[ID], dAir[roomNo], dAir[Class])</f>
        <v>D</v>
      </c>
      <c r="Z278" s="57">
        <f t="array" ref="Z278">_xlfn.XLOOKUP(records_2[Method]&amp;"-"&amp;records_2[Class], dAirSpec[ID], dAirSpec[Spec])</f>
        <v>100</v>
      </c>
      <c r="AA278" s="57" t="str">
        <f t="array" ref="AA278">_xlfn.XLOOKUP(records_2[Method]&amp;"-"&amp;records_2[Class], dAirSpec[ID], dAirSpec[Unit])</f>
        <v>cfu/plate</v>
      </c>
      <c r="AB278" s="62">
        <f t="array" ref="AB278">if(R278="","", if(records_2[Method]="Active Air",_xlfn.xlookup(records_2[ColonyCount]&amp;records_2[AirSampler],feller[code],feller[Vc]),records_2[ColonyCount]))</f>
        <v>0</v>
      </c>
      <c r="AC278" s="63" t="b">
        <f t="shared" si="1"/>
        <v>1</v>
      </c>
      <c r="AD278" s="61" t="b">
        <v>0</v>
      </c>
      <c r="AE278" s="32" t="s">
        <v>280</v>
      </c>
      <c r="AF278" s="46"/>
      <c r="AG278" s="46"/>
      <c r="AH278" s="46"/>
      <c r="AI278" s="46"/>
      <c r="AJ278" s="46"/>
    </row>
    <row r="279" ht="22.5" customHeight="1">
      <c r="A279" s="27">
        <v>46063.0</v>
      </c>
      <c r="B279" s="34" t="str">
        <f t="array" ref="B279">TEXT(A279, "MM-YYYY")</f>
        <v>02-2026</v>
      </c>
      <c r="C279" s="39" t="s">
        <v>1564</v>
      </c>
      <c r="D279" s="36" t="s">
        <v>210</v>
      </c>
      <c r="E279" s="36" t="s">
        <v>213</v>
      </c>
      <c r="F279" s="29" t="b">
        <v>1</v>
      </c>
      <c r="G279" s="49"/>
      <c r="H279" s="36" t="s">
        <v>215</v>
      </c>
      <c r="I279" s="39"/>
      <c r="J279" s="43"/>
      <c r="K279" s="37" t="s">
        <v>696</v>
      </c>
      <c r="L279" s="37" t="s">
        <v>407</v>
      </c>
      <c r="M279" s="37" t="s">
        <v>378</v>
      </c>
      <c r="N279" s="37" t="s">
        <v>1984</v>
      </c>
      <c r="O279" s="37" t="s">
        <v>837</v>
      </c>
      <c r="P279" s="37" t="s">
        <v>1099</v>
      </c>
      <c r="Q279" s="41">
        <v>46025.0</v>
      </c>
      <c r="R279" s="42">
        <v>0.0</v>
      </c>
      <c r="S279" s="29"/>
      <c r="T279" s="37" t="s">
        <v>2083</v>
      </c>
      <c r="U279" s="57" t="str">
        <f>IF(records_2[Type]="Room",records_2[roomNo],records_2[roomNo]&amp;"-"&amp;SUBSTITUTE(RIGHT(records_2[roomNo]&amp;records_2[Type],2),"-",""))</f>
        <v>16-3-107</v>
      </c>
      <c r="V279" s="59" t="str">
        <f t="array" ref="V279">_xlfn.XLOOKUP(records_2[ID], dAir[roomNo], dAir[roomName])</f>
        <v>FILLING 6</v>
      </c>
      <c r="W279" s="59" t="str">
        <f t="array" ref="W279">_xlfn.XLOOKUP(records_2[ID], dAir[roomNo], dAir[building])</f>
        <v>Building 16</v>
      </c>
      <c r="X279" s="59" t="str">
        <f t="array" ref="X279">_xlfn.XLOOKUP(records_2[ID], dAir[roomNo], dAir[floor])</f>
        <v>Floor 3</v>
      </c>
      <c r="Y279" s="57" t="str">
        <f t="array" ref="Y279">_xlfn.XLOOKUP(records_2[ID], dAir[roomNo], dAir[Class])</f>
        <v>D</v>
      </c>
      <c r="Z279" s="57">
        <f t="array" ref="Z279">_xlfn.XLOOKUP(records_2[Method]&amp;"-"&amp;records_2[Class], dAirSpec[ID], dAirSpec[Spec])</f>
        <v>100</v>
      </c>
      <c r="AA279" s="57" t="str">
        <f t="array" ref="AA279">_xlfn.XLOOKUP(records_2[Method]&amp;"-"&amp;records_2[Class], dAirSpec[ID], dAirSpec[Unit])</f>
        <v>cfu/plate</v>
      </c>
      <c r="AB279" s="62">
        <f t="array" ref="AB279">if(R279="","", if(records_2[Method]="Active Air",_xlfn.xlookup(records_2[ColonyCount]&amp;records_2[AirSampler],feller[code],feller[Vc]),records_2[ColonyCount]))</f>
        <v>0</v>
      </c>
      <c r="AC279" s="63" t="b">
        <f t="shared" si="1"/>
        <v>1</v>
      </c>
      <c r="AD279" s="61" t="b">
        <v>0</v>
      </c>
      <c r="AE279" s="32" t="s">
        <v>280</v>
      </c>
      <c r="AF279" s="46"/>
      <c r="AG279" s="46"/>
      <c r="AH279" s="46"/>
      <c r="AI279" s="46"/>
      <c r="AJ279" s="46"/>
    </row>
    <row r="280" ht="22.5" customHeight="1">
      <c r="A280" s="27">
        <v>46063.0</v>
      </c>
      <c r="B280" s="34" t="str">
        <f t="array" ref="B280">TEXT(A280, "MM-YYYY")</f>
        <v>02-2026</v>
      </c>
      <c r="C280" s="39" t="s">
        <v>1566</v>
      </c>
      <c r="D280" s="36" t="s">
        <v>210</v>
      </c>
      <c r="E280" s="36" t="s">
        <v>213</v>
      </c>
      <c r="F280" s="29" t="b">
        <v>1</v>
      </c>
      <c r="G280" s="49"/>
      <c r="H280" s="36" t="s">
        <v>215</v>
      </c>
      <c r="I280" s="39"/>
      <c r="J280" s="43"/>
      <c r="K280" s="37" t="s">
        <v>359</v>
      </c>
      <c r="L280" s="37" t="s">
        <v>474</v>
      </c>
      <c r="M280" s="37" t="s">
        <v>2185</v>
      </c>
      <c r="N280" s="37" t="s">
        <v>1984</v>
      </c>
      <c r="O280" s="37" t="s">
        <v>837</v>
      </c>
      <c r="P280" s="37" t="s">
        <v>1099</v>
      </c>
      <c r="Q280" s="41">
        <v>46025.0</v>
      </c>
      <c r="R280" s="42">
        <v>0.0</v>
      </c>
      <c r="S280" s="29"/>
      <c r="T280" s="37" t="s">
        <v>2083</v>
      </c>
      <c r="U280" s="57" t="str">
        <f>IF(records_2[Type]="Room",records_2[roomNo],records_2[roomNo]&amp;"-"&amp;SUBSTITUTE(RIGHT(records_2[roomNo]&amp;records_2[Type],2),"-",""))</f>
        <v>16-3-108</v>
      </c>
      <c r="V280" s="59" t="str">
        <f t="array" ref="V280">_xlfn.XLOOKUP(records_2[ID], dAir[roomNo], dAir[roomName])</f>
        <v>AIRLOCK</v>
      </c>
      <c r="W280" s="59" t="str">
        <f t="array" ref="W280">_xlfn.XLOOKUP(records_2[ID], dAir[roomNo], dAir[building])</f>
        <v>Building 16</v>
      </c>
      <c r="X280" s="59" t="str">
        <f t="array" ref="X280">_xlfn.XLOOKUP(records_2[ID], dAir[roomNo], dAir[floor])</f>
        <v>Floor 3</v>
      </c>
      <c r="Y280" s="57" t="str">
        <f t="array" ref="Y280">_xlfn.XLOOKUP(records_2[ID], dAir[roomNo], dAir[Class])</f>
        <v>D</v>
      </c>
      <c r="Z280" s="57">
        <f t="array" ref="Z280">_xlfn.XLOOKUP(records_2[Method]&amp;"-"&amp;records_2[Class], dAirSpec[ID], dAirSpec[Spec])</f>
        <v>100</v>
      </c>
      <c r="AA280" s="57" t="str">
        <f t="array" ref="AA280">_xlfn.XLOOKUP(records_2[Method]&amp;"-"&amp;records_2[Class], dAirSpec[ID], dAirSpec[Unit])</f>
        <v>cfu/plate</v>
      </c>
      <c r="AB280" s="62">
        <f t="array" ref="AB280">if(R280="","", if(records_2[Method]="Active Air",_xlfn.xlookup(records_2[ColonyCount]&amp;records_2[AirSampler],feller[code],feller[Vc]),records_2[ColonyCount]))</f>
        <v>0</v>
      </c>
      <c r="AC280" s="63" t="b">
        <f t="shared" si="1"/>
        <v>1</v>
      </c>
      <c r="AD280" s="61" t="b">
        <v>0</v>
      </c>
      <c r="AE280" s="32" t="s">
        <v>280</v>
      </c>
      <c r="AF280" s="46"/>
      <c r="AG280" s="46"/>
      <c r="AH280" s="46"/>
      <c r="AI280" s="46"/>
      <c r="AJ280" s="46"/>
    </row>
    <row r="281" ht="22.5" customHeight="1">
      <c r="A281" s="27">
        <v>46063.0</v>
      </c>
      <c r="B281" s="34" t="str">
        <f t="array" ref="B281">TEXT(A281, "MM-YYYY")</f>
        <v>02-2026</v>
      </c>
      <c r="C281" s="39" t="s">
        <v>1018</v>
      </c>
      <c r="D281" s="36" t="s">
        <v>210</v>
      </c>
      <c r="E281" s="36" t="s">
        <v>213</v>
      </c>
      <c r="F281" s="29" t="b">
        <v>1</v>
      </c>
      <c r="G281" s="49"/>
      <c r="H281" s="36" t="s">
        <v>215</v>
      </c>
      <c r="I281" s="39"/>
      <c r="J281" s="43"/>
      <c r="K281" s="37" t="s">
        <v>2237</v>
      </c>
      <c r="L281" s="37" t="s">
        <v>775</v>
      </c>
      <c r="M281" s="37" t="s">
        <v>2195</v>
      </c>
      <c r="N281" s="37" t="s">
        <v>1984</v>
      </c>
      <c r="O281" s="37" t="s">
        <v>837</v>
      </c>
      <c r="P281" s="37" t="s">
        <v>1099</v>
      </c>
      <c r="Q281" s="41">
        <v>46025.0</v>
      </c>
      <c r="R281" s="42">
        <v>0.0</v>
      </c>
      <c r="S281" s="29"/>
      <c r="T281" s="37" t="s">
        <v>2083</v>
      </c>
      <c r="U281" s="57" t="str">
        <f>IF(records_2[Type]="Room",records_2[roomNo],records_2[roomNo]&amp;"-"&amp;SUBSTITUTE(RIGHT(records_2[roomNo]&amp;records_2[Type],2),"-",""))</f>
        <v>16-3-109</v>
      </c>
      <c r="V281" s="59" t="str">
        <f t="array" ref="V281">_xlfn.XLOOKUP(records_2[ID], dAir[roomNo], dAir[roomName])</f>
        <v>FILLING 7</v>
      </c>
      <c r="W281" s="59" t="str">
        <f t="array" ref="W281">_xlfn.XLOOKUP(records_2[ID], dAir[roomNo], dAir[building])</f>
        <v>Building 16</v>
      </c>
      <c r="X281" s="59" t="str">
        <f t="array" ref="X281">_xlfn.XLOOKUP(records_2[ID], dAir[roomNo], dAir[floor])</f>
        <v>Floor 3</v>
      </c>
      <c r="Y281" s="57" t="str">
        <f t="array" ref="Y281">_xlfn.XLOOKUP(records_2[ID], dAir[roomNo], dAir[Class])</f>
        <v>D</v>
      </c>
      <c r="Z281" s="57">
        <f t="array" ref="Z281">_xlfn.XLOOKUP(records_2[Method]&amp;"-"&amp;records_2[Class], dAirSpec[ID], dAirSpec[Spec])</f>
        <v>100</v>
      </c>
      <c r="AA281" s="57" t="str">
        <f t="array" ref="AA281">_xlfn.XLOOKUP(records_2[Method]&amp;"-"&amp;records_2[Class], dAirSpec[ID], dAirSpec[Unit])</f>
        <v>cfu/plate</v>
      </c>
      <c r="AB281" s="62">
        <f t="array" ref="AB281">if(R281="","", if(records_2[Method]="Active Air",_xlfn.xlookup(records_2[ColonyCount]&amp;records_2[AirSampler],feller[code],feller[Vc]),records_2[ColonyCount]))</f>
        <v>0</v>
      </c>
      <c r="AC281" s="63" t="b">
        <f t="shared" si="1"/>
        <v>1</v>
      </c>
      <c r="AD281" s="61" t="b">
        <v>0</v>
      </c>
      <c r="AE281" s="32" t="s">
        <v>280</v>
      </c>
      <c r="AF281" s="46"/>
      <c r="AG281" s="46"/>
      <c r="AH281" s="46"/>
      <c r="AI281" s="46"/>
      <c r="AJ281" s="46"/>
    </row>
    <row r="282" ht="22.5" customHeight="1">
      <c r="A282" s="27">
        <v>46063.0</v>
      </c>
      <c r="B282" s="34" t="str">
        <f t="array" ref="B282">TEXT(A282, "MM-YYYY")</f>
        <v>02-2026</v>
      </c>
      <c r="C282" s="39" t="s">
        <v>1567</v>
      </c>
      <c r="D282" s="36" t="s">
        <v>210</v>
      </c>
      <c r="E282" s="36" t="s">
        <v>213</v>
      </c>
      <c r="F282" s="29" t="b">
        <v>1</v>
      </c>
      <c r="G282" s="49"/>
      <c r="H282" s="36" t="s">
        <v>215</v>
      </c>
      <c r="I282" s="39"/>
      <c r="J282" s="43"/>
      <c r="K282" s="37" t="s">
        <v>578</v>
      </c>
      <c r="L282" s="37" t="s">
        <v>356</v>
      </c>
      <c r="M282" s="37" t="s">
        <v>800</v>
      </c>
      <c r="N282" s="37" t="s">
        <v>262</v>
      </c>
      <c r="O282" s="37" t="s">
        <v>837</v>
      </c>
      <c r="P282" s="37" t="s">
        <v>1099</v>
      </c>
      <c r="Q282" s="41">
        <v>46025.0</v>
      </c>
      <c r="R282" s="42">
        <v>0.0</v>
      </c>
      <c r="S282" s="29"/>
      <c r="T282" s="37" t="s">
        <v>2083</v>
      </c>
      <c r="U282" s="57" t="str">
        <f>IF(records_2[Type]="Room",records_2[roomNo],records_2[roomNo]&amp;"-"&amp;SUBSTITUTE(RIGHT(records_2[roomNo]&amp;records_2[Type],2),"-",""))</f>
        <v>16-3-114</v>
      </c>
      <c r="V282" s="59" t="str">
        <f t="array" ref="V282">_xlfn.XLOOKUP(records_2[ID], dAir[roomNo], dAir[roomName])</f>
        <v>MAL</v>
      </c>
      <c r="W282" s="59" t="str">
        <f t="array" ref="W282">_xlfn.XLOOKUP(records_2[ID], dAir[roomNo], dAir[building])</f>
        <v>Building 16</v>
      </c>
      <c r="X282" s="59" t="str">
        <f t="array" ref="X282">_xlfn.XLOOKUP(records_2[ID], dAir[roomNo], dAir[floor])</f>
        <v>Floor 3</v>
      </c>
      <c r="Y282" s="57" t="str">
        <f t="array" ref="Y282">_xlfn.XLOOKUP(records_2[ID], dAir[roomNo], dAir[Class])</f>
        <v>D</v>
      </c>
      <c r="Z282" s="57">
        <f t="array" ref="Z282">_xlfn.XLOOKUP(records_2[Method]&amp;"-"&amp;records_2[Class], dAirSpec[ID], dAirSpec[Spec])</f>
        <v>100</v>
      </c>
      <c r="AA282" s="57" t="str">
        <f t="array" ref="AA282">_xlfn.XLOOKUP(records_2[Method]&amp;"-"&amp;records_2[Class], dAirSpec[ID], dAirSpec[Unit])</f>
        <v>cfu/plate</v>
      </c>
      <c r="AB282" s="62">
        <f t="array" ref="AB282">if(R282="","", if(records_2[Method]="Active Air",_xlfn.xlookup(records_2[ColonyCount]&amp;records_2[AirSampler],feller[code],feller[Vc]),records_2[ColonyCount]))</f>
        <v>0</v>
      </c>
      <c r="AC282" s="63" t="b">
        <f t="shared" si="1"/>
        <v>1</v>
      </c>
      <c r="AD282" s="61" t="b">
        <v>0</v>
      </c>
      <c r="AE282" s="32" t="s">
        <v>280</v>
      </c>
      <c r="AF282" s="46"/>
      <c r="AG282" s="46"/>
      <c r="AH282" s="46"/>
      <c r="AI282" s="46"/>
      <c r="AJ282" s="46"/>
    </row>
    <row r="283" ht="22.5" customHeight="1">
      <c r="A283" s="27">
        <v>46063.0</v>
      </c>
      <c r="B283" s="34" t="str">
        <f t="array" ref="B283">TEXT(A283, "MM-YYYY")</f>
        <v>02-2026</v>
      </c>
      <c r="C283" s="39" t="s">
        <v>1568</v>
      </c>
      <c r="D283" s="36" t="s">
        <v>210</v>
      </c>
      <c r="E283" s="36" t="s">
        <v>213</v>
      </c>
      <c r="F283" s="29" t="b">
        <v>1</v>
      </c>
      <c r="G283" s="49"/>
      <c r="H283" s="36" t="s">
        <v>215</v>
      </c>
      <c r="I283" s="39"/>
      <c r="J283" s="43"/>
      <c r="K283" s="37" t="s">
        <v>194</v>
      </c>
      <c r="L283" s="37" t="s">
        <v>194</v>
      </c>
      <c r="M283" s="37" t="s">
        <v>2095</v>
      </c>
      <c r="N283" s="37" t="s">
        <v>262</v>
      </c>
      <c r="O283" s="37" t="s">
        <v>837</v>
      </c>
      <c r="P283" s="37" t="s">
        <v>1099</v>
      </c>
      <c r="Q283" s="41">
        <v>46025.0</v>
      </c>
      <c r="R283" s="42">
        <v>0.0</v>
      </c>
      <c r="S283" s="29"/>
      <c r="T283" s="37" t="s">
        <v>2083</v>
      </c>
      <c r="U283" s="57" t="str">
        <f>IF(records_2[Type]="Room",records_2[roomNo],records_2[roomNo]&amp;"-"&amp;SUBSTITUTE(RIGHT(records_2[roomNo]&amp;records_2[Type],2),"-",""))</f>
        <v>16-3-115</v>
      </c>
      <c r="V283" s="59" t="str">
        <f t="array" ref="V283">_xlfn.XLOOKUP(records_2[ID], dAir[roomNo], dAir[roomName])</f>
        <v>CORRIDOR</v>
      </c>
      <c r="W283" s="59" t="str">
        <f t="array" ref="W283">_xlfn.XLOOKUP(records_2[ID], dAir[roomNo], dAir[building])</f>
        <v>Building 16</v>
      </c>
      <c r="X283" s="59" t="str">
        <f t="array" ref="X283">_xlfn.XLOOKUP(records_2[ID], dAir[roomNo], dAir[floor])</f>
        <v>Floor 3</v>
      </c>
      <c r="Y283" s="57" t="str">
        <f t="array" ref="Y283">_xlfn.XLOOKUP(records_2[ID], dAir[roomNo], dAir[Class])</f>
        <v>D</v>
      </c>
      <c r="Z283" s="57">
        <f t="array" ref="Z283">_xlfn.XLOOKUP(records_2[Method]&amp;"-"&amp;records_2[Class], dAirSpec[ID], dAirSpec[Spec])</f>
        <v>100</v>
      </c>
      <c r="AA283" s="57" t="str">
        <f t="array" ref="AA283">_xlfn.XLOOKUP(records_2[Method]&amp;"-"&amp;records_2[Class], dAirSpec[ID], dAirSpec[Unit])</f>
        <v>cfu/plate</v>
      </c>
      <c r="AB283" s="62">
        <f t="array" ref="AB283">if(R283="","", if(records_2[Method]="Active Air",_xlfn.xlookup(records_2[ColonyCount]&amp;records_2[AirSampler],feller[code],feller[Vc]),records_2[ColonyCount]))</f>
        <v>0</v>
      </c>
      <c r="AC283" s="63" t="b">
        <f t="shared" si="1"/>
        <v>1</v>
      </c>
      <c r="AD283" s="61" t="b">
        <v>0</v>
      </c>
      <c r="AE283" s="32" t="s">
        <v>280</v>
      </c>
      <c r="AF283" s="46"/>
      <c r="AG283" s="46"/>
      <c r="AH283" s="46"/>
      <c r="AI283" s="46"/>
      <c r="AJ283" s="46"/>
    </row>
    <row r="284" ht="22.5" customHeight="1">
      <c r="A284" s="27">
        <v>46063.0</v>
      </c>
      <c r="B284" s="34" t="str">
        <f t="array" ref="B284">TEXT(A284, "MM-YYYY")</f>
        <v>02-2026</v>
      </c>
      <c r="C284" s="39" t="s">
        <v>1569</v>
      </c>
      <c r="D284" s="36" t="s">
        <v>210</v>
      </c>
      <c r="E284" s="36" t="s">
        <v>213</v>
      </c>
      <c r="F284" s="29" t="b">
        <v>1</v>
      </c>
      <c r="G284" s="49"/>
      <c r="H284" s="36" t="s">
        <v>215</v>
      </c>
      <c r="I284" s="39"/>
      <c r="J284" s="43"/>
      <c r="K284" s="37" t="s">
        <v>2100</v>
      </c>
      <c r="L284" s="37" t="s">
        <v>2238</v>
      </c>
      <c r="M284" s="37" t="s">
        <v>2239</v>
      </c>
      <c r="N284" s="37" t="s">
        <v>811</v>
      </c>
      <c r="O284" s="37" t="s">
        <v>837</v>
      </c>
      <c r="P284" s="37" t="s">
        <v>1099</v>
      </c>
      <c r="Q284" s="41">
        <v>46025.0</v>
      </c>
      <c r="R284" s="42">
        <v>0.0</v>
      </c>
      <c r="S284" s="29"/>
      <c r="T284" s="37" t="s">
        <v>2083</v>
      </c>
      <c r="U284" s="57" t="str">
        <f>IF(records_2[Type]="Room",records_2[roomNo],records_2[roomNo]&amp;"-"&amp;SUBSTITUTE(RIGHT(records_2[roomNo]&amp;records_2[Type],2),"-",""))</f>
        <v>16-3-116</v>
      </c>
      <c r="V284" s="59" t="str">
        <f t="array" ref="V284">_xlfn.XLOOKUP(records_2[ID], dAir[roomNo], dAir[roomName])</f>
        <v>CORRIDOR</v>
      </c>
      <c r="W284" s="59" t="str">
        <f t="array" ref="W284">_xlfn.XLOOKUP(records_2[ID], dAir[roomNo], dAir[building])</f>
        <v>Building 16</v>
      </c>
      <c r="X284" s="59" t="str">
        <f t="array" ref="X284">_xlfn.XLOOKUP(records_2[ID], dAir[roomNo], dAir[floor])</f>
        <v>Floor 3</v>
      </c>
      <c r="Y284" s="57" t="str">
        <f t="array" ref="Y284">_xlfn.XLOOKUP(records_2[ID], dAir[roomNo], dAir[Class])</f>
        <v>D</v>
      </c>
      <c r="Z284" s="57">
        <f t="array" ref="Z284">_xlfn.XLOOKUP(records_2[Method]&amp;"-"&amp;records_2[Class], dAirSpec[ID], dAirSpec[Spec])</f>
        <v>100</v>
      </c>
      <c r="AA284" s="57" t="str">
        <f t="array" ref="AA284">_xlfn.XLOOKUP(records_2[Method]&amp;"-"&amp;records_2[Class], dAirSpec[ID], dAirSpec[Unit])</f>
        <v>cfu/plate</v>
      </c>
      <c r="AB284" s="62">
        <f t="array" ref="AB284">if(R284="","", if(records_2[Method]="Active Air",_xlfn.xlookup(records_2[ColonyCount]&amp;records_2[AirSampler],feller[code],feller[Vc]),records_2[ColonyCount]))</f>
        <v>0</v>
      </c>
      <c r="AC284" s="63" t="b">
        <f t="shared" si="1"/>
        <v>1</v>
      </c>
      <c r="AD284" s="61" t="b">
        <v>0</v>
      </c>
      <c r="AE284" s="32" t="s">
        <v>280</v>
      </c>
      <c r="AF284" s="46"/>
      <c r="AG284" s="46"/>
      <c r="AH284" s="46"/>
      <c r="AI284" s="46"/>
      <c r="AJ284" s="46"/>
    </row>
    <row r="285" ht="22.5" customHeight="1">
      <c r="A285" s="27">
        <v>46069.0</v>
      </c>
      <c r="B285" s="34" t="str">
        <f t="array" ref="B285">TEXT(A285, "MM-YYYY")</f>
        <v>02-2026</v>
      </c>
      <c r="C285" s="39" t="s">
        <v>786</v>
      </c>
      <c r="D285" s="36" t="s">
        <v>680</v>
      </c>
      <c r="E285" s="36" t="s">
        <v>531</v>
      </c>
      <c r="F285" s="29" t="b">
        <v>1</v>
      </c>
      <c r="G285" s="36" t="s">
        <v>2240</v>
      </c>
      <c r="H285" s="36" t="s">
        <v>534</v>
      </c>
      <c r="I285" s="39"/>
      <c r="J285" s="43"/>
      <c r="K285" s="37" t="s">
        <v>2027</v>
      </c>
      <c r="L285" s="37" t="s">
        <v>1088</v>
      </c>
      <c r="M285" s="37" t="s">
        <v>2241</v>
      </c>
      <c r="N285" s="37" t="s">
        <v>2242</v>
      </c>
      <c r="O285" s="37" t="s">
        <v>199</v>
      </c>
      <c r="P285" s="37" t="s">
        <v>201</v>
      </c>
      <c r="Q285" s="41">
        <v>46057.0</v>
      </c>
      <c r="R285" s="42">
        <v>2.0</v>
      </c>
      <c r="S285" s="29"/>
      <c r="T285" s="37" t="s">
        <v>2243</v>
      </c>
      <c r="U285" s="57" t="str">
        <f>IF(records_2[Type]="Room",records_2[roomNo],records_2[roomNo]&amp;"-"&amp;SUBSTITUTE(RIGHT(records_2[roomNo]&amp;records_2[Type],2),"-",""))</f>
        <v>16-1-102-B</v>
      </c>
      <c r="V285" s="59" t="str">
        <f t="array" ref="V285">_xlfn.XLOOKUP(records_2[ID], dAir[roomNo], dAir[roomName])</f>
        <v>DISPENSING (Booth)</v>
      </c>
      <c r="W285" s="59" t="str">
        <f t="array" ref="W285">_xlfn.XLOOKUP(records_2[ID], dAir[roomNo], dAir[building])</f>
        <v>Building 16</v>
      </c>
      <c r="X285" s="59" t="str">
        <f t="array" ref="X285">_xlfn.XLOOKUP(records_2[ID], dAir[roomNo], dAir[floor])</f>
        <v>Floor 1</v>
      </c>
      <c r="Y285" s="57" t="str">
        <f t="array" ref="Y285">_xlfn.XLOOKUP(records_2[ID], dAir[roomNo], dAir[Class])</f>
        <v>A</v>
      </c>
      <c r="Z285" s="57">
        <f t="array" ref="Z285">_xlfn.XLOOKUP(records_2[Method]&amp;"-"&amp;records_2[Class], dAirSpec[ID], dAirSpec[Spec])</f>
        <v>0</v>
      </c>
      <c r="AA285" s="57" t="str">
        <f t="array" ref="AA285">_xlfn.XLOOKUP(records_2[Method]&amp;"-"&amp;records_2[Class], dAirSpec[ID], dAirSpec[Unit])</f>
        <v>cfu/m3</v>
      </c>
      <c r="AB285" s="57">
        <f t="array" ref="AB285">if(R285="","", if(records_2[Method]="Active Air",_xlfn.xlookup(records_2[ColonyCount]&amp;records_2[AirSampler],feller[code],feller[Vc]),records_2[ColonyCount]))</f>
        <v>2</v>
      </c>
      <c r="AC285" s="63" t="b">
        <f t="shared" si="1"/>
        <v>0</v>
      </c>
      <c r="AD285" s="61" t="b">
        <v>1</v>
      </c>
      <c r="AE285" s="32" t="s">
        <v>280</v>
      </c>
      <c r="AF285" s="46"/>
      <c r="AG285" s="46"/>
      <c r="AH285" s="46"/>
      <c r="AI285" s="46"/>
      <c r="AJ285" s="46"/>
    </row>
    <row r="286" ht="22.5" customHeight="1">
      <c r="A286" s="27">
        <v>46069.0</v>
      </c>
      <c r="B286" s="34" t="str">
        <f t="array" ref="B286">TEXT(A286, "MM-YYYY")</f>
        <v>02-2026</v>
      </c>
      <c r="C286" s="39" t="s">
        <v>765</v>
      </c>
      <c r="D286" s="36" t="s">
        <v>770</v>
      </c>
      <c r="E286" s="36" t="s">
        <v>531</v>
      </c>
      <c r="F286" s="29" t="b">
        <v>1</v>
      </c>
      <c r="G286" s="36" t="s">
        <v>214</v>
      </c>
      <c r="H286" s="36" t="s">
        <v>534</v>
      </c>
      <c r="I286" s="39"/>
      <c r="J286" s="43"/>
      <c r="K286" s="37" t="s">
        <v>377</v>
      </c>
      <c r="L286" s="37" t="s">
        <v>2244</v>
      </c>
      <c r="M286" s="37" t="s">
        <v>2245</v>
      </c>
      <c r="N286" s="37" t="s">
        <v>2246</v>
      </c>
      <c r="O286" s="37" t="s">
        <v>199</v>
      </c>
      <c r="P286" s="37" t="s">
        <v>201</v>
      </c>
      <c r="Q286" s="41">
        <v>46057.0</v>
      </c>
      <c r="R286" s="42">
        <v>0.0</v>
      </c>
      <c r="S286" s="29"/>
      <c r="T286" s="37" t="s">
        <v>2243</v>
      </c>
      <c r="U286" s="57" t="str">
        <f>IF(records_2[Type]="Room",records_2[roomNo],records_2[roomNo]&amp;"-"&amp;SUBSTITUTE(RIGHT(records_2[roomNo]&amp;records_2[Type],2),"-",""))</f>
        <v>16-1-076-L</v>
      </c>
      <c r="V286" s="59" t="str">
        <f t="array" ref="V286">_xlfn.XLOOKUP(records_2[ID], dAir[roomNo], dAir[roomName])</f>
        <v>FILLING 2 (Laminar)</v>
      </c>
      <c r="W286" s="59" t="str">
        <f t="array" ref="W286">_xlfn.XLOOKUP(records_2[ID], dAir[roomNo], dAir[building])</f>
        <v>Building 16</v>
      </c>
      <c r="X286" s="59" t="str">
        <f t="array" ref="X286">_xlfn.XLOOKUP(records_2[ID], dAir[roomNo], dAir[floor])</f>
        <v>Floor 1</v>
      </c>
      <c r="Y286" s="57" t="str">
        <f t="array" ref="Y286">_xlfn.XLOOKUP(records_2[ID], dAir[roomNo], dAir[Class])</f>
        <v>A</v>
      </c>
      <c r="Z286" s="57">
        <f t="array" ref="Z286">_xlfn.XLOOKUP(records_2[Method]&amp;"-"&amp;records_2[Class], dAirSpec[ID], dAirSpec[Spec])</f>
        <v>0</v>
      </c>
      <c r="AA286" s="57" t="str">
        <f t="array" ref="AA286">_xlfn.XLOOKUP(records_2[Method]&amp;"-"&amp;records_2[Class], dAirSpec[ID], dAirSpec[Unit])</f>
        <v>cfu/m3</v>
      </c>
      <c r="AB286" s="57">
        <f t="array" ref="AB286">if(R286="","", if(records_2[Method]="Active Air",_xlfn.xlookup(records_2[ColonyCount]&amp;records_2[AirSampler],feller[code],feller[Vc]),records_2[ColonyCount]))</f>
        <v>0</v>
      </c>
      <c r="AC286" s="63" t="b">
        <f t="shared" si="1"/>
        <v>1</v>
      </c>
      <c r="AD286" s="61" t="b">
        <v>0</v>
      </c>
      <c r="AE286" s="32" t="s">
        <v>280</v>
      </c>
      <c r="AF286" s="46"/>
      <c r="AG286" s="46"/>
      <c r="AH286" s="46"/>
      <c r="AI286" s="46"/>
      <c r="AJ286" s="46"/>
    </row>
    <row r="287" ht="22.5" customHeight="1">
      <c r="A287" s="27">
        <v>46076.0</v>
      </c>
      <c r="B287" s="34" t="str">
        <f t="array" ref="B287">TEXT(A287, "MM-YYYY")</f>
        <v>02-2026</v>
      </c>
      <c r="C287" s="39" t="s">
        <v>753</v>
      </c>
      <c r="D287" s="36" t="s">
        <v>755</v>
      </c>
      <c r="E287" s="36" t="s">
        <v>531</v>
      </c>
      <c r="F287" s="29" t="b">
        <v>1</v>
      </c>
      <c r="G287" s="36" t="s">
        <v>214</v>
      </c>
      <c r="H287" s="36" t="s">
        <v>534</v>
      </c>
      <c r="I287" s="39"/>
      <c r="J287" s="43"/>
      <c r="K287" s="37" t="s">
        <v>484</v>
      </c>
      <c r="L287" s="37" t="s">
        <v>2247</v>
      </c>
      <c r="M287" s="37" t="s">
        <v>194</v>
      </c>
      <c r="N287" s="37" t="s">
        <v>194</v>
      </c>
      <c r="O287" s="37" t="s">
        <v>199</v>
      </c>
      <c r="P287" s="37" t="s">
        <v>201</v>
      </c>
      <c r="Q287" s="41">
        <v>46057.0</v>
      </c>
      <c r="R287" s="42">
        <v>0.0</v>
      </c>
      <c r="S287" s="29"/>
      <c r="T287" s="37" t="s">
        <v>2248</v>
      </c>
      <c r="U287" s="45" t="str">
        <f>IF(records_2[Type]="Room",records_2[roomNo],records_2[roomNo]&amp;"-"&amp;SUBSTITUTE(RIGHT(records_2[roomNo]&amp;records_2[Type],2),"-",""))</f>
        <v>16-1-075-M</v>
      </c>
      <c r="V287" s="47" t="str">
        <f t="array" ref="V287">_xlfn.XLOOKUP(records_2[ID], dAir[roomNo], dAir[roomName])</f>
        <v>VIALS CAPPING (Machine)</v>
      </c>
      <c r="W287" s="47" t="str">
        <f t="array" ref="W287">_xlfn.XLOOKUP(records_2[ID], dAir[roomNo], dAir[building])</f>
        <v>Building 16</v>
      </c>
      <c r="X287" s="47" t="str">
        <f t="array" ref="X287">_xlfn.XLOOKUP(records_2[ID], dAir[roomNo], dAir[floor])</f>
        <v>Floor 1</v>
      </c>
      <c r="Y287" s="45" t="str">
        <f t="array" ref="Y287">_xlfn.XLOOKUP(records_2[ID], dAir[roomNo], dAir[Class])</f>
        <v>A</v>
      </c>
      <c r="Z287" s="45">
        <f t="array" ref="Z287">_xlfn.XLOOKUP(records_2[Method]&amp;"-"&amp;records_2[Class], dAirSpec[ID], dAirSpec[Spec])</f>
        <v>0</v>
      </c>
      <c r="AA287" s="45" t="str">
        <f t="array" ref="AA287">_xlfn.XLOOKUP(records_2[Method]&amp;"-"&amp;records_2[Class], dAirSpec[ID], dAirSpec[Unit])</f>
        <v>cfu/m3</v>
      </c>
      <c r="AB287" s="45">
        <f t="array" ref="AB287">if(R287="","", if(records_2[Method]="Active Air",_xlfn.xlookup(records_2[ColonyCount]&amp;records_2[AirSampler],feller[code],feller[Vc]),records_2[ColonyCount]))</f>
        <v>0</v>
      </c>
      <c r="AC287" s="60" t="b">
        <f t="shared" si="1"/>
        <v>1</v>
      </c>
      <c r="AD287" s="61" t="b">
        <v>0</v>
      </c>
      <c r="AE287" s="32" t="s">
        <v>280</v>
      </c>
      <c r="AF287" s="46"/>
      <c r="AG287" s="46"/>
      <c r="AH287" s="46"/>
      <c r="AI287" s="46"/>
      <c r="AJ287" s="46"/>
    </row>
    <row r="288" ht="22.5" customHeight="1">
      <c r="A288" s="27">
        <v>46076.0</v>
      </c>
      <c r="B288" s="34" t="str">
        <f t="array" ref="B288">TEXT(A288, "MM-YYYY")</f>
        <v>02-2026</v>
      </c>
      <c r="C288" s="39" t="s">
        <v>765</v>
      </c>
      <c r="D288" s="36" t="s">
        <v>770</v>
      </c>
      <c r="E288" s="36" t="s">
        <v>531</v>
      </c>
      <c r="F288" s="29" t="b">
        <v>1</v>
      </c>
      <c r="G288" s="36" t="s">
        <v>214</v>
      </c>
      <c r="H288" s="36" t="s">
        <v>534</v>
      </c>
      <c r="I288" s="39"/>
      <c r="J288" s="43"/>
      <c r="K288" s="37" t="s">
        <v>298</v>
      </c>
      <c r="L288" s="37" t="s">
        <v>1797</v>
      </c>
      <c r="M288" s="37" t="s">
        <v>194</v>
      </c>
      <c r="N288" s="37" t="s">
        <v>194</v>
      </c>
      <c r="O288" s="37" t="s">
        <v>199</v>
      </c>
      <c r="P288" s="37" t="s">
        <v>201</v>
      </c>
      <c r="Q288" s="41">
        <v>46057.0</v>
      </c>
      <c r="R288" s="42">
        <v>0.0</v>
      </c>
      <c r="S288" s="29"/>
      <c r="T288" s="37" t="s">
        <v>2248</v>
      </c>
      <c r="U288" s="45" t="str">
        <f>IF(records_2[Type]="Room",records_2[roomNo],records_2[roomNo]&amp;"-"&amp;SUBSTITUTE(RIGHT(records_2[roomNo]&amp;records_2[Type],2),"-",""))</f>
        <v>16-1-076-L</v>
      </c>
      <c r="V288" s="47" t="str">
        <f t="array" ref="V288">_xlfn.XLOOKUP(records_2[ID], dAir[roomNo], dAir[roomName])</f>
        <v>FILLING 2 (Laminar)</v>
      </c>
      <c r="W288" s="47" t="str">
        <f t="array" ref="W288">_xlfn.XLOOKUP(records_2[ID], dAir[roomNo], dAir[building])</f>
        <v>Building 16</v>
      </c>
      <c r="X288" s="47" t="str">
        <f t="array" ref="X288">_xlfn.XLOOKUP(records_2[ID], dAir[roomNo], dAir[floor])</f>
        <v>Floor 1</v>
      </c>
      <c r="Y288" s="45" t="str">
        <f t="array" ref="Y288">_xlfn.XLOOKUP(records_2[ID], dAir[roomNo], dAir[Class])</f>
        <v>A</v>
      </c>
      <c r="Z288" s="45">
        <f t="array" ref="Z288">_xlfn.XLOOKUP(records_2[Method]&amp;"-"&amp;records_2[Class], dAirSpec[ID], dAirSpec[Spec])</f>
        <v>0</v>
      </c>
      <c r="AA288" s="45" t="str">
        <f t="array" ref="AA288">_xlfn.XLOOKUP(records_2[Method]&amp;"-"&amp;records_2[Class], dAirSpec[ID], dAirSpec[Unit])</f>
        <v>cfu/m3</v>
      </c>
      <c r="AB288" s="45">
        <f t="array" ref="AB288">if(R288="","", if(records_2[Method]="Active Air",_xlfn.xlookup(records_2[ColonyCount]&amp;records_2[AirSampler],feller[code],feller[Vc]),records_2[ColonyCount]))</f>
        <v>0</v>
      </c>
      <c r="AC288" s="60" t="b">
        <f t="shared" si="1"/>
        <v>1</v>
      </c>
      <c r="AD288" s="61" t="b">
        <v>0</v>
      </c>
      <c r="AE288" s="32" t="s">
        <v>280</v>
      </c>
      <c r="AF288" s="46"/>
      <c r="AG288" s="46"/>
      <c r="AH288" s="46"/>
      <c r="AI288" s="46"/>
      <c r="AJ288" s="46"/>
    </row>
    <row r="289" ht="22.5" customHeight="1">
      <c r="A289" s="27">
        <v>46076.0</v>
      </c>
      <c r="B289" s="34" t="str">
        <f t="array" ref="B289">TEXT(A289, "MM-YYYY")</f>
        <v>02-2026</v>
      </c>
      <c r="C289" s="39" t="s">
        <v>765</v>
      </c>
      <c r="D289" s="36" t="s">
        <v>755</v>
      </c>
      <c r="E289" s="36" t="s">
        <v>531</v>
      </c>
      <c r="F289" s="29" t="b">
        <v>1</v>
      </c>
      <c r="G289" s="36" t="s">
        <v>214</v>
      </c>
      <c r="H289" s="36" t="s">
        <v>534</v>
      </c>
      <c r="I289" s="39"/>
      <c r="J289" s="43"/>
      <c r="K289" s="37" t="s">
        <v>298</v>
      </c>
      <c r="L289" s="37" t="s">
        <v>1797</v>
      </c>
      <c r="M289" s="37" t="s">
        <v>194</v>
      </c>
      <c r="N289" s="37" t="s">
        <v>194</v>
      </c>
      <c r="O289" s="37" t="s">
        <v>199</v>
      </c>
      <c r="P289" s="37" t="s">
        <v>201</v>
      </c>
      <c r="Q289" s="41">
        <v>46057.0</v>
      </c>
      <c r="R289" s="42">
        <v>0.0</v>
      </c>
      <c r="S289" s="29"/>
      <c r="T289" s="37" t="s">
        <v>2248</v>
      </c>
      <c r="U289" s="45" t="str">
        <f>IF(records_2[Type]="Room",records_2[roomNo],records_2[roomNo]&amp;"-"&amp;SUBSTITUTE(RIGHT(records_2[roomNo]&amp;records_2[Type],2),"-",""))</f>
        <v>16-1-076-M</v>
      </c>
      <c r="V289" s="47" t="str">
        <f t="array" ref="V289">_xlfn.XLOOKUP(records_2[ID], dAir[roomNo], dAir[roomName])</f>
        <v>FILLING 2 (Machine)</v>
      </c>
      <c r="W289" s="47" t="str">
        <f t="array" ref="W289">_xlfn.XLOOKUP(records_2[ID], dAir[roomNo], dAir[building])</f>
        <v>Building 16</v>
      </c>
      <c r="X289" s="47" t="str">
        <f t="array" ref="X289">_xlfn.XLOOKUP(records_2[ID], dAir[roomNo], dAir[floor])</f>
        <v>Floor 1</v>
      </c>
      <c r="Y289" s="45" t="str">
        <f t="array" ref="Y289">_xlfn.XLOOKUP(records_2[ID], dAir[roomNo], dAir[Class])</f>
        <v>A</v>
      </c>
      <c r="Z289" s="45">
        <f t="array" ref="Z289">_xlfn.XLOOKUP(records_2[Method]&amp;"-"&amp;records_2[Class], dAirSpec[ID], dAirSpec[Spec])</f>
        <v>0</v>
      </c>
      <c r="AA289" s="45" t="str">
        <f t="array" ref="AA289">_xlfn.XLOOKUP(records_2[Method]&amp;"-"&amp;records_2[Class], dAirSpec[ID], dAirSpec[Unit])</f>
        <v>cfu/m3</v>
      </c>
      <c r="AB289" s="45">
        <f t="array" ref="AB289">if(R289="","", if(records_2[Method]="Active Air",_xlfn.xlookup(records_2[ColonyCount]&amp;records_2[AirSampler],feller[code],feller[Vc]),records_2[ColonyCount]))</f>
        <v>0</v>
      </c>
      <c r="AC289" s="60" t="b">
        <f t="shared" si="1"/>
        <v>1</v>
      </c>
      <c r="AD289" s="61" t="b">
        <v>0</v>
      </c>
      <c r="AE289" s="32" t="s">
        <v>280</v>
      </c>
      <c r="AF289" s="46"/>
      <c r="AG289" s="46"/>
      <c r="AH289" s="46"/>
      <c r="AI289" s="46"/>
      <c r="AJ289" s="46"/>
    </row>
    <row r="290" ht="22.5" customHeight="1">
      <c r="A290" s="27">
        <v>46076.0</v>
      </c>
      <c r="B290" s="34" t="str">
        <f t="array" ref="B290">TEXT(A290, "MM-YYYY")</f>
        <v>02-2026</v>
      </c>
      <c r="C290" s="39" t="s">
        <v>774</v>
      </c>
      <c r="D290" s="36" t="s">
        <v>770</v>
      </c>
      <c r="E290" s="36" t="s">
        <v>531</v>
      </c>
      <c r="F290" s="29" t="b">
        <v>1</v>
      </c>
      <c r="G290" s="36" t="s">
        <v>214</v>
      </c>
      <c r="H290" s="36" t="s">
        <v>534</v>
      </c>
      <c r="I290" s="39"/>
      <c r="J290" s="43"/>
      <c r="K290" s="37" t="s">
        <v>2100</v>
      </c>
      <c r="L290" s="37" t="s">
        <v>2249</v>
      </c>
      <c r="M290" s="37" t="s">
        <v>194</v>
      </c>
      <c r="N290" s="37" t="s">
        <v>194</v>
      </c>
      <c r="O290" s="37" t="s">
        <v>199</v>
      </c>
      <c r="P290" s="37" t="s">
        <v>201</v>
      </c>
      <c r="Q290" s="41">
        <v>46057.0</v>
      </c>
      <c r="R290" s="42">
        <v>0.0</v>
      </c>
      <c r="S290" s="29"/>
      <c r="T290" s="37" t="s">
        <v>2248</v>
      </c>
      <c r="U290" s="45" t="str">
        <f>IF(records_2[Type]="Room",records_2[roomNo],records_2[roomNo]&amp;"-"&amp;SUBSTITUTE(RIGHT(records_2[roomNo]&amp;records_2[Type],2),"-",""))</f>
        <v>16-1-084-L</v>
      </c>
      <c r="V290" s="47" t="str">
        <f t="array" ref="V290">_xlfn.XLOOKUP(records_2[ID], dAir[roomNo], dAir[roomName])</f>
        <v>FILLING 1 (Laminar)</v>
      </c>
      <c r="W290" s="47" t="str">
        <f t="array" ref="W290">_xlfn.XLOOKUP(records_2[ID], dAir[roomNo], dAir[building])</f>
        <v>Building 16</v>
      </c>
      <c r="X290" s="47" t="str">
        <f t="array" ref="X290">_xlfn.XLOOKUP(records_2[ID], dAir[roomNo], dAir[floor])</f>
        <v>Floor 1</v>
      </c>
      <c r="Y290" s="45" t="str">
        <f t="array" ref="Y290">_xlfn.XLOOKUP(records_2[ID], dAir[roomNo], dAir[Class])</f>
        <v>A</v>
      </c>
      <c r="Z290" s="45">
        <f t="array" ref="Z290">_xlfn.XLOOKUP(records_2[Method]&amp;"-"&amp;records_2[Class], dAirSpec[ID], dAirSpec[Spec])</f>
        <v>0</v>
      </c>
      <c r="AA290" s="45" t="str">
        <f t="array" ref="AA290">_xlfn.XLOOKUP(records_2[Method]&amp;"-"&amp;records_2[Class], dAirSpec[ID], dAirSpec[Unit])</f>
        <v>cfu/m3</v>
      </c>
      <c r="AB290" s="45">
        <f t="array" ref="AB290">if(R290="","", if(records_2[Method]="Active Air",_xlfn.xlookup(records_2[ColonyCount]&amp;records_2[AirSampler],feller[code],feller[Vc]),records_2[ColonyCount]))</f>
        <v>0</v>
      </c>
      <c r="AC290" s="60" t="b">
        <f t="shared" si="1"/>
        <v>1</v>
      </c>
      <c r="AD290" s="61" t="b">
        <v>0</v>
      </c>
      <c r="AE290" s="32" t="s">
        <v>280</v>
      </c>
      <c r="AF290" s="46"/>
      <c r="AG290" s="46"/>
      <c r="AH290" s="46"/>
      <c r="AI290" s="46"/>
      <c r="AJ290" s="46"/>
    </row>
    <row r="291" ht="22.5" customHeight="1">
      <c r="A291" s="27">
        <v>46076.0</v>
      </c>
      <c r="B291" s="34" t="str">
        <f t="array" ref="B291">TEXT(A291, "MM-YYYY")</f>
        <v>02-2026</v>
      </c>
      <c r="C291" s="39" t="s">
        <v>774</v>
      </c>
      <c r="D291" s="36" t="s">
        <v>755</v>
      </c>
      <c r="E291" s="36" t="s">
        <v>531</v>
      </c>
      <c r="F291" s="29" t="b">
        <v>1</v>
      </c>
      <c r="G291" s="36" t="s">
        <v>214</v>
      </c>
      <c r="H291" s="36" t="s">
        <v>534</v>
      </c>
      <c r="I291" s="39"/>
      <c r="J291" s="43"/>
      <c r="K291" s="37" t="s">
        <v>2100</v>
      </c>
      <c r="L291" s="37" t="s">
        <v>2249</v>
      </c>
      <c r="M291" s="37" t="s">
        <v>194</v>
      </c>
      <c r="N291" s="37" t="s">
        <v>194</v>
      </c>
      <c r="O291" s="37" t="s">
        <v>199</v>
      </c>
      <c r="P291" s="37" t="s">
        <v>201</v>
      </c>
      <c r="Q291" s="41">
        <v>46057.0</v>
      </c>
      <c r="R291" s="42">
        <v>0.0</v>
      </c>
      <c r="S291" s="29"/>
      <c r="T291" s="37" t="s">
        <v>2248</v>
      </c>
      <c r="U291" s="45" t="str">
        <f>IF(records_2[Type]="Room",records_2[roomNo],records_2[roomNo]&amp;"-"&amp;SUBSTITUTE(RIGHT(records_2[roomNo]&amp;records_2[Type],2),"-",""))</f>
        <v>16-1-084-M</v>
      </c>
      <c r="V291" s="47" t="str">
        <f t="array" ref="V291">_xlfn.XLOOKUP(records_2[ID], dAir[roomNo], dAir[roomName])</f>
        <v>FILLING 1 (Machine)</v>
      </c>
      <c r="W291" s="47" t="str">
        <f t="array" ref="W291">_xlfn.XLOOKUP(records_2[ID], dAir[roomNo], dAir[building])</f>
        <v>Building 16</v>
      </c>
      <c r="X291" s="47" t="str">
        <f t="array" ref="X291">_xlfn.XLOOKUP(records_2[ID], dAir[roomNo], dAir[floor])</f>
        <v>Floor 1</v>
      </c>
      <c r="Y291" s="45" t="str">
        <f t="array" ref="Y291">_xlfn.XLOOKUP(records_2[ID], dAir[roomNo], dAir[Class])</f>
        <v>A</v>
      </c>
      <c r="Z291" s="45">
        <f t="array" ref="Z291">_xlfn.XLOOKUP(records_2[Method]&amp;"-"&amp;records_2[Class], dAirSpec[ID], dAirSpec[Spec])</f>
        <v>0</v>
      </c>
      <c r="AA291" s="45" t="str">
        <f t="array" ref="AA291">_xlfn.XLOOKUP(records_2[Method]&amp;"-"&amp;records_2[Class], dAirSpec[ID], dAirSpec[Unit])</f>
        <v>cfu/m3</v>
      </c>
      <c r="AB291" s="45">
        <f t="array" ref="AB291">if(R291="","", if(records_2[Method]="Active Air",_xlfn.xlookup(records_2[ColonyCount]&amp;records_2[AirSampler],feller[code],feller[Vc]),records_2[ColonyCount]))</f>
        <v>0</v>
      </c>
      <c r="AC291" s="60" t="b">
        <f t="shared" si="1"/>
        <v>1</v>
      </c>
      <c r="AD291" s="61" t="b">
        <v>0</v>
      </c>
      <c r="AE291" s="32" t="s">
        <v>280</v>
      </c>
      <c r="AF291" s="46"/>
      <c r="AG291" s="46"/>
      <c r="AH291" s="46"/>
      <c r="AI291" s="46"/>
      <c r="AJ291" s="46"/>
    </row>
    <row r="292" ht="22.5" customHeight="1">
      <c r="A292" s="27">
        <v>46076.0</v>
      </c>
      <c r="B292" s="34" t="str">
        <f t="array" ref="B292">TEXT(A292, "MM-YYYY")</f>
        <v>02-2026</v>
      </c>
      <c r="C292" s="39" t="s">
        <v>786</v>
      </c>
      <c r="D292" s="36" t="s">
        <v>680</v>
      </c>
      <c r="E292" s="36" t="s">
        <v>531</v>
      </c>
      <c r="F292" s="29" t="b">
        <v>1</v>
      </c>
      <c r="G292" s="36" t="s">
        <v>2250</v>
      </c>
      <c r="H292" s="36" t="s">
        <v>534</v>
      </c>
      <c r="I292" s="39"/>
      <c r="J292" s="43"/>
      <c r="K292" s="37" t="s">
        <v>366</v>
      </c>
      <c r="L292" s="37" t="s">
        <v>1858</v>
      </c>
      <c r="M292" s="37" t="s">
        <v>194</v>
      </c>
      <c r="N292" s="37" t="s">
        <v>194</v>
      </c>
      <c r="O292" s="37" t="s">
        <v>199</v>
      </c>
      <c r="P292" s="37" t="s">
        <v>201</v>
      </c>
      <c r="Q292" s="41">
        <v>46057.0</v>
      </c>
      <c r="R292" s="42">
        <v>0.0</v>
      </c>
      <c r="S292" s="29"/>
      <c r="T292" s="37" t="s">
        <v>2248</v>
      </c>
      <c r="U292" s="45" t="str">
        <f>IF(records_2[Type]="Room",records_2[roomNo],records_2[roomNo]&amp;"-"&amp;SUBSTITUTE(RIGHT(records_2[roomNo]&amp;records_2[Type],2),"-",""))</f>
        <v>16-1-102-B</v>
      </c>
      <c r="V292" s="47" t="str">
        <f t="array" ref="V292">_xlfn.XLOOKUP(records_2[ID], dAir[roomNo], dAir[roomName])</f>
        <v>DISPENSING (Booth)</v>
      </c>
      <c r="W292" s="47" t="str">
        <f t="array" ref="W292">_xlfn.XLOOKUP(records_2[ID], dAir[roomNo], dAir[building])</f>
        <v>Building 16</v>
      </c>
      <c r="X292" s="47" t="str">
        <f t="array" ref="X292">_xlfn.XLOOKUP(records_2[ID], dAir[roomNo], dAir[floor])</f>
        <v>Floor 1</v>
      </c>
      <c r="Y292" s="45" t="str">
        <f t="array" ref="Y292">_xlfn.XLOOKUP(records_2[ID], dAir[roomNo], dAir[Class])</f>
        <v>A</v>
      </c>
      <c r="Z292" s="45">
        <f t="array" ref="Z292">_xlfn.XLOOKUP(records_2[Method]&amp;"-"&amp;records_2[Class], dAirSpec[ID], dAirSpec[Spec])</f>
        <v>0</v>
      </c>
      <c r="AA292" s="45" t="str">
        <f t="array" ref="AA292">_xlfn.XLOOKUP(records_2[Method]&amp;"-"&amp;records_2[Class], dAirSpec[ID], dAirSpec[Unit])</f>
        <v>cfu/m3</v>
      </c>
      <c r="AB292" s="45">
        <f t="array" ref="AB292">if(R292="","", if(records_2[Method]="Active Air",_xlfn.xlookup(records_2[ColonyCount]&amp;records_2[AirSampler],feller[code],feller[Vc]),records_2[ColonyCount]))</f>
        <v>0</v>
      </c>
      <c r="AC292" s="60" t="b">
        <f t="shared" si="1"/>
        <v>1</v>
      </c>
      <c r="AD292" s="61" t="b">
        <v>0</v>
      </c>
      <c r="AE292" s="32" t="s">
        <v>280</v>
      </c>
      <c r="AF292" s="46"/>
      <c r="AG292" s="46"/>
      <c r="AH292" s="46"/>
      <c r="AI292" s="46"/>
      <c r="AJ292" s="46"/>
    </row>
    <row r="293" ht="22.5" customHeight="1">
      <c r="A293" s="27">
        <v>46084.0</v>
      </c>
      <c r="B293" s="34" t="str">
        <f t="array" ref="B293">TEXT(A293, "MM-YYYY")</f>
        <v>03-2026</v>
      </c>
      <c r="C293" s="20" t="s">
        <v>840</v>
      </c>
      <c r="D293" s="21" t="s">
        <v>210</v>
      </c>
      <c r="E293" s="139" t="s">
        <v>531</v>
      </c>
      <c r="F293" s="29" t="b">
        <v>1</v>
      </c>
      <c r="G293" s="36" t="s">
        <v>214</v>
      </c>
      <c r="H293" s="36" t="s">
        <v>757</v>
      </c>
      <c r="I293" s="39"/>
      <c r="J293" s="43"/>
      <c r="K293" s="37" t="s">
        <v>314</v>
      </c>
      <c r="L293" s="37" t="s">
        <v>2251</v>
      </c>
      <c r="M293" s="37" t="s">
        <v>194</v>
      </c>
      <c r="N293" s="37" t="s">
        <v>194</v>
      </c>
      <c r="O293" s="37" t="s">
        <v>199</v>
      </c>
      <c r="P293" s="37" t="s">
        <v>201</v>
      </c>
      <c r="Q293" s="41">
        <v>46057.0</v>
      </c>
      <c r="R293" s="42">
        <v>8.0</v>
      </c>
      <c r="S293" s="29"/>
      <c r="T293" s="37" t="s">
        <v>2252</v>
      </c>
      <c r="U293" s="47" t="str">
        <f>IF(records_2[Type]="Room",records_2[roomNo],records_2[roomNo]&amp;"-"&amp;SUBSTITUTE(RIGHT(records_2[roomNo]&amp;records_2[Type],2),"-",""))</f>
        <v>16-1-069</v>
      </c>
      <c r="V293" s="47" t="str">
        <f t="array" ref="V293">_xlfn.XLOOKUP(records_2[ID], dAir[roomNo], dAir[roomName])</f>
        <v>MEN PAL</v>
      </c>
      <c r="W293" s="47" t="str">
        <f t="array" ref="W293">_xlfn.XLOOKUP(records_2[ID], dAir[roomNo], dAir[building])</f>
        <v>Building 16</v>
      </c>
      <c r="X293" s="47" t="str">
        <f t="array" ref="X293">_xlfn.XLOOKUP(records_2[ID], dAir[roomNo], dAir[floor])</f>
        <v>Floor 1</v>
      </c>
      <c r="Y293" s="45" t="str">
        <f t="array" ref="Y293">_xlfn.XLOOKUP(records_2[ID], dAir[roomNo], dAir[Class])</f>
        <v>D</v>
      </c>
      <c r="Z293" s="45">
        <f t="array" ref="Z293">_xlfn.XLOOKUP(records_2[Method]&amp;"-"&amp;records_2[Class], dAirSpec[ID], dAirSpec[Spec])</f>
        <v>200</v>
      </c>
      <c r="AA293" s="45" t="str">
        <f t="array" ref="AA293">_xlfn.XLOOKUP(records_2[Method]&amp;"-"&amp;records_2[Class], dAirSpec[ID], dAirSpec[Unit])</f>
        <v>cfu/m3</v>
      </c>
      <c r="AB293" s="45">
        <f t="array" ref="AB293">if(R293="","", if(records_2[Method]="Active Air",_xlfn.xlookup(records_2[ColonyCount]&amp;records_2[AirSampler],feller[code],feller[Vc]),records_2[ColonyCount]))</f>
        <v>8</v>
      </c>
      <c r="AC293" s="60" t="b">
        <f t="shared" si="1"/>
        <v>1</v>
      </c>
      <c r="AD293" s="61" t="b">
        <v>0</v>
      </c>
      <c r="AE293" s="32" t="s">
        <v>280</v>
      </c>
      <c r="AF293" s="46"/>
      <c r="AG293" s="46"/>
      <c r="AH293" s="46"/>
      <c r="AI293" s="46"/>
      <c r="AJ293" s="46"/>
    </row>
    <row r="294" ht="22.5" customHeight="1">
      <c r="A294" s="27">
        <v>46084.0</v>
      </c>
      <c r="B294" s="34" t="str">
        <f t="array" ref="B294">TEXT(A294, "MM-YYYY")</f>
        <v>03-2026</v>
      </c>
      <c r="C294" s="39" t="s">
        <v>845</v>
      </c>
      <c r="D294" s="36" t="s">
        <v>210</v>
      </c>
      <c r="E294" s="36" t="s">
        <v>531</v>
      </c>
      <c r="F294" s="29" t="b">
        <v>1</v>
      </c>
      <c r="G294" s="36" t="s">
        <v>214</v>
      </c>
      <c r="H294" s="36" t="s">
        <v>757</v>
      </c>
      <c r="I294" s="39"/>
      <c r="J294" s="43"/>
      <c r="K294" s="37" t="s">
        <v>292</v>
      </c>
      <c r="L294" s="37" t="s">
        <v>983</v>
      </c>
      <c r="M294" s="37" t="s">
        <v>194</v>
      </c>
      <c r="N294" s="37" t="s">
        <v>194</v>
      </c>
      <c r="O294" s="37" t="s">
        <v>199</v>
      </c>
      <c r="P294" s="37" t="s">
        <v>201</v>
      </c>
      <c r="Q294" s="41">
        <v>46057.0</v>
      </c>
      <c r="R294" s="42">
        <v>3.0</v>
      </c>
      <c r="S294" s="29"/>
      <c r="T294" s="37" t="s">
        <v>2252</v>
      </c>
      <c r="U294" s="45" t="str">
        <f>IF(records_2[Type]="Room",records_2[roomNo],records_2[roomNo]&amp;"-"&amp;SUBSTITUTE(RIGHT(records_2[roomNo]&amp;records_2[Type],2),"-",""))</f>
        <v>16-1-070</v>
      </c>
      <c r="V294" s="47" t="str">
        <f t="array" ref="V294">_xlfn.XLOOKUP(records_2[ID], dAir[roomNo], dAir[roomName])</f>
        <v>MEN PROCESS CHANGE</v>
      </c>
      <c r="W294" s="47" t="str">
        <f t="array" ref="W294">_xlfn.XLOOKUP(records_2[ID], dAir[roomNo], dAir[building])</f>
        <v>Building 16</v>
      </c>
      <c r="X294" s="47" t="str">
        <f t="array" ref="X294">_xlfn.XLOOKUP(records_2[ID], dAir[roomNo], dAir[floor])</f>
        <v>Floor 1</v>
      </c>
      <c r="Y294" s="45" t="str">
        <f t="array" ref="Y294">_xlfn.XLOOKUP(records_2[ID], dAir[roomNo], dAir[Class])</f>
        <v>C</v>
      </c>
      <c r="Z294" s="45">
        <f t="array" ref="Z294">_xlfn.XLOOKUP(records_2[Method]&amp;"-"&amp;records_2[Class], dAirSpec[ID], dAirSpec[Spec])</f>
        <v>100</v>
      </c>
      <c r="AA294" s="45" t="str">
        <f t="array" ref="AA294">_xlfn.XLOOKUP(records_2[Method]&amp;"-"&amp;records_2[Class], dAirSpec[ID], dAirSpec[Unit])</f>
        <v>cfu/m3</v>
      </c>
      <c r="AB294" s="45">
        <f t="array" ref="AB294">if(R294="","", if(records_2[Method]="Active Air",_xlfn.xlookup(records_2[ColonyCount]&amp;records_2[AirSampler],feller[code],feller[Vc]),records_2[ColonyCount]))</f>
        <v>3</v>
      </c>
      <c r="AC294" s="60" t="b">
        <f t="shared" si="1"/>
        <v>1</v>
      </c>
      <c r="AD294" s="61" t="b">
        <v>0</v>
      </c>
      <c r="AE294" s="32" t="s">
        <v>280</v>
      </c>
      <c r="AF294" s="46"/>
      <c r="AG294" s="46"/>
      <c r="AH294" s="46"/>
      <c r="AI294" s="46"/>
      <c r="AJ294" s="46"/>
    </row>
    <row r="295" ht="22.5" customHeight="1">
      <c r="A295" s="27">
        <v>46084.0</v>
      </c>
      <c r="B295" s="34" t="str">
        <f t="array" ref="B295">TEXT(A295, "MM-YYYY")</f>
        <v>03-2026</v>
      </c>
      <c r="C295" s="39" t="s">
        <v>857</v>
      </c>
      <c r="D295" s="36" t="s">
        <v>210</v>
      </c>
      <c r="E295" s="36" t="s">
        <v>531</v>
      </c>
      <c r="F295" s="29" t="b">
        <v>1</v>
      </c>
      <c r="G295" s="36" t="s">
        <v>214</v>
      </c>
      <c r="H295" s="36" t="s">
        <v>757</v>
      </c>
      <c r="I295" s="39"/>
      <c r="J295" s="43"/>
      <c r="K295" s="37" t="s">
        <v>469</v>
      </c>
      <c r="L295" s="37" t="s">
        <v>2253</v>
      </c>
      <c r="M295" s="37" t="s">
        <v>194</v>
      </c>
      <c r="N295" s="37" t="s">
        <v>194</v>
      </c>
      <c r="O295" s="37" t="s">
        <v>199</v>
      </c>
      <c r="P295" s="37" t="s">
        <v>201</v>
      </c>
      <c r="Q295" s="41">
        <v>46057.0</v>
      </c>
      <c r="R295" s="42">
        <v>5.0</v>
      </c>
      <c r="S295" s="29"/>
      <c r="T295" s="37" t="s">
        <v>2252</v>
      </c>
      <c r="U295" s="45" t="str">
        <f>IF(records_2[Type]="Room",records_2[roomNo],records_2[roomNo]&amp;"-"&amp;SUBSTITUTE(RIGHT(records_2[roomNo]&amp;records_2[Type],2),"-",""))</f>
        <v>16-1-071</v>
      </c>
      <c r="V295" s="47" t="str">
        <f t="array" ref="V295">_xlfn.XLOOKUP(records_2[ID], dAir[roomNo], dAir[roomName])</f>
        <v>WOMEN PAL</v>
      </c>
      <c r="W295" s="47" t="str">
        <f t="array" ref="W295">_xlfn.XLOOKUP(records_2[ID], dAir[roomNo], dAir[building])</f>
        <v>Building 16</v>
      </c>
      <c r="X295" s="47" t="str">
        <f t="array" ref="X295">_xlfn.XLOOKUP(records_2[ID], dAir[roomNo], dAir[floor])</f>
        <v>Floor 1</v>
      </c>
      <c r="Y295" s="45" t="str">
        <f t="array" ref="Y295">_xlfn.XLOOKUP(records_2[ID], dAir[roomNo], dAir[Class])</f>
        <v>D</v>
      </c>
      <c r="Z295" s="45">
        <f t="array" ref="Z295">_xlfn.XLOOKUP(records_2[Method]&amp;"-"&amp;records_2[Class], dAirSpec[ID], dAirSpec[Spec])</f>
        <v>200</v>
      </c>
      <c r="AA295" s="45" t="str">
        <f t="array" ref="AA295">_xlfn.XLOOKUP(records_2[Method]&amp;"-"&amp;records_2[Class], dAirSpec[ID], dAirSpec[Unit])</f>
        <v>cfu/m3</v>
      </c>
      <c r="AB295" s="45">
        <f t="array" ref="AB295">if(R295="","", if(records_2[Method]="Active Air",_xlfn.xlookup(records_2[ColonyCount]&amp;records_2[AirSampler],feller[code],feller[Vc]),records_2[ColonyCount]))</f>
        <v>5</v>
      </c>
      <c r="AC295" s="60" t="b">
        <f t="shared" si="1"/>
        <v>1</v>
      </c>
      <c r="AD295" s="61" t="b">
        <v>0</v>
      </c>
      <c r="AE295" s="32" t="s">
        <v>280</v>
      </c>
      <c r="AF295" s="46"/>
      <c r="AG295" s="46"/>
      <c r="AH295" s="46"/>
      <c r="AI295" s="46"/>
      <c r="AJ295" s="46"/>
    </row>
    <row r="296" ht="22.5" customHeight="1">
      <c r="A296" s="27">
        <v>46084.0</v>
      </c>
      <c r="B296" s="34" t="str">
        <f t="array" ref="B296">TEXT(A296, "MM-YYYY")</f>
        <v>03-2026</v>
      </c>
      <c r="C296" s="39" t="s">
        <v>878</v>
      </c>
      <c r="D296" s="36" t="s">
        <v>210</v>
      </c>
      <c r="E296" s="36" t="s">
        <v>531</v>
      </c>
      <c r="F296" s="29" t="b">
        <v>1</v>
      </c>
      <c r="G296" s="36" t="s">
        <v>214</v>
      </c>
      <c r="H296" s="36" t="s">
        <v>757</v>
      </c>
      <c r="I296" s="39"/>
      <c r="J296" s="43"/>
      <c r="K296" s="37" t="s">
        <v>428</v>
      </c>
      <c r="L296" s="37" t="s">
        <v>2247</v>
      </c>
      <c r="M296" s="37" t="s">
        <v>194</v>
      </c>
      <c r="N296" s="37" t="s">
        <v>194</v>
      </c>
      <c r="O296" s="37" t="s">
        <v>199</v>
      </c>
      <c r="P296" s="37" t="s">
        <v>201</v>
      </c>
      <c r="Q296" s="41">
        <v>46057.0</v>
      </c>
      <c r="R296" s="42">
        <v>4.0</v>
      </c>
      <c r="S296" s="29"/>
      <c r="T296" s="37" t="s">
        <v>2252</v>
      </c>
      <c r="U296" s="45" t="str">
        <f>IF(records_2[Type]="Room",records_2[roomNo],records_2[roomNo]&amp;"-"&amp;SUBSTITUTE(RIGHT(records_2[roomNo]&amp;records_2[Type],2),"-",""))</f>
        <v>16-1-072</v>
      </c>
      <c r="V296" s="47" t="str">
        <f t="array" ref="V296">_xlfn.XLOOKUP(records_2[ID], dAir[roomNo], dAir[roomName])</f>
        <v>WOMEN PROCESS CHANGE</v>
      </c>
      <c r="W296" s="47" t="str">
        <f t="array" ref="W296">_xlfn.XLOOKUP(records_2[ID], dAir[roomNo], dAir[building])</f>
        <v>Building 16</v>
      </c>
      <c r="X296" s="47" t="str">
        <f t="array" ref="X296">_xlfn.XLOOKUP(records_2[ID], dAir[roomNo], dAir[floor])</f>
        <v>Floor 1</v>
      </c>
      <c r="Y296" s="45" t="str">
        <f t="array" ref="Y296">_xlfn.XLOOKUP(records_2[ID], dAir[roomNo], dAir[Class])</f>
        <v>C</v>
      </c>
      <c r="Z296" s="45">
        <f t="array" ref="Z296">_xlfn.XLOOKUP(records_2[Method]&amp;"-"&amp;records_2[Class], dAirSpec[ID], dAirSpec[Spec])</f>
        <v>100</v>
      </c>
      <c r="AA296" s="45" t="str">
        <f t="array" ref="AA296">_xlfn.XLOOKUP(records_2[Method]&amp;"-"&amp;records_2[Class], dAirSpec[ID], dAirSpec[Unit])</f>
        <v>cfu/m3</v>
      </c>
      <c r="AB296" s="45">
        <f t="array" ref="AB296">if(R296="","", if(records_2[Method]="Active Air",_xlfn.xlookup(records_2[ColonyCount]&amp;records_2[AirSampler],feller[code],feller[Vc]),records_2[ColonyCount]))</f>
        <v>4</v>
      </c>
      <c r="AC296" s="60" t="b">
        <f t="shared" si="1"/>
        <v>1</v>
      </c>
      <c r="AD296" s="61" t="b">
        <v>0</v>
      </c>
      <c r="AE296" s="32" t="s">
        <v>280</v>
      </c>
      <c r="AF296" s="46"/>
      <c r="AG296" s="46"/>
      <c r="AH296" s="46"/>
      <c r="AI296" s="46"/>
      <c r="AJ296" s="46"/>
    </row>
    <row r="297" ht="22.5" customHeight="1">
      <c r="A297" s="27">
        <v>46084.0</v>
      </c>
      <c r="B297" s="34" t="str">
        <f t="array" ref="B297">TEXT(A297, "MM-YYYY")</f>
        <v>03-2026</v>
      </c>
      <c r="C297" s="39" t="s">
        <v>898</v>
      </c>
      <c r="D297" s="36" t="s">
        <v>210</v>
      </c>
      <c r="E297" s="36" t="s">
        <v>531</v>
      </c>
      <c r="F297" s="29" t="b">
        <v>1</v>
      </c>
      <c r="G297" s="36" t="s">
        <v>214</v>
      </c>
      <c r="H297" s="36" t="s">
        <v>757</v>
      </c>
      <c r="I297" s="39"/>
      <c r="J297" s="43"/>
      <c r="K297" s="37" t="s">
        <v>428</v>
      </c>
      <c r="L297" s="37" t="s">
        <v>999</v>
      </c>
      <c r="M297" s="37" t="s">
        <v>194</v>
      </c>
      <c r="N297" s="37" t="s">
        <v>194</v>
      </c>
      <c r="O297" s="37" t="s">
        <v>199</v>
      </c>
      <c r="P297" s="37" t="s">
        <v>201</v>
      </c>
      <c r="Q297" s="41">
        <v>46057.0</v>
      </c>
      <c r="R297" s="42">
        <v>11.0</v>
      </c>
      <c r="S297" s="29" t="s">
        <v>902</v>
      </c>
      <c r="T297" s="37" t="s">
        <v>2252</v>
      </c>
      <c r="U297" s="45" t="str">
        <f>IF(records_2[Type]="Room",records_2[roomNo],records_2[roomNo]&amp;"-"&amp;SUBSTITUTE(RIGHT(records_2[roomNo]&amp;records_2[Type],2),"-",""))</f>
        <v>16-1-073</v>
      </c>
      <c r="V297" s="47" t="str">
        <f t="array" ref="V297">_xlfn.XLOOKUP(records_2[ID], dAir[roomNo], dAir[roomName])</f>
        <v>CORRIDOR</v>
      </c>
      <c r="W297" s="47" t="str">
        <f t="array" ref="W297">_xlfn.XLOOKUP(records_2[ID], dAir[roomNo], dAir[building])</f>
        <v>Building 16</v>
      </c>
      <c r="X297" s="47" t="str">
        <f t="array" ref="X297">_xlfn.XLOOKUP(records_2[ID], dAir[roomNo], dAir[floor])</f>
        <v>Floor 1</v>
      </c>
      <c r="Y297" s="45" t="str">
        <f t="array" ref="Y297">_xlfn.XLOOKUP(records_2[ID], dAir[roomNo], dAir[Class])</f>
        <v>C</v>
      </c>
      <c r="Z297" s="45">
        <f t="array" ref="Z297">_xlfn.XLOOKUP(records_2[Method]&amp;"-"&amp;records_2[Class], dAirSpec[ID], dAirSpec[Spec])</f>
        <v>100</v>
      </c>
      <c r="AA297" s="45" t="str">
        <f t="array" ref="AA297">_xlfn.XLOOKUP(records_2[Method]&amp;"-"&amp;records_2[Class], dAirSpec[ID], dAirSpec[Unit])</f>
        <v>cfu/m3</v>
      </c>
      <c r="AB297" s="45">
        <f t="array" ref="AB297">if(R297="","", if(records_2[Method]="Active Air",_xlfn.xlookup(records_2[ColonyCount]&amp;records_2[AirSampler],feller[code],feller[Vc]),records_2[ColonyCount]))</f>
        <v>11</v>
      </c>
      <c r="AC297" s="60" t="b">
        <f t="shared" si="1"/>
        <v>1</v>
      </c>
      <c r="AD297" s="61" t="b">
        <v>0</v>
      </c>
      <c r="AE297" s="32" t="s">
        <v>280</v>
      </c>
      <c r="AF297" s="46"/>
      <c r="AG297" s="46"/>
      <c r="AH297" s="46"/>
      <c r="AI297" s="46"/>
      <c r="AJ297" s="46"/>
    </row>
    <row r="298" ht="22.5" customHeight="1">
      <c r="A298" s="27">
        <v>46084.0</v>
      </c>
      <c r="B298" s="34" t="str">
        <f t="array" ref="B298">TEXT(A298, "MM-YYYY")</f>
        <v>03-2026</v>
      </c>
      <c r="C298" s="39" t="s">
        <v>919</v>
      </c>
      <c r="D298" s="36" t="s">
        <v>210</v>
      </c>
      <c r="E298" s="36" t="s">
        <v>531</v>
      </c>
      <c r="F298" s="29" t="b">
        <v>1</v>
      </c>
      <c r="G298" s="36" t="s">
        <v>214</v>
      </c>
      <c r="H298" s="36" t="s">
        <v>757</v>
      </c>
      <c r="I298" s="39"/>
      <c r="J298" s="43"/>
      <c r="K298" s="37" t="s">
        <v>292</v>
      </c>
      <c r="L298" s="37" t="s">
        <v>758</v>
      </c>
      <c r="M298" s="37" t="s">
        <v>194</v>
      </c>
      <c r="N298" s="37" t="s">
        <v>194</v>
      </c>
      <c r="O298" s="37" t="s">
        <v>199</v>
      </c>
      <c r="P298" s="37" t="s">
        <v>201</v>
      </c>
      <c r="Q298" s="41">
        <v>46057.0</v>
      </c>
      <c r="R298" s="42">
        <v>0.0</v>
      </c>
      <c r="S298" s="29"/>
      <c r="T298" s="37" t="s">
        <v>2252</v>
      </c>
      <c r="U298" s="45" t="str">
        <f>IF(records_2[Type]="Room",records_2[roomNo],records_2[roomNo]&amp;"-"&amp;SUBSTITUTE(RIGHT(records_2[roomNo]&amp;records_2[Type],2),"-",""))</f>
        <v>16-1-074</v>
      </c>
      <c r="V298" s="47" t="str">
        <f t="array" ref="V298">_xlfn.XLOOKUP(records_2[ID], dAir[roomNo], dAir[roomName])</f>
        <v>AIRLOCK</v>
      </c>
      <c r="W298" s="47" t="str">
        <f t="array" ref="W298">_xlfn.XLOOKUP(records_2[ID], dAir[roomNo], dAir[building])</f>
        <v>Building 16</v>
      </c>
      <c r="X298" s="47" t="str">
        <f t="array" ref="X298">_xlfn.XLOOKUP(records_2[ID], dAir[roomNo], dAir[floor])</f>
        <v>Floor 1</v>
      </c>
      <c r="Y298" s="45" t="str">
        <f t="array" ref="Y298">_xlfn.XLOOKUP(records_2[ID], dAir[roomNo], dAir[Class])</f>
        <v>C</v>
      </c>
      <c r="Z298" s="45">
        <f t="array" ref="Z298">_xlfn.XLOOKUP(records_2[Method]&amp;"-"&amp;records_2[Class], dAirSpec[ID], dAirSpec[Spec])</f>
        <v>100</v>
      </c>
      <c r="AA298" s="45" t="str">
        <f t="array" ref="AA298">_xlfn.XLOOKUP(records_2[Method]&amp;"-"&amp;records_2[Class], dAirSpec[ID], dAirSpec[Unit])</f>
        <v>cfu/m3</v>
      </c>
      <c r="AB298" s="45">
        <f t="array" ref="AB298">if(R298="","", if(records_2[Method]="Active Air",_xlfn.xlookup(records_2[ColonyCount]&amp;records_2[AirSampler],feller[code],feller[Vc]),records_2[ColonyCount]))</f>
        <v>0</v>
      </c>
      <c r="AC298" s="60" t="b">
        <f t="shared" si="1"/>
        <v>1</v>
      </c>
      <c r="AD298" s="61" t="b">
        <v>0</v>
      </c>
      <c r="AE298" s="32" t="s">
        <v>280</v>
      </c>
      <c r="AF298" s="46"/>
      <c r="AG298" s="46"/>
      <c r="AH298" s="46"/>
      <c r="AI298" s="46"/>
      <c r="AJ298" s="46"/>
    </row>
    <row r="299" ht="22.5" customHeight="1">
      <c r="A299" s="27">
        <v>46084.0</v>
      </c>
      <c r="B299" s="34" t="str">
        <f t="array" ref="B299">TEXT(A299, "MM-YYYY")</f>
        <v>03-2026</v>
      </c>
      <c r="C299" s="39" t="s">
        <v>753</v>
      </c>
      <c r="D299" s="36" t="s">
        <v>210</v>
      </c>
      <c r="E299" s="36" t="s">
        <v>531</v>
      </c>
      <c r="F299" s="29" t="b">
        <v>1</v>
      </c>
      <c r="G299" s="36" t="s">
        <v>214</v>
      </c>
      <c r="H299" s="36" t="s">
        <v>757</v>
      </c>
      <c r="I299" s="39"/>
      <c r="J299" s="43"/>
      <c r="K299" s="37" t="s">
        <v>484</v>
      </c>
      <c r="L299" s="37" t="s">
        <v>2256</v>
      </c>
      <c r="M299" s="37" t="s">
        <v>194</v>
      </c>
      <c r="N299" s="37" t="s">
        <v>194</v>
      </c>
      <c r="O299" s="37" t="s">
        <v>199</v>
      </c>
      <c r="P299" s="37" t="s">
        <v>201</v>
      </c>
      <c r="Q299" s="41">
        <v>46057.0</v>
      </c>
      <c r="R299" s="42">
        <v>1.0</v>
      </c>
      <c r="S299" s="29"/>
      <c r="T299" s="37" t="s">
        <v>2252</v>
      </c>
      <c r="U299" s="45" t="str">
        <f>IF(records_2[Type]="Room",records_2[roomNo],records_2[roomNo]&amp;"-"&amp;SUBSTITUTE(RIGHT(records_2[roomNo]&amp;records_2[Type],2),"-",""))</f>
        <v>16-1-075</v>
      </c>
      <c r="V299" s="47" t="str">
        <f t="array" ref="V299">_xlfn.XLOOKUP(records_2[ID], dAir[roomNo], dAir[roomName])</f>
        <v>VIALS CAPPING</v>
      </c>
      <c r="W299" s="47" t="str">
        <f t="array" ref="W299">_xlfn.XLOOKUP(records_2[ID], dAir[roomNo], dAir[building])</f>
        <v>Building 16</v>
      </c>
      <c r="X299" s="47" t="str">
        <f t="array" ref="X299">_xlfn.XLOOKUP(records_2[ID], dAir[roomNo], dAir[floor])</f>
        <v>Floor 1</v>
      </c>
      <c r="Y299" s="45" t="str">
        <f t="array" ref="Y299">_xlfn.XLOOKUP(records_2[ID], dAir[roomNo], dAir[Class])</f>
        <v>C</v>
      </c>
      <c r="Z299" s="45">
        <f t="array" ref="Z299">_xlfn.XLOOKUP(records_2[Method]&amp;"-"&amp;records_2[Class], dAirSpec[ID], dAirSpec[Spec])</f>
        <v>100</v>
      </c>
      <c r="AA299" s="45" t="str">
        <f t="array" ref="AA299">_xlfn.XLOOKUP(records_2[Method]&amp;"-"&amp;records_2[Class], dAirSpec[ID], dAirSpec[Unit])</f>
        <v>cfu/m3</v>
      </c>
      <c r="AB299" s="45">
        <f t="array" ref="AB299">if(R299="","", if(records_2[Method]="Active Air",_xlfn.xlookup(records_2[ColonyCount]&amp;records_2[AirSampler],feller[code],feller[Vc]),records_2[ColonyCount]))</f>
        <v>1</v>
      </c>
      <c r="AC299" s="60" t="b">
        <f t="shared" si="1"/>
        <v>1</v>
      </c>
      <c r="AD299" s="61" t="b">
        <v>0</v>
      </c>
      <c r="AE299" s="32" t="s">
        <v>280</v>
      </c>
      <c r="AF299" s="46"/>
      <c r="AG299" s="46"/>
      <c r="AH299" s="46"/>
      <c r="AI299" s="46"/>
      <c r="AJ299" s="46"/>
    </row>
    <row r="300" ht="22.5" customHeight="1">
      <c r="A300" s="27">
        <v>46084.0</v>
      </c>
      <c r="B300" s="34" t="str">
        <f t="array" ref="B300">TEXT(A300, "MM-YYYY")</f>
        <v>03-2026</v>
      </c>
      <c r="C300" s="39" t="s">
        <v>753</v>
      </c>
      <c r="D300" s="36" t="s">
        <v>755</v>
      </c>
      <c r="E300" s="36" t="s">
        <v>531</v>
      </c>
      <c r="F300" s="29" t="b">
        <v>1</v>
      </c>
      <c r="G300" s="36" t="s">
        <v>214</v>
      </c>
      <c r="H300" s="36" t="s">
        <v>757</v>
      </c>
      <c r="I300" s="39"/>
      <c r="J300" s="43"/>
      <c r="K300" s="37" t="s">
        <v>484</v>
      </c>
      <c r="L300" s="37" t="s">
        <v>2256</v>
      </c>
      <c r="M300" s="37" t="s">
        <v>194</v>
      </c>
      <c r="N300" s="37" t="s">
        <v>194</v>
      </c>
      <c r="O300" s="37" t="s">
        <v>199</v>
      </c>
      <c r="P300" s="37" t="s">
        <v>201</v>
      </c>
      <c r="Q300" s="41">
        <v>46057.0</v>
      </c>
      <c r="R300" s="42">
        <v>0.0</v>
      </c>
      <c r="S300" s="29"/>
      <c r="T300" s="37" t="s">
        <v>2252</v>
      </c>
      <c r="U300" s="45" t="str">
        <f>IF(records_2[Type]="Room",records_2[roomNo],records_2[roomNo]&amp;"-"&amp;SUBSTITUTE(RIGHT(records_2[roomNo]&amp;records_2[Type],2),"-",""))</f>
        <v>16-1-075-M</v>
      </c>
      <c r="V300" s="47" t="str">
        <f t="array" ref="V300">_xlfn.XLOOKUP(records_2[ID], dAir[roomNo], dAir[roomName])</f>
        <v>VIALS CAPPING (Machine)</v>
      </c>
      <c r="W300" s="47" t="str">
        <f t="array" ref="W300">_xlfn.XLOOKUP(records_2[ID], dAir[roomNo], dAir[building])</f>
        <v>Building 16</v>
      </c>
      <c r="X300" s="47" t="str">
        <f t="array" ref="X300">_xlfn.XLOOKUP(records_2[ID], dAir[roomNo], dAir[floor])</f>
        <v>Floor 1</v>
      </c>
      <c r="Y300" s="45" t="str">
        <f t="array" ref="Y300">_xlfn.XLOOKUP(records_2[ID], dAir[roomNo], dAir[Class])</f>
        <v>A</v>
      </c>
      <c r="Z300" s="45">
        <f t="array" ref="Z300">_xlfn.XLOOKUP(records_2[Method]&amp;"-"&amp;records_2[Class], dAirSpec[ID], dAirSpec[Spec])</f>
        <v>0</v>
      </c>
      <c r="AA300" s="45" t="str">
        <f t="array" ref="AA300">_xlfn.XLOOKUP(records_2[Method]&amp;"-"&amp;records_2[Class], dAirSpec[ID], dAirSpec[Unit])</f>
        <v>cfu/m3</v>
      </c>
      <c r="AB300" s="45">
        <f t="array" ref="AB300">if(R300="","", if(records_2[Method]="Active Air",_xlfn.xlookup(records_2[ColonyCount]&amp;records_2[AirSampler],feller[code],feller[Vc]),records_2[ColonyCount]))</f>
        <v>0</v>
      </c>
      <c r="AC300" s="60" t="b">
        <f t="shared" si="1"/>
        <v>1</v>
      </c>
      <c r="AD300" s="61" t="b">
        <v>0</v>
      </c>
      <c r="AE300" s="32" t="s">
        <v>280</v>
      </c>
      <c r="AF300" s="46"/>
      <c r="AG300" s="46"/>
      <c r="AH300" s="46"/>
      <c r="AI300" s="46"/>
      <c r="AJ300" s="46"/>
    </row>
    <row r="301" ht="22.5" customHeight="1">
      <c r="A301" s="27">
        <v>46084.0</v>
      </c>
      <c r="B301" s="34" t="str">
        <f t="array" ref="B301">TEXT(A301, "MM-YYYY")</f>
        <v>03-2026</v>
      </c>
      <c r="C301" s="39" t="s">
        <v>765</v>
      </c>
      <c r="D301" s="36" t="s">
        <v>755</v>
      </c>
      <c r="E301" s="36" t="s">
        <v>531</v>
      </c>
      <c r="F301" s="29" t="b">
        <v>1</v>
      </c>
      <c r="G301" s="36" t="s">
        <v>214</v>
      </c>
      <c r="H301" s="36" t="s">
        <v>757</v>
      </c>
      <c r="I301" s="39"/>
      <c r="J301" s="43"/>
      <c r="K301" s="37" t="s">
        <v>469</v>
      </c>
      <c r="L301" s="37" t="s">
        <v>1829</v>
      </c>
      <c r="M301" s="37" t="s">
        <v>194</v>
      </c>
      <c r="N301" s="37" t="s">
        <v>194</v>
      </c>
      <c r="O301" s="37" t="s">
        <v>199</v>
      </c>
      <c r="P301" s="37" t="s">
        <v>201</v>
      </c>
      <c r="Q301" s="41">
        <v>46057.0</v>
      </c>
      <c r="R301" s="42">
        <v>0.0</v>
      </c>
      <c r="S301" s="29"/>
      <c r="T301" s="37" t="s">
        <v>2252</v>
      </c>
      <c r="U301" s="45" t="str">
        <f>IF(records_2[Type]="Room",records_2[roomNo],records_2[roomNo]&amp;"-"&amp;SUBSTITUTE(RIGHT(records_2[roomNo]&amp;records_2[Type],2),"-",""))</f>
        <v>16-1-076-M</v>
      </c>
      <c r="V301" s="47" t="str">
        <f t="array" ref="V301">_xlfn.XLOOKUP(records_2[ID], dAir[roomNo], dAir[roomName])</f>
        <v>FILLING 2 (Machine)</v>
      </c>
      <c r="W301" s="47" t="str">
        <f t="array" ref="W301">_xlfn.XLOOKUP(records_2[ID], dAir[roomNo], dAir[building])</f>
        <v>Building 16</v>
      </c>
      <c r="X301" s="47" t="str">
        <f t="array" ref="X301">_xlfn.XLOOKUP(records_2[ID], dAir[roomNo], dAir[floor])</f>
        <v>Floor 1</v>
      </c>
      <c r="Y301" s="45" t="str">
        <f t="array" ref="Y301">_xlfn.XLOOKUP(records_2[ID], dAir[roomNo], dAir[Class])</f>
        <v>A</v>
      </c>
      <c r="Z301" s="45">
        <f t="array" ref="Z301">_xlfn.XLOOKUP(records_2[Method]&amp;"-"&amp;records_2[Class], dAirSpec[ID], dAirSpec[Spec])</f>
        <v>0</v>
      </c>
      <c r="AA301" s="45" t="str">
        <f t="array" ref="AA301">_xlfn.XLOOKUP(records_2[Method]&amp;"-"&amp;records_2[Class], dAirSpec[ID], dAirSpec[Unit])</f>
        <v>cfu/m3</v>
      </c>
      <c r="AB301" s="45">
        <f t="array" ref="AB301">if(R301="","", if(records_2[Method]="Active Air",_xlfn.xlookup(records_2[ColonyCount]&amp;records_2[AirSampler],feller[code],feller[Vc]),records_2[ColonyCount]))</f>
        <v>0</v>
      </c>
      <c r="AC301" s="60" t="b">
        <f t="shared" si="1"/>
        <v>1</v>
      </c>
      <c r="AD301" s="61" t="b">
        <v>0</v>
      </c>
      <c r="AE301" s="32" t="s">
        <v>280</v>
      </c>
      <c r="AF301" s="46"/>
      <c r="AG301" s="46"/>
      <c r="AH301" s="46"/>
      <c r="AI301" s="46"/>
      <c r="AJ301" s="46"/>
    </row>
    <row r="302" ht="22.5" customHeight="1">
      <c r="A302" s="27">
        <v>46084.0</v>
      </c>
      <c r="B302" s="34" t="str">
        <f t="array" ref="B302">TEXT(A302, "MM-YYYY")</f>
        <v>03-2026</v>
      </c>
      <c r="C302" s="39" t="s">
        <v>765</v>
      </c>
      <c r="D302" s="36" t="s">
        <v>770</v>
      </c>
      <c r="E302" s="36" t="s">
        <v>531</v>
      </c>
      <c r="F302" s="29" t="b">
        <v>1</v>
      </c>
      <c r="G302" s="36" t="s">
        <v>214</v>
      </c>
      <c r="H302" s="36" t="s">
        <v>757</v>
      </c>
      <c r="I302" s="39"/>
      <c r="J302" s="43"/>
      <c r="K302" s="37" t="s">
        <v>469</v>
      </c>
      <c r="L302" s="37" t="s">
        <v>1829</v>
      </c>
      <c r="M302" s="37" t="s">
        <v>194</v>
      </c>
      <c r="N302" s="37" t="s">
        <v>194</v>
      </c>
      <c r="O302" s="37" t="s">
        <v>199</v>
      </c>
      <c r="P302" s="37" t="s">
        <v>201</v>
      </c>
      <c r="Q302" s="41">
        <v>46057.0</v>
      </c>
      <c r="R302" s="42">
        <v>0.0</v>
      </c>
      <c r="S302" s="29"/>
      <c r="T302" s="37" t="s">
        <v>2252</v>
      </c>
      <c r="U302" s="45" t="str">
        <f>IF(records_2[Type]="Room",records_2[roomNo],records_2[roomNo]&amp;"-"&amp;SUBSTITUTE(RIGHT(records_2[roomNo]&amp;records_2[Type],2),"-",""))</f>
        <v>16-1-076-L</v>
      </c>
      <c r="V302" s="47" t="str">
        <f t="array" ref="V302">_xlfn.XLOOKUP(records_2[ID], dAir[roomNo], dAir[roomName])</f>
        <v>FILLING 2 (Laminar)</v>
      </c>
      <c r="W302" s="47" t="str">
        <f t="array" ref="W302">_xlfn.XLOOKUP(records_2[ID], dAir[roomNo], dAir[building])</f>
        <v>Building 16</v>
      </c>
      <c r="X302" s="47" t="str">
        <f t="array" ref="X302">_xlfn.XLOOKUP(records_2[ID], dAir[roomNo], dAir[floor])</f>
        <v>Floor 1</v>
      </c>
      <c r="Y302" s="45" t="str">
        <f t="array" ref="Y302">_xlfn.XLOOKUP(records_2[ID], dAir[roomNo], dAir[Class])</f>
        <v>A</v>
      </c>
      <c r="Z302" s="45">
        <f t="array" ref="Z302">_xlfn.XLOOKUP(records_2[Method]&amp;"-"&amp;records_2[Class], dAirSpec[ID], dAirSpec[Spec])</f>
        <v>0</v>
      </c>
      <c r="AA302" s="45" t="str">
        <f t="array" ref="AA302">_xlfn.XLOOKUP(records_2[Method]&amp;"-"&amp;records_2[Class], dAirSpec[ID], dAirSpec[Unit])</f>
        <v>cfu/m3</v>
      </c>
      <c r="AB302" s="45">
        <f t="array" ref="AB302">if(R302="","", if(records_2[Method]="Active Air",_xlfn.xlookup(records_2[ColonyCount]&amp;records_2[AirSampler],feller[code],feller[Vc]),records_2[ColonyCount]))</f>
        <v>0</v>
      </c>
      <c r="AC302" s="60" t="b">
        <f t="shared" si="1"/>
        <v>1</v>
      </c>
      <c r="AD302" s="61" t="b">
        <v>0</v>
      </c>
      <c r="AE302" s="32" t="s">
        <v>280</v>
      </c>
      <c r="AF302" s="46"/>
      <c r="AG302" s="46"/>
      <c r="AH302" s="46"/>
      <c r="AI302" s="46"/>
      <c r="AJ302" s="46"/>
    </row>
    <row r="303" ht="22.5" customHeight="1">
      <c r="A303" s="27">
        <v>46084.0</v>
      </c>
      <c r="B303" s="34" t="str">
        <f t="array" ref="B303">TEXT(A303, "MM-YYYY")</f>
        <v>03-2026</v>
      </c>
      <c r="C303" s="39" t="s">
        <v>765</v>
      </c>
      <c r="D303" s="36" t="s">
        <v>210</v>
      </c>
      <c r="E303" s="36" t="s">
        <v>531</v>
      </c>
      <c r="F303" s="29" t="b">
        <v>1</v>
      </c>
      <c r="G303" s="36" t="s">
        <v>214</v>
      </c>
      <c r="H303" s="36" t="s">
        <v>757</v>
      </c>
      <c r="I303" s="39"/>
      <c r="J303" s="43"/>
      <c r="K303" s="37" t="s">
        <v>469</v>
      </c>
      <c r="L303" s="37" t="s">
        <v>1829</v>
      </c>
      <c r="M303" s="37" t="s">
        <v>194</v>
      </c>
      <c r="N303" s="37" t="s">
        <v>194</v>
      </c>
      <c r="O303" s="37" t="s">
        <v>199</v>
      </c>
      <c r="P303" s="37" t="s">
        <v>201</v>
      </c>
      <c r="Q303" s="41">
        <v>46057.0</v>
      </c>
      <c r="R303" s="42">
        <v>0.0</v>
      </c>
      <c r="S303" s="29"/>
      <c r="T303" s="37" t="s">
        <v>2252</v>
      </c>
      <c r="U303" s="45" t="str">
        <f>IF(records_2[Type]="Room",records_2[roomNo],records_2[roomNo]&amp;"-"&amp;SUBSTITUTE(RIGHT(records_2[roomNo]&amp;records_2[Type],2),"-",""))</f>
        <v>16-1-076</v>
      </c>
      <c r="V303" s="47" t="str">
        <f t="array" ref="V303">_xlfn.XLOOKUP(records_2[ID], dAir[roomNo], dAir[roomName])</f>
        <v>FILLING 2</v>
      </c>
      <c r="W303" s="47" t="str">
        <f t="array" ref="W303">_xlfn.XLOOKUP(records_2[ID], dAir[roomNo], dAir[building])</f>
        <v>Building 16</v>
      </c>
      <c r="X303" s="47" t="str">
        <f t="array" ref="X303">_xlfn.XLOOKUP(records_2[ID], dAir[roomNo], dAir[floor])</f>
        <v>Floor 1</v>
      </c>
      <c r="Y303" s="45" t="str">
        <f t="array" ref="Y303">_xlfn.XLOOKUP(records_2[ID], dAir[roomNo], dAir[Class])</f>
        <v>C</v>
      </c>
      <c r="Z303" s="45">
        <f t="array" ref="Z303">_xlfn.XLOOKUP(records_2[Method]&amp;"-"&amp;records_2[Class], dAirSpec[ID], dAirSpec[Spec])</f>
        <v>100</v>
      </c>
      <c r="AA303" s="45" t="str">
        <f t="array" ref="AA303">_xlfn.XLOOKUP(records_2[Method]&amp;"-"&amp;records_2[Class], dAirSpec[ID], dAirSpec[Unit])</f>
        <v>cfu/m3</v>
      </c>
      <c r="AB303" s="45">
        <f t="array" ref="AB303">if(R303="","", if(records_2[Method]="Active Air",_xlfn.xlookup(records_2[ColonyCount]&amp;records_2[AirSampler],feller[code],feller[Vc]),records_2[ColonyCount]))</f>
        <v>0</v>
      </c>
      <c r="AC303" s="60" t="b">
        <f t="shared" si="1"/>
        <v>1</v>
      </c>
      <c r="AD303" s="61" t="b">
        <v>0</v>
      </c>
      <c r="AE303" s="32" t="s">
        <v>280</v>
      </c>
      <c r="AF303" s="46"/>
      <c r="AG303" s="46"/>
      <c r="AH303" s="46"/>
      <c r="AI303" s="46"/>
      <c r="AJ303" s="46"/>
    </row>
    <row r="304" ht="22.5" customHeight="1">
      <c r="A304" s="27">
        <v>46084.0</v>
      </c>
      <c r="B304" s="34" t="str">
        <f t="array" ref="B304">TEXT(A304, "MM-YYYY")</f>
        <v>03-2026</v>
      </c>
      <c r="C304" s="39" t="s">
        <v>729</v>
      </c>
      <c r="D304" s="36" t="s">
        <v>210</v>
      </c>
      <c r="E304" s="36" t="s">
        <v>531</v>
      </c>
      <c r="F304" s="29" t="b">
        <v>1</v>
      </c>
      <c r="G304" s="36" t="s">
        <v>214</v>
      </c>
      <c r="H304" s="36" t="s">
        <v>757</v>
      </c>
      <c r="I304" s="39"/>
      <c r="J304" s="43"/>
      <c r="K304" s="37" t="s">
        <v>435</v>
      </c>
      <c r="L304" s="37" t="s">
        <v>608</v>
      </c>
      <c r="M304" s="37" t="s">
        <v>194</v>
      </c>
      <c r="N304" s="37" t="s">
        <v>194</v>
      </c>
      <c r="O304" s="37" t="s">
        <v>199</v>
      </c>
      <c r="P304" s="37" t="s">
        <v>201</v>
      </c>
      <c r="Q304" s="41">
        <v>46057.0</v>
      </c>
      <c r="R304" s="42">
        <v>1.0</v>
      </c>
      <c r="S304" s="29"/>
      <c r="T304" s="37" t="s">
        <v>2252</v>
      </c>
      <c r="U304" s="45" t="str">
        <f>IF(records_2[Type]="Room",records_2[roomNo],records_2[roomNo]&amp;"-"&amp;SUBSTITUTE(RIGHT(records_2[roomNo]&amp;records_2[Type],2),"-",""))</f>
        <v>16-1-077</v>
      </c>
      <c r="V304" s="47" t="str">
        <f t="array" ref="V304">_xlfn.XLOOKUP(records_2[ID], dAir[roomNo], dAir[roomName])</f>
        <v>FILTRATION 2</v>
      </c>
      <c r="W304" s="47" t="str">
        <f t="array" ref="W304">_xlfn.XLOOKUP(records_2[ID], dAir[roomNo], dAir[building])</f>
        <v>Building 16</v>
      </c>
      <c r="X304" s="47" t="str">
        <f t="array" ref="X304">_xlfn.XLOOKUP(records_2[ID], dAir[roomNo], dAir[floor])</f>
        <v>Floor 1</v>
      </c>
      <c r="Y304" s="45" t="str">
        <f t="array" ref="Y304">_xlfn.XLOOKUP(records_2[ID], dAir[roomNo], dAir[Class])</f>
        <v>C</v>
      </c>
      <c r="Z304" s="45">
        <f t="array" ref="Z304">_xlfn.XLOOKUP(records_2[Method]&amp;"-"&amp;records_2[Class], dAirSpec[ID], dAirSpec[Spec])</f>
        <v>100</v>
      </c>
      <c r="AA304" s="45" t="str">
        <f t="array" ref="AA304">_xlfn.XLOOKUP(records_2[Method]&amp;"-"&amp;records_2[Class], dAirSpec[ID], dAirSpec[Unit])</f>
        <v>cfu/m3</v>
      </c>
      <c r="AB304" s="45">
        <f t="array" ref="AB304">if(R304="","", if(records_2[Method]="Active Air",_xlfn.xlookup(records_2[ColonyCount]&amp;records_2[AirSampler],feller[code],feller[Vc]),records_2[ColonyCount]))</f>
        <v>1</v>
      </c>
      <c r="AC304" s="60" t="b">
        <f t="shared" si="1"/>
        <v>1</v>
      </c>
      <c r="AD304" s="61" t="b">
        <v>0</v>
      </c>
      <c r="AE304" s="32" t="s">
        <v>280</v>
      </c>
      <c r="AF304" s="46"/>
      <c r="AG304" s="46"/>
      <c r="AH304" s="46"/>
      <c r="AI304" s="46"/>
      <c r="AJ304" s="46"/>
    </row>
    <row r="305" ht="22.5" customHeight="1">
      <c r="A305" s="27">
        <v>46084.0</v>
      </c>
      <c r="B305" s="34" t="str">
        <f t="array" ref="B305">TEXT(A305, "MM-YYYY")</f>
        <v>03-2026</v>
      </c>
      <c r="C305" s="39" t="s">
        <v>1041</v>
      </c>
      <c r="D305" s="36" t="s">
        <v>210</v>
      </c>
      <c r="E305" s="36" t="s">
        <v>531</v>
      </c>
      <c r="F305" s="29" t="b">
        <v>1</v>
      </c>
      <c r="G305" s="36" t="s">
        <v>214</v>
      </c>
      <c r="H305" s="36" t="s">
        <v>757</v>
      </c>
      <c r="I305" s="39"/>
      <c r="J305" s="43"/>
      <c r="K305" s="37" t="s">
        <v>428</v>
      </c>
      <c r="L305" s="37" t="s">
        <v>999</v>
      </c>
      <c r="M305" s="37" t="s">
        <v>194</v>
      </c>
      <c r="N305" s="37" t="s">
        <v>194</v>
      </c>
      <c r="O305" s="37" t="s">
        <v>199</v>
      </c>
      <c r="P305" s="37" t="s">
        <v>201</v>
      </c>
      <c r="Q305" s="41">
        <v>46057.0</v>
      </c>
      <c r="R305" s="42">
        <v>4.0</v>
      </c>
      <c r="S305" s="29" t="s">
        <v>1043</v>
      </c>
      <c r="T305" s="37" t="s">
        <v>2252</v>
      </c>
      <c r="U305" s="45" t="str">
        <f>IF(records_2[Type]="Room",records_2[roomNo],records_2[roomNo]&amp;"-"&amp;SUBSTITUTE(RIGHT(records_2[roomNo]&amp;records_2[Type],2),"-",""))</f>
        <v>16-1-078</v>
      </c>
      <c r="V305" s="47" t="str">
        <f t="array" ref="V305">_xlfn.XLOOKUP(records_2[ID], dAir[roomNo], dAir[roomName])</f>
        <v>PASSAGE</v>
      </c>
      <c r="W305" s="47" t="str">
        <f t="array" ref="W305">_xlfn.XLOOKUP(records_2[ID], dAir[roomNo], dAir[building])</f>
        <v>Building 16</v>
      </c>
      <c r="X305" s="47" t="str">
        <f t="array" ref="X305">_xlfn.XLOOKUP(records_2[ID], dAir[roomNo], dAir[floor])</f>
        <v>Floor 1</v>
      </c>
      <c r="Y305" s="45" t="str">
        <f t="array" ref="Y305">_xlfn.XLOOKUP(records_2[ID], dAir[roomNo], dAir[Class])</f>
        <v>C</v>
      </c>
      <c r="Z305" s="45">
        <f t="array" ref="Z305">_xlfn.XLOOKUP(records_2[Method]&amp;"-"&amp;records_2[Class], dAirSpec[ID], dAirSpec[Spec])</f>
        <v>100</v>
      </c>
      <c r="AA305" s="45" t="str">
        <f t="array" ref="AA305">_xlfn.XLOOKUP(records_2[Method]&amp;"-"&amp;records_2[Class], dAirSpec[ID], dAirSpec[Unit])</f>
        <v>cfu/m3</v>
      </c>
      <c r="AB305" s="45">
        <f t="array" ref="AB305">if(R305="","", if(records_2[Method]="Active Air",_xlfn.xlookup(records_2[ColonyCount]&amp;records_2[AirSampler],feller[code],feller[Vc]),records_2[ColonyCount]))</f>
        <v>4</v>
      </c>
      <c r="AC305" s="60" t="b">
        <f t="shared" si="1"/>
        <v>1</v>
      </c>
      <c r="AD305" s="61" t="b">
        <v>0</v>
      </c>
      <c r="AE305" s="32" t="s">
        <v>280</v>
      </c>
      <c r="AF305" s="46"/>
      <c r="AG305" s="46"/>
      <c r="AH305" s="46"/>
      <c r="AI305" s="46"/>
      <c r="AJ305" s="46"/>
    </row>
    <row r="306" ht="22.5" customHeight="1">
      <c r="A306" s="27">
        <v>46084.0</v>
      </c>
      <c r="B306" s="34" t="str">
        <f t="array" ref="B306">TEXT(A306, "MM-YYYY")</f>
        <v>03-2026</v>
      </c>
      <c r="C306" s="39" t="s">
        <v>1047</v>
      </c>
      <c r="D306" s="36" t="s">
        <v>210</v>
      </c>
      <c r="E306" s="36" t="s">
        <v>531</v>
      </c>
      <c r="F306" s="29" t="b">
        <v>1</v>
      </c>
      <c r="G306" s="36" t="s">
        <v>214</v>
      </c>
      <c r="H306" s="36" t="s">
        <v>757</v>
      </c>
      <c r="I306" s="39"/>
      <c r="J306" s="43"/>
      <c r="K306" s="37" t="s">
        <v>428</v>
      </c>
      <c r="L306" s="37" t="s">
        <v>2244</v>
      </c>
      <c r="M306" s="37" t="s">
        <v>194</v>
      </c>
      <c r="N306" s="37" t="s">
        <v>194</v>
      </c>
      <c r="O306" s="37" t="s">
        <v>199</v>
      </c>
      <c r="P306" s="37" t="s">
        <v>201</v>
      </c>
      <c r="Q306" s="41">
        <v>46057.0</v>
      </c>
      <c r="R306" s="42">
        <v>0.0</v>
      </c>
      <c r="S306" s="29"/>
      <c r="T306" s="37" t="s">
        <v>2252</v>
      </c>
      <c r="U306" s="45" t="str">
        <f>IF(records_2[Type]="Room",records_2[roomNo],records_2[roomNo]&amp;"-"&amp;SUBSTITUTE(RIGHT(records_2[roomNo]&amp;records_2[Type],2),"-",""))</f>
        <v>16-1-079</v>
      </c>
      <c r="V306" s="47" t="str">
        <f t="array" ref="V306">_xlfn.XLOOKUP(records_2[ID], dAir[roomNo], dAir[roomName])</f>
        <v>COOLING ZONE</v>
      </c>
      <c r="W306" s="47" t="str">
        <f t="array" ref="W306">_xlfn.XLOOKUP(records_2[ID], dAir[roomNo], dAir[building])</f>
        <v>Building 16</v>
      </c>
      <c r="X306" s="47" t="str">
        <f t="array" ref="X306">_xlfn.XLOOKUP(records_2[ID], dAir[roomNo], dAir[floor])</f>
        <v>Floor 1</v>
      </c>
      <c r="Y306" s="45" t="str">
        <f t="array" ref="Y306">_xlfn.XLOOKUP(records_2[ID], dAir[roomNo], dAir[Class])</f>
        <v>C</v>
      </c>
      <c r="Z306" s="45">
        <f t="array" ref="Z306">_xlfn.XLOOKUP(records_2[Method]&amp;"-"&amp;records_2[Class], dAirSpec[ID], dAirSpec[Spec])</f>
        <v>100</v>
      </c>
      <c r="AA306" s="45" t="str">
        <f t="array" ref="AA306">_xlfn.XLOOKUP(records_2[Method]&amp;"-"&amp;records_2[Class], dAirSpec[ID], dAirSpec[Unit])</f>
        <v>cfu/m3</v>
      </c>
      <c r="AB306" s="45">
        <f t="array" ref="AB306">if(R306="","", if(records_2[Method]="Active Air",_xlfn.xlookup(records_2[ColonyCount]&amp;records_2[AirSampler],feller[code],feller[Vc]),records_2[ColonyCount]))</f>
        <v>0</v>
      </c>
      <c r="AC306" s="60" t="b">
        <f t="shared" si="1"/>
        <v>1</v>
      </c>
      <c r="AD306" s="61" t="b">
        <v>0</v>
      </c>
      <c r="AE306" s="32" t="s">
        <v>280</v>
      </c>
      <c r="AF306" s="46"/>
      <c r="AG306" s="46"/>
      <c r="AH306" s="46"/>
      <c r="AI306" s="46"/>
      <c r="AJ306" s="46"/>
    </row>
    <row r="307" ht="22.5" customHeight="1">
      <c r="A307" s="27">
        <v>46084.0</v>
      </c>
      <c r="B307" s="34" t="str">
        <f t="array" ref="B307">TEXT(A307, "MM-YYYY")</f>
        <v>03-2026</v>
      </c>
      <c r="C307" s="39" t="s">
        <v>1052</v>
      </c>
      <c r="D307" s="36" t="s">
        <v>210</v>
      </c>
      <c r="E307" s="36" t="s">
        <v>531</v>
      </c>
      <c r="F307" s="29" t="b">
        <v>1</v>
      </c>
      <c r="G307" s="36" t="s">
        <v>214</v>
      </c>
      <c r="H307" s="36" t="s">
        <v>757</v>
      </c>
      <c r="I307" s="39"/>
      <c r="J307" s="43"/>
      <c r="K307" s="37" t="s">
        <v>428</v>
      </c>
      <c r="L307" s="37" t="s">
        <v>2259</v>
      </c>
      <c r="M307" s="37" t="s">
        <v>194</v>
      </c>
      <c r="N307" s="37" t="s">
        <v>194</v>
      </c>
      <c r="O307" s="37" t="s">
        <v>199</v>
      </c>
      <c r="P307" s="37" t="s">
        <v>201</v>
      </c>
      <c r="Q307" s="41">
        <v>46057.0</v>
      </c>
      <c r="R307" s="42">
        <v>1.0</v>
      </c>
      <c r="S307" s="29"/>
      <c r="T307" s="37" t="s">
        <v>2252</v>
      </c>
      <c r="U307" s="45" t="str">
        <f>IF(records_2[Type]="Room",records_2[roomNo],records_2[roomNo]&amp;"-"&amp;SUBSTITUTE(RIGHT(records_2[roomNo]&amp;records_2[Type],2),"-",""))</f>
        <v>16-1-080</v>
      </c>
      <c r="V307" s="47" t="str">
        <f t="array" ref="V307">_xlfn.XLOOKUP(records_2[ID], dAir[roomNo], dAir[roomName])</f>
        <v>TOOL STORAGE</v>
      </c>
      <c r="W307" s="47" t="str">
        <f t="array" ref="W307">_xlfn.XLOOKUP(records_2[ID], dAir[roomNo], dAir[building])</f>
        <v>Building 16</v>
      </c>
      <c r="X307" s="47" t="str">
        <f t="array" ref="X307">_xlfn.XLOOKUP(records_2[ID], dAir[roomNo], dAir[floor])</f>
        <v>Floor 1</v>
      </c>
      <c r="Y307" s="45" t="str">
        <f t="array" ref="Y307">_xlfn.XLOOKUP(records_2[ID], dAir[roomNo], dAir[Class])</f>
        <v>C</v>
      </c>
      <c r="Z307" s="45">
        <f t="array" ref="Z307">_xlfn.XLOOKUP(records_2[Method]&amp;"-"&amp;records_2[Class], dAirSpec[ID], dAirSpec[Spec])</f>
        <v>100</v>
      </c>
      <c r="AA307" s="45" t="str">
        <f t="array" ref="AA307">_xlfn.XLOOKUP(records_2[Method]&amp;"-"&amp;records_2[Class], dAirSpec[ID], dAirSpec[Unit])</f>
        <v>cfu/m3</v>
      </c>
      <c r="AB307" s="45">
        <f t="array" ref="AB307">if(R307="","", if(records_2[Method]="Active Air",_xlfn.xlookup(records_2[ColonyCount]&amp;records_2[AirSampler],feller[code],feller[Vc]),records_2[ColonyCount]))</f>
        <v>1</v>
      </c>
      <c r="AC307" s="60" t="b">
        <f t="shared" si="1"/>
        <v>1</v>
      </c>
      <c r="AD307" s="61" t="b">
        <v>0</v>
      </c>
      <c r="AE307" s="32" t="s">
        <v>280</v>
      </c>
      <c r="AF307" s="46"/>
      <c r="AG307" s="46"/>
      <c r="AH307" s="46"/>
      <c r="AI307" s="46"/>
      <c r="AJ307" s="46"/>
    </row>
    <row r="308" ht="22.5" customHeight="1">
      <c r="A308" s="27">
        <v>46084.0</v>
      </c>
      <c r="B308" s="34" t="str">
        <f t="array" ref="B308">TEXT(A308, "MM-YYYY")</f>
        <v>03-2026</v>
      </c>
      <c r="C308" s="39" t="s">
        <v>1068</v>
      </c>
      <c r="D308" s="36" t="s">
        <v>210</v>
      </c>
      <c r="E308" s="36" t="s">
        <v>531</v>
      </c>
      <c r="F308" s="29" t="b">
        <v>1</v>
      </c>
      <c r="G308" s="36" t="s">
        <v>214</v>
      </c>
      <c r="H308" s="36" t="s">
        <v>757</v>
      </c>
      <c r="I308" s="39"/>
      <c r="J308" s="43"/>
      <c r="K308" s="37" t="s">
        <v>326</v>
      </c>
      <c r="L308" s="37" t="s">
        <v>2260</v>
      </c>
      <c r="M308" s="37" t="s">
        <v>194</v>
      </c>
      <c r="N308" s="37" t="s">
        <v>194</v>
      </c>
      <c r="O308" s="37" t="s">
        <v>199</v>
      </c>
      <c r="P308" s="37" t="s">
        <v>201</v>
      </c>
      <c r="Q308" s="41">
        <v>46057.0</v>
      </c>
      <c r="R308" s="42">
        <v>3.0</v>
      </c>
      <c r="S308" s="29"/>
      <c r="T308" s="37" t="s">
        <v>2252</v>
      </c>
      <c r="U308" s="45" t="str">
        <f>IF(records_2[Type]="Room",records_2[roomNo],records_2[roomNo]&amp;"-"&amp;SUBSTITUTE(RIGHT(records_2[roomNo]&amp;records_2[Type],2),"-",""))</f>
        <v>16-1-081</v>
      </c>
      <c r="V308" s="47" t="str">
        <f t="array" ref="V308">_xlfn.XLOOKUP(records_2[ID], dAir[roomNo], dAir[roomName])</f>
        <v>AIRLOCK</v>
      </c>
      <c r="W308" s="47" t="str">
        <f t="array" ref="W308">_xlfn.XLOOKUP(records_2[ID], dAir[roomNo], dAir[building])</f>
        <v>Building 16</v>
      </c>
      <c r="X308" s="47" t="str">
        <f t="array" ref="X308">_xlfn.XLOOKUP(records_2[ID], dAir[roomNo], dAir[floor])</f>
        <v>Floor 1</v>
      </c>
      <c r="Y308" s="45" t="str">
        <f t="array" ref="Y308">_xlfn.XLOOKUP(records_2[ID], dAir[roomNo], dAir[Class])</f>
        <v>C</v>
      </c>
      <c r="Z308" s="45">
        <f t="array" ref="Z308">_xlfn.XLOOKUP(records_2[Method]&amp;"-"&amp;records_2[Class], dAirSpec[ID], dAirSpec[Spec])</f>
        <v>100</v>
      </c>
      <c r="AA308" s="45" t="str">
        <f t="array" ref="AA308">_xlfn.XLOOKUP(records_2[Method]&amp;"-"&amp;records_2[Class], dAirSpec[ID], dAirSpec[Unit])</f>
        <v>cfu/m3</v>
      </c>
      <c r="AB308" s="45">
        <f t="array" ref="AB308">if(R308="","", if(records_2[Method]="Active Air",_xlfn.xlookup(records_2[ColonyCount]&amp;records_2[AirSampler],feller[code],feller[Vc]),records_2[ColonyCount]))</f>
        <v>3</v>
      </c>
      <c r="AC308" s="60" t="b">
        <f t="shared" si="1"/>
        <v>1</v>
      </c>
      <c r="AD308" s="61" t="b">
        <v>0</v>
      </c>
      <c r="AE308" s="32" t="s">
        <v>280</v>
      </c>
      <c r="AF308" s="46"/>
      <c r="AG308" s="46"/>
      <c r="AH308" s="46"/>
      <c r="AI308" s="46"/>
      <c r="AJ308" s="46"/>
    </row>
    <row r="309" ht="22.5" customHeight="1">
      <c r="A309" s="27">
        <v>46084.0</v>
      </c>
      <c r="B309" s="34" t="str">
        <f t="array" ref="B309">TEXT(A309, "MM-YYYY")</f>
        <v>03-2026</v>
      </c>
      <c r="C309" s="39" t="s">
        <v>736</v>
      </c>
      <c r="D309" s="36" t="s">
        <v>210</v>
      </c>
      <c r="E309" s="36" t="s">
        <v>531</v>
      </c>
      <c r="F309" s="29" t="b">
        <v>1</v>
      </c>
      <c r="G309" s="36" t="s">
        <v>214</v>
      </c>
      <c r="H309" s="36" t="s">
        <v>757</v>
      </c>
      <c r="I309" s="39"/>
      <c r="J309" s="43"/>
      <c r="K309" s="37" t="s">
        <v>353</v>
      </c>
      <c r="L309" s="37" t="s">
        <v>2261</v>
      </c>
      <c r="M309" s="37" t="s">
        <v>194</v>
      </c>
      <c r="N309" s="37" t="s">
        <v>194</v>
      </c>
      <c r="O309" s="37" t="s">
        <v>199</v>
      </c>
      <c r="P309" s="37" t="s">
        <v>201</v>
      </c>
      <c r="Q309" s="41">
        <v>46057.0</v>
      </c>
      <c r="R309" s="42">
        <v>0.0</v>
      </c>
      <c r="S309" s="29"/>
      <c r="T309" s="37" t="s">
        <v>2252</v>
      </c>
      <c r="U309" s="45" t="str">
        <f>IF(records_2[Type]="Room",records_2[roomNo],records_2[roomNo]&amp;"-"&amp;SUBSTITUTE(RIGHT(records_2[roomNo]&amp;records_2[Type],2),"-",""))</f>
        <v>16-1-082</v>
      </c>
      <c r="V309" s="47" t="str">
        <f t="array" ref="V309">_xlfn.XLOOKUP(records_2[ID], dAir[roomNo], dAir[roomName])</f>
        <v>WASHING</v>
      </c>
      <c r="W309" s="47" t="str">
        <f t="array" ref="W309">_xlfn.XLOOKUP(records_2[ID], dAir[roomNo], dAir[building])</f>
        <v>Building 16</v>
      </c>
      <c r="X309" s="47" t="str">
        <f t="array" ref="X309">_xlfn.XLOOKUP(records_2[ID], dAir[roomNo], dAir[floor])</f>
        <v>Floor 1</v>
      </c>
      <c r="Y309" s="45" t="str">
        <f t="array" ref="Y309">_xlfn.XLOOKUP(records_2[ID], dAir[roomNo], dAir[Class])</f>
        <v>C</v>
      </c>
      <c r="Z309" s="45">
        <f t="array" ref="Z309">_xlfn.XLOOKUP(records_2[Method]&amp;"-"&amp;records_2[Class], dAirSpec[ID], dAirSpec[Spec])</f>
        <v>100</v>
      </c>
      <c r="AA309" s="45" t="str">
        <f t="array" ref="AA309">_xlfn.XLOOKUP(records_2[Method]&amp;"-"&amp;records_2[Class], dAirSpec[ID], dAirSpec[Unit])</f>
        <v>cfu/m3</v>
      </c>
      <c r="AB309" s="45">
        <f t="array" ref="AB309">if(R309="","", if(records_2[Method]="Active Air",_xlfn.xlookup(records_2[ColonyCount]&amp;records_2[AirSampler],feller[code],feller[Vc]),records_2[ColonyCount]))</f>
        <v>0</v>
      </c>
      <c r="AC309" s="60" t="b">
        <f t="shared" si="1"/>
        <v>1</v>
      </c>
      <c r="AD309" s="61" t="b">
        <v>0</v>
      </c>
      <c r="AE309" s="32" t="s">
        <v>280</v>
      </c>
      <c r="AF309" s="46"/>
      <c r="AG309" s="46"/>
      <c r="AH309" s="46"/>
      <c r="AI309" s="46"/>
      <c r="AJ309" s="46"/>
    </row>
    <row r="310" ht="22.5" customHeight="1">
      <c r="A310" s="27">
        <v>46084.0</v>
      </c>
      <c r="B310" s="34" t="str">
        <f t="array" ref="B310">TEXT(A310, "MM-YYYY")</f>
        <v>03-2026</v>
      </c>
      <c r="C310" s="39" t="s">
        <v>740</v>
      </c>
      <c r="D310" s="36" t="s">
        <v>210</v>
      </c>
      <c r="E310" s="36" t="s">
        <v>531</v>
      </c>
      <c r="F310" s="29" t="b">
        <v>1</v>
      </c>
      <c r="G310" s="36" t="s">
        <v>214</v>
      </c>
      <c r="H310" s="36" t="s">
        <v>757</v>
      </c>
      <c r="I310" s="39"/>
      <c r="J310" s="43"/>
      <c r="K310" s="37" t="s">
        <v>428</v>
      </c>
      <c r="L310" s="37" t="s">
        <v>2101</v>
      </c>
      <c r="M310" s="37" t="s">
        <v>194</v>
      </c>
      <c r="N310" s="37" t="s">
        <v>194</v>
      </c>
      <c r="O310" s="37" t="s">
        <v>199</v>
      </c>
      <c r="P310" s="37" t="s">
        <v>201</v>
      </c>
      <c r="Q310" s="41">
        <v>46057.0</v>
      </c>
      <c r="R310" s="42">
        <v>0.0</v>
      </c>
      <c r="S310" s="29"/>
      <c r="T310" s="37" t="s">
        <v>2252</v>
      </c>
      <c r="U310" s="45" t="str">
        <f>IF(records_2[Type]="Room",records_2[roomNo],records_2[roomNo]&amp;"-"&amp;SUBSTITUTE(RIGHT(records_2[roomNo]&amp;records_2[Type],2),"-",""))</f>
        <v>16-1-083</v>
      </c>
      <c r="V310" s="47" t="str">
        <f t="array" ref="V310">_xlfn.XLOOKUP(records_2[ID], dAir[roomNo], dAir[roomName])</f>
        <v>FILTRATION 1</v>
      </c>
      <c r="W310" s="47" t="str">
        <f t="array" ref="W310">_xlfn.XLOOKUP(records_2[ID], dAir[roomNo], dAir[building])</f>
        <v>Building 16</v>
      </c>
      <c r="X310" s="47" t="str">
        <f t="array" ref="X310">_xlfn.XLOOKUP(records_2[ID], dAir[roomNo], dAir[floor])</f>
        <v>Floor 1</v>
      </c>
      <c r="Y310" s="45" t="str">
        <f t="array" ref="Y310">_xlfn.XLOOKUP(records_2[ID], dAir[roomNo], dAir[Class])</f>
        <v>C</v>
      </c>
      <c r="Z310" s="45">
        <f t="array" ref="Z310">_xlfn.XLOOKUP(records_2[Method]&amp;"-"&amp;records_2[Class], dAirSpec[ID], dAirSpec[Spec])</f>
        <v>100</v>
      </c>
      <c r="AA310" s="45" t="str">
        <f t="array" ref="AA310">_xlfn.XLOOKUP(records_2[Method]&amp;"-"&amp;records_2[Class], dAirSpec[ID], dAirSpec[Unit])</f>
        <v>cfu/m3</v>
      </c>
      <c r="AB310" s="45">
        <f t="array" ref="AB310">if(R310="","", if(records_2[Method]="Active Air",_xlfn.xlookup(records_2[ColonyCount]&amp;records_2[AirSampler],feller[code],feller[Vc]),records_2[ColonyCount]))</f>
        <v>0</v>
      </c>
      <c r="AC310" s="60" t="b">
        <f t="shared" si="1"/>
        <v>1</v>
      </c>
      <c r="AD310" s="61" t="b">
        <v>0</v>
      </c>
      <c r="AE310" s="32" t="s">
        <v>280</v>
      </c>
      <c r="AF310" s="46"/>
      <c r="AG310" s="46"/>
      <c r="AH310" s="46"/>
      <c r="AI310" s="46"/>
      <c r="AJ310" s="46"/>
    </row>
    <row r="311" ht="22.5" customHeight="1">
      <c r="A311" s="27">
        <v>46084.0</v>
      </c>
      <c r="B311" s="34" t="str">
        <f t="array" ref="B311">TEXT(A311, "MM-YYYY")</f>
        <v>03-2026</v>
      </c>
      <c r="C311" s="39" t="s">
        <v>774</v>
      </c>
      <c r="D311" s="36" t="s">
        <v>755</v>
      </c>
      <c r="E311" s="36" t="s">
        <v>531</v>
      </c>
      <c r="F311" s="29" t="b">
        <v>1</v>
      </c>
      <c r="G311" s="36" t="s">
        <v>214</v>
      </c>
      <c r="H311" s="36" t="s">
        <v>757</v>
      </c>
      <c r="I311" s="39"/>
      <c r="J311" s="43"/>
      <c r="K311" s="37" t="s">
        <v>428</v>
      </c>
      <c r="L311" s="37" t="s">
        <v>557</v>
      </c>
      <c r="M311" s="37" t="s">
        <v>194</v>
      </c>
      <c r="N311" s="37" t="s">
        <v>194</v>
      </c>
      <c r="O311" s="37" t="s">
        <v>199</v>
      </c>
      <c r="P311" s="37" t="s">
        <v>201</v>
      </c>
      <c r="Q311" s="41">
        <v>46057.0</v>
      </c>
      <c r="R311" s="42">
        <v>0.0</v>
      </c>
      <c r="S311" s="29"/>
      <c r="T311" s="37" t="s">
        <v>2252</v>
      </c>
      <c r="U311" s="45" t="str">
        <f>IF(records_2[Type]="Room",records_2[roomNo],records_2[roomNo]&amp;"-"&amp;SUBSTITUTE(RIGHT(records_2[roomNo]&amp;records_2[Type],2),"-",""))</f>
        <v>16-1-084-M</v>
      </c>
      <c r="V311" s="47" t="str">
        <f t="array" ref="V311">_xlfn.XLOOKUP(records_2[ID], dAir[roomNo], dAir[roomName])</f>
        <v>FILLING 1 (Machine)</v>
      </c>
      <c r="W311" s="47" t="str">
        <f t="array" ref="W311">_xlfn.XLOOKUP(records_2[ID], dAir[roomNo], dAir[building])</f>
        <v>Building 16</v>
      </c>
      <c r="X311" s="47" t="str">
        <f t="array" ref="X311">_xlfn.XLOOKUP(records_2[ID], dAir[roomNo], dAir[floor])</f>
        <v>Floor 1</v>
      </c>
      <c r="Y311" s="45" t="str">
        <f t="array" ref="Y311">_xlfn.XLOOKUP(records_2[ID], dAir[roomNo], dAir[Class])</f>
        <v>A</v>
      </c>
      <c r="Z311" s="45">
        <f t="array" ref="Z311">_xlfn.XLOOKUP(records_2[Method]&amp;"-"&amp;records_2[Class], dAirSpec[ID], dAirSpec[Spec])</f>
        <v>0</v>
      </c>
      <c r="AA311" s="45" t="str">
        <f t="array" ref="AA311">_xlfn.XLOOKUP(records_2[Method]&amp;"-"&amp;records_2[Class], dAirSpec[ID], dAirSpec[Unit])</f>
        <v>cfu/m3</v>
      </c>
      <c r="AB311" s="45">
        <f t="array" ref="AB311">if(R311="","", if(records_2[Method]="Active Air",_xlfn.xlookup(records_2[ColonyCount]&amp;records_2[AirSampler],feller[code],feller[Vc]),records_2[ColonyCount]))</f>
        <v>0</v>
      </c>
      <c r="AC311" s="60" t="b">
        <f t="shared" si="1"/>
        <v>1</v>
      </c>
      <c r="AD311" s="61" t="b">
        <v>0</v>
      </c>
      <c r="AE311" s="32" t="s">
        <v>280</v>
      </c>
      <c r="AF311" s="46"/>
      <c r="AG311" s="46"/>
      <c r="AH311" s="46"/>
      <c r="AI311" s="46"/>
      <c r="AJ311" s="46"/>
    </row>
    <row r="312" ht="22.5" customHeight="1">
      <c r="A312" s="27">
        <v>46084.0</v>
      </c>
      <c r="B312" s="34" t="str">
        <f t="array" ref="B312">TEXT(A312, "MM-YYYY")</f>
        <v>03-2026</v>
      </c>
      <c r="C312" s="39" t="s">
        <v>774</v>
      </c>
      <c r="D312" s="36" t="s">
        <v>770</v>
      </c>
      <c r="E312" s="36" t="s">
        <v>531</v>
      </c>
      <c r="F312" s="29" t="b">
        <v>1</v>
      </c>
      <c r="G312" s="36" t="s">
        <v>214</v>
      </c>
      <c r="H312" s="36" t="s">
        <v>757</v>
      </c>
      <c r="I312" s="39"/>
      <c r="J312" s="43"/>
      <c r="K312" s="37" t="s">
        <v>428</v>
      </c>
      <c r="L312" s="37" t="s">
        <v>557</v>
      </c>
      <c r="M312" s="37" t="s">
        <v>194</v>
      </c>
      <c r="N312" s="37" t="s">
        <v>194</v>
      </c>
      <c r="O312" s="37" t="s">
        <v>199</v>
      </c>
      <c r="P312" s="37" t="s">
        <v>201</v>
      </c>
      <c r="Q312" s="41">
        <v>46057.0</v>
      </c>
      <c r="R312" s="42">
        <v>0.0</v>
      </c>
      <c r="S312" s="29"/>
      <c r="T312" s="37" t="s">
        <v>2252</v>
      </c>
      <c r="U312" s="45" t="str">
        <f>IF(records_2[Type]="Room",records_2[roomNo],records_2[roomNo]&amp;"-"&amp;SUBSTITUTE(RIGHT(records_2[roomNo]&amp;records_2[Type],2),"-",""))</f>
        <v>16-1-084-L</v>
      </c>
      <c r="V312" s="47" t="str">
        <f t="array" ref="V312">_xlfn.XLOOKUP(records_2[ID], dAir[roomNo], dAir[roomName])</f>
        <v>FILLING 1 (Laminar)</v>
      </c>
      <c r="W312" s="47" t="str">
        <f t="array" ref="W312">_xlfn.XLOOKUP(records_2[ID], dAir[roomNo], dAir[building])</f>
        <v>Building 16</v>
      </c>
      <c r="X312" s="47" t="str">
        <f t="array" ref="X312">_xlfn.XLOOKUP(records_2[ID], dAir[roomNo], dAir[floor])</f>
        <v>Floor 1</v>
      </c>
      <c r="Y312" s="45" t="str">
        <f t="array" ref="Y312">_xlfn.XLOOKUP(records_2[ID], dAir[roomNo], dAir[Class])</f>
        <v>A</v>
      </c>
      <c r="Z312" s="45">
        <f t="array" ref="Z312">_xlfn.XLOOKUP(records_2[Method]&amp;"-"&amp;records_2[Class], dAirSpec[ID], dAirSpec[Spec])</f>
        <v>0</v>
      </c>
      <c r="AA312" s="45" t="str">
        <f t="array" ref="AA312">_xlfn.XLOOKUP(records_2[Method]&amp;"-"&amp;records_2[Class], dAirSpec[ID], dAirSpec[Unit])</f>
        <v>cfu/m3</v>
      </c>
      <c r="AB312" s="45">
        <f t="array" ref="AB312">if(R312="","", if(records_2[Method]="Active Air",_xlfn.xlookup(records_2[ColonyCount]&amp;records_2[AirSampler],feller[code],feller[Vc]),records_2[ColonyCount]))</f>
        <v>0</v>
      </c>
      <c r="AC312" s="60" t="b">
        <f t="shared" si="1"/>
        <v>1</v>
      </c>
      <c r="AD312" s="61" t="b">
        <v>0</v>
      </c>
      <c r="AE312" s="32" t="s">
        <v>280</v>
      </c>
      <c r="AF312" s="46"/>
      <c r="AG312" s="46"/>
      <c r="AH312" s="46"/>
      <c r="AI312" s="46"/>
      <c r="AJ312" s="46"/>
    </row>
    <row r="313" ht="22.5" customHeight="1">
      <c r="A313" s="27">
        <v>46084.0</v>
      </c>
      <c r="B313" s="34" t="str">
        <f t="array" ref="B313">TEXT(A313, "MM-YYYY")</f>
        <v>03-2026</v>
      </c>
      <c r="C313" s="39" t="s">
        <v>774</v>
      </c>
      <c r="D313" s="36" t="s">
        <v>210</v>
      </c>
      <c r="E313" s="36" t="s">
        <v>531</v>
      </c>
      <c r="F313" s="29" t="b">
        <v>1</v>
      </c>
      <c r="G313" s="36" t="s">
        <v>214</v>
      </c>
      <c r="H313" s="36" t="s">
        <v>757</v>
      </c>
      <c r="I313" s="39"/>
      <c r="J313" s="43"/>
      <c r="K313" s="37" t="s">
        <v>428</v>
      </c>
      <c r="L313" s="37" t="s">
        <v>557</v>
      </c>
      <c r="M313" s="37" t="s">
        <v>194</v>
      </c>
      <c r="N313" s="37" t="s">
        <v>194</v>
      </c>
      <c r="O313" s="37" t="s">
        <v>199</v>
      </c>
      <c r="P313" s="37" t="s">
        <v>201</v>
      </c>
      <c r="Q313" s="41">
        <v>46057.0</v>
      </c>
      <c r="R313" s="42">
        <v>10.0</v>
      </c>
      <c r="S313" s="29"/>
      <c r="T313" s="37" t="s">
        <v>2252</v>
      </c>
      <c r="U313" s="45" t="str">
        <f>IF(records_2[Type]="Room",records_2[roomNo],records_2[roomNo]&amp;"-"&amp;SUBSTITUTE(RIGHT(records_2[roomNo]&amp;records_2[Type],2),"-",""))</f>
        <v>16-1-084</v>
      </c>
      <c r="V313" s="47" t="str">
        <f t="array" ref="V313">_xlfn.XLOOKUP(records_2[ID], dAir[roomNo], dAir[roomName])</f>
        <v>FILLING 1</v>
      </c>
      <c r="W313" s="47" t="str">
        <f t="array" ref="W313">_xlfn.XLOOKUP(records_2[ID], dAir[roomNo], dAir[building])</f>
        <v>Building 16</v>
      </c>
      <c r="X313" s="47" t="str">
        <f t="array" ref="X313">_xlfn.XLOOKUP(records_2[ID], dAir[roomNo], dAir[floor])</f>
        <v>Floor 1</v>
      </c>
      <c r="Y313" s="45" t="str">
        <f t="array" ref="Y313">_xlfn.XLOOKUP(records_2[ID], dAir[roomNo], dAir[Class])</f>
        <v>C</v>
      </c>
      <c r="Z313" s="45">
        <f t="array" ref="Z313">_xlfn.XLOOKUP(records_2[Method]&amp;"-"&amp;records_2[Class], dAirSpec[ID], dAirSpec[Spec])</f>
        <v>100</v>
      </c>
      <c r="AA313" s="45" t="str">
        <f t="array" ref="AA313">_xlfn.XLOOKUP(records_2[Method]&amp;"-"&amp;records_2[Class], dAirSpec[ID], dAirSpec[Unit])</f>
        <v>cfu/m3</v>
      </c>
      <c r="AB313" s="45">
        <f t="array" ref="AB313">if(R313="","", if(records_2[Method]="Active Air",_xlfn.xlookup(records_2[ColonyCount]&amp;records_2[AirSampler],feller[code],feller[Vc]),records_2[ColonyCount]))</f>
        <v>10</v>
      </c>
      <c r="AC313" s="60" t="b">
        <f t="shared" si="1"/>
        <v>1</v>
      </c>
      <c r="AD313" s="61" t="b">
        <v>0</v>
      </c>
      <c r="AE313" s="32" t="s">
        <v>280</v>
      </c>
      <c r="AF313" s="46"/>
      <c r="AG313" s="46"/>
      <c r="AH313" s="46"/>
      <c r="AI313" s="46"/>
      <c r="AJ313" s="46"/>
    </row>
    <row r="314" ht="22.5" customHeight="1">
      <c r="A314" s="27">
        <v>46084.0</v>
      </c>
      <c r="B314" s="34" t="str">
        <f t="array" ref="B314">TEXT(A314, "MM-YYYY")</f>
        <v>03-2026</v>
      </c>
      <c r="C314" s="39" t="s">
        <v>1162</v>
      </c>
      <c r="D314" s="36" t="s">
        <v>210</v>
      </c>
      <c r="E314" s="36" t="s">
        <v>531</v>
      </c>
      <c r="F314" s="29" t="b">
        <v>1</v>
      </c>
      <c r="G314" s="36" t="s">
        <v>214</v>
      </c>
      <c r="H314" s="36" t="s">
        <v>757</v>
      </c>
      <c r="I314" s="39"/>
      <c r="J314" s="43"/>
      <c r="K314" s="37" t="s">
        <v>787</v>
      </c>
      <c r="L314" s="37" t="s">
        <v>2263</v>
      </c>
      <c r="M314" s="37" t="s">
        <v>194</v>
      </c>
      <c r="N314" s="37" t="s">
        <v>194</v>
      </c>
      <c r="O314" s="37" t="s">
        <v>199</v>
      </c>
      <c r="P314" s="37" t="s">
        <v>201</v>
      </c>
      <c r="Q314" s="41">
        <v>46057.0</v>
      </c>
      <c r="R314" s="42">
        <v>4.0</v>
      </c>
      <c r="S314" s="29"/>
      <c r="T314" s="37" t="s">
        <v>2252</v>
      </c>
      <c r="U314" s="45" t="str">
        <f>IF(records_2[Type]="Room",records_2[roomNo],records_2[roomNo]&amp;"-"&amp;SUBSTITUTE(RIGHT(records_2[roomNo]&amp;records_2[Type],2),"-",""))</f>
        <v>16-1-085</v>
      </c>
      <c r="V314" s="47" t="str">
        <f t="array" ref="V314">_xlfn.XLOOKUP(records_2[ID], dAir[roomNo], dAir[roomName])</f>
        <v>IPQC</v>
      </c>
      <c r="W314" s="47" t="str">
        <f t="array" ref="W314">_xlfn.XLOOKUP(records_2[ID], dAir[roomNo], dAir[building])</f>
        <v>Building 16</v>
      </c>
      <c r="X314" s="47" t="str">
        <f t="array" ref="X314">_xlfn.XLOOKUP(records_2[ID], dAir[roomNo], dAir[floor])</f>
        <v>Floor 1</v>
      </c>
      <c r="Y314" s="45" t="str">
        <f t="array" ref="Y314">_xlfn.XLOOKUP(records_2[ID], dAir[roomNo], dAir[Class])</f>
        <v>C</v>
      </c>
      <c r="Z314" s="45">
        <f t="array" ref="Z314">_xlfn.XLOOKUP(records_2[Method]&amp;"-"&amp;records_2[Class], dAirSpec[ID], dAirSpec[Spec])</f>
        <v>100</v>
      </c>
      <c r="AA314" s="45" t="str">
        <f t="array" ref="AA314">_xlfn.XLOOKUP(records_2[Method]&amp;"-"&amp;records_2[Class], dAirSpec[ID], dAirSpec[Unit])</f>
        <v>cfu/m3</v>
      </c>
      <c r="AB314" s="45">
        <f t="array" ref="AB314">if(R314="","", if(records_2[Method]="Active Air",_xlfn.xlookup(records_2[ColonyCount]&amp;records_2[AirSampler],feller[code],feller[Vc]),records_2[ColonyCount]))</f>
        <v>4</v>
      </c>
      <c r="AC314" s="60" t="b">
        <f t="shared" si="1"/>
        <v>1</v>
      </c>
      <c r="AD314" s="61" t="b">
        <v>0</v>
      </c>
      <c r="AE314" s="32" t="s">
        <v>280</v>
      </c>
      <c r="AF314" s="46"/>
      <c r="AG314" s="46"/>
      <c r="AH314" s="46"/>
      <c r="AI314" s="46"/>
      <c r="AJ314" s="46"/>
    </row>
    <row r="315" ht="22.5" customHeight="1">
      <c r="A315" s="27">
        <v>46084.0</v>
      </c>
      <c r="B315" s="34" t="str">
        <f t="array" ref="B315">TEXT(A315, "MM-YYYY")</f>
        <v>03-2026</v>
      </c>
      <c r="C315" s="39" t="s">
        <v>1174</v>
      </c>
      <c r="D315" s="36" t="s">
        <v>210</v>
      </c>
      <c r="E315" s="36" t="s">
        <v>531</v>
      </c>
      <c r="F315" s="29" t="b">
        <v>1</v>
      </c>
      <c r="G315" s="36" t="s">
        <v>214</v>
      </c>
      <c r="H315" s="36" t="s">
        <v>757</v>
      </c>
      <c r="I315" s="39"/>
      <c r="J315" s="43"/>
      <c r="K315" s="37" t="s">
        <v>194</v>
      </c>
      <c r="L315" s="37" t="s">
        <v>194</v>
      </c>
      <c r="M315" s="37" t="s">
        <v>194</v>
      </c>
      <c r="N315" s="37" t="s">
        <v>194</v>
      </c>
      <c r="O315" s="37" t="s">
        <v>199</v>
      </c>
      <c r="P315" s="37" t="s">
        <v>201</v>
      </c>
      <c r="Q315" s="41">
        <v>46057.0</v>
      </c>
      <c r="R315" s="42">
        <v>5.0</v>
      </c>
      <c r="S315" s="29"/>
      <c r="T315" s="37" t="s">
        <v>2252</v>
      </c>
      <c r="U315" s="45" t="str">
        <f>IF(records_2[Type]="Room",records_2[roomNo],records_2[roomNo]&amp;"-"&amp;SUBSTITUTE(RIGHT(records_2[roomNo]&amp;records_2[Type],2),"-",""))</f>
        <v>16-1-086</v>
      </c>
      <c r="V315" s="47" t="str">
        <f t="array" ref="V315">_xlfn.XLOOKUP(records_2[ID], dAir[roomNo], dAir[roomName])</f>
        <v>CLEANED EQUIPMENT</v>
      </c>
      <c r="W315" s="47" t="str">
        <f t="array" ref="W315">_xlfn.XLOOKUP(records_2[ID], dAir[roomNo], dAir[building])</f>
        <v>Building 16</v>
      </c>
      <c r="X315" s="47" t="str">
        <f t="array" ref="X315">_xlfn.XLOOKUP(records_2[ID], dAir[roomNo], dAir[floor])</f>
        <v>Floor 1</v>
      </c>
      <c r="Y315" s="45" t="str">
        <f t="array" ref="Y315">_xlfn.XLOOKUP(records_2[ID], dAir[roomNo], dAir[Class])</f>
        <v>C</v>
      </c>
      <c r="Z315" s="45">
        <f t="array" ref="Z315">_xlfn.XLOOKUP(records_2[Method]&amp;"-"&amp;records_2[Class], dAirSpec[ID], dAirSpec[Spec])</f>
        <v>100</v>
      </c>
      <c r="AA315" s="45" t="str">
        <f t="array" ref="AA315">_xlfn.XLOOKUP(records_2[Method]&amp;"-"&amp;records_2[Class], dAirSpec[ID], dAirSpec[Unit])</f>
        <v>cfu/m3</v>
      </c>
      <c r="AB315" s="45">
        <f t="array" ref="AB315">if(R315="","", if(records_2[Method]="Active Air",_xlfn.xlookup(records_2[ColonyCount]&amp;records_2[AirSampler],feller[code],feller[Vc]),records_2[ColonyCount]))</f>
        <v>5</v>
      </c>
      <c r="AC315" s="60" t="b">
        <f t="shared" si="1"/>
        <v>1</v>
      </c>
      <c r="AD315" s="61" t="b">
        <v>0</v>
      </c>
      <c r="AE315" s="32" t="s">
        <v>280</v>
      </c>
      <c r="AF315" s="46"/>
      <c r="AG315" s="46"/>
      <c r="AH315" s="46"/>
      <c r="AI315" s="46"/>
      <c r="AJ315" s="46"/>
    </row>
    <row r="316" ht="22.5" customHeight="1">
      <c r="A316" s="27">
        <v>46084.0</v>
      </c>
      <c r="B316" s="34" t="str">
        <f t="array" ref="B316">TEXT(A316, "MM-YYYY")</f>
        <v>03-2026</v>
      </c>
      <c r="C316" s="39" t="s">
        <v>1194</v>
      </c>
      <c r="D316" s="36" t="s">
        <v>210</v>
      </c>
      <c r="E316" s="36" t="s">
        <v>531</v>
      </c>
      <c r="F316" s="29" t="b">
        <v>1</v>
      </c>
      <c r="G316" s="36" t="s">
        <v>214</v>
      </c>
      <c r="H316" s="36" t="s">
        <v>1413</v>
      </c>
      <c r="I316" s="39"/>
      <c r="J316" s="43"/>
      <c r="K316" s="37" t="s">
        <v>550</v>
      </c>
      <c r="L316" s="37" t="s">
        <v>1829</v>
      </c>
      <c r="M316" s="37" t="s">
        <v>194</v>
      </c>
      <c r="N316" s="37" t="s">
        <v>194</v>
      </c>
      <c r="O316" s="37" t="s">
        <v>199</v>
      </c>
      <c r="P316" s="37" t="s">
        <v>201</v>
      </c>
      <c r="Q316" s="41">
        <v>46057.0</v>
      </c>
      <c r="R316" s="42">
        <v>7.0</v>
      </c>
      <c r="S316" s="29"/>
      <c r="T316" s="37" t="s">
        <v>2252</v>
      </c>
      <c r="U316" s="45" t="str">
        <f>IF(records_2[Type]="Room",records_2[roomNo],records_2[roomNo]&amp;"-"&amp;SUBSTITUTE(RIGHT(records_2[roomNo]&amp;records_2[Type],2),"-",""))</f>
        <v>16-1-087</v>
      </c>
      <c r="V316" s="47" t="str">
        <f t="array" ref="V316">_xlfn.XLOOKUP(records_2[ID], dAir[roomNo], dAir[roomName])</f>
        <v>MEN PAL</v>
      </c>
      <c r="W316" s="47" t="str">
        <f t="array" ref="W316">_xlfn.XLOOKUP(records_2[ID], dAir[roomNo], dAir[building])</f>
        <v>Building 16</v>
      </c>
      <c r="X316" s="47" t="str">
        <f t="array" ref="X316">_xlfn.XLOOKUP(records_2[ID], dAir[roomNo], dAir[floor])</f>
        <v>Floor 1</v>
      </c>
      <c r="Y316" s="45" t="str">
        <f t="array" ref="Y316">_xlfn.XLOOKUP(records_2[ID], dAir[roomNo], dAir[Class])</f>
        <v>D</v>
      </c>
      <c r="Z316" s="45">
        <f t="array" ref="Z316">_xlfn.XLOOKUP(records_2[Method]&amp;"-"&amp;records_2[Class], dAirSpec[ID], dAirSpec[Spec])</f>
        <v>200</v>
      </c>
      <c r="AA316" s="45" t="str">
        <f t="array" ref="AA316">_xlfn.XLOOKUP(records_2[Method]&amp;"-"&amp;records_2[Class], dAirSpec[ID], dAirSpec[Unit])</f>
        <v>cfu/m3</v>
      </c>
      <c r="AB316" s="45">
        <f t="array" ref="AB316">if(R316="","", if(records_2[Method]="Active Air",_xlfn.xlookup(records_2[ColonyCount]&amp;records_2[AirSampler],feller[code],feller[Vc]),records_2[ColonyCount]))</f>
        <v>7</v>
      </c>
      <c r="AC316" s="60" t="b">
        <f t="shared" si="1"/>
        <v>1</v>
      </c>
      <c r="AD316" s="61" t="b">
        <v>0</v>
      </c>
      <c r="AE316" s="32" t="s">
        <v>280</v>
      </c>
      <c r="AF316" s="46"/>
      <c r="AG316" s="46"/>
      <c r="AH316" s="46"/>
      <c r="AI316" s="46"/>
      <c r="AJ316" s="46"/>
    </row>
    <row r="317" ht="22.5" customHeight="1">
      <c r="A317" s="27">
        <v>46084.0</v>
      </c>
      <c r="B317" s="34" t="str">
        <f t="array" ref="B317">TEXT(A317, "MM-YYYY")</f>
        <v>03-2026</v>
      </c>
      <c r="C317" s="39" t="s">
        <v>1226</v>
      </c>
      <c r="D317" s="36" t="s">
        <v>210</v>
      </c>
      <c r="E317" s="36" t="s">
        <v>531</v>
      </c>
      <c r="F317" s="29" t="b">
        <v>1</v>
      </c>
      <c r="G317" s="36" t="s">
        <v>214</v>
      </c>
      <c r="H317" s="36" t="s">
        <v>1413</v>
      </c>
      <c r="I317" s="39"/>
      <c r="J317" s="43"/>
      <c r="K317" s="37" t="s">
        <v>696</v>
      </c>
      <c r="L317" s="37" t="s">
        <v>526</v>
      </c>
      <c r="M317" s="37" t="s">
        <v>194</v>
      </c>
      <c r="N317" s="37" t="s">
        <v>194</v>
      </c>
      <c r="O317" s="37" t="s">
        <v>199</v>
      </c>
      <c r="P317" s="37" t="s">
        <v>201</v>
      </c>
      <c r="Q317" s="41">
        <v>46057.0</v>
      </c>
      <c r="R317" s="42">
        <v>4.0</v>
      </c>
      <c r="S317" s="29"/>
      <c r="T317" s="37" t="s">
        <v>2252</v>
      </c>
      <c r="U317" s="45" t="str">
        <f>IF(records_2[Type]="Room",records_2[roomNo],records_2[roomNo]&amp;"-"&amp;SUBSTITUTE(RIGHT(records_2[roomNo]&amp;records_2[Type],2),"-",""))</f>
        <v>16-1-088</v>
      </c>
      <c r="V317" s="47" t="str">
        <f t="array" ref="V317">_xlfn.XLOOKUP(records_2[ID], dAir[roomNo], dAir[roomName])</f>
        <v>MEN PROCESS CHANGE</v>
      </c>
      <c r="W317" s="47" t="str">
        <f t="array" ref="W317">_xlfn.XLOOKUP(records_2[ID], dAir[roomNo], dAir[building])</f>
        <v>Building 16</v>
      </c>
      <c r="X317" s="47" t="str">
        <f t="array" ref="X317">_xlfn.XLOOKUP(records_2[ID], dAir[roomNo], dAir[floor])</f>
        <v>Floor 1</v>
      </c>
      <c r="Y317" s="45" t="str">
        <f t="array" ref="Y317">_xlfn.XLOOKUP(records_2[ID], dAir[roomNo], dAir[Class])</f>
        <v>C</v>
      </c>
      <c r="Z317" s="45">
        <f t="array" ref="Z317">_xlfn.XLOOKUP(records_2[Method]&amp;"-"&amp;records_2[Class], dAirSpec[ID], dAirSpec[Spec])</f>
        <v>100</v>
      </c>
      <c r="AA317" s="45" t="str">
        <f t="array" ref="AA317">_xlfn.XLOOKUP(records_2[Method]&amp;"-"&amp;records_2[Class], dAirSpec[ID], dAirSpec[Unit])</f>
        <v>cfu/m3</v>
      </c>
      <c r="AB317" s="45">
        <f t="array" ref="AB317">if(R317="","", if(records_2[Method]="Active Air",_xlfn.xlookup(records_2[ColonyCount]&amp;records_2[AirSampler],feller[code],feller[Vc]),records_2[ColonyCount]))</f>
        <v>4</v>
      </c>
      <c r="AC317" s="60" t="b">
        <f t="shared" si="1"/>
        <v>1</v>
      </c>
      <c r="AD317" s="61" t="b">
        <v>0</v>
      </c>
      <c r="AE317" s="32" t="s">
        <v>280</v>
      </c>
      <c r="AF317" s="46"/>
      <c r="AG317" s="46"/>
      <c r="AH317" s="46"/>
      <c r="AI317" s="46"/>
      <c r="AJ317" s="46"/>
    </row>
    <row r="318" ht="22.5" customHeight="1">
      <c r="A318" s="27">
        <v>46084.0</v>
      </c>
      <c r="B318" s="34" t="str">
        <f t="array" ref="B318">TEXT(A318, "MM-YYYY")</f>
        <v>03-2026</v>
      </c>
      <c r="C318" s="39" t="s">
        <v>1250</v>
      </c>
      <c r="D318" s="36" t="s">
        <v>210</v>
      </c>
      <c r="E318" s="36" t="s">
        <v>531</v>
      </c>
      <c r="F318" s="29" t="b">
        <v>1</v>
      </c>
      <c r="G318" s="36" t="s">
        <v>214</v>
      </c>
      <c r="H318" s="36" t="s">
        <v>757</v>
      </c>
      <c r="I318" s="39"/>
      <c r="J318" s="43"/>
      <c r="K318" s="37" t="s">
        <v>539</v>
      </c>
      <c r="L318" s="37" t="s">
        <v>608</v>
      </c>
      <c r="M318" s="37" t="s">
        <v>194</v>
      </c>
      <c r="N318" s="37" t="s">
        <v>194</v>
      </c>
      <c r="O318" s="37" t="s">
        <v>199</v>
      </c>
      <c r="P318" s="37" t="s">
        <v>201</v>
      </c>
      <c r="Q318" s="41">
        <v>46057.0</v>
      </c>
      <c r="R318" s="184">
        <v>1.0</v>
      </c>
      <c r="S318" s="29"/>
      <c r="T318" s="37" t="s">
        <v>2252</v>
      </c>
      <c r="U318" s="45" t="str">
        <f>IF(records_2[Type]="Room",records_2[roomNo],records_2[roomNo]&amp;"-"&amp;SUBSTITUTE(RIGHT(records_2[roomNo]&amp;records_2[Type],2),"-",""))</f>
        <v>16-1-089</v>
      </c>
      <c r="V318" s="47" t="str">
        <f t="array" ref="V318">_xlfn.XLOOKUP(records_2[ID], dAir[roomNo], dAir[roomName])</f>
        <v>WOMEN PAL</v>
      </c>
      <c r="W318" s="47" t="str">
        <f t="array" ref="W318">_xlfn.XLOOKUP(records_2[ID], dAir[roomNo], dAir[building])</f>
        <v>Building 16</v>
      </c>
      <c r="X318" s="47" t="str">
        <f t="array" ref="X318">_xlfn.XLOOKUP(records_2[ID], dAir[roomNo], dAir[floor])</f>
        <v>Floor 1</v>
      </c>
      <c r="Y318" s="45" t="str">
        <f t="array" ref="Y318">_xlfn.XLOOKUP(records_2[ID], dAir[roomNo], dAir[Class])</f>
        <v>D</v>
      </c>
      <c r="Z318" s="45">
        <f t="array" ref="Z318">_xlfn.XLOOKUP(records_2[Method]&amp;"-"&amp;records_2[Class], dAirSpec[ID], dAirSpec[Spec])</f>
        <v>200</v>
      </c>
      <c r="AA318" s="45" t="str">
        <f t="array" ref="AA318">_xlfn.XLOOKUP(records_2[Method]&amp;"-"&amp;records_2[Class], dAirSpec[ID], dAirSpec[Unit])</f>
        <v>cfu/m3</v>
      </c>
      <c r="AB318" s="45">
        <f t="array" ref="AB318">if(R318="","", if(records_2[Method]="Active Air",_xlfn.xlookup(records_2[ColonyCount]&amp;records_2[AirSampler],feller[code],feller[Vc]),records_2[ColonyCount]))</f>
        <v>1</v>
      </c>
      <c r="AC318" s="60" t="b">
        <f t="shared" si="1"/>
        <v>1</v>
      </c>
      <c r="AD318" s="61" t="b">
        <v>0</v>
      </c>
      <c r="AE318" s="32" t="s">
        <v>280</v>
      </c>
      <c r="AF318" s="46"/>
      <c r="AG318" s="46"/>
      <c r="AH318" s="46"/>
      <c r="AI318" s="46"/>
      <c r="AJ318" s="46"/>
    </row>
    <row r="319" ht="22.5" customHeight="1">
      <c r="A319" s="27">
        <v>46084.0</v>
      </c>
      <c r="B319" s="34" t="str">
        <f t="array" ref="B319">TEXT(A319, "MM-YYYY")</f>
        <v>03-2026</v>
      </c>
      <c r="C319" s="39" t="s">
        <v>1273</v>
      </c>
      <c r="D319" s="36" t="s">
        <v>210</v>
      </c>
      <c r="E319" s="36" t="s">
        <v>531</v>
      </c>
      <c r="F319" s="29" t="b">
        <v>1</v>
      </c>
      <c r="G319" s="36" t="s">
        <v>214</v>
      </c>
      <c r="H319" s="36" t="s">
        <v>1413</v>
      </c>
      <c r="I319" s="39"/>
      <c r="J319" s="43"/>
      <c r="K319" s="37" t="s">
        <v>259</v>
      </c>
      <c r="L319" s="37" t="s">
        <v>2264</v>
      </c>
      <c r="M319" s="37" t="s">
        <v>194</v>
      </c>
      <c r="N319" s="37" t="s">
        <v>194</v>
      </c>
      <c r="O319" s="37" t="s">
        <v>199</v>
      </c>
      <c r="P319" s="37" t="s">
        <v>201</v>
      </c>
      <c r="Q319" s="41">
        <v>46057.0</v>
      </c>
      <c r="R319" s="42">
        <v>1.0</v>
      </c>
      <c r="S319" s="29"/>
      <c r="T319" s="37" t="s">
        <v>2252</v>
      </c>
      <c r="U319" s="45" t="str">
        <f>IF(records_2[Type]="Room",records_2[roomNo],records_2[roomNo]&amp;"-"&amp;SUBSTITUTE(RIGHT(records_2[roomNo]&amp;records_2[Type],2),"-",""))</f>
        <v>16-1-090</v>
      </c>
      <c r="V319" s="47" t="str">
        <f t="array" ref="V319">_xlfn.XLOOKUP(records_2[ID], dAir[roomNo], dAir[roomName])</f>
        <v>WOMEN PROCESS CHANGE</v>
      </c>
      <c r="W319" s="47" t="str">
        <f t="array" ref="W319">_xlfn.XLOOKUP(records_2[ID], dAir[roomNo], dAir[building])</f>
        <v>Building 16</v>
      </c>
      <c r="X319" s="47" t="str">
        <f t="array" ref="X319">_xlfn.XLOOKUP(records_2[ID], dAir[roomNo], dAir[floor])</f>
        <v>Floor 1</v>
      </c>
      <c r="Y319" s="45" t="str">
        <f t="array" ref="Y319">_xlfn.XLOOKUP(records_2[ID], dAir[roomNo], dAir[Class])</f>
        <v>C</v>
      </c>
      <c r="Z319" s="45">
        <f t="array" ref="Z319">_xlfn.XLOOKUP(records_2[Method]&amp;"-"&amp;records_2[Class], dAirSpec[ID], dAirSpec[Spec])</f>
        <v>100</v>
      </c>
      <c r="AA319" s="45" t="str">
        <f t="array" ref="AA319">_xlfn.XLOOKUP(records_2[Method]&amp;"-"&amp;records_2[Class], dAirSpec[ID], dAirSpec[Unit])</f>
        <v>cfu/m3</v>
      </c>
      <c r="AB319" s="45">
        <f t="array" ref="AB319">if(R319="","", if(records_2[Method]="Active Air",_xlfn.xlookup(records_2[ColonyCount]&amp;records_2[AirSampler],feller[code],feller[Vc]),records_2[ColonyCount]))</f>
        <v>1</v>
      </c>
      <c r="AC319" s="60" t="b">
        <f t="shared" si="1"/>
        <v>1</v>
      </c>
      <c r="AD319" s="61" t="b">
        <v>0</v>
      </c>
      <c r="AE319" s="32" t="s">
        <v>280</v>
      </c>
      <c r="AF319" s="46"/>
      <c r="AG319" s="46"/>
      <c r="AH319" s="46"/>
      <c r="AI319" s="46"/>
      <c r="AJ319" s="46"/>
    </row>
    <row r="320" ht="22.5" customHeight="1">
      <c r="A320" s="27">
        <v>46084.0</v>
      </c>
      <c r="B320" s="34" t="str">
        <f t="array" ref="B320">TEXT(A320, "MM-YYYY")</f>
        <v>03-2026</v>
      </c>
      <c r="C320" s="39" t="s">
        <v>1311</v>
      </c>
      <c r="D320" s="36" t="s">
        <v>210</v>
      </c>
      <c r="E320" s="36" t="s">
        <v>531</v>
      </c>
      <c r="F320" s="29" t="b">
        <v>1</v>
      </c>
      <c r="G320" s="36" t="s">
        <v>214</v>
      </c>
      <c r="H320" s="36" t="s">
        <v>1413</v>
      </c>
      <c r="I320" s="39"/>
      <c r="J320" s="43"/>
      <c r="K320" s="37" t="s">
        <v>569</v>
      </c>
      <c r="L320" s="37" t="s">
        <v>2265</v>
      </c>
      <c r="M320" s="37" t="s">
        <v>194</v>
      </c>
      <c r="N320" s="37" t="s">
        <v>194</v>
      </c>
      <c r="O320" s="37" t="s">
        <v>199</v>
      </c>
      <c r="P320" s="37" t="s">
        <v>201</v>
      </c>
      <c r="Q320" s="41">
        <v>46057.0</v>
      </c>
      <c r="R320" s="42">
        <v>6.0</v>
      </c>
      <c r="S320" s="29" t="s">
        <v>1318</v>
      </c>
      <c r="T320" s="37" t="s">
        <v>2252</v>
      </c>
      <c r="U320" s="45" t="str">
        <f>IF(records_2[Type]="Room",records_2[roomNo],records_2[roomNo]&amp;"-"&amp;SUBSTITUTE(RIGHT(records_2[roomNo]&amp;records_2[Type],2),"-",""))</f>
        <v>16-1-091</v>
      </c>
      <c r="V320" s="47" t="str">
        <f t="array" ref="V320">_xlfn.XLOOKUP(records_2[ID], dAir[roomNo], dAir[roomName])</f>
        <v>CORRIDOR</v>
      </c>
      <c r="W320" s="47" t="str">
        <f t="array" ref="W320">_xlfn.XLOOKUP(records_2[ID], dAir[roomNo], dAir[building])</f>
        <v>Building 16</v>
      </c>
      <c r="X320" s="47" t="str">
        <f t="array" ref="X320">_xlfn.XLOOKUP(records_2[ID], dAir[roomNo], dAir[floor])</f>
        <v>Floor 1</v>
      </c>
      <c r="Y320" s="45" t="str">
        <f t="array" ref="Y320">_xlfn.XLOOKUP(records_2[ID], dAir[roomNo], dAir[Class])</f>
        <v>C</v>
      </c>
      <c r="Z320" s="45">
        <f t="array" ref="Z320">_xlfn.XLOOKUP(records_2[Method]&amp;"-"&amp;records_2[Class], dAirSpec[ID], dAirSpec[Spec])</f>
        <v>100</v>
      </c>
      <c r="AA320" s="45" t="str">
        <f t="array" ref="AA320">_xlfn.XLOOKUP(records_2[Method]&amp;"-"&amp;records_2[Class], dAirSpec[ID], dAirSpec[Unit])</f>
        <v>cfu/m3</v>
      </c>
      <c r="AB320" s="45">
        <f t="array" ref="AB320">if(R320="","", if(records_2[Method]="Active Air",_xlfn.xlookup(records_2[ColonyCount]&amp;records_2[AirSampler],feller[code],feller[Vc]),records_2[ColonyCount]))</f>
        <v>6</v>
      </c>
      <c r="AC320" s="60" t="b">
        <f t="shared" si="1"/>
        <v>1</v>
      </c>
      <c r="AD320" s="61" t="b">
        <v>0</v>
      </c>
      <c r="AE320" s="32" t="s">
        <v>280</v>
      </c>
      <c r="AF320" s="46"/>
      <c r="AG320" s="46"/>
      <c r="AH320" s="46"/>
      <c r="AI320" s="46"/>
      <c r="AJ320" s="46"/>
    </row>
    <row r="321" ht="22.5" customHeight="1">
      <c r="A321" s="27">
        <v>46084.0</v>
      </c>
      <c r="B321" s="34" t="str">
        <f t="array" ref="B321">TEXT(A321, "MM-YYYY")</f>
        <v>03-2026</v>
      </c>
      <c r="C321" s="39" t="s">
        <v>1311</v>
      </c>
      <c r="D321" s="36" t="s">
        <v>1350</v>
      </c>
      <c r="E321" s="36" t="s">
        <v>531</v>
      </c>
      <c r="F321" s="29" t="b">
        <v>1</v>
      </c>
      <c r="G321" s="36" t="s">
        <v>214</v>
      </c>
      <c r="H321" s="36" t="s">
        <v>1413</v>
      </c>
      <c r="I321" s="39"/>
      <c r="J321" s="43"/>
      <c r="K321" s="37" t="s">
        <v>377</v>
      </c>
      <c r="L321" s="37" t="s">
        <v>2266</v>
      </c>
      <c r="M321" s="37" t="s">
        <v>194</v>
      </c>
      <c r="N321" s="37" t="s">
        <v>194</v>
      </c>
      <c r="O321" s="37" t="s">
        <v>199</v>
      </c>
      <c r="P321" s="37" t="s">
        <v>201</v>
      </c>
      <c r="Q321" s="41">
        <v>46057.0</v>
      </c>
      <c r="R321" s="42">
        <v>1.0</v>
      </c>
      <c r="S321" s="29" t="s">
        <v>2267</v>
      </c>
      <c r="T321" s="37" t="s">
        <v>2252</v>
      </c>
      <c r="U321" s="45" t="str">
        <f>IF(records_2[Type]="Room",records_2[roomNo],records_2[roomNo]&amp;"-"&amp;SUBSTITUTE(RIGHT(records_2[roomNo]&amp;records_2[Type],2),"-",""))</f>
        <v>16-1-091-PB</v>
      </c>
      <c r="V321" s="47" t="str">
        <f t="array" ref="V321">_xlfn.XLOOKUP(records_2[ID], dAir[roomNo], dAir[roomName])</f>
        <v>CORRIDOR (Passbox)</v>
      </c>
      <c r="W321" s="47" t="str">
        <f t="array" ref="W321">_xlfn.XLOOKUP(records_2[ID], dAir[roomNo], dAir[building])</f>
        <v>Building 16</v>
      </c>
      <c r="X321" s="47" t="str">
        <f t="array" ref="X321">_xlfn.XLOOKUP(records_2[ID], dAir[roomNo], dAir[floor])</f>
        <v>Floor 1</v>
      </c>
      <c r="Y321" s="45" t="str">
        <f t="array" ref="Y321">_xlfn.XLOOKUP(records_2[ID], dAir[roomNo], dAir[Class])</f>
        <v>C</v>
      </c>
      <c r="Z321" s="45">
        <f t="array" ref="Z321">_xlfn.XLOOKUP(records_2[Method]&amp;"-"&amp;records_2[Class], dAirSpec[ID], dAirSpec[Spec])</f>
        <v>100</v>
      </c>
      <c r="AA321" s="45" t="str">
        <f t="array" ref="AA321">_xlfn.XLOOKUP(records_2[Method]&amp;"-"&amp;records_2[Class], dAirSpec[ID], dAirSpec[Unit])</f>
        <v>cfu/m3</v>
      </c>
      <c r="AB321" s="45">
        <f t="array" ref="AB321">if(R321="","", if(records_2[Method]="Active Air",_xlfn.xlookup(records_2[ColonyCount]&amp;records_2[AirSampler],feller[code],feller[Vc]),records_2[ColonyCount]))</f>
        <v>1</v>
      </c>
      <c r="AC321" s="60" t="b">
        <f t="shared" si="1"/>
        <v>1</v>
      </c>
      <c r="AD321" s="61" t="b">
        <v>0</v>
      </c>
      <c r="AE321" s="32" t="s">
        <v>280</v>
      </c>
      <c r="AF321" s="46"/>
      <c r="AG321" s="46"/>
      <c r="AH321" s="46"/>
      <c r="AI321" s="46"/>
      <c r="AJ321" s="46"/>
    </row>
    <row r="322" ht="22.5" customHeight="1">
      <c r="A322" s="27">
        <v>46084.0</v>
      </c>
      <c r="B322" s="34" t="str">
        <f t="array" ref="B322">TEXT(A322, "MM-YYYY")</f>
        <v>03-2026</v>
      </c>
      <c r="C322" s="39" t="s">
        <v>1041</v>
      </c>
      <c r="D322" s="36" t="s">
        <v>1350</v>
      </c>
      <c r="E322" s="36" t="s">
        <v>531</v>
      </c>
      <c r="F322" s="29" t="b">
        <v>1</v>
      </c>
      <c r="G322" s="36" t="s">
        <v>214</v>
      </c>
      <c r="H322" s="36" t="s">
        <v>757</v>
      </c>
      <c r="I322" s="39"/>
      <c r="J322" s="43"/>
      <c r="K322" s="37" t="s">
        <v>428</v>
      </c>
      <c r="L322" s="37" t="s">
        <v>999</v>
      </c>
      <c r="M322" s="37" t="s">
        <v>194</v>
      </c>
      <c r="N322" s="37" t="s">
        <v>194</v>
      </c>
      <c r="O322" s="37" t="s">
        <v>199</v>
      </c>
      <c r="P322" s="37" t="s">
        <v>201</v>
      </c>
      <c r="Q322" s="41">
        <v>46057.0</v>
      </c>
      <c r="R322" s="42">
        <v>5.0</v>
      </c>
      <c r="S322" s="29" t="s">
        <v>2258</v>
      </c>
      <c r="T322" s="37" t="s">
        <v>2252</v>
      </c>
      <c r="U322" s="45" t="str">
        <f>IF(records_2[Type]="Room",records_2[roomNo],records_2[roomNo]&amp;"-"&amp;SUBSTITUTE(RIGHT(records_2[roomNo]&amp;records_2[Type],2),"-",""))</f>
        <v>16-1-078-PB</v>
      </c>
      <c r="V322" s="47" t="str">
        <f t="array" ref="V322">_xlfn.XLOOKUP(records_2[ID], dAir[roomNo], dAir[roomName])</f>
        <v>PASSAGE (Passbox)</v>
      </c>
      <c r="W322" s="47" t="str">
        <f t="array" ref="W322">_xlfn.XLOOKUP(records_2[ID], dAir[roomNo], dAir[building])</f>
        <v>Building 16</v>
      </c>
      <c r="X322" s="47" t="str">
        <f t="array" ref="X322">_xlfn.XLOOKUP(records_2[ID], dAir[roomNo], dAir[floor])</f>
        <v>Floor 1</v>
      </c>
      <c r="Y322" s="45" t="str">
        <f t="array" ref="Y322">_xlfn.XLOOKUP(records_2[ID], dAir[roomNo], dAir[Class])</f>
        <v>C</v>
      </c>
      <c r="Z322" s="45">
        <f t="array" ref="Z322">_xlfn.XLOOKUP(records_2[Method]&amp;"-"&amp;records_2[Class], dAirSpec[ID], dAirSpec[Spec])</f>
        <v>100</v>
      </c>
      <c r="AA322" s="45" t="str">
        <f t="array" ref="AA322">_xlfn.XLOOKUP(records_2[Method]&amp;"-"&amp;records_2[Class], dAirSpec[ID], dAirSpec[Unit])</f>
        <v>cfu/m3</v>
      </c>
      <c r="AB322" s="45">
        <f t="array" ref="AB322">if(R322="","", if(records_2[Method]="Active Air",_xlfn.xlookup(records_2[ColonyCount]&amp;records_2[AirSampler],feller[code],feller[Vc]),records_2[ColonyCount]))</f>
        <v>5</v>
      </c>
      <c r="AC322" s="60" t="b">
        <f t="shared" si="1"/>
        <v>1</v>
      </c>
      <c r="AD322" s="61" t="b">
        <v>0</v>
      </c>
      <c r="AE322" s="32" t="s">
        <v>280</v>
      </c>
      <c r="AF322" s="46"/>
      <c r="AG322" s="46"/>
      <c r="AH322" s="46"/>
      <c r="AI322" s="46"/>
      <c r="AJ322" s="46"/>
    </row>
    <row r="323" ht="22.5" customHeight="1">
      <c r="A323" s="27">
        <v>46084.0</v>
      </c>
      <c r="B323" s="34" t="str">
        <f t="array" ref="B323">TEXT(A323, "MM-YYYY")</f>
        <v>03-2026</v>
      </c>
      <c r="C323" s="39" t="s">
        <v>1311</v>
      </c>
      <c r="D323" s="36" t="s">
        <v>210</v>
      </c>
      <c r="E323" s="36" t="s">
        <v>531</v>
      </c>
      <c r="F323" s="29" t="b">
        <v>1</v>
      </c>
      <c r="G323" s="36" t="s">
        <v>214</v>
      </c>
      <c r="H323" s="36" t="s">
        <v>1413</v>
      </c>
      <c r="I323" s="39"/>
      <c r="J323" s="43"/>
      <c r="K323" s="37" t="s">
        <v>377</v>
      </c>
      <c r="L323" s="37" t="s">
        <v>2266</v>
      </c>
      <c r="M323" s="37" t="s">
        <v>194</v>
      </c>
      <c r="N323" s="37" t="s">
        <v>194</v>
      </c>
      <c r="O323" s="37" t="s">
        <v>199</v>
      </c>
      <c r="P323" s="37" t="s">
        <v>201</v>
      </c>
      <c r="Q323" s="41">
        <v>46057.0</v>
      </c>
      <c r="R323" s="42">
        <v>1.0</v>
      </c>
      <c r="S323" s="29" t="s">
        <v>2268</v>
      </c>
      <c r="T323" s="37" t="s">
        <v>2252</v>
      </c>
      <c r="U323" s="45" t="str">
        <f>IF(records_2[Type]="Room",records_2[roomNo],records_2[roomNo]&amp;"-"&amp;SUBSTITUTE(RIGHT(records_2[roomNo]&amp;records_2[Type],2),"-",""))</f>
        <v>16-1-091</v>
      </c>
      <c r="V323" s="47" t="str">
        <f t="array" ref="V323">_xlfn.XLOOKUP(records_2[ID], dAir[roomNo], dAir[roomName])</f>
        <v>CORRIDOR</v>
      </c>
      <c r="W323" s="47" t="str">
        <f t="array" ref="W323">_xlfn.XLOOKUP(records_2[ID], dAir[roomNo], dAir[building])</f>
        <v>Building 16</v>
      </c>
      <c r="X323" s="47" t="str">
        <f t="array" ref="X323">_xlfn.XLOOKUP(records_2[ID], dAir[roomNo], dAir[floor])</f>
        <v>Floor 1</v>
      </c>
      <c r="Y323" s="45" t="str">
        <f t="array" ref="Y323">_xlfn.XLOOKUP(records_2[ID], dAir[roomNo], dAir[Class])</f>
        <v>C</v>
      </c>
      <c r="Z323" s="45">
        <f t="array" ref="Z323">_xlfn.XLOOKUP(records_2[Method]&amp;"-"&amp;records_2[Class], dAirSpec[ID], dAirSpec[Spec])</f>
        <v>100</v>
      </c>
      <c r="AA323" s="45" t="str">
        <f t="array" ref="AA323">_xlfn.XLOOKUP(records_2[Method]&amp;"-"&amp;records_2[Class], dAirSpec[ID], dAirSpec[Unit])</f>
        <v>cfu/m3</v>
      </c>
      <c r="AB323" s="45">
        <f t="array" ref="AB323">if(R323="","", if(records_2[Method]="Active Air",_xlfn.xlookup(records_2[ColonyCount]&amp;records_2[AirSampler],feller[code],feller[Vc]),records_2[ColonyCount]))</f>
        <v>1</v>
      </c>
      <c r="AC323" s="60" t="b">
        <f t="shared" si="1"/>
        <v>1</v>
      </c>
      <c r="AD323" s="61" t="b">
        <v>0</v>
      </c>
      <c r="AE323" s="32" t="s">
        <v>280</v>
      </c>
      <c r="AF323" s="46"/>
      <c r="AG323" s="46"/>
      <c r="AH323" s="46"/>
      <c r="AI323" s="46"/>
      <c r="AJ323" s="46"/>
    </row>
    <row r="324" ht="22.5" customHeight="1">
      <c r="A324" s="27">
        <v>46084.0</v>
      </c>
      <c r="B324" s="34" t="str">
        <f t="array" ref="B324">TEXT(A324, "MM-YYYY")</f>
        <v>03-2026</v>
      </c>
      <c r="C324" s="39" t="s">
        <v>1412</v>
      </c>
      <c r="D324" s="36" t="s">
        <v>210</v>
      </c>
      <c r="E324" s="36" t="s">
        <v>531</v>
      </c>
      <c r="F324" s="29" t="b">
        <v>1</v>
      </c>
      <c r="G324" s="36" t="s">
        <v>214</v>
      </c>
      <c r="H324" s="36" t="s">
        <v>1413</v>
      </c>
      <c r="I324" s="39"/>
      <c r="J324" s="43"/>
      <c r="K324" s="37" t="s">
        <v>539</v>
      </c>
      <c r="L324" s="37" t="s">
        <v>299</v>
      </c>
      <c r="M324" s="37" t="s">
        <v>194</v>
      </c>
      <c r="N324" s="37" t="s">
        <v>194</v>
      </c>
      <c r="O324" s="37" t="s">
        <v>199</v>
      </c>
      <c r="P324" s="37" t="s">
        <v>201</v>
      </c>
      <c r="Q324" s="41">
        <v>46057.0</v>
      </c>
      <c r="R324" s="42">
        <v>0.0</v>
      </c>
      <c r="S324" s="29"/>
      <c r="T324" s="37" t="s">
        <v>2252</v>
      </c>
      <c r="U324" s="45" t="str">
        <f>IF(records_2[Type]="Room",records_2[roomNo],records_2[roomNo]&amp;"-"&amp;SUBSTITUTE(RIGHT(records_2[roomNo]&amp;records_2[Type],2),"-",""))</f>
        <v>16-1-092</v>
      </c>
      <c r="V324" s="47" t="str">
        <f t="array" ref="V324">_xlfn.XLOOKUP(records_2[ID], dAir[roomNo], dAir[roomName])</f>
        <v>LINEN WASHING</v>
      </c>
      <c r="W324" s="47" t="str">
        <f t="array" ref="W324">_xlfn.XLOOKUP(records_2[ID], dAir[roomNo], dAir[building])</f>
        <v>Building 16</v>
      </c>
      <c r="X324" s="47" t="str">
        <f t="array" ref="X324">_xlfn.XLOOKUP(records_2[ID], dAir[roomNo], dAir[floor])</f>
        <v>Floor 1</v>
      </c>
      <c r="Y324" s="45" t="str">
        <f t="array" ref="Y324">_xlfn.XLOOKUP(records_2[ID], dAir[roomNo], dAir[Class])</f>
        <v>C</v>
      </c>
      <c r="Z324" s="45">
        <f t="array" ref="Z324">_xlfn.XLOOKUP(records_2[Method]&amp;"-"&amp;records_2[Class], dAirSpec[ID], dAirSpec[Spec])</f>
        <v>100</v>
      </c>
      <c r="AA324" s="45" t="str">
        <f t="array" ref="AA324">_xlfn.XLOOKUP(records_2[Method]&amp;"-"&amp;records_2[Class], dAirSpec[ID], dAirSpec[Unit])</f>
        <v>cfu/m3</v>
      </c>
      <c r="AB324" s="45">
        <f t="array" ref="AB324">if(R324="","", if(records_2[Method]="Active Air",_xlfn.xlookup(records_2[ColonyCount]&amp;records_2[AirSampler],feller[code],feller[Vc]),records_2[ColonyCount]))</f>
        <v>0</v>
      </c>
      <c r="AC324" s="60" t="b">
        <f t="shared" si="1"/>
        <v>1</v>
      </c>
      <c r="AD324" s="61" t="b">
        <v>0</v>
      </c>
      <c r="AE324" s="32" t="s">
        <v>280</v>
      </c>
      <c r="AF324" s="46"/>
      <c r="AG324" s="46"/>
      <c r="AH324" s="46"/>
      <c r="AI324" s="46"/>
      <c r="AJ324" s="46"/>
    </row>
    <row r="325" ht="22.5" customHeight="1">
      <c r="A325" s="27">
        <v>46084.0</v>
      </c>
      <c r="B325" s="34" t="str">
        <f t="array" ref="B325">TEXT(A325, "MM-YYYY")</f>
        <v>03-2026</v>
      </c>
      <c r="C325" s="39" t="s">
        <v>1417</v>
      </c>
      <c r="D325" s="36" t="s">
        <v>210</v>
      </c>
      <c r="E325" s="36" t="s">
        <v>531</v>
      </c>
      <c r="F325" s="29" t="b">
        <v>1</v>
      </c>
      <c r="G325" s="36" t="s">
        <v>214</v>
      </c>
      <c r="H325" s="36" t="s">
        <v>1413</v>
      </c>
      <c r="I325" s="39"/>
      <c r="J325" s="43"/>
      <c r="K325" s="37" t="s">
        <v>591</v>
      </c>
      <c r="L325" s="37" t="s">
        <v>817</v>
      </c>
      <c r="M325" s="37" t="s">
        <v>194</v>
      </c>
      <c r="N325" s="37" t="s">
        <v>194</v>
      </c>
      <c r="O325" s="37" t="s">
        <v>199</v>
      </c>
      <c r="P325" s="37" t="s">
        <v>201</v>
      </c>
      <c r="Q325" s="41">
        <v>46057.0</v>
      </c>
      <c r="R325" s="42">
        <v>0.0</v>
      </c>
      <c r="S325" s="29"/>
      <c r="T325" s="37" t="s">
        <v>2252</v>
      </c>
      <c r="U325" s="45" t="str">
        <f>IF(records_2[Type]="Room",records_2[roomNo],records_2[roomNo]&amp;"-"&amp;SUBSTITUTE(RIGHT(records_2[roomNo]&amp;records_2[Type],2),"-",""))</f>
        <v>16-1-093</v>
      </c>
      <c r="V325" s="47" t="str">
        <f t="array" ref="V325">_xlfn.XLOOKUP(records_2[ID], dAir[roomNo], dAir[roomName])</f>
        <v>LINEN DRY</v>
      </c>
      <c r="W325" s="47" t="str">
        <f t="array" ref="W325">_xlfn.XLOOKUP(records_2[ID], dAir[roomNo], dAir[building])</f>
        <v>Building 16</v>
      </c>
      <c r="X325" s="47" t="str">
        <f t="array" ref="X325">_xlfn.XLOOKUP(records_2[ID], dAir[roomNo], dAir[floor])</f>
        <v>Floor 1</v>
      </c>
      <c r="Y325" s="45" t="str">
        <f t="array" ref="Y325">_xlfn.XLOOKUP(records_2[ID], dAir[roomNo], dAir[Class])</f>
        <v>C</v>
      </c>
      <c r="Z325" s="45">
        <f t="array" ref="Z325">_xlfn.XLOOKUP(records_2[Method]&amp;"-"&amp;records_2[Class], dAirSpec[ID], dAirSpec[Spec])</f>
        <v>100</v>
      </c>
      <c r="AA325" s="45" t="str">
        <f t="array" ref="AA325">_xlfn.XLOOKUP(records_2[Method]&amp;"-"&amp;records_2[Class], dAirSpec[ID], dAirSpec[Unit])</f>
        <v>cfu/m3</v>
      </c>
      <c r="AB325" s="45">
        <f t="array" ref="AB325">if(R325="","", if(records_2[Method]="Active Air",_xlfn.xlookup(records_2[ColonyCount]&amp;records_2[AirSampler],feller[code],feller[Vc]),records_2[ColonyCount]))</f>
        <v>0</v>
      </c>
      <c r="AC325" s="60" t="b">
        <f t="shared" si="1"/>
        <v>1</v>
      </c>
      <c r="AD325" s="61" t="b">
        <v>0</v>
      </c>
      <c r="AE325" s="32" t="s">
        <v>280</v>
      </c>
      <c r="AF325" s="46"/>
      <c r="AG325" s="46"/>
      <c r="AH325" s="46"/>
      <c r="AI325" s="46"/>
      <c r="AJ325" s="46"/>
    </row>
    <row r="326" ht="22.5" customHeight="1">
      <c r="A326" s="27">
        <v>46084.0</v>
      </c>
      <c r="B326" s="34" t="str">
        <f t="array" ref="B326">TEXT(A326, "MM-YYYY")</f>
        <v>03-2026</v>
      </c>
      <c r="C326" s="39" t="s">
        <v>1421</v>
      </c>
      <c r="D326" s="36" t="s">
        <v>210</v>
      </c>
      <c r="E326" s="36" t="s">
        <v>531</v>
      </c>
      <c r="F326" s="29" t="b">
        <v>1</v>
      </c>
      <c r="G326" s="36" t="s">
        <v>214</v>
      </c>
      <c r="H326" s="36" t="s">
        <v>1413</v>
      </c>
      <c r="I326" s="39"/>
      <c r="J326" s="43"/>
      <c r="K326" s="37" t="s">
        <v>599</v>
      </c>
      <c r="L326" s="37" t="s">
        <v>439</v>
      </c>
      <c r="M326" s="37" t="s">
        <v>194</v>
      </c>
      <c r="N326" s="37" t="s">
        <v>194</v>
      </c>
      <c r="O326" s="37" t="s">
        <v>199</v>
      </c>
      <c r="P326" s="37" t="s">
        <v>201</v>
      </c>
      <c r="Q326" s="41">
        <v>46057.0</v>
      </c>
      <c r="R326" s="42">
        <v>0.0</v>
      </c>
      <c r="S326" s="29"/>
      <c r="T326" s="37" t="s">
        <v>2252</v>
      </c>
      <c r="U326" s="45" t="str">
        <f>IF(records_2[Type]="Room",records_2[roomNo],records_2[roomNo]&amp;"-"&amp;SUBSTITUTE(RIGHT(records_2[roomNo]&amp;records_2[Type],2),"-",""))</f>
        <v>16-1-094</v>
      </c>
      <c r="V326" s="47" t="str">
        <f t="array" ref="V326">_xlfn.XLOOKUP(records_2[ID], dAir[roomNo], dAir[roomName])</f>
        <v>LINEN STORAGE</v>
      </c>
      <c r="W326" s="47" t="str">
        <f t="array" ref="W326">_xlfn.XLOOKUP(records_2[ID], dAir[roomNo], dAir[building])</f>
        <v>Building 16</v>
      </c>
      <c r="X326" s="47" t="str">
        <f t="array" ref="X326">_xlfn.XLOOKUP(records_2[ID], dAir[roomNo], dAir[floor])</f>
        <v>Floor 1</v>
      </c>
      <c r="Y326" s="45" t="str">
        <f t="array" ref="Y326">_xlfn.XLOOKUP(records_2[ID], dAir[roomNo], dAir[Class])</f>
        <v>C</v>
      </c>
      <c r="Z326" s="45">
        <f t="array" ref="Z326">_xlfn.XLOOKUP(records_2[Method]&amp;"-"&amp;records_2[Class], dAirSpec[ID], dAirSpec[Spec])</f>
        <v>100</v>
      </c>
      <c r="AA326" s="45" t="str">
        <f t="array" ref="AA326">_xlfn.XLOOKUP(records_2[Method]&amp;"-"&amp;records_2[Class], dAirSpec[ID], dAirSpec[Unit])</f>
        <v>cfu/m3</v>
      </c>
      <c r="AB326" s="45">
        <f t="array" ref="AB326">if(R326="","", if(records_2[Method]="Active Air",_xlfn.xlookup(records_2[ColonyCount]&amp;records_2[AirSampler],feller[code],feller[Vc]),records_2[ColonyCount]))</f>
        <v>0</v>
      </c>
      <c r="AC326" s="60" t="b">
        <f t="shared" si="1"/>
        <v>1</v>
      </c>
      <c r="AD326" s="61" t="b">
        <v>0</v>
      </c>
      <c r="AE326" s="32" t="s">
        <v>280</v>
      </c>
      <c r="AF326" s="46"/>
      <c r="AG326" s="46"/>
      <c r="AH326" s="46"/>
      <c r="AI326" s="46"/>
      <c r="AJ326" s="46"/>
    </row>
    <row r="327" ht="22.5" customHeight="1">
      <c r="A327" s="27">
        <v>46084.0</v>
      </c>
      <c r="B327" s="34" t="str">
        <f t="array" ref="B327">TEXT(A327, "MM-YYYY")</f>
        <v>03-2026</v>
      </c>
      <c r="C327" s="39" t="s">
        <v>1431</v>
      </c>
      <c r="D327" s="36" t="s">
        <v>210</v>
      </c>
      <c r="E327" s="36" t="s">
        <v>531</v>
      </c>
      <c r="F327" s="29" t="b">
        <v>1</v>
      </c>
      <c r="G327" s="36" t="s">
        <v>214</v>
      </c>
      <c r="H327" s="36" t="s">
        <v>757</v>
      </c>
      <c r="I327" s="39"/>
      <c r="J327" s="43"/>
      <c r="K327" s="37" t="s">
        <v>539</v>
      </c>
      <c r="L327" s="37" t="s">
        <v>2270</v>
      </c>
      <c r="M327" s="37" t="s">
        <v>194</v>
      </c>
      <c r="N327" s="37" t="s">
        <v>194</v>
      </c>
      <c r="O327" s="37" t="s">
        <v>199</v>
      </c>
      <c r="P327" s="37" t="s">
        <v>201</v>
      </c>
      <c r="Q327" s="41">
        <v>46057.0</v>
      </c>
      <c r="R327" s="42">
        <v>3.0</v>
      </c>
      <c r="S327" s="29"/>
      <c r="T327" s="37" t="s">
        <v>2252</v>
      </c>
      <c r="U327" s="45" t="str">
        <f>IF(records_2[Type]="Room",records_2[roomNo],records_2[roomNo]&amp;"-"&amp;SUBSTITUTE(RIGHT(records_2[roomNo]&amp;records_2[Type],2),"-",""))</f>
        <v>16-1-095</v>
      </c>
      <c r="V327" s="47" t="str">
        <f t="array" ref="V327">_xlfn.XLOOKUP(records_2[ID], dAir[roomNo], dAir[roomName])</f>
        <v>JANITOR</v>
      </c>
      <c r="W327" s="47" t="str">
        <f t="array" ref="W327">_xlfn.XLOOKUP(records_2[ID], dAir[roomNo], dAir[building])</f>
        <v>Building 16</v>
      </c>
      <c r="X327" s="47" t="str">
        <f t="array" ref="X327">_xlfn.XLOOKUP(records_2[ID], dAir[roomNo], dAir[floor])</f>
        <v>Floor 1</v>
      </c>
      <c r="Y327" s="45" t="str">
        <f t="array" ref="Y327">_xlfn.XLOOKUP(records_2[ID], dAir[roomNo], dAir[Class])</f>
        <v>C</v>
      </c>
      <c r="Z327" s="45">
        <f t="array" ref="Z327">_xlfn.XLOOKUP(records_2[Method]&amp;"-"&amp;records_2[Class], dAirSpec[ID], dAirSpec[Spec])</f>
        <v>100</v>
      </c>
      <c r="AA327" s="45" t="str">
        <f t="array" ref="AA327">_xlfn.XLOOKUP(records_2[Method]&amp;"-"&amp;records_2[Class], dAirSpec[ID], dAirSpec[Unit])</f>
        <v>cfu/m3</v>
      </c>
      <c r="AB327" s="45">
        <f t="array" ref="AB327">if(R327="","", if(records_2[Method]="Active Air",_xlfn.xlookup(records_2[ColonyCount]&amp;records_2[AirSampler],feller[code],feller[Vc]),records_2[ColonyCount]))</f>
        <v>3</v>
      </c>
      <c r="AC327" s="60" t="b">
        <f t="shared" si="1"/>
        <v>1</v>
      </c>
      <c r="AD327" s="61" t="b">
        <v>0</v>
      </c>
      <c r="AE327" s="32" t="s">
        <v>280</v>
      </c>
      <c r="AF327" s="46"/>
      <c r="AG327" s="46"/>
      <c r="AH327" s="46"/>
      <c r="AI327" s="46"/>
      <c r="AJ327" s="46"/>
    </row>
    <row r="328" ht="22.5" customHeight="1">
      <c r="A328" s="27">
        <v>46084.0</v>
      </c>
      <c r="B328" s="34" t="str">
        <f t="array" ref="B328">TEXT(A328, "MM-YYYY")</f>
        <v>03-2026</v>
      </c>
      <c r="C328" s="39" t="s">
        <v>745</v>
      </c>
      <c r="D328" s="36" t="s">
        <v>210</v>
      </c>
      <c r="E328" s="36" t="s">
        <v>531</v>
      </c>
      <c r="F328" s="29" t="b">
        <v>1</v>
      </c>
      <c r="G328" s="36" t="s">
        <v>214</v>
      </c>
      <c r="H328" s="36" t="s">
        <v>757</v>
      </c>
      <c r="I328" s="39"/>
      <c r="J328" s="43"/>
      <c r="K328" s="37" t="s">
        <v>298</v>
      </c>
      <c r="L328" s="37" t="s">
        <v>2256</v>
      </c>
      <c r="M328" s="37" t="s">
        <v>194</v>
      </c>
      <c r="N328" s="37" t="s">
        <v>194</v>
      </c>
      <c r="O328" s="37" t="s">
        <v>199</v>
      </c>
      <c r="P328" s="37" t="s">
        <v>201</v>
      </c>
      <c r="Q328" s="41">
        <v>46057.0</v>
      </c>
      <c r="R328" s="42">
        <v>0.0</v>
      </c>
      <c r="S328" s="29"/>
      <c r="T328" s="37" t="s">
        <v>2252</v>
      </c>
      <c r="U328" s="45" t="str">
        <f>IF(records_2[Type]="Room",records_2[roomNo],records_2[roomNo]&amp;"-"&amp;SUBSTITUTE(RIGHT(records_2[roomNo]&amp;records_2[Type],2),"-",""))</f>
        <v>16-1-096</v>
      </c>
      <c r="V328" s="47" t="str">
        <f t="array" ref="V328">_xlfn.XLOOKUP(records_2[ID], dAir[roomNo], dAir[roomName])</f>
        <v>WASHING / TUNNEL 2</v>
      </c>
      <c r="W328" s="47" t="str">
        <f t="array" ref="W328">_xlfn.XLOOKUP(records_2[ID], dAir[roomNo], dAir[building])</f>
        <v>Building 16</v>
      </c>
      <c r="X328" s="47" t="str">
        <f t="array" ref="X328">_xlfn.XLOOKUP(records_2[ID], dAir[roomNo], dAir[floor])</f>
        <v>Floor 1</v>
      </c>
      <c r="Y328" s="45" t="str">
        <f t="array" ref="Y328">_xlfn.XLOOKUP(records_2[ID], dAir[roomNo], dAir[Class])</f>
        <v>C</v>
      </c>
      <c r="Z328" s="45">
        <f t="array" ref="Z328">_xlfn.XLOOKUP(records_2[Method]&amp;"-"&amp;records_2[Class], dAirSpec[ID], dAirSpec[Spec])</f>
        <v>100</v>
      </c>
      <c r="AA328" s="45" t="str">
        <f t="array" ref="AA328">_xlfn.XLOOKUP(records_2[Method]&amp;"-"&amp;records_2[Class], dAirSpec[ID], dAirSpec[Unit])</f>
        <v>cfu/m3</v>
      </c>
      <c r="AB328" s="45">
        <f t="array" ref="AB328">if(R328="","", if(records_2[Method]="Active Air",_xlfn.xlookup(records_2[ColonyCount]&amp;records_2[AirSampler],feller[code],feller[Vc]),records_2[ColonyCount]))</f>
        <v>0</v>
      </c>
      <c r="AC328" s="60" t="b">
        <f t="shared" si="1"/>
        <v>1</v>
      </c>
      <c r="AD328" s="61" t="b">
        <v>0</v>
      </c>
      <c r="AE328" s="32" t="s">
        <v>280</v>
      </c>
      <c r="AF328" s="46"/>
      <c r="AG328" s="46"/>
      <c r="AH328" s="46"/>
      <c r="AI328" s="46"/>
      <c r="AJ328" s="46"/>
    </row>
    <row r="329" ht="22.5" customHeight="1">
      <c r="A329" s="27">
        <v>46084.0</v>
      </c>
      <c r="B329" s="34" t="str">
        <f t="array" ref="B329">TEXT(A329, "MM-YYYY")</f>
        <v>03-2026</v>
      </c>
      <c r="C329" s="39" t="s">
        <v>1471</v>
      </c>
      <c r="D329" s="36" t="s">
        <v>210</v>
      </c>
      <c r="E329" s="36" t="s">
        <v>531</v>
      </c>
      <c r="F329" s="29" t="b">
        <v>1</v>
      </c>
      <c r="G329" s="36" t="s">
        <v>214</v>
      </c>
      <c r="H329" s="36" t="s">
        <v>757</v>
      </c>
      <c r="I329" s="39"/>
      <c r="J329" s="43"/>
      <c r="K329" s="37" t="s">
        <v>671</v>
      </c>
      <c r="L329" s="37" t="s">
        <v>2151</v>
      </c>
      <c r="M329" s="37" t="s">
        <v>194</v>
      </c>
      <c r="N329" s="37" t="s">
        <v>194</v>
      </c>
      <c r="O329" s="37" t="s">
        <v>199</v>
      </c>
      <c r="P329" s="37" t="s">
        <v>201</v>
      </c>
      <c r="Q329" s="41">
        <v>46057.0</v>
      </c>
      <c r="R329" s="42">
        <v>2.0</v>
      </c>
      <c r="S329" s="29"/>
      <c r="T329" s="37" t="s">
        <v>2252</v>
      </c>
      <c r="U329" s="45" t="str">
        <f>IF(records_2[Type]="Room",records_2[roomNo],records_2[roomNo]&amp;"-"&amp;SUBSTITUTE(RIGHT(records_2[roomNo]&amp;records_2[Type],2),"-",""))</f>
        <v>16-1-097</v>
      </c>
      <c r="V329" s="47" t="str">
        <f t="array" ref="V329">_xlfn.XLOOKUP(records_2[ID], dAir[roomNo], dAir[roomName])</f>
        <v>VIALS INTERNAL STAGING</v>
      </c>
      <c r="W329" s="47" t="str">
        <f t="array" ref="W329">_xlfn.XLOOKUP(records_2[ID], dAir[roomNo], dAir[building])</f>
        <v>Building 16</v>
      </c>
      <c r="X329" s="47" t="str">
        <f t="array" ref="X329">_xlfn.XLOOKUP(records_2[ID], dAir[roomNo], dAir[floor])</f>
        <v>Floor 1</v>
      </c>
      <c r="Y329" s="45" t="str">
        <f t="array" ref="Y329">_xlfn.XLOOKUP(records_2[ID], dAir[roomNo], dAir[Class])</f>
        <v>C</v>
      </c>
      <c r="Z329" s="45">
        <f t="array" ref="Z329">_xlfn.XLOOKUP(records_2[Method]&amp;"-"&amp;records_2[Class], dAirSpec[ID], dAirSpec[Spec])</f>
        <v>100</v>
      </c>
      <c r="AA329" s="45" t="str">
        <f t="array" ref="AA329">_xlfn.XLOOKUP(records_2[Method]&amp;"-"&amp;records_2[Class], dAirSpec[ID], dAirSpec[Unit])</f>
        <v>cfu/m3</v>
      </c>
      <c r="AB329" s="45">
        <f t="array" ref="AB329">if(R329="","", if(records_2[Method]="Active Air",_xlfn.xlookup(records_2[ColonyCount]&amp;records_2[AirSampler],feller[code],feller[Vc]),records_2[ColonyCount]))</f>
        <v>2</v>
      </c>
      <c r="AC329" s="60" t="b">
        <f t="shared" si="1"/>
        <v>1</v>
      </c>
      <c r="AD329" s="61" t="b">
        <v>0</v>
      </c>
      <c r="AE329" s="32" t="s">
        <v>280</v>
      </c>
      <c r="AF329" s="46"/>
      <c r="AG329" s="46"/>
      <c r="AH329" s="46"/>
      <c r="AI329" s="46"/>
      <c r="AJ329" s="46"/>
    </row>
    <row r="330" ht="22.5" customHeight="1">
      <c r="A330" s="27">
        <v>46084.0</v>
      </c>
      <c r="B330" s="34" t="str">
        <f t="array" ref="B330">TEXT(A330, "MM-YYYY")</f>
        <v>03-2026</v>
      </c>
      <c r="C330" s="39" t="s">
        <v>1471</v>
      </c>
      <c r="D330" s="36" t="s">
        <v>1350</v>
      </c>
      <c r="E330" s="36" t="s">
        <v>531</v>
      </c>
      <c r="F330" s="29" t="b">
        <v>1</v>
      </c>
      <c r="G330" s="36" t="s">
        <v>214</v>
      </c>
      <c r="H330" s="36" t="s">
        <v>757</v>
      </c>
      <c r="I330" s="39"/>
      <c r="J330" s="43"/>
      <c r="K330" s="37" t="s">
        <v>671</v>
      </c>
      <c r="L330" s="37" t="s">
        <v>2151</v>
      </c>
      <c r="M330" s="37" t="s">
        <v>194</v>
      </c>
      <c r="N330" s="37" t="s">
        <v>194</v>
      </c>
      <c r="O330" s="37" t="s">
        <v>199</v>
      </c>
      <c r="P330" s="37" t="s">
        <v>201</v>
      </c>
      <c r="Q330" s="41">
        <v>46057.0</v>
      </c>
      <c r="R330" s="42">
        <v>3.0</v>
      </c>
      <c r="S330" s="29"/>
      <c r="T330" s="37" t="s">
        <v>2252</v>
      </c>
      <c r="U330" s="45" t="str">
        <f>IF(records_2[Type]="Room",records_2[roomNo],records_2[roomNo]&amp;"-"&amp;SUBSTITUTE(RIGHT(records_2[roomNo]&amp;records_2[Type],2),"-",""))</f>
        <v>16-1-097-PB</v>
      </c>
      <c r="V330" s="47" t="str">
        <f t="array" ref="V330">_xlfn.XLOOKUP(records_2[ID], dAir[roomNo], dAir[roomName])</f>
        <v>VIALS INTERNAL STAGING (Passbox)</v>
      </c>
      <c r="W330" s="47" t="str">
        <f t="array" ref="W330">_xlfn.XLOOKUP(records_2[ID], dAir[roomNo], dAir[building])</f>
        <v>Building 16</v>
      </c>
      <c r="X330" s="47" t="str">
        <f t="array" ref="X330">_xlfn.XLOOKUP(records_2[ID], dAir[roomNo], dAir[floor])</f>
        <v>Floor 1</v>
      </c>
      <c r="Y330" s="45" t="str">
        <f t="array" ref="Y330">_xlfn.XLOOKUP(records_2[ID], dAir[roomNo], dAir[Class])</f>
        <v>C</v>
      </c>
      <c r="Z330" s="45">
        <f t="array" ref="Z330">_xlfn.XLOOKUP(records_2[Method]&amp;"-"&amp;records_2[Class], dAirSpec[ID], dAirSpec[Spec])</f>
        <v>100</v>
      </c>
      <c r="AA330" s="45" t="str">
        <f t="array" ref="AA330">_xlfn.XLOOKUP(records_2[Method]&amp;"-"&amp;records_2[Class], dAirSpec[ID], dAirSpec[Unit])</f>
        <v>cfu/m3</v>
      </c>
      <c r="AB330" s="45">
        <f t="array" ref="AB330">if(R330="","", if(records_2[Method]="Active Air",_xlfn.xlookup(records_2[ColonyCount]&amp;records_2[AirSampler],feller[code],feller[Vc]),records_2[ColonyCount]))</f>
        <v>3</v>
      </c>
      <c r="AC330" s="60" t="b">
        <f t="shared" si="1"/>
        <v>1</v>
      </c>
      <c r="AD330" s="61" t="b">
        <v>0</v>
      </c>
      <c r="AE330" s="32" t="s">
        <v>280</v>
      </c>
      <c r="AF330" s="46"/>
      <c r="AG330" s="46"/>
      <c r="AH330" s="46"/>
      <c r="AI330" s="46"/>
      <c r="AJ330" s="46"/>
    </row>
    <row r="331" ht="22.5" customHeight="1">
      <c r="A331" s="27">
        <v>46084.0</v>
      </c>
      <c r="B331" s="34" t="str">
        <f t="array" ref="B331">TEXT(A331, "MM-YYYY")</f>
        <v>03-2026</v>
      </c>
      <c r="C331" s="39" t="s">
        <v>749</v>
      </c>
      <c r="D331" s="36" t="s">
        <v>210</v>
      </c>
      <c r="E331" s="36" t="s">
        <v>531</v>
      </c>
      <c r="F331" s="29" t="b">
        <v>1</v>
      </c>
      <c r="G331" s="36" t="s">
        <v>214</v>
      </c>
      <c r="H331" s="36" t="s">
        <v>1413</v>
      </c>
      <c r="I331" s="39"/>
      <c r="J331" s="43"/>
      <c r="K331" s="37" t="s">
        <v>591</v>
      </c>
      <c r="L331" s="37" t="s">
        <v>518</v>
      </c>
      <c r="M331" s="37" t="s">
        <v>194</v>
      </c>
      <c r="N331" s="37" t="s">
        <v>194</v>
      </c>
      <c r="O331" s="37" t="s">
        <v>199</v>
      </c>
      <c r="P331" s="37" t="s">
        <v>201</v>
      </c>
      <c r="Q331" s="41">
        <v>46057.0</v>
      </c>
      <c r="R331" s="42">
        <v>1.0</v>
      </c>
      <c r="S331" s="29"/>
      <c r="T331" s="37" t="s">
        <v>2252</v>
      </c>
      <c r="U331" s="45" t="str">
        <f>IF(records_2[Type]="Room",records_2[roomNo],records_2[roomNo]&amp;"-"&amp;SUBSTITUTE(RIGHT(records_2[roomNo]&amp;records_2[Type],2),"-",""))</f>
        <v>16-1-098</v>
      </c>
      <c r="V331" s="47" t="str">
        <f t="array" ref="V331">_xlfn.XLOOKUP(records_2[ID], dAir[roomNo], dAir[roomName])</f>
        <v>CIP/SIP</v>
      </c>
      <c r="W331" s="47" t="str">
        <f t="array" ref="W331">_xlfn.XLOOKUP(records_2[ID], dAir[roomNo], dAir[building])</f>
        <v>Building 16</v>
      </c>
      <c r="X331" s="47" t="str">
        <f t="array" ref="X331">_xlfn.XLOOKUP(records_2[ID], dAir[roomNo], dAir[floor])</f>
        <v>Floor 1</v>
      </c>
      <c r="Y331" s="45" t="str">
        <f t="array" ref="Y331">_xlfn.XLOOKUP(records_2[ID], dAir[roomNo], dAir[Class])</f>
        <v>C</v>
      </c>
      <c r="Z331" s="45">
        <f t="array" ref="Z331">_xlfn.XLOOKUP(records_2[Method]&amp;"-"&amp;records_2[Class], dAirSpec[ID], dAirSpec[Spec])</f>
        <v>100</v>
      </c>
      <c r="AA331" s="45" t="str">
        <f t="array" ref="AA331">_xlfn.XLOOKUP(records_2[Method]&amp;"-"&amp;records_2[Class], dAirSpec[ID], dAirSpec[Unit])</f>
        <v>cfu/m3</v>
      </c>
      <c r="AB331" s="45">
        <f t="array" ref="AB331">if(R331="","", if(records_2[Method]="Active Air",_xlfn.xlookup(records_2[ColonyCount]&amp;records_2[AirSampler],feller[code],feller[Vc]),records_2[ColonyCount]))</f>
        <v>1</v>
      </c>
      <c r="AC331" s="60" t="b">
        <f t="shared" si="1"/>
        <v>1</v>
      </c>
      <c r="AD331" s="61" t="b">
        <v>0</v>
      </c>
      <c r="AE331" s="32" t="s">
        <v>280</v>
      </c>
      <c r="AF331" s="46"/>
      <c r="AG331" s="46"/>
      <c r="AH331" s="46"/>
      <c r="AI331" s="46"/>
      <c r="AJ331" s="46"/>
    </row>
    <row r="332" ht="22.5" customHeight="1">
      <c r="A332" s="27">
        <v>46084.0</v>
      </c>
      <c r="B332" s="34" t="str">
        <f t="array" ref="B332">TEXT(A332, "MM-YYYY")</f>
        <v>03-2026</v>
      </c>
      <c r="C332" s="39" t="s">
        <v>1484</v>
      </c>
      <c r="D332" s="36" t="s">
        <v>210</v>
      </c>
      <c r="E332" s="36" t="s">
        <v>531</v>
      </c>
      <c r="F332" s="29" t="b">
        <v>1</v>
      </c>
      <c r="G332" s="36" t="s">
        <v>214</v>
      </c>
      <c r="H332" s="36" t="s">
        <v>1413</v>
      </c>
      <c r="I332" s="39"/>
      <c r="J332" s="43"/>
      <c r="K332" s="37" t="s">
        <v>696</v>
      </c>
      <c r="L332" s="37" t="s">
        <v>449</v>
      </c>
      <c r="M332" s="37" t="s">
        <v>194</v>
      </c>
      <c r="N332" s="37" t="s">
        <v>194</v>
      </c>
      <c r="O332" s="37" t="s">
        <v>199</v>
      </c>
      <c r="P332" s="37" t="s">
        <v>201</v>
      </c>
      <c r="Q332" s="41">
        <v>46057.0</v>
      </c>
      <c r="R332" s="42">
        <v>2.0</v>
      </c>
      <c r="S332" s="29"/>
      <c r="T332" s="37" t="s">
        <v>2252</v>
      </c>
      <c r="U332" s="45" t="str">
        <f>IF(records_2[Type]="Room",records_2[roomNo],records_2[roomNo]&amp;"-"&amp;SUBSTITUTE(RIGHT(records_2[roomNo]&amp;records_2[Type],2),"-",""))</f>
        <v>16-1-099</v>
      </c>
      <c r="V332" s="47" t="str">
        <f t="array" ref="V332">_xlfn.XLOOKUP(records_2[ID], dAir[roomNo], dAir[roomName])</f>
        <v>MAL</v>
      </c>
      <c r="W332" s="47" t="str">
        <f t="array" ref="W332">_xlfn.XLOOKUP(records_2[ID], dAir[roomNo], dAir[building])</f>
        <v>Building 16</v>
      </c>
      <c r="X332" s="47" t="str">
        <f t="array" ref="X332">_xlfn.XLOOKUP(records_2[ID], dAir[roomNo], dAir[floor])</f>
        <v>Floor 1</v>
      </c>
      <c r="Y332" s="45" t="str">
        <f t="array" ref="Y332">_xlfn.XLOOKUP(records_2[ID], dAir[roomNo], dAir[Class])</f>
        <v>C</v>
      </c>
      <c r="Z332" s="45">
        <f t="array" ref="Z332">_xlfn.XLOOKUP(records_2[Method]&amp;"-"&amp;records_2[Class], dAirSpec[ID], dAirSpec[Spec])</f>
        <v>100</v>
      </c>
      <c r="AA332" s="45" t="str">
        <f t="array" ref="AA332">_xlfn.XLOOKUP(records_2[Method]&amp;"-"&amp;records_2[Class], dAirSpec[ID], dAirSpec[Unit])</f>
        <v>cfu/m3</v>
      </c>
      <c r="AB332" s="45">
        <f t="array" ref="AB332">if(R332="","", if(records_2[Method]="Active Air",_xlfn.xlookup(records_2[ColonyCount]&amp;records_2[AirSampler],feller[code],feller[Vc]),records_2[ColonyCount]))</f>
        <v>2</v>
      </c>
      <c r="AC332" s="60" t="b">
        <f t="shared" si="1"/>
        <v>1</v>
      </c>
      <c r="AD332" s="61" t="b">
        <v>0</v>
      </c>
      <c r="AE332" s="32" t="s">
        <v>280</v>
      </c>
      <c r="AF332" s="46"/>
      <c r="AG332" s="46"/>
      <c r="AH332" s="46"/>
      <c r="AI332" s="46"/>
      <c r="AJ332" s="46"/>
    </row>
    <row r="333" ht="22.5" customHeight="1">
      <c r="A333" s="27">
        <v>46084.0</v>
      </c>
      <c r="B333" s="34" t="str">
        <f t="array" ref="B333">TEXT(A333, "MM-YYYY")</f>
        <v>03-2026</v>
      </c>
      <c r="C333" s="39" t="s">
        <v>1485</v>
      </c>
      <c r="D333" s="36" t="s">
        <v>210</v>
      </c>
      <c r="E333" s="36" t="s">
        <v>531</v>
      </c>
      <c r="F333" s="29" t="b">
        <v>1</v>
      </c>
      <c r="G333" s="36" t="s">
        <v>214</v>
      </c>
      <c r="H333" s="36" t="s">
        <v>757</v>
      </c>
      <c r="I333" s="39"/>
      <c r="J333" s="43"/>
      <c r="K333" s="37" t="s">
        <v>550</v>
      </c>
      <c r="L333" s="37" t="s">
        <v>2249</v>
      </c>
      <c r="M333" s="37" t="s">
        <v>194</v>
      </c>
      <c r="N333" s="37" t="s">
        <v>194</v>
      </c>
      <c r="O333" s="37" t="s">
        <v>199</v>
      </c>
      <c r="P333" s="37" t="s">
        <v>201</v>
      </c>
      <c r="Q333" s="41">
        <v>46057.0</v>
      </c>
      <c r="R333" s="42">
        <v>3.0</v>
      </c>
      <c r="S333" s="29"/>
      <c r="T333" s="37" t="s">
        <v>2252</v>
      </c>
      <c r="U333" s="45" t="str">
        <f>IF(records_2[Type]="Room",records_2[roomNo],records_2[roomNo]&amp;"-"&amp;SUBSTITUTE(RIGHT(records_2[roomNo]&amp;records_2[Type],2),"-",""))</f>
        <v>16-1-100</v>
      </c>
      <c r="V333" s="47" t="str">
        <f t="array" ref="V333">_xlfn.XLOOKUP(records_2[ID], dAir[roomNo], dAir[roomName])</f>
        <v>MAL</v>
      </c>
      <c r="W333" s="47" t="str">
        <f t="array" ref="W333">_xlfn.XLOOKUP(records_2[ID], dAir[roomNo], dAir[building])</f>
        <v>Building 16</v>
      </c>
      <c r="X333" s="47" t="str">
        <f t="array" ref="X333">_xlfn.XLOOKUP(records_2[ID], dAir[roomNo], dAir[floor])</f>
        <v>Floor 1</v>
      </c>
      <c r="Y333" s="45" t="str">
        <f t="array" ref="Y333">_xlfn.XLOOKUP(records_2[ID], dAir[roomNo], dAir[Class])</f>
        <v>D</v>
      </c>
      <c r="Z333" s="45">
        <f t="array" ref="Z333">_xlfn.XLOOKUP(records_2[Method]&amp;"-"&amp;records_2[Class], dAirSpec[ID], dAirSpec[Spec])</f>
        <v>200</v>
      </c>
      <c r="AA333" s="45" t="str">
        <f t="array" ref="AA333">_xlfn.XLOOKUP(records_2[Method]&amp;"-"&amp;records_2[Class], dAirSpec[ID], dAirSpec[Unit])</f>
        <v>cfu/m3</v>
      </c>
      <c r="AB333" s="45">
        <f t="array" ref="AB333">if(R333="","", if(records_2[Method]="Active Air",_xlfn.xlookup(records_2[ColonyCount]&amp;records_2[AirSampler],feller[code],feller[Vc]),records_2[ColonyCount]))</f>
        <v>3</v>
      </c>
      <c r="AC333" s="60" t="b">
        <f t="shared" si="1"/>
        <v>1</v>
      </c>
      <c r="AD333" s="61" t="b">
        <v>0</v>
      </c>
      <c r="AE333" s="32" t="s">
        <v>280</v>
      </c>
      <c r="AF333" s="46"/>
      <c r="AG333" s="46"/>
      <c r="AH333" s="46"/>
      <c r="AI333" s="46"/>
      <c r="AJ333" s="46"/>
    </row>
    <row r="334" ht="22.5" customHeight="1">
      <c r="A334" s="27">
        <v>46084.0</v>
      </c>
      <c r="B334" s="34" t="str">
        <f t="array" ref="B334">TEXT(A334, "MM-YYYY")</f>
        <v>03-2026</v>
      </c>
      <c r="C334" s="39" t="s">
        <v>1486</v>
      </c>
      <c r="D334" s="36" t="s">
        <v>210</v>
      </c>
      <c r="E334" s="36" t="s">
        <v>531</v>
      </c>
      <c r="F334" s="29" t="b">
        <v>1</v>
      </c>
      <c r="G334" s="36" t="s">
        <v>214</v>
      </c>
      <c r="H334" s="36" t="s">
        <v>1413</v>
      </c>
      <c r="I334" s="39"/>
      <c r="J334" s="43"/>
      <c r="K334" s="37" t="s">
        <v>615</v>
      </c>
      <c r="L334" s="37" t="s">
        <v>2238</v>
      </c>
      <c r="M334" s="37" t="s">
        <v>194</v>
      </c>
      <c r="N334" s="37" t="s">
        <v>194</v>
      </c>
      <c r="O334" s="37" t="s">
        <v>199</v>
      </c>
      <c r="P334" s="37" t="s">
        <v>201</v>
      </c>
      <c r="Q334" s="41">
        <v>46057.0</v>
      </c>
      <c r="R334" s="42">
        <v>1.0</v>
      </c>
      <c r="S334" s="29"/>
      <c r="T334" s="37" t="s">
        <v>2252</v>
      </c>
      <c r="U334" s="45" t="str">
        <f>IF(records_2[Type]="Room",records_2[roomNo],records_2[roomNo]&amp;"-"&amp;SUBSTITUTE(RIGHT(records_2[roomNo]&amp;records_2[Type],2),"-",""))</f>
        <v>16-1-101</v>
      </c>
      <c r="V334" s="47" t="str">
        <f t="array" ref="V334">_xlfn.XLOOKUP(records_2[ID], dAir[roomNo], dAir[roomName])</f>
        <v>AIRLOCK</v>
      </c>
      <c r="W334" s="47" t="str">
        <f t="array" ref="W334">_xlfn.XLOOKUP(records_2[ID], dAir[roomNo], dAir[building])</f>
        <v>Building 16</v>
      </c>
      <c r="X334" s="47" t="str">
        <f t="array" ref="X334">_xlfn.XLOOKUP(records_2[ID], dAir[roomNo], dAir[floor])</f>
        <v>Floor 1</v>
      </c>
      <c r="Y334" s="45" t="str">
        <f t="array" ref="Y334">_xlfn.XLOOKUP(records_2[ID], dAir[roomNo], dAir[Class])</f>
        <v>C</v>
      </c>
      <c r="Z334" s="45">
        <f t="array" ref="Z334">_xlfn.XLOOKUP(records_2[Method]&amp;"-"&amp;records_2[Class], dAirSpec[ID], dAirSpec[Spec])</f>
        <v>100</v>
      </c>
      <c r="AA334" s="45" t="str">
        <f t="array" ref="AA334">_xlfn.XLOOKUP(records_2[Method]&amp;"-"&amp;records_2[Class], dAirSpec[ID], dAirSpec[Unit])</f>
        <v>cfu/m3</v>
      </c>
      <c r="AB334" s="45">
        <f t="array" ref="AB334">if(R334="","", if(records_2[Method]="Active Air",_xlfn.xlookup(records_2[ColonyCount]&amp;records_2[AirSampler],feller[code],feller[Vc]),records_2[ColonyCount]))</f>
        <v>1</v>
      </c>
      <c r="AC334" s="60" t="b">
        <f t="shared" si="1"/>
        <v>1</v>
      </c>
      <c r="AD334" s="61" t="b">
        <v>0</v>
      </c>
      <c r="AE334" s="32" t="s">
        <v>280</v>
      </c>
      <c r="AF334" s="46"/>
      <c r="AG334" s="46"/>
      <c r="AH334" s="46"/>
      <c r="AI334" s="46"/>
      <c r="AJ334" s="46"/>
    </row>
    <row r="335" ht="22.5" customHeight="1">
      <c r="A335" s="27">
        <v>46084.0</v>
      </c>
      <c r="B335" s="34" t="str">
        <f t="array" ref="B335">TEXT(A335, "MM-YYYY")</f>
        <v>03-2026</v>
      </c>
      <c r="C335" s="39" t="s">
        <v>1486</v>
      </c>
      <c r="D335" s="36" t="s">
        <v>1350</v>
      </c>
      <c r="E335" s="36" t="s">
        <v>531</v>
      </c>
      <c r="F335" s="29" t="b">
        <v>1</v>
      </c>
      <c r="G335" s="36" t="s">
        <v>214</v>
      </c>
      <c r="H335" s="36" t="s">
        <v>1413</v>
      </c>
      <c r="I335" s="39"/>
      <c r="J335" s="43"/>
      <c r="K335" s="37" t="s">
        <v>615</v>
      </c>
      <c r="L335" s="37" t="s">
        <v>2238</v>
      </c>
      <c r="M335" s="37" t="s">
        <v>194</v>
      </c>
      <c r="N335" s="37" t="s">
        <v>194</v>
      </c>
      <c r="O335" s="37" t="s">
        <v>199</v>
      </c>
      <c r="P335" s="37" t="s">
        <v>201</v>
      </c>
      <c r="Q335" s="41">
        <v>46057.0</v>
      </c>
      <c r="R335" s="42">
        <v>0.0</v>
      </c>
      <c r="S335" s="29"/>
      <c r="T335" s="37" t="s">
        <v>2252</v>
      </c>
      <c r="U335" s="45" t="str">
        <f>IF(records_2[Type]="Room",records_2[roomNo],records_2[roomNo]&amp;"-"&amp;SUBSTITUTE(RIGHT(records_2[roomNo]&amp;records_2[Type],2),"-",""))</f>
        <v>16-1-101-PB</v>
      </c>
      <c r="V335" s="47" t="str">
        <f t="array" ref="V335">_xlfn.XLOOKUP(records_2[ID], dAir[roomNo], dAir[roomName])</f>
        <v>AIRLOCK (Passbox)</v>
      </c>
      <c r="W335" s="47" t="str">
        <f t="array" ref="W335">_xlfn.XLOOKUP(records_2[ID], dAir[roomNo], dAir[building])</f>
        <v>Building 16</v>
      </c>
      <c r="X335" s="47" t="str">
        <f t="array" ref="X335">_xlfn.XLOOKUP(records_2[ID], dAir[roomNo], dAir[floor])</f>
        <v>Floor 1</v>
      </c>
      <c r="Y335" s="45" t="str">
        <f t="array" ref="Y335">_xlfn.XLOOKUP(records_2[ID], dAir[roomNo], dAir[Class])</f>
        <v>C</v>
      </c>
      <c r="Z335" s="45">
        <f t="array" ref="Z335">_xlfn.XLOOKUP(records_2[Method]&amp;"-"&amp;records_2[Class], dAirSpec[ID], dAirSpec[Spec])</f>
        <v>100</v>
      </c>
      <c r="AA335" s="45" t="str">
        <f t="array" ref="AA335">_xlfn.XLOOKUP(records_2[Method]&amp;"-"&amp;records_2[Class], dAirSpec[ID], dAirSpec[Unit])</f>
        <v>cfu/m3</v>
      </c>
      <c r="AB335" s="45">
        <f t="array" ref="AB335">if(R335="","", if(records_2[Method]="Active Air",_xlfn.xlookup(records_2[ColonyCount]&amp;records_2[AirSampler],feller[code],feller[Vc]),records_2[ColonyCount]))</f>
        <v>0</v>
      </c>
      <c r="AC335" s="60" t="b">
        <f t="shared" si="1"/>
        <v>1</v>
      </c>
      <c r="AD335" s="61" t="b">
        <v>0</v>
      </c>
      <c r="AE335" s="32" t="s">
        <v>280</v>
      </c>
      <c r="AF335" s="46"/>
      <c r="AG335" s="46"/>
      <c r="AH335" s="46"/>
      <c r="AI335" s="46"/>
      <c r="AJ335" s="46"/>
    </row>
    <row r="336" ht="22.5" customHeight="1">
      <c r="A336" s="27">
        <v>46084.0</v>
      </c>
      <c r="B336" s="34" t="str">
        <f t="array" ref="B336">TEXT(A336, "MM-YYYY")</f>
        <v>03-2026</v>
      </c>
      <c r="C336" s="32" t="s">
        <v>786</v>
      </c>
      <c r="D336" s="21" t="s">
        <v>680</v>
      </c>
      <c r="E336" s="21" t="s">
        <v>531</v>
      </c>
      <c r="F336" s="29" t="b">
        <v>1</v>
      </c>
      <c r="G336" s="36" t="s">
        <v>214</v>
      </c>
      <c r="H336" s="36" t="s">
        <v>757</v>
      </c>
      <c r="I336" s="39"/>
      <c r="J336" s="43"/>
      <c r="K336" s="37" t="s">
        <v>326</v>
      </c>
      <c r="L336" s="37" t="s">
        <v>1587</v>
      </c>
      <c r="M336" s="37" t="s">
        <v>194</v>
      </c>
      <c r="N336" s="37" t="s">
        <v>194</v>
      </c>
      <c r="O336" s="37" t="s">
        <v>199</v>
      </c>
      <c r="P336" s="37" t="s">
        <v>201</v>
      </c>
      <c r="Q336" s="41">
        <v>46057.0</v>
      </c>
      <c r="R336" s="42">
        <v>0.0</v>
      </c>
      <c r="S336" s="29"/>
      <c r="T336" s="37" t="s">
        <v>2252</v>
      </c>
      <c r="U336" s="45" t="str">
        <f>IF(records_2[Type]="Room",records_2[roomNo],records_2[roomNo]&amp;"-"&amp;SUBSTITUTE(RIGHT(records_2[roomNo]&amp;records_2[Type],2),"-",""))</f>
        <v>16-1-102-B</v>
      </c>
      <c r="V336" s="47" t="str">
        <f t="array" ref="V336">_xlfn.XLOOKUP(records_2[ID], dAir[roomNo], dAir[roomName])</f>
        <v>DISPENSING (Booth)</v>
      </c>
      <c r="W336" s="47" t="str">
        <f t="array" ref="W336">_xlfn.XLOOKUP(records_2[ID], dAir[roomNo], dAir[building])</f>
        <v>Building 16</v>
      </c>
      <c r="X336" s="47" t="str">
        <f t="array" ref="X336">_xlfn.XLOOKUP(records_2[ID], dAir[roomNo], dAir[floor])</f>
        <v>Floor 1</v>
      </c>
      <c r="Y336" s="45" t="str">
        <f t="array" ref="Y336">_xlfn.XLOOKUP(records_2[ID], dAir[roomNo], dAir[Class])</f>
        <v>A</v>
      </c>
      <c r="Z336" s="45">
        <f t="array" ref="Z336">_xlfn.XLOOKUP(records_2[Method]&amp;"-"&amp;records_2[Class], dAirSpec[ID], dAirSpec[Spec])</f>
        <v>0</v>
      </c>
      <c r="AA336" s="45" t="str">
        <f t="array" ref="AA336">_xlfn.XLOOKUP(records_2[Method]&amp;"-"&amp;records_2[Class], dAirSpec[ID], dAirSpec[Unit])</f>
        <v>cfu/m3</v>
      </c>
      <c r="AB336" s="45">
        <f t="array" ref="AB336">if(R336="","", if(records_2[Method]="Active Air",_xlfn.xlookup(records_2[ColonyCount]&amp;records_2[AirSampler],feller[code],feller[Vc]),records_2[ColonyCount]))</f>
        <v>0</v>
      </c>
      <c r="AC336" s="60" t="b">
        <f t="shared" si="1"/>
        <v>1</v>
      </c>
      <c r="AD336" s="61" t="b">
        <v>0</v>
      </c>
      <c r="AE336" s="32" t="s">
        <v>280</v>
      </c>
      <c r="AF336" s="46"/>
      <c r="AG336" s="46"/>
      <c r="AH336" s="46"/>
      <c r="AI336" s="46"/>
      <c r="AJ336" s="46"/>
    </row>
    <row r="337" ht="22.5" customHeight="1">
      <c r="A337" s="27">
        <v>46084.0</v>
      </c>
      <c r="B337" s="34" t="str">
        <f t="array" ref="B337">TEXT(A337, "MM-YYYY")</f>
        <v>03-2026</v>
      </c>
      <c r="C337" s="39" t="s">
        <v>786</v>
      </c>
      <c r="D337" s="36" t="s">
        <v>210</v>
      </c>
      <c r="E337" s="36" t="s">
        <v>531</v>
      </c>
      <c r="F337" s="29" t="b">
        <v>1</v>
      </c>
      <c r="G337" s="36" t="s">
        <v>214</v>
      </c>
      <c r="H337" s="36" t="s">
        <v>1413</v>
      </c>
      <c r="I337" s="39"/>
      <c r="J337" s="43"/>
      <c r="K337" s="37" t="s">
        <v>326</v>
      </c>
      <c r="L337" s="37" t="s">
        <v>1587</v>
      </c>
      <c r="M337" s="37" t="s">
        <v>194</v>
      </c>
      <c r="N337" s="37" t="s">
        <v>194</v>
      </c>
      <c r="O337" s="37" t="s">
        <v>199</v>
      </c>
      <c r="P337" s="37" t="s">
        <v>201</v>
      </c>
      <c r="Q337" s="41">
        <v>46057.0</v>
      </c>
      <c r="R337" s="42">
        <v>1.0</v>
      </c>
      <c r="S337" s="29"/>
      <c r="T337" s="37" t="s">
        <v>2252</v>
      </c>
      <c r="U337" s="45" t="str">
        <f>IF(records_2[Type]="Room",records_2[roomNo],records_2[roomNo]&amp;"-"&amp;SUBSTITUTE(RIGHT(records_2[roomNo]&amp;records_2[Type],2),"-",""))</f>
        <v>16-1-102</v>
      </c>
      <c r="V337" s="47" t="str">
        <f t="array" ref="V337">_xlfn.XLOOKUP(records_2[ID], dAir[roomNo], dAir[roomName])</f>
        <v>DISPENSING</v>
      </c>
      <c r="W337" s="47" t="str">
        <f t="array" ref="W337">_xlfn.XLOOKUP(records_2[ID], dAir[roomNo], dAir[building])</f>
        <v>Building 16</v>
      </c>
      <c r="X337" s="47" t="str">
        <f t="array" ref="X337">_xlfn.XLOOKUP(records_2[ID], dAir[roomNo], dAir[floor])</f>
        <v>Floor 1</v>
      </c>
      <c r="Y337" s="45" t="str">
        <f t="array" ref="Y337">_xlfn.XLOOKUP(records_2[ID], dAir[roomNo], dAir[Class])</f>
        <v>C</v>
      </c>
      <c r="Z337" s="45">
        <f t="array" ref="Z337">_xlfn.XLOOKUP(records_2[Method]&amp;"-"&amp;records_2[Class], dAirSpec[ID], dAirSpec[Spec])</f>
        <v>100</v>
      </c>
      <c r="AA337" s="45" t="str">
        <f t="array" ref="AA337">_xlfn.XLOOKUP(records_2[Method]&amp;"-"&amp;records_2[Class], dAirSpec[ID], dAirSpec[Unit])</f>
        <v>cfu/m3</v>
      </c>
      <c r="AB337" s="45">
        <f t="array" ref="AB337">if(R337="","", if(records_2[Method]="Active Air",_xlfn.xlookup(records_2[ColonyCount]&amp;records_2[AirSampler],feller[code],feller[Vc]),records_2[ColonyCount]))</f>
        <v>1</v>
      </c>
      <c r="AC337" s="60" t="b">
        <f t="shared" si="1"/>
        <v>1</v>
      </c>
      <c r="AD337" s="61" t="b">
        <v>0</v>
      </c>
      <c r="AE337" s="32" t="s">
        <v>280</v>
      </c>
      <c r="AF337" s="46"/>
      <c r="AG337" s="46"/>
      <c r="AH337" s="46"/>
      <c r="AI337" s="46"/>
      <c r="AJ337" s="46"/>
    </row>
    <row r="338" ht="22.5" customHeight="1">
      <c r="A338" s="27">
        <v>46084.0</v>
      </c>
      <c r="B338" s="34" t="str">
        <f t="array" ref="B338">TEXT(A338, "MM-YYYY")</f>
        <v>03-2026</v>
      </c>
      <c r="C338" s="39" t="s">
        <v>1492</v>
      </c>
      <c r="D338" s="36" t="s">
        <v>210</v>
      </c>
      <c r="E338" s="36" t="s">
        <v>531</v>
      </c>
      <c r="F338" s="29" t="b">
        <v>1</v>
      </c>
      <c r="G338" s="36" t="s">
        <v>214</v>
      </c>
      <c r="H338" s="36" t="s">
        <v>1413</v>
      </c>
      <c r="I338" s="39"/>
      <c r="J338" s="43"/>
      <c r="K338" s="37" t="s">
        <v>2273</v>
      </c>
      <c r="L338" s="37" t="s">
        <v>488</v>
      </c>
      <c r="M338" s="37" t="s">
        <v>194</v>
      </c>
      <c r="N338" s="37" t="s">
        <v>194</v>
      </c>
      <c r="O338" s="37" t="s">
        <v>199</v>
      </c>
      <c r="P338" s="37" t="s">
        <v>201</v>
      </c>
      <c r="Q338" s="41">
        <v>46057.0</v>
      </c>
      <c r="R338" s="42">
        <v>0.0</v>
      </c>
      <c r="S338" s="29"/>
      <c r="T338" s="37" t="s">
        <v>2252</v>
      </c>
      <c r="U338" s="45" t="str">
        <f>IF(records_2[Type]="Room",records_2[roomNo],records_2[roomNo]&amp;"-"&amp;SUBSTITUTE(RIGHT(records_2[roomNo]&amp;records_2[Type],2),"-",""))</f>
        <v>16-1-103</v>
      </c>
      <c r="V338" s="47" t="str">
        <f t="array" ref="V338">_xlfn.XLOOKUP(records_2[ID], dAir[roomNo], dAir[roomName])</f>
        <v>DISPENSED MATERIAL STAGING</v>
      </c>
      <c r="W338" s="47" t="str">
        <f t="array" ref="W338">_xlfn.XLOOKUP(records_2[ID], dAir[roomNo], dAir[building])</f>
        <v>Building 16</v>
      </c>
      <c r="X338" s="47" t="str">
        <f t="array" ref="X338">_xlfn.XLOOKUP(records_2[ID], dAir[roomNo], dAir[floor])</f>
        <v>Floor 1</v>
      </c>
      <c r="Y338" s="45" t="str">
        <f t="array" ref="Y338">_xlfn.XLOOKUP(records_2[ID], dAir[roomNo], dAir[Class])</f>
        <v>C</v>
      </c>
      <c r="Z338" s="45">
        <f t="array" ref="Z338">_xlfn.XLOOKUP(records_2[Method]&amp;"-"&amp;records_2[Class], dAirSpec[ID], dAirSpec[Spec])</f>
        <v>100</v>
      </c>
      <c r="AA338" s="45" t="str">
        <f t="array" ref="AA338">_xlfn.XLOOKUP(records_2[Method]&amp;"-"&amp;records_2[Class], dAirSpec[ID], dAirSpec[Unit])</f>
        <v>cfu/m3</v>
      </c>
      <c r="AB338" s="45">
        <f t="array" ref="AB338">if(R338="","", if(records_2[Method]="Active Air",_xlfn.xlookup(records_2[ColonyCount]&amp;records_2[AirSampler],feller[code],feller[Vc]),records_2[ColonyCount]))</f>
        <v>0</v>
      </c>
      <c r="AC338" s="60" t="b">
        <f t="shared" si="1"/>
        <v>1</v>
      </c>
      <c r="AD338" s="61" t="b">
        <v>0</v>
      </c>
      <c r="AE338" s="32" t="s">
        <v>280</v>
      </c>
      <c r="AF338" s="46"/>
      <c r="AG338" s="46"/>
      <c r="AH338" s="46"/>
      <c r="AI338" s="46"/>
      <c r="AJ338" s="46"/>
    </row>
    <row r="339" ht="22.5" customHeight="1">
      <c r="A339" s="27">
        <v>46084.0</v>
      </c>
      <c r="B339" s="34" t="str">
        <f t="array" ref="B339">TEXT(A339, "MM-YYYY")</f>
        <v>03-2026</v>
      </c>
      <c r="C339" s="39" t="s">
        <v>1493</v>
      </c>
      <c r="D339" s="36" t="s">
        <v>210</v>
      </c>
      <c r="E339" s="36" t="s">
        <v>531</v>
      </c>
      <c r="F339" s="29" t="b">
        <v>1</v>
      </c>
      <c r="G339" s="36" t="s">
        <v>214</v>
      </c>
      <c r="H339" s="36" t="s">
        <v>1413</v>
      </c>
      <c r="I339" s="39"/>
      <c r="J339" s="43"/>
      <c r="K339" s="37" t="s">
        <v>326</v>
      </c>
      <c r="L339" s="37" t="s">
        <v>1918</v>
      </c>
      <c r="M339" s="37" t="s">
        <v>194</v>
      </c>
      <c r="N339" s="37" t="s">
        <v>194</v>
      </c>
      <c r="O339" s="37" t="s">
        <v>199</v>
      </c>
      <c r="P339" s="37" t="s">
        <v>201</v>
      </c>
      <c r="Q339" s="41">
        <v>46057.0</v>
      </c>
      <c r="R339" s="42">
        <v>2.0</v>
      </c>
      <c r="S339" s="29"/>
      <c r="T339" s="37" t="s">
        <v>2252</v>
      </c>
      <c r="U339" s="45" t="str">
        <f>IF(records_2[Type]="Room",records_2[roomNo],records_2[roomNo]&amp;"-"&amp;SUBSTITUTE(RIGHT(records_2[roomNo]&amp;records_2[Type],2),"-",""))</f>
        <v>16-1-104</v>
      </c>
      <c r="V339" s="47" t="str">
        <f t="array" ref="V339">_xlfn.XLOOKUP(records_2[ID], dAir[roomNo], dAir[roomName])</f>
        <v>AMPOULES INTERNAL STAGING</v>
      </c>
      <c r="W339" s="47" t="str">
        <f t="array" ref="W339">_xlfn.XLOOKUP(records_2[ID], dAir[roomNo], dAir[building])</f>
        <v>Building 16</v>
      </c>
      <c r="X339" s="47" t="str">
        <f t="array" ref="X339">_xlfn.XLOOKUP(records_2[ID], dAir[roomNo], dAir[floor])</f>
        <v>Floor 1</v>
      </c>
      <c r="Y339" s="45" t="str">
        <f t="array" ref="Y339">_xlfn.XLOOKUP(records_2[ID], dAir[roomNo], dAir[Class])</f>
        <v>C</v>
      </c>
      <c r="Z339" s="45">
        <f t="array" ref="Z339">_xlfn.XLOOKUP(records_2[Method]&amp;"-"&amp;records_2[Class], dAirSpec[ID], dAirSpec[Spec])</f>
        <v>100</v>
      </c>
      <c r="AA339" s="45" t="str">
        <f t="array" ref="AA339">_xlfn.XLOOKUP(records_2[Method]&amp;"-"&amp;records_2[Class], dAirSpec[ID], dAirSpec[Unit])</f>
        <v>cfu/m3</v>
      </c>
      <c r="AB339" s="45">
        <f t="array" ref="AB339">if(R339="","", if(records_2[Method]="Active Air",_xlfn.xlookup(records_2[ColonyCount]&amp;records_2[AirSampler],feller[code],feller[Vc]),records_2[ColonyCount]))</f>
        <v>2</v>
      </c>
      <c r="AC339" s="60" t="b">
        <f t="shared" si="1"/>
        <v>1</v>
      </c>
      <c r="AD339" s="61" t="b">
        <v>0</v>
      </c>
      <c r="AE339" s="32" t="s">
        <v>280</v>
      </c>
      <c r="AF339" s="46"/>
      <c r="AG339" s="46"/>
      <c r="AH339" s="46"/>
      <c r="AI339" s="46"/>
      <c r="AJ339" s="46"/>
    </row>
    <row r="340" ht="22.5" customHeight="1">
      <c r="A340" s="27">
        <v>46084.0</v>
      </c>
      <c r="B340" s="34" t="str">
        <f t="array" ref="B340">TEXT(A340, "MM-YYYY")</f>
        <v>03-2026</v>
      </c>
      <c r="C340" s="39" t="s">
        <v>1493</v>
      </c>
      <c r="D340" s="36" t="s">
        <v>1350</v>
      </c>
      <c r="E340" s="36" t="s">
        <v>531</v>
      </c>
      <c r="F340" s="29" t="b">
        <v>1</v>
      </c>
      <c r="G340" s="36" t="s">
        <v>214</v>
      </c>
      <c r="H340" s="36" t="s">
        <v>1413</v>
      </c>
      <c r="I340" s="39"/>
      <c r="J340" s="43"/>
      <c r="K340" s="37" t="s">
        <v>326</v>
      </c>
      <c r="L340" s="37" t="s">
        <v>1918</v>
      </c>
      <c r="M340" s="37" t="s">
        <v>194</v>
      </c>
      <c r="N340" s="37" t="s">
        <v>194</v>
      </c>
      <c r="O340" s="37" t="s">
        <v>199</v>
      </c>
      <c r="P340" s="37" t="s">
        <v>201</v>
      </c>
      <c r="Q340" s="41">
        <v>46057.0</v>
      </c>
      <c r="R340" s="42">
        <v>0.0</v>
      </c>
      <c r="S340" s="29"/>
      <c r="T340" s="37" t="s">
        <v>2252</v>
      </c>
      <c r="U340" s="45" t="str">
        <f>IF(records_2[Type]="Room",records_2[roomNo],records_2[roomNo]&amp;"-"&amp;SUBSTITUTE(RIGHT(records_2[roomNo]&amp;records_2[Type],2),"-",""))</f>
        <v>16-1-104-PB</v>
      </c>
      <c r="V340" s="47" t="str">
        <f t="array" ref="V340">_xlfn.XLOOKUP(records_2[ID], dAir[roomNo], dAir[roomName])</f>
        <v>AMPOULES INTERNAL STAGING (Passbox)</v>
      </c>
      <c r="W340" s="47" t="str">
        <f t="array" ref="W340">_xlfn.XLOOKUP(records_2[ID], dAir[roomNo], dAir[building])</f>
        <v>Building 16</v>
      </c>
      <c r="X340" s="47" t="str">
        <f t="array" ref="X340">_xlfn.XLOOKUP(records_2[ID], dAir[roomNo], dAir[floor])</f>
        <v>Floor 1</v>
      </c>
      <c r="Y340" s="45" t="str">
        <f t="array" ref="Y340">_xlfn.XLOOKUP(records_2[ID], dAir[roomNo], dAir[Class])</f>
        <v>C</v>
      </c>
      <c r="Z340" s="45">
        <f t="array" ref="Z340">_xlfn.XLOOKUP(records_2[Method]&amp;"-"&amp;records_2[Class], dAirSpec[ID], dAirSpec[Spec])</f>
        <v>100</v>
      </c>
      <c r="AA340" s="45" t="str">
        <f t="array" ref="AA340">_xlfn.XLOOKUP(records_2[Method]&amp;"-"&amp;records_2[Class], dAirSpec[ID], dAirSpec[Unit])</f>
        <v>cfu/m3</v>
      </c>
      <c r="AB340" s="45">
        <f t="array" ref="AB340">if(R340="","", if(records_2[Method]="Active Air",_xlfn.xlookup(records_2[ColonyCount]&amp;records_2[AirSampler],feller[code],feller[Vc]),records_2[ColonyCount]))</f>
        <v>0</v>
      </c>
      <c r="AC340" s="60" t="b">
        <f t="shared" si="1"/>
        <v>1</v>
      </c>
      <c r="AD340" s="61" t="b">
        <v>0</v>
      </c>
      <c r="AE340" s="32" t="s">
        <v>280</v>
      </c>
      <c r="AF340" s="46"/>
      <c r="AG340" s="46"/>
      <c r="AH340" s="46"/>
      <c r="AI340" s="46"/>
      <c r="AJ340" s="46"/>
    </row>
    <row r="341" ht="22.5" customHeight="1">
      <c r="A341" s="27">
        <v>46084.0</v>
      </c>
      <c r="B341" s="34" t="str">
        <f t="array" ref="B341">TEXT(A341, "MM-YYYY")</f>
        <v>03-2026</v>
      </c>
      <c r="C341" s="39" t="s">
        <v>754</v>
      </c>
      <c r="D341" s="36" t="s">
        <v>210</v>
      </c>
      <c r="E341" s="36" t="s">
        <v>531</v>
      </c>
      <c r="F341" s="29" t="b">
        <v>1</v>
      </c>
      <c r="G341" s="36" t="s">
        <v>214</v>
      </c>
      <c r="H341" s="36" t="s">
        <v>1413</v>
      </c>
      <c r="I341" s="39"/>
      <c r="J341" s="43"/>
      <c r="K341" s="37" t="s">
        <v>339</v>
      </c>
      <c r="L341" s="37" t="s">
        <v>2274</v>
      </c>
      <c r="M341" s="37" t="s">
        <v>194</v>
      </c>
      <c r="N341" s="37" t="s">
        <v>194</v>
      </c>
      <c r="O341" s="37" t="s">
        <v>199</v>
      </c>
      <c r="P341" s="37" t="s">
        <v>201</v>
      </c>
      <c r="Q341" s="41">
        <v>46057.0</v>
      </c>
      <c r="R341" s="42">
        <v>1.0</v>
      </c>
      <c r="S341" s="29"/>
      <c r="T341" s="37" t="s">
        <v>2252</v>
      </c>
      <c r="U341" s="45" t="str">
        <f>IF(records_2[Type]="Room",records_2[roomNo],records_2[roomNo]&amp;"-"&amp;SUBSTITUTE(RIGHT(records_2[roomNo]&amp;records_2[Type],2),"-",""))</f>
        <v>16-1-105</v>
      </c>
      <c r="V341" s="47" t="str">
        <f t="array" ref="V341">_xlfn.XLOOKUP(records_2[ID], dAir[roomNo], dAir[roomName])</f>
        <v>WASHING / TUNNEL 1</v>
      </c>
      <c r="W341" s="47" t="str">
        <f t="array" ref="W341">_xlfn.XLOOKUP(records_2[ID], dAir[roomNo], dAir[building])</f>
        <v>Building 16</v>
      </c>
      <c r="X341" s="47" t="str">
        <f t="array" ref="X341">_xlfn.XLOOKUP(records_2[ID], dAir[roomNo], dAir[floor])</f>
        <v>Floor 1</v>
      </c>
      <c r="Y341" s="45" t="str">
        <f t="array" ref="Y341">_xlfn.XLOOKUP(records_2[ID], dAir[roomNo], dAir[Class])</f>
        <v>C</v>
      </c>
      <c r="Z341" s="45">
        <f t="array" ref="Z341">_xlfn.XLOOKUP(records_2[Method]&amp;"-"&amp;records_2[Class], dAirSpec[ID], dAirSpec[Spec])</f>
        <v>100</v>
      </c>
      <c r="AA341" s="45" t="str">
        <f t="array" ref="AA341">_xlfn.XLOOKUP(records_2[Method]&amp;"-"&amp;records_2[Class], dAirSpec[ID], dAirSpec[Unit])</f>
        <v>cfu/m3</v>
      </c>
      <c r="AB341" s="45">
        <f t="array" ref="AB341">if(R341="","", if(records_2[Method]="Active Air",_xlfn.xlookup(records_2[ColonyCount]&amp;records_2[AirSampler],feller[code],feller[Vc]),records_2[ColonyCount]))</f>
        <v>1</v>
      </c>
      <c r="AC341" s="60" t="b">
        <f t="shared" si="1"/>
        <v>1</v>
      </c>
      <c r="AD341" s="61" t="b">
        <v>0</v>
      </c>
      <c r="AE341" s="32" t="s">
        <v>280</v>
      </c>
      <c r="AF341" s="46"/>
      <c r="AG341" s="46"/>
      <c r="AH341" s="46"/>
      <c r="AI341" s="46"/>
      <c r="AJ341" s="46"/>
    </row>
    <row r="342" ht="22.5" customHeight="1">
      <c r="A342" s="27">
        <v>46084.0</v>
      </c>
      <c r="B342" s="34" t="str">
        <f t="array" ref="B342">TEXT(A342, "MM-YYYY")</f>
        <v>03-2026</v>
      </c>
      <c r="C342" s="39" t="s">
        <v>1498</v>
      </c>
      <c r="D342" s="36" t="s">
        <v>210</v>
      </c>
      <c r="E342" s="36" t="s">
        <v>531</v>
      </c>
      <c r="F342" s="29" t="b">
        <v>1</v>
      </c>
      <c r="G342" s="36" t="s">
        <v>214</v>
      </c>
      <c r="H342" s="36" t="s">
        <v>1413</v>
      </c>
      <c r="I342" s="39"/>
      <c r="J342" s="43"/>
      <c r="K342" s="37" t="s">
        <v>366</v>
      </c>
      <c r="L342" s="37" t="s">
        <v>999</v>
      </c>
      <c r="M342" s="37" t="s">
        <v>194</v>
      </c>
      <c r="N342" s="37" t="s">
        <v>194</v>
      </c>
      <c r="O342" s="37" t="s">
        <v>199</v>
      </c>
      <c r="P342" s="37" t="s">
        <v>201</v>
      </c>
      <c r="Q342" s="41">
        <v>46057.0</v>
      </c>
      <c r="R342" s="42">
        <v>1.0</v>
      </c>
      <c r="S342" s="29"/>
      <c r="T342" s="37" t="s">
        <v>2252</v>
      </c>
      <c r="U342" s="45" t="str">
        <f>IF(records_2[Type]="Room",records_2[roomNo],records_2[roomNo]&amp;"-"&amp;SUBSTITUTE(RIGHT(records_2[roomNo]&amp;records_2[Type],2),"-",""))</f>
        <v>16-1-106</v>
      </c>
      <c r="V342" s="47" t="str">
        <f t="array" ref="V342">_xlfn.XLOOKUP(records_2[ID], dAir[roomNo], dAir[roomName])</f>
        <v>AIRLOCK</v>
      </c>
      <c r="W342" s="47" t="str">
        <f t="array" ref="W342">_xlfn.XLOOKUP(records_2[ID], dAir[roomNo], dAir[building])</f>
        <v>Building 16</v>
      </c>
      <c r="X342" s="47" t="str">
        <f t="array" ref="X342">_xlfn.XLOOKUP(records_2[ID], dAir[roomNo], dAir[floor])</f>
        <v>Floor 1</v>
      </c>
      <c r="Y342" s="45" t="str">
        <f t="array" ref="Y342">_xlfn.XLOOKUP(records_2[ID], dAir[roomNo], dAir[Class])</f>
        <v>C</v>
      </c>
      <c r="Z342" s="45">
        <f t="array" ref="Z342">_xlfn.XLOOKUP(records_2[Method]&amp;"-"&amp;records_2[Class], dAirSpec[ID], dAirSpec[Spec])</f>
        <v>100</v>
      </c>
      <c r="AA342" s="45" t="str">
        <f t="array" ref="AA342">_xlfn.XLOOKUP(records_2[Method]&amp;"-"&amp;records_2[Class], dAirSpec[ID], dAirSpec[Unit])</f>
        <v>cfu/m3</v>
      </c>
      <c r="AB342" s="45">
        <f t="array" ref="AB342">if(R342="","", if(records_2[Method]="Active Air",_xlfn.xlookup(records_2[ColonyCount]&amp;records_2[AirSampler],feller[code],feller[Vc]),records_2[ColonyCount]))</f>
        <v>1</v>
      </c>
      <c r="AC342" s="60" t="b">
        <f t="shared" si="1"/>
        <v>1</v>
      </c>
      <c r="AD342" s="61" t="b">
        <v>0</v>
      </c>
      <c r="AE342" s="32" t="s">
        <v>280</v>
      </c>
      <c r="AF342" s="46"/>
      <c r="AG342" s="46"/>
      <c r="AH342" s="46"/>
      <c r="AI342" s="46"/>
      <c r="AJ342" s="46"/>
    </row>
    <row r="343" ht="22.5" customHeight="1">
      <c r="A343" s="27">
        <v>46084.0</v>
      </c>
      <c r="B343" s="34" t="str">
        <f t="array" ref="B343">TEXT(A343, "MM-YYYY")</f>
        <v>03-2026</v>
      </c>
      <c r="C343" s="39" t="s">
        <v>763</v>
      </c>
      <c r="D343" s="36" t="s">
        <v>210</v>
      </c>
      <c r="E343" s="36" t="s">
        <v>531</v>
      </c>
      <c r="F343" s="29" t="b">
        <v>1</v>
      </c>
      <c r="G343" s="36" t="s">
        <v>214</v>
      </c>
      <c r="H343" s="36" t="s">
        <v>1413</v>
      </c>
      <c r="I343" s="39"/>
      <c r="J343" s="43"/>
      <c r="K343" s="37" t="s">
        <v>1546</v>
      </c>
      <c r="L343" s="37" t="s">
        <v>2253</v>
      </c>
      <c r="M343" s="37" t="s">
        <v>194</v>
      </c>
      <c r="N343" s="37" t="s">
        <v>194</v>
      </c>
      <c r="O343" s="37" t="s">
        <v>199</v>
      </c>
      <c r="P343" s="37" t="s">
        <v>201</v>
      </c>
      <c r="Q343" s="41">
        <v>46057.0</v>
      </c>
      <c r="R343" s="42">
        <v>0.0</v>
      </c>
      <c r="S343" s="29"/>
      <c r="T343" s="37" t="s">
        <v>2252</v>
      </c>
      <c r="U343" s="45" t="str">
        <f>IF(records_2[Type]="Room",records_2[roomNo],records_2[roomNo]&amp;"-"&amp;SUBSTITUTE(RIGHT(records_2[roomNo]&amp;records_2[Type],2),"-",""))</f>
        <v>16-1-107</v>
      </c>
      <c r="V343" s="47" t="str">
        <f t="array" ref="V343">_xlfn.XLOOKUP(records_2[ID], dAir[roomNo], dAir[roomName])</f>
        <v>COMPOUNDING 1</v>
      </c>
      <c r="W343" s="47" t="str">
        <f t="array" ref="W343">_xlfn.XLOOKUP(records_2[ID], dAir[roomNo], dAir[building])</f>
        <v>Building 16</v>
      </c>
      <c r="X343" s="47" t="str">
        <f t="array" ref="X343">_xlfn.XLOOKUP(records_2[ID], dAir[roomNo], dAir[floor])</f>
        <v>Floor 1</v>
      </c>
      <c r="Y343" s="45" t="str">
        <f t="array" ref="Y343">_xlfn.XLOOKUP(records_2[ID], dAir[roomNo], dAir[Class])</f>
        <v>C</v>
      </c>
      <c r="Z343" s="45">
        <f t="array" ref="Z343">_xlfn.XLOOKUP(records_2[Method]&amp;"-"&amp;records_2[Class], dAirSpec[ID], dAirSpec[Spec])</f>
        <v>100</v>
      </c>
      <c r="AA343" s="45" t="str">
        <f t="array" ref="AA343">_xlfn.XLOOKUP(records_2[Method]&amp;"-"&amp;records_2[Class], dAirSpec[ID], dAirSpec[Unit])</f>
        <v>cfu/m3</v>
      </c>
      <c r="AB343" s="45">
        <f t="array" ref="AB343">if(R343="","", if(records_2[Method]="Active Air",_xlfn.xlookup(records_2[ColonyCount]&amp;records_2[AirSampler],feller[code],feller[Vc]),records_2[ColonyCount]))</f>
        <v>0</v>
      </c>
      <c r="AC343" s="60" t="b">
        <f t="shared" si="1"/>
        <v>1</v>
      </c>
      <c r="AD343" s="61" t="b">
        <v>0</v>
      </c>
      <c r="AE343" s="32" t="s">
        <v>280</v>
      </c>
      <c r="AF343" s="46"/>
      <c r="AG343" s="46"/>
      <c r="AH343" s="46"/>
      <c r="AI343" s="46"/>
      <c r="AJ343" s="46"/>
    </row>
    <row r="344" ht="22.5" customHeight="1">
      <c r="A344" s="27">
        <v>46084.0</v>
      </c>
      <c r="B344" s="34" t="str">
        <f t="array" ref="B344">TEXT(A344, "MM-YYYY")</f>
        <v>03-2026</v>
      </c>
      <c r="C344" s="39" t="s">
        <v>1499</v>
      </c>
      <c r="D344" s="36" t="s">
        <v>210</v>
      </c>
      <c r="E344" s="36" t="s">
        <v>531</v>
      </c>
      <c r="F344" s="29" t="b">
        <v>1</v>
      </c>
      <c r="G344" s="36" t="s">
        <v>214</v>
      </c>
      <c r="H344" s="36" t="s">
        <v>1413</v>
      </c>
      <c r="I344" s="39"/>
      <c r="J344" s="43"/>
      <c r="K344" s="37" t="s">
        <v>2237</v>
      </c>
      <c r="L344" s="37" t="s">
        <v>331</v>
      </c>
      <c r="M344" s="37" t="s">
        <v>194</v>
      </c>
      <c r="N344" s="37" t="s">
        <v>194</v>
      </c>
      <c r="O344" s="37" t="s">
        <v>199</v>
      </c>
      <c r="P344" s="37" t="s">
        <v>201</v>
      </c>
      <c r="Q344" s="41">
        <v>46057.0</v>
      </c>
      <c r="R344" s="42">
        <v>1.0</v>
      </c>
      <c r="S344" s="29"/>
      <c r="T344" s="37" t="s">
        <v>2252</v>
      </c>
      <c r="U344" s="45" t="str">
        <f>IF(records_2[Type]="Room",records_2[roomNo],records_2[roomNo]&amp;"-"&amp;SUBSTITUTE(RIGHT(records_2[roomNo]&amp;records_2[Type],2),"-",""))</f>
        <v>16-1-108</v>
      </c>
      <c r="V344" s="47" t="str">
        <f t="array" ref="V344">_xlfn.XLOOKUP(records_2[ID], dAir[roomNo], dAir[roomName])</f>
        <v>CLEANED EQUIPMENT</v>
      </c>
      <c r="W344" s="47" t="str">
        <f t="array" ref="W344">_xlfn.XLOOKUP(records_2[ID], dAir[roomNo], dAir[building])</f>
        <v>Building 16</v>
      </c>
      <c r="X344" s="47" t="str">
        <f t="array" ref="X344">_xlfn.XLOOKUP(records_2[ID], dAir[roomNo], dAir[floor])</f>
        <v>Floor 1</v>
      </c>
      <c r="Y344" s="45" t="str">
        <f t="array" ref="Y344">_xlfn.XLOOKUP(records_2[ID], dAir[roomNo], dAir[Class])</f>
        <v>C</v>
      </c>
      <c r="Z344" s="45">
        <f t="array" ref="Z344">_xlfn.XLOOKUP(records_2[Method]&amp;"-"&amp;records_2[Class], dAirSpec[ID], dAirSpec[Spec])</f>
        <v>100</v>
      </c>
      <c r="AA344" s="45" t="str">
        <f t="array" ref="AA344">_xlfn.XLOOKUP(records_2[Method]&amp;"-"&amp;records_2[Class], dAirSpec[ID], dAirSpec[Unit])</f>
        <v>cfu/m3</v>
      </c>
      <c r="AB344" s="45">
        <f t="array" ref="AB344">if(R344="","", if(records_2[Method]="Active Air",_xlfn.xlookup(records_2[ColonyCount]&amp;records_2[AirSampler],feller[code],feller[Vc]),records_2[ColonyCount]))</f>
        <v>1</v>
      </c>
      <c r="AC344" s="60" t="b">
        <f t="shared" si="1"/>
        <v>1</v>
      </c>
      <c r="AD344" s="61" t="b">
        <v>0</v>
      </c>
      <c r="AE344" s="32" t="s">
        <v>280</v>
      </c>
      <c r="AF344" s="46"/>
      <c r="AG344" s="46"/>
      <c r="AH344" s="46"/>
      <c r="AI344" s="46"/>
      <c r="AJ344" s="46"/>
    </row>
    <row r="345" ht="22.5" customHeight="1">
      <c r="A345" s="27">
        <v>46084.0</v>
      </c>
      <c r="B345" s="34" t="str">
        <f t="array" ref="B345">TEXT(A345, "MM-YYYY")</f>
        <v>03-2026</v>
      </c>
      <c r="C345" s="39" t="s">
        <v>769</v>
      </c>
      <c r="D345" s="36" t="s">
        <v>210</v>
      </c>
      <c r="E345" s="36" t="s">
        <v>531</v>
      </c>
      <c r="F345" s="29" t="b">
        <v>1</v>
      </c>
      <c r="G345" s="36" t="s">
        <v>214</v>
      </c>
      <c r="H345" s="36" t="s">
        <v>1413</v>
      </c>
      <c r="I345" s="39"/>
      <c r="J345" s="43"/>
      <c r="K345" s="37" t="s">
        <v>359</v>
      </c>
      <c r="L345" s="37" t="s">
        <v>2275</v>
      </c>
      <c r="M345" s="37" t="s">
        <v>194</v>
      </c>
      <c r="N345" s="37" t="s">
        <v>194</v>
      </c>
      <c r="O345" s="37" t="s">
        <v>199</v>
      </c>
      <c r="P345" s="37" t="s">
        <v>201</v>
      </c>
      <c r="Q345" s="41">
        <v>46057.0</v>
      </c>
      <c r="R345" s="42">
        <v>2.0</v>
      </c>
      <c r="S345" s="29"/>
      <c r="T345" s="37" t="s">
        <v>2252</v>
      </c>
      <c r="U345" s="45" t="str">
        <f>IF(records_2[Type]="Room",records_2[roomNo],records_2[roomNo]&amp;"-"&amp;SUBSTITUTE(RIGHT(records_2[roomNo]&amp;records_2[Type],2),"-",""))</f>
        <v>16-1-109</v>
      </c>
      <c r="V345" s="47" t="str">
        <f t="array" ref="V345">_xlfn.XLOOKUP(records_2[ID], dAir[roomNo], dAir[roomName])</f>
        <v>DRYING</v>
      </c>
      <c r="W345" s="47" t="str">
        <f t="array" ref="W345">_xlfn.XLOOKUP(records_2[ID], dAir[roomNo], dAir[building])</f>
        <v>Building 16</v>
      </c>
      <c r="X345" s="47" t="str">
        <f t="array" ref="X345">_xlfn.XLOOKUP(records_2[ID], dAir[roomNo], dAir[floor])</f>
        <v>Floor 1</v>
      </c>
      <c r="Y345" s="45" t="str">
        <f t="array" ref="Y345">_xlfn.XLOOKUP(records_2[ID], dAir[roomNo], dAir[Class])</f>
        <v>C</v>
      </c>
      <c r="Z345" s="45">
        <f t="array" ref="Z345">_xlfn.XLOOKUP(records_2[Method]&amp;"-"&amp;records_2[Class], dAirSpec[ID], dAirSpec[Spec])</f>
        <v>100</v>
      </c>
      <c r="AA345" s="45" t="str">
        <f t="array" ref="AA345">_xlfn.XLOOKUP(records_2[Method]&amp;"-"&amp;records_2[Class], dAirSpec[ID], dAirSpec[Unit])</f>
        <v>cfu/m3</v>
      </c>
      <c r="AB345" s="45">
        <f t="array" ref="AB345">if(R345="","", if(records_2[Method]="Active Air",_xlfn.xlookup(records_2[ColonyCount]&amp;records_2[AirSampler],feller[code],feller[Vc]),records_2[ColonyCount]))</f>
        <v>2</v>
      </c>
      <c r="AC345" s="60" t="b">
        <f t="shared" si="1"/>
        <v>1</v>
      </c>
      <c r="AD345" s="61" t="b">
        <v>0</v>
      </c>
      <c r="AE345" s="32" t="s">
        <v>280</v>
      </c>
      <c r="AF345" s="46"/>
      <c r="AG345" s="46"/>
      <c r="AH345" s="46"/>
      <c r="AI345" s="46"/>
      <c r="AJ345" s="46"/>
    </row>
    <row r="346" ht="22.5" customHeight="1">
      <c r="A346" s="27">
        <v>46084.0</v>
      </c>
      <c r="B346" s="34" t="str">
        <f t="array" ref="B346">TEXT(A346, "MM-YYYY")</f>
        <v>03-2026</v>
      </c>
      <c r="C346" s="39" t="s">
        <v>1024</v>
      </c>
      <c r="D346" s="36" t="s">
        <v>210</v>
      </c>
      <c r="E346" s="36" t="s">
        <v>531</v>
      </c>
      <c r="F346" s="29" t="b">
        <v>1</v>
      </c>
      <c r="G346" s="36" t="s">
        <v>214</v>
      </c>
      <c r="H346" s="36" t="s">
        <v>1413</v>
      </c>
      <c r="I346" s="39"/>
      <c r="J346" s="43"/>
      <c r="K346" s="37" t="s">
        <v>359</v>
      </c>
      <c r="L346" s="37" t="s">
        <v>817</v>
      </c>
      <c r="M346" s="37" t="s">
        <v>194</v>
      </c>
      <c r="N346" s="37" t="s">
        <v>194</v>
      </c>
      <c r="O346" s="37" t="s">
        <v>199</v>
      </c>
      <c r="P346" s="37" t="s">
        <v>201</v>
      </c>
      <c r="Q346" s="41">
        <v>46057.0</v>
      </c>
      <c r="R346" s="42">
        <v>6.0</v>
      </c>
      <c r="S346" s="29"/>
      <c r="T346" s="37" t="s">
        <v>2252</v>
      </c>
      <c r="U346" s="45" t="str">
        <f>IF(records_2[Type]="Room",records_2[roomNo],records_2[roomNo]&amp;"-"&amp;SUBSTITUTE(RIGHT(records_2[roomNo]&amp;records_2[Type],2),"-",""))</f>
        <v>16-1-110</v>
      </c>
      <c r="V346" s="47" t="str">
        <f t="array" ref="V346">_xlfn.XLOOKUP(records_2[ID], dAir[roomNo], dAir[roomName])</f>
        <v>DISINFECTANT PREPARATION</v>
      </c>
      <c r="W346" s="47" t="str">
        <f t="array" ref="W346">_xlfn.XLOOKUP(records_2[ID], dAir[roomNo], dAir[building])</f>
        <v>Building 16</v>
      </c>
      <c r="X346" s="47" t="str">
        <f t="array" ref="X346">_xlfn.XLOOKUP(records_2[ID], dAir[roomNo], dAir[floor])</f>
        <v>Floor 1</v>
      </c>
      <c r="Y346" s="45" t="str">
        <f t="array" ref="Y346">_xlfn.XLOOKUP(records_2[ID], dAir[roomNo], dAir[Class])</f>
        <v>C</v>
      </c>
      <c r="Z346" s="45">
        <f t="array" ref="Z346">_xlfn.XLOOKUP(records_2[Method]&amp;"-"&amp;records_2[Class], dAirSpec[ID], dAirSpec[Spec])</f>
        <v>100</v>
      </c>
      <c r="AA346" s="45" t="str">
        <f t="array" ref="AA346">_xlfn.XLOOKUP(records_2[Method]&amp;"-"&amp;records_2[Class], dAirSpec[ID], dAirSpec[Unit])</f>
        <v>cfu/m3</v>
      </c>
      <c r="AB346" s="45">
        <f t="array" ref="AB346">if(R346="","", if(records_2[Method]="Active Air",_xlfn.xlookup(records_2[ColonyCount]&amp;records_2[AirSampler],feller[code],feller[Vc]),records_2[ColonyCount]))</f>
        <v>6</v>
      </c>
      <c r="AC346" s="60" t="b">
        <f t="shared" si="1"/>
        <v>1</v>
      </c>
      <c r="AD346" s="61" t="b">
        <v>0</v>
      </c>
      <c r="AE346" s="32" t="s">
        <v>280</v>
      </c>
      <c r="AF346" s="46"/>
      <c r="AG346" s="46"/>
      <c r="AH346" s="46"/>
      <c r="AI346" s="46"/>
      <c r="AJ346" s="46"/>
    </row>
    <row r="347" ht="22.5" customHeight="1">
      <c r="A347" s="27">
        <v>46084.0</v>
      </c>
      <c r="B347" s="34" t="str">
        <f t="array" ref="B347">TEXT(A347, "MM-YYYY")</f>
        <v>03-2026</v>
      </c>
      <c r="C347" s="39" t="s">
        <v>1500</v>
      </c>
      <c r="D347" s="36" t="s">
        <v>210</v>
      </c>
      <c r="E347" s="36" t="s">
        <v>531</v>
      </c>
      <c r="F347" s="29" t="b">
        <v>1</v>
      </c>
      <c r="G347" s="36" t="s">
        <v>214</v>
      </c>
      <c r="H347" s="36" t="s">
        <v>1413</v>
      </c>
      <c r="I347" s="39"/>
      <c r="J347" s="43"/>
      <c r="K347" s="37" t="s">
        <v>696</v>
      </c>
      <c r="L347" s="37" t="s">
        <v>403</v>
      </c>
      <c r="M347" s="37" t="s">
        <v>194</v>
      </c>
      <c r="N347" s="37" t="s">
        <v>194</v>
      </c>
      <c r="O347" s="37" t="s">
        <v>199</v>
      </c>
      <c r="P347" s="37" t="s">
        <v>201</v>
      </c>
      <c r="Q347" s="41">
        <v>46057.0</v>
      </c>
      <c r="R347" s="42">
        <v>0.0</v>
      </c>
      <c r="S347" s="29"/>
      <c r="T347" s="37" t="s">
        <v>2252</v>
      </c>
      <c r="U347" s="45" t="str">
        <f>IF(records_2[Type]="Room",records_2[roomNo],records_2[roomNo]&amp;"-"&amp;SUBSTITUTE(RIGHT(records_2[roomNo]&amp;records_2[Type],2),"-",""))</f>
        <v>16-1-111</v>
      </c>
      <c r="V347" s="47" t="str">
        <f t="array" ref="V347">_xlfn.XLOOKUP(records_2[ID], dAir[roomNo], dAir[roomName])</f>
        <v>COMPONENT PREPARATION</v>
      </c>
      <c r="W347" s="47" t="str">
        <f t="array" ref="W347">_xlfn.XLOOKUP(records_2[ID], dAir[roomNo], dAir[building])</f>
        <v>Building 16</v>
      </c>
      <c r="X347" s="47" t="str">
        <f t="array" ref="X347">_xlfn.XLOOKUP(records_2[ID], dAir[roomNo], dAir[floor])</f>
        <v>Floor 1</v>
      </c>
      <c r="Y347" s="45" t="str">
        <f t="array" ref="Y347">_xlfn.XLOOKUP(records_2[ID], dAir[roomNo], dAir[Class])</f>
        <v>C</v>
      </c>
      <c r="Z347" s="45">
        <f t="array" ref="Z347">_xlfn.XLOOKUP(records_2[Method]&amp;"-"&amp;records_2[Class], dAirSpec[ID], dAirSpec[Spec])</f>
        <v>100</v>
      </c>
      <c r="AA347" s="45" t="str">
        <f t="array" ref="AA347">_xlfn.XLOOKUP(records_2[Method]&amp;"-"&amp;records_2[Class], dAirSpec[ID], dAirSpec[Unit])</f>
        <v>cfu/m3</v>
      </c>
      <c r="AB347" s="45">
        <f t="array" ref="AB347">if(R347="","", if(records_2[Method]="Active Air",_xlfn.xlookup(records_2[ColonyCount]&amp;records_2[AirSampler],feller[code],feller[Vc]),records_2[ColonyCount]))</f>
        <v>0</v>
      </c>
      <c r="AC347" s="60" t="b">
        <f t="shared" si="1"/>
        <v>1</v>
      </c>
      <c r="AD347" s="61" t="b">
        <v>0</v>
      </c>
      <c r="AE347" s="32" t="s">
        <v>280</v>
      </c>
      <c r="AF347" s="46"/>
      <c r="AG347" s="46"/>
      <c r="AH347" s="46"/>
      <c r="AI347" s="46"/>
      <c r="AJ347" s="46"/>
    </row>
    <row r="348" ht="22.5" customHeight="1">
      <c r="A348" s="27">
        <v>46084.0</v>
      </c>
      <c r="B348" s="34" t="str">
        <f t="array" ref="B348">TEXT(A348, "MM-YYYY")</f>
        <v>03-2026</v>
      </c>
      <c r="C348" s="39" t="s">
        <v>1502</v>
      </c>
      <c r="D348" s="36" t="s">
        <v>210</v>
      </c>
      <c r="E348" s="36" t="s">
        <v>531</v>
      </c>
      <c r="F348" s="29" t="b">
        <v>1</v>
      </c>
      <c r="G348" s="36" t="s">
        <v>214</v>
      </c>
      <c r="H348" s="36" t="s">
        <v>1413</v>
      </c>
      <c r="I348" s="39"/>
      <c r="J348" s="43"/>
      <c r="K348" s="37" t="s">
        <v>569</v>
      </c>
      <c r="L348" s="37" t="s">
        <v>2265</v>
      </c>
      <c r="M348" s="37" t="s">
        <v>194</v>
      </c>
      <c r="N348" s="37" t="s">
        <v>194</v>
      </c>
      <c r="O348" s="37" t="s">
        <v>199</v>
      </c>
      <c r="P348" s="37" t="s">
        <v>201</v>
      </c>
      <c r="Q348" s="41">
        <v>46057.0</v>
      </c>
      <c r="R348" s="42">
        <v>3.0</v>
      </c>
      <c r="S348" s="29" t="s">
        <v>1043</v>
      </c>
      <c r="T348" s="37" t="s">
        <v>2252</v>
      </c>
      <c r="U348" s="45" t="str">
        <f>IF(records_2[Type]="Room",records_2[roomNo],records_2[roomNo]&amp;"-"&amp;SUBSTITUTE(RIGHT(records_2[roomNo]&amp;records_2[Type],2),"-",""))</f>
        <v>16-1-112</v>
      </c>
      <c r="V348" s="47" t="str">
        <f t="array" ref="V348">_xlfn.XLOOKUP(records_2[ID], dAir[roomNo], dAir[roomName])</f>
        <v>PASSAGE</v>
      </c>
      <c r="W348" s="47" t="str">
        <f t="array" ref="W348">_xlfn.XLOOKUP(records_2[ID], dAir[roomNo], dAir[building])</f>
        <v>Building 16</v>
      </c>
      <c r="X348" s="47" t="str">
        <f t="array" ref="X348">_xlfn.XLOOKUP(records_2[ID], dAir[roomNo], dAir[floor])</f>
        <v>Floor 1</v>
      </c>
      <c r="Y348" s="45" t="str">
        <f t="array" ref="Y348">_xlfn.XLOOKUP(records_2[ID], dAir[roomNo], dAir[Class])</f>
        <v>C</v>
      </c>
      <c r="Z348" s="45">
        <f t="array" ref="Z348">_xlfn.XLOOKUP(records_2[Method]&amp;"-"&amp;records_2[Class], dAirSpec[ID], dAirSpec[Spec])</f>
        <v>100</v>
      </c>
      <c r="AA348" s="45" t="str">
        <f t="array" ref="AA348">_xlfn.XLOOKUP(records_2[Method]&amp;"-"&amp;records_2[Class], dAirSpec[ID], dAirSpec[Unit])</f>
        <v>cfu/m3</v>
      </c>
      <c r="AB348" s="45">
        <f t="array" ref="AB348">if(R348="","", if(records_2[Method]="Active Air",_xlfn.xlookup(records_2[ColonyCount]&amp;records_2[AirSampler],feller[code],feller[Vc]),records_2[ColonyCount]))</f>
        <v>3</v>
      </c>
      <c r="AC348" s="60" t="b">
        <f t="shared" si="1"/>
        <v>1</v>
      </c>
      <c r="AD348" s="61" t="b">
        <v>0</v>
      </c>
      <c r="AE348" s="32" t="s">
        <v>280</v>
      </c>
      <c r="AF348" s="46"/>
      <c r="AG348" s="46"/>
      <c r="AH348" s="46"/>
      <c r="AI348" s="46"/>
      <c r="AJ348" s="46"/>
    </row>
    <row r="349" ht="22.5" customHeight="1">
      <c r="A349" s="27">
        <v>46084.0</v>
      </c>
      <c r="B349" s="34" t="str">
        <f t="array" ref="B349">TEXT(A349, "MM-YYYY")</f>
        <v>03-2026</v>
      </c>
      <c r="C349" s="39" t="s">
        <v>1503</v>
      </c>
      <c r="D349" s="36" t="s">
        <v>210</v>
      </c>
      <c r="E349" s="36" t="s">
        <v>531</v>
      </c>
      <c r="F349" s="29" t="b">
        <v>1</v>
      </c>
      <c r="G349" s="36" t="s">
        <v>214</v>
      </c>
      <c r="H349" s="36" t="s">
        <v>757</v>
      </c>
      <c r="I349" s="39"/>
      <c r="J349" s="43"/>
      <c r="K349" s="37" t="s">
        <v>344</v>
      </c>
      <c r="L349" s="37" t="s">
        <v>1856</v>
      </c>
      <c r="M349" s="37" t="s">
        <v>194</v>
      </c>
      <c r="N349" s="37" t="s">
        <v>194</v>
      </c>
      <c r="O349" s="37" t="s">
        <v>199</v>
      </c>
      <c r="P349" s="37" t="s">
        <v>201</v>
      </c>
      <c r="Q349" s="41">
        <v>46057.0</v>
      </c>
      <c r="R349" s="42">
        <v>3.0</v>
      </c>
      <c r="S349" s="29"/>
      <c r="T349" s="37" t="s">
        <v>2252</v>
      </c>
      <c r="U349" s="45" t="str">
        <f>IF(records_2[Type]="Room",records_2[roomNo],records_2[roomNo]&amp;"-"&amp;SUBSTITUTE(RIGHT(records_2[roomNo]&amp;records_2[Type],2),"-",""))</f>
        <v>16-1-113</v>
      </c>
      <c r="V349" s="47" t="str">
        <f t="array" ref="V349">_xlfn.XLOOKUP(records_2[ID], dAir[roomNo], dAir[roomName])</f>
        <v>AIRLOCK</v>
      </c>
      <c r="W349" s="47" t="str">
        <f t="array" ref="W349">_xlfn.XLOOKUP(records_2[ID], dAir[roomNo], dAir[building])</f>
        <v>Building 16</v>
      </c>
      <c r="X349" s="47" t="str">
        <f t="array" ref="X349">_xlfn.XLOOKUP(records_2[ID], dAir[roomNo], dAir[floor])</f>
        <v>Floor 1</v>
      </c>
      <c r="Y349" s="45" t="str">
        <f t="array" ref="Y349">_xlfn.XLOOKUP(records_2[ID], dAir[roomNo], dAir[Class])</f>
        <v>C</v>
      </c>
      <c r="Z349" s="45">
        <f t="array" ref="Z349">_xlfn.XLOOKUP(records_2[Method]&amp;"-"&amp;records_2[Class], dAirSpec[ID], dAirSpec[Spec])</f>
        <v>100</v>
      </c>
      <c r="AA349" s="45" t="str">
        <f t="array" ref="AA349">_xlfn.XLOOKUP(records_2[Method]&amp;"-"&amp;records_2[Class], dAirSpec[ID], dAirSpec[Unit])</f>
        <v>cfu/m3</v>
      </c>
      <c r="AB349" s="45">
        <f t="array" ref="AB349">if(R349="","", if(records_2[Method]="Active Air",_xlfn.xlookup(records_2[ColonyCount]&amp;records_2[AirSampler],feller[code],feller[Vc]),records_2[ColonyCount]))</f>
        <v>3</v>
      </c>
      <c r="AC349" s="60" t="b">
        <f t="shared" si="1"/>
        <v>1</v>
      </c>
      <c r="AD349" s="61" t="b">
        <v>0</v>
      </c>
      <c r="AE349" s="32" t="s">
        <v>280</v>
      </c>
      <c r="AF349" s="46"/>
      <c r="AG349" s="46"/>
      <c r="AH349" s="46"/>
      <c r="AI349" s="46"/>
      <c r="AJ349" s="46"/>
    </row>
    <row r="350" ht="22.5" customHeight="1">
      <c r="A350" s="27">
        <v>46084.0</v>
      </c>
      <c r="B350" s="34" t="str">
        <f t="array" ref="B350">TEXT(A350, "MM-YYYY")</f>
        <v>03-2026</v>
      </c>
      <c r="C350" s="39" t="s">
        <v>776</v>
      </c>
      <c r="D350" s="36" t="s">
        <v>210</v>
      </c>
      <c r="E350" s="36" t="s">
        <v>531</v>
      </c>
      <c r="F350" s="29" t="b">
        <v>1</v>
      </c>
      <c r="G350" s="36" t="s">
        <v>214</v>
      </c>
      <c r="H350" s="36" t="s">
        <v>757</v>
      </c>
      <c r="I350" s="39"/>
      <c r="J350" s="43"/>
      <c r="K350" s="37" t="s">
        <v>344</v>
      </c>
      <c r="L350" s="37" t="s">
        <v>2039</v>
      </c>
      <c r="M350" s="37" t="s">
        <v>194</v>
      </c>
      <c r="N350" s="37" t="s">
        <v>194</v>
      </c>
      <c r="O350" s="37" t="s">
        <v>199</v>
      </c>
      <c r="P350" s="37" t="s">
        <v>201</v>
      </c>
      <c r="Q350" s="41">
        <v>46057.0</v>
      </c>
      <c r="R350" s="42">
        <v>0.0</v>
      </c>
      <c r="S350" s="29"/>
      <c r="T350" s="37" t="s">
        <v>2252</v>
      </c>
      <c r="U350" s="45" t="str">
        <f>IF(records_2[Type]="Room",records_2[roomNo],records_2[roomNo]&amp;"-"&amp;SUBSTITUTE(RIGHT(records_2[roomNo]&amp;records_2[Type],2),"-",""))</f>
        <v>16-1-114</v>
      </c>
      <c r="V350" s="47" t="str">
        <f t="array" ref="V350">_xlfn.XLOOKUP(records_2[ID], dAir[roomNo], dAir[roomName])</f>
        <v>COMPOUNDING 2</v>
      </c>
      <c r="W350" s="47" t="str">
        <f t="array" ref="W350">_xlfn.XLOOKUP(records_2[ID], dAir[roomNo], dAir[building])</f>
        <v>Building 16</v>
      </c>
      <c r="X350" s="47" t="str">
        <f t="array" ref="X350">_xlfn.XLOOKUP(records_2[ID], dAir[roomNo], dAir[floor])</f>
        <v>Floor 1</v>
      </c>
      <c r="Y350" s="45" t="str">
        <f t="array" ref="Y350">_xlfn.XLOOKUP(records_2[ID], dAir[roomNo], dAir[Class])</f>
        <v>C</v>
      </c>
      <c r="Z350" s="45">
        <f t="array" ref="Z350">_xlfn.XLOOKUP(records_2[Method]&amp;"-"&amp;records_2[Class], dAirSpec[ID], dAirSpec[Spec])</f>
        <v>100</v>
      </c>
      <c r="AA350" s="45" t="str">
        <f t="array" ref="AA350">_xlfn.XLOOKUP(records_2[Method]&amp;"-"&amp;records_2[Class], dAirSpec[ID], dAirSpec[Unit])</f>
        <v>cfu/m3</v>
      </c>
      <c r="AB350" s="45">
        <f t="array" ref="AB350">if(R350="","", if(records_2[Method]="Active Air",_xlfn.xlookup(records_2[ColonyCount]&amp;records_2[AirSampler],feller[code],feller[Vc]),records_2[ColonyCount]))</f>
        <v>0</v>
      </c>
      <c r="AC350" s="60" t="b">
        <f t="shared" si="1"/>
        <v>1</v>
      </c>
      <c r="AD350" s="61" t="b">
        <v>0</v>
      </c>
      <c r="AE350" s="32" t="s">
        <v>280</v>
      </c>
      <c r="AF350" s="46"/>
      <c r="AG350" s="46"/>
      <c r="AH350" s="46"/>
      <c r="AI350" s="46"/>
      <c r="AJ350" s="46"/>
    </row>
    <row r="351" ht="22.5" customHeight="1">
      <c r="A351" s="27">
        <v>46084.0</v>
      </c>
      <c r="B351" s="34" t="str">
        <f t="array" ref="B351">TEXT(A351, "MM-YYYY")</f>
        <v>03-2026</v>
      </c>
      <c r="C351" s="39" t="s">
        <v>1504</v>
      </c>
      <c r="D351" s="36" t="s">
        <v>210</v>
      </c>
      <c r="E351" s="36" t="s">
        <v>531</v>
      </c>
      <c r="F351" s="29" t="b">
        <v>1</v>
      </c>
      <c r="G351" s="36" t="s">
        <v>214</v>
      </c>
      <c r="H351" s="36" t="s">
        <v>1413</v>
      </c>
      <c r="I351" s="39"/>
      <c r="J351" s="43"/>
      <c r="K351" s="37" t="s">
        <v>591</v>
      </c>
      <c r="L351" s="37" t="s">
        <v>2276</v>
      </c>
      <c r="M351" s="37" t="s">
        <v>194</v>
      </c>
      <c r="N351" s="37" t="s">
        <v>194</v>
      </c>
      <c r="O351" s="37" t="s">
        <v>199</v>
      </c>
      <c r="P351" s="37" t="s">
        <v>201</v>
      </c>
      <c r="Q351" s="41">
        <v>46057.0</v>
      </c>
      <c r="R351" s="42">
        <v>2.0</v>
      </c>
      <c r="S351" s="29"/>
      <c r="T351" s="37" t="s">
        <v>2252</v>
      </c>
      <c r="U351" s="45" t="str">
        <f>IF(records_2[Type]="Room",records_2[roomNo],records_2[roomNo]&amp;"-"&amp;SUBSTITUTE(RIGHT(records_2[roomNo]&amp;records_2[Type],2),"-",""))</f>
        <v>16-1-124</v>
      </c>
      <c r="V351" s="47" t="str">
        <f t="array" ref="V351">_xlfn.XLOOKUP(records_2[ID], dAir[roomNo], dAir[roomName])</f>
        <v>CORRIDOR</v>
      </c>
      <c r="W351" s="47" t="str">
        <f t="array" ref="W351">_xlfn.XLOOKUP(records_2[ID], dAir[roomNo], dAir[building])</f>
        <v>Building 16</v>
      </c>
      <c r="X351" s="47" t="str">
        <f t="array" ref="X351">_xlfn.XLOOKUP(records_2[ID], dAir[roomNo], dAir[floor])</f>
        <v>Floor 1</v>
      </c>
      <c r="Y351" s="45" t="str">
        <f t="array" ref="Y351">_xlfn.XLOOKUP(records_2[ID], dAir[roomNo], dAir[Class])</f>
        <v>C</v>
      </c>
      <c r="Z351" s="45">
        <f t="array" ref="Z351">_xlfn.XLOOKUP(records_2[Method]&amp;"-"&amp;records_2[Class], dAirSpec[ID], dAirSpec[Spec])</f>
        <v>100</v>
      </c>
      <c r="AA351" s="45" t="str">
        <f t="array" ref="AA351">_xlfn.XLOOKUP(records_2[Method]&amp;"-"&amp;records_2[Class], dAirSpec[ID], dAirSpec[Unit])</f>
        <v>cfu/m3</v>
      </c>
      <c r="AB351" s="45">
        <f t="array" ref="AB351">if(R351="","", if(records_2[Method]="Active Air",_xlfn.xlookup(records_2[ColonyCount]&amp;records_2[AirSampler],feller[code],feller[Vc]),records_2[ColonyCount]))</f>
        <v>2</v>
      </c>
      <c r="AC351" s="60" t="b">
        <f t="shared" si="1"/>
        <v>1</v>
      </c>
      <c r="AD351" s="61" t="b">
        <v>0</v>
      </c>
      <c r="AE351" s="32" t="s">
        <v>280</v>
      </c>
      <c r="AF351" s="46"/>
      <c r="AG351" s="46"/>
      <c r="AH351" s="46"/>
      <c r="AI351" s="46"/>
      <c r="AJ351" s="46"/>
    </row>
    <row r="352" ht="22.5" customHeight="1">
      <c r="A352" s="27">
        <v>46084.0</v>
      </c>
      <c r="B352" s="34" t="str">
        <f t="array" ref="B352">TEXT(A352, "MM-YYYY")</f>
        <v>03-2026</v>
      </c>
      <c r="C352" s="39" t="s">
        <v>1505</v>
      </c>
      <c r="D352" s="36" t="s">
        <v>210</v>
      </c>
      <c r="E352" s="36" t="s">
        <v>531</v>
      </c>
      <c r="F352" s="29" t="b">
        <v>1</v>
      </c>
      <c r="G352" s="36" t="s">
        <v>214</v>
      </c>
      <c r="H352" s="36" t="s">
        <v>1413</v>
      </c>
      <c r="I352" s="39"/>
      <c r="J352" s="43"/>
      <c r="K352" s="37" t="s">
        <v>194</v>
      </c>
      <c r="L352" s="37" t="s">
        <v>194</v>
      </c>
      <c r="M352" s="37" t="s">
        <v>194</v>
      </c>
      <c r="N352" s="37" t="s">
        <v>194</v>
      </c>
      <c r="O352" s="37" t="s">
        <v>199</v>
      </c>
      <c r="P352" s="37" t="s">
        <v>201</v>
      </c>
      <c r="Q352" s="41">
        <v>46057.0</v>
      </c>
      <c r="R352" s="42">
        <v>4.0</v>
      </c>
      <c r="S352" s="29"/>
      <c r="T352" s="37" t="s">
        <v>2252</v>
      </c>
      <c r="U352" s="45" t="str">
        <f>IF(records_2[Type]="Room",records_2[roomNo],records_2[roomNo]&amp;"-"&amp;SUBSTITUTE(RIGHT(records_2[roomNo]&amp;records_2[Type],2),"-",""))</f>
        <v>16-1-125</v>
      </c>
      <c r="V352" s="47" t="str">
        <f t="array" ref="V352">_xlfn.XLOOKUP(records_2[ID], dAir[roomNo], dAir[roomName])</f>
        <v>CORRIDOR</v>
      </c>
      <c r="W352" s="47" t="str">
        <f t="array" ref="W352">_xlfn.XLOOKUP(records_2[ID], dAir[roomNo], dAir[building])</f>
        <v>Building 16</v>
      </c>
      <c r="X352" s="47" t="str">
        <f t="array" ref="X352">_xlfn.XLOOKUP(records_2[ID], dAir[roomNo], dAir[floor])</f>
        <v>Floor 1</v>
      </c>
      <c r="Y352" s="45" t="str">
        <f t="array" ref="Y352">_xlfn.XLOOKUP(records_2[ID], dAir[roomNo], dAir[Class])</f>
        <v>C</v>
      </c>
      <c r="Z352" s="45">
        <f t="array" ref="Z352">_xlfn.XLOOKUP(records_2[Method]&amp;"-"&amp;records_2[Class], dAirSpec[ID], dAirSpec[Spec])</f>
        <v>100</v>
      </c>
      <c r="AA352" s="45" t="str">
        <f t="array" ref="AA352">_xlfn.XLOOKUP(records_2[Method]&amp;"-"&amp;records_2[Class], dAirSpec[ID], dAirSpec[Unit])</f>
        <v>cfu/m3</v>
      </c>
      <c r="AB352" s="45">
        <f t="array" ref="AB352">if(R352="","", if(records_2[Method]="Active Air",_xlfn.xlookup(records_2[ColonyCount]&amp;records_2[AirSampler],feller[code],feller[Vc]),records_2[ColonyCount]))</f>
        <v>4</v>
      </c>
      <c r="AC352" s="60" t="b">
        <f t="shared" si="1"/>
        <v>1</v>
      </c>
      <c r="AD352" s="61" t="b">
        <v>0</v>
      </c>
      <c r="AE352" s="32" t="s">
        <v>280</v>
      </c>
      <c r="AF352" s="46"/>
      <c r="AG352" s="46"/>
      <c r="AH352" s="46"/>
      <c r="AI352" s="46"/>
      <c r="AJ352" s="46"/>
    </row>
    <row r="353" ht="22.5" customHeight="1">
      <c r="A353" s="68">
        <v>46086.0</v>
      </c>
      <c r="B353" s="70" t="str">
        <f t="array" ref="B353">TEXT(A353, "MM-YYYY")</f>
        <v>03-2026</v>
      </c>
      <c r="C353" s="70" t="s">
        <v>1315</v>
      </c>
      <c r="D353" s="71" t="s">
        <v>210</v>
      </c>
      <c r="E353" s="71" t="s">
        <v>213</v>
      </c>
      <c r="F353" s="29" t="b">
        <v>1</v>
      </c>
      <c r="G353" s="71" t="s">
        <v>214</v>
      </c>
      <c r="H353" s="71" t="s">
        <v>215</v>
      </c>
      <c r="I353" s="72"/>
      <c r="J353" s="189"/>
      <c r="K353" s="190" t="s">
        <v>317</v>
      </c>
      <c r="L353" s="190" t="s">
        <v>253</v>
      </c>
      <c r="M353" s="190" t="s">
        <v>336</v>
      </c>
      <c r="N353" s="190" t="s">
        <v>2277</v>
      </c>
      <c r="O353" s="190" t="s">
        <v>2278</v>
      </c>
      <c r="P353" s="190" t="s">
        <v>2279</v>
      </c>
      <c r="Q353" s="191">
        <v>46138.0</v>
      </c>
      <c r="R353" s="192">
        <v>0.0</v>
      </c>
      <c r="S353" s="193"/>
      <c r="T353" s="190" t="s">
        <v>2280</v>
      </c>
      <c r="U353" s="194" t="str">
        <f>IF(records_2[Type]="Room",records_2[roomNo],records_2[roomNo]&amp;"-"&amp;SUBSTITUTE(RIGHT(records_2[roomNo]&amp;records_2[Type],2),"-",""))</f>
        <v>11-1-012</v>
      </c>
      <c r="V353" s="194" t="str">
        <f t="array" ref="V353">_xlfn.XLOOKUP(records_2[ID], dAir[roomNo], dAir[roomName])</f>
        <v>MAL 2</v>
      </c>
      <c r="W353" s="194" t="str">
        <f t="array" ref="W353">_xlfn.XLOOKUP(records_2[ID], dAir[roomNo], dAir[building])</f>
        <v>Building 11</v>
      </c>
      <c r="X353" s="194" t="str">
        <f t="array" ref="X353">_xlfn.XLOOKUP(records_2[ID], dAir[roomNo], dAir[floor])</f>
        <v>Floor 1</v>
      </c>
      <c r="Y353" s="195" t="str">
        <f t="array" ref="Y353">_xlfn.XLOOKUP(records_2[ID], dAir[roomNo], dAir[Class])</f>
        <v>D</v>
      </c>
      <c r="Z353" s="195">
        <f t="array" ref="Z353">_xlfn.XLOOKUP(records_2[Method]&amp;"-"&amp;records_2[Class], dAirSpec[ID], dAirSpec[Spec])</f>
        <v>100</v>
      </c>
      <c r="AA353" s="195" t="str">
        <f t="array" ref="AA353">_xlfn.XLOOKUP(records_2[Method]&amp;"-"&amp;records_2[Class], dAirSpec[ID], dAirSpec[Unit])</f>
        <v>cfu/plate</v>
      </c>
      <c r="AB353" s="196">
        <f t="array" ref="AB353">if(R353="","", if(records_2[Method]="Active Air",_xlfn.xlookup(records_2[ColonyCount]&amp;records_2[AirSampler],feller[code],feller[Vc]),records_2[ColonyCount]))</f>
        <v>0</v>
      </c>
      <c r="AC353" s="197" t="b">
        <f t="shared" si="1"/>
        <v>1</v>
      </c>
      <c r="AD353" s="193" t="b">
        <v>0</v>
      </c>
      <c r="AE353" s="72" t="s">
        <v>280</v>
      </c>
      <c r="AF353" s="198"/>
      <c r="AG353" s="198"/>
      <c r="AH353" s="198"/>
      <c r="AI353" s="198"/>
      <c r="AJ353" s="198"/>
    </row>
    <row r="354" ht="22.5" customHeight="1">
      <c r="A354" s="27">
        <v>46086.0</v>
      </c>
      <c r="B354" s="34" t="str">
        <f t="array" ref="B354">TEXT(A354, "MM-YYYY")</f>
        <v>03-2026</v>
      </c>
      <c r="C354" s="34" t="s">
        <v>1319</v>
      </c>
      <c r="D354" s="36" t="s">
        <v>210</v>
      </c>
      <c r="E354" s="36" t="s">
        <v>213</v>
      </c>
      <c r="F354" s="29" t="b">
        <v>1</v>
      </c>
      <c r="G354" s="36" t="s">
        <v>214</v>
      </c>
      <c r="H354" s="36" t="s">
        <v>215</v>
      </c>
      <c r="I354" s="39"/>
      <c r="J354" s="43"/>
      <c r="K354" s="37" t="s">
        <v>798</v>
      </c>
      <c r="L354" s="37" t="s">
        <v>1858</v>
      </c>
      <c r="M354" s="37" t="s">
        <v>811</v>
      </c>
      <c r="N354" s="37" t="s">
        <v>2281</v>
      </c>
      <c r="O354" s="37" t="s">
        <v>2278</v>
      </c>
      <c r="P354" s="37" t="s">
        <v>2279</v>
      </c>
      <c r="Q354" s="41">
        <v>46138.0</v>
      </c>
      <c r="R354" s="42">
        <v>28.0</v>
      </c>
      <c r="S354" s="29"/>
      <c r="T354" s="37" t="s">
        <v>2280</v>
      </c>
      <c r="U354" s="47" t="str">
        <f>IF(records_2[Type]="Room",records_2[roomNo],records_2[roomNo]&amp;"-"&amp;SUBSTITUTE(RIGHT(records_2[roomNo]&amp;records_2[Type],2),"-",""))</f>
        <v>11-1-013</v>
      </c>
      <c r="V354" s="47" t="str">
        <f t="array" ref="V354">_xlfn.XLOOKUP(records_2[ID], dAir[roomNo], dAir[roomName])</f>
        <v>PAL 2</v>
      </c>
      <c r="W354" s="47" t="str">
        <f t="array" ref="W354">_xlfn.XLOOKUP(records_2[ID], dAir[roomNo], dAir[building])</f>
        <v>Building 11</v>
      </c>
      <c r="X354" s="47" t="str">
        <f t="array" ref="X354">_xlfn.XLOOKUP(records_2[ID], dAir[roomNo], dAir[floor])</f>
        <v>Floor 1</v>
      </c>
      <c r="Y354" s="45" t="str">
        <f t="array" ref="Y354">_xlfn.XLOOKUP(records_2[ID], dAir[roomNo], dAir[Class])</f>
        <v>D</v>
      </c>
      <c r="Z354" s="45">
        <f t="array" ref="Z354">_xlfn.XLOOKUP(records_2[Method]&amp;"-"&amp;records_2[Class], dAirSpec[ID], dAirSpec[Spec])</f>
        <v>100</v>
      </c>
      <c r="AA354" s="45" t="str">
        <f t="array" ref="AA354">_xlfn.XLOOKUP(records_2[Method]&amp;"-"&amp;records_2[Class], dAirSpec[ID], dAirSpec[Unit])</f>
        <v>cfu/plate</v>
      </c>
      <c r="AB354" s="58">
        <f t="array" ref="AB354">if(R354="","", if(records_2[Method]="Active Air",_xlfn.xlookup(records_2[ColonyCount]&amp;records_2[AirSampler],feller[code],feller[Vc]),records_2[ColonyCount]))</f>
        <v>28</v>
      </c>
      <c r="AC354" s="60" t="b">
        <f t="shared" si="1"/>
        <v>1</v>
      </c>
      <c r="AD354" s="61" t="b">
        <v>0</v>
      </c>
      <c r="AE354" s="32" t="s">
        <v>280</v>
      </c>
      <c r="AF354" s="46"/>
      <c r="AG354" s="46"/>
      <c r="AH354" s="46"/>
      <c r="AI354" s="46"/>
      <c r="AJ354" s="46"/>
    </row>
    <row r="355" ht="22.5" customHeight="1">
      <c r="A355" s="27">
        <v>46086.0</v>
      </c>
      <c r="B355" s="34" t="str">
        <f t="array" ref="B355">TEXT(A355, "MM-YYYY")</f>
        <v>03-2026</v>
      </c>
      <c r="C355" s="34" t="s">
        <v>1321</v>
      </c>
      <c r="D355" s="36" t="s">
        <v>210</v>
      </c>
      <c r="E355" s="36" t="s">
        <v>213</v>
      </c>
      <c r="F355" s="29" t="b">
        <v>1</v>
      </c>
      <c r="G355" s="36" t="s">
        <v>214</v>
      </c>
      <c r="H355" s="36" t="s">
        <v>215</v>
      </c>
      <c r="I355" s="39"/>
      <c r="J355" s="43"/>
      <c r="K355" s="37" t="s">
        <v>377</v>
      </c>
      <c r="L355" s="37" t="s">
        <v>646</v>
      </c>
      <c r="M355" s="37" t="s">
        <v>262</v>
      </c>
      <c r="N355" s="37" t="s">
        <v>2283</v>
      </c>
      <c r="O355" s="37" t="s">
        <v>2278</v>
      </c>
      <c r="P355" s="37" t="s">
        <v>2279</v>
      </c>
      <c r="Q355" s="41">
        <v>46138.0</v>
      </c>
      <c r="R355" s="42">
        <v>3.0</v>
      </c>
      <c r="S355" s="29"/>
      <c r="T355" s="37" t="s">
        <v>2280</v>
      </c>
      <c r="U355" s="47" t="str">
        <f>IF(records_2[Type]="Room",records_2[roomNo],records_2[roomNo]&amp;"-"&amp;SUBSTITUTE(RIGHT(records_2[roomNo]&amp;records_2[Type],2),"-",""))</f>
        <v>11-1-014</v>
      </c>
      <c r="V355" s="47" t="str">
        <f t="array" ref="V355">_xlfn.XLOOKUP(records_2[ID], dAir[roomNo], dAir[roomName])</f>
        <v>PPM SAMPLING</v>
      </c>
      <c r="W355" s="47" t="str">
        <f t="array" ref="W355">_xlfn.XLOOKUP(records_2[ID], dAir[roomNo], dAir[building])</f>
        <v>Building 11</v>
      </c>
      <c r="X355" s="47" t="str">
        <f t="array" ref="X355">_xlfn.XLOOKUP(records_2[ID], dAir[roomNo], dAir[floor])</f>
        <v>Floor 1</v>
      </c>
      <c r="Y355" s="45" t="str">
        <f t="array" ref="Y355">_xlfn.XLOOKUP(records_2[ID], dAir[roomNo], dAir[Class])</f>
        <v>D</v>
      </c>
      <c r="Z355" s="45">
        <f t="array" ref="Z355">_xlfn.XLOOKUP(records_2[Method]&amp;"-"&amp;records_2[Class], dAirSpec[ID], dAirSpec[Spec])</f>
        <v>100</v>
      </c>
      <c r="AA355" s="45" t="str">
        <f t="array" ref="AA355">_xlfn.XLOOKUP(records_2[Method]&amp;"-"&amp;records_2[Class], dAirSpec[ID], dAirSpec[Unit])</f>
        <v>cfu/plate</v>
      </c>
      <c r="AB355" s="58">
        <f t="array" ref="AB355">if(R355="","", if(records_2[Method]="Active Air",_xlfn.xlookup(records_2[ColonyCount]&amp;records_2[AirSampler],feller[code],feller[Vc]),records_2[ColonyCount]))</f>
        <v>3</v>
      </c>
      <c r="AC355" s="60" t="b">
        <f t="shared" si="1"/>
        <v>1</v>
      </c>
      <c r="AD355" s="61" t="b">
        <v>0</v>
      </c>
      <c r="AE355" s="32" t="s">
        <v>280</v>
      </c>
      <c r="AF355" s="46"/>
      <c r="AG355" s="46"/>
      <c r="AH355" s="46"/>
      <c r="AI355" s="46"/>
      <c r="AJ355" s="46"/>
    </row>
    <row r="356" ht="22.5" customHeight="1">
      <c r="A356" s="27">
        <v>46086.0</v>
      </c>
      <c r="B356" s="34" t="str">
        <f t="array" ref="B356">TEXT(A356, "MM-YYYY")</f>
        <v>03-2026</v>
      </c>
      <c r="C356" s="34" t="s">
        <v>1321</v>
      </c>
      <c r="D356" s="36" t="s">
        <v>680</v>
      </c>
      <c r="E356" s="36" t="s">
        <v>531</v>
      </c>
      <c r="F356" s="29" t="b">
        <v>1</v>
      </c>
      <c r="G356" s="36" t="s">
        <v>214</v>
      </c>
      <c r="H356" s="36" t="s">
        <v>757</v>
      </c>
      <c r="I356" s="39"/>
      <c r="J356" s="43"/>
      <c r="K356" s="37" t="s">
        <v>377</v>
      </c>
      <c r="L356" s="37" t="s">
        <v>646</v>
      </c>
      <c r="M356" s="37" t="s">
        <v>262</v>
      </c>
      <c r="N356" s="37" t="s">
        <v>2285</v>
      </c>
      <c r="O356" s="37" t="s">
        <v>2278</v>
      </c>
      <c r="P356" s="37" t="s">
        <v>2279</v>
      </c>
      <c r="Q356" s="41">
        <v>46138.0</v>
      </c>
      <c r="R356" s="42">
        <v>5.0</v>
      </c>
      <c r="S356" s="29"/>
      <c r="T356" s="37" t="s">
        <v>2280</v>
      </c>
      <c r="U356" s="45" t="str">
        <f>IF(records_2[Type]="Room",records_2[roomNo],records_2[roomNo]&amp;"-"&amp;SUBSTITUTE(RIGHT(records_2[roomNo]&amp;records_2[Type],2),"-",""))</f>
        <v>11-1-014-B</v>
      </c>
      <c r="V356" s="47" t="str">
        <f t="array" ref="V356">_xlfn.XLOOKUP(records_2[ID], dAir[roomNo], dAir[roomName])</f>
        <v>PPM SAMPLING (Booth)</v>
      </c>
      <c r="W356" s="47" t="str">
        <f t="array" ref="W356">_xlfn.XLOOKUP(records_2[ID], dAir[roomNo], dAir[building])</f>
        <v>Building 11</v>
      </c>
      <c r="X356" s="47" t="str">
        <f t="array" ref="X356">_xlfn.XLOOKUP(records_2[ID], dAir[roomNo], dAir[floor])</f>
        <v>Floor 1</v>
      </c>
      <c r="Y356" s="45" t="str">
        <f t="array" ref="Y356">_xlfn.XLOOKUP(records_2[ID], dAir[roomNo], dAir[Class])</f>
        <v>D</v>
      </c>
      <c r="Z356" s="45">
        <f t="array" ref="Z356">_xlfn.XLOOKUP(records_2[Method]&amp;"-"&amp;records_2[Class], dAirSpec[ID], dAirSpec[Spec])</f>
        <v>200</v>
      </c>
      <c r="AA356" s="45" t="str">
        <f t="array" ref="AA356">_xlfn.XLOOKUP(records_2[Method]&amp;"-"&amp;records_2[Class], dAirSpec[ID], dAirSpec[Unit])</f>
        <v>cfu/m3</v>
      </c>
      <c r="AB356" s="45">
        <f t="array" ref="AB356">if(R356="","", if(records_2[Method]="Active Air",_xlfn.xlookup(records_2[ColonyCount]&amp;records_2[AirSampler],feller[code],feller[Vc]),records_2[ColonyCount]))</f>
        <v>5</v>
      </c>
      <c r="AC356" s="60" t="b">
        <f t="shared" si="1"/>
        <v>1</v>
      </c>
      <c r="AD356" s="61" t="b">
        <v>0</v>
      </c>
      <c r="AE356" s="32" t="s">
        <v>280</v>
      </c>
      <c r="AF356" s="46"/>
      <c r="AG356" s="46"/>
      <c r="AH356" s="46"/>
      <c r="AI356" s="46"/>
      <c r="AJ356" s="46"/>
    </row>
    <row r="357" ht="22.5" customHeight="1">
      <c r="A357" s="27">
        <v>46086.0</v>
      </c>
      <c r="B357" s="34" t="str">
        <f t="array" ref="B357">TEXT(A357, "MM-YYYY")</f>
        <v>03-2026</v>
      </c>
      <c r="C357" s="34" t="s">
        <v>1325</v>
      </c>
      <c r="D357" s="36" t="s">
        <v>210</v>
      </c>
      <c r="E357" s="36" t="s">
        <v>213</v>
      </c>
      <c r="F357" s="29" t="b">
        <v>1</v>
      </c>
      <c r="G357" s="36" t="s">
        <v>214</v>
      </c>
      <c r="H357" s="36" t="s">
        <v>215</v>
      </c>
      <c r="I357" s="39"/>
      <c r="J357" s="43"/>
      <c r="K357" s="37" t="s">
        <v>353</v>
      </c>
      <c r="L357" s="37" t="s">
        <v>842</v>
      </c>
      <c r="M357" s="37" t="s">
        <v>333</v>
      </c>
      <c r="N357" s="37" t="s">
        <v>2286</v>
      </c>
      <c r="O357" s="37" t="s">
        <v>2278</v>
      </c>
      <c r="P357" s="37" t="s">
        <v>2279</v>
      </c>
      <c r="Q357" s="41">
        <v>46138.0</v>
      </c>
      <c r="R357" s="42">
        <v>36.0</v>
      </c>
      <c r="S357" s="29"/>
      <c r="T357" s="37" t="s">
        <v>2280</v>
      </c>
      <c r="U357" s="47" t="str">
        <f>IF(records_2[Type]="Room",records_2[roomNo],records_2[roomNo]&amp;"-"&amp;SUBSTITUTE(RIGHT(records_2[roomNo]&amp;records_2[Type],2),"-",""))</f>
        <v>11-1-015</v>
      </c>
      <c r="V357" s="47" t="str">
        <f t="array" ref="V357">_xlfn.XLOOKUP(records_2[ID], dAir[roomNo], dAir[roomName])</f>
        <v>PAL-1</v>
      </c>
      <c r="W357" s="47" t="str">
        <f t="array" ref="W357">_xlfn.XLOOKUP(records_2[ID], dAir[roomNo], dAir[building])</f>
        <v>Building 11</v>
      </c>
      <c r="X357" s="47" t="str">
        <f t="array" ref="X357">_xlfn.XLOOKUP(records_2[ID], dAir[roomNo], dAir[floor])</f>
        <v>Floor 1</v>
      </c>
      <c r="Y357" s="45" t="str">
        <f t="array" ref="Y357">_xlfn.XLOOKUP(records_2[ID], dAir[roomNo], dAir[Class])</f>
        <v>D</v>
      </c>
      <c r="Z357" s="45">
        <f t="array" ref="Z357">_xlfn.XLOOKUP(records_2[Method]&amp;"-"&amp;records_2[Class], dAirSpec[ID], dAirSpec[Spec])</f>
        <v>100</v>
      </c>
      <c r="AA357" s="45" t="str">
        <f t="array" ref="AA357">_xlfn.XLOOKUP(records_2[Method]&amp;"-"&amp;records_2[Class], dAirSpec[ID], dAirSpec[Unit])</f>
        <v>cfu/plate</v>
      </c>
      <c r="AB357" s="58">
        <f t="array" ref="AB357">if(R357="","", if(records_2[Method]="Active Air",_xlfn.xlookup(records_2[ColonyCount]&amp;records_2[AirSampler],feller[code],feller[Vc]),records_2[ColonyCount]))</f>
        <v>36</v>
      </c>
      <c r="AC357" s="60" t="b">
        <f t="shared" si="1"/>
        <v>1</v>
      </c>
      <c r="AD357" s="61" t="b">
        <v>0</v>
      </c>
      <c r="AE357" s="32" t="s">
        <v>280</v>
      </c>
      <c r="AF357" s="46"/>
      <c r="AG357" s="46"/>
      <c r="AH357" s="46"/>
      <c r="AI357" s="46"/>
      <c r="AJ357" s="46"/>
    </row>
    <row r="358" ht="22.5" customHeight="1">
      <c r="A358" s="27">
        <v>46086.0</v>
      </c>
      <c r="B358" s="34" t="str">
        <f t="array" ref="B358">TEXT(A358, "MM-YYYY")</f>
        <v>03-2026</v>
      </c>
      <c r="C358" s="34" t="s">
        <v>1327</v>
      </c>
      <c r="D358" s="36" t="s">
        <v>210</v>
      </c>
      <c r="E358" s="36" t="s">
        <v>213</v>
      </c>
      <c r="F358" s="29" t="b">
        <v>1</v>
      </c>
      <c r="G358" s="36" t="s">
        <v>214</v>
      </c>
      <c r="H358" s="36" t="s">
        <v>215</v>
      </c>
      <c r="I358" s="39"/>
      <c r="J358" s="43"/>
      <c r="K358" s="37" t="s">
        <v>381</v>
      </c>
      <c r="L358" s="37" t="s">
        <v>439</v>
      </c>
      <c r="M358" s="37" t="s">
        <v>320</v>
      </c>
      <c r="N358" s="37" t="s">
        <v>2287</v>
      </c>
      <c r="O358" s="37" t="s">
        <v>2278</v>
      </c>
      <c r="P358" s="37" t="s">
        <v>2279</v>
      </c>
      <c r="Q358" s="41">
        <v>46138.0</v>
      </c>
      <c r="R358" s="42">
        <v>4.0</v>
      </c>
      <c r="S358" s="29"/>
      <c r="T358" s="37" t="s">
        <v>2280</v>
      </c>
      <c r="U358" s="47" t="str">
        <f>IF(records_2[Type]="Room",records_2[roomNo],records_2[roomNo]&amp;"-"&amp;SUBSTITUTE(RIGHT(records_2[roomNo]&amp;records_2[Type],2),"-",""))</f>
        <v>11-1-016</v>
      </c>
      <c r="V358" s="47" t="str">
        <f t="array" ref="V358">_xlfn.XLOOKUP(records_2[ID], dAir[roomNo], dAir[roomName])</f>
        <v>CORRIDOR</v>
      </c>
      <c r="W358" s="47" t="str">
        <f t="array" ref="W358">_xlfn.XLOOKUP(records_2[ID], dAir[roomNo], dAir[building])</f>
        <v>Building 11</v>
      </c>
      <c r="X358" s="47" t="str">
        <f t="array" ref="X358">_xlfn.XLOOKUP(records_2[ID], dAir[roomNo], dAir[floor])</f>
        <v>Floor 1</v>
      </c>
      <c r="Y358" s="45" t="str">
        <f t="array" ref="Y358">_xlfn.XLOOKUP(records_2[ID], dAir[roomNo], dAir[Class])</f>
        <v>D</v>
      </c>
      <c r="Z358" s="45">
        <f t="array" ref="Z358">_xlfn.XLOOKUP(records_2[Method]&amp;"-"&amp;records_2[Class], dAirSpec[ID], dAirSpec[Spec])</f>
        <v>100</v>
      </c>
      <c r="AA358" s="45" t="str">
        <f t="array" ref="AA358">_xlfn.XLOOKUP(records_2[Method]&amp;"-"&amp;records_2[Class], dAirSpec[ID], dAirSpec[Unit])</f>
        <v>cfu/plate</v>
      </c>
      <c r="AB358" s="58">
        <f t="array" ref="AB358">if(R358="","", if(records_2[Method]="Active Air",_xlfn.xlookup(records_2[ColonyCount]&amp;records_2[AirSampler],feller[code],feller[Vc]),records_2[ColonyCount]))</f>
        <v>4</v>
      </c>
      <c r="AC358" s="60" t="b">
        <f t="shared" si="1"/>
        <v>1</v>
      </c>
      <c r="AD358" s="61" t="b">
        <v>0</v>
      </c>
      <c r="AE358" s="32" t="s">
        <v>280</v>
      </c>
      <c r="AF358" s="46"/>
      <c r="AG358" s="46"/>
      <c r="AH358" s="46"/>
      <c r="AI358" s="46"/>
      <c r="AJ358" s="46"/>
    </row>
    <row r="359" ht="22.5" customHeight="1">
      <c r="A359" s="27">
        <v>46086.0</v>
      </c>
      <c r="B359" s="34" t="str">
        <f t="array" ref="B359">TEXT(A359, "MM-YYYY")</f>
        <v>03-2026</v>
      </c>
      <c r="C359" s="34" t="s">
        <v>1328</v>
      </c>
      <c r="D359" s="36" t="s">
        <v>210</v>
      </c>
      <c r="E359" s="36" t="s">
        <v>213</v>
      </c>
      <c r="F359" s="29" t="b">
        <v>1</v>
      </c>
      <c r="G359" s="36" t="s">
        <v>214</v>
      </c>
      <c r="H359" s="36" t="s">
        <v>215</v>
      </c>
      <c r="I359" s="39"/>
      <c r="J359" s="43"/>
      <c r="K359" s="37" t="s">
        <v>751</v>
      </c>
      <c r="L359" s="37" t="s">
        <v>436</v>
      </c>
      <c r="M359" s="37" t="s">
        <v>399</v>
      </c>
      <c r="N359" s="37" t="s">
        <v>2288</v>
      </c>
      <c r="O359" s="37" t="s">
        <v>2278</v>
      </c>
      <c r="P359" s="37" t="s">
        <v>2279</v>
      </c>
      <c r="Q359" s="41">
        <v>46138.0</v>
      </c>
      <c r="R359" s="42">
        <v>1.0</v>
      </c>
      <c r="S359" s="29"/>
      <c r="T359" s="37" t="s">
        <v>2280</v>
      </c>
      <c r="U359" s="47" t="str">
        <f>IF(records_2[Type]="Room",records_2[roomNo],records_2[roomNo]&amp;"-"&amp;SUBSTITUTE(RIGHT(records_2[roomNo]&amp;records_2[Type],2),"-",""))</f>
        <v>11-1-017</v>
      </c>
      <c r="V359" s="47" t="str">
        <f t="array" ref="V359">_xlfn.XLOOKUP(records_2[ID], dAir[roomNo], dAir[roomName])</f>
        <v>SAMPLING 1-P</v>
      </c>
      <c r="W359" s="47" t="str">
        <f t="array" ref="W359">_xlfn.XLOOKUP(records_2[ID], dAir[roomNo], dAir[building])</f>
        <v>Building 11</v>
      </c>
      <c r="X359" s="47" t="str">
        <f t="array" ref="X359">_xlfn.XLOOKUP(records_2[ID], dAir[roomNo], dAir[floor])</f>
        <v>Floor 1</v>
      </c>
      <c r="Y359" s="45" t="str">
        <f t="array" ref="Y359">_xlfn.XLOOKUP(records_2[ID], dAir[roomNo], dAir[Class])</f>
        <v>D</v>
      </c>
      <c r="Z359" s="45">
        <f t="array" ref="Z359">_xlfn.XLOOKUP(records_2[Method]&amp;"-"&amp;records_2[Class], dAirSpec[ID], dAirSpec[Spec])</f>
        <v>100</v>
      </c>
      <c r="AA359" s="45" t="str">
        <f t="array" ref="AA359">_xlfn.XLOOKUP(records_2[Method]&amp;"-"&amp;records_2[Class], dAirSpec[ID], dAirSpec[Unit])</f>
        <v>cfu/plate</v>
      </c>
      <c r="AB359" s="58">
        <f t="array" ref="AB359">if(R359="","", if(records_2[Method]="Active Air",_xlfn.xlookup(records_2[ColonyCount]&amp;records_2[AirSampler],feller[code],feller[Vc]),records_2[ColonyCount]))</f>
        <v>1</v>
      </c>
      <c r="AC359" s="60" t="b">
        <f t="shared" si="1"/>
        <v>1</v>
      </c>
      <c r="AD359" s="61" t="b">
        <v>0</v>
      </c>
      <c r="AE359" s="32" t="s">
        <v>280</v>
      </c>
      <c r="AF359" s="46"/>
      <c r="AG359" s="46"/>
      <c r="AH359" s="46"/>
      <c r="AI359" s="46"/>
      <c r="AJ359" s="46"/>
    </row>
    <row r="360" ht="22.5" customHeight="1">
      <c r="A360" s="27">
        <v>46086.0</v>
      </c>
      <c r="B360" s="34" t="str">
        <f t="array" ref="B360">TEXT(A360, "MM-YYYY")</f>
        <v>03-2026</v>
      </c>
      <c r="C360" s="34" t="s">
        <v>1330</v>
      </c>
      <c r="D360" s="36" t="s">
        <v>210</v>
      </c>
      <c r="E360" s="36" t="s">
        <v>213</v>
      </c>
      <c r="F360" s="29" t="b">
        <v>1</v>
      </c>
      <c r="G360" s="36" t="s">
        <v>214</v>
      </c>
      <c r="H360" s="36" t="s">
        <v>215</v>
      </c>
      <c r="I360" s="39"/>
      <c r="J360" s="43"/>
      <c r="K360" s="37" t="s">
        <v>469</v>
      </c>
      <c r="L360" s="37" t="s">
        <v>2290</v>
      </c>
      <c r="M360" s="37" t="s">
        <v>1798</v>
      </c>
      <c r="N360" s="37" t="s">
        <v>2291</v>
      </c>
      <c r="O360" s="37" t="s">
        <v>2278</v>
      </c>
      <c r="P360" s="37" t="s">
        <v>2279</v>
      </c>
      <c r="Q360" s="41">
        <v>46138.0</v>
      </c>
      <c r="R360" s="42">
        <v>0.0</v>
      </c>
      <c r="S360" s="29"/>
      <c r="T360" s="37" t="s">
        <v>2280</v>
      </c>
      <c r="U360" s="47" t="str">
        <f>IF(records_2[Type]="Room",records_2[roomNo],records_2[roomNo]&amp;"-"&amp;SUBSTITUTE(RIGHT(records_2[roomNo]&amp;records_2[Type],2),"-",""))</f>
        <v>11-1-018</v>
      </c>
      <c r="V360" s="47" t="str">
        <f t="array" ref="V360">_xlfn.XLOOKUP(records_2[ID], dAir[roomNo], dAir[roomName])</f>
        <v>SAMPLING 2 (LOW RH)</v>
      </c>
      <c r="W360" s="47" t="str">
        <f t="array" ref="W360">_xlfn.XLOOKUP(records_2[ID], dAir[roomNo], dAir[building])</f>
        <v>Building 11</v>
      </c>
      <c r="X360" s="47" t="str">
        <f t="array" ref="X360">_xlfn.XLOOKUP(records_2[ID], dAir[roomNo], dAir[floor])</f>
        <v>Floor 1</v>
      </c>
      <c r="Y360" s="45" t="str">
        <f t="array" ref="Y360">_xlfn.XLOOKUP(records_2[ID], dAir[roomNo], dAir[Class])</f>
        <v>D</v>
      </c>
      <c r="Z360" s="45">
        <f t="array" ref="Z360">_xlfn.XLOOKUP(records_2[Method]&amp;"-"&amp;records_2[Class], dAirSpec[ID], dAirSpec[Spec])</f>
        <v>100</v>
      </c>
      <c r="AA360" s="45" t="str">
        <f t="array" ref="AA360">_xlfn.XLOOKUP(records_2[Method]&amp;"-"&amp;records_2[Class], dAirSpec[ID], dAirSpec[Unit])</f>
        <v>cfu/plate</v>
      </c>
      <c r="AB360" s="58">
        <f t="array" ref="AB360">if(R360="","", if(records_2[Method]="Active Air",_xlfn.xlookup(records_2[ColonyCount]&amp;records_2[AirSampler],feller[code],feller[Vc]),records_2[ColonyCount]))</f>
        <v>0</v>
      </c>
      <c r="AC360" s="60" t="b">
        <f t="shared" si="1"/>
        <v>1</v>
      </c>
      <c r="AD360" s="61" t="b">
        <v>0</v>
      </c>
      <c r="AE360" s="32" t="s">
        <v>280</v>
      </c>
      <c r="AF360" s="46"/>
      <c r="AG360" s="46"/>
      <c r="AH360" s="46"/>
      <c r="AI360" s="46"/>
      <c r="AJ360" s="46"/>
    </row>
    <row r="361" ht="22.5" customHeight="1">
      <c r="A361" s="27">
        <v>46086.0</v>
      </c>
      <c r="B361" s="34" t="str">
        <f t="array" ref="B361">TEXT(A361, "MM-YYYY")</f>
        <v>03-2026</v>
      </c>
      <c r="C361" s="34" t="s">
        <v>1330</v>
      </c>
      <c r="D361" s="36" t="s">
        <v>680</v>
      </c>
      <c r="E361" s="36" t="s">
        <v>531</v>
      </c>
      <c r="F361" s="29" t="b">
        <v>1</v>
      </c>
      <c r="G361" s="36" t="s">
        <v>214</v>
      </c>
      <c r="H361" s="36" t="s">
        <v>757</v>
      </c>
      <c r="I361" s="39"/>
      <c r="J361" s="43"/>
      <c r="K361" s="37" t="s">
        <v>469</v>
      </c>
      <c r="L361" s="37" t="s">
        <v>2290</v>
      </c>
      <c r="M361" s="37" t="s">
        <v>1788</v>
      </c>
      <c r="N361" s="37" t="s">
        <v>2292</v>
      </c>
      <c r="O361" s="37" t="s">
        <v>2278</v>
      </c>
      <c r="P361" s="37" t="s">
        <v>2279</v>
      </c>
      <c r="Q361" s="41">
        <v>46138.0</v>
      </c>
      <c r="R361" s="42">
        <v>0.0</v>
      </c>
      <c r="S361" s="29"/>
      <c r="T361" s="37" t="s">
        <v>2280</v>
      </c>
      <c r="U361" s="45" t="str">
        <f>IF(records_2[Type]="Room",records_2[roomNo],records_2[roomNo]&amp;"-"&amp;SUBSTITUTE(RIGHT(records_2[roomNo]&amp;records_2[Type],2),"-",""))</f>
        <v>11-1-018-B</v>
      </c>
      <c r="V361" s="47" t="str">
        <f t="array" ref="V361">_xlfn.XLOOKUP(records_2[ID], dAir[roomNo], dAir[roomName])</f>
        <v>SAMPLING 2 (LOW RH) (Booth)</v>
      </c>
      <c r="W361" s="47" t="str">
        <f t="array" ref="W361">_xlfn.XLOOKUP(records_2[ID], dAir[roomNo], dAir[building])</f>
        <v>Building 11</v>
      </c>
      <c r="X361" s="47" t="str">
        <f t="array" ref="X361">_xlfn.XLOOKUP(records_2[ID], dAir[roomNo], dAir[floor])</f>
        <v>Floor 1</v>
      </c>
      <c r="Y361" s="45" t="str">
        <f t="array" ref="Y361">_xlfn.XLOOKUP(records_2[ID], dAir[roomNo], dAir[Class])</f>
        <v>D</v>
      </c>
      <c r="Z361" s="45">
        <f t="array" ref="Z361">_xlfn.XLOOKUP(records_2[Method]&amp;"-"&amp;records_2[Class], dAirSpec[ID], dAirSpec[Spec])</f>
        <v>200</v>
      </c>
      <c r="AA361" s="45" t="str">
        <f t="array" ref="AA361">_xlfn.XLOOKUP(records_2[Method]&amp;"-"&amp;records_2[Class], dAirSpec[ID], dAirSpec[Unit])</f>
        <v>cfu/m3</v>
      </c>
      <c r="AB361" s="45">
        <f t="array" ref="AB361">if(R361="","", if(records_2[Method]="Active Air",_xlfn.xlookup(records_2[ColonyCount]&amp;records_2[AirSampler],feller[code],feller[Vc]),records_2[ColonyCount]))</f>
        <v>0</v>
      </c>
      <c r="AC361" s="60" t="b">
        <f t="shared" si="1"/>
        <v>1</v>
      </c>
      <c r="AD361" s="61" t="b">
        <v>0</v>
      </c>
      <c r="AE361" s="32" t="s">
        <v>280</v>
      </c>
      <c r="AF361" s="46"/>
      <c r="AG361" s="46"/>
      <c r="AH361" s="46"/>
      <c r="AI361" s="46"/>
      <c r="AJ361" s="46"/>
    </row>
    <row r="362" ht="22.5" customHeight="1">
      <c r="A362" s="27">
        <v>46086.0</v>
      </c>
      <c r="B362" s="34" t="str">
        <f t="array" ref="B362">TEXT(A362, "MM-YYYY")</f>
        <v>03-2026</v>
      </c>
      <c r="C362" s="34" t="s">
        <v>1335</v>
      </c>
      <c r="D362" s="36" t="s">
        <v>210</v>
      </c>
      <c r="E362" s="36" t="s">
        <v>213</v>
      </c>
      <c r="F362" s="29" t="b">
        <v>1</v>
      </c>
      <c r="G362" s="36" t="s">
        <v>214</v>
      </c>
      <c r="H362" s="36" t="s">
        <v>215</v>
      </c>
      <c r="I362" s="39"/>
      <c r="J362" s="43"/>
      <c r="K362" s="37" t="s">
        <v>578</v>
      </c>
      <c r="L362" s="37" t="s">
        <v>2238</v>
      </c>
      <c r="M362" s="37" t="s">
        <v>1612</v>
      </c>
      <c r="N362" s="37" t="s">
        <v>2293</v>
      </c>
      <c r="O362" s="37" t="s">
        <v>2278</v>
      </c>
      <c r="P362" s="37" t="s">
        <v>2279</v>
      </c>
      <c r="Q362" s="41">
        <v>46138.0</v>
      </c>
      <c r="R362" s="42">
        <v>0.0</v>
      </c>
      <c r="S362" s="29"/>
      <c r="T362" s="37" t="s">
        <v>2280</v>
      </c>
      <c r="U362" s="47" t="str">
        <f>IF(records_2[Type]="Room",records_2[roomNo],records_2[roomNo]&amp;"-"&amp;SUBSTITUTE(RIGHT(records_2[roomNo]&amp;records_2[Type],2),"-",""))</f>
        <v>11-1-019</v>
      </c>
      <c r="V362" s="47" t="str">
        <f t="array" ref="V362">_xlfn.XLOOKUP(records_2[ID], dAir[roomNo], dAir[roomName])</f>
        <v>MAL 1</v>
      </c>
      <c r="W362" s="47" t="str">
        <f t="array" ref="W362">_xlfn.XLOOKUP(records_2[ID], dAir[roomNo], dAir[building])</f>
        <v>Building 11</v>
      </c>
      <c r="X362" s="47" t="str">
        <f t="array" ref="X362">_xlfn.XLOOKUP(records_2[ID], dAir[roomNo], dAir[floor])</f>
        <v>Floor 1</v>
      </c>
      <c r="Y362" s="45" t="str">
        <f t="array" ref="Y362">_xlfn.XLOOKUP(records_2[ID], dAir[roomNo], dAir[Class])</f>
        <v>D</v>
      </c>
      <c r="Z362" s="45">
        <f t="array" ref="Z362">_xlfn.XLOOKUP(records_2[Method]&amp;"-"&amp;records_2[Class], dAirSpec[ID], dAirSpec[Spec])</f>
        <v>100</v>
      </c>
      <c r="AA362" s="45" t="str">
        <f t="array" ref="AA362">_xlfn.XLOOKUP(records_2[Method]&amp;"-"&amp;records_2[Class], dAirSpec[ID], dAirSpec[Unit])</f>
        <v>cfu/plate</v>
      </c>
      <c r="AB362" s="58">
        <f t="array" ref="AB362">if(R362="","", if(records_2[Method]="Active Air",_xlfn.xlookup(records_2[ColonyCount]&amp;records_2[AirSampler],feller[code],feller[Vc]),records_2[ColonyCount]))</f>
        <v>0</v>
      </c>
      <c r="AC362" s="60" t="b">
        <f t="shared" si="1"/>
        <v>1</v>
      </c>
      <c r="AD362" s="61" t="b">
        <v>0</v>
      </c>
      <c r="AE362" s="32" t="s">
        <v>280</v>
      </c>
      <c r="AF362" s="46"/>
      <c r="AG362" s="46"/>
      <c r="AH362" s="46"/>
      <c r="AI362" s="46"/>
      <c r="AJ362" s="46"/>
    </row>
    <row r="363" ht="22.5" customHeight="1">
      <c r="A363" s="27">
        <v>46086.0</v>
      </c>
      <c r="B363" s="34" t="str">
        <f t="array" ref="B363">TEXT(A363, "MM-YYYY")</f>
        <v>03-2026</v>
      </c>
      <c r="C363" s="34" t="s">
        <v>1337</v>
      </c>
      <c r="D363" s="36" t="s">
        <v>210</v>
      </c>
      <c r="E363" s="36" t="s">
        <v>213</v>
      </c>
      <c r="F363" s="29" t="b">
        <v>1</v>
      </c>
      <c r="G363" s="36" t="s">
        <v>214</v>
      </c>
      <c r="H363" s="36" t="s">
        <v>215</v>
      </c>
      <c r="I363" s="39"/>
      <c r="J363" s="43"/>
      <c r="K363" s="37" t="s">
        <v>700</v>
      </c>
      <c r="L363" s="37" t="s">
        <v>2264</v>
      </c>
      <c r="M363" s="37" t="s">
        <v>1609</v>
      </c>
      <c r="N363" s="37" t="s">
        <v>2294</v>
      </c>
      <c r="O363" s="37" t="s">
        <v>2278</v>
      </c>
      <c r="P363" s="37" t="s">
        <v>2279</v>
      </c>
      <c r="Q363" s="41">
        <v>46138.0</v>
      </c>
      <c r="R363" s="42">
        <v>2.0</v>
      </c>
      <c r="S363" s="29"/>
      <c r="T363" s="37" t="s">
        <v>2280</v>
      </c>
      <c r="U363" s="47" t="str">
        <f>IF(records_2[Type]="Room",records_2[roomNo],records_2[roomNo]&amp;"-"&amp;SUBSTITUTE(RIGHT(records_2[roomNo]&amp;records_2[Type],2),"-",""))</f>
        <v>11-1-020</v>
      </c>
      <c r="V363" s="47" t="str">
        <f t="array" ref="V363">_xlfn.XLOOKUP(records_2[ID], dAir[roomNo], dAir[roomName])</f>
        <v>CHANGING ROOM</v>
      </c>
      <c r="W363" s="47" t="str">
        <f t="array" ref="W363">_xlfn.XLOOKUP(records_2[ID], dAir[roomNo], dAir[building])</f>
        <v>Building 11</v>
      </c>
      <c r="X363" s="47" t="str">
        <f t="array" ref="X363">_xlfn.XLOOKUP(records_2[ID], dAir[roomNo], dAir[floor])</f>
        <v>Floor 1</v>
      </c>
      <c r="Y363" s="45" t="str">
        <f t="array" ref="Y363">_xlfn.XLOOKUP(records_2[ID], dAir[roomNo], dAir[Class])</f>
        <v>C</v>
      </c>
      <c r="Z363" s="45">
        <f t="array" ref="Z363">_xlfn.XLOOKUP(records_2[Method]&amp;"-"&amp;records_2[Class], dAirSpec[ID], dAirSpec[Spec])</f>
        <v>50</v>
      </c>
      <c r="AA363" s="45" t="str">
        <f t="array" ref="AA363">_xlfn.XLOOKUP(records_2[Method]&amp;"-"&amp;records_2[Class], dAirSpec[ID], dAirSpec[Unit])</f>
        <v>cfu/plate</v>
      </c>
      <c r="AB363" s="58">
        <f t="array" ref="AB363">if(R363="","", if(records_2[Method]="Active Air",_xlfn.xlookup(records_2[ColonyCount]&amp;records_2[AirSampler],feller[code],feller[Vc]),records_2[ColonyCount]))</f>
        <v>2</v>
      </c>
      <c r="AC363" s="60" t="b">
        <f t="shared" si="1"/>
        <v>1</v>
      </c>
      <c r="AD363" s="61" t="b">
        <v>0</v>
      </c>
      <c r="AE363" s="32" t="s">
        <v>280</v>
      </c>
      <c r="AF363" s="46"/>
      <c r="AG363" s="46"/>
      <c r="AH363" s="46"/>
      <c r="AI363" s="46"/>
      <c r="AJ363" s="46"/>
    </row>
    <row r="364" ht="22.5" customHeight="1">
      <c r="A364" s="27">
        <v>46086.0</v>
      </c>
      <c r="B364" s="34" t="str">
        <f t="array" ref="B364">TEXT(A364, "MM-YYYY")</f>
        <v>03-2026</v>
      </c>
      <c r="C364" s="34" t="s">
        <v>1339</v>
      </c>
      <c r="D364" s="36" t="s">
        <v>210</v>
      </c>
      <c r="E364" s="36" t="s">
        <v>213</v>
      </c>
      <c r="F364" s="29" t="b">
        <v>1</v>
      </c>
      <c r="G364" s="36" t="s">
        <v>214</v>
      </c>
      <c r="H364" s="36" t="s">
        <v>215</v>
      </c>
      <c r="I364" s="39"/>
      <c r="J364" s="43"/>
      <c r="K364" s="37" t="s">
        <v>599</v>
      </c>
      <c r="L364" s="37" t="s">
        <v>2236</v>
      </c>
      <c r="M364" s="37" t="s">
        <v>1623</v>
      </c>
      <c r="N364" s="37" t="s">
        <v>2295</v>
      </c>
      <c r="O364" s="37" t="s">
        <v>2278</v>
      </c>
      <c r="P364" s="37" t="s">
        <v>2279</v>
      </c>
      <c r="Q364" s="41">
        <v>46138.0</v>
      </c>
      <c r="R364" s="42">
        <v>3.0</v>
      </c>
      <c r="S364" s="29"/>
      <c r="T364" s="37" t="s">
        <v>2280</v>
      </c>
      <c r="U364" s="47" t="str">
        <f>IF(records_2[Type]="Room",records_2[roomNo],records_2[roomNo]&amp;"-"&amp;SUBSTITUTE(RIGHT(records_2[roomNo]&amp;records_2[Type],2),"-",""))</f>
        <v>11-1-021</v>
      </c>
      <c r="V364" s="47" t="str">
        <f t="array" ref="V364">_xlfn.XLOOKUP(records_2[ID], dAir[roomNo], dAir[roomName])</f>
        <v>AIRLOCK</v>
      </c>
      <c r="W364" s="47" t="str">
        <f t="array" ref="W364">_xlfn.XLOOKUP(records_2[ID], dAir[roomNo], dAir[building])</f>
        <v>Building 11</v>
      </c>
      <c r="X364" s="47" t="str">
        <f t="array" ref="X364">_xlfn.XLOOKUP(records_2[ID], dAir[roomNo], dAir[floor])</f>
        <v>Floor 1</v>
      </c>
      <c r="Y364" s="45" t="str">
        <f t="array" ref="Y364">_xlfn.XLOOKUP(records_2[ID], dAir[roomNo], dAir[Class])</f>
        <v>C</v>
      </c>
      <c r="Z364" s="45">
        <f t="array" ref="Z364">_xlfn.XLOOKUP(records_2[Method]&amp;"-"&amp;records_2[Class], dAirSpec[ID], dAirSpec[Spec])</f>
        <v>50</v>
      </c>
      <c r="AA364" s="45" t="str">
        <f t="array" ref="AA364">_xlfn.XLOOKUP(records_2[Method]&amp;"-"&amp;records_2[Class], dAirSpec[ID], dAirSpec[Unit])</f>
        <v>cfu/plate</v>
      </c>
      <c r="AB364" s="58">
        <f t="array" ref="AB364">if(R364="","", if(records_2[Method]="Active Air",_xlfn.xlookup(records_2[ColonyCount]&amp;records_2[AirSampler],feller[code],feller[Vc]),records_2[ColonyCount]))</f>
        <v>3</v>
      </c>
      <c r="AC364" s="60" t="b">
        <f t="shared" si="1"/>
        <v>1</v>
      </c>
      <c r="AD364" s="61" t="b">
        <v>0</v>
      </c>
      <c r="AE364" s="32" t="s">
        <v>280</v>
      </c>
      <c r="AF364" s="46"/>
      <c r="AG364" s="46"/>
      <c r="AH364" s="46"/>
      <c r="AI364" s="46"/>
      <c r="AJ364" s="46"/>
    </row>
    <row r="365" ht="22.5" customHeight="1">
      <c r="A365" s="27">
        <v>46086.0</v>
      </c>
      <c r="B365" s="34" t="str">
        <f t="array" ref="B365">TEXT(A365, "MM-YYYY")</f>
        <v>03-2026</v>
      </c>
      <c r="C365" s="34" t="s">
        <v>1339</v>
      </c>
      <c r="D365" s="36" t="s">
        <v>1350</v>
      </c>
      <c r="E365" s="36" t="s">
        <v>531</v>
      </c>
      <c r="F365" s="29" t="b">
        <v>1</v>
      </c>
      <c r="G365" s="36" t="s">
        <v>214</v>
      </c>
      <c r="H365" s="36" t="s">
        <v>757</v>
      </c>
      <c r="I365" s="39"/>
      <c r="J365" s="43"/>
      <c r="K365" s="37" t="s">
        <v>599</v>
      </c>
      <c r="L365" s="37" t="s">
        <v>2236</v>
      </c>
      <c r="M365" s="37" t="s">
        <v>939</v>
      </c>
      <c r="N365" s="37" t="s">
        <v>2296</v>
      </c>
      <c r="O365" s="37" t="s">
        <v>2278</v>
      </c>
      <c r="P365" s="37" t="s">
        <v>2279</v>
      </c>
      <c r="Q365" s="41">
        <v>46138.0</v>
      </c>
      <c r="R365" s="42">
        <v>0.0</v>
      </c>
      <c r="S365" s="29"/>
      <c r="T365" s="37" t="s">
        <v>2280</v>
      </c>
      <c r="U365" s="45" t="str">
        <f>IF(records_2[Type]="Room",records_2[roomNo],records_2[roomNo]&amp;"-"&amp;SUBSTITUTE(RIGHT(records_2[roomNo]&amp;records_2[Type],2),"-",""))</f>
        <v>11-1-021-PB</v>
      </c>
      <c r="V365" s="47" t="str">
        <f t="array" ref="V365">_xlfn.XLOOKUP(records_2[ID], dAir[roomNo], dAir[roomName])</f>
        <v>AIRLOCK  (Passbox)</v>
      </c>
      <c r="W365" s="47" t="str">
        <f t="array" ref="W365">_xlfn.XLOOKUP(records_2[ID], dAir[roomNo], dAir[building])</f>
        <v>Building 11</v>
      </c>
      <c r="X365" s="47" t="str">
        <f t="array" ref="X365">_xlfn.XLOOKUP(records_2[ID], dAir[roomNo], dAir[floor])</f>
        <v>Floor 1</v>
      </c>
      <c r="Y365" s="45" t="str">
        <f t="array" ref="Y365">_xlfn.XLOOKUP(records_2[ID], dAir[roomNo], dAir[Class])</f>
        <v>C</v>
      </c>
      <c r="Z365" s="45">
        <f t="array" ref="Z365">_xlfn.XLOOKUP(records_2[Method]&amp;"-"&amp;records_2[Class], dAirSpec[ID], dAirSpec[Spec])</f>
        <v>100</v>
      </c>
      <c r="AA365" s="45" t="str">
        <f t="array" ref="AA365">_xlfn.XLOOKUP(records_2[Method]&amp;"-"&amp;records_2[Class], dAirSpec[ID], dAirSpec[Unit])</f>
        <v>cfu/m3</v>
      </c>
      <c r="AB365" s="45">
        <f t="array" ref="AB365">if(R365="","", if(records_2[Method]="Active Air",_xlfn.xlookup(records_2[ColonyCount]&amp;records_2[AirSampler],feller[code],feller[Vc]),records_2[ColonyCount]))</f>
        <v>0</v>
      </c>
      <c r="AC365" s="60" t="b">
        <f t="shared" si="1"/>
        <v>1</v>
      </c>
      <c r="AD365" s="61" t="b">
        <v>0</v>
      </c>
      <c r="AE365" s="32" t="s">
        <v>280</v>
      </c>
      <c r="AF365" s="46"/>
      <c r="AG365" s="46"/>
      <c r="AH365" s="46"/>
      <c r="AI365" s="46"/>
      <c r="AJ365" s="46"/>
    </row>
    <row r="366" ht="22.5" customHeight="1">
      <c r="A366" s="27">
        <v>46086.0</v>
      </c>
      <c r="B366" s="34" t="str">
        <f t="array" ref="B366">TEXT(A366, "MM-YYYY")</f>
        <v>03-2026</v>
      </c>
      <c r="C366" s="34" t="s">
        <v>1342</v>
      </c>
      <c r="D366" s="36" t="s">
        <v>210</v>
      </c>
      <c r="E366" s="36" t="s">
        <v>213</v>
      </c>
      <c r="F366" s="29" t="b">
        <v>1</v>
      </c>
      <c r="G366" s="36" t="s">
        <v>214</v>
      </c>
      <c r="H366" s="36" t="s">
        <v>215</v>
      </c>
      <c r="I366" s="39"/>
      <c r="J366" s="43"/>
      <c r="K366" s="37" t="s">
        <v>2273</v>
      </c>
      <c r="L366" s="37" t="s">
        <v>343</v>
      </c>
      <c r="M366" s="37" t="s">
        <v>1605</v>
      </c>
      <c r="N366" s="37" t="s">
        <v>2297</v>
      </c>
      <c r="O366" s="37" t="s">
        <v>2278</v>
      </c>
      <c r="P366" s="37" t="s">
        <v>2279</v>
      </c>
      <c r="Q366" s="41">
        <v>46138.0</v>
      </c>
      <c r="R366" s="42">
        <v>0.0</v>
      </c>
      <c r="S366" s="29"/>
      <c r="T366" s="37" t="s">
        <v>2280</v>
      </c>
      <c r="U366" s="47" t="str">
        <f>IF(records_2[Type]="Room",records_2[roomNo],records_2[roomNo]&amp;"-"&amp;SUBSTITUTE(RIGHT(records_2[roomNo]&amp;records_2[Type],2),"-",""))</f>
        <v>11-1-022</v>
      </c>
      <c r="V366" s="47" t="str">
        <f t="array" ref="V366">_xlfn.XLOOKUP(records_2[ID], dAir[roomNo], dAir[roomName])</f>
        <v>SAMPLING 4</v>
      </c>
      <c r="W366" s="47" t="str">
        <f t="array" ref="W366">_xlfn.XLOOKUP(records_2[ID], dAir[roomNo], dAir[building])</f>
        <v>Building 11</v>
      </c>
      <c r="X366" s="47" t="str">
        <f t="array" ref="X366">_xlfn.XLOOKUP(records_2[ID], dAir[roomNo], dAir[floor])</f>
        <v>Floor 1</v>
      </c>
      <c r="Y366" s="45" t="str">
        <f t="array" ref="Y366">_xlfn.XLOOKUP(records_2[ID], dAir[roomNo], dAir[Class])</f>
        <v>C</v>
      </c>
      <c r="Z366" s="45">
        <f t="array" ref="Z366">_xlfn.XLOOKUP(records_2[Method]&amp;"-"&amp;records_2[Class], dAirSpec[ID], dAirSpec[Spec])</f>
        <v>50</v>
      </c>
      <c r="AA366" s="45" t="str">
        <f t="array" ref="AA366">_xlfn.XLOOKUP(records_2[Method]&amp;"-"&amp;records_2[Class], dAirSpec[ID], dAirSpec[Unit])</f>
        <v>cfu/plate</v>
      </c>
      <c r="AB366" s="58">
        <f t="array" ref="AB366">if(R366="","", if(records_2[Method]="Active Air",_xlfn.xlookup(records_2[ColonyCount]&amp;records_2[AirSampler],feller[code],feller[Vc]),records_2[ColonyCount]))</f>
        <v>0</v>
      </c>
      <c r="AC366" s="60" t="b">
        <f t="shared" si="1"/>
        <v>1</v>
      </c>
      <c r="AD366" s="61" t="b">
        <v>0</v>
      </c>
      <c r="AE366" s="32" t="s">
        <v>280</v>
      </c>
      <c r="AF366" s="46"/>
      <c r="AG366" s="46"/>
      <c r="AH366" s="46"/>
      <c r="AI366" s="46"/>
      <c r="AJ366" s="46"/>
    </row>
    <row r="367" ht="22.5" customHeight="1">
      <c r="A367" s="27">
        <v>46086.0</v>
      </c>
      <c r="B367" s="34" t="str">
        <f t="array" ref="B367">TEXT(A367, "MM-YYYY")</f>
        <v>03-2026</v>
      </c>
      <c r="C367" s="34" t="s">
        <v>1342</v>
      </c>
      <c r="D367" s="36" t="s">
        <v>680</v>
      </c>
      <c r="E367" s="36" t="s">
        <v>531</v>
      </c>
      <c r="F367" s="29" t="b">
        <v>1</v>
      </c>
      <c r="G367" s="36" t="s">
        <v>214</v>
      </c>
      <c r="H367" s="36" t="s">
        <v>757</v>
      </c>
      <c r="I367" s="39"/>
      <c r="J367" s="43"/>
      <c r="K367" s="37" t="s">
        <v>2273</v>
      </c>
      <c r="L367" s="37" t="s">
        <v>343</v>
      </c>
      <c r="M367" s="37" t="s">
        <v>1588</v>
      </c>
      <c r="N367" s="37" t="s">
        <v>2298</v>
      </c>
      <c r="O367" s="37" t="s">
        <v>2278</v>
      </c>
      <c r="P367" s="37" t="s">
        <v>2279</v>
      </c>
      <c r="Q367" s="41">
        <v>46138.0</v>
      </c>
      <c r="R367" s="42">
        <v>0.0</v>
      </c>
      <c r="S367" s="29"/>
      <c r="T367" s="37" t="s">
        <v>2280</v>
      </c>
      <c r="U367" s="45" t="str">
        <f>IF(records_2[Type]="Room",records_2[roomNo],records_2[roomNo]&amp;"-"&amp;SUBSTITUTE(RIGHT(records_2[roomNo]&amp;records_2[Type],2),"-",""))</f>
        <v>11-1-022-B</v>
      </c>
      <c r="V367" s="47" t="str">
        <f t="array" ref="V367">_xlfn.XLOOKUP(records_2[ID], dAir[roomNo], dAir[roomName])</f>
        <v>SAMPLING 4 (Booth)</v>
      </c>
      <c r="W367" s="47" t="str">
        <f t="array" ref="W367">_xlfn.XLOOKUP(records_2[ID], dAir[roomNo], dAir[building])</f>
        <v>Building 11</v>
      </c>
      <c r="X367" s="47" t="str">
        <f t="array" ref="X367">_xlfn.XLOOKUP(records_2[ID], dAir[roomNo], dAir[floor])</f>
        <v>Floor 1</v>
      </c>
      <c r="Y367" s="45" t="str">
        <f t="array" ref="Y367">_xlfn.XLOOKUP(records_2[ID], dAir[roomNo], dAir[Class])</f>
        <v>C</v>
      </c>
      <c r="Z367" s="45">
        <f t="array" ref="Z367">_xlfn.XLOOKUP(records_2[Method]&amp;"-"&amp;records_2[Class], dAirSpec[ID], dAirSpec[Spec])</f>
        <v>100</v>
      </c>
      <c r="AA367" s="45" t="str">
        <f t="array" ref="AA367">_xlfn.XLOOKUP(records_2[Method]&amp;"-"&amp;records_2[Class], dAirSpec[ID], dAirSpec[Unit])</f>
        <v>cfu/m3</v>
      </c>
      <c r="AB367" s="45">
        <f t="array" ref="AB367">if(R367="","", if(records_2[Method]="Active Air",_xlfn.xlookup(records_2[ColonyCount]&amp;records_2[AirSampler],feller[code],feller[Vc]),records_2[ColonyCount]))</f>
        <v>0</v>
      </c>
      <c r="AC367" s="60" t="b">
        <f t="shared" si="1"/>
        <v>1</v>
      </c>
      <c r="AD367" s="61" t="b">
        <v>0</v>
      </c>
      <c r="AE367" s="32" t="s">
        <v>280</v>
      </c>
      <c r="AF367" s="46"/>
      <c r="AG367" s="46"/>
      <c r="AH367" s="46"/>
      <c r="AI367" s="46"/>
      <c r="AJ367" s="46"/>
    </row>
    <row r="368" ht="22.5" customHeight="1">
      <c r="A368" s="27">
        <v>46086.0</v>
      </c>
      <c r="B368" s="34" t="str">
        <f t="array" ref="B368">TEXT(A368, "MM-YYYY")</f>
        <v>03-2026</v>
      </c>
      <c r="C368" s="34" t="s">
        <v>1346</v>
      </c>
      <c r="D368" s="36" t="s">
        <v>210</v>
      </c>
      <c r="E368" s="36" t="s">
        <v>213</v>
      </c>
      <c r="F368" s="29" t="b">
        <v>1</v>
      </c>
      <c r="G368" s="36" t="s">
        <v>214</v>
      </c>
      <c r="H368" s="140"/>
      <c r="I368" s="39"/>
      <c r="J368" s="43"/>
      <c r="K368" s="37" t="s">
        <v>435</v>
      </c>
      <c r="L368" s="37" t="s">
        <v>2276</v>
      </c>
      <c r="M368" s="37" t="s">
        <v>1584</v>
      </c>
      <c r="N368" s="37" t="s">
        <v>2299</v>
      </c>
      <c r="O368" s="37" t="s">
        <v>2278</v>
      </c>
      <c r="P368" s="37" t="s">
        <v>2279</v>
      </c>
      <c r="Q368" s="41">
        <v>46138.0</v>
      </c>
      <c r="R368" s="42">
        <v>0.0</v>
      </c>
      <c r="S368" s="29"/>
      <c r="T368" s="37" t="s">
        <v>2280</v>
      </c>
      <c r="U368" s="47" t="str">
        <f>IF(records_2[Type]="Room",records_2[roomNo],records_2[roomNo]&amp;"-"&amp;SUBSTITUTE(RIGHT(records_2[roomNo]&amp;records_2[Type],2),"-",""))</f>
        <v>11-1-023</v>
      </c>
      <c r="V368" s="47" t="str">
        <f t="array" ref="V368">_xlfn.XLOOKUP(records_2[ID], dAir[roomNo], dAir[roomName])</f>
        <v>SAMPLING 3</v>
      </c>
      <c r="W368" s="47" t="str">
        <f t="array" ref="W368">_xlfn.XLOOKUP(records_2[ID], dAir[roomNo], dAir[building])</f>
        <v>Building 11</v>
      </c>
      <c r="X368" s="47" t="str">
        <f t="array" ref="X368">_xlfn.XLOOKUP(records_2[ID], dAir[roomNo], dAir[floor])</f>
        <v>Floor 1</v>
      </c>
      <c r="Y368" s="45" t="str">
        <f t="array" ref="Y368">_xlfn.XLOOKUP(records_2[ID], dAir[roomNo], dAir[Class])</f>
        <v>D</v>
      </c>
      <c r="Z368" s="45">
        <f t="array" ref="Z368">_xlfn.XLOOKUP(records_2[Method]&amp;"-"&amp;records_2[Class], dAirSpec[ID], dAirSpec[Spec])</f>
        <v>100</v>
      </c>
      <c r="AA368" s="45" t="str">
        <f t="array" ref="AA368">_xlfn.XLOOKUP(records_2[Method]&amp;"-"&amp;records_2[Class], dAirSpec[ID], dAirSpec[Unit])</f>
        <v>cfu/plate</v>
      </c>
      <c r="AB368" s="58">
        <f t="array" ref="AB368">if(R368="","", if(records_2[Method]="Active Air",_xlfn.xlookup(records_2[ColonyCount]&amp;records_2[AirSampler],feller[code],feller[Vc]),records_2[ColonyCount]))</f>
        <v>0</v>
      </c>
      <c r="AC368" s="60" t="b">
        <f t="shared" si="1"/>
        <v>1</v>
      </c>
      <c r="AD368" s="61" t="b">
        <v>0</v>
      </c>
      <c r="AE368" s="32" t="s">
        <v>280</v>
      </c>
      <c r="AF368" s="46"/>
      <c r="AG368" s="46"/>
      <c r="AH368" s="46"/>
      <c r="AI368" s="46"/>
      <c r="AJ368" s="46"/>
    </row>
    <row r="369" ht="22.5" customHeight="1">
      <c r="A369" s="27">
        <v>46086.0</v>
      </c>
      <c r="B369" s="34" t="str">
        <f t="array" ref="B369">TEXT(A369, "MM-YYYY")</f>
        <v>03-2026</v>
      </c>
      <c r="C369" s="34" t="s">
        <v>1346</v>
      </c>
      <c r="D369" s="36" t="s">
        <v>680</v>
      </c>
      <c r="E369" s="36" t="s">
        <v>531</v>
      </c>
      <c r="F369" s="29" t="b">
        <v>1</v>
      </c>
      <c r="G369" s="36" t="s">
        <v>214</v>
      </c>
      <c r="H369" s="36" t="s">
        <v>757</v>
      </c>
      <c r="I369" s="39"/>
      <c r="J369" s="43"/>
      <c r="K369" s="37" t="s">
        <v>435</v>
      </c>
      <c r="L369" s="37" t="s">
        <v>2276</v>
      </c>
      <c r="M369" s="37" t="s">
        <v>1637</v>
      </c>
      <c r="N369" s="37" t="s">
        <v>2300</v>
      </c>
      <c r="O369" s="37" t="s">
        <v>2278</v>
      </c>
      <c r="P369" s="37" t="s">
        <v>2279</v>
      </c>
      <c r="Q369" s="41">
        <v>46138.0</v>
      </c>
      <c r="R369" s="42">
        <v>2.0</v>
      </c>
      <c r="S369" s="29"/>
      <c r="T369" s="37" t="s">
        <v>2280</v>
      </c>
      <c r="U369" s="45" t="str">
        <f>IF(records_2[Type]="Room",records_2[roomNo],records_2[roomNo]&amp;"-"&amp;SUBSTITUTE(RIGHT(records_2[roomNo]&amp;records_2[Type],2),"-",""))</f>
        <v>11-1-023-B</v>
      </c>
      <c r="V369" s="47" t="str">
        <f t="array" ref="V369">_xlfn.XLOOKUP(records_2[ID], dAir[roomNo], dAir[roomName])</f>
        <v>SAMPLING 3 (Booth)</v>
      </c>
      <c r="W369" s="47" t="str">
        <f t="array" ref="W369">_xlfn.XLOOKUP(records_2[ID], dAir[roomNo], dAir[building])</f>
        <v>Building 11</v>
      </c>
      <c r="X369" s="47" t="str">
        <f t="array" ref="X369">_xlfn.XLOOKUP(records_2[ID], dAir[roomNo], dAir[floor])</f>
        <v>Floor 1</v>
      </c>
      <c r="Y369" s="45" t="str">
        <f t="array" ref="Y369">_xlfn.XLOOKUP(records_2[ID], dAir[roomNo], dAir[Class])</f>
        <v>D</v>
      </c>
      <c r="Z369" s="45">
        <f t="array" ref="Z369">_xlfn.XLOOKUP(records_2[Method]&amp;"-"&amp;records_2[Class], dAirSpec[ID], dAirSpec[Spec])</f>
        <v>200</v>
      </c>
      <c r="AA369" s="45" t="str">
        <f t="array" ref="AA369">_xlfn.XLOOKUP(records_2[Method]&amp;"-"&amp;records_2[Class], dAirSpec[ID], dAirSpec[Unit])</f>
        <v>cfu/m3</v>
      </c>
      <c r="AB369" s="45">
        <f t="array" ref="AB369">if(R369="","", if(records_2[Method]="Active Air",_xlfn.xlookup(records_2[ColonyCount]&amp;records_2[AirSampler],feller[code],feller[Vc]),records_2[ColonyCount]))</f>
        <v>2</v>
      </c>
      <c r="AC369" s="60" t="b">
        <f t="shared" si="1"/>
        <v>1</v>
      </c>
      <c r="AD369" s="61" t="b">
        <v>0</v>
      </c>
      <c r="AE369" s="32" t="s">
        <v>280</v>
      </c>
      <c r="AF369" s="46"/>
      <c r="AG369" s="46"/>
      <c r="AH369" s="46"/>
      <c r="AI369" s="46"/>
      <c r="AJ369" s="46"/>
    </row>
    <row r="370" ht="22.5" customHeight="1">
      <c r="A370" s="27">
        <v>46086.0</v>
      </c>
      <c r="B370" s="34" t="str">
        <f t="array" ref="B370">TEXT(A370, "MM-YYYY")</f>
        <v>03-2026</v>
      </c>
      <c r="C370" s="34" t="s">
        <v>1351</v>
      </c>
      <c r="D370" s="36" t="s">
        <v>210</v>
      </c>
      <c r="E370" s="36" t="s">
        <v>213</v>
      </c>
      <c r="F370" s="29" t="b">
        <v>1</v>
      </c>
      <c r="G370" s="36" t="s">
        <v>214</v>
      </c>
      <c r="H370" s="140"/>
      <c r="I370" s="39"/>
      <c r="J370" s="43"/>
      <c r="K370" s="37" t="s">
        <v>591</v>
      </c>
      <c r="L370" s="37" t="s">
        <v>1072</v>
      </c>
      <c r="M370" s="37" t="s">
        <v>818</v>
      </c>
      <c r="N370" s="37" t="s">
        <v>2301</v>
      </c>
      <c r="O370" s="37" t="s">
        <v>2278</v>
      </c>
      <c r="P370" s="37" t="s">
        <v>2279</v>
      </c>
      <c r="Q370" s="41">
        <v>46138.0</v>
      </c>
      <c r="R370" s="42">
        <v>0.0</v>
      </c>
      <c r="S370" s="29"/>
      <c r="T370" s="37" t="s">
        <v>2280</v>
      </c>
      <c r="U370" s="47" t="str">
        <f>IF(records_2[Type]="Room",records_2[roomNo],records_2[roomNo]&amp;"-"&amp;SUBSTITUTE(RIGHT(records_2[roomNo]&amp;records_2[Type],2),"-",""))</f>
        <v>11-1-024</v>
      </c>
      <c r="V370" s="47" t="str">
        <f t="array" ref="V370">_xlfn.XLOOKUP(records_2[ID], dAir[roomNo], dAir[roomName])</f>
        <v>CORRIDOR</v>
      </c>
      <c r="W370" s="47" t="str">
        <f t="array" ref="W370">_xlfn.XLOOKUP(records_2[ID], dAir[roomNo], dAir[building])</f>
        <v>Building 11</v>
      </c>
      <c r="X370" s="47" t="str">
        <f t="array" ref="X370">_xlfn.XLOOKUP(records_2[ID], dAir[roomNo], dAir[floor])</f>
        <v>Floor 1</v>
      </c>
      <c r="Y370" s="45" t="str">
        <f t="array" ref="Y370">_xlfn.XLOOKUP(records_2[ID], dAir[roomNo], dAir[Class])</f>
        <v>D</v>
      </c>
      <c r="Z370" s="45">
        <f t="array" ref="Z370">_xlfn.XLOOKUP(records_2[Method]&amp;"-"&amp;records_2[Class], dAirSpec[ID], dAirSpec[Spec])</f>
        <v>100</v>
      </c>
      <c r="AA370" s="45" t="str">
        <f t="array" ref="AA370">_xlfn.XLOOKUP(records_2[Method]&amp;"-"&amp;records_2[Class], dAirSpec[ID], dAirSpec[Unit])</f>
        <v>cfu/plate</v>
      </c>
      <c r="AB370" s="58">
        <f t="array" ref="AB370">if(R370="","", if(records_2[Method]="Active Air",_xlfn.xlookup(records_2[ColonyCount]&amp;records_2[AirSampler],feller[code],feller[Vc]),records_2[ColonyCount]))</f>
        <v>0</v>
      </c>
      <c r="AC370" s="60" t="b">
        <f t="shared" si="1"/>
        <v>1</v>
      </c>
      <c r="AD370" s="61" t="b">
        <v>0</v>
      </c>
      <c r="AE370" s="32" t="s">
        <v>280</v>
      </c>
      <c r="AF370" s="46"/>
      <c r="AG370" s="46"/>
      <c r="AH370" s="46"/>
      <c r="AI370" s="46"/>
      <c r="AJ370" s="46"/>
    </row>
    <row r="371" ht="22.5" customHeight="1">
      <c r="A371" s="27">
        <v>46086.0</v>
      </c>
      <c r="B371" s="34" t="str">
        <f t="array" ref="B371">TEXT(A371, "MM-YYYY")</f>
        <v>03-2026</v>
      </c>
      <c r="C371" s="34" t="s">
        <v>1352</v>
      </c>
      <c r="D371" s="36" t="s">
        <v>210</v>
      </c>
      <c r="E371" s="36" t="s">
        <v>213</v>
      </c>
      <c r="F371" s="29" t="b">
        <v>1</v>
      </c>
      <c r="G371" s="36" t="s">
        <v>214</v>
      </c>
      <c r="H371" s="140"/>
      <c r="I371" s="39"/>
      <c r="J371" s="43"/>
      <c r="K371" s="37" t="s">
        <v>591</v>
      </c>
      <c r="L371" s="37" t="s">
        <v>2302</v>
      </c>
      <c r="M371" s="37" t="s">
        <v>1672</v>
      </c>
      <c r="N371" s="37" t="s">
        <v>2303</v>
      </c>
      <c r="O371" s="37" t="s">
        <v>2278</v>
      </c>
      <c r="P371" s="37" t="s">
        <v>2279</v>
      </c>
      <c r="Q371" s="41">
        <v>46138.0</v>
      </c>
      <c r="R371" s="42">
        <v>0.0</v>
      </c>
      <c r="S371" s="29"/>
      <c r="T371" s="37" t="s">
        <v>2280</v>
      </c>
      <c r="U371" s="47" t="str">
        <f>IF(records_2[Type]="Room",records_2[roomNo],records_2[roomNo]&amp;"-"&amp;SUBSTITUTE(RIGHT(records_2[roomNo]&amp;records_2[Type],2),"-",""))</f>
        <v>11-1-025</v>
      </c>
      <c r="V371" s="47" t="str">
        <f t="array" ref="V371">_xlfn.XLOOKUP(records_2[ID], dAir[roomNo], dAir[roomName])</f>
        <v>JANITOR ROOM</v>
      </c>
      <c r="W371" s="47" t="str">
        <f t="array" ref="W371">_xlfn.XLOOKUP(records_2[ID], dAir[roomNo], dAir[building])</f>
        <v>Building 11</v>
      </c>
      <c r="X371" s="47" t="str">
        <f t="array" ref="X371">_xlfn.XLOOKUP(records_2[ID], dAir[roomNo], dAir[floor])</f>
        <v>Floor 1</v>
      </c>
      <c r="Y371" s="45" t="str">
        <f t="array" ref="Y371">_xlfn.XLOOKUP(records_2[ID], dAir[roomNo], dAir[Class])</f>
        <v>D</v>
      </c>
      <c r="Z371" s="45">
        <f t="array" ref="Z371">_xlfn.XLOOKUP(records_2[Method]&amp;"-"&amp;records_2[Class], dAirSpec[ID], dAirSpec[Spec])</f>
        <v>100</v>
      </c>
      <c r="AA371" s="45" t="str">
        <f t="array" ref="AA371">_xlfn.XLOOKUP(records_2[Method]&amp;"-"&amp;records_2[Class], dAirSpec[ID], dAirSpec[Unit])</f>
        <v>cfu/plate</v>
      </c>
      <c r="AB371" s="58">
        <f t="array" ref="AB371">if(R371="","", if(records_2[Method]="Active Air",_xlfn.xlookup(records_2[ColonyCount]&amp;records_2[AirSampler],feller[code],feller[Vc]),records_2[ColonyCount]))</f>
        <v>0</v>
      </c>
      <c r="AC371" s="60" t="b">
        <f t="shared" si="1"/>
        <v>1</v>
      </c>
      <c r="AD371" s="61" t="b">
        <v>0</v>
      </c>
      <c r="AE371" s="32" t="s">
        <v>280</v>
      </c>
      <c r="AF371" s="46"/>
      <c r="AG371" s="46"/>
      <c r="AH371" s="46"/>
      <c r="AI371" s="46"/>
      <c r="AJ371" s="46"/>
    </row>
    <row r="372" ht="22.5" customHeight="1">
      <c r="A372" s="27">
        <v>46086.0</v>
      </c>
      <c r="B372" s="34" t="str">
        <f t="array" ref="B372">TEXT(A372, "MM-YYYY")</f>
        <v>03-2026</v>
      </c>
      <c r="C372" s="34" t="s">
        <v>1355</v>
      </c>
      <c r="D372" s="36" t="s">
        <v>210</v>
      </c>
      <c r="E372" s="36" t="s">
        <v>213</v>
      </c>
      <c r="F372" s="29" t="b">
        <v>1</v>
      </c>
      <c r="G372" s="36" t="s">
        <v>214</v>
      </c>
      <c r="H372" s="140"/>
      <c r="I372" s="39"/>
      <c r="J372" s="43"/>
      <c r="K372" s="37" t="s">
        <v>317</v>
      </c>
      <c r="L372" s="37" t="s">
        <v>2304</v>
      </c>
      <c r="M372" s="37" t="s">
        <v>1661</v>
      </c>
      <c r="N372" s="37" t="s">
        <v>2305</v>
      </c>
      <c r="O372" s="37" t="s">
        <v>2278</v>
      </c>
      <c r="P372" s="37" t="s">
        <v>2279</v>
      </c>
      <c r="Q372" s="41">
        <v>46138.0</v>
      </c>
      <c r="R372" s="42">
        <v>0.0</v>
      </c>
      <c r="S372" s="29"/>
      <c r="T372" s="37" t="s">
        <v>2280</v>
      </c>
      <c r="U372" s="47" t="str">
        <f>IF(records_2[Type]="Room",records_2[roomNo],records_2[roomNo]&amp;"-"&amp;SUBSTITUTE(RIGHT(records_2[roomNo]&amp;records_2[Type],2),"-",""))</f>
        <v>11-1-026</v>
      </c>
      <c r="V372" s="47" t="str">
        <f t="array" ref="V372">_xlfn.XLOOKUP(records_2[ID], dAir[roomNo], dAir[roomName])</f>
        <v>STORAGE</v>
      </c>
      <c r="W372" s="47" t="str">
        <f t="array" ref="W372">_xlfn.XLOOKUP(records_2[ID], dAir[roomNo], dAir[building])</f>
        <v>Building 11</v>
      </c>
      <c r="X372" s="47" t="str">
        <f t="array" ref="X372">_xlfn.XLOOKUP(records_2[ID], dAir[roomNo], dAir[floor])</f>
        <v>Floor 1</v>
      </c>
      <c r="Y372" s="45" t="str">
        <f t="array" ref="Y372">_xlfn.XLOOKUP(records_2[ID], dAir[roomNo], dAir[Class])</f>
        <v>D</v>
      </c>
      <c r="Z372" s="45">
        <f t="array" ref="Z372">_xlfn.XLOOKUP(records_2[Method]&amp;"-"&amp;records_2[Class], dAirSpec[ID], dAirSpec[Spec])</f>
        <v>100</v>
      </c>
      <c r="AA372" s="45" t="str">
        <f t="array" ref="AA372">_xlfn.XLOOKUP(records_2[Method]&amp;"-"&amp;records_2[Class], dAirSpec[ID], dAirSpec[Unit])</f>
        <v>cfu/plate</v>
      </c>
      <c r="AB372" s="58">
        <f t="array" ref="AB372">if(R372="","", if(records_2[Method]="Active Air",_xlfn.xlookup(records_2[ColonyCount]&amp;records_2[AirSampler],feller[code],feller[Vc]),records_2[ColonyCount]))</f>
        <v>0</v>
      </c>
      <c r="AC372" s="60" t="b">
        <f t="shared" si="1"/>
        <v>1</v>
      </c>
      <c r="AD372" s="61" t="b">
        <v>0</v>
      </c>
      <c r="AE372" s="32" t="s">
        <v>280</v>
      </c>
      <c r="AF372" s="46"/>
      <c r="AG372" s="46"/>
      <c r="AH372" s="46"/>
      <c r="AI372" s="46"/>
      <c r="AJ372" s="46"/>
    </row>
    <row r="373" ht="22.5" customHeight="1">
      <c r="A373" s="27">
        <v>46086.0</v>
      </c>
      <c r="B373" s="34" t="str">
        <f t="array" ref="B373">TEXT(A373, "MM-YYYY")</f>
        <v>03-2026</v>
      </c>
      <c r="C373" s="34" t="s">
        <v>1358</v>
      </c>
      <c r="D373" s="36" t="s">
        <v>210</v>
      </c>
      <c r="E373" s="36" t="s">
        <v>213</v>
      </c>
      <c r="F373" s="29" t="b">
        <v>1</v>
      </c>
      <c r="G373" s="36" t="s">
        <v>214</v>
      </c>
      <c r="H373" s="140"/>
      <c r="I373" s="39"/>
      <c r="J373" s="43"/>
      <c r="K373" s="37" t="s">
        <v>591</v>
      </c>
      <c r="L373" s="37" t="s">
        <v>1072</v>
      </c>
      <c r="M373" s="37" t="s">
        <v>2306</v>
      </c>
      <c r="N373" s="37" t="s">
        <v>2307</v>
      </c>
      <c r="O373" s="37" t="s">
        <v>2278</v>
      </c>
      <c r="P373" s="37" t="s">
        <v>2279</v>
      </c>
      <c r="Q373" s="41">
        <v>46138.0</v>
      </c>
      <c r="R373" s="42">
        <v>0.0</v>
      </c>
      <c r="S373" s="29"/>
      <c r="T373" s="37" t="s">
        <v>2280</v>
      </c>
      <c r="U373" s="47" t="str">
        <f>IF(records_2[Type]="Room",records_2[roomNo],records_2[roomNo]&amp;"-"&amp;SUBSTITUTE(RIGHT(records_2[roomNo]&amp;records_2[Type],2),"-",""))</f>
        <v>11-1-027</v>
      </c>
      <c r="V373" s="47" t="str">
        <f t="array" ref="V373">_xlfn.XLOOKUP(records_2[ID], dAir[roomNo], dAir[roomName])</f>
        <v>DRYING</v>
      </c>
      <c r="W373" s="47" t="str">
        <f t="array" ref="W373">_xlfn.XLOOKUP(records_2[ID], dAir[roomNo], dAir[building])</f>
        <v>Building 11</v>
      </c>
      <c r="X373" s="47" t="str">
        <f t="array" ref="X373">_xlfn.XLOOKUP(records_2[ID], dAir[roomNo], dAir[floor])</f>
        <v>Floor 1</v>
      </c>
      <c r="Y373" s="45" t="str">
        <f t="array" ref="Y373">_xlfn.XLOOKUP(records_2[ID], dAir[roomNo], dAir[Class])</f>
        <v>D</v>
      </c>
      <c r="Z373" s="45">
        <f t="array" ref="Z373">_xlfn.XLOOKUP(records_2[Method]&amp;"-"&amp;records_2[Class], dAirSpec[ID], dAirSpec[Spec])</f>
        <v>100</v>
      </c>
      <c r="AA373" s="45" t="str">
        <f t="array" ref="AA373">_xlfn.XLOOKUP(records_2[Method]&amp;"-"&amp;records_2[Class], dAirSpec[ID], dAirSpec[Unit])</f>
        <v>cfu/plate</v>
      </c>
      <c r="AB373" s="58">
        <f t="array" ref="AB373">if(R373="","", if(records_2[Method]="Active Air",_xlfn.xlookup(records_2[ColonyCount]&amp;records_2[AirSampler],feller[code],feller[Vc]),records_2[ColonyCount]))</f>
        <v>0</v>
      </c>
      <c r="AC373" s="60" t="b">
        <f t="shared" si="1"/>
        <v>1</v>
      </c>
      <c r="AD373" s="61" t="b">
        <v>0</v>
      </c>
      <c r="AE373" s="32" t="s">
        <v>280</v>
      </c>
      <c r="AF373" s="46"/>
      <c r="AG373" s="46"/>
      <c r="AH373" s="46"/>
      <c r="AI373" s="46"/>
      <c r="AJ373" s="46"/>
    </row>
    <row r="374" ht="22.5" customHeight="1">
      <c r="A374" s="27">
        <v>46086.0</v>
      </c>
      <c r="B374" s="34" t="str">
        <f t="array" ref="B374">TEXT(A374, "MM-YYYY")</f>
        <v>03-2026</v>
      </c>
      <c r="C374" s="34" t="s">
        <v>1359</v>
      </c>
      <c r="D374" s="36" t="s">
        <v>210</v>
      </c>
      <c r="E374" s="36" t="s">
        <v>213</v>
      </c>
      <c r="F374" s="29" t="b">
        <v>1</v>
      </c>
      <c r="G374" s="36" t="s">
        <v>214</v>
      </c>
      <c r="H374" s="140"/>
      <c r="I374" s="39"/>
      <c r="J374" s="43"/>
      <c r="K374" s="37" t="s">
        <v>428</v>
      </c>
      <c r="L374" s="37" t="s">
        <v>2092</v>
      </c>
      <c r="M374" s="37" t="s">
        <v>2308</v>
      </c>
      <c r="N374" s="37" t="s">
        <v>2309</v>
      </c>
      <c r="O374" s="37" t="s">
        <v>2278</v>
      </c>
      <c r="P374" s="37" t="s">
        <v>2279</v>
      </c>
      <c r="Q374" s="41">
        <v>46138.0</v>
      </c>
      <c r="R374" s="42">
        <v>0.0</v>
      </c>
      <c r="S374" s="29"/>
      <c r="T374" s="37" t="s">
        <v>2280</v>
      </c>
      <c r="U374" s="47" t="str">
        <f>IF(records_2[Type]="Room",records_2[roomNo],records_2[roomNo]&amp;"-"&amp;SUBSTITUTE(RIGHT(records_2[roomNo]&amp;records_2[Type],2),"-",""))</f>
        <v>11-1-028</v>
      </c>
      <c r="V374" s="47" t="str">
        <f t="array" ref="V374">_xlfn.XLOOKUP(records_2[ID], dAir[roomNo], dAir[roomName])</f>
        <v>WASHING</v>
      </c>
      <c r="W374" s="47" t="str">
        <f t="array" ref="W374">_xlfn.XLOOKUP(records_2[ID], dAir[roomNo], dAir[building])</f>
        <v>Building 11</v>
      </c>
      <c r="X374" s="47" t="str">
        <f t="array" ref="X374">_xlfn.XLOOKUP(records_2[ID], dAir[roomNo], dAir[floor])</f>
        <v>Floor 1</v>
      </c>
      <c r="Y374" s="45" t="str">
        <f t="array" ref="Y374">_xlfn.XLOOKUP(records_2[ID], dAir[roomNo], dAir[Class])</f>
        <v>D</v>
      </c>
      <c r="Z374" s="45">
        <f t="array" ref="Z374">_xlfn.XLOOKUP(records_2[Method]&amp;"-"&amp;records_2[Class], dAirSpec[ID], dAirSpec[Spec])</f>
        <v>100</v>
      </c>
      <c r="AA374" s="45" t="str">
        <f t="array" ref="AA374">_xlfn.XLOOKUP(records_2[Method]&amp;"-"&amp;records_2[Class], dAirSpec[ID], dAirSpec[Unit])</f>
        <v>cfu/plate</v>
      </c>
      <c r="AB374" s="58">
        <f t="array" ref="AB374">if(R374="","", if(records_2[Method]="Active Air",_xlfn.xlookup(records_2[ColonyCount]&amp;records_2[AirSampler],feller[code],feller[Vc]),records_2[ColonyCount]))</f>
        <v>0</v>
      </c>
      <c r="AC374" s="60" t="b">
        <f t="shared" si="1"/>
        <v>1</v>
      </c>
      <c r="AD374" s="61" t="b">
        <v>0</v>
      </c>
      <c r="AE374" s="32" t="s">
        <v>280</v>
      </c>
      <c r="AF374" s="46"/>
      <c r="AG374" s="46"/>
      <c r="AH374" s="46"/>
      <c r="AI374" s="46"/>
      <c r="AJ374" s="46"/>
    </row>
    <row r="375" ht="22.5" customHeight="1">
      <c r="A375" s="68">
        <v>46091.0</v>
      </c>
      <c r="B375" s="70" t="str">
        <f t="array" ref="B375">TEXT(A375, "MM-YYYY")</f>
        <v>03-2026</v>
      </c>
      <c r="C375" s="72" t="s">
        <v>753</v>
      </c>
      <c r="D375" s="71" t="s">
        <v>755</v>
      </c>
      <c r="E375" s="71" t="s">
        <v>531</v>
      </c>
      <c r="F375" s="29" t="b">
        <v>1</v>
      </c>
      <c r="G375" s="71" t="s">
        <v>214</v>
      </c>
      <c r="H375" s="71" t="s">
        <v>757</v>
      </c>
      <c r="I375" s="39">
        <v>3.1101125E8</v>
      </c>
      <c r="J375" s="40">
        <v>46240.0</v>
      </c>
      <c r="K375" s="190" t="s">
        <v>569</v>
      </c>
      <c r="L375" s="190" t="s">
        <v>2310</v>
      </c>
      <c r="M375" s="190" t="s">
        <v>690</v>
      </c>
      <c r="N375" s="190" t="s">
        <v>829</v>
      </c>
      <c r="O375" s="190" t="s">
        <v>2278</v>
      </c>
      <c r="P375" s="190" t="s">
        <v>2279</v>
      </c>
      <c r="Q375" s="191">
        <v>46138.0</v>
      </c>
      <c r="R375" s="192">
        <v>0.0</v>
      </c>
      <c r="S375" s="193"/>
      <c r="T375" s="190" t="s">
        <v>2311</v>
      </c>
      <c r="U375" s="195" t="str">
        <f>IF(records_2[Type]="Room",records_2[roomNo],records_2[roomNo]&amp;"-"&amp;SUBSTITUTE(RIGHT(records_2[roomNo]&amp;records_2[Type],2),"-",""))</f>
        <v>16-1-075-M</v>
      </c>
      <c r="V375" s="194" t="str">
        <f t="array" ref="V375">_xlfn.XLOOKUP(records_2[ID], dAir[roomNo], dAir[roomName])</f>
        <v>VIALS CAPPING (Machine)</v>
      </c>
      <c r="W375" s="194" t="str">
        <f t="array" ref="W375">_xlfn.XLOOKUP(records_2[ID], dAir[roomNo], dAir[building])</f>
        <v>Building 16</v>
      </c>
      <c r="X375" s="194" t="str">
        <f t="array" ref="X375">_xlfn.XLOOKUP(records_2[ID], dAir[roomNo], dAir[floor])</f>
        <v>Floor 1</v>
      </c>
      <c r="Y375" s="195" t="str">
        <f t="array" ref="Y375">_xlfn.XLOOKUP(records_2[ID], dAir[roomNo], dAir[Class])</f>
        <v>A</v>
      </c>
      <c r="Z375" s="195">
        <f t="array" ref="Z375">_xlfn.XLOOKUP(records_2[Method]&amp;"-"&amp;records_2[Class], dAirSpec[ID], dAirSpec[Spec])</f>
        <v>0</v>
      </c>
      <c r="AA375" s="195" t="str">
        <f t="array" ref="AA375">_xlfn.XLOOKUP(records_2[Method]&amp;"-"&amp;records_2[Class], dAirSpec[ID], dAirSpec[Unit])</f>
        <v>cfu/m3</v>
      </c>
      <c r="AB375" s="195">
        <f t="array" ref="AB375">if(R375="","", if(records_2[Method]="Active Air",_xlfn.xlookup(records_2[ColonyCount]&amp;records_2[AirSampler],feller[code],feller[Vc]),records_2[ColonyCount]))</f>
        <v>0</v>
      </c>
      <c r="AC375" s="197" t="b">
        <f t="shared" si="1"/>
        <v>1</v>
      </c>
      <c r="AD375" s="193" t="b">
        <v>0</v>
      </c>
      <c r="AE375" s="72" t="s">
        <v>280</v>
      </c>
      <c r="AF375" s="198"/>
      <c r="AG375" s="198"/>
      <c r="AH375" s="198"/>
      <c r="AI375" s="198"/>
      <c r="AJ375" s="198"/>
    </row>
    <row r="376" ht="22.5" customHeight="1">
      <c r="A376" s="27">
        <v>46091.0</v>
      </c>
      <c r="B376" s="34" t="str">
        <f t="array" ref="B376">TEXT(A376, "MM-YYYY")</f>
        <v>03-2026</v>
      </c>
      <c r="C376" s="39" t="s">
        <v>765</v>
      </c>
      <c r="D376" s="36" t="s">
        <v>770</v>
      </c>
      <c r="E376" s="36" t="s">
        <v>531</v>
      </c>
      <c r="F376" s="29" t="b">
        <v>1</v>
      </c>
      <c r="G376" s="36" t="s">
        <v>214</v>
      </c>
      <c r="H376" s="36" t="s">
        <v>757</v>
      </c>
      <c r="I376" s="39">
        <v>3.1101125E8</v>
      </c>
      <c r="J376" s="40">
        <v>46240.0</v>
      </c>
      <c r="K376" s="37" t="s">
        <v>1157</v>
      </c>
      <c r="L376" s="37" t="s">
        <v>2263</v>
      </c>
      <c r="M376" s="37" t="s">
        <v>2312</v>
      </c>
      <c r="N376" s="37" t="s">
        <v>523</v>
      </c>
      <c r="O376" s="37" t="s">
        <v>2278</v>
      </c>
      <c r="P376" s="37" t="s">
        <v>2279</v>
      </c>
      <c r="Q376" s="41">
        <v>46138.0</v>
      </c>
      <c r="R376" s="42">
        <v>0.0</v>
      </c>
      <c r="S376" s="29"/>
      <c r="T376" s="37" t="s">
        <v>2311</v>
      </c>
      <c r="U376" s="45" t="str">
        <f>IF(records_2[Type]="Room",records_2[roomNo],records_2[roomNo]&amp;"-"&amp;SUBSTITUTE(RIGHT(records_2[roomNo]&amp;records_2[Type],2),"-",""))</f>
        <v>16-1-076-L</v>
      </c>
      <c r="V376" s="47" t="str">
        <f t="array" ref="V376">_xlfn.XLOOKUP(records_2[ID], dAir[roomNo], dAir[roomName])</f>
        <v>FILLING 2 (Laminar)</v>
      </c>
      <c r="W376" s="47" t="str">
        <f t="array" ref="W376">_xlfn.XLOOKUP(records_2[ID], dAir[roomNo], dAir[building])</f>
        <v>Building 16</v>
      </c>
      <c r="X376" s="47" t="str">
        <f t="array" ref="X376">_xlfn.XLOOKUP(records_2[ID], dAir[roomNo], dAir[floor])</f>
        <v>Floor 1</v>
      </c>
      <c r="Y376" s="45" t="str">
        <f t="array" ref="Y376">_xlfn.XLOOKUP(records_2[ID], dAir[roomNo], dAir[Class])</f>
        <v>A</v>
      </c>
      <c r="Z376" s="45">
        <f t="array" ref="Z376">_xlfn.XLOOKUP(records_2[Method]&amp;"-"&amp;records_2[Class], dAirSpec[ID], dAirSpec[Spec])</f>
        <v>0</v>
      </c>
      <c r="AA376" s="45" t="str">
        <f t="array" ref="AA376">_xlfn.XLOOKUP(records_2[Method]&amp;"-"&amp;records_2[Class], dAirSpec[ID], dAirSpec[Unit])</f>
        <v>cfu/m3</v>
      </c>
      <c r="AB376" s="45">
        <f t="array" ref="AB376">if(R376="","", if(records_2[Method]="Active Air",_xlfn.xlookup(records_2[ColonyCount]&amp;records_2[AirSampler],feller[code],feller[Vc]),records_2[ColonyCount]))</f>
        <v>0</v>
      </c>
      <c r="AC376" s="60" t="b">
        <f t="shared" si="1"/>
        <v>1</v>
      </c>
      <c r="AD376" s="61" t="b">
        <v>0</v>
      </c>
      <c r="AE376" s="32" t="s">
        <v>280</v>
      </c>
      <c r="AF376" s="46"/>
      <c r="AG376" s="46"/>
      <c r="AH376" s="46"/>
      <c r="AI376" s="46"/>
      <c r="AJ376" s="46"/>
    </row>
    <row r="377" ht="22.5" customHeight="1">
      <c r="A377" s="27">
        <v>46091.0</v>
      </c>
      <c r="B377" s="34" t="str">
        <f t="array" ref="B377">TEXT(A377, "MM-YYYY")</f>
        <v>03-2026</v>
      </c>
      <c r="C377" s="39" t="s">
        <v>765</v>
      </c>
      <c r="D377" s="36" t="s">
        <v>755</v>
      </c>
      <c r="E377" s="36" t="s">
        <v>531</v>
      </c>
      <c r="F377" s="29" t="b">
        <v>1</v>
      </c>
      <c r="G377" s="36" t="s">
        <v>214</v>
      </c>
      <c r="H377" s="36" t="s">
        <v>757</v>
      </c>
      <c r="I377" s="39">
        <v>3.1101125E8</v>
      </c>
      <c r="J377" s="40">
        <v>46240.0</v>
      </c>
      <c r="K377" s="37" t="s">
        <v>1157</v>
      </c>
      <c r="L377" s="37" t="s">
        <v>2263</v>
      </c>
      <c r="M377" s="37" t="s">
        <v>462</v>
      </c>
      <c r="N377" s="37" t="s">
        <v>2313</v>
      </c>
      <c r="O377" s="37" t="s">
        <v>2278</v>
      </c>
      <c r="P377" s="37" t="s">
        <v>2279</v>
      </c>
      <c r="Q377" s="41">
        <v>46138.0</v>
      </c>
      <c r="R377" s="42">
        <v>0.0</v>
      </c>
      <c r="S377" s="29"/>
      <c r="T377" s="37" t="s">
        <v>2311</v>
      </c>
      <c r="U377" s="45" t="str">
        <f>IF(records_2[Type]="Room",records_2[roomNo],records_2[roomNo]&amp;"-"&amp;SUBSTITUTE(RIGHT(records_2[roomNo]&amp;records_2[Type],2),"-",""))</f>
        <v>16-1-076-M</v>
      </c>
      <c r="V377" s="47" t="str">
        <f t="array" ref="V377">_xlfn.XLOOKUP(records_2[ID], dAir[roomNo], dAir[roomName])</f>
        <v>FILLING 2 (Machine)</v>
      </c>
      <c r="W377" s="47" t="str">
        <f t="array" ref="W377">_xlfn.XLOOKUP(records_2[ID], dAir[roomNo], dAir[building])</f>
        <v>Building 16</v>
      </c>
      <c r="X377" s="47" t="str">
        <f t="array" ref="X377">_xlfn.XLOOKUP(records_2[ID], dAir[roomNo], dAir[floor])</f>
        <v>Floor 1</v>
      </c>
      <c r="Y377" s="45" t="str">
        <f t="array" ref="Y377">_xlfn.XLOOKUP(records_2[ID], dAir[roomNo], dAir[Class])</f>
        <v>A</v>
      </c>
      <c r="Z377" s="45">
        <f t="array" ref="Z377">_xlfn.XLOOKUP(records_2[Method]&amp;"-"&amp;records_2[Class], dAirSpec[ID], dAirSpec[Spec])</f>
        <v>0</v>
      </c>
      <c r="AA377" s="45" t="str">
        <f t="array" ref="AA377">_xlfn.XLOOKUP(records_2[Method]&amp;"-"&amp;records_2[Class], dAirSpec[ID], dAirSpec[Unit])</f>
        <v>cfu/m3</v>
      </c>
      <c r="AB377" s="45">
        <f t="array" ref="AB377">if(R377="","", if(records_2[Method]="Active Air",_xlfn.xlookup(records_2[ColonyCount]&amp;records_2[AirSampler],feller[code],feller[Vc]),records_2[ColonyCount]))</f>
        <v>0</v>
      </c>
      <c r="AC377" s="60" t="b">
        <f t="shared" si="1"/>
        <v>1</v>
      </c>
      <c r="AD377" s="61" t="b">
        <v>0</v>
      </c>
      <c r="AE377" s="32" t="s">
        <v>280</v>
      </c>
      <c r="AF377" s="46"/>
      <c r="AG377" s="46"/>
      <c r="AH377" s="46"/>
      <c r="AI377" s="46"/>
      <c r="AJ377" s="46"/>
    </row>
    <row r="378" ht="22.5" customHeight="1">
      <c r="A378" s="27">
        <v>46091.0</v>
      </c>
      <c r="B378" s="34" t="str">
        <f t="array" ref="B378">TEXT(A378, "MM-YYYY")</f>
        <v>03-2026</v>
      </c>
      <c r="C378" s="39" t="s">
        <v>774</v>
      </c>
      <c r="D378" s="36" t="s">
        <v>770</v>
      </c>
      <c r="E378" s="36" t="s">
        <v>531</v>
      </c>
      <c r="F378" s="29" t="b">
        <v>1</v>
      </c>
      <c r="G378" s="36" t="s">
        <v>214</v>
      </c>
      <c r="H378" s="36" t="s">
        <v>757</v>
      </c>
      <c r="I378" s="39">
        <v>3.1101125E8</v>
      </c>
      <c r="J378" s="40">
        <v>46240.0</v>
      </c>
      <c r="K378" s="37" t="s">
        <v>469</v>
      </c>
      <c r="L378" s="37" t="s">
        <v>570</v>
      </c>
      <c r="M378" s="37" t="s">
        <v>2314</v>
      </c>
      <c r="N378" s="37" t="s">
        <v>2315</v>
      </c>
      <c r="O378" s="37" t="s">
        <v>2278</v>
      </c>
      <c r="P378" s="37" t="s">
        <v>2279</v>
      </c>
      <c r="Q378" s="41">
        <v>46138.0</v>
      </c>
      <c r="R378" s="42">
        <v>0.0</v>
      </c>
      <c r="S378" s="29"/>
      <c r="T378" s="37" t="s">
        <v>2311</v>
      </c>
      <c r="U378" s="45" t="str">
        <f>IF(records_2[Type]="Room",records_2[roomNo],records_2[roomNo]&amp;"-"&amp;SUBSTITUTE(RIGHT(records_2[roomNo]&amp;records_2[Type],2),"-",""))</f>
        <v>16-1-084-L</v>
      </c>
      <c r="V378" s="47" t="str">
        <f t="array" ref="V378">_xlfn.XLOOKUP(records_2[ID], dAir[roomNo], dAir[roomName])</f>
        <v>FILLING 1 (Laminar)</v>
      </c>
      <c r="W378" s="47" t="str">
        <f t="array" ref="W378">_xlfn.XLOOKUP(records_2[ID], dAir[roomNo], dAir[building])</f>
        <v>Building 16</v>
      </c>
      <c r="X378" s="47" t="str">
        <f t="array" ref="X378">_xlfn.XLOOKUP(records_2[ID], dAir[roomNo], dAir[floor])</f>
        <v>Floor 1</v>
      </c>
      <c r="Y378" s="45" t="str">
        <f t="array" ref="Y378">_xlfn.XLOOKUP(records_2[ID], dAir[roomNo], dAir[Class])</f>
        <v>A</v>
      </c>
      <c r="Z378" s="45">
        <f t="array" ref="Z378">_xlfn.XLOOKUP(records_2[Method]&amp;"-"&amp;records_2[Class], dAirSpec[ID], dAirSpec[Spec])</f>
        <v>0</v>
      </c>
      <c r="AA378" s="45" t="str">
        <f t="array" ref="AA378">_xlfn.XLOOKUP(records_2[Method]&amp;"-"&amp;records_2[Class], dAirSpec[ID], dAirSpec[Unit])</f>
        <v>cfu/m3</v>
      </c>
      <c r="AB378" s="45">
        <f t="array" ref="AB378">if(R378="","", if(records_2[Method]="Active Air",_xlfn.xlookup(records_2[ColonyCount]&amp;records_2[AirSampler],feller[code],feller[Vc]),records_2[ColonyCount]))</f>
        <v>0</v>
      </c>
      <c r="AC378" s="60" t="b">
        <f t="shared" si="1"/>
        <v>1</v>
      </c>
      <c r="AD378" s="61" t="b">
        <v>0</v>
      </c>
      <c r="AE378" s="32" t="s">
        <v>280</v>
      </c>
      <c r="AF378" s="46"/>
      <c r="AG378" s="46"/>
      <c r="AH378" s="46"/>
      <c r="AI378" s="46"/>
      <c r="AJ378" s="46"/>
    </row>
    <row r="379" ht="22.5" customHeight="1">
      <c r="A379" s="27">
        <v>46091.0</v>
      </c>
      <c r="B379" s="34" t="str">
        <f t="array" ref="B379">TEXT(A379, "MM-YYYY")</f>
        <v>03-2026</v>
      </c>
      <c r="C379" s="39" t="s">
        <v>774</v>
      </c>
      <c r="D379" s="36" t="s">
        <v>755</v>
      </c>
      <c r="E379" s="36" t="s">
        <v>531</v>
      </c>
      <c r="F379" s="29" t="b">
        <v>1</v>
      </c>
      <c r="G379" s="36" t="s">
        <v>214</v>
      </c>
      <c r="H379" s="36" t="s">
        <v>757</v>
      </c>
      <c r="I379" s="39">
        <v>3.1101125E8</v>
      </c>
      <c r="J379" s="40">
        <v>46240.0</v>
      </c>
      <c r="K379" s="37" t="s">
        <v>469</v>
      </c>
      <c r="L379" s="37" t="s">
        <v>570</v>
      </c>
      <c r="M379" s="37" t="s">
        <v>2316</v>
      </c>
      <c r="N379" s="37" t="s">
        <v>2317</v>
      </c>
      <c r="O379" s="37" t="s">
        <v>2278</v>
      </c>
      <c r="P379" s="37" t="s">
        <v>2279</v>
      </c>
      <c r="Q379" s="41">
        <v>46138.0</v>
      </c>
      <c r="R379" s="42">
        <v>0.0</v>
      </c>
      <c r="S379" s="29"/>
      <c r="T379" s="37" t="s">
        <v>2311</v>
      </c>
      <c r="U379" s="45" t="str">
        <f>IF(records_2[Type]="Room",records_2[roomNo],records_2[roomNo]&amp;"-"&amp;SUBSTITUTE(RIGHT(records_2[roomNo]&amp;records_2[Type],2),"-",""))</f>
        <v>16-1-084-M</v>
      </c>
      <c r="V379" s="47" t="str">
        <f t="array" ref="V379">_xlfn.XLOOKUP(records_2[ID], dAir[roomNo], dAir[roomName])</f>
        <v>FILLING 1 (Machine)</v>
      </c>
      <c r="W379" s="47" t="str">
        <f t="array" ref="W379">_xlfn.XLOOKUP(records_2[ID], dAir[roomNo], dAir[building])</f>
        <v>Building 16</v>
      </c>
      <c r="X379" s="47" t="str">
        <f t="array" ref="X379">_xlfn.XLOOKUP(records_2[ID], dAir[roomNo], dAir[floor])</f>
        <v>Floor 1</v>
      </c>
      <c r="Y379" s="45" t="str">
        <f t="array" ref="Y379">_xlfn.XLOOKUP(records_2[ID], dAir[roomNo], dAir[Class])</f>
        <v>A</v>
      </c>
      <c r="Z379" s="45">
        <f t="array" ref="Z379">_xlfn.XLOOKUP(records_2[Method]&amp;"-"&amp;records_2[Class], dAirSpec[ID], dAirSpec[Spec])</f>
        <v>0</v>
      </c>
      <c r="AA379" s="45" t="str">
        <f t="array" ref="AA379">_xlfn.XLOOKUP(records_2[Method]&amp;"-"&amp;records_2[Class], dAirSpec[ID], dAirSpec[Unit])</f>
        <v>cfu/m3</v>
      </c>
      <c r="AB379" s="45">
        <f t="array" ref="AB379">if(R379="","", if(records_2[Method]="Active Air",_xlfn.xlookup(records_2[ColonyCount]&amp;records_2[AirSampler],feller[code],feller[Vc]),records_2[ColonyCount]))</f>
        <v>0</v>
      </c>
      <c r="AC379" s="60" t="b">
        <f t="shared" si="1"/>
        <v>1</v>
      </c>
      <c r="AD379" s="61" t="b">
        <v>0</v>
      </c>
      <c r="AE379" s="32" t="s">
        <v>280</v>
      </c>
      <c r="AF379" s="46"/>
      <c r="AG379" s="46"/>
      <c r="AH379" s="46"/>
      <c r="AI379" s="46"/>
      <c r="AJ379" s="46"/>
    </row>
    <row r="380" ht="22.5" customHeight="1">
      <c r="A380" s="27">
        <v>46091.0</v>
      </c>
      <c r="B380" s="34" t="str">
        <f t="array" ref="B380">TEXT(A380, "MM-YYYY")</f>
        <v>03-2026</v>
      </c>
      <c r="C380" s="32" t="s">
        <v>786</v>
      </c>
      <c r="D380" s="36" t="s">
        <v>680</v>
      </c>
      <c r="E380" s="36" t="s">
        <v>531</v>
      </c>
      <c r="F380" s="29" t="b">
        <v>1</v>
      </c>
      <c r="G380" s="36" t="s">
        <v>214</v>
      </c>
      <c r="H380" s="36" t="s">
        <v>757</v>
      </c>
      <c r="I380" s="39">
        <v>3.1101125E8</v>
      </c>
      <c r="J380" s="40">
        <v>46240.0</v>
      </c>
      <c r="K380" s="37" t="s">
        <v>353</v>
      </c>
      <c r="L380" s="37" t="s">
        <v>2318</v>
      </c>
      <c r="M380" s="37" t="s">
        <v>2093</v>
      </c>
      <c r="N380" s="37" t="s">
        <v>2139</v>
      </c>
      <c r="O380" s="37" t="s">
        <v>2278</v>
      </c>
      <c r="P380" s="37" t="s">
        <v>2279</v>
      </c>
      <c r="Q380" s="41">
        <v>46138.0</v>
      </c>
      <c r="R380" s="42">
        <v>0.0</v>
      </c>
      <c r="S380" s="29"/>
      <c r="T380" s="37" t="s">
        <v>2311</v>
      </c>
      <c r="U380" s="45" t="str">
        <f>IF(records_2[Type]="Room",records_2[roomNo],records_2[roomNo]&amp;"-"&amp;SUBSTITUTE(RIGHT(records_2[roomNo]&amp;records_2[Type],2),"-",""))</f>
        <v>16-1-102-B</v>
      </c>
      <c r="V380" s="47" t="str">
        <f t="array" ref="V380">_xlfn.XLOOKUP(records_2[ID], dAir[roomNo], dAir[roomName])</f>
        <v>DISPENSING (Booth)</v>
      </c>
      <c r="W380" s="47" t="str">
        <f t="array" ref="W380">_xlfn.XLOOKUP(records_2[ID], dAir[roomNo], dAir[building])</f>
        <v>Building 16</v>
      </c>
      <c r="X380" s="47" t="str">
        <f t="array" ref="X380">_xlfn.XLOOKUP(records_2[ID], dAir[roomNo], dAir[floor])</f>
        <v>Floor 1</v>
      </c>
      <c r="Y380" s="45" t="str">
        <f t="array" ref="Y380">_xlfn.XLOOKUP(records_2[ID], dAir[roomNo], dAir[Class])</f>
        <v>A</v>
      </c>
      <c r="Z380" s="45">
        <f t="array" ref="Z380">_xlfn.XLOOKUP(records_2[Method]&amp;"-"&amp;records_2[Class], dAirSpec[ID], dAirSpec[Spec])</f>
        <v>0</v>
      </c>
      <c r="AA380" s="45" t="str">
        <f t="array" ref="AA380">_xlfn.XLOOKUP(records_2[Method]&amp;"-"&amp;records_2[Class], dAirSpec[ID], dAirSpec[Unit])</f>
        <v>cfu/m3</v>
      </c>
      <c r="AB380" s="45">
        <f t="array" ref="AB380">if(R380="","", if(records_2[Method]="Active Air",_xlfn.xlookup(records_2[ColonyCount]&amp;records_2[AirSampler],feller[code],feller[Vc]),records_2[ColonyCount]))</f>
        <v>0</v>
      </c>
      <c r="AC380" s="60" t="b">
        <f t="shared" si="1"/>
        <v>1</v>
      </c>
      <c r="AD380" s="61" t="b">
        <v>0</v>
      </c>
      <c r="AE380" s="32" t="s">
        <v>280</v>
      </c>
      <c r="AF380" s="46"/>
      <c r="AG380" s="46"/>
      <c r="AH380" s="46"/>
      <c r="AI380" s="46"/>
      <c r="AJ380" s="46"/>
    </row>
    <row r="381" ht="22.5" customHeight="1">
      <c r="A381" s="68">
        <v>46097.0</v>
      </c>
      <c r="B381" s="70" t="str">
        <f t="array" ref="B381">TEXT(A381, "MM-YYYY")</f>
        <v>03-2026</v>
      </c>
      <c r="C381" s="72" t="s">
        <v>753</v>
      </c>
      <c r="D381" s="71" t="s">
        <v>755</v>
      </c>
      <c r="E381" s="71" t="s">
        <v>531</v>
      </c>
      <c r="F381" s="29" t="b">
        <v>1</v>
      </c>
      <c r="G381" s="71" t="s">
        <v>214</v>
      </c>
      <c r="H381" s="71" t="s">
        <v>757</v>
      </c>
      <c r="I381" s="39">
        <v>3.1101125E8</v>
      </c>
      <c r="J381" s="40">
        <v>46240.0</v>
      </c>
      <c r="K381" s="37" t="s">
        <v>484</v>
      </c>
      <c r="L381" s="37" t="s">
        <v>2274</v>
      </c>
      <c r="M381" s="37" t="s">
        <v>2239</v>
      </c>
      <c r="N381" s="37" t="s">
        <v>2153</v>
      </c>
      <c r="O381" s="37" t="s">
        <v>2278</v>
      </c>
      <c r="P381" s="37" t="s">
        <v>2279</v>
      </c>
      <c r="Q381" s="41">
        <v>46138.0</v>
      </c>
      <c r="R381" s="42">
        <v>0.0</v>
      </c>
      <c r="S381" s="29"/>
      <c r="T381" s="37" t="s">
        <v>2319</v>
      </c>
      <c r="U381" s="45" t="str">
        <f>IF(records_2[Type]="Room",records_2[roomNo],records_2[roomNo]&amp;"-"&amp;SUBSTITUTE(RIGHT(records_2[roomNo]&amp;records_2[Type],2),"-",""))</f>
        <v>16-1-075-M</v>
      </c>
      <c r="V381" s="47" t="str">
        <f t="array" ref="V381">_xlfn.XLOOKUP(records_2[ID], dAir[roomNo], dAir[roomName])</f>
        <v>VIALS CAPPING (Machine)</v>
      </c>
      <c r="W381" s="47" t="str">
        <f t="array" ref="W381">_xlfn.XLOOKUP(records_2[ID], dAir[roomNo], dAir[building])</f>
        <v>Building 16</v>
      </c>
      <c r="X381" s="47" t="str">
        <f t="array" ref="X381">_xlfn.XLOOKUP(records_2[ID], dAir[roomNo], dAir[floor])</f>
        <v>Floor 1</v>
      </c>
      <c r="Y381" s="45" t="str">
        <f t="array" ref="Y381">_xlfn.XLOOKUP(records_2[ID], dAir[roomNo], dAir[Class])</f>
        <v>A</v>
      </c>
      <c r="Z381" s="45">
        <f t="array" ref="Z381">_xlfn.XLOOKUP(records_2[Method]&amp;"-"&amp;records_2[Class], dAirSpec[ID], dAirSpec[Spec])</f>
        <v>0</v>
      </c>
      <c r="AA381" s="45" t="str">
        <f t="array" ref="AA381">_xlfn.XLOOKUP(records_2[Method]&amp;"-"&amp;records_2[Class], dAirSpec[ID], dAirSpec[Unit])</f>
        <v>cfu/m3</v>
      </c>
      <c r="AB381" s="45">
        <f t="array" ref="AB381">if(R381="","", if(records_2[Method]="Active Air",_xlfn.xlookup(records_2[ColonyCount]&amp;records_2[AirSampler],feller[code],feller[Vc]),records_2[ColonyCount]))</f>
        <v>0</v>
      </c>
      <c r="AC381" s="60" t="b">
        <f t="shared" si="1"/>
        <v>1</v>
      </c>
      <c r="AD381" s="61" t="b">
        <v>0</v>
      </c>
      <c r="AE381" s="32" t="s">
        <v>280</v>
      </c>
      <c r="AF381" s="46"/>
      <c r="AG381" s="46"/>
      <c r="AH381" s="46"/>
      <c r="AI381" s="46"/>
      <c r="AJ381" s="46"/>
    </row>
    <row r="382" ht="22.5" customHeight="1">
      <c r="A382" s="27">
        <v>46097.0</v>
      </c>
      <c r="B382" s="34" t="str">
        <f t="array" ref="B382">TEXT(A382, "MM-YYYY")</f>
        <v>03-2026</v>
      </c>
      <c r="C382" s="39" t="s">
        <v>765</v>
      </c>
      <c r="D382" s="36" t="s">
        <v>770</v>
      </c>
      <c r="E382" s="36" t="s">
        <v>531</v>
      </c>
      <c r="F382" s="29" t="b">
        <v>1</v>
      </c>
      <c r="G382" s="36" t="s">
        <v>214</v>
      </c>
      <c r="H382" s="36" t="s">
        <v>757</v>
      </c>
      <c r="I382" s="39">
        <v>3.1101125E8</v>
      </c>
      <c r="J382" s="40">
        <v>46240.0</v>
      </c>
      <c r="K382" s="37" t="s">
        <v>402</v>
      </c>
      <c r="L382" s="37" t="s">
        <v>563</v>
      </c>
      <c r="M382" s="37" t="s">
        <v>2320</v>
      </c>
      <c r="N382" s="37" t="s">
        <v>2321</v>
      </c>
      <c r="O382" s="37" t="s">
        <v>2278</v>
      </c>
      <c r="P382" s="37" t="s">
        <v>2279</v>
      </c>
      <c r="Q382" s="41">
        <v>46138.0</v>
      </c>
      <c r="R382" s="42">
        <v>0.0</v>
      </c>
      <c r="S382" s="29"/>
      <c r="T382" s="37" t="s">
        <v>2319</v>
      </c>
      <c r="U382" s="45" t="str">
        <f>IF(records_2[Type]="Room",records_2[roomNo],records_2[roomNo]&amp;"-"&amp;SUBSTITUTE(RIGHT(records_2[roomNo]&amp;records_2[Type],2),"-",""))</f>
        <v>16-1-076-L</v>
      </c>
      <c r="V382" s="47" t="str">
        <f t="array" ref="V382">_xlfn.XLOOKUP(records_2[ID], dAir[roomNo], dAir[roomName])</f>
        <v>FILLING 2 (Laminar)</v>
      </c>
      <c r="W382" s="47" t="str">
        <f t="array" ref="W382">_xlfn.XLOOKUP(records_2[ID], dAir[roomNo], dAir[building])</f>
        <v>Building 16</v>
      </c>
      <c r="X382" s="47" t="str">
        <f t="array" ref="X382">_xlfn.XLOOKUP(records_2[ID], dAir[roomNo], dAir[floor])</f>
        <v>Floor 1</v>
      </c>
      <c r="Y382" s="45" t="str">
        <f t="array" ref="Y382">_xlfn.XLOOKUP(records_2[ID], dAir[roomNo], dAir[Class])</f>
        <v>A</v>
      </c>
      <c r="Z382" s="45">
        <f t="array" ref="Z382">_xlfn.XLOOKUP(records_2[Method]&amp;"-"&amp;records_2[Class], dAirSpec[ID], dAirSpec[Spec])</f>
        <v>0</v>
      </c>
      <c r="AA382" s="45" t="str">
        <f t="array" ref="AA382">_xlfn.XLOOKUP(records_2[Method]&amp;"-"&amp;records_2[Class], dAirSpec[ID], dAirSpec[Unit])</f>
        <v>cfu/m3</v>
      </c>
      <c r="AB382" s="45">
        <f t="array" ref="AB382">if(R382="","", if(records_2[Method]="Active Air",_xlfn.xlookup(records_2[ColonyCount]&amp;records_2[AirSampler],feller[code],feller[Vc]),records_2[ColonyCount]))</f>
        <v>0</v>
      </c>
      <c r="AC382" s="60" t="b">
        <f t="shared" si="1"/>
        <v>1</v>
      </c>
      <c r="AD382" s="61" t="b">
        <v>0</v>
      </c>
      <c r="AE382" s="32" t="s">
        <v>280</v>
      </c>
      <c r="AF382" s="46"/>
      <c r="AG382" s="46"/>
      <c r="AH382" s="46"/>
      <c r="AI382" s="46"/>
      <c r="AJ382" s="46"/>
    </row>
    <row r="383" ht="22.5" customHeight="1">
      <c r="A383" s="27">
        <v>46097.0</v>
      </c>
      <c r="B383" s="34" t="str">
        <f t="array" ref="B383">TEXT(A383, "MM-YYYY")</f>
        <v>03-2026</v>
      </c>
      <c r="C383" s="39" t="s">
        <v>765</v>
      </c>
      <c r="D383" s="36" t="s">
        <v>755</v>
      </c>
      <c r="E383" s="36" t="s">
        <v>531</v>
      </c>
      <c r="F383" s="29" t="b">
        <v>1</v>
      </c>
      <c r="G383" s="36" t="s">
        <v>214</v>
      </c>
      <c r="H383" s="36" t="s">
        <v>757</v>
      </c>
      <c r="I383" s="39">
        <v>3.1101125E8</v>
      </c>
      <c r="J383" s="40">
        <v>46240.0</v>
      </c>
      <c r="K383" s="37" t="s">
        <v>402</v>
      </c>
      <c r="L383" s="37" t="s">
        <v>563</v>
      </c>
      <c r="M383" s="37" t="s">
        <v>2320</v>
      </c>
      <c r="N383" s="37" t="s">
        <v>2321</v>
      </c>
      <c r="O383" s="37" t="s">
        <v>2278</v>
      </c>
      <c r="P383" s="37" t="s">
        <v>2279</v>
      </c>
      <c r="Q383" s="41">
        <v>46138.0</v>
      </c>
      <c r="R383" s="42">
        <v>0.0</v>
      </c>
      <c r="S383" s="29"/>
      <c r="T383" s="37" t="s">
        <v>2319</v>
      </c>
      <c r="U383" s="45" t="str">
        <f>IF(records_2[Type]="Room",records_2[roomNo],records_2[roomNo]&amp;"-"&amp;SUBSTITUTE(RIGHT(records_2[roomNo]&amp;records_2[Type],2),"-",""))</f>
        <v>16-1-076-M</v>
      </c>
      <c r="V383" s="47" t="str">
        <f t="array" ref="V383">_xlfn.XLOOKUP(records_2[ID], dAir[roomNo], dAir[roomName])</f>
        <v>FILLING 2 (Machine)</v>
      </c>
      <c r="W383" s="47" t="str">
        <f t="array" ref="W383">_xlfn.XLOOKUP(records_2[ID], dAir[roomNo], dAir[building])</f>
        <v>Building 16</v>
      </c>
      <c r="X383" s="47" t="str">
        <f t="array" ref="X383">_xlfn.XLOOKUP(records_2[ID], dAir[roomNo], dAir[floor])</f>
        <v>Floor 1</v>
      </c>
      <c r="Y383" s="45" t="str">
        <f t="array" ref="Y383">_xlfn.XLOOKUP(records_2[ID], dAir[roomNo], dAir[Class])</f>
        <v>A</v>
      </c>
      <c r="Z383" s="45">
        <f t="array" ref="Z383">_xlfn.XLOOKUP(records_2[Method]&amp;"-"&amp;records_2[Class], dAirSpec[ID], dAirSpec[Spec])</f>
        <v>0</v>
      </c>
      <c r="AA383" s="45" t="str">
        <f t="array" ref="AA383">_xlfn.XLOOKUP(records_2[Method]&amp;"-"&amp;records_2[Class], dAirSpec[ID], dAirSpec[Unit])</f>
        <v>cfu/m3</v>
      </c>
      <c r="AB383" s="45">
        <f t="array" ref="AB383">if(R383="","", if(records_2[Method]="Active Air",_xlfn.xlookup(records_2[ColonyCount]&amp;records_2[AirSampler],feller[code],feller[Vc]),records_2[ColonyCount]))</f>
        <v>0</v>
      </c>
      <c r="AC383" s="60" t="b">
        <f t="shared" si="1"/>
        <v>1</v>
      </c>
      <c r="AD383" s="61" t="b">
        <v>0</v>
      </c>
      <c r="AE383" s="32" t="s">
        <v>280</v>
      </c>
      <c r="AF383" s="46"/>
      <c r="AG383" s="46"/>
      <c r="AH383" s="46"/>
      <c r="AI383" s="46"/>
      <c r="AJ383" s="46"/>
    </row>
    <row r="384" ht="22.5" customHeight="1">
      <c r="A384" s="27">
        <v>46097.0</v>
      </c>
      <c r="B384" s="34" t="str">
        <f t="array" ref="B384">TEXT(A384, "MM-YYYY")</f>
        <v>03-2026</v>
      </c>
      <c r="C384" s="39" t="s">
        <v>774</v>
      </c>
      <c r="D384" s="36" t="s">
        <v>770</v>
      </c>
      <c r="E384" s="36" t="s">
        <v>531</v>
      </c>
      <c r="F384" s="29" t="b">
        <v>1</v>
      </c>
      <c r="G384" s="36" t="s">
        <v>214</v>
      </c>
      <c r="H384" s="36" t="s">
        <v>757</v>
      </c>
      <c r="I384" s="39">
        <v>3.1101125E8</v>
      </c>
      <c r="J384" s="40">
        <v>46240.0</v>
      </c>
      <c r="K384" s="37" t="s">
        <v>1157</v>
      </c>
      <c r="L384" s="37" t="s">
        <v>1054</v>
      </c>
      <c r="M384" s="37" t="s">
        <v>2246</v>
      </c>
      <c r="N384" s="37" t="s">
        <v>2322</v>
      </c>
      <c r="O384" s="37" t="s">
        <v>2278</v>
      </c>
      <c r="P384" s="37" t="s">
        <v>2279</v>
      </c>
      <c r="Q384" s="41">
        <v>46138.0</v>
      </c>
      <c r="R384" s="42">
        <v>0.0</v>
      </c>
      <c r="S384" s="29"/>
      <c r="T384" s="37" t="s">
        <v>2319</v>
      </c>
      <c r="U384" s="45" t="str">
        <f>IF(records_2[Type]="Room",records_2[roomNo],records_2[roomNo]&amp;"-"&amp;SUBSTITUTE(RIGHT(records_2[roomNo]&amp;records_2[Type],2),"-",""))</f>
        <v>16-1-084-L</v>
      </c>
      <c r="V384" s="47" t="str">
        <f t="array" ref="V384">_xlfn.XLOOKUP(records_2[ID], dAir[roomNo], dAir[roomName])</f>
        <v>FILLING 1 (Laminar)</v>
      </c>
      <c r="W384" s="47" t="str">
        <f t="array" ref="W384">_xlfn.XLOOKUP(records_2[ID], dAir[roomNo], dAir[building])</f>
        <v>Building 16</v>
      </c>
      <c r="X384" s="47" t="str">
        <f t="array" ref="X384">_xlfn.XLOOKUP(records_2[ID], dAir[roomNo], dAir[floor])</f>
        <v>Floor 1</v>
      </c>
      <c r="Y384" s="45" t="str">
        <f t="array" ref="Y384">_xlfn.XLOOKUP(records_2[ID], dAir[roomNo], dAir[Class])</f>
        <v>A</v>
      </c>
      <c r="Z384" s="45">
        <f t="array" ref="Z384">_xlfn.XLOOKUP(records_2[Method]&amp;"-"&amp;records_2[Class], dAirSpec[ID], dAirSpec[Spec])</f>
        <v>0</v>
      </c>
      <c r="AA384" s="45" t="str">
        <f t="array" ref="AA384">_xlfn.XLOOKUP(records_2[Method]&amp;"-"&amp;records_2[Class], dAirSpec[ID], dAirSpec[Unit])</f>
        <v>cfu/m3</v>
      </c>
      <c r="AB384" s="45">
        <f t="array" ref="AB384">if(R384="","", if(records_2[Method]="Active Air",_xlfn.xlookup(records_2[ColonyCount]&amp;records_2[AirSampler],feller[code],feller[Vc]),records_2[ColonyCount]))</f>
        <v>0</v>
      </c>
      <c r="AC384" s="60" t="b">
        <f t="shared" si="1"/>
        <v>1</v>
      </c>
      <c r="AD384" s="61" t="b">
        <v>0</v>
      </c>
      <c r="AE384" s="32" t="s">
        <v>280</v>
      </c>
      <c r="AF384" s="46"/>
      <c r="AG384" s="46"/>
      <c r="AH384" s="46"/>
      <c r="AI384" s="46"/>
      <c r="AJ384" s="46"/>
    </row>
    <row r="385" ht="22.5" customHeight="1">
      <c r="A385" s="27">
        <v>46097.0</v>
      </c>
      <c r="B385" s="34" t="str">
        <f t="array" ref="B385">TEXT(A385, "MM-YYYY")</f>
        <v>03-2026</v>
      </c>
      <c r="C385" s="39" t="s">
        <v>774</v>
      </c>
      <c r="D385" s="36" t="s">
        <v>755</v>
      </c>
      <c r="E385" s="36" t="s">
        <v>531</v>
      </c>
      <c r="F385" s="29" t="b">
        <v>1</v>
      </c>
      <c r="G385" s="36" t="s">
        <v>214</v>
      </c>
      <c r="H385" s="36" t="s">
        <v>757</v>
      </c>
      <c r="I385" s="39">
        <v>3.1101125E8</v>
      </c>
      <c r="J385" s="40">
        <v>46240.0</v>
      </c>
      <c r="K385" s="37" t="s">
        <v>1157</v>
      </c>
      <c r="L385" s="37" t="s">
        <v>1054</v>
      </c>
      <c r="M385" s="37" t="s">
        <v>2323</v>
      </c>
      <c r="N385" s="37" t="s">
        <v>2324</v>
      </c>
      <c r="O385" s="37" t="s">
        <v>2278</v>
      </c>
      <c r="P385" s="37" t="s">
        <v>2279</v>
      </c>
      <c r="Q385" s="41">
        <v>46138.0</v>
      </c>
      <c r="R385" s="42">
        <v>0.0</v>
      </c>
      <c r="S385" s="29"/>
      <c r="T385" s="37" t="s">
        <v>2319</v>
      </c>
      <c r="U385" s="45" t="str">
        <f>IF(records_2[Type]="Room",records_2[roomNo],records_2[roomNo]&amp;"-"&amp;SUBSTITUTE(RIGHT(records_2[roomNo]&amp;records_2[Type],2),"-",""))</f>
        <v>16-1-084-M</v>
      </c>
      <c r="V385" s="47" t="str">
        <f t="array" ref="V385">_xlfn.XLOOKUP(records_2[ID], dAir[roomNo], dAir[roomName])</f>
        <v>FILLING 1 (Machine)</v>
      </c>
      <c r="W385" s="47" t="str">
        <f t="array" ref="W385">_xlfn.XLOOKUP(records_2[ID], dAir[roomNo], dAir[building])</f>
        <v>Building 16</v>
      </c>
      <c r="X385" s="47" t="str">
        <f t="array" ref="X385">_xlfn.XLOOKUP(records_2[ID], dAir[roomNo], dAir[floor])</f>
        <v>Floor 1</v>
      </c>
      <c r="Y385" s="45" t="str">
        <f t="array" ref="Y385">_xlfn.XLOOKUP(records_2[ID], dAir[roomNo], dAir[Class])</f>
        <v>A</v>
      </c>
      <c r="Z385" s="45">
        <f t="array" ref="Z385">_xlfn.XLOOKUP(records_2[Method]&amp;"-"&amp;records_2[Class], dAirSpec[ID], dAirSpec[Spec])</f>
        <v>0</v>
      </c>
      <c r="AA385" s="45" t="str">
        <f t="array" ref="AA385">_xlfn.XLOOKUP(records_2[Method]&amp;"-"&amp;records_2[Class], dAirSpec[ID], dAirSpec[Unit])</f>
        <v>cfu/m3</v>
      </c>
      <c r="AB385" s="45">
        <f t="array" ref="AB385">if(R385="","", if(records_2[Method]="Active Air",_xlfn.xlookup(records_2[ColonyCount]&amp;records_2[AirSampler],feller[code],feller[Vc]),records_2[ColonyCount]))</f>
        <v>0</v>
      </c>
      <c r="AC385" s="60" t="b">
        <f t="shared" si="1"/>
        <v>1</v>
      </c>
      <c r="AD385" s="61" t="b">
        <v>0</v>
      </c>
      <c r="AE385" s="32" t="s">
        <v>280</v>
      </c>
      <c r="AF385" s="46"/>
      <c r="AG385" s="46"/>
      <c r="AH385" s="46"/>
      <c r="AI385" s="46"/>
      <c r="AJ385" s="46"/>
    </row>
    <row r="386" ht="22.5" customHeight="1">
      <c r="A386" s="27">
        <v>46097.0</v>
      </c>
      <c r="B386" s="34" t="str">
        <f t="array" ref="B386">TEXT(A386, "MM-YYYY")</f>
        <v>03-2026</v>
      </c>
      <c r="C386" s="32" t="s">
        <v>786</v>
      </c>
      <c r="D386" s="36" t="s">
        <v>680</v>
      </c>
      <c r="E386" s="36" t="s">
        <v>531</v>
      </c>
      <c r="F386" s="29" t="b">
        <v>1</v>
      </c>
      <c r="G386" s="36" t="s">
        <v>214</v>
      </c>
      <c r="H386" s="36" t="s">
        <v>757</v>
      </c>
      <c r="I386" s="39">
        <v>3.1101125E8</v>
      </c>
      <c r="J386" s="40">
        <v>46240.0</v>
      </c>
      <c r="K386" s="37" t="s">
        <v>578</v>
      </c>
      <c r="L386" s="37" t="s">
        <v>526</v>
      </c>
      <c r="M386" s="37" t="s">
        <v>2325</v>
      </c>
      <c r="N386" s="37" t="s">
        <v>2241</v>
      </c>
      <c r="O386" s="37" t="s">
        <v>2278</v>
      </c>
      <c r="P386" s="37" t="s">
        <v>2279</v>
      </c>
      <c r="Q386" s="41">
        <v>46138.0</v>
      </c>
      <c r="R386" s="42">
        <v>0.0</v>
      </c>
      <c r="S386" s="29"/>
      <c r="T386" s="37" t="s">
        <v>2319</v>
      </c>
      <c r="U386" s="45" t="str">
        <f>IF(records_2[Type]="Room",records_2[roomNo],records_2[roomNo]&amp;"-"&amp;SUBSTITUTE(RIGHT(records_2[roomNo]&amp;records_2[Type],2),"-",""))</f>
        <v>16-1-102-B</v>
      </c>
      <c r="V386" s="47" t="str">
        <f t="array" ref="V386">_xlfn.XLOOKUP(records_2[ID], dAir[roomNo], dAir[roomName])</f>
        <v>DISPENSING (Booth)</v>
      </c>
      <c r="W386" s="47" t="str">
        <f t="array" ref="W386">_xlfn.XLOOKUP(records_2[ID], dAir[roomNo], dAir[building])</f>
        <v>Building 16</v>
      </c>
      <c r="X386" s="47" t="str">
        <f t="array" ref="X386">_xlfn.XLOOKUP(records_2[ID], dAir[roomNo], dAir[floor])</f>
        <v>Floor 1</v>
      </c>
      <c r="Y386" s="45" t="str">
        <f t="array" ref="Y386">_xlfn.XLOOKUP(records_2[ID], dAir[roomNo], dAir[Class])</f>
        <v>A</v>
      </c>
      <c r="Z386" s="45">
        <f t="array" ref="Z386">_xlfn.XLOOKUP(records_2[Method]&amp;"-"&amp;records_2[Class], dAirSpec[ID], dAirSpec[Spec])</f>
        <v>0</v>
      </c>
      <c r="AA386" s="45" t="str">
        <f t="array" ref="AA386">_xlfn.XLOOKUP(records_2[Method]&amp;"-"&amp;records_2[Class], dAirSpec[ID], dAirSpec[Unit])</f>
        <v>cfu/m3</v>
      </c>
      <c r="AB386" s="45">
        <f t="array" ref="AB386">if(R386="","", if(records_2[Method]="Active Air",_xlfn.xlookup(records_2[ColonyCount]&amp;records_2[AirSampler],feller[code],feller[Vc]),records_2[ColonyCount]))</f>
        <v>0</v>
      </c>
      <c r="AC386" s="60" t="b">
        <f t="shared" si="1"/>
        <v>1</v>
      </c>
      <c r="AD386" s="61" t="b">
        <v>0</v>
      </c>
      <c r="AE386" s="32" t="s">
        <v>280</v>
      </c>
      <c r="AF386" s="46"/>
      <c r="AG386" s="46"/>
      <c r="AH386" s="46"/>
      <c r="AI386" s="46"/>
      <c r="AJ386" s="46"/>
    </row>
    <row r="387" ht="22.5" customHeight="1">
      <c r="A387" s="103">
        <v>46102.0</v>
      </c>
      <c r="B387" s="104" t="str">
        <f t="array" ref="B387">TEXT(A387, "MM-YYYY")</f>
        <v>03-2026</v>
      </c>
      <c r="C387" s="200" t="s">
        <v>1134</v>
      </c>
      <c r="D387" s="201" t="s">
        <v>210</v>
      </c>
      <c r="E387" s="105" t="s">
        <v>213</v>
      </c>
      <c r="F387" s="29" t="b">
        <v>1</v>
      </c>
      <c r="G387" s="36" t="s">
        <v>214</v>
      </c>
      <c r="H387" s="105" t="s">
        <v>215</v>
      </c>
      <c r="I387" s="108"/>
      <c r="J387" s="109"/>
      <c r="K387" s="202" t="s">
        <v>1157</v>
      </c>
      <c r="L387" s="202" t="s">
        <v>775</v>
      </c>
      <c r="M387" s="202" t="s">
        <v>430</v>
      </c>
      <c r="N387" s="202" t="s">
        <v>811</v>
      </c>
      <c r="O387" s="202" t="s">
        <v>2326</v>
      </c>
      <c r="P387" s="202" t="s">
        <v>2327</v>
      </c>
      <c r="Q387" s="203">
        <v>46152.0</v>
      </c>
      <c r="R387" s="204">
        <v>1.0</v>
      </c>
      <c r="S387" s="44"/>
      <c r="T387" s="202" t="s">
        <v>2328</v>
      </c>
      <c r="U387" s="47" t="str">
        <f>IF(records_2[Type]="Room",records_2[roomNo],records_2[roomNo]&amp;"-"&amp;SUBSTITUTE(RIGHT(records_2[roomNo]&amp;records_2[Type],2),"-",""))</f>
        <v>10-3-040</v>
      </c>
      <c r="V387" s="47" t="str">
        <f t="array" ref="V387">_xlfn.XLOOKUP(records_2[ID], dAir[roomNo], dAir[roomName])</f>
        <v>PROCESS CHANGE</v>
      </c>
      <c r="W387" s="47" t="str">
        <f t="array" ref="W387">_xlfn.XLOOKUP(records_2[ID], dAir[roomNo], dAir[building])</f>
        <v>Building 10</v>
      </c>
      <c r="X387" s="47" t="str">
        <f t="array" ref="X387">_xlfn.XLOOKUP(records_2[ID], dAir[roomNo], dAir[floor])</f>
        <v>Floor 3</v>
      </c>
      <c r="Y387" s="45" t="str">
        <f t="array" ref="Y387">_xlfn.XLOOKUP(records_2[ID], dAir[roomNo], dAir[Class])</f>
        <v>D</v>
      </c>
      <c r="Z387" s="45">
        <f t="array" ref="Z387">_xlfn.XLOOKUP(records_2[Method]&amp;"-"&amp;records_2[Class], dAirSpec[ID], dAirSpec[Spec])</f>
        <v>100</v>
      </c>
      <c r="AA387" s="45" t="str">
        <f t="array" ref="AA387">_xlfn.XLOOKUP(records_2[Method]&amp;"-"&amp;records_2[Class], dAirSpec[ID], dAirSpec[Unit])</f>
        <v>cfu/plate</v>
      </c>
      <c r="AB387" s="58">
        <f t="array" ref="AB387">if(R387="","", if(records_2[Method]="Active Air",_xlfn.xlookup(records_2[ColonyCount]&amp;records_2[AirSampler],feller[code],feller[Vc]),records_2[ColonyCount]))</f>
        <v>1</v>
      </c>
      <c r="AC387" s="60" t="b">
        <f t="shared" si="1"/>
        <v>1</v>
      </c>
      <c r="AD387" s="61" t="b">
        <v>0</v>
      </c>
      <c r="AE387" s="32" t="s">
        <v>280</v>
      </c>
      <c r="AF387" s="46"/>
      <c r="AG387" s="46"/>
      <c r="AH387" s="46"/>
      <c r="AI387" s="46"/>
      <c r="AJ387" s="46"/>
    </row>
    <row r="388" ht="22.5" customHeight="1">
      <c r="A388" s="27">
        <v>46102.0</v>
      </c>
      <c r="B388" s="34" t="str">
        <f t="array" ref="B388">TEXT(A388, "MM-YYYY")</f>
        <v>03-2026</v>
      </c>
      <c r="C388" s="25" t="s">
        <v>1136</v>
      </c>
      <c r="D388" s="205" t="s">
        <v>210</v>
      </c>
      <c r="E388" s="36" t="s">
        <v>213</v>
      </c>
      <c r="F388" s="29" t="b">
        <v>1</v>
      </c>
      <c r="G388" s="36" t="s">
        <v>214</v>
      </c>
      <c r="H388" s="36" t="s">
        <v>215</v>
      </c>
      <c r="I388" s="39"/>
      <c r="J388" s="43"/>
      <c r="K388" s="37" t="s">
        <v>366</v>
      </c>
      <c r="L388" s="37" t="s">
        <v>2329</v>
      </c>
      <c r="M388" s="37" t="s">
        <v>658</v>
      </c>
      <c r="N388" s="37" t="s">
        <v>1612</v>
      </c>
      <c r="O388" s="37" t="s">
        <v>2326</v>
      </c>
      <c r="P388" s="37" t="s">
        <v>2327</v>
      </c>
      <c r="Q388" s="41">
        <v>46152.0</v>
      </c>
      <c r="R388" s="42">
        <v>0.0</v>
      </c>
      <c r="S388" s="44"/>
      <c r="T388" s="37" t="s">
        <v>2328</v>
      </c>
      <c r="U388" s="47" t="str">
        <f>IF(records_2[Type]="Room",records_2[roomNo],records_2[roomNo]&amp;"-"&amp;SUBSTITUTE(RIGHT(records_2[roomNo]&amp;records_2[Type],2),"-",""))</f>
        <v>10-3-041</v>
      </c>
      <c r="V388" s="47" t="str">
        <f t="array" ref="V388">_xlfn.XLOOKUP(records_2[ID], dAir[roomNo], dAir[roomName])</f>
        <v>VISITOR PROCESS CHANGE</v>
      </c>
      <c r="W388" s="47" t="str">
        <f t="array" ref="W388">_xlfn.XLOOKUP(records_2[ID], dAir[roomNo], dAir[building])</f>
        <v>Building 10</v>
      </c>
      <c r="X388" s="47" t="str">
        <f t="array" ref="X388">_xlfn.XLOOKUP(records_2[ID], dAir[roomNo], dAir[floor])</f>
        <v>Floor 3</v>
      </c>
      <c r="Y388" s="45" t="str">
        <f t="array" ref="Y388">_xlfn.XLOOKUP(records_2[ID], dAir[roomNo], dAir[Class])</f>
        <v>D</v>
      </c>
      <c r="Z388" s="45">
        <f t="array" ref="Z388">_xlfn.XLOOKUP(records_2[Method]&amp;"-"&amp;records_2[Class], dAirSpec[ID], dAirSpec[Spec])</f>
        <v>100</v>
      </c>
      <c r="AA388" s="45" t="str">
        <f t="array" ref="AA388">_xlfn.XLOOKUP(records_2[Method]&amp;"-"&amp;records_2[Class], dAirSpec[ID], dAirSpec[Unit])</f>
        <v>cfu/plate</v>
      </c>
      <c r="AB388" s="58">
        <f t="array" ref="AB388">if(R388="","", if(records_2[Method]="Active Air",_xlfn.xlookup(records_2[ColonyCount]&amp;records_2[AirSampler],feller[code],feller[Vc]),records_2[ColonyCount]))</f>
        <v>0</v>
      </c>
      <c r="AC388" s="60" t="b">
        <f t="shared" si="1"/>
        <v>1</v>
      </c>
      <c r="AD388" s="61" t="b">
        <v>0</v>
      </c>
      <c r="AE388" s="32" t="s">
        <v>280</v>
      </c>
      <c r="AF388" s="46"/>
      <c r="AG388" s="46"/>
      <c r="AH388" s="46"/>
      <c r="AI388" s="46"/>
      <c r="AJ388" s="46"/>
    </row>
    <row r="389" ht="22.5" customHeight="1">
      <c r="A389" s="27">
        <v>46102.0</v>
      </c>
      <c r="B389" s="34" t="str">
        <f t="array" ref="B389">TEXT(A389, "MM-YYYY")</f>
        <v>03-2026</v>
      </c>
      <c r="C389" s="25" t="s">
        <v>1137</v>
      </c>
      <c r="D389" s="206" t="s">
        <v>210</v>
      </c>
      <c r="E389" s="36" t="s">
        <v>213</v>
      </c>
      <c r="F389" s="29" t="b">
        <v>1</v>
      </c>
      <c r="G389" s="36" t="s">
        <v>214</v>
      </c>
      <c r="H389" s="36" t="s">
        <v>215</v>
      </c>
      <c r="I389" s="39"/>
      <c r="J389" s="43"/>
      <c r="K389" s="37" t="s">
        <v>569</v>
      </c>
      <c r="L389" s="37" t="s">
        <v>1582</v>
      </c>
      <c r="M389" s="37" t="s">
        <v>677</v>
      </c>
      <c r="N389" s="37" t="s">
        <v>1612</v>
      </c>
      <c r="O389" s="37" t="s">
        <v>2326</v>
      </c>
      <c r="P389" s="37" t="s">
        <v>2327</v>
      </c>
      <c r="Q389" s="41">
        <v>46152.0</v>
      </c>
      <c r="R389" s="42">
        <v>1.0</v>
      </c>
      <c r="S389" s="44" t="s">
        <v>2289</v>
      </c>
      <c r="T389" s="37" t="s">
        <v>2328</v>
      </c>
      <c r="U389" s="47" t="str">
        <f>IF(records_2[Type]="Room",records_2[roomNo],records_2[roomNo]&amp;"-"&amp;SUBSTITUTE(RIGHT(records_2[roomNo]&amp;records_2[Type],2),"-",""))</f>
        <v>10-3-042</v>
      </c>
      <c r="V389" s="47" t="str">
        <f t="array" ref="V389">_xlfn.XLOOKUP(records_2[ID], dAir[roomNo], dAir[roomName])</f>
        <v>CORRIDOR</v>
      </c>
      <c r="W389" s="47" t="str">
        <f t="array" ref="W389">_xlfn.XLOOKUP(records_2[ID], dAir[roomNo], dAir[building])</f>
        <v>Building 10</v>
      </c>
      <c r="X389" s="47" t="str">
        <f t="array" ref="X389">_xlfn.XLOOKUP(records_2[ID], dAir[roomNo], dAir[floor])</f>
        <v>Floor 3</v>
      </c>
      <c r="Y389" s="45" t="str">
        <f t="array" ref="Y389">_xlfn.XLOOKUP(records_2[ID], dAir[roomNo], dAir[Class])</f>
        <v>D</v>
      </c>
      <c r="Z389" s="45">
        <f t="array" ref="Z389">_xlfn.XLOOKUP(records_2[Method]&amp;"-"&amp;records_2[Class], dAirSpec[ID], dAirSpec[Spec])</f>
        <v>100</v>
      </c>
      <c r="AA389" s="45" t="str">
        <f t="array" ref="AA389">_xlfn.XLOOKUP(records_2[Method]&amp;"-"&amp;records_2[Class], dAirSpec[ID], dAirSpec[Unit])</f>
        <v>cfu/plate</v>
      </c>
      <c r="AB389" s="58">
        <f t="array" ref="AB389">if(R389="","", if(records_2[Method]="Active Air",_xlfn.xlookup(records_2[ColonyCount]&amp;records_2[AirSampler],feller[code],feller[Vc]),records_2[ColonyCount]))</f>
        <v>1</v>
      </c>
      <c r="AC389" s="60" t="b">
        <f t="shared" si="1"/>
        <v>1</v>
      </c>
      <c r="AD389" s="61" t="b">
        <v>0</v>
      </c>
      <c r="AE389" s="32" t="s">
        <v>280</v>
      </c>
      <c r="AF389" s="46"/>
      <c r="AG389" s="46"/>
      <c r="AH389" s="46"/>
      <c r="AI389" s="46"/>
      <c r="AJ389" s="46"/>
    </row>
    <row r="390" ht="22.5" customHeight="1">
      <c r="A390" s="27">
        <v>46102.0</v>
      </c>
      <c r="B390" s="34" t="str">
        <f t="array" ref="B390">TEXT(A390, "MM-YYYY")</f>
        <v>03-2026</v>
      </c>
      <c r="C390" s="25" t="s">
        <v>1139</v>
      </c>
      <c r="D390" s="205" t="s">
        <v>210</v>
      </c>
      <c r="E390" s="36" t="s">
        <v>213</v>
      </c>
      <c r="F390" s="29" t="b">
        <v>1</v>
      </c>
      <c r="G390" s="36" t="s">
        <v>214</v>
      </c>
      <c r="H390" s="36" t="s">
        <v>215</v>
      </c>
      <c r="I390" s="39"/>
      <c r="J390" s="43"/>
      <c r="K390" s="37" t="s">
        <v>317</v>
      </c>
      <c r="L390" s="37" t="s">
        <v>2330</v>
      </c>
      <c r="M390" s="37" t="s">
        <v>641</v>
      </c>
      <c r="N390" s="37" t="s">
        <v>1788</v>
      </c>
      <c r="O390" s="37" t="s">
        <v>2326</v>
      </c>
      <c r="P390" s="37" t="s">
        <v>2327</v>
      </c>
      <c r="Q390" s="41">
        <v>46152.0</v>
      </c>
      <c r="R390" s="42">
        <v>0.0</v>
      </c>
      <c r="S390" s="44"/>
      <c r="T390" s="37" t="s">
        <v>2328</v>
      </c>
      <c r="U390" s="47" t="str">
        <f>IF(records_2[Type]="Room",records_2[roomNo],records_2[roomNo]&amp;"-"&amp;SUBSTITUTE(RIGHT(records_2[roomNo]&amp;records_2[Type],2),"-",""))</f>
        <v>10-3-043</v>
      </c>
      <c r="V390" s="47" t="str">
        <f t="array" ref="V390">_xlfn.XLOOKUP(records_2[ID], dAir[roomNo], dAir[roomName])</f>
        <v>AIRLOCK</v>
      </c>
      <c r="W390" s="47" t="str">
        <f t="array" ref="W390">_xlfn.XLOOKUP(records_2[ID], dAir[roomNo], dAir[building])</f>
        <v>Building 10</v>
      </c>
      <c r="X390" s="47" t="str">
        <f t="array" ref="X390">_xlfn.XLOOKUP(records_2[ID], dAir[roomNo], dAir[floor])</f>
        <v>Floor 3</v>
      </c>
      <c r="Y390" s="45" t="str">
        <f t="array" ref="Y390">_xlfn.XLOOKUP(records_2[ID], dAir[roomNo], dAir[Class])</f>
        <v>D</v>
      </c>
      <c r="Z390" s="45">
        <f t="array" ref="Z390">_xlfn.XLOOKUP(records_2[Method]&amp;"-"&amp;records_2[Class], dAirSpec[ID], dAirSpec[Spec])</f>
        <v>100</v>
      </c>
      <c r="AA390" s="45" t="str">
        <f t="array" ref="AA390">_xlfn.XLOOKUP(records_2[Method]&amp;"-"&amp;records_2[Class], dAirSpec[ID], dAirSpec[Unit])</f>
        <v>cfu/plate</v>
      </c>
      <c r="AB390" s="58">
        <f t="array" ref="AB390">if(R390="","", if(records_2[Method]="Active Air",_xlfn.xlookup(records_2[ColonyCount]&amp;records_2[AirSampler],feller[code],feller[Vc]),records_2[ColonyCount]))</f>
        <v>0</v>
      </c>
      <c r="AC390" s="60" t="b">
        <f t="shared" si="1"/>
        <v>1</v>
      </c>
      <c r="AD390" s="61" t="b">
        <v>0</v>
      </c>
      <c r="AE390" s="32" t="s">
        <v>280</v>
      </c>
      <c r="AF390" s="46"/>
      <c r="AG390" s="46"/>
      <c r="AH390" s="46"/>
      <c r="AI390" s="46"/>
      <c r="AJ390" s="46"/>
    </row>
    <row r="391" ht="22.5" customHeight="1">
      <c r="A391" s="27">
        <v>46102.0</v>
      </c>
      <c r="B391" s="34" t="str">
        <f t="array" ref="B391">TEXT(A391, "MM-YYYY")</f>
        <v>03-2026</v>
      </c>
      <c r="C391" s="25" t="s">
        <v>1140</v>
      </c>
      <c r="D391" s="36" t="s">
        <v>210</v>
      </c>
      <c r="E391" s="36" t="s">
        <v>213</v>
      </c>
      <c r="F391" s="29" t="b">
        <v>1</v>
      </c>
      <c r="G391" s="36" t="s">
        <v>214</v>
      </c>
      <c r="H391" s="36" t="s">
        <v>215</v>
      </c>
      <c r="I391" s="39"/>
      <c r="J391" s="43"/>
      <c r="K391" s="37" t="s">
        <v>317</v>
      </c>
      <c r="L391" s="37" t="s">
        <v>2331</v>
      </c>
      <c r="M391" s="37" t="s">
        <v>641</v>
      </c>
      <c r="N391" s="37" t="s">
        <v>1612</v>
      </c>
      <c r="O391" s="37" t="s">
        <v>2326</v>
      </c>
      <c r="P391" s="37" t="s">
        <v>2327</v>
      </c>
      <c r="Q391" s="41">
        <v>46152.0</v>
      </c>
      <c r="R391" s="42">
        <v>2.0</v>
      </c>
      <c r="S391" s="44"/>
      <c r="T391" s="37" t="s">
        <v>2328</v>
      </c>
      <c r="U391" s="47" t="str">
        <f>IF(records_2[Type]="Room",records_2[roomNo],records_2[roomNo]&amp;"-"&amp;SUBSTITUTE(RIGHT(records_2[roomNo]&amp;records_2[Type],2),"-",""))</f>
        <v>10-3-044</v>
      </c>
      <c r="V391" s="47" t="str">
        <f t="array" ref="V391">_xlfn.XLOOKUP(records_2[ID], dAir[roomNo], dAir[roomName])</f>
        <v>LINEN STORAGE</v>
      </c>
      <c r="W391" s="47" t="str">
        <f t="array" ref="W391">_xlfn.XLOOKUP(records_2[ID], dAir[roomNo], dAir[building])</f>
        <v>Building 10</v>
      </c>
      <c r="X391" s="47" t="str">
        <f t="array" ref="X391">_xlfn.XLOOKUP(records_2[ID], dAir[roomNo], dAir[floor])</f>
        <v>Floor 3</v>
      </c>
      <c r="Y391" s="45" t="str">
        <f t="array" ref="Y391">_xlfn.XLOOKUP(records_2[ID], dAir[roomNo], dAir[Class])</f>
        <v>D</v>
      </c>
      <c r="Z391" s="45">
        <f t="array" ref="Z391">_xlfn.XLOOKUP(records_2[Method]&amp;"-"&amp;records_2[Class], dAirSpec[ID], dAirSpec[Spec])</f>
        <v>100</v>
      </c>
      <c r="AA391" s="45" t="str">
        <f t="array" ref="AA391">_xlfn.XLOOKUP(records_2[Method]&amp;"-"&amp;records_2[Class], dAirSpec[ID], dAirSpec[Unit])</f>
        <v>cfu/plate</v>
      </c>
      <c r="AB391" s="58">
        <f t="array" ref="AB391">if(R391="","", if(records_2[Method]="Active Air",_xlfn.xlookup(records_2[ColonyCount]&amp;records_2[AirSampler],feller[code],feller[Vc]),records_2[ColonyCount]))</f>
        <v>2</v>
      </c>
      <c r="AC391" s="60" t="b">
        <f t="shared" si="1"/>
        <v>1</v>
      </c>
      <c r="AD391" s="61" t="b">
        <v>0</v>
      </c>
      <c r="AE391" s="32" t="s">
        <v>280</v>
      </c>
      <c r="AF391" s="46"/>
      <c r="AG391" s="46"/>
      <c r="AH391" s="46"/>
      <c r="AI391" s="46"/>
      <c r="AJ391" s="46"/>
    </row>
    <row r="392" ht="22.5" customHeight="1">
      <c r="A392" s="27">
        <v>46102.0</v>
      </c>
      <c r="B392" s="34" t="str">
        <f t="array" ref="B392">TEXT(A392, "MM-YYYY")</f>
        <v>03-2026</v>
      </c>
      <c r="C392" s="25" t="s">
        <v>1142</v>
      </c>
      <c r="D392" s="36" t="s">
        <v>210</v>
      </c>
      <c r="E392" s="36" t="s">
        <v>213</v>
      </c>
      <c r="F392" s="29" t="b">
        <v>1</v>
      </c>
      <c r="G392" s="36" t="s">
        <v>214</v>
      </c>
      <c r="H392" s="36" t="s">
        <v>215</v>
      </c>
      <c r="I392" s="39"/>
      <c r="J392" s="43"/>
      <c r="K392" s="37" t="s">
        <v>798</v>
      </c>
      <c r="L392" s="37" t="s">
        <v>315</v>
      </c>
      <c r="M392" s="37" t="s">
        <v>641</v>
      </c>
      <c r="N392" s="37" t="s">
        <v>1788</v>
      </c>
      <c r="O392" s="37" t="s">
        <v>2326</v>
      </c>
      <c r="P392" s="37" t="s">
        <v>2327</v>
      </c>
      <c r="Q392" s="41">
        <v>46152.0</v>
      </c>
      <c r="R392" s="42">
        <v>0.0</v>
      </c>
      <c r="S392" s="44"/>
      <c r="T392" s="37" t="s">
        <v>2328</v>
      </c>
      <c r="U392" s="47" t="str">
        <f>IF(records_2[Type]="Room",records_2[roomNo],records_2[roomNo]&amp;"-"&amp;SUBSTITUTE(RIGHT(records_2[roomNo]&amp;records_2[Type],2),"-",""))</f>
        <v>10-3-045</v>
      </c>
      <c r="V392" s="47" t="str">
        <f t="array" ref="V392">_xlfn.XLOOKUP(records_2[ID], dAir[roomNo], dAir[roomName])</f>
        <v>LINEN WASHING</v>
      </c>
      <c r="W392" s="47" t="str">
        <f t="array" ref="W392">_xlfn.XLOOKUP(records_2[ID], dAir[roomNo], dAir[building])</f>
        <v>Building 10</v>
      </c>
      <c r="X392" s="47" t="str">
        <f t="array" ref="X392">_xlfn.XLOOKUP(records_2[ID], dAir[roomNo], dAir[floor])</f>
        <v>Floor 3</v>
      </c>
      <c r="Y392" s="45" t="str">
        <f t="array" ref="Y392">_xlfn.XLOOKUP(records_2[ID], dAir[roomNo], dAir[Class])</f>
        <v>D</v>
      </c>
      <c r="Z392" s="45">
        <f t="array" ref="Z392">_xlfn.XLOOKUP(records_2[Method]&amp;"-"&amp;records_2[Class], dAirSpec[ID], dAirSpec[Spec])</f>
        <v>100</v>
      </c>
      <c r="AA392" s="45" t="str">
        <f t="array" ref="AA392">_xlfn.XLOOKUP(records_2[Method]&amp;"-"&amp;records_2[Class], dAirSpec[ID], dAirSpec[Unit])</f>
        <v>cfu/plate</v>
      </c>
      <c r="AB392" s="58">
        <f t="array" ref="AB392">if(R392="","", if(records_2[Method]="Active Air",_xlfn.xlookup(records_2[ColonyCount]&amp;records_2[AirSampler],feller[code],feller[Vc]),records_2[ColonyCount]))</f>
        <v>0</v>
      </c>
      <c r="AC392" s="60" t="b">
        <f t="shared" si="1"/>
        <v>1</v>
      </c>
      <c r="AD392" s="61" t="b">
        <v>0</v>
      </c>
      <c r="AE392" s="32" t="s">
        <v>280</v>
      </c>
      <c r="AF392" s="46"/>
      <c r="AG392" s="46"/>
      <c r="AH392" s="46"/>
      <c r="AI392" s="46"/>
      <c r="AJ392" s="46"/>
    </row>
    <row r="393" ht="22.5" customHeight="1">
      <c r="A393" s="27">
        <v>46102.0</v>
      </c>
      <c r="B393" s="34" t="str">
        <f t="array" ref="B393">TEXT(A393, "MM-YYYY")</f>
        <v>03-2026</v>
      </c>
      <c r="C393" s="25" t="s">
        <v>1143</v>
      </c>
      <c r="D393" s="36" t="s">
        <v>210</v>
      </c>
      <c r="E393" s="36" t="s">
        <v>213</v>
      </c>
      <c r="F393" s="29" t="b">
        <v>1</v>
      </c>
      <c r="G393" s="36" t="s">
        <v>214</v>
      </c>
      <c r="H393" s="36" t="s">
        <v>215</v>
      </c>
      <c r="I393" s="39"/>
      <c r="J393" s="43"/>
      <c r="K393" s="37" t="s">
        <v>339</v>
      </c>
      <c r="L393" s="37" t="s">
        <v>474</v>
      </c>
      <c r="M393" s="37" t="s">
        <v>617</v>
      </c>
      <c r="N393" s="37" t="s">
        <v>1788</v>
      </c>
      <c r="O393" s="37" t="s">
        <v>2326</v>
      </c>
      <c r="P393" s="37" t="s">
        <v>2327</v>
      </c>
      <c r="Q393" s="41">
        <v>46152.0</v>
      </c>
      <c r="R393" s="42">
        <v>0.0</v>
      </c>
      <c r="S393" s="44"/>
      <c r="T393" s="37" t="s">
        <v>2328</v>
      </c>
      <c r="U393" s="47" t="str">
        <f>IF(records_2[Type]="Room",records_2[roomNo],records_2[roomNo]&amp;"-"&amp;SUBSTITUTE(RIGHT(records_2[roomNo]&amp;records_2[Type],2),"-",""))</f>
        <v>10-3-046</v>
      </c>
      <c r="V393" s="47" t="str">
        <f t="array" ref="V393">_xlfn.XLOOKUP(records_2[ID], dAir[roomNo], dAir[roomName])</f>
        <v>SCRAP OUT</v>
      </c>
      <c r="W393" s="47" t="str">
        <f t="array" ref="W393">_xlfn.XLOOKUP(records_2[ID], dAir[roomNo], dAir[building])</f>
        <v>Building 10</v>
      </c>
      <c r="X393" s="47" t="str">
        <f t="array" ref="X393">_xlfn.XLOOKUP(records_2[ID], dAir[roomNo], dAir[floor])</f>
        <v>Floor 3</v>
      </c>
      <c r="Y393" s="45" t="str">
        <f t="array" ref="Y393">_xlfn.XLOOKUP(records_2[ID], dAir[roomNo], dAir[Class])</f>
        <v>D</v>
      </c>
      <c r="Z393" s="45">
        <f t="array" ref="Z393">_xlfn.XLOOKUP(records_2[Method]&amp;"-"&amp;records_2[Class], dAirSpec[ID], dAirSpec[Spec])</f>
        <v>100</v>
      </c>
      <c r="AA393" s="45" t="str">
        <f t="array" ref="AA393">_xlfn.XLOOKUP(records_2[Method]&amp;"-"&amp;records_2[Class], dAirSpec[ID], dAirSpec[Unit])</f>
        <v>cfu/plate</v>
      </c>
      <c r="AB393" s="58">
        <f t="array" ref="AB393">if(R393="","", if(records_2[Method]="Active Air",_xlfn.xlookup(records_2[ColonyCount]&amp;records_2[AirSampler],feller[code],feller[Vc]),records_2[ColonyCount]))</f>
        <v>0</v>
      </c>
      <c r="AC393" s="60" t="b">
        <f t="shared" si="1"/>
        <v>1</v>
      </c>
      <c r="AD393" s="61" t="b">
        <v>0</v>
      </c>
      <c r="AE393" s="32" t="s">
        <v>280</v>
      </c>
      <c r="AF393" s="46"/>
      <c r="AG393" s="46"/>
      <c r="AH393" s="46"/>
      <c r="AI393" s="46"/>
      <c r="AJ393" s="46"/>
    </row>
    <row r="394" ht="22.5" customHeight="1">
      <c r="A394" s="27">
        <v>46102.0</v>
      </c>
      <c r="B394" s="34" t="str">
        <f t="array" ref="B394">TEXT(A394, "MM-YYYY")</f>
        <v>03-2026</v>
      </c>
      <c r="C394" s="25" t="s">
        <v>1144</v>
      </c>
      <c r="D394" s="36" t="s">
        <v>210</v>
      </c>
      <c r="E394" s="36" t="s">
        <v>213</v>
      </c>
      <c r="F394" s="29" t="b">
        <v>1</v>
      </c>
      <c r="G394" s="36" t="s">
        <v>214</v>
      </c>
      <c r="H394" s="36" t="s">
        <v>215</v>
      </c>
      <c r="I394" s="39"/>
      <c r="J394" s="43"/>
      <c r="K394" s="37" t="s">
        <v>569</v>
      </c>
      <c r="L394" s="37" t="s">
        <v>1582</v>
      </c>
      <c r="M394" s="37" t="s">
        <v>658</v>
      </c>
      <c r="N394" s="37" t="s">
        <v>1612</v>
      </c>
      <c r="O394" s="37" t="s">
        <v>2326</v>
      </c>
      <c r="P394" s="37" t="s">
        <v>2327</v>
      </c>
      <c r="Q394" s="41">
        <v>46152.0</v>
      </c>
      <c r="R394" s="42">
        <v>2.0</v>
      </c>
      <c r="S394" s="44" t="s">
        <v>2011</v>
      </c>
      <c r="T394" s="37" t="s">
        <v>2328</v>
      </c>
      <c r="U394" s="47" t="str">
        <f>IF(records_2[Type]="Room",records_2[roomNo],records_2[roomNo]&amp;"-"&amp;SUBSTITUTE(RIGHT(records_2[roomNo]&amp;records_2[Type],2),"-",""))</f>
        <v>10-3-047</v>
      </c>
      <c r="V394" s="47" t="str">
        <f t="array" ref="V394">_xlfn.XLOOKUP(records_2[ID], dAir[roomNo], dAir[roomName])</f>
        <v>CORRIDOR</v>
      </c>
      <c r="W394" s="47" t="str">
        <f t="array" ref="W394">_xlfn.XLOOKUP(records_2[ID], dAir[roomNo], dAir[building])</f>
        <v>Building 10</v>
      </c>
      <c r="X394" s="47" t="str">
        <f t="array" ref="X394">_xlfn.XLOOKUP(records_2[ID], dAir[roomNo], dAir[floor])</f>
        <v>Floor 3</v>
      </c>
      <c r="Y394" s="45" t="str">
        <f t="array" ref="Y394">_xlfn.XLOOKUP(records_2[ID], dAir[roomNo], dAir[Class])</f>
        <v>D</v>
      </c>
      <c r="Z394" s="45">
        <f t="array" ref="Z394">_xlfn.XLOOKUP(records_2[Method]&amp;"-"&amp;records_2[Class], dAirSpec[ID], dAirSpec[Spec])</f>
        <v>100</v>
      </c>
      <c r="AA394" s="45" t="str">
        <f t="array" ref="AA394">_xlfn.XLOOKUP(records_2[Method]&amp;"-"&amp;records_2[Class], dAirSpec[ID], dAirSpec[Unit])</f>
        <v>cfu/plate</v>
      </c>
      <c r="AB394" s="58">
        <f t="array" ref="AB394">if(R394="","", if(records_2[Method]="Active Air",_xlfn.xlookup(records_2[ColonyCount]&amp;records_2[AirSampler],feller[code],feller[Vc]),records_2[ColonyCount]))</f>
        <v>2</v>
      </c>
      <c r="AC394" s="60" t="b">
        <f t="shared" si="1"/>
        <v>1</v>
      </c>
      <c r="AD394" s="61" t="b">
        <v>0</v>
      </c>
      <c r="AE394" s="32" t="s">
        <v>280</v>
      </c>
      <c r="AF394" s="46"/>
      <c r="AG394" s="46"/>
      <c r="AH394" s="46"/>
      <c r="AI394" s="46"/>
      <c r="AJ394" s="46"/>
    </row>
    <row r="395" ht="22.5" customHeight="1">
      <c r="A395" s="27">
        <v>46102.0</v>
      </c>
      <c r="B395" s="34" t="str">
        <f t="array" ref="B395">TEXT(A395, "MM-YYYY")</f>
        <v>03-2026</v>
      </c>
      <c r="C395" s="25" t="s">
        <v>1145</v>
      </c>
      <c r="D395" s="36" t="s">
        <v>210</v>
      </c>
      <c r="E395" s="36" t="s">
        <v>213</v>
      </c>
      <c r="F395" s="29" t="b">
        <v>1</v>
      </c>
      <c r="G395" s="36" t="s">
        <v>214</v>
      </c>
      <c r="H395" s="36" t="s">
        <v>215</v>
      </c>
      <c r="I395" s="39"/>
      <c r="J395" s="43"/>
      <c r="K395" s="37" t="s">
        <v>292</v>
      </c>
      <c r="L395" s="37" t="s">
        <v>612</v>
      </c>
      <c r="M395" s="37" t="s">
        <v>664</v>
      </c>
      <c r="N395" s="37" t="s">
        <v>1609</v>
      </c>
      <c r="O395" s="37" t="s">
        <v>2326</v>
      </c>
      <c r="P395" s="37" t="s">
        <v>2327</v>
      </c>
      <c r="Q395" s="41">
        <v>46152.0</v>
      </c>
      <c r="R395" s="42">
        <v>4.0</v>
      </c>
      <c r="S395" s="44"/>
      <c r="T395" s="37" t="s">
        <v>2328</v>
      </c>
      <c r="U395" s="47" t="str">
        <f>IF(records_2[Type]="Room",records_2[roomNo],records_2[roomNo]&amp;"-"&amp;SUBSTITUTE(RIGHT(records_2[roomNo]&amp;records_2[Type],2),"-",""))</f>
        <v>10-3-048</v>
      </c>
      <c r="V395" s="47" t="str">
        <f t="array" ref="V395">_xlfn.XLOOKUP(records_2[ID], dAir[roomNo], dAir[roomName])</f>
        <v>BULK STAGING 4</v>
      </c>
      <c r="W395" s="47" t="str">
        <f t="array" ref="W395">_xlfn.XLOOKUP(records_2[ID], dAir[roomNo], dAir[building])</f>
        <v>Building 10</v>
      </c>
      <c r="X395" s="47" t="str">
        <f t="array" ref="X395">_xlfn.XLOOKUP(records_2[ID], dAir[roomNo], dAir[floor])</f>
        <v>Floor 3</v>
      </c>
      <c r="Y395" s="45" t="str">
        <f t="array" ref="Y395">_xlfn.XLOOKUP(records_2[ID], dAir[roomNo], dAir[Class])</f>
        <v>D</v>
      </c>
      <c r="Z395" s="45">
        <f t="array" ref="Z395">_xlfn.XLOOKUP(records_2[Method]&amp;"-"&amp;records_2[Class], dAirSpec[ID], dAirSpec[Spec])</f>
        <v>100</v>
      </c>
      <c r="AA395" s="45" t="str">
        <f t="array" ref="AA395">_xlfn.XLOOKUP(records_2[Method]&amp;"-"&amp;records_2[Class], dAirSpec[ID], dAirSpec[Unit])</f>
        <v>cfu/plate</v>
      </c>
      <c r="AB395" s="58">
        <f t="array" ref="AB395">if(R395="","", if(records_2[Method]="Active Air",_xlfn.xlookup(records_2[ColonyCount]&amp;records_2[AirSampler],feller[code],feller[Vc]),records_2[ColonyCount]))</f>
        <v>4</v>
      </c>
      <c r="AC395" s="60" t="b">
        <f t="shared" si="1"/>
        <v>1</v>
      </c>
      <c r="AD395" s="61" t="b">
        <v>0</v>
      </c>
      <c r="AE395" s="32" t="s">
        <v>280</v>
      </c>
      <c r="AF395" s="46"/>
      <c r="AG395" s="46"/>
      <c r="AH395" s="46"/>
      <c r="AI395" s="46"/>
      <c r="AJ395" s="46"/>
    </row>
    <row r="396" ht="22.5" customHeight="1">
      <c r="A396" s="27">
        <v>46102.0</v>
      </c>
      <c r="B396" s="34" t="str">
        <f t="array" ref="B396">TEXT(A396, "MM-YYYY")</f>
        <v>03-2026</v>
      </c>
      <c r="C396" s="25" t="s">
        <v>1147</v>
      </c>
      <c r="D396" s="36" t="s">
        <v>210</v>
      </c>
      <c r="E396" s="36" t="s">
        <v>213</v>
      </c>
      <c r="F396" s="29" t="b">
        <v>1</v>
      </c>
      <c r="G396" s="36" t="s">
        <v>214</v>
      </c>
      <c r="H396" s="36" t="s">
        <v>215</v>
      </c>
      <c r="I396" s="39"/>
      <c r="J396" s="43"/>
      <c r="K396" s="37" t="s">
        <v>326</v>
      </c>
      <c r="L396" s="37" t="s">
        <v>682</v>
      </c>
      <c r="M396" s="37" t="s">
        <v>664</v>
      </c>
      <c r="N396" s="37" t="s">
        <v>1609</v>
      </c>
      <c r="O396" s="37" t="s">
        <v>2326</v>
      </c>
      <c r="P396" s="37" t="s">
        <v>2327</v>
      </c>
      <c r="Q396" s="41">
        <v>46152.0</v>
      </c>
      <c r="R396" s="42">
        <v>0.0</v>
      </c>
      <c r="S396" s="44"/>
      <c r="T396" s="37" t="s">
        <v>2328</v>
      </c>
      <c r="U396" s="47" t="str">
        <f>IF(records_2[Type]="Room",records_2[roomNo],records_2[roomNo]&amp;"-"&amp;SUBSTITUTE(RIGHT(records_2[roomNo]&amp;records_2[Type],2),"-",""))</f>
        <v>10-3-049</v>
      </c>
      <c r="V396" s="47" t="str">
        <f t="array" ref="V396">_xlfn.XLOOKUP(records_2[ID], dAir[roomNo], dAir[roomName])</f>
        <v>AIRLOCK</v>
      </c>
      <c r="W396" s="47" t="str">
        <f t="array" ref="W396">_xlfn.XLOOKUP(records_2[ID], dAir[roomNo], dAir[building])</f>
        <v>Building 10</v>
      </c>
      <c r="X396" s="47" t="str">
        <f t="array" ref="X396">_xlfn.XLOOKUP(records_2[ID], dAir[roomNo], dAir[floor])</f>
        <v>Floor 3</v>
      </c>
      <c r="Y396" s="45" t="str">
        <f t="array" ref="Y396">_xlfn.XLOOKUP(records_2[ID], dAir[roomNo], dAir[Class])</f>
        <v>D</v>
      </c>
      <c r="Z396" s="45">
        <f t="array" ref="Z396">_xlfn.XLOOKUP(records_2[Method]&amp;"-"&amp;records_2[Class], dAirSpec[ID], dAirSpec[Spec])</f>
        <v>100</v>
      </c>
      <c r="AA396" s="45" t="str">
        <f t="array" ref="AA396">_xlfn.XLOOKUP(records_2[Method]&amp;"-"&amp;records_2[Class], dAirSpec[ID], dAirSpec[Unit])</f>
        <v>cfu/plate</v>
      </c>
      <c r="AB396" s="58">
        <f t="array" ref="AB396">if(R396="","", if(records_2[Method]="Active Air",_xlfn.xlookup(records_2[ColonyCount]&amp;records_2[AirSampler],feller[code],feller[Vc]),records_2[ColonyCount]))</f>
        <v>0</v>
      </c>
      <c r="AC396" s="60" t="b">
        <f t="shared" si="1"/>
        <v>1</v>
      </c>
      <c r="AD396" s="61" t="b">
        <v>0</v>
      </c>
      <c r="AE396" s="32" t="s">
        <v>280</v>
      </c>
      <c r="AF396" s="46"/>
      <c r="AG396" s="46"/>
      <c r="AH396" s="46"/>
      <c r="AI396" s="46"/>
      <c r="AJ396" s="46"/>
    </row>
    <row r="397" ht="22.5" customHeight="1">
      <c r="A397" s="27">
        <v>46102.0</v>
      </c>
      <c r="B397" s="34" t="str">
        <f t="array" ref="B397">TEXT(A397, "MM-YYYY")</f>
        <v>03-2026</v>
      </c>
      <c r="C397" s="25" t="s">
        <v>173</v>
      </c>
      <c r="D397" s="36" t="s">
        <v>210</v>
      </c>
      <c r="E397" s="36" t="s">
        <v>213</v>
      </c>
      <c r="F397" s="29" t="b">
        <v>1</v>
      </c>
      <c r="G397" s="36" t="s">
        <v>214</v>
      </c>
      <c r="H397" s="36" t="s">
        <v>215</v>
      </c>
      <c r="I397" s="39"/>
      <c r="J397" s="43"/>
      <c r="K397" s="37" t="s">
        <v>366</v>
      </c>
      <c r="L397" s="37" t="s">
        <v>1138</v>
      </c>
      <c r="M397" s="37" t="s">
        <v>664</v>
      </c>
      <c r="N397" s="37" t="s">
        <v>1609</v>
      </c>
      <c r="O397" s="37" t="s">
        <v>2326</v>
      </c>
      <c r="P397" s="37" t="s">
        <v>2327</v>
      </c>
      <c r="Q397" s="41">
        <v>46152.0</v>
      </c>
      <c r="R397" s="42">
        <v>0.0</v>
      </c>
      <c r="S397" s="44"/>
      <c r="T397" s="37" t="s">
        <v>2328</v>
      </c>
      <c r="U397" s="47" t="str">
        <f>IF(records_2[Type]="Room",records_2[roomNo],records_2[roomNo]&amp;"-"&amp;SUBSTITUTE(RIGHT(records_2[roomNo]&amp;records_2[Type],2),"-",""))</f>
        <v>10-3-050</v>
      </c>
      <c r="V397" s="47" t="str">
        <f t="array" ref="V397">_xlfn.XLOOKUP(records_2[ID], dAir[roomNo], dAir[roomName])</f>
        <v>TABLETS INSPECTION 1  (TABLET INSPECTION MACHINE) &amp; (DRUM TIPPER)</v>
      </c>
      <c r="W397" s="47" t="str">
        <f t="array" ref="W397">_xlfn.XLOOKUP(records_2[ID], dAir[roomNo], dAir[building])</f>
        <v>Building 10</v>
      </c>
      <c r="X397" s="47" t="str">
        <f t="array" ref="X397">_xlfn.XLOOKUP(records_2[ID], dAir[roomNo], dAir[floor])</f>
        <v>Floor 3</v>
      </c>
      <c r="Y397" s="45" t="str">
        <f t="array" ref="Y397">_xlfn.XLOOKUP(records_2[ID], dAir[roomNo], dAir[Class])</f>
        <v>D</v>
      </c>
      <c r="Z397" s="45">
        <f t="array" ref="Z397">_xlfn.XLOOKUP(records_2[Method]&amp;"-"&amp;records_2[Class], dAirSpec[ID], dAirSpec[Spec])</f>
        <v>100</v>
      </c>
      <c r="AA397" s="45" t="str">
        <f t="array" ref="AA397">_xlfn.XLOOKUP(records_2[Method]&amp;"-"&amp;records_2[Class], dAirSpec[ID], dAirSpec[Unit])</f>
        <v>cfu/plate</v>
      </c>
      <c r="AB397" s="58">
        <f t="array" ref="AB397">if(R397="","", if(records_2[Method]="Active Air",_xlfn.xlookup(records_2[ColonyCount]&amp;records_2[AirSampler],feller[code],feller[Vc]),records_2[ColonyCount]))</f>
        <v>0</v>
      </c>
      <c r="AC397" s="60" t="b">
        <f t="shared" si="1"/>
        <v>1</v>
      </c>
      <c r="AD397" s="61" t="b">
        <v>0</v>
      </c>
      <c r="AE397" s="32" t="s">
        <v>280</v>
      </c>
      <c r="AF397" s="46"/>
      <c r="AG397" s="46"/>
      <c r="AH397" s="46"/>
      <c r="AI397" s="46"/>
      <c r="AJ397" s="46"/>
    </row>
    <row r="398" ht="22.5" customHeight="1">
      <c r="A398" s="27">
        <v>46102.0</v>
      </c>
      <c r="B398" s="34" t="str">
        <f t="array" ref="B398">TEXT(A398, "MM-YYYY")</f>
        <v>03-2026</v>
      </c>
      <c r="C398" s="25" t="s">
        <v>1149</v>
      </c>
      <c r="D398" s="36" t="s">
        <v>210</v>
      </c>
      <c r="E398" s="36" t="s">
        <v>213</v>
      </c>
      <c r="F398" s="29" t="b">
        <v>1</v>
      </c>
      <c r="G398" s="36" t="s">
        <v>214</v>
      </c>
      <c r="H398" s="36" t="s">
        <v>215</v>
      </c>
      <c r="I398" s="39"/>
      <c r="J398" s="43"/>
      <c r="K398" s="37" t="s">
        <v>353</v>
      </c>
      <c r="L398" s="37" t="s">
        <v>2333</v>
      </c>
      <c r="M398" s="37" t="s">
        <v>677</v>
      </c>
      <c r="N398" s="37" t="s">
        <v>1609</v>
      </c>
      <c r="O398" s="37" t="s">
        <v>2326</v>
      </c>
      <c r="P398" s="37" t="s">
        <v>2327</v>
      </c>
      <c r="Q398" s="41">
        <v>46152.0</v>
      </c>
      <c r="R398" s="42">
        <v>0.0</v>
      </c>
      <c r="S398" s="44"/>
      <c r="T398" s="37" t="s">
        <v>2328</v>
      </c>
      <c r="U398" s="47" t="str">
        <f>IF(records_2[Type]="Room",records_2[roomNo],records_2[roomNo]&amp;"-"&amp;SUBSTITUTE(RIGHT(records_2[roomNo]&amp;records_2[Type],2),"-",""))</f>
        <v>10-3-051</v>
      </c>
      <c r="V398" s="47" t="str">
        <f t="array" ref="V398">_xlfn.XLOOKUP(records_2[ID], dAir[roomNo], dAir[roomName])</f>
        <v>AIRLOCK</v>
      </c>
      <c r="W398" s="47" t="str">
        <f t="array" ref="W398">_xlfn.XLOOKUP(records_2[ID], dAir[roomNo], dAir[building])</f>
        <v>Building 10</v>
      </c>
      <c r="X398" s="47" t="str">
        <f t="array" ref="X398">_xlfn.XLOOKUP(records_2[ID], dAir[roomNo], dAir[floor])</f>
        <v>Floor 3</v>
      </c>
      <c r="Y398" s="45" t="str">
        <f t="array" ref="Y398">_xlfn.XLOOKUP(records_2[ID], dAir[roomNo], dAir[Class])</f>
        <v>D</v>
      </c>
      <c r="Z398" s="45">
        <f t="array" ref="Z398">_xlfn.XLOOKUP(records_2[Method]&amp;"-"&amp;records_2[Class], dAirSpec[ID], dAirSpec[Spec])</f>
        <v>100</v>
      </c>
      <c r="AA398" s="45" t="str">
        <f t="array" ref="AA398">_xlfn.XLOOKUP(records_2[Method]&amp;"-"&amp;records_2[Class], dAirSpec[ID], dAirSpec[Unit])</f>
        <v>cfu/plate</v>
      </c>
      <c r="AB398" s="58">
        <f t="array" ref="AB398">if(R398="","", if(records_2[Method]="Active Air",_xlfn.xlookup(records_2[ColonyCount]&amp;records_2[AirSampler],feller[code],feller[Vc]),records_2[ColonyCount]))</f>
        <v>0</v>
      </c>
      <c r="AC398" s="60" t="b">
        <f t="shared" si="1"/>
        <v>1</v>
      </c>
      <c r="AD398" s="61" t="b">
        <v>0</v>
      </c>
      <c r="AE398" s="32" t="s">
        <v>280</v>
      </c>
      <c r="AF398" s="46"/>
      <c r="AG398" s="46"/>
      <c r="AH398" s="46"/>
      <c r="AI398" s="46"/>
      <c r="AJ398" s="46"/>
    </row>
    <row r="399" ht="22.5" customHeight="1">
      <c r="A399" s="27">
        <v>46102.0</v>
      </c>
      <c r="B399" s="34" t="str">
        <f t="array" ref="B399">TEXT(A399, "MM-YYYY")</f>
        <v>03-2026</v>
      </c>
      <c r="C399" s="25" t="s">
        <v>179</v>
      </c>
      <c r="D399" s="36" t="s">
        <v>210</v>
      </c>
      <c r="E399" s="36" t="s">
        <v>213</v>
      </c>
      <c r="F399" s="29" t="b">
        <v>1</v>
      </c>
      <c r="G399" s="36" t="s">
        <v>214</v>
      </c>
      <c r="H399" s="36" t="s">
        <v>215</v>
      </c>
      <c r="I399" s="39"/>
      <c r="J399" s="43"/>
      <c r="K399" s="37" t="s">
        <v>292</v>
      </c>
      <c r="L399" s="37" t="s">
        <v>2334</v>
      </c>
      <c r="M399" s="37" t="s">
        <v>664</v>
      </c>
      <c r="N399" s="37" t="s">
        <v>1609</v>
      </c>
      <c r="O399" s="37" t="s">
        <v>2326</v>
      </c>
      <c r="P399" s="37" t="s">
        <v>2327</v>
      </c>
      <c r="Q399" s="41">
        <v>46152.0</v>
      </c>
      <c r="R399" s="42">
        <v>0.0</v>
      </c>
      <c r="S399" s="44"/>
      <c r="T399" s="37" t="s">
        <v>2328</v>
      </c>
      <c r="U399" s="47" t="str">
        <f>IF(records_2[Type]="Room",records_2[roomNo],records_2[roomNo]&amp;"-"&amp;SUBSTITUTE(RIGHT(records_2[roomNo]&amp;records_2[Type],2),"-",""))</f>
        <v>10-3-052</v>
      </c>
      <c r="V399" s="47" t="str">
        <f t="array" ref="V399">_xlfn.XLOOKUP(records_2[ID], dAir[roomNo], dAir[roomName])</f>
        <v>TABLETS INSPECTION 2  (TABLET INSPECTION MACHINE) &amp; (DRUM TIPPER)</v>
      </c>
      <c r="W399" s="47" t="str">
        <f t="array" ref="W399">_xlfn.XLOOKUP(records_2[ID], dAir[roomNo], dAir[building])</f>
        <v>Building 10</v>
      </c>
      <c r="X399" s="47" t="str">
        <f t="array" ref="X399">_xlfn.XLOOKUP(records_2[ID], dAir[roomNo], dAir[floor])</f>
        <v>Floor 3</v>
      </c>
      <c r="Y399" s="45" t="str">
        <f t="array" ref="Y399">_xlfn.XLOOKUP(records_2[ID], dAir[roomNo], dAir[Class])</f>
        <v>D</v>
      </c>
      <c r="Z399" s="45">
        <f t="array" ref="Z399">_xlfn.XLOOKUP(records_2[Method]&amp;"-"&amp;records_2[Class], dAirSpec[ID], dAirSpec[Spec])</f>
        <v>100</v>
      </c>
      <c r="AA399" s="45" t="str">
        <f t="array" ref="AA399">_xlfn.XLOOKUP(records_2[Method]&amp;"-"&amp;records_2[Class], dAirSpec[ID], dAirSpec[Unit])</f>
        <v>cfu/plate</v>
      </c>
      <c r="AB399" s="58">
        <f t="array" ref="AB399">if(R399="","", if(records_2[Method]="Active Air",_xlfn.xlookup(records_2[ColonyCount]&amp;records_2[AirSampler],feller[code],feller[Vc]),records_2[ColonyCount]))</f>
        <v>0</v>
      </c>
      <c r="AC399" s="60" t="b">
        <f t="shared" si="1"/>
        <v>1</v>
      </c>
      <c r="AD399" s="61" t="b">
        <v>0</v>
      </c>
      <c r="AE399" s="32" t="s">
        <v>280</v>
      </c>
      <c r="AF399" s="46"/>
      <c r="AG399" s="46"/>
      <c r="AH399" s="46"/>
      <c r="AI399" s="46"/>
      <c r="AJ399" s="46"/>
    </row>
    <row r="400" ht="22.5" customHeight="1">
      <c r="A400" s="27">
        <v>46102.0</v>
      </c>
      <c r="B400" s="34" t="str">
        <f t="array" ref="B400">TEXT(A400, "MM-YYYY")</f>
        <v>03-2026</v>
      </c>
      <c r="C400" s="25" t="s">
        <v>1151</v>
      </c>
      <c r="D400" s="36" t="s">
        <v>210</v>
      </c>
      <c r="E400" s="36" t="s">
        <v>213</v>
      </c>
      <c r="F400" s="29" t="b">
        <v>1</v>
      </c>
      <c r="G400" s="36" t="s">
        <v>214</v>
      </c>
      <c r="H400" s="36" t="s">
        <v>215</v>
      </c>
      <c r="I400" s="39"/>
      <c r="J400" s="43"/>
      <c r="K400" s="37" t="s">
        <v>469</v>
      </c>
      <c r="L400" s="37" t="s">
        <v>682</v>
      </c>
      <c r="M400" s="37" t="s">
        <v>677</v>
      </c>
      <c r="N400" s="37" t="s">
        <v>1623</v>
      </c>
      <c r="O400" s="37" t="s">
        <v>2326</v>
      </c>
      <c r="P400" s="37" t="s">
        <v>2327</v>
      </c>
      <c r="Q400" s="41">
        <v>46152.0</v>
      </c>
      <c r="R400" s="42">
        <v>0.0</v>
      </c>
      <c r="S400" s="44"/>
      <c r="T400" s="37" t="s">
        <v>2328</v>
      </c>
      <c r="U400" s="47" t="str">
        <f>IF(records_2[Type]="Room",records_2[roomNo],records_2[roomNo]&amp;"-"&amp;SUBSTITUTE(RIGHT(records_2[roomNo]&amp;records_2[Type],2),"-",""))</f>
        <v>10-3-053</v>
      </c>
      <c r="V400" s="47" t="str">
        <f t="array" ref="V400">_xlfn.XLOOKUP(records_2[ID], dAir[roomNo], dAir[roomName])</f>
        <v>BULK STAGING 3</v>
      </c>
      <c r="W400" s="47" t="str">
        <f t="array" ref="W400">_xlfn.XLOOKUP(records_2[ID], dAir[roomNo], dAir[building])</f>
        <v>Building 10</v>
      </c>
      <c r="X400" s="47" t="str">
        <f t="array" ref="X400">_xlfn.XLOOKUP(records_2[ID], dAir[roomNo], dAir[floor])</f>
        <v>Floor 3</v>
      </c>
      <c r="Y400" s="45" t="str">
        <f t="array" ref="Y400">_xlfn.XLOOKUP(records_2[ID], dAir[roomNo], dAir[Class])</f>
        <v>D</v>
      </c>
      <c r="Z400" s="45">
        <f t="array" ref="Z400">_xlfn.XLOOKUP(records_2[Method]&amp;"-"&amp;records_2[Class], dAirSpec[ID], dAirSpec[Spec])</f>
        <v>100</v>
      </c>
      <c r="AA400" s="45" t="str">
        <f t="array" ref="AA400">_xlfn.XLOOKUP(records_2[Method]&amp;"-"&amp;records_2[Class], dAirSpec[ID], dAirSpec[Unit])</f>
        <v>cfu/plate</v>
      </c>
      <c r="AB400" s="58">
        <f t="array" ref="AB400">if(R400="","", if(records_2[Method]="Active Air",_xlfn.xlookup(records_2[ColonyCount]&amp;records_2[AirSampler],feller[code],feller[Vc]),records_2[ColonyCount]))</f>
        <v>0</v>
      </c>
      <c r="AC400" s="60" t="b">
        <f t="shared" si="1"/>
        <v>1</v>
      </c>
      <c r="AD400" s="61" t="b">
        <v>0</v>
      </c>
      <c r="AE400" s="32" t="s">
        <v>280</v>
      </c>
      <c r="AF400" s="46"/>
      <c r="AG400" s="46"/>
      <c r="AH400" s="46"/>
      <c r="AI400" s="46"/>
      <c r="AJ400" s="46"/>
    </row>
    <row r="401" ht="22.5" customHeight="1">
      <c r="A401" s="27">
        <v>46102.0</v>
      </c>
      <c r="B401" s="34" t="str">
        <f t="array" ref="B401">TEXT(A401, "MM-YYYY")</f>
        <v>03-2026</v>
      </c>
      <c r="C401" s="25" t="s">
        <v>1152</v>
      </c>
      <c r="D401" s="36" t="s">
        <v>210</v>
      </c>
      <c r="E401" s="36" t="s">
        <v>213</v>
      </c>
      <c r="F401" s="29" t="b">
        <v>1</v>
      </c>
      <c r="G401" s="36" t="s">
        <v>214</v>
      </c>
      <c r="H401" s="36" t="s">
        <v>215</v>
      </c>
      <c r="I401" s="39"/>
      <c r="J401" s="43"/>
      <c r="K401" s="37" t="s">
        <v>310</v>
      </c>
      <c r="L401" s="37" t="s">
        <v>495</v>
      </c>
      <c r="M401" s="37" t="s">
        <v>677</v>
      </c>
      <c r="N401" s="37" t="s">
        <v>1623</v>
      </c>
      <c r="O401" s="37" t="s">
        <v>2326</v>
      </c>
      <c r="P401" s="37" t="s">
        <v>2327</v>
      </c>
      <c r="Q401" s="41">
        <v>46152.0</v>
      </c>
      <c r="R401" s="42">
        <v>0.0</v>
      </c>
      <c r="S401" s="44"/>
      <c r="T401" s="37" t="s">
        <v>2328</v>
      </c>
      <c r="U401" s="47" t="str">
        <f>IF(records_2[Type]="Room",records_2[roomNo],records_2[roomNo]&amp;"-"&amp;SUBSTITUTE(RIGHT(records_2[roomNo]&amp;records_2[Type],2),"-",""))</f>
        <v>10-3-054</v>
      </c>
      <c r="V401" s="47" t="str">
        <f t="array" ref="V401">_xlfn.XLOOKUP(records_2[ID], dAir[roomNo], dAir[roomName])</f>
        <v>AIRLOCK</v>
      </c>
      <c r="W401" s="47" t="str">
        <f t="array" ref="W401">_xlfn.XLOOKUP(records_2[ID], dAir[roomNo], dAir[building])</f>
        <v>Building 10</v>
      </c>
      <c r="X401" s="47" t="str">
        <f t="array" ref="X401">_xlfn.XLOOKUP(records_2[ID], dAir[roomNo], dAir[floor])</f>
        <v>Floor 3</v>
      </c>
      <c r="Y401" s="45" t="str">
        <f t="array" ref="Y401">_xlfn.XLOOKUP(records_2[ID], dAir[roomNo], dAir[Class])</f>
        <v>D</v>
      </c>
      <c r="Z401" s="45">
        <f t="array" ref="Z401">_xlfn.XLOOKUP(records_2[Method]&amp;"-"&amp;records_2[Class], dAirSpec[ID], dAirSpec[Spec])</f>
        <v>100</v>
      </c>
      <c r="AA401" s="45" t="str">
        <f t="array" ref="AA401">_xlfn.XLOOKUP(records_2[Method]&amp;"-"&amp;records_2[Class], dAirSpec[ID], dAirSpec[Unit])</f>
        <v>cfu/plate</v>
      </c>
      <c r="AB401" s="58">
        <f t="array" ref="AB401">if(R401="","", if(records_2[Method]="Active Air",_xlfn.xlookup(records_2[ColonyCount]&amp;records_2[AirSampler],feller[code],feller[Vc]),records_2[ColonyCount]))</f>
        <v>0</v>
      </c>
      <c r="AC401" s="60" t="b">
        <f t="shared" si="1"/>
        <v>1</v>
      </c>
      <c r="AD401" s="61" t="b">
        <v>0</v>
      </c>
      <c r="AE401" s="32" t="s">
        <v>280</v>
      </c>
      <c r="AF401" s="46"/>
      <c r="AG401" s="46"/>
      <c r="AH401" s="46"/>
      <c r="AI401" s="46"/>
      <c r="AJ401" s="46"/>
    </row>
    <row r="402" ht="22.5" customHeight="1">
      <c r="A402" s="27">
        <v>46102.0</v>
      </c>
      <c r="B402" s="34" t="str">
        <f t="array" ref="B402">TEXT(A402, "MM-YYYY")</f>
        <v>03-2026</v>
      </c>
      <c r="C402" s="25" t="s">
        <v>1153</v>
      </c>
      <c r="D402" s="36" t="s">
        <v>210</v>
      </c>
      <c r="E402" s="36" t="s">
        <v>213</v>
      </c>
      <c r="F402" s="29" t="b">
        <v>1</v>
      </c>
      <c r="G402" s="36" t="s">
        <v>214</v>
      </c>
      <c r="H402" s="36" t="s">
        <v>215</v>
      </c>
      <c r="I402" s="39"/>
      <c r="J402" s="43"/>
      <c r="K402" s="37" t="s">
        <v>569</v>
      </c>
      <c r="L402" s="37" t="s">
        <v>2335</v>
      </c>
      <c r="M402" s="37" t="s">
        <v>723</v>
      </c>
      <c r="N402" s="37" t="s">
        <v>320</v>
      </c>
      <c r="O402" s="37" t="s">
        <v>2326</v>
      </c>
      <c r="P402" s="37" t="s">
        <v>2327</v>
      </c>
      <c r="Q402" s="41">
        <v>46152.0</v>
      </c>
      <c r="R402" s="42">
        <v>0.0</v>
      </c>
      <c r="S402" s="44" t="s">
        <v>2011</v>
      </c>
      <c r="T402" s="37" t="s">
        <v>2328</v>
      </c>
      <c r="U402" s="47" t="str">
        <f>IF(records_2[Type]="Room",records_2[roomNo],records_2[roomNo]&amp;"-"&amp;SUBSTITUTE(RIGHT(records_2[roomNo]&amp;records_2[Type],2),"-",""))</f>
        <v>10-3-055</v>
      </c>
      <c r="V402" s="47" t="str">
        <f t="array" ref="V402">_xlfn.XLOOKUP(records_2[ID], dAir[roomNo], dAir[roomName])</f>
        <v>CORRIDOR</v>
      </c>
      <c r="W402" s="47" t="str">
        <f t="array" ref="W402">_xlfn.XLOOKUP(records_2[ID], dAir[roomNo], dAir[building])</f>
        <v>Building 10</v>
      </c>
      <c r="X402" s="47" t="str">
        <f t="array" ref="X402">_xlfn.XLOOKUP(records_2[ID], dAir[roomNo], dAir[floor])</f>
        <v>Floor 3</v>
      </c>
      <c r="Y402" s="45" t="str">
        <f t="array" ref="Y402">_xlfn.XLOOKUP(records_2[ID], dAir[roomNo], dAir[Class])</f>
        <v>D</v>
      </c>
      <c r="Z402" s="45">
        <f t="array" ref="Z402">_xlfn.XLOOKUP(records_2[Method]&amp;"-"&amp;records_2[Class], dAirSpec[ID], dAirSpec[Spec])</f>
        <v>100</v>
      </c>
      <c r="AA402" s="45" t="str">
        <f t="array" ref="AA402">_xlfn.XLOOKUP(records_2[Method]&amp;"-"&amp;records_2[Class], dAirSpec[ID], dAirSpec[Unit])</f>
        <v>cfu/plate</v>
      </c>
      <c r="AB402" s="58">
        <f t="array" ref="AB402">if(R402="","", if(records_2[Method]="Active Air",_xlfn.xlookup(records_2[ColonyCount]&amp;records_2[AirSampler],feller[code],feller[Vc]),records_2[ColonyCount]))</f>
        <v>0</v>
      </c>
      <c r="AC402" s="60" t="b">
        <f t="shared" si="1"/>
        <v>1</v>
      </c>
      <c r="AD402" s="61" t="b">
        <v>0</v>
      </c>
      <c r="AE402" s="32" t="s">
        <v>280</v>
      </c>
      <c r="AF402" s="46"/>
      <c r="AG402" s="46"/>
      <c r="AH402" s="46"/>
      <c r="AI402" s="46"/>
      <c r="AJ402" s="46"/>
    </row>
    <row r="403" ht="22.5" customHeight="1">
      <c r="A403" s="27">
        <v>46102.0</v>
      </c>
      <c r="B403" s="34" t="str">
        <f t="array" ref="B403">TEXT(A403, "MM-YYYY")</f>
        <v>03-2026</v>
      </c>
      <c r="C403" s="25" t="s">
        <v>1154</v>
      </c>
      <c r="D403" s="36" t="s">
        <v>210</v>
      </c>
      <c r="E403" s="36" t="s">
        <v>213</v>
      </c>
      <c r="F403" s="29" t="b">
        <v>1</v>
      </c>
      <c r="G403" s="36" t="s">
        <v>214</v>
      </c>
      <c r="H403" s="36" t="s">
        <v>215</v>
      </c>
      <c r="I403" s="39"/>
      <c r="J403" s="43"/>
      <c r="K403" s="37" t="s">
        <v>310</v>
      </c>
      <c r="L403" s="37" t="s">
        <v>2336</v>
      </c>
      <c r="M403" s="37" t="s">
        <v>690</v>
      </c>
      <c r="N403" s="37" t="s">
        <v>1788</v>
      </c>
      <c r="O403" s="37" t="s">
        <v>2326</v>
      </c>
      <c r="P403" s="37" t="s">
        <v>2327</v>
      </c>
      <c r="Q403" s="41">
        <v>46152.0</v>
      </c>
      <c r="R403" s="42">
        <v>1.0</v>
      </c>
      <c r="S403" s="44"/>
      <c r="T403" s="37" t="s">
        <v>2328</v>
      </c>
      <c r="U403" s="47" t="str">
        <f>IF(records_2[Type]="Room",records_2[roomNo],records_2[roomNo]&amp;"-"&amp;SUBSTITUTE(RIGHT(records_2[roomNo]&amp;records_2[Type],2),"-",""))</f>
        <v>10-3-056</v>
      </c>
      <c r="V403" s="47" t="str">
        <f t="array" ref="V403">_xlfn.XLOOKUP(records_2[ID], dAir[roomNo], dAir[roomName])</f>
        <v>AIRLOCK</v>
      </c>
      <c r="W403" s="47" t="str">
        <f t="array" ref="W403">_xlfn.XLOOKUP(records_2[ID], dAir[roomNo], dAir[building])</f>
        <v>Building 10</v>
      </c>
      <c r="X403" s="47" t="str">
        <f t="array" ref="X403">_xlfn.XLOOKUP(records_2[ID], dAir[roomNo], dAir[floor])</f>
        <v>Floor 3</v>
      </c>
      <c r="Y403" s="45" t="str">
        <f t="array" ref="Y403">_xlfn.XLOOKUP(records_2[ID], dAir[roomNo], dAir[Class])</f>
        <v>D</v>
      </c>
      <c r="Z403" s="45">
        <f t="array" ref="Z403">_xlfn.XLOOKUP(records_2[Method]&amp;"-"&amp;records_2[Class], dAirSpec[ID], dAirSpec[Spec])</f>
        <v>100</v>
      </c>
      <c r="AA403" s="45" t="str">
        <f t="array" ref="AA403">_xlfn.XLOOKUP(records_2[Method]&amp;"-"&amp;records_2[Class], dAirSpec[ID], dAirSpec[Unit])</f>
        <v>cfu/plate</v>
      </c>
      <c r="AB403" s="58">
        <f t="array" ref="AB403">if(R403="","", if(records_2[Method]="Active Air",_xlfn.xlookup(records_2[ColonyCount]&amp;records_2[AirSampler],feller[code],feller[Vc]),records_2[ColonyCount]))</f>
        <v>1</v>
      </c>
      <c r="AC403" s="60" t="b">
        <f t="shared" si="1"/>
        <v>1</v>
      </c>
      <c r="AD403" s="61" t="b">
        <v>0</v>
      </c>
      <c r="AE403" s="32" t="s">
        <v>280</v>
      </c>
      <c r="AF403" s="46"/>
      <c r="AG403" s="46"/>
      <c r="AH403" s="46"/>
      <c r="AI403" s="46"/>
      <c r="AJ403" s="46"/>
    </row>
    <row r="404" ht="22.5" customHeight="1">
      <c r="A404" s="27">
        <v>46102.0</v>
      </c>
      <c r="B404" s="34" t="str">
        <f t="array" ref="B404">TEXT(A404, "MM-YYYY")</f>
        <v>03-2026</v>
      </c>
      <c r="C404" s="25" t="s">
        <v>1155</v>
      </c>
      <c r="D404" s="36" t="s">
        <v>210</v>
      </c>
      <c r="E404" s="36" t="s">
        <v>213</v>
      </c>
      <c r="F404" s="29" t="b">
        <v>1</v>
      </c>
      <c r="G404" s="36" t="s">
        <v>214</v>
      </c>
      <c r="H404" s="36" t="s">
        <v>215</v>
      </c>
      <c r="I404" s="39"/>
      <c r="J404" s="43"/>
      <c r="K404" s="37" t="s">
        <v>377</v>
      </c>
      <c r="L404" s="37" t="s">
        <v>2337</v>
      </c>
      <c r="M404" s="37" t="s">
        <v>690</v>
      </c>
      <c r="N404" s="37" t="s">
        <v>1798</v>
      </c>
      <c r="O404" s="37" t="s">
        <v>2326</v>
      </c>
      <c r="P404" s="37" t="s">
        <v>2327</v>
      </c>
      <c r="Q404" s="41">
        <v>46152.0</v>
      </c>
      <c r="R404" s="42">
        <v>0.0</v>
      </c>
      <c r="S404" s="44" t="s">
        <v>2011</v>
      </c>
      <c r="T404" s="37" t="s">
        <v>2328</v>
      </c>
      <c r="U404" s="47" t="str">
        <f>IF(records_2[Type]="Room",records_2[roomNo],records_2[roomNo]&amp;"-"&amp;SUBSTITUTE(RIGHT(records_2[roomNo]&amp;records_2[Type],2),"-",""))</f>
        <v>10-3-057</v>
      </c>
      <c r="V404" s="47" t="str">
        <f t="array" ref="V404">_xlfn.XLOOKUP(records_2[ID], dAir[roomNo], dAir[roomName])</f>
        <v>CORRIDOR</v>
      </c>
      <c r="W404" s="47" t="str">
        <f t="array" ref="W404">_xlfn.XLOOKUP(records_2[ID], dAir[roomNo], dAir[building])</f>
        <v>Building 10</v>
      </c>
      <c r="X404" s="47" t="str">
        <f t="array" ref="X404">_xlfn.XLOOKUP(records_2[ID], dAir[roomNo], dAir[floor])</f>
        <v>Floor 3</v>
      </c>
      <c r="Y404" s="45" t="str">
        <f t="array" ref="Y404">_xlfn.XLOOKUP(records_2[ID], dAir[roomNo], dAir[Class])</f>
        <v>D</v>
      </c>
      <c r="Z404" s="45">
        <f t="array" ref="Z404">_xlfn.XLOOKUP(records_2[Method]&amp;"-"&amp;records_2[Class], dAirSpec[ID], dAirSpec[Spec])</f>
        <v>100</v>
      </c>
      <c r="AA404" s="45" t="str">
        <f t="array" ref="AA404">_xlfn.XLOOKUP(records_2[Method]&amp;"-"&amp;records_2[Class], dAirSpec[ID], dAirSpec[Unit])</f>
        <v>cfu/plate</v>
      </c>
      <c r="AB404" s="58">
        <f t="array" ref="AB404">if(R404="","", if(records_2[Method]="Active Air",_xlfn.xlookup(records_2[ColonyCount]&amp;records_2[AirSampler],feller[code],feller[Vc]),records_2[ColonyCount]))</f>
        <v>0</v>
      </c>
      <c r="AC404" s="60" t="b">
        <f t="shared" si="1"/>
        <v>1</v>
      </c>
      <c r="AD404" s="61" t="b">
        <v>0</v>
      </c>
      <c r="AE404" s="32" t="s">
        <v>280</v>
      </c>
      <c r="AF404" s="46"/>
      <c r="AG404" s="46"/>
      <c r="AH404" s="46"/>
      <c r="AI404" s="46"/>
      <c r="AJ404" s="46"/>
    </row>
    <row r="405" ht="22.5" customHeight="1">
      <c r="A405" s="27">
        <v>46102.0</v>
      </c>
      <c r="B405" s="34" t="str">
        <f t="array" ref="B405">TEXT(A405, "MM-YYYY")</f>
        <v>03-2026</v>
      </c>
      <c r="C405" s="25" t="s">
        <v>463</v>
      </c>
      <c r="D405" s="36" t="s">
        <v>210</v>
      </c>
      <c r="E405" s="36" t="s">
        <v>213</v>
      </c>
      <c r="F405" s="29" t="b">
        <v>1</v>
      </c>
      <c r="G405" s="36" t="s">
        <v>214</v>
      </c>
      <c r="H405" s="36" t="s">
        <v>215</v>
      </c>
      <c r="I405" s="39"/>
      <c r="J405" s="43"/>
      <c r="K405" s="37" t="s">
        <v>599</v>
      </c>
      <c r="L405" s="37" t="s">
        <v>2338</v>
      </c>
      <c r="M405" s="37" t="s">
        <v>743</v>
      </c>
      <c r="N405" s="37" t="s">
        <v>320</v>
      </c>
      <c r="O405" s="37" t="s">
        <v>2326</v>
      </c>
      <c r="P405" s="37" t="s">
        <v>2327</v>
      </c>
      <c r="Q405" s="41">
        <v>46152.0</v>
      </c>
      <c r="R405" s="42">
        <v>0.0</v>
      </c>
      <c r="S405" s="44"/>
      <c r="T405" s="37" t="s">
        <v>2328</v>
      </c>
      <c r="U405" s="47" t="str">
        <f>IF(records_2[Type]="Room",records_2[roomNo],records_2[roomNo]&amp;"-"&amp;SUBSTITUTE(RIGHT(records_2[roomNo]&amp;records_2[Type],2),"-",""))</f>
        <v>10-3-058</v>
      </c>
      <c r="V405" s="47" t="str">
        <f t="array" ref="V405">_xlfn.XLOOKUP(records_2[ID], dAir[roomNo], dAir[roomName])</f>
        <v>COATING 1</v>
      </c>
      <c r="W405" s="47" t="str">
        <f t="array" ref="W405">_xlfn.XLOOKUP(records_2[ID], dAir[roomNo], dAir[building])</f>
        <v>Building 10</v>
      </c>
      <c r="X405" s="47" t="str">
        <f t="array" ref="X405">_xlfn.XLOOKUP(records_2[ID], dAir[roomNo], dAir[floor])</f>
        <v>Floor 3</v>
      </c>
      <c r="Y405" s="45" t="str">
        <f t="array" ref="Y405">_xlfn.XLOOKUP(records_2[ID], dAir[roomNo], dAir[Class])</f>
        <v>D</v>
      </c>
      <c r="Z405" s="45">
        <f t="array" ref="Z405">_xlfn.XLOOKUP(records_2[Method]&amp;"-"&amp;records_2[Class], dAirSpec[ID], dAirSpec[Spec])</f>
        <v>100</v>
      </c>
      <c r="AA405" s="45" t="str">
        <f t="array" ref="AA405">_xlfn.XLOOKUP(records_2[Method]&amp;"-"&amp;records_2[Class], dAirSpec[ID], dAirSpec[Unit])</f>
        <v>cfu/plate</v>
      </c>
      <c r="AB405" s="58">
        <f t="array" ref="AB405">if(R405="","", if(records_2[Method]="Active Air",_xlfn.xlookup(records_2[ColonyCount]&amp;records_2[AirSampler],feller[code],feller[Vc]),records_2[ColonyCount]))</f>
        <v>0</v>
      </c>
      <c r="AC405" s="60" t="b">
        <f t="shared" si="1"/>
        <v>1</v>
      </c>
      <c r="AD405" s="61" t="b">
        <v>0</v>
      </c>
      <c r="AE405" s="32" t="s">
        <v>280</v>
      </c>
      <c r="AF405" s="46"/>
      <c r="AG405" s="46"/>
      <c r="AH405" s="46"/>
      <c r="AI405" s="46"/>
      <c r="AJ405" s="46"/>
    </row>
    <row r="406" ht="22.5" customHeight="1">
      <c r="A406" s="27">
        <v>46102.0</v>
      </c>
      <c r="B406" s="34" t="str">
        <f t="array" ref="B406">TEXT(A406, "MM-YYYY")</f>
        <v>03-2026</v>
      </c>
      <c r="C406" s="25" t="s">
        <v>471</v>
      </c>
      <c r="D406" s="36" t="s">
        <v>210</v>
      </c>
      <c r="E406" s="36" t="s">
        <v>213</v>
      </c>
      <c r="F406" s="29" t="b">
        <v>1</v>
      </c>
      <c r="G406" s="36" t="s">
        <v>214</v>
      </c>
      <c r="H406" s="36" t="s">
        <v>215</v>
      </c>
      <c r="I406" s="39"/>
      <c r="J406" s="43"/>
      <c r="K406" s="37" t="s">
        <v>326</v>
      </c>
      <c r="L406" s="37" t="s">
        <v>2339</v>
      </c>
      <c r="M406" s="37" t="s">
        <v>743</v>
      </c>
      <c r="N406" s="37" t="s">
        <v>320</v>
      </c>
      <c r="O406" s="37" t="s">
        <v>2326</v>
      </c>
      <c r="P406" s="37" t="s">
        <v>2327</v>
      </c>
      <c r="Q406" s="41">
        <v>46152.0</v>
      </c>
      <c r="R406" s="42">
        <v>0.0</v>
      </c>
      <c r="S406" s="44"/>
      <c r="T406" s="37" t="s">
        <v>2328</v>
      </c>
      <c r="U406" s="47" t="str">
        <f>IF(records_2[Type]="Room",records_2[roomNo],records_2[roomNo]&amp;"-"&amp;SUBSTITUTE(RIGHT(records_2[roomNo]&amp;records_2[Type],2),"-",""))</f>
        <v>10-3-059</v>
      </c>
      <c r="V406" s="47" t="str">
        <f t="array" ref="V406">_xlfn.XLOOKUP(records_2[ID], dAir[roomNo], dAir[roomName])</f>
        <v>COATING SOLUTION PREPARATION 1  (SOLUTION PREPARATION TANK)</v>
      </c>
      <c r="W406" s="47" t="str">
        <f t="array" ref="W406">_xlfn.XLOOKUP(records_2[ID], dAir[roomNo], dAir[building])</f>
        <v>Building 10</v>
      </c>
      <c r="X406" s="47" t="str">
        <f t="array" ref="X406">_xlfn.XLOOKUP(records_2[ID], dAir[roomNo], dAir[floor])</f>
        <v>Floor 3</v>
      </c>
      <c r="Y406" s="45" t="str">
        <f t="array" ref="Y406">_xlfn.XLOOKUP(records_2[ID], dAir[roomNo], dAir[Class])</f>
        <v>D</v>
      </c>
      <c r="Z406" s="45">
        <f t="array" ref="Z406">_xlfn.XLOOKUP(records_2[Method]&amp;"-"&amp;records_2[Class], dAirSpec[ID], dAirSpec[Spec])</f>
        <v>100</v>
      </c>
      <c r="AA406" s="45" t="str">
        <f t="array" ref="AA406">_xlfn.XLOOKUP(records_2[Method]&amp;"-"&amp;records_2[Class], dAirSpec[ID], dAirSpec[Unit])</f>
        <v>cfu/plate</v>
      </c>
      <c r="AB406" s="58">
        <f t="array" ref="AB406">if(R406="","", if(records_2[Method]="Active Air",_xlfn.xlookup(records_2[ColonyCount]&amp;records_2[AirSampler],feller[code],feller[Vc]),records_2[ColonyCount]))</f>
        <v>0</v>
      </c>
      <c r="AC406" s="60" t="b">
        <f t="shared" si="1"/>
        <v>1</v>
      </c>
      <c r="AD406" s="61" t="b">
        <v>0</v>
      </c>
      <c r="AE406" s="32" t="s">
        <v>280</v>
      </c>
      <c r="AF406" s="46"/>
      <c r="AG406" s="46"/>
      <c r="AH406" s="46"/>
      <c r="AI406" s="46"/>
      <c r="AJ406" s="46"/>
    </row>
    <row r="407" ht="22.5" customHeight="1">
      <c r="A407" s="27">
        <v>46102.0</v>
      </c>
      <c r="B407" s="34" t="str">
        <f t="array" ref="B407">TEXT(A407, "MM-YYYY")</f>
        <v>03-2026</v>
      </c>
      <c r="C407" s="25" t="s">
        <v>187</v>
      </c>
      <c r="D407" s="36" t="s">
        <v>210</v>
      </c>
      <c r="E407" s="36" t="s">
        <v>213</v>
      </c>
      <c r="F407" s="29" t="b">
        <v>1</v>
      </c>
      <c r="G407" s="36" t="s">
        <v>214</v>
      </c>
      <c r="H407" s="36" t="s">
        <v>215</v>
      </c>
      <c r="I407" s="39"/>
      <c r="J407" s="43"/>
      <c r="K407" s="37" t="s">
        <v>484</v>
      </c>
      <c r="L407" s="37" t="s">
        <v>345</v>
      </c>
      <c r="M407" s="37" t="s">
        <v>743</v>
      </c>
      <c r="N407" s="37" t="s">
        <v>320</v>
      </c>
      <c r="O407" s="37" t="s">
        <v>2326</v>
      </c>
      <c r="P407" s="37" t="s">
        <v>2327</v>
      </c>
      <c r="Q407" s="41">
        <v>46152.0</v>
      </c>
      <c r="R407" s="42">
        <v>0.0</v>
      </c>
      <c r="S407" s="44"/>
      <c r="T407" s="37" t="s">
        <v>2328</v>
      </c>
      <c r="U407" s="47" t="str">
        <f>IF(records_2[Type]="Room",records_2[roomNo],records_2[roomNo]&amp;"-"&amp;SUBSTITUTE(RIGHT(records_2[roomNo]&amp;records_2[Type],2),"-",""))</f>
        <v>10-3-060</v>
      </c>
      <c r="V407" s="47" t="str">
        <f t="array" ref="V407">_xlfn.XLOOKUP(records_2[ID], dAir[roomNo], dAir[roomName])</f>
        <v>COATING SOLUTION PREPARATION 2  (SOLUTION PREPARATION TANK)</v>
      </c>
      <c r="W407" s="47" t="str">
        <f t="array" ref="W407">_xlfn.XLOOKUP(records_2[ID], dAir[roomNo], dAir[building])</f>
        <v>Building 10</v>
      </c>
      <c r="X407" s="47" t="str">
        <f t="array" ref="X407">_xlfn.XLOOKUP(records_2[ID], dAir[roomNo], dAir[floor])</f>
        <v>Floor 3</v>
      </c>
      <c r="Y407" s="45" t="str">
        <f t="array" ref="Y407">_xlfn.XLOOKUP(records_2[ID], dAir[roomNo], dAir[Class])</f>
        <v>D</v>
      </c>
      <c r="Z407" s="45">
        <f t="array" ref="Z407">_xlfn.XLOOKUP(records_2[Method]&amp;"-"&amp;records_2[Class], dAirSpec[ID], dAirSpec[Spec])</f>
        <v>100</v>
      </c>
      <c r="AA407" s="45" t="str">
        <f t="array" ref="AA407">_xlfn.XLOOKUP(records_2[Method]&amp;"-"&amp;records_2[Class], dAirSpec[ID], dAirSpec[Unit])</f>
        <v>cfu/plate</v>
      </c>
      <c r="AB407" s="58">
        <f t="array" ref="AB407">if(R407="","", if(records_2[Method]="Active Air",_xlfn.xlookup(records_2[ColonyCount]&amp;records_2[AirSampler],feller[code],feller[Vc]),records_2[ColonyCount]))</f>
        <v>0</v>
      </c>
      <c r="AC407" s="60" t="b">
        <f t="shared" si="1"/>
        <v>1</v>
      </c>
      <c r="AD407" s="61" t="b">
        <v>0</v>
      </c>
      <c r="AE407" s="32" t="s">
        <v>280</v>
      </c>
      <c r="AF407" s="46"/>
      <c r="AG407" s="46"/>
      <c r="AH407" s="46"/>
      <c r="AI407" s="46"/>
      <c r="AJ407" s="46"/>
    </row>
    <row r="408" ht="22.5" customHeight="1">
      <c r="A408" s="27">
        <v>46102.0</v>
      </c>
      <c r="B408" s="34" t="str">
        <f t="array" ref="B408">TEXT(A408, "MM-YYYY")</f>
        <v>03-2026</v>
      </c>
      <c r="C408" s="25" t="s">
        <v>249</v>
      </c>
      <c r="D408" s="36" t="s">
        <v>210</v>
      </c>
      <c r="E408" s="36" t="s">
        <v>213</v>
      </c>
      <c r="F408" s="29" t="b">
        <v>1</v>
      </c>
      <c r="G408" s="36" t="s">
        <v>214</v>
      </c>
      <c r="H408" s="36" t="s">
        <v>215</v>
      </c>
      <c r="I408" s="39"/>
      <c r="J408" s="43"/>
      <c r="K408" s="37" t="s">
        <v>339</v>
      </c>
      <c r="L408" s="37" t="s">
        <v>299</v>
      </c>
      <c r="M408" s="37" t="s">
        <v>743</v>
      </c>
      <c r="N408" s="37" t="s">
        <v>320</v>
      </c>
      <c r="O408" s="37" t="s">
        <v>2326</v>
      </c>
      <c r="P408" s="37" t="s">
        <v>2327</v>
      </c>
      <c r="Q408" s="41">
        <v>46152.0</v>
      </c>
      <c r="R408" s="42">
        <v>0.0</v>
      </c>
      <c r="S408" s="44"/>
      <c r="T408" s="37" t="s">
        <v>2328</v>
      </c>
      <c r="U408" s="47" t="str">
        <f>IF(records_2[Type]="Room",records_2[roomNo],records_2[roomNo]&amp;"-"&amp;SUBSTITUTE(RIGHT(records_2[roomNo]&amp;records_2[Type],2),"-",""))</f>
        <v>10-3-061</v>
      </c>
      <c r="V408" s="47" t="str">
        <f t="array" ref="V408">_xlfn.XLOOKUP(records_2[ID], dAir[roomNo], dAir[roomName])</f>
        <v>COATING 2</v>
      </c>
      <c r="W408" s="47" t="str">
        <f t="array" ref="W408">_xlfn.XLOOKUP(records_2[ID], dAir[roomNo], dAir[building])</f>
        <v>Building 10</v>
      </c>
      <c r="X408" s="47" t="str">
        <f t="array" ref="X408">_xlfn.XLOOKUP(records_2[ID], dAir[roomNo], dAir[floor])</f>
        <v>Floor 3</v>
      </c>
      <c r="Y408" s="45" t="str">
        <f t="array" ref="Y408">_xlfn.XLOOKUP(records_2[ID], dAir[roomNo], dAir[Class])</f>
        <v>D</v>
      </c>
      <c r="Z408" s="45">
        <f t="array" ref="Z408">_xlfn.XLOOKUP(records_2[Method]&amp;"-"&amp;records_2[Class], dAirSpec[ID], dAirSpec[Spec])</f>
        <v>100</v>
      </c>
      <c r="AA408" s="45" t="str">
        <f t="array" ref="AA408">_xlfn.XLOOKUP(records_2[Method]&amp;"-"&amp;records_2[Class], dAirSpec[ID], dAirSpec[Unit])</f>
        <v>cfu/plate</v>
      </c>
      <c r="AB408" s="58">
        <f t="array" ref="AB408">if(R408="","", if(records_2[Method]="Active Air",_xlfn.xlookup(records_2[ColonyCount]&amp;records_2[AirSampler],feller[code],feller[Vc]),records_2[ColonyCount]))</f>
        <v>0</v>
      </c>
      <c r="AC408" s="60" t="b">
        <f t="shared" si="1"/>
        <v>1</v>
      </c>
      <c r="AD408" s="61" t="b">
        <v>0</v>
      </c>
      <c r="AE408" s="32" t="s">
        <v>280</v>
      </c>
      <c r="AF408" s="46"/>
      <c r="AG408" s="46"/>
      <c r="AH408" s="46"/>
      <c r="AI408" s="46"/>
      <c r="AJ408" s="46"/>
    </row>
    <row r="409" ht="22.5" customHeight="1">
      <c r="A409" s="27">
        <v>46102.0</v>
      </c>
      <c r="B409" s="34" t="str">
        <f t="array" ref="B409">TEXT(A409, "MM-YYYY")</f>
        <v>03-2026</v>
      </c>
      <c r="C409" s="25" t="s">
        <v>492</v>
      </c>
      <c r="D409" s="36" t="s">
        <v>210</v>
      </c>
      <c r="E409" s="36" t="s">
        <v>213</v>
      </c>
      <c r="F409" s="29" t="b">
        <v>1</v>
      </c>
      <c r="G409" s="36" t="s">
        <v>214</v>
      </c>
      <c r="H409" s="36" t="s">
        <v>215</v>
      </c>
      <c r="I409" s="39"/>
      <c r="J409" s="43"/>
      <c r="K409" s="37" t="s">
        <v>469</v>
      </c>
      <c r="L409" s="37" t="s">
        <v>315</v>
      </c>
      <c r="M409" s="37" t="s">
        <v>702</v>
      </c>
      <c r="N409" s="37" t="s">
        <v>320</v>
      </c>
      <c r="O409" s="37" t="s">
        <v>2326</v>
      </c>
      <c r="P409" s="37" t="s">
        <v>2327</v>
      </c>
      <c r="Q409" s="41">
        <v>46152.0</v>
      </c>
      <c r="R409" s="42">
        <v>0.0</v>
      </c>
      <c r="S409" s="44"/>
      <c r="T409" s="37" t="s">
        <v>2328</v>
      </c>
      <c r="U409" s="47" t="str">
        <f>IF(records_2[Type]="Room",records_2[roomNo],records_2[roomNo]&amp;"-"&amp;SUBSTITUTE(RIGHT(records_2[roomNo]&amp;records_2[Type],2),"-",""))</f>
        <v>10-3-062</v>
      </c>
      <c r="V409" s="47" t="str">
        <f t="array" ref="V409">_xlfn.XLOOKUP(records_2[ID], dAir[roomNo], dAir[roomName])</f>
        <v>COATING 3</v>
      </c>
      <c r="W409" s="47" t="str">
        <f t="array" ref="W409">_xlfn.XLOOKUP(records_2[ID], dAir[roomNo], dAir[building])</f>
        <v>Building 10</v>
      </c>
      <c r="X409" s="47" t="str">
        <f t="array" ref="X409">_xlfn.XLOOKUP(records_2[ID], dAir[roomNo], dAir[floor])</f>
        <v>Floor 3</v>
      </c>
      <c r="Y409" s="45" t="str">
        <f t="array" ref="Y409">_xlfn.XLOOKUP(records_2[ID], dAir[roomNo], dAir[Class])</f>
        <v>D</v>
      </c>
      <c r="Z409" s="45">
        <f t="array" ref="Z409">_xlfn.XLOOKUP(records_2[Method]&amp;"-"&amp;records_2[Class], dAirSpec[ID], dAirSpec[Spec])</f>
        <v>100</v>
      </c>
      <c r="AA409" s="45" t="str">
        <f t="array" ref="AA409">_xlfn.XLOOKUP(records_2[Method]&amp;"-"&amp;records_2[Class], dAirSpec[ID], dAirSpec[Unit])</f>
        <v>cfu/plate</v>
      </c>
      <c r="AB409" s="58">
        <f t="array" ref="AB409">if(R409="","", if(records_2[Method]="Active Air",_xlfn.xlookup(records_2[ColonyCount]&amp;records_2[AirSampler],feller[code],feller[Vc]),records_2[ColonyCount]))</f>
        <v>0</v>
      </c>
      <c r="AC409" s="60" t="b">
        <f t="shared" si="1"/>
        <v>1</v>
      </c>
      <c r="AD409" s="61" t="b">
        <v>0</v>
      </c>
      <c r="AE409" s="32" t="s">
        <v>280</v>
      </c>
      <c r="AF409" s="46"/>
      <c r="AG409" s="46"/>
      <c r="AH409" s="46"/>
      <c r="AI409" s="46"/>
      <c r="AJ409" s="46"/>
    </row>
    <row r="410" ht="22.5" customHeight="1">
      <c r="A410" s="27">
        <v>46102.0</v>
      </c>
      <c r="B410" s="34" t="str">
        <f t="array" ref="B410">TEXT(A410, "MM-YYYY")</f>
        <v>03-2026</v>
      </c>
      <c r="C410" s="25" t="s">
        <v>498</v>
      </c>
      <c r="D410" s="36" t="s">
        <v>210</v>
      </c>
      <c r="E410" s="36" t="s">
        <v>213</v>
      </c>
      <c r="F410" s="29" t="b">
        <v>1</v>
      </c>
      <c r="G410" s="36" t="s">
        <v>214</v>
      </c>
      <c r="H410" s="36" t="s">
        <v>215</v>
      </c>
      <c r="I410" s="39"/>
      <c r="J410" s="43"/>
      <c r="K410" s="37" t="s">
        <v>381</v>
      </c>
      <c r="L410" s="37" t="s">
        <v>503</v>
      </c>
      <c r="M410" s="37" t="s">
        <v>702</v>
      </c>
      <c r="N410" s="37" t="s">
        <v>399</v>
      </c>
      <c r="O410" s="37" t="s">
        <v>2326</v>
      </c>
      <c r="P410" s="37" t="s">
        <v>2327</v>
      </c>
      <c r="Q410" s="41">
        <v>46152.0</v>
      </c>
      <c r="R410" s="42">
        <v>0.0</v>
      </c>
      <c r="S410" s="44"/>
      <c r="T410" s="37" t="s">
        <v>2328</v>
      </c>
      <c r="U410" s="47" t="str">
        <f>IF(records_2[Type]="Room",records_2[roomNo],records_2[roomNo]&amp;"-"&amp;SUBSTITUTE(RIGHT(records_2[roomNo]&amp;records_2[Type],2),"-",""))</f>
        <v>10-3-063</v>
      </c>
      <c r="V410" s="47" t="str">
        <f t="array" ref="V410">_xlfn.XLOOKUP(records_2[ID], dAir[roomNo], dAir[roomName])</f>
        <v>COATING 4</v>
      </c>
      <c r="W410" s="47" t="str">
        <f t="array" ref="W410">_xlfn.XLOOKUP(records_2[ID], dAir[roomNo], dAir[building])</f>
        <v>Building 10</v>
      </c>
      <c r="X410" s="47" t="str">
        <f t="array" ref="X410">_xlfn.XLOOKUP(records_2[ID], dAir[roomNo], dAir[floor])</f>
        <v>Floor 3</v>
      </c>
      <c r="Y410" s="45" t="str">
        <f t="array" ref="Y410">_xlfn.XLOOKUP(records_2[ID], dAir[roomNo], dAir[Class])</f>
        <v>D</v>
      </c>
      <c r="Z410" s="45">
        <f t="array" ref="Z410">_xlfn.XLOOKUP(records_2[Method]&amp;"-"&amp;records_2[Class], dAirSpec[ID], dAirSpec[Spec])</f>
        <v>100</v>
      </c>
      <c r="AA410" s="45" t="str">
        <f t="array" ref="AA410">_xlfn.XLOOKUP(records_2[Method]&amp;"-"&amp;records_2[Class], dAirSpec[ID], dAirSpec[Unit])</f>
        <v>cfu/plate</v>
      </c>
      <c r="AB410" s="58">
        <f t="array" ref="AB410">if(R410="","", if(records_2[Method]="Active Air",_xlfn.xlookup(records_2[ColonyCount]&amp;records_2[AirSampler],feller[code],feller[Vc]),records_2[ColonyCount]))</f>
        <v>0</v>
      </c>
      <c r="AC410" s="60" t="b">
        <f t="shared" si="1"/>
        <v>1</v>
      </c>
      <c r="AD410" s="61" t="b">
        <v>0</v>
      </c>
      <c r="AE410" s="32" t="s">
        <v>280</v>
      </c>
      <c r="AF410" s="46"/>
      <c r="AG410" s="46"/>
      <c r="AH410" s="46"/>
      <c r="AI410" s="46"/>
      <c r="AJ410" s="46"/>
    </row>
    <row r="411" ht="22.5" customHeight="1">
      <c r="A411" s="27">
        <v>46102.0</v>
      </c>
      <c r="B411" s="34" t="str">
        <f t="array" ref="B411">TEXT(A411, "MM-YYYY")</f>
        <v>03-2026</v>
      </c>
      <c r="C411" s="25" t="s">
        <v>505</v>
      </c>
      <c r="D411" s="36" t="s">
        <v>210</v>
      </c>
      <c r="E411" s="36" t="s">
        <v>213</v>
      </c>
      <c r="F411" s="29" t="b">
        <v>1</v>
      </c>
      <c r="G411" s="36" t="s">
        <v>214</v>
      </c>
      <c r="H411" s="36" t="s">
        <v>215</v>
      </c>
      <c r="I411" s="39"/>
      <c r="J411" s="43"/>
      <c r="K411" s="37" t="s">
        <v>381</v>
      </c>
      <c r="L411" s="37" t="s">
        <v>439</v>
      </c>
      <c r="M411" s="37" t="s">
        <v>702</v>
      </c>
      <c r="N411" s="37" t="s">
        <v>399</v>
      </c>
      <c r="O411" s="37" t="s">
        <v>2326</v>
      </c>
      <c r="P411" s="37" t="s">
        <v>2327</v>
      </c>
      <c r="Q411" s="41">
        <v>46152.0</v>
      </c>
      <c r="R411" s="42">
        <v>0.0</v>
      </c>
      <c r="S411" s="44"/>
      <c r="T411" s="37" t="s">
        <v>2328</v>
      </c>
      <c r="U411" s="47" t="str">
        <f>IF(records_2[Type]="Room",records_2[roomNo],records_2[roomNo]&amp;"-"&amp;SUBSTITUTE(RIGHT(records_2[roomNo]&amp;records_2[Type],2),"-",""))</f>
        <v>10-3-064</v>
      </c>
      <c r="V411" s="47" t="str">
        <f t="array" ref="V411">_xlfn.XLOOKUP(records_2[ID], dAir[roomNo], dAir[roomName])</f>
        <v>COATING 5</v>
      </c>
      <c r="W411" s="47" t="str">
        <f t="array" ref="W411">_xlfn.XLOOKUP(records_2[ID], dAir[roomNo], dAir[building])</f>
        <v>Building 10</v>
      </c>
      <c r="X411" s="47" t="str">
        <f t="array" ref="X411">_xlfn.XLOOKUP(records_2[ID], dAir[roomNo], dAir[floor])</f>
        <v>Floor 3</v>
      </c>
      <c r="Y411" s="45" t="str">
        <f t="array" ref="Y411">_xlfn.XLOOKUP(records_2[ID], dAir[roomNo], dAir[Class])</f>
        <v>D</v>
      </c>
      <c r="Z411" s="45">
        <f t="array" ref="Z411">_xlfn.XLOOKUP(records_2[Method]&amp;"-"&amp;records_2[Class], dAirSpec[ID], dAirSpec[Spec])</f>
        <v>100</v>
      </c>
      <c r="AA411" s="45" t="str">
        <f t="array" ref="AA411">_xlfn.XLOOKUP(records_2[Method]&amp;"-"&amp;records_2[Class], dAirSpec[ID], dAirSpec[Unit])</f>
        <v>cfu/plate</v>
      </c>
      <c r="AB411" s="58">
        <f t="array" ref="AB411">if(R411="","", if(records_2[Method]="Active Air",_xlfn.xlookup(records_2[ColonyCount]&amp;records_2[AirSampler],feller[code],feller[Vc]),records_2[ColonyCount]))</f>
        <v>0</v>
      </c>
      <c r="AC411" s="60" t="b">
        <f t="shared" si="1"/>
        <v>1</v>
      </c>
      <c r="AD411" s="61" t="b">
        <v>0</v>
      </c>
      <c r="AE411" s="32" t="s">
        <v>280</v>
      </c>
      <c r="AF411" s="46"/>
      <c r="AG411" s="46"/>
      <c r="AH411" s="46"/>
      <c r="AI411" s="46"/>
      <c r="AJ411" s="46"/>
    </row>
    <row r="412" ht="22.5" customHeight="1">
      <c r="A412" s="27">
        <v>46102.0</v>
      </c>
      <c r="B412" s="34" t="str">
        <f t="array" ref="B412">TEXT(A412, "MM-YYYY")</f>
        <v>03-2026</v>
      </c>
      <c r="C412" s="25" t="s">
        <v>195</v>
      </c>
      <c r="D412" s="36" t="s">
        <v>210</v>
      </c>
      <c r="E412" s="36" t="s">
        <v>213</v>
      </c>
      <c r="F412" s="29" t="b">
        <v>1</v>
      </c>
      <c r="G412" s="36" t="s">
        <v>214</v>
      </c>
      <c r="H412" s="36" t="s">
        <v>215</v>
      </c>
      <c r="I412" s="39"/>
      <c r="J412" s="43"/>
      <c r="K412" s="37" t="s">
        <v>314</v>
      </c>
      <c r="L412" s="37" t="s">
        <v>1693</v>
      </c>
      <c r="M412" s="37" t="s">
        <v>702</v>
      </c>
      <c r="N412" s="37" t="s">
        <v>399</v>
      </c>
      <c r="O412" s="37" t="s">
        <v>2326</v>
      </c>
      <c r="P412" s="37" t="s">
        <v>2327</v>
      </c>
      <c r="Q412" s="41">
        <v>46152.0</v>
      </c>
      <c r="R412" s="42">
        <v>0.0</v>
      </c>
      <c r="S412" s="44"/>
      <c r="T412" s="37" t="s">
        <v>2328</v>
      </c>
      <c r="U412" s="47" t="str">
        <f>IF(records_2[Type]="Room",records_2[roomNo],records_2[roomNo]&amp;"-"&amp;SUBSTITUTE(RIGHT(records_2[roomNo]&amp;records_2[Type],2),"-",""))</f>
        <v>10-3-065</v>
      </c>
      <c r="V412" s="47" t="str">
        <f t="array" ref="V412">_xlfn.XLOOKUP(records_2[ID], dAir[roomNo], dAir[roomName])</f>
        <v>COATING SOLUTION PREPARATION 3  (SOLUTION PREPARATION TANK)</v>
      </c>
      <c r="W412" s="47" t="str">
        <f t="array" ref="W412">_xlfn.XLOOKUP(records_2[ID], dAir[roomNo], dAir[building])</f>
        <v>Building 10</v>
      </c>
      <c r="X412" s="47" t="str">
        <f t="array" ref="X412">_xlfn.XLOOKUP(records_2[ID], dAir[roomNo], dAir[floor])</f>
        <v>Floor 3</v>
      </c>
      <c r="Y412" s="45" t="str">
        <f t="array" ref="Y412">_xlfn.XLOOKUP(records_2[ID], dAir[roomNo], dAir[Class])</f>
        <v>D</v>
      </c>
      <c r="Z412" s="45">
        <f t="array" ref="Z412">_xlfn.XLOOKUP(records_2[Method]&amp;"-"&amp;records_2[Class], dAirSpec[ID], dAirSpec[Spec])</f>
        <v>100</v>
      </c>
      <c r="AA412" s="45" t="str">
        <f t="array" ref="AA412">_xlfn.XLOOKUP(records_2[Method]&amp;"-"&amp;records_2[Class], dAirSpec[ID], dAirSpec[Unit])</f>
        <v>cfu/plate</v>
      </c>
      <c r="AB412" s="58">
        <f t="array" ref="AB412">if(R412="","", if(records_2[Method]="Active Air",_xlfn.xlookup(records_2[ColonyCount]&amp;records_2[AirSampler],feller[code],feller[Vc]),records_2[ColonyCount]))</f>
        <v>0</v>
      </c>
      <c r="AC412" s="60" t="b">
        <f t="shared" si="1"/>
        <v>1</v>
      </c>
      <c r="AD412" s="61" t="b">
        <v>0</v>
      </c>
      <c r="AE412" s="32" t="s">
        <v>280</v>
      </c>
      <c r="AF412" s="46"/>
      <c r="AG412" s="46"/>
      <c r="AH412" s="46"/>
      <c r="AI412" s="46"/>
      <c r="AJ412" s="46"/>
    </row>
    <row r="413" ht="22.5" customHeight="1">
      <c r="A413" s="27">
        <v>46102.0</v>
      </c>
      <c r="B413" s="34" t="str">
        <f t="array" ref="B413">TEXT(A413, "MM-YYYY")</f>
        <v>03-2026</v>
      </c>
      <c r="C413" s="25" t="s">
        <v>208</v>
      </c>
      <c r="D413" s="205" t="s">
        <v>210</v>
      </c>
      <c r="E413" s="36" t="s">
        <v>213</v>
      </c>
      <c r="F413" s="29" t="b">
        <v>1</v>
      </c>
      <c r="G413" s="36" t="s">
        <v>214</v>
      </c>
      <c r="H413" s="36" t="s">
        <v>215</v>
      </c>
      <c r="I413" s="39"/>
      <c r="J413" s="43"/>
      <c r="K413" s="37" t="s">
        <v>687</v>
      </c>
      <c r="L413" s="37" t="s">
        <v>2342</v>
      </c>
      <c r="M413" s="37" t="s">
        <v>690</v>
      </c>
      <c r="N413" s="37" t="s">
        <v>1798</v>
      </c>
      <c r="O413" s="37" t="s">
        <v>2326</v>
      </c>
      <c r="P413" s="37" t="s">
        <v>2327</v>
      </c>
      <c r="Q413" s="41">
        <v>46152.0</v>
      </c>
      <c r="R413" s="42">
        <v>0.0</v>
      </c>
      <c r="S413" s="44"/>
      <c r="T413" s="37" t="s">
        <v>2328</v>
      </c>
      <c r="U413" s="47" t="str">
        <f>IF(records_2[Type]="Room",records_2[roomNo],records_2[roomNo]&amp;"-"&amp;SUBSTITUTE(RIGHT(records_2[roomNo]&amp;records_2[Type],2),"-",""))</f>
        <v>10-3-066</v>
      </c>
      <c r="V413" s="47" t="str">
        <f t="array" ref="V413">_xlfn.XLOOKUP(records_2[ID], dAir[roomNo], dAir[roomName])</f>
        <v>COATING SOLUTION PREPARATION 4  (SOLUTION PREPARATION TANK)</v>
      </c>
      <c r="W413" s="47" t="str">
        <f t="array" ref="W413">_xlfn.XLOOKUP(records_2[ID], dAir[roomNo], dAir[building])</f>
        <v>Building 10</v>
      </c>
      <c r="X413" s="47" t="str">
        <f t="array" ref="X413">_xlfn.XLOOKUP(records_2[ID], dAir[roomNo], dAir[floor])</f>
        <v>Floor 3</v>
      </c>
      <c r="Y413" s="45" t="str">
        <f t="array" ref="Y413">_xlfn.XLOOKUP(records_2[ID], dAir[roomNo], dAir[Class])</f>
        <v>D</v>
      </c>
      <c r="Z413" s="45">
        <f t="array" ref="Z413">_xlfn.XLOOKUP(records_2[Method]&amp;"-"&amp;records_2[Class], dAirSpec[ID], dAirSpec[Spec])</f>
        <v>100</v>
      </c>
      <c r="AA413" s="45" t="str">
        <f t="array" ref="AA413">_xlfn.XLOOKUP(records_2[Method]&amp;"-"&amp;records_2[Class], dAirSpec[ID], dAirSpec[Unit])</f>
        <v>cfu/plate</v>
      </c>
      <c r="AB413" s="58">
        <f t="array" ref="AB413">if(R413="","", if(records_2[Method]="Active Air",_xlfn.xlookup(records_2[ColonyCount]&amp;records_2[AirSampler],feller[code],feller[Vc]),records_2[ColonyCount]))</f>
        <v>0</v>
      </c>
      <c r="AC413" s="60" t="b">
        <f t="shared" si="1"/>
        <v>1</v>
      </c>
      <c r="AD413" s="61" t="b">
        <v>0</v>
      </c>
      <c r="AE413" s="32" t="s">
        <v>280</v>
      </c>
      <c r="AF413" s="46"/>
      <c r="AG413" s="46"/>
      <c r="AH413" s="46"/>
      <c r="AI413" s="46"/>
      <c r="AJ413" s="46"/>
    </row>
    <row r="414" ht="22.5" customHeight="1">
      <c r="A414" s="27">
        <v>46102.0</v>
      </c>
      <c r="B414" s="34" t="str">
        <f t="array" ref="B414">TEXT(A414, "MM-YYYY")</f>
        <v>03-2026</v>
      </c>
      <c r="C414" s="25" t="s">
        <v>533</v>
      </c>
      <c r="D414" s="206" t="s">
        <v>210</v>
      </c>
      <c r="E414" s="36" t="s">
        <v>213</v>
      </c>
      <c r="F414" s="29" t="b">
        <v>1</v>
      </c>
      <c r="G414" s="36" t="s">
        <v>214</v>
      </c>
      <c r="H414" s="36" t="s">
        <v>215</v>
      </c>
      <c r="I414" s="39"/>
      <c r="J414" s="43"/>
      <c r="K414" s="37" t="s">
        <v>791</v>
      </c>
      <c r="L414" s="37" t="s">
        <v>2343</v>
      </c>
      <c r="M414" s="37" t="s">
        <v>690</v>
      </c>
      <c r="N414" s="37" t="s">
        <v>1798</v>
      </c>
      <c r="O414" s="37" t="s">
        <v>2326</v>
      </c>
      <c r="P414" s="37" t="s">
        <v>2327</v>
      </c>
      <c r="Q414" s="41">
        <v>46152.0</v>
      </c>
      <c r="R414" s="42">
        <v>0.0</v>
      </c>
      <c r="S414" s="44"/>
      <c r="T414" s="37" t="s">
        <v>2328</v>
      </c>
      <c r="U414" s="47" t="str">
        <f>IF(records_2[Type]="Room",records_2[roomNo],records_2[roomNo]&amp;"-"&amp;SUBSTITUTE(RIGHT(records_2[roomNo]&amp;records_2[Type],2),"-",""))</f>
        <v>10-3-067</v>
      </c>
      <c r="V414" s="47" t="str">
        <f t="array" ref="V414">_xlfn.XLOOKUP(records_2[ID], dAir[roomNo], dAir[roomName])</f>
        <v>COATING 6</v>
      </c>
      <c r="W414" s="47" t="str">
        <f t="array" ref="W414">_xlfn.XLOOKUP(records_2[ID], dAir[roomNo], dAir[building])</f>
        <v>Building 10</v>
      </c>
      <c r="X414" s="47" t="str">
        <f t="array" ref="X414">_xlfn.XLOOKUP(records_2[ID], dAir[roomNo], dAir[floor])</f>
        <v>Floor 3</v>
      </c>
      <c r="Y414" s="45" t="str">
        <f t="array" ref="Y414">_xlfn.XLOOKUP(records_2[ID], dAir[roomNo], dAir[Class])</f>
        <v>D</v>
      </c>
      <c r="Z414" s="45">
        <f t="array" ref="Z414">_xlfn.XLOOKUP(records_2[Method]&amp;"-"&amp;records_2[Class], dAirSpec[ID], dAirSpec[Spec])</f>
        <v>100</v>
      </c>
      <c r="AA414" s="45" t="str">
        <f t="array" ref="AA414">_xlfn.XLOOKUP(records_2[Method]&amp;"-"&amp;records_2[Class], dAirSpec[ID], dAirSpec[Unit])</f>
        <v>cfu/plate</v>
      </c>
      <c r="AB414" s="58">
        <f t="array" ref="AB414">if(R414="","", if(records_2[Method]="Active Air",_xlfn.xlookup(records_2[ColonyCount]&amp;records_2[AirSampler],feller[code],feller[Vc]),records_2[ColonyCount]))</f>
        <v>0</v>
      </c>
      <c r="AC414" s="60" t="b">
        <f t="shared" si="1"/>
        <v>1</v>
      </c>
      <c r="AD414" s="61" t="b">
        <v>0</v>
      </c>
      <c r="AE414" s="32" t="s">
        <v>280</v>
      </c>
      <c r="AF414" s="46"/>
      <c r="AG414" s="46"/>
      <c r="AH414" s="46"/>
      <c r="AI414" s="46"/>
      <c r="AJ414" s="46"/>
    </row>
    <row r="415" ht="22.5" customHeight="1">
      <c r="A415" s="27">
        <v>46102.0</v>
      </c>
      <c r="B415" s="34" t="str">
        <f t="array" ref="B415">TEXT(A415, "MM-YYYY")</f>
        <v>03-2026</v>
      </c>
      <c r="C415" s="25" t="s">
        <v>1163</v>
      </c>
      <c r="D415" s="205" t="s">
        <v>210</v>
      </c>
      <c r="E415" s="36" t="s">
        <v>213</v>
      </c>
      <c r="F415" s="29" t="b">
        <v>1</v>
      </c>
      <c r="G415" s="36" t="s">
        <v>214</v>
      </c>
      <c r="H415" s="36" t="s">
        <v>215</v>
      </c>
      <c r="I415" s="39"/>
      <c r="J415" s="43"/>
      <c r="K415" s="37" t="s">
        <v>314</v>
      </c>
      <c r="L415" s="37" t="s">
        <v>1783</v>
      </c>
      <c r="M415" s="37" t="s">
        <v>723</v>
      </c>
      <c r="N415" s="37" t="s">
        <v>320</v>
      </c>
      <c r="O415" s="37" t="s">
        <v>2326</v>
      </c>
      <c r="P415" s="37" t="s">
        <v>2327</v>
      </c>
      <c r="Q415" s="41">
        <v>46152.0</v>
      </c>
      <c r="R415" s="42">
        <v>1.0</v>
      </c>
      <c r="S415" s="44"/>
      <c r="T415" s="37" t="s">
        <v>2328</v>
      </c>
      <c r="U415" s="47" t="str">
        <f>IF(records_2[Type]="Room",records_2[roomNo],records_2[roomNo]&amp;"-"&amp;SUBSTITUTE(RIGHT(records_2[roomNo]&amp;records_2[Type],2),"-",""))</f>
        <v>10-3-068</v>
      </c>
      <c r="V415" s="47" t="str">
        <f t="array" ref="V415">_xlfn.XLOOKUP(records_2[ID], dAir[roomNo], dAir[roomName])</f>
        <v>BULK STAGING 1</v>
      </c>
      <c r="W415" s="47" t="str">
        <f t="array" ref="W415">_xlfn.XLOOKUP(records_2[ID], dAir[roomNo], dAir[building])</f>
        <v>Building 10</v>
      </c>
      <c r="X415" s="47" t="str">
        <f t="array" ref="X415">_xlfn.XLOOKUP(records_2[ID], dAir[roomNo], dAir[floor])</f>
        <v>Floor 3</v>
      </c>
      <c r="Y415" s="45" t="str">
        <f t="array" ref="Y415">_xlfn.XLOOKUP(records_2[ID], dAir[roomNo], dAir[Class])</f>
        <v>D</v>
      </c>
      <c r="Z415" s="45">
        <f t="array" ref="Z415">_xlfn.XLOOKUP(records_2[Method]&amp;"-"&amp;records_2[Class], dAirSpec[ID], dAirSpec[Spec])</f>
        <v>100</v>
      </c>
      <c r="AA415" s="45" t="str">
        <f t="array" ref="AA415">_xlfn.XLOOKUP(records_2[Method]&amp;"-"&amp;records_2[Class], dAirSpec[ID], dAirSpec[Unit])</f>
        <v>cfu/plate</v>
      </c>
      <c r="AB415" s="58">
        <f t="array" ref="AB415">if(R415="","", if(records_2[Method]="Active Air",_xlfn.xlookup(records_2[ColonyCount]&amp;records_2[AirSampler],feller[code],feller[Vc]),records_2[ColonyCount]))</f>
        <v>1</v>
      </c>
      <c r="AC415" s="60" t="b">
        <f t="shared" si="1"/>
        <v>1</v>
      </c>
      <c r="AD415" s="61" t="b">
        <v>0</v>
      </c>
      <c r="AE415" s="32" t="s">
        <v>280</v>
      </c>
      <c r="AF415" s="46"/>
      <c r="AG415" s="46"/>
      <c r="AH415" s="46"/>
      <c r="AI415" s="46"/>
      <c r="AJ415" s="46"/>
    </row>
    <row r="416" ht="22.5" customHeight="1">
      <c r="A416" s="27">
        <v>46102.0</v>
      </c>
      <c r="B416" s="34" t="str">
        <f t="array" ref="B416">TEXT(A416, "MM-YYYY")</f>
        <v>03-2026</v>
      </c>
      <c r="C416" s="25" t="s">
        <v>1164</v>
      </c>
      <c r="D416" s="206" t="s">
        <v>210</v>
      </c>
      <c r="E416" s="36" t="s">
        <v>213</v>
      </c>
      <c r="F416" s="29" t="b">
        <v>1</v>
      </c>
      <c r="G416" s="36" t="s">
        <v>214</v>
      </c>
      <c r="H416" s="36" t="s">
        <v>215</v>
      </c>
      <c r="I416" s="39"/>
      <c r="J416" s="43"/>
      <c r="K416" s="37" t="s">
        <v>366</v>
      </c>
      <c r="L416" s="37" t="s">
        <v>2238</v>
      </c>
      <c r="M416" s="37" t="s">
        <v>723</v>
      </c>
      <c r="N416" s="37" t="s">
        <v>320</v>
      </c>
      <c r="O416" s="37" t="s">
        <v>2326</v>
      </c>
      <c r="P416" s="37" t="s">
        <v>2327</v>
      </c>
      <c r="Q416" s="41">
        <v>46152.0</v>
      </c>
      <c r="R416" s="42">
        <v>0.0</v>
      </c>
      <c r="S416" s="44"/>
      <c r="T416" s="37" t="s">
        <v>2328</v>
      </c>
      <c r="U416" s="47" t="str">
        <f>IF(records_2[Type]="Room",records_2[roomNo],records_2[roomNo]&amp;"-"&amp;SUBSTITUTE(RIGHT(records_2[roomNo]&amp;records_2[Type],2),"-",""))</f>
        <v>10-3-069</v>
      </c>
      <c r="V416" s="47" t="str">
        <f t="array" ref="V416">_xlfn.XLOOKUP(records_2[ID], dAir[roomNo], dAir[roomName])</f>
        <v>AIRLOCK</v>
      </c>
      <c r="W416" s="47" t="str">
        <f t="array" ref="W416">_xlfn.XLOOKUP(records_2[ID], dAir[roomNo], dAir[building])</f>
        <v>Building 10</v>
      </c>
      <c r="X416" s="47" t="str">
        <f t="array" ref="X416">_xlfn.XLOOKUP(records_2[ID], dAir[roomNo], dAir[floor])</f>
        <v>Floor 3</v>
      </c>
      <c r="Y416" s="45" t="str">
        <f t="array" ref="Y416">_xlfn.XLOOKUP(records_2[ID], dAir[roomNo], dAir[Class])</f>
        <v>D</v>
      </c>
      <c r="Z416" s="45">
        <f t="array" ref="Z416">_xlfn.XLOOKUP(records_2[Method]&amp;"-"&amp;records_2[Class], dAirSpec[ID], dAirSpec[Spec])</f>
        <v>100</v>
      </c>
      <c r="AA416" s="45" t="str">
        <f t="array" ref="AA416">_xlfn.XLOOKUP(records_2[Method]&amp;"-"&amp;records_2[Class], dAirSpec[ID], dAirSpec[Unit])</f>
        <v>cfu/plate</v>
      </c>
      <c r="AB416" s="58">
        <f t="array" ref="AB416">if(R416="","", if(records_2[Method]="Active Air",_xlfn.xlookup(records_2[ColonyCount]&amp;records_2[AirSampler],feller[code],feller[Vc]),records_2[ColonyCount]))</f>
        <v>0</v>
      </c>
      <c r="AC416" s="60" t="b">
        <f t="shared" si="1"/>
        <v>1</v>
      </c>
      <c r="AD416" s="61" t="b">
        <v>0</v>
      </c>
      <c r="AE416" s="32" t="s">
        <v>280</v>
      </c>
      <c r="AF416" s="46"/>
      <c r="AG416" s="46"/>
      <c r="AH416" s="46"/>
      <c r="AI416" s="46"/>
      <c r="AJ416" s="46"/>
    </row>
    <row r="417" ht="22.5" customHeight="1">
      <c r="A417" s="27">
        <v>46102.0</v>
      </c>
      <c r="B417" s="34" t="str">
        <f t="array" ref="B417">TEXT(A417, "MM-YYYY")</f>
        <v>03-2026</v>
      </c>
      <c r="C417" s="25" t="s">
        <v>1165</v>
      </c>
      <c r="D417" s="205" t="s">
        <v>210</v>
      </c>
      <c r="E417" s="36" t="s">
        <v>213</v>
      </c>
      <c r="F417" s="29" t="b">
        <v>1</v>
      </c>
      <c r="G417" s="36" t="s">
        <v>214</v>
      </c>
      <c r="H417" s="36" t="s">
        <v>215</v>
      </c>
      <c r="I417" s="39"/>
      <c r="J417" s="43"/>
      <c r="K417" s="37" t="s">
        <v>381</v>
      </c>
      <c r="L417" s="37" t="s">
        <v>2092</v>
      </c>
      <c r="M417" s="37" t="s">
        <v>723</v>
      </c>
      <c r="N417" s="37" t="s">
        <v>320</v>
      </c>
      <c r="O417" s="37" t="s">
        <v>2326</v>
      </c>
      <c r="P417" s="37" t="s">
        <v>2327</v>
      </c>
      <c r="Q417" s="41">
        <v>46152.0</v>
      </c>
      <c r="R417" s="42">
        <v>0.0</v>
      </c>
      <c r="S417" s="44" t="s">
        <v>2332</v>
      </c>
      <c r="T417" s="37" t="s">
        <v>2328</v>
      </c>
      <c r="U417" s="47" t="str">
        <f>IF(records_2[Type]="Room",records_2[roomNo],records_2[roomNo]&amp;"-"&amp;SUBSTITUTE(RIGHT(records_2[roomNo]&amp;records_2[Type],2),"-",""))</f>
        <v>10-3-070</v>
      </c>
      <c r="V417" s="47" t="str">
        <f t="array" ref="V417">_xlfn.XLOOKUP(records_2[ID], dAir[roomNo], dAir[roomName])</f>
        <v>CORRIDOR</v>
      </c>
      <c r="W417" s="47" t="str">
        <f t="array" ref="W417">_xlfn.XLOOKUP(records_2[ID], dAir[roomNo], dAir[building])</f>
        <v>Building 10</v>
      </c>
      <c r="X417" s="47" t="str">
        <f t="array" ref="X417">_xlfn.XLOOKUP(records_2[ID], dAir[roomNo], dAir[floor])</f>
        <v>Floor 3</v>
      </c>
      <c r="Y417" s="45" t="str">
        <f t="array" ref="Y417">_xlfn.XLOOKUP(records_2[ID], dAir[roomNo], dAir[Class])</f>
        <v>D</v>
      </c>
      <c r="Z417" s="45">
        <f t="array" ref="Z417">_xlfn.XLOOKUP(records_2[Method]&amp;"-"&amp;records_2[Class], dAirSpec[ID], dAirSpec[Spec])</f>
        <v>100</v>
      </c>
      <c r="AA417" s="45" t="str">
        <f t="array" ref="AA417">_xlfn.XLOOKUP(records_2[Method]&amp;"-"&amp;records_2[Class], dAirSpec[ID], dAirSpec[Unit])</f>
        <v>cfu/plate</v>
      </c>
      <c r="AB417" s="58">
        <f t="array" ref="AB417">if(R417="","", if(records_2[Method]="Active Air",_xlfn.xlookup(records_2[ColonyCount]&amp;records_2[AirSampler],feller[code],feller[Vc]),records_2[ColonyCount]))</f>
        <v>0</v>
      </c>
      <c r="AC417" s="60" t="b">
        <f t="shared" si="1"/>
        <v>1</v>
      </c>
      <c r="AD417" s="61" t="b">
        <v>0</v>
      </c>
      <c r="AE417" s="32" t="s">
        <v>280</v>
      </c>
      <c r="AF417" s="46"/>
      <c r="AG417" s="46"/>
      <c r="AH417" s="46"/>
      <c r="AI417" s="46"/>
      <c r="AJ417" s="46"/>
    </row>
    <row r="418" ht="22.5" customHeight="1">
      <c r="A418" s="27">
        <v>46102.0</v>
      </c>
      <c r="B418" s="34" t="str">
        <f t="array" ref="B418">TEXT(A418, "MM-YYYY")</f>
        <v>03-2026</v>
      </c>
      <c r="C418" s="25" t="s">
        <v>1166</v>
      </c>
      <c r="D418" s="36" t="s">
        <v>210</v>
      </c>
      <c r="E418" s="36" t="s">
        <v>213</v>
      </c>
      <c r="F418" s="29" t="b">
        <v>1</v>
      </c>
      <c r="G418" s="36" t="s">
        <v>214</v>
      </c>
      <c r="H418" s="36" t="s">
        <v>215</v>
      </c>
      <c r="I418" s="39"/>
      <c r="J418" s="43"/>
      <c r="K418" s="37" t="s">
        <v>428</v>
      </c>
      <c r="L418" s="37" t="s">
        <v>1918</v>
      </c>
      <c r="M418" s="37" t="s">
        <v>2313</v>
      </c>
      <c r="N418" s="37" t="s">
        <v>333</v>
      </c>
      <c r="O418" s="37" t="s">
        <v>2326</v>
      </c>
      <c r="P418" s="37" t="s">
        <v>2327</v>
      </c>
      <c r="Q418" s="41">
        <v>46152.0</v>
      </c>
      <c r="R418" s="42">
        <v>0.0</v>
      </c>
      <c r="S418" s="44"/>
      <c r="T418" s="37" t="s">
        <v>2328</v>
      </c>
      <c r="U418" s="47" t="str">
        <f>IF(records_2[Type]="Room",records_2[roomNo],records_2[roomNo]&amp;"-"&amp;SUBSTITUTE(RIGHT(records_2[roomNo]&amp;records_2[Type],2),"-",""))</f>
        <v>10-3-071</v>
      </c>
      <c r="V418" s="47" t="str">
        <f t="array" ref="V418">_xlfn.XLOOKUP(records_2[ID], dAir[roomNo], dAir[roomName])</f>
        <v>WEIGHING 3</v>
      </c>
      <c r="W418" s="47" t="str">
        <f t="array" ref="W418">_xlfn.XLOOKUP(records_2[ID], dAir[roomNo], dAir[building])</f>
        <v>Building 10</v>
      </c>
      <c r="X418" s="47" t="str">
        <f t="array" ref="X418">_xlfn.XLOOKUP(records_2[ID], dAir[roomNo], dAir[floor])</f>
        <v>Floor 3</v>
      </c>
      <c r="Y418" s="45" t="str">
        <f t="array" ref="Y418">_xlfn.XLOOKUP(records_2[ID], dAir[roomNo], dAir[Class])</f>
        <v>D</v>
      </c>
      <c r="Z418" s="45">
        <f t="array" ref="Z418">_xlfn.XLOOKUP(records_2[Method]&amp;"-"&amp;records_2[Class], dAirSpec[ID], dAirSpec[Spec])</f>
        <v>100</v>
      </c>
      <c r="AA418" s="45" t="str">
        <f t="array" ref="AA418">_xlfn.XLOOKUP(records_2[Method]&amp;"-"&amp;records_2[Class], dAirSpec[ID], dAirSpec[Unit])</f>
        <v>cfu/plate</v>
      </c>
      <c r="AB418" s="58">
        <f t="array" ref="AB418">if(R418="","", if(records_2[Method]="Active Air",_xlfn.xlookup(records_2[ColonyCount]&amp;records_2[AirSampler],feller[code],feller[Vc]),records_2[ColonyCount]))</f>
        <v>0</v>
      </c>
      <c r="AC418" s="60" t="b">
        <f t="shared" si="1"/>
        <v>1</v>
      </c>
      <c r="AD418" s="61" t="b">
        <v>0</v>
      </c>
      <c r="AE418" s="32" t="s">
        <v>280</v>
      </c>
      <c r="AF418" s="46"/>
      <c r="AG418" s="46"/>
      <c r="AH418" s="46"/>
      <c r="AI418" s="46"/>
      <c r="AJ418" s="46"/>
    </row>
    <row r="419" ht="22.5" customHeight="1">
      <c r="A419" s="27">
        <v>46102.0</v>
      </c>
      <c r="B419" s="34" t="str">
        <f t="array" ref="B419">TEXT(A419, "MM-YYYY")</f>
        <v>03-2026</v>
      </c>
      <c r="C419" s="25" t="s">
        <v>219</v>
      </c>
      <c r="D419" s="36" t="s">
        <v>210</v>
      </c>
      <c r="E419" s="36" t="s">
        <v>213</v>
      </c>
      <c r="F419" s="29" t="b">
        <v>1</v>
      </c>
      <c r="G419" s="36" t="s">
        <v>214</v>
      </c>
      <c r="H419" s="36" t="s">
        <v>215</v>
      </c>
      <c r="I419" s="39"/>
      <c r="J419" s="43"/>
      <c r="K419" s="37" t="s">
        <v>381</v>
      </c>
      <c r="L419" s="37" t="s">
        <v>1583</v>
      </c>
      <c r="M419" s="37" t="s">
        <v>2313</v>
      </c>
      <c r="N419" s="37" t="s">
        <v>333</v>
      </c>
      <c r="O419" s="37" t="s">
        <v>2326</v>
      </c>
      <c r="P419" s="37" t="s">
        <v>2327</v>
      </c>
      <c r="Q419" s="41">
        <v>46152.0</v>
      </c>
      <c r="R419" s="42">
        <v>0.0</v>
      </c>
      <c r="S419" s="44"/>
      <c r="T419" s="37" t="s">
        <v>2328</v>
      </c>
      <c r="U419" s="47" t="str">
        <f>IF(records_2[Type]="Room",records_2[roomNo],records_2[roomNo]&amp;"-"&amp;SUBSTITUTE(RIGHT(records_2[roomNo]&amp;records_2[Type],2),"-",""))</f>
        <v>10-3-072</v>
      </c>
      <c r="V419" s="47" t="str">
        <f t="array" ref="V419">_xlfn.XLOOKUP(records_2[ID], dAir[roomNo], dAir[roomName])</f>
        <v>DRY GRANULATION 1 (ROLL COMPACTOR)</v>
      </c>
      <c r="W419" s="47" t="str">
        <f t="array" ref="W419">_xlfn.XLOOKUP(records_2[ID], dAir[roomNo], dAir[building])</f>
        <v>Building 10</v>
      </c>
      <c r="X419" s="47" t="str">
        <f t="array" ref="X419">_xlfn.XLOOKUP(records_2[ID], dAir[roomNo], dAir[floor])</f>
        <v>Floor 3</v>
      </c>
      <c r="Y419" s="45" t="str">
        <f t="array" ref="Y419">_xlfn.XLOOKUP(records_2[ID], dAir[roomNo], dAir[Class])</f>
        <v>D</v>
      </c>
      <c r="Z419" s="45">
        <f t="array" ref="Z419">_xlfn.XLOOKUP(records_2[Method]&amp;"-"&amp;records_2[Class], dAirSpec[ID], dAirSpec[Spec])</f>
        <v>100</v>
      </c>
      <c r="AA419" s="45" t="str">
        <f t="array" ref="AA419">_xlfn.XLOOKUP(records_2[Method]&amp;"-"&amp;records_2[Class], dAirSpec[ID], dAirSpec[Unit])</f>
        <v>cfu/plate</v>
      </c>
      <c r="AB419" s="58">
        <f t="array" ref="AB419">if(R419="","", if(records_2[Method]="Active Air",_xlfn.xlookup(records_2[ColonyCount]&amp;records_2[AirSampler],feller[code],feller[Vc]),records_2[ColonyCount]))</f>
        <v>0</v>
      </c>
      <c r="AC419" s="60" t="b">
        <f t="shared" si="1"/>
        <v>1</v>
      </c>
      <c r="AD419" s="61" t="b">
        <v>0</v>
      </c>
      <c r="AE419" s="32" t="s">
        <v>280</v>
      </c>
      <c r="AF419" s="46"/>
      <c r="AG419" s="46"/>
      <c r="AH419" s="46"/>
      <c r="AI419" s="46"/>
      <c r="AJ419" s="46"/>
    </row>
    <row r="420" ht="22.5" customHeight="1">
      <c r="A420" s="27">
        <v>46102.0</v>
      </c>
      <c r="B420" s="34" t="str">
        <f t="array" ref="B420">TEXT(A420, "MM-YYYY")</f>
        <v>03-2026</v>
      </c>
      <c r="C420" s="25" t="s">
        <v>228</v>
      </c>
      <c r="D420" s="36" t="s">
        <v>210</v>
      </c>
      <c r="E420" s="36" t="s">
        <v>213</v>
      </c>
      <c r="F420" s="29" t="b">
        <v>1</v>
      </c>
      <c r="G420" s="36" t="s">
        <v>214</v>
      </c>
      <c r="H420" s="36" t="s">
        <v>215</v>
      </c>
      <c r="I420" s="39"/>
      <c r="J420" s="43"/>
      <c r="K420" s="37" t="s">
        <v>2344</v>
      </c>
      <c r="L420" s="37" t="s">
        <v>2345</v>
      </c>
      <c r="M420" s="37" t="s">
        <v>2313</v>
      </c>
      <c r="N420" s="37" t="s">
        <v>333</v>
      </c>
      <c r="O420" s="37" t="s">
        <v>2326</v>
      </c>
      <c r="P420" s="37" t="s">
        <v>2327</v>
      </c>
      <c r="Q420" s="41">
        <v>46152.0</v>
      </c>
      <c r="R420" s="42">
        <v>0.0</v>
      </c>
      <c r="S420" s="44"/>
      <c r="T420" s="37" t="s">
        <v>2328</v>
      </c>
      <c r="U420" s="47" t="str">
        <f>IF(records_2[Type]="Room",records_2[roomNo],records_2[roomNo]&amp;"-"&amp;SUBSTITUTE(RIGHT(records_2[roomNo]&amp;records_2[Type],2),"-",""))</f>
        <v>10-3-073</v>
      </c>
      <c r="V420" s="47" t="str">
        <f t="array" ref="V420">_xlfn.XLOOKUP(records_2[ID], dAir[roomNo], dAir[roomName])</f>
        <v>DRY GRANULATION 2 (LOW RH) (ROLL COMPACTOR)</v>
      </c>
      <c r="W420" s="47" t="str">
        <f t="array" ref="W420">_xlfn.XLOOKUP(records_2[ID], dAir[roomNo], dAir[building])</f>
        <v>Building 10</v>
      </c>
      <c r="X420" s="47" t="str">
        <f t="array" ref="X420">_xlfn.XLOOKUP(records_2[ID], dAir[roomNo], dAir[floor])</f>
        <v>Floor 3</v>
      </c>
      <c r="Y420" s="45" t="str">
        <f t="array" ref="Y420">_xlfn.XLOOKUP(records_2[ID], dAir[roomNo], dAir[Class])</f>
        <v>D</v>
      </c>
      <c r="Z420" s="45">
        <f t="array" ref="Z420">_xlfn.XLOOKUP(records_2[Method]&amp;"-"&amp;records_2[Class], dAirSpec[ID], dAirSpec[Spec])</f>
        <v>100</v>
      </c>
      <c r="AA420" s="45" t="str">
        <f t="array" ref="AA420">_xlfn.XLOOKUP(records_2[Method]&amp;"-"&amp;records_2[Class], dAirSpec[ID], dAirSpec[Unit])</f>
        <v>cfu/plate</v>
      </c>
      <c r="AB420" s="58">
        <f t="array" ref="AB420">if(R420="","", if(records_2[Method]="Active Air",_xlfn.xlookup(records_2[ColonyCount]&amp;records_2[AirSampler],feller[code],feller[Vc]),records_2[ColonyCount]))</f>
        <v>0</v>
      </c>
      <c r="AC420" s="60" t="b">
        <f t="shared" si="1"/>
        <v>1</v>
      </c>
      <c r="AD420" s="61" t="b">
        <v>0</v>
      </c>
      <c r="AE420" s="32" t="s">
        <v>280</v>
      </c>
      <c r="AF420" s="46"/>
      <c r="AG420" s="46"/>
      <c r="AH420" s="46"/>
      <c r="AI420" s="46"/>
      <c r="AJ420" s="46"/>
    </row>
    <row r="421" ht="22.5" customHeight="1">
      <c r="A421" s="27">
        <v>46102.0</v>
      </c>
      <c r="B421" s="34" t="str">
        <f t="array" ref="B421">TEXT(A421, "MM-YYYY")</f>
        <v>03-2026</v>
      </c>
      <c r="C421" s="25" t="s">
        <v>236</v>
      </c>
      <c r="D421" s="36" t="s">
        <v>210</v>
      </c>
      <c r="E421" s="36" t="s">
        <v>213</v>
      </c>
      <c r="F421" s="29" t="b">
        <v>1</v>
      </c>
      <c r="G421" s="36" t="s">
        <v>214</v>
      </c>
      <c r="H421" s="36" t="s">
        <v>215</v>
      </c>
      <c r="I421" s="39"/>
      <c r="J421" s="43"/>
      <c r="K421" s="37" t="s">
        <v>578</v>
      </c>
      <c r="L421" s="37" t="s">
        <v>253</v>
      </c>
      <c r="M421" s="37" t="s">
        <v>723</v>
      </c>
      <c r="N421" s="37" t="s">
        <v>333</v>
      </c>
      <c r="O421" s="37" t="s">
        <v>2326</v>
      </c>
      <c r="P421" s="37" t="s">
        <v>2327</v>
      </c>
      <c r="Q421" s="41">
        <v>46152.0</v>
      </c>
      <c r="R421" s="42">
        <v>0.0</v>
      </c>
      <c r="S421" s="44"/>
      <c r="T421" s="37" t="s">
        <v>2328</v>
      </c>
      <c r="U421" s="47" t="str">
        <f>IF(records_2[Type]="Room",records_2[roomNo],records_2[roomNo]&amp;"-"&amp;SUBSTITUTE(RIGHT(records_2[roomNo]&amp;records_2[Type],2),"-",""))</f>
        <v>10-3-074</v>
      </c>
      <c r="V421" s="47" t="str">
        <f t="array" ref="V421">_xlfn.XLOOKUP(records_2[ID], dAir[roomNo], dAir[roomName])</f>
        <v>DRY GRANULATION 3 (ROLL COMPACTOR)</v>
      </c>
      <c r="W421" s="47" t="str">
        <f t="array" ref="W421">_xlfn.XLOOKUP(records_2[ID], dAir[roomNo], dAir[building])</f>
        <v>Building 10</v>
      </c>
      <c r="X421" s="47" t="str">
        <f t="array" ref="X421">_xlfn.XLOOKUP(records_2[ID], dAir[roomNo], dAir[floor])</f>
        <v>Floor 3</v>
      </c>
      <c r="Y421" s="45" t="str">
        <f t="array" ref="Y421">_xlfn.XLOOKUP(records_2[ID], dAir[roomNo], dAir[Class])</f>
        <v>D</v>
      </c>
      <c r="Z421" s="45">
        <f t="array" ref="Z421">_xlfn.XLOOKUP(records_2[Method]&amp;"-"&amp;records_2[Class], dAirSpec[ID], dAirSpec[Spec])</f>
        <v>100</v>
      </c>
      <c r="AA421" s="45" t="str">
        <f t="array" ref="AA421">_xlfn.XLOOKUP(records_2[Method]&amp;"-"&amp;records_2[Class], dAirSpec[ID], dAirSpec[Unit])</f>
        <v>cfu/plate</v>
      </c>
      <c r="AB421" s="58">
        <f t="array" ref="AB421">if(R421="","", if(records_2[Method]="Active Air",_xlfn.xlookup(records_2[ColonyCount]&amp;records_2[AirSampler],feller[code],feller[Vc]),records_2[ColonyCount]))</f>
        <v>0</v>
      </c>
      <c r="AC421" s="60" t="b">
        <f t="shared" si="1"/>
        <v>1</v>
      </c>
      <c r="AD421" s="61" t="b">
        <v>0</v>
      </c>
      <c r="AE421" s="32" t="s">
        <v>280</v>
      </c>
      <c r="AF421" s="46"/>
      <c r="AG421" s="46"/>
      <c r="AH421" s="46"/>
      <c r="AI421" s="46"/>
      <c r="AJ421" s="46"/>
    </row>
    <row r="422" ht="22.5" customHeight="1">
      <c r="A422" s="27">
        <v>46102.0</v>
      </c>
      <c r="B422" s="34" t="str">
        <f t="array" ref="B422">TEXT(A422, "MM-YYYY")</f>
        <v>03-2026</v>
      </c>
      <c r="C422" s="25" t="s">
        <v>1168</v>
      </c>
      <c r="D422" s="36" t="s">
        <v>210</v>
      </c>
      <c r="E422" s="36" t="s">
        <v>213</v>
      </c>
      <c r="F422" s="29" t="b">
        <v>1</v>
      </c>
      <c r="G422" s="36" t="s">
        <v>214</v>
      </c>
      <c r="H422" s="36" t="s">
        <v>215</v>
      </c>
      <c r="I422" s="39"/>
      <c r="J422" s="43"/>
      <c r="K422" s="37" t="s">
        <v>578</v>
      </c>
      <c r="L422" s="37" t="s">
        <v>345</v>
      </c>
      <c r="M422" s="37" t="s">
        <v>368</v>
      </c>
      <c r="N422" s="37" t="s">
        <v>333</v>
      </c>
      <c r="O422" s="37" t="s">
        <v>2326</v>
      </c>
      <c r="P422" s="37" t="s">
        <v>2327</v>
      </c>
      <c r="Q422" s="41">
        <v>46152.0</v>
      </c>
      <c r="R422" s="42">
        <v>2.0</v>
      </c>
      <c r="S422" s="44"/>
      <c r="T422" s="37" t="s">
        <v>2328</v>
      </c>
      <c r="U422" s="47" t="str">
        <f>IF(records_2[Type]="Room",records_2[roomNo],records_2[roomNo]&amp;"-"&amp;SUBSTITUTE(RIGHT(records_2[roomNo]&amp;records_2[Type],2),"-",""))</f>
        <v>10-3-075</v>
      </c>
      <c r="V422" s="47" t="str">
        <f t="array" ref="V422">_xlfn.XLOOKUP(records_2[ID], dAir[roomNo], dAir[roomName])</f>
        <v>TOOL STORAGE</v>
      </c>
      <c r="W422" s="47" t="str">
        <f t="array" ref="W422">_xlfn.XLOOKUP(records_2[ID], dAir[roomNo], dAir[building])</f>
        <v>Building 10</v>
      </c>
      <c r="X422" s="47" t="str">
        <f t="array" ref="X422">_xlfn.XLOOKUP(records_2[ID], dAir[roomNo], dAir[floor])</f>
        <v>Floor 3</v>
      </c>
      <c r="Y422" s="45" t="str">
        <f t="array" ref="Y422">_xlfn.XLOOKUP(records_2[ID], dAir[roomNo], dAir[Class])</f>
        <v>D</v>
      </c>
      <c r="Z422" s="45">
        <f t="array" ref="Z422">_xlfn.XLOOKUP(records_2[Method]&amp;"-"&amp;records_2[Class], dAirSpec[ID], dAirSpec[Spec])</f>
        <v>100</v>
      </c>
      <c r="AA422" s="45" t="str">
        <f t="array" ref="AA422">_xlfn.XLOOKUP(records_2[Method]&amp;"-"&amp;records_2[Class], dAirSpec[ID], dAirSpec[Unit])</f>
        <v>cfu/plate</v>
      </c>
      <c r="AB422" s="58">
        <f t="array" ref="AB422">if(R422="","", if(records_2[Method]="Active Air",_xlfn.xlookup(records_2[ColonyCount]&amp;records_2[AirSampler],feller[code],feller[Vc]),records_2[ColonyCount]))</f>
        <v>2</v>
      </c>
      <c r="AC422" s="60" t="b">
        <f t="shared" si="1"/>
        <v>1</v>
      </c>
      <c r="AD422" s="61" t="b">
        <v>0</v>
      </c>
      <c r="AE422" s="32" t="s">
        <v>280</v>
      </c>
      <c r="AF422" s="46"/>
      <c r="AG422" s="46"/>
      <c r="AH422" s="46"/>
      <c r="AI422" s="46"/>
      <c r="AJ422" s="46"/>
    </row>
    <row r="423" ht="22.5" customHeight="1">
      <c r="A423" s="27">
        <v>46102.0</v>
      </c>
      <c r="B423" s="34" t="str">
        <f t="array" ref="B423">TEXT(A423, "MM-YYYY")</f>
        <v>03-2026</v>
      </c>
      <c r="C423" s="25" t="s">
        <v>1170</v>
      </c>
      <c r="D423" s="36" t="s">
        <v>210</v>
      </c>
      <c r="E423" s="36" t="s">
        <v>213</v>
      </c>
      <c r="F423" s="29" t="b">
        <v>1</v>
      </c>
      <c r="G423" s="36" t="s">
        <v>214</v>
      </c>
      <c r="H423" s="36" t="s">
        <v>215</v>
      </c>
      <c r="I423" s="39"/>
      <c r="J423" s="43"/>
      <c r="K423" s="37" t="s">
        <v>339</v>
      </c>
      <c r="L423" s="37" t="s">
        <v>842</v>
      </c>
      <c r="M423" s="37" t="s">
        <v>368</v>
      </c>
      <c r="N423" s="37" t="s">
        <v>778</v>
      </c>
      <c r="O423" s="37" t="s">
        <v>2326</v>
      </c>
      <c r="P423" s="37" t="s">
        <v>2327</v>
      </c>
      <c r="Q423" s="41">
        <v>46152.0</v>
      </c>
      <c r="R423" s="42">
        <v>0.0</v>
      </c>
      <c r="S423" s="44"/>
      <c r="T423" s="37" t="s">
        <v>2328</v>
      </c>
      <c r="U423" s="47" t="str">
        <f>IF(records_2[Type]="Room",records_2[roomNo],records_2[roomNo]&amp;"-"&amp;SUBSTITUTE(RIGHT(records_2[roomNo]&amp;records_2[Type],2),"-",""))</f>
        <v>10-3-076</v>
      </c>
      <c r="V423" s="47" t="str">
        <f t="array" ref="V423">_xlfn.XLOOKUP(records_2[ID], dAir[roomNo], dAir[roomName])</f>
        <v>AIRLOCK</v>
      </c>
      <c r="W423" s="47" t="str">
        <f t="array" ref="W423">_xlfn.XLOOKUP(records_2[ID], dAir[roomNo], dAir[building])</f>
        <v>Building 10</v>
      </c>
      <c r="X423" s="47" t="str">
        <f t="array" ref="X423">_xlfn.XLOOKUP(records_2[ID], dAir[roomNo], dAir[floor])</f>
        <v>Floor 3</v>
      </c>
      <c r="Y423" s="45" t="str">
        <f t="array" ref="Y423">_xlfn.XLOOKUP(records_2[ID], dAir[roomNo], dAir[Class])</f>
        <v>D</v>
      </c>
      <c r="Z423" s="45">
        <f t="array" ref="Z423">_xlfn.XLOOKUP(records_2[Method]&amp;"-"&amp;records_2[Class], dAirSpec[ID], dAirSpec[Spec])</f>
        <v>100</v>
      </c>
      <c r="AA423" s="45" t="str">
        <f t="array" ref="AA423">_xlfn.XLOOKUP(records_2[Method]&amp;"-"&amp;records_2[Class], dAirSpec[ID], dAirSpec[Unit])</f>
        <v>cfu/plate</v>
      </c>
      <c r="AB423" s="58">
        <f t="array" ref="AB423">if(R423="","", if(records_2[Method]="Active Air",_xlfn.xlookup(records_2[ColonyCount]&amp;records_2[AirSampler],feller[code],feller[Vc]),records_2[ColonyCount]))</f>
        <v>0</v>
      </c>
      <c r="AC423" s="60" t="b">
        <f t="shared" si="1"/>
        <v>1</v>
      </c>
      <c r="AD423" s="61" t="b">
        <v>0</v>
      </c>
      <c r="AE423" s="32" t="s">
        <v>280</v>
      </c>
      <c r="AF423" s="46"/>
      <c r="AG423" s="46"/>
      <c r="AH423" s="46"/>
      <c r="AI423" s="46"/>
      <c r="AJ423" s="46"/>
    </row>
    <row r="424" ht="22.5" customHeight="1">
      <c r="A424" s="27">
        <v>46102.0</v>
      </c>
      <c r="B424" s="34" t="str">
        <f t="array" ref="B424">TEXT(A424, "MM-YYYY")</f>
        <v>03-2026</v>
      </c>
      <c r="C424" s="25" t="s">
        <v>1171</v>
      </c>
      <c r="D424" s="36" t="s">
        <v>210</v>
      </c>
      <c r="E424" s="36" t="s">
        <v>213</v>
      </c>
      <c r="F424" s="29" t="b">
        <v>1</v>
      </c>
      <c r="G424" s="36" t="s">
        <v>214</v>
      </c>
      <c r="H424" s="36" t="s">
        <v>215</v>
      </c>
      <c r="I424" s="39"/>
      <c r="J424" s="43"/>
      <c r="K424" s="37" t="s">
        <v>310</v>
      </c>
      <c r="L424" s="37" t="s">
        <v>1743</v>
      </c>
      <c r="M424" s="37" t="s">
        <v>368</v>
      </c>
      <c r="N424" s="37" t="s">
        <v>778</v>
      </c>
      <c r="O424" s="37" t="s">
        <v>2326</v>
      </c>
      <c r="P424" s="37" t="s">
        <v>2327</v>
      </c>
      <c r="Q424" s="41">
        <v>46152.0</v>
      </c>
      <c r="R424" s="42">
        <v>1.0</v>
      </c>
      <c r="S424" s="44"/>
      <c r="T424" s="37" t="s">
        <v>2328</v>
      </c>
      <c r="U424" s="47" t="str">
        <f>IF(records_2[Type]="Room",records_2[roomNo],records_2[roomNo]&amp;"-"&amp;SUBSTITUTE(RIGHT(records_2[roomNo]&amp;records_2[Type],2),"-",""))</f>
        <v>10-3-077</v>
      </c>
      <c r="V424" s="47" t="str">
        <f t="array" ref="V424">_xlfn.XLOOKUP(records_2[ID], dAir[roomNo], dAir[roomName])</f>
        <v>USED EQUIPMENT</v>
      </c>
      <c r="W424" s="47" t="str">
        <f t="array" ref="W424">_xlfn.XLOOKUP(records_2[ID], dAir[roomNo], dAir[building])</f>
        <v>Building 10</v>
      </c>
      <c r="X424" s="47" t="str">
        <f t="array" ref="X424">_xlfn.XLOOKUP(records_2[ID], dAir[roomNo], dAir[floor])</f>
        <v>Floor 3</v>
      </c>
      <c r="Y424" s="45" t="str">
        <f t="array" ref="Y424">_xlfn.XLOOKUP(records_2[ID], dAir[roomNo], dAir[Class])</f>
        <v>D</v>
      </c>
      <c r="Z424" s="45">
        <f t="array" ref="Z424">_xlfn.XLOOKUP(records_2[Method]&amp;"-"&amp;records_2[Class], dAirSpec[ID], dAirSpec[Spec])</f>
        <v>100</v>
      </c>
      <c r="AA424" s="45" t="str">
        <f t="array" ref="AA424">_xlfn.XLOOKUP(records_2[Method]&amp;"-"&amp;records_2[Class], dAirSpec[ID], dAirSpec[Unit])</f>
        <v>cfu/plate</v>
      </c>
      <c r="AB424" s="58">
        <f t="array" ref="AB424">if(R424="","", if(records_2[Method]="Active Air",_xlfn.xlookup(records_2[ColonyCount]&amp;records_2[AirSampler],feller[code],feller[Vc]),records_2[ColonyCount]))</f>
        <v>1</v>
      </c>
      <c r="AC424" s="60" t="b">
        <f t="shared" si="1"/>
        <v>1</v>
      </c>
      <c r="AD424" s="61" t="b">
        <v>0</v>
      </c>
      <c r="AE424" s="32" t="s">
        <v>280</v>
      </c>
      <c r="AF424" s="46"/>
      <c r="AG424" s="46"/>
      <c r="AH424" s="46"/>
      <c r="AI424" s="46"/>
      <c r="AJ424" s="46"/>
    </row>
    <row r="425" ht="22.5" customHeight="1">
      <c r="A425" s="27">
        <v>46102.0</v>
      </c>
      <c r="B425" s="34" t="str">
        <f t="array" ref="B425">TEXT(A425, "MM-YYYY")</f>
        <v>03-2026</v>
      </c>
      <c r="C425" s="25" t="s">
        <v>1172</v>
      </c>
      <c r="D425" s="36" t="s">
        <v>210</v>
      </c>
      <c r="E425" s="36" t="s">
        <v>213</v>
      </c>
      <c r="F425" s="29" t="b">
        <v>1</v>
      </c>
      <c r="G425" s="36" t="s">
        <v>214</v>
      </c>
      <c r="H425" s="36" t="s">
        <v>215</v>
      </c>
      <c r="I425" s="39"/>
      <c r="J425" s="43"/>
      <c r="K425" s="37" t="s">
        <v>787</v>
      </c>
      <c r="L425" s="37" t="s">
        <v>788</v>
      </c>
      <c r="M425" s="37" t="s">
        <v>2346</v>
      </c>
      <c r="N425" s="37" t="s">
        <v>778</v>
      </c>
      <c r="O425" s="37" t="s">
        <v>2326</v>
      </c>
      <c r="P425" s="37" t="s">
        <v>2327</v>
      </c>
      <c r="Q425" s="41">
        <v>46152.0</v>
      </c>
      <c r="R425" s="42">
        <v>0.0</v>
      </c>
      <c r="S425" s="44"/>
      <c r="T425" s="37" t="s">
        <v>2328</v>
      </c>
      <c r="U425" s="47" t="str">
        <f>IF(records_2[Type]="Room",records_2[roomNo],records_2[roomNo]&amp;"-"&amp;SUBSTITUTE(RIGHT(records_2[roomNo]&amp;records_2[Type],2),"-",""))</f>
        <v>10-3-078</v>
      </c>
      <c r="V425" s="47" t="str">
        <f t="array" ref="V425">_xlfn.XLOOKUP(records_2[ID], dAir[roomNo], dAir[roomName])</f>
        <v>WASHING</v>
      </c>
      <c r="W425" s="47" t="str">
        <f t="array" ref="W425">_xlfn.XLOOKUP(records_2[ID], dAir[roomNo], dAir[building])</f>
        <v>Building 10</v>
      </c>
      <c r="X425" s="47" t="str">
        <f t="array" ref="X425">_xlfn.XLOOKUP(records_2[ID], dAir[roomNo], dAir[floor])</f>
        <v>Floor 3</v>
      </c>
      <c r="Y425" s="45" t="str">
        <f t="array" ref="Y425">_xlfn.XLOOKUP(records_2[ID], dAir[roomNo], dAir[Class])</f>
        <v>D</v>
      </c>
      <c r="Z425" s="45">
        <f t="array" ref="Z425">_xlfn.XLOOKUP(records_2[Method]&amp;"-"&amp;records_2[Class], dAirSpec[ID], dAirSpec[Spec])</f>
        <v>100</v>
      </c>
      <c r="AA425" s="45" t="str">
        <f t="array" ref="AA425">_xlfn.XLOOKUP(records_2[Method]&amp;"-"&amp;records_2[Class], dAirSpec[ID], dAirSpec[Unit])</f>
        <v>cfu/plate</v>
      </c>
      <c r="AB425" s="58">
        <f t="array" ref="AB425">if(R425="","", if(records_2[Method]="Active Air",_xlfn.xlookup(records_2[ColonyCount]&amp;records_2[AirSampler],feller[code],feller[Vc]),records_2[ColonyCount]))</f>
        <v>0</v>
      </c>
      <c r="AC425" s="60" t="b">
        <f t="shared" si="1"/>
        <v>1</v>
      </c>
      <c r="AD425" s="61" t="b">
        <v>0</v>
      </c>
      <c r="AE425" s="32" t="s">
        <v>280</v>
      </c>
      <c r="AF425" s="46"/>
      <c r="AG425" s="46"/>
      <c r="AH425" s="46"/>
      <c r="AI425" s="46"/>
      <c r="AJ425" s="46"/>
    </row>
    <row r="426" ht="22.5" customHeight="1">
      <c r="A426" s="27">
        <v>46102.0</v>
      </c>
      <c r="B426" s="34" t="str">
        <f t="array" ref="B426">TEXT(A426, "MM-YYYY")</f>
        <v>03-2026</v>
      </c>
      <c r="C426" s="25" t="s">
        <v>243</v>
      </c>
      <c r="D426" s="36" t="s">
        <v>210</v>
      </c>
      <c r="E426" s="36" t="s">
        <v>213</v>
      </c>
      <c r="F426" s="29" t="b">
        <v>1</v>
      </c>
      <c r="G426" s="36" t="s">
        <v>214</v>
      </c>
      <c r="H426" s="36" t="s">
        <v>215</v>
      </c>
      <c r="I426" s="39"/>
      <c r="J426" s="43"/>
      <c r="K426" s="37" t="s">
        <v>377</v>
      </c>
      <c r="L426" s="37" t="s">
        <v>1857</v>
      </c>
      <c r="M426" s="37" t="s">
        <v>2347</v>
      </c>
      <c r="N426" s="37" t="s">
        <v>262</v>
      </c>
      <c r="O426" s="37" t="s">
        <v>2326</v>
      </c>
      <c r="P426" s="37" t="s">
        <v>2327</v>
      </c>
      <c r="Q426" s="41">
        <v>46152.0</v>
      </c>
      <c r="R426" s="42">
        <v>0.0</v>
      </c>
      <c r="S426" s="44"/>
      <c r="T426" s="37" t="s">
        <v>2328</v>
      </c>
      <c r="U426" s="47" t="str">
        <f>IF(records_2[Type]="Room",records_2[roomNo],records_2[roomNo]&amp;"-"&amp;SUBSTITUTE(RIGHT(records_2[roomNo]&amp;records_2[Type],2),"-",""))</f>
        <v>10-3-079</v>
      </c>
      <c r="V426" s="47" t="str">
        <f t="array" ref="V426">_xlfn.XLOOKUP(records_2[ID], dAir[roomNo], dAir[roomName])</f>
        <v>DRYING</v>
      </c>
      <c r="W426" s="47" t="str">
        <f t="array" ref="W426">_xlfn.XLOOKUP(records_2[ID], dAir[roomNo], dAir[building])</f>
        <v>Building 10</v>
      </c>
      <c r="X426" s="47" t="str">
        <f t="array" ref="X426">_xlfn.XLOOKUP(records_2[ID], dAir[roomNo], dAir[floor])</f>
        <v>Floor 3</v>
      </c>
      <c r="Y426" s="45" t="str">
        <f t="array" ref="Y426">_xlfn.XLOOKUP(records_2[ID], dAir[roomNo], dAir[Class])</f>
        <v>D</v>
      </c>
      <c r="Z426" s="45">
        <f t="array" ref="Z426">_xlfn.XLOOKUP(records_2[Method]&amp;"-"&amp;records_2[Class], dAirSpec[ID], dAirSpec[Spec])</f>
        <v>100</v>
      </c>
      <c r="AA426" s="45" t="str">
        <f t="array" ref="AA426">_xlfn.XLOOKUP(records_2[Method]&amp;"-"&amp;records_2[Class], dAirSpec[ID], dAirSpec[Unit])</f>
        <v>cfu/plate</v>
      </c>
      <c r="AB426" s="58">
        <f t="array" ref="AB426">if(R426="","", if(records_2[Method]="Active Air",_xlfn.xlookup(records_2[ColonyCount]&amp;records_2[AirSampler],feller[code],feller[Vc]),records_2[ColonyCount]))</f>
        <v>0</v>
      </c>
      <c r="AC426" s="60" t="b">
        <f t="shared" si="1"/>
        <v>1</v>
      </c>
      <c r="AD426" s="61" t="b">
        <v>0</v>
      </c>
      <c r="AE426" s="32" t="s">
        <v>280</v>
      </c>
      <c r="AF426" s="46"/>
      <c r="AG426" s="46"/>
      <c r="AH426" s="46"/>
      <c r="AI426" s="46"/>
      <c r="AJ426" s="46"/>
    </row>
    <row r="427" ht="22.5" customHeight="1">
      <c r="A427" s="27">
        <v>46102.0</v>
      </c>
      <c r="B427" s="34" t="str">
        <f t="array" ref="B427">TEXT(A427, "MM-YYYY")</f>
        <v>03-2026</v>
      </c>
      <c r="C427" s="25" t="s">
        <v>1173</v>
      </c>
      <c r="D427" s="36" t="s">
        <v>210</v>
      </c>
      <c r="E427" s="36" t="s">
        <v>213</v>
      </c>
      <c r="F427" s="29" t="b">
        <v>1</v>
      </c>
      <c r="G427" s="36" t="s">
        <v>214</v>
      </c>
      <c r="H427" s="36" t="s">
        <v>215</v>
      </c>
      <c r="I427" s="39"/>
      <c r="J427" s="43"/>
      <c r="K427" s="37" t="s">
        <v>377</v>
      </c>
      <c r="L427" s="37" t="s">
        <v>2158</v>
      </c>
      <c r="M427" s="37" t="s">
        <v>2347</v>
      </c>
      <c r="N427" s="37" t="s">
        <v>262</v>
      </c>
      <c r="O427" s="37" t="s">
        <v>2326</v>
      </c>
      <c r="P427" s="37" t="s">
        <v>2327</v>
      </c>
      <c r="Q427" s="41">
        <v>46152.0</v>
      </c>
      <c r="R427" s="42">
        <v>1.0</v>
      </c>
      <c r="S427" s="44"/>
      <c r="T427" s="37" t="s">
        <v>2328</v>
      </c>
      <c r="U427" s="47" t="str">
        <f>IF(records_2[Type]="Room",records_2[roomNo],records_2[roomNo]&amp;"-"&amp;SUBSTITUTE(RIGHT(records_2[roomNo]&amp;records_2[Type],2),"-",""))</f>
        <v>10-3-080</v>
      </c>
      <c r="V427" s="47" t="str">
        <f t="array" ref="V427">_xlfn.XLOOKUP(records_2[ID], dAir[roomNo], dAir[roomName])</f>
        <v>CLEANED EQUIPMENT</v>
      </c>
      <c r="W427" s="47" t="str">
        <f t="array" ref="W427">_xlfn.XLOOKUP(records_2[ID], dAir[roomNo], dAir[building])</f>
        <v>Building 10</v>
      </c>
      <c r="X427" s="47" t="str">
        <f t="array" ref="X427">_xlfn.XLOOKUP(records_2[ID], dAir[roomNo], dAir[floor])</f>
        <v>Floor 3</v>
      </c>
      <c r="Y427" s="45" t="str">
        <f t="array" ref="Y427">_xlfn.XLOOKUP(records_2[ID], dAir[roomNo], dAir[Class])</f>
        <v>D</v>
      </c>
      <c r="Z427" s="45">
        <f t="array" ref="Z427">_xlfn.XLOOKUP(records_2[Method]&amp;"-"&amp;records_2[Class], dAirSpec[ID], dAirSpec[Spec])</f>
        <v>100</v>
      </c>
      <c r="AA427" s="45" t="str">
        <f t="array" ref="AA427">_xlfn.XLOOKUP(records_2[Method]&amp;"-"&amp;records_2[Class], dAirSpec[ID], dAirSpec[Unit])</f>
        <v>cfu/plate</v>
      </c>
      <c r="AB427" s="58">
        <f t="array" ref="AB427">if(R427="","", if(records_2[Method]="Active Air",_xlfn.xlookup(records_2[ColonyCount]&amp;records_2[AirSampler],feller[code],feller[Vc]),records_2[ColonyCount]))</f>
        <v>1</v>
      </c>
      <c r="AC427" s="60" t="b">
        <f t="shared" si="1"/>
        <v>1</v>
      </c>
      <c r="AD427" s="61" t="b">
        <v>0</v>
      </c>
      <c r="AE427" s="32" t="s">
        <v>280</v>
      </c>
      <c r="AF427" s="46"/>
      <c r="AG427" s="46"/>
      <c r="AH427" s="46"/>
      <c r="AI427" s="46"/>
      <c r="AJ427" s="46"/>
    </row>
    <row r="428" ht="22.5" customHeight="1">
      <c r="A428" s="27">
        <v>46102.0</v>
      </c>
      <c r="B428" s="34" t="str">
        <f t="array" ref="B428">TEXT(A428, "MM-YYYY")</f>
        <v>03-2026</v>
      </c>
      <c r="C428" s="25" t="s">
        <v>1175</v>
      </c>
      <c r="D428" s="36" t="s">
        <v>210</v>
      </c>
      <c r="E428" s="36" t="s">
        <v>213</v>
      </c>
      <c r="F428" s="29" t="b">
        <v>1</v>
      </c>
      <c r="G428" s="36" t="s">
        <v>214</v>
      </c>
      <c r="H428" s="36" t="s">
        <v>215</v>
      </c>
      <c r="I428" s="39"/>
      <c r="J428" s="43"/>
      <c r="K428" s="37" t="s">
        <v>787</v>
      </c>
      <c r="L428" s="37" t="s">
        <v>2158</v>
      </c>
      <c r="M428" s="37" t="s">
        <v>2346</v>
      </c>
      <c r="N428" s="37" t="s">
        <v>262</v>
      </c>
      <c r="O428" s="37" t="s">
        <v>2326</v>
      </c>
      <c r="P428" s="37" t="s">
        <v>2327</v>
      </c>
      <c r="Q428" s="41">
        <v>46152.0</v>
      </c>
      <c r="R428" s="42">
        <v>0.0</v>
      </c>
      <c r="S428" s="44"/>
      <c r="T428" s="37" t="s">
        <v>2328</v>
      </c>
      <c r="U428" s="47" t="str">
        <f>IF(records_2[Type]="Room",records_2[roomNo],records_2[roomNo]&amp;"-"&amp;SUBSTITUTE(RIGHT(records_2[roomNo]&amp;records_2[Type],2),"-",""))</f>
        <v>10-3-081</v>
      </c>
      <c r="V428" s="47" t="str">
        <f t="array" ref="V428">_xlfn.XLOOKUP(records_2[ID], dAir[roomNo], dAir[roomName])</f>
        <v>JANITOR</v>
      </c>
      <c r="W428" s="47" t="str">
        <f t="array" ref="W428">_xlfn.XLOOKUP(records_2[ID], dAir[roomNo], dAir[building])</f>
        <v>Building 10</v>
      </c>
      <c r="X428" s="47" t="str">
        <f t="array" ref="X428">_xlfn.XLOOKUP(records_2[ID], dAir[roomNo], dAir[floor])</f>
        <v>Floor 3</v>
      </c>
      <c r="Y428" s="45" t="str">
        <f t="array" ref="Y428">_xlfn.XLOOKUP(records_2[ID], dAir[roomNo], dAir[Class])</f>
        <v>D</v>
      </c>
      <c r="Z428" s="45">
        <f t="array" ref="Z428">_xlfn.XLOOKUP(records_2[Method]&amp;"-"&amp;records_2[Class], dAirSpec[ID], dAirSpec[Spec])</f>
        <v>100</v>
      </c>
      <c r="AA428" s="45" t="str">
        <f t="array" ref="AA428">_xlfn.XLOOKUP(records_2[Method]&amp;"-"&amp;records_2[Class], dAirSpec[ID], dAirSpec[Unit])</f>
        <v>cfu/plate</v>
      </c>
      <c r="AB428" s="58">
        <f t="array" ref="AB428">if(R428="","", if(records_2[Method]="Active Air",_xlfn.xlookup(records_2[ColonyCount]&amp;records_2[AirSampler],feller[code],feller[Vc]),records_2[ColonyCount]))</f>
        <v>0</v>
      </c>
      <c r="AC428" s="60" t="b">
        <f t="shared" si="1"/>
        <v>1</v>
      </c>
      <c r="AD428" s="61" t="b">
        <v>0</v>
      </c>
      <c r="AE428" s="32" t="s">
        <v>280</v>
      </c>
      <c r="AF428" s="46"/>
      <c r="AG428" s="46"/>
      <c r="AH428" s="46"/>
      <c r="AI428" s="46"/>
      <c r="AJ428" s="46"/>
    </row>
    <row r="429" ht="22.5" customHeight="1">
      <c r="A429" s="27">
        <v>46102.0</v>
      </c>
      <c r="B429" s="34" t="str">
        <f t="array" ref="B429">TEXT(A429, "MM-YYYY")</f>
        <v>03-2026</v>
      </c>
      <c r="C429" s="25" t="s">
        <v>1176</v>
      </c>
      <c r="D429" s="36" t="s">
        <v>210</v>
      </c>
      <c r="E429" s="36" t="s">
        <v>213</v>
      </c>
      <c r="F429" s="29" t="b">
        <v>1</v>
      </c>
      <c r="G429" s="36" t="s">
        <v>214</v>
      </c>
      <c r="H429" s="36" t="s">
        <v>215</v>
      </c>
      <c r="I429" s="39"/>
      <c r="J429" s="43"/>
      <c r="K429" s="37" t="s">
        <v>353</v>
      </c>
      <c r="L429" s="37" t="s">
        <v>2263</v>
      </c>
      <c r="M429" s="37" t="s">
        <v>829</v>
      </c>
      <c r="N429" s="37" t="s">
        <v>1584</v>
      </c>
      <c r="O429" s="37" t="s">
        <v>2326</v>
      </c>
      <c r="P429" s="37" t="s">
        <v>2327</v>
      </c>
      <c r="Q429" s="41">
        <v>46152.0</v>
      </c>
      <c r="R429" s="42">
        <v>2.0</v>
      </c>
      <c r="S429" s="44"/>
      <c r="T429" s="37" t="s">
        <v>2328</v>
      </c>
      <c r="U429" s="47" t="str">
        <f>IF(records_2[Type]="Room",records_2[roomNo],records_2[roomNo]&amp;"-"&amp;SUBSTITUTE(RIGHT(records_2[roomNo]&amp;records_2[Type],2),"-",""))</f>
        <v>10-3-082</v>
      </c>
      <c r="V429" s="47" t="str">
        <f t="array" ref="V429">_xlfn.XLOOKUP(records_2[ID], dAir[roomNo], dAir[roomName])</f>
        <v>AIRLOCK</v>
      </c>
      <c r="W429" s="47" t="str">
        <f t="array" ref="W429">_xlfn.XLOOKUP(records_2[ID], dAir[roomNo], dAir[building])</f>
        <v>Building 10</v>
      </c>
      <c r="X429" s="47" t="str">
        <f t="array" ref="X429">_xlfn.XLOOKUP(records_2[ID], dAir[roomNo], dAir[floor])</f>
        <v>Floor 3</v>
      </c>
      <c r="Y429" s="45" t="str">
        <f t="array" ref="Y429">_xlfn.XLOOKUP(records_2[ID], dAir[roomNo], dAir[Class])</f>
        <v>D</v>
      </c>
      <c r="Z429" s="45">
        <f t="array" ref="Z429">_xlfn.XLOOKUP(records_2[Method]&amp;"-"&amp;records_2[Class], dAirSpec[ID], dAirSpec[Spec])</f>
        <v>100</v>
      </c>
      <c r="AA429" s="45" t="str">
        <f t="array" ref="AA429">_xlfn.XLOOKUP(records_2[Method]&amp;"-"&amp;records_2[Class], dAirSpec[ID], dAirSpec[Unit])</f>
        <v>cfu/plate</v>
      </c>
      <c r="AB429" s="58">
        <f t="array" ref="AB429">if(R429="","", if(records_2[Method]="Active Air",_xlfn.xlookup(records_2[ColonyCount]&amp;records_2[AirSampler],feller[code],feller[Vc]),records_2[ColonyCount]))</f>
        <v>2</v>
      </c>
      <c r="AC429" s="60" t="b">
        <f t="shared" si="1"/>
        <v>1</v>
      </c>
      <c r="AD429" s="61" t="b">
        <v>0</v>
      </c>
      <c r="AE429" s="32" t="s">
        <v>280</v>
      </c>
      <c r="AF429" s="46"/>
      <c r="AG429" s="46"/>
      <c r="AH429" s="46"/>
      <c r="AI429" s="46"/>
      <c r="AJ429" s="46"/>
    </row>
    <row r="430" ht="22.5" customHeight="1">
      <c r="A430" s="27">
        <v>46102.0</v>
      </c>
      <c r="B430" s="34" t="str">
        <f t="array" ref="B430">TEXT(A430, "MM-YYYY")</f>
        <v>03-2026</v>
      </c>
      <c r="C430" s="25" t="s">
        <v>1177</v>
      </c>
      <c r="D430" s="36" t="s">
        <v>210</v>
      </c>
      <c r="E430" s="36" t="s">
        <v>213</v>
      </c>
      <c r="F430" s="29" t="b">
        <v>1</v>
      </c>
      <c r="G430" s="36" t="s">
        <v>214</v>
      </c>
      <c r="H430" s="36" t="s">
        <v>215</v>
      </c>
      <c r="I430" s="39"/>
      <c r="J430" s="43"/>
      <c r="K430" s="37" t="s">
        <v>314</v>
      </c>
      <c r="L430" s="37" t="s">
        <v>2348</v>
      </c>
      <c r="M430" s="37" t="s">
        <v>829</v>
      </c>
      <c r="N430" s="37" t="s">
        <v>1584</v>
      </c>
      <c r="O430" s="37" t="s">
        <v>2326</v>
      </c>
      <c r="P430" s="37" t="s">
        <v>2327</v>
      </c>
      <c r="Q430" s="41">
        <v>46152.0</v>
      </c>
      <c r="R430" s="42">
        <v>2.0</v>
      </c>
      <c r="S430" s="44" t="s">
        <v>2340</v>
      </c>
      <c r="T430" s="37" t="s">
        <v>2328</v>
      </c>
      <c r="U430" s="47" t="str">
        <f>IF(records_2[Type]="Room",records_2[roomNo],records_2[roomNo]&amp;"-"&amp;SUBSTITUTE(RIGHT(records_2[roomNo]&amp;records_2[Type],2),"-",""))</f>
        <v>10-3-083</v>
      </c>
      <c r="V430" s="47" t="str">
        <f t="array" ref="V430">_xlfn.XLOOKUP(records_2[ID], dAir[roomNo], dAir[roomName])</f>
        <v>CORRIDOR</v>
      </c>
      <c r="W430" s="47" t="str">
        <f t="array" ref="W430">_xlfn.XLOOKUP(records_2[ID], dAir[roomNo], dAir[building])</f>
        <v>Building 10</v>
      </c>
      <c r="X430" s="47" t="str">
        <f t="array" ref="X430">_xlfn.XLOOKUP(records_2[ID], dAir[roomNo], dAir[floor])</f>
        <v>Floor 3</v>
      </c>
      <c r="Y430" s="45" t="str">
        <f t="array" ref="Y430">_xlfn.XLOOKUP(records_2[ID], dAir[roomNo], dAir[Class])</f>
        <v>D</v>
      </c>
      <c r="Z430" s="45">
        <f t="array" ref="Z430">_xlfn.XLOOKUP(records_2[Method]&amp;"-"&amp;records_2[Class], dAirSpec[ID], dAirSpec[Spec])</f>
        <v>100</v>
      </c>
      <c r="AA430" s="45" t="str">
        <f t="array" ref="AA430">_xlfn.XLOOKUP(records_2[Method]&amp;"-"&amp;records_2[Class], dAirSpec[ID], dAirSpec[Unit])</f>
        <v>cfu/plate</v>
      </c>
      <c r="AB430" s="58">
        <f t="array" ref="AB430">if(R430="","", if(records_2[Method]="Active Air",_xlfn.xlookup(records_2[ColonyCount]&amp;records_2[AirSampler],feller[code],feller[Vc]),records_2[ColonyCount]))</f>
        <v>2</v>
      </c>
      <c r="AC430" s="60" t="b">
        <f t="shared" si="1"/>
        <v>1</v>
      </c>
      <c r="AD430" s="61" t="b">
        <v>0</v>
      </c>
      <c r="AE430" s="32" t="s">
        <v>280</v>
      </c>
      <c r="AF430" s="46"/>
      <c r="AG430" s="46"/>
      <c r="AH430" s="46"/>
      <c r="AI430" s="46"/>
      <c r="AJ430" s="46"/>
    </row>
    <row r="431" ht="22.5" customHeight="1">
      <c r="A431" s="27">
        <v>46102.0</v>
      </c>
      <c r="B431" s="34" t="str">
        <f t="array" ref="B431">TEXT(A431, "MM-YYYY")</f>
        <v>03-2026</v>
      </c>
      <c r="C431" s="25" t="s">
        <v>1178</v>
      </c>
      <c r="D431" s="36" t="s">
        <v>210</v>
      </c>
      <c r="E431" s="36" t="s">
        <v>213</v>
      </c>
      <c r="F431" s="29" t="b">
        <v>1</v>
      </c>
      <c r="G431" s="36" t="s">
        <v>214</v>
      </c>
      <c r="H431" s="36" t="s">
        <v>215</v>
      </c>
      <c r="I431" s="39"/>
      <c r="J431" s="43"/>
      <c r="K431" s="37" t="s">
        <v>484</v>
      </c>
      <c r="L431" s="37" t="s">
        <v>1839</v>
      </c>
      <c r="M431" s="37" t="s">
        <v>261</v>
      </c>
      <c r="N431" s="37" t="s">
        <v>1623</v>
      </c>
      <c r="O431" s="37" t="s">
        <v>2326</v>
      </c>
      <c r="P431" s="37" t="s">
        <v>2327</v>
      </c>
      <c r="Q431" s="41">
        <v>46152.0</v>
      </c>
      <c r="R431" s="42">
        <v>0.0</v>
      </c>
      <c r="S431" s="44"/>
      <c r="T431" s="37" t="s">
        <v>2328</v>
      </c>
      <c r="U431" s="47" t="str">
        <f>IF(records_2[Type]="Room",records_2[roomNo],records_2[roomNo]&amp;"-"&amp;SUBSTITUTE(RIGHT(records_2[roomNo]&amp;records_2[Type],2),"-",""))</f>
        <v>10-3-084</v>
      </c>
      <c r="V431" s="47" t="str">
        <f t="array" ref="V431">_xlfn.XLOOKUP(records_2[ID], dAir[roomNo], dAir[roomName])</f>
        <v>CLEANED TOOLS</v>
      </c>
      <c r="W431" s="47" t="str">
        <f t="array" ref="W431">_xlfn.XLOOKUP(records_2[ID], dAir[roomNo], dAir[building])</f>
        <v>Building 10</v>
      </c>
      <c r="X431" s="47" t="str">
        <f t="array" ref="X431">_xlfn.XLOOKUP(records_2[ID], dAir[roomNo], dAir[floor])</f>
        <v>Floor 3</v>
      </c>
      <c r="Y431" s="45" t="str">
        <f t="array" ref="Y431">_xlfn.XLOOKUP(records_2[ID], dAir[roomNo], dAir[Class])</f>
        <v>D</v>
      </c>
      <c r="Z431" s="45">
        <f t="array" ref="Z431">_xlfn.XLOOKUP(records_2[Method]&amp;"-"&amp;records_2[Class], dAirSpec[ID], dAirSpec[Spec])</f>
        <v>100</v>
      </c>
      <c r="AA431" s="45" t="str">
        <f t="array" ref="AA431">_xlfn.XLOOKUP(records_2[Method]&amp;"-"&amp;records_2[Class], dAirSpec[ID], dAirSpec[Unit])</f>
        <v>cfu/plate</v>
      </c>
      <c r="AB431" s="58">
        <f t="array" ref="AB431">if(R431="","", if(records_2[Method]="Active Air",_xlfn.xlookup(records_2[ColonyCount]&amp;records_2[AirSampler],feller[code],feller[Vc]),records_2[ColonyCount]))</f>
        <v>0</v>
      </c>
      <c r="AC431" s="60" t="b">
        <f t="shared" si="1"/>
        <v>1</v>
      </c>
      <c r="AD431" s="61" t="b">
        <v>0</v>
      </c>
      <c r="AE431" s="32" t="s">
        <v>280</v>
      </c>
      <c r="AF431" s="46"/>
      <c r="AG431" s="46"/>
      <c r="AH431" s="46"/>
      <c r="AI431" s="46"/>
      <c r="AJ431" s="46"/>
    </row>
    <row r="432" ht="22.5" customHeight="1">
      <c r="A432" s="27">
        <v>46102.0</v>
      </c>
      <c r="B432" s="34" t="str">
        <f t="array" ref="B432">TEXT(A432, "MM-YYYY")</f>
        <v>03-2026</v>
      </c>
      <c r="C432" s="25" t="s">
        <v>251</v>
      </c>
      <c r="D432" s="36" t="s">
        <v>210</v>
      </c>
      <c r="E432" s="36" t="s">
        <v>213</v>
      </c>
      <c r="F432" s="29" t="b">
        <v>1</v>
      </c>
      <c r="G432" s="36" t="s">
        <v>214</v>
      </c>
      <c r="H432" s="36" t="s">
        <v>215</v>
      </c>
      <c r="I432" s="39"/>
      <c r="J432" s="43"/>
      <c r="K432" s="37" t="s">
        <v>339</v>
      </c>
      <c r="L432" s="37" t="s">
        <v>971</v>
      </c>
      <c r="M432" s="37" t="s">
        <v>261</v>
      </c>
      <c r="N432" s="37" t="s">
        <v>1623</v>
      </c>
      <c r="O432" s="37" t="s">
        <v>2326</v>
      </c>
      <c r="P432" s="37" t="s">
        <v>2327</v>
      </c>
      <c r="Q432" s="41">
        <v>46152.0</v>
      </c>
      <c r="R432" s="42">
        <v>0.0</v>
      </c>
      <c r="S432" s="44"/>
      <c r="T432" s="37" t="s">
        <v>2328</v>
      </c>
      <c r="U432" s="47" t="str">
        <f>IF(records_2[Type]="Room",records_2[roomNo],records_2[roomNo]&amp;"-"&amp;SUBSTITUTE(RIGHT(records_2[roomNo]&amp;records_2[Type],2),"-",""))</f>
        <v>10-3-085</v>
      </c>
      <c r="V432" s="47" t="str">
        <f t="array" ref="V432">_xlfn.XLOOKUP(records_2[ID], dAir[roomNo], dAir[roomName])</f>
        <v>DRYING</v>
      </c>
      <c r="W432" s="47" t="str">
        <f t="array" ref="W432">_xlfn.XLOOKUP(records_2[ID], dAir[roomNo], dAir[building])</f>
        <v>Building 10</v>
      </c>
      <c r="X432" s="47" t="str">
        <f t="array" ref="X432">_xlfn.XLOOKUP(records_2[ID], dAir[roomNo], dAir[floor])</f>
        <v>Floor 3</v>
      </c>
      <c r="Y432" s="45" t="str">
        <f t="array" ref="Y432">_xlfn.XLOOKUP(records_2[ID], dAir[roomNo], dAir[Class])</f>
        <v>D</v>
      </c>
      <c r="Z432" s="45">
        <f t="array" ref="Z432">_xlfn.XLOOKUP(records_2[Method]&amp;"-"&amp;records_2[Class], dAirSpec[ID], dAirSpec[Spec])</f>
        <v>100</v>
      </c>
      <c r="AA432" s="45" t="str">
        <f t="array" ref="AA432">_xlfn.XLOOKUP(records_2[Method]&amp;"-"&amp;records_2[Class], dAirSpec[ID], dAirSpec[Unit])</f>
        <v>cfu/plate</v>
      </c>
      <c r="AB432" s="58">
        <f t="array" ref="AB432">if(R432="","", if(records_2[Method]="Active Air",_xlfn.xlookup(records_2[ColonyCount]&amp;records_2[AirSampler],feller[code],feller[Vc]),records_2[ColonyCount]))</f>
        <v>0</v>
      </c>
      <c r="AC432" s="60" t="b">
        <f t="shared" si="1"/>
        <v>1</v>
      </c>
      <c r="AD432" s="61" t="b">
        <v>0</v>
      </c>
      <c r="AE432" s="32" t="s">
        <v>280</v>
      </c>
      <c r="AF432" s="46"/>
      <c r="AG432" s="46"/>
      <c r="AH432" s="46"/>
      <c r="AI432" s="46"/>
      <c r="AJ432" s="46"/>
    </row>
    <row r="433" ht="22.5" customHeight="1">
      <c r="A433" s="27">
        <v>46102.0</v>
      </c>
      <c r="B433" s="34" t="str">
        <f t="array" ref="B433">TEXT(A433, "MM-YYYY")</f>
        <v>03-2026</v>
      </c>
      <c r="C433" s="25" t="s">
        <v>565</v>
      </c>
      <c r="D433" s="36" t="s">
        <v>210</v>
      </c>
      <c r="E433" s="36" t="s">
        <v>213</v>
      </c>
      <c r="F433" s="29" t="b">
        <v>1</v>
      </c>
      <c r="G433" s="36" t="s">
        <v>214</v>
      </c>
      <c r="H433" s="36" t="s">
        <v>215</v>
      </c>
      <c r="I433" s="39"/>
      <c r="J433" s="43"/>
      <c r="K433" s="37" t="s">
        <v>377</v>
      </c>
      <c r="L433" s="37" t="s">
        <v>2263</v>
      </c>
      <c r="M433" s="37" t="s">
        <v>785</v>
      </c>
      <c r="N433" s="37" t="s">
        <v>1623</v>
      </c>
      <c r="O433" s="37" t="s">
        <v>2326</v>
      </c>
      <c r="P433" s="37" t="s">
        <v>2327</v>
      </c>
      <c r="Q433" s="41">
        <v>46152.0</v>
      </c>
      <c r="R433" s="42">
        <v>0.0</v>
      </c>
      <c r="S433" s="44"/>
      <c r="T433" s="37" t="s">
        <v>2328</v>
      </c>
      <c r="U433" s="47" t="str">
        <f>IF(records_2[Type]="Room",records_2[roomNo],records_2[roomNo]&amp;"-"&amp;SUBSTITUTE(RIGHT(records_2[roomNo]&amp;records_2[Type],2),"-",""))</f>
        <v>10-3-086</v>
      </c>
      <c r="V433" s="47" t="str">
        <f t="array" ref="V433">_xlfn.XLOOKUP(records_2[ID], dAir[roomNo], dAir[roomName])</f>
        <v>TOOL WASHING</v>
      </c>
      <c r="W433" s="47" t="str">
        <f t="array" ref="W433">_xlfn.XLOOKUP(records_2[ID], dAir[roomNo], dAir[building])</f>
        <v>Building 10</v>
      </c>
      <c r="X433" s="47" t="str">
        <f t="array" ref="X433">_xlfn.XLOOKUP(records_2[ID], dAir[roomNo], dAir[floor])</f>
        <v>Floor 3</v>
      </c>
      <c r="Y433" s="45" t="str">
        <f t="array" ref="Y433">_xlfn.XLOOKUP(records_2[ID], dAir[roomNo], dAir[Class])</f>
        <v>D</v>
      </c>
      <c r="Z433" s="45">
        <f t="array" ref="Z433">_xlfn.XLOOKUP(records_2[Method]&amp;"-"&amp;records_2[Class], dAirSpec[ID], dAirSpec[Spec])</f>
        <v>100</v>
      </c>
      <c r="AA433" s="45" t="str">
        <f t="array" ref="AA433">_xlfn.XLOOKUP(records_2[Method]&amp;"-"&amp;records_2[Class], dAirSpec[ID], dAirSpec[Unit])</f>
        <v>cfu/plate</v>
      </c>
      <c r="AB433" s="58">
        <f t="array" ref="AB433">if(R433="","", if(records_2[Method]="Active Air",_xlfn.xlookup(records_2[ColonyCount]&amp;records_2[AirSampler],feller[code],feller[Vc]),records_2[ColonyCount]))</f>
        <v>0</v>
      </c>
      <c r="AC433" s="60" t="b">
        <f t="shared" si="1"/>
        <v>1</v>
      </c>
      <c r="AD433" s="61" t="b">
        <v>0</v>
      </c>
      <c r="AE433" s="32" t="s">
        <v>280</v>
      </c>
      <c r="AF433" s="46"/>
      <c r="AG433" s="46"/>
      <c r="AH433" s="46"/>
      <c r="AI433" s="46"/>
      <c r="AJ433" s="46"/>
    </row>
    <row r="434" ht="22.5" customHeight="1">
      <c r="A434" s="27">
        <v>46102.0</v>
      </c>
      <c r="B434" s="34" t="str">
        <f t="array" ref="B434">TEXT(A434, "MM-YYYY")</f>
        <v>03-2026</v>
      </c>
      <c r="C434" s="25" t="s">
        <v>1180</v>
      </c>
      <c r="D434" s="36" t="s">
        <v>210</v>
      </c>
      <c r="E434" s="36" t="s">
        <v>213</v>
      </c>
      <c r="F434" s="29" t="b">
        <v>1</v>
      </c>
      <c r="G434" s="36" t="s">
        <v>214</v>
      </c>
      <c r="H434" s="36" t="s">
        <v>215</v>
      </c>
      <c r="I434" s="39"/>
      <c r="J434" s="43"/>
      <c r="K434" s="37" t="s">
        <v>339</v>
      </c>
      <c r="L434" s="37" t="s">
        <v>1797</v>
      </c>
      <c r="M434" s="37" t="s">
        <v>785</v>
      </c>
      <c r="N434" s="37" t="s">
        <v>1623</v>
      </c>
      <c r="O434" s="37" t="s">
        <v>2326</v>
      </c>
      <c r="P434" s="37" t="s">
        <v>2327</v>
      </c>
      <c r="Q434" s="41">
        <v>46152.0</v>
      </c>
      <c r="R434" s="42">
        <v>0.0</v>
      </c>
      <c r="S434" s="44"/>
      <c r="T434" s="37" t="s">
        <v>2328</v>
      </c>
      <c r="U434" s="47" t="str">
        <f>IF(records_2[Type]="Room",records_2[roomNo],records_2[roomNo]&amp;"-"&amp;SUBSTITUTE(RIGHT(records_2[roomNo]&amp;records_2[Type],2),"-",""))</f>
        <v>10-3-087</v>
      </c>
      <c r="V434" s="47" t="str">
        <f t="array" ref="V434">_xlfn.XLOOKUP(records_2[ID], dAir[roomNo], dAir[roomName])</f>
        <v>AIRLOCK</v>
      </c>
      <c r="W434" s="47" t="str">
        <f t="array" ref="W434">_xlfn.XLOOKUP(records_2[ID], dAir[roomNo], dAir[building])</f>
        <v>Building 10</v>
      </c>
      <c r="X434" s="47" t="str">
        <f t="array" ref="X434">_xlfn.XLOOKUP(records_2[ID], dAir[roomNo], dAir[floor])</f>
        <v>Floor 3</v>
      </c>
      <c r="Y434" s="45" t="str">
        <f t="array" ref="Y434">_xlfn.XLOOKUP(records_2[ID], dAir[roomNo], dAir[Class])</f>
        <v>D</v>
      </c>
      <c r="Z434" s="45">
        <f t="array" ref="Z434">_xlfn.XLOOKUP(records_2[Method]&amp;"-"&amp;records_2[Class], dAirSpec[ID], dAirSpec[Spec])</f>
        <v>100</v>
      </c>
      <c r="AA434" s="45" t="str">
        <f t="array" ref="AA434">_xlfn.XLOOKUP(records_2[Method]&amp;"-"&amp;records_2[Class], dAirSpec[ID], dAirSpec[Unit])</f>
        <v>cfu/plate</v>
      </c>
      <c r="AB434" s="58">
        <f t="array" ref="AB434">if(R434="","", if(records_2[Method]="Active Air",_xlfn.xlookup(records_2[ColonyCount]&amp;records_2[AirSampler],feller[code],feller[Vc]),records_2[ColonyCount]))</f>
        <v>0</v>
      </c>
      <c r="AC434" s="60" t="b">
        <f t="shared" si="1"/>
        <v>1</v>
      </c>
      <c r="AD434" s="61" t="b">
        <v>0</v>
      </c>
      <c r="AE434" s="32" t="s">
        <v>280</v>
      </c>
      <c r="AF434" s="46"/>
      <c r="AG434" s="46"/>
      <c r="AH434" s="46"/>
      <c r="AI434" s="46"/>
      <c r="AJ434" s="46"/>
    </row>
    <row r="435" ht="22.5" customHeight="1">
      <c r="A435" s="27">
        <v>46102.0</v>
      </c>
      <c r="B435" s="34" t="str">
        <f t="array" ref="B435">TEXT(A435, "MM-YYYY")</f>
        <v>03-2026</v>
      </c>
      <c r="C435" s="25" t="s">
        <v>1181</v>
      </c>
      <c r="D435" s="36" t="s">
        <v>210</v>
      </c>
      <c r="E435" s="36" t="s">
        <v>213</v>
      </c>
      <c r="F435" s="29" t="b">
        <v>1</v>
      </c>
      <c r="G435" s="36" t="s">
        <v>214</v>
      </c>
      <c r="H435" s="36" t="s">
        <v>215</v>
      </c>
      <c r="I435" s="39"/>
      <c r="J435" s="43"/>
      <c r="K435" s="37" t="s">
        <v>469</v>
      </c>
      <c r="L435" s="37" t="s">
        <v>1858</v>
      </c>
      <c r="M435" s="37" t="s">
        <v>785</v>
      </c>
      <c r="N435" s="37" t="s">
        <v>1623</v>
      </c>
      <c r="O435" s="37" t="s">
        <v>2326</v>
      </c>
      <c r="P435" s="37" t="s">
        <v>2327</v>
      </c>
      <c r="Q435" s="41">
        <v>46152.0</v>
      </c>
      <c r="R435" s="42">
        <v>0.0</v>
      </c>
      <c r="S435" s="44"/>
      <c r="T435" s="37" t="s">
        <v>2328</v>
      </c>
      <c r="U435" s="47" t="str">
        <f>IF(records_2[Type]="Room",records_2[roomNo],records_2[roomNo]&amp;"-"&amp;SUBSTITUTE(RIGHT(records_2[roomNo]&amp;records_2[Type],2),"-",""))</f>
        <v>10-3-088</v>
      </c>
      <c r="V435" s="47" t="str">
        <f t="array" ref="V435">_xlfn.XLOOKUP(records_2[ID], dAir[roomNo], dAir[roomName])</f>
        <v>JANITOR</v>
      </c>
      <c r="W435" s="47" t="str">
        <f t="array" ref="W435">_xlfn.XLOOKUP(records_2[ID], dAir[roomNo], dAir[building])</f>
        <v>Building 10</v>
      </c>
      <c r="X435" s="47" t="str">
        <f t="array" ref="X435">_xlfn.XLOOKUP(records_2[ID], dAir[roomNo], dAir[floor])</f>
        <v>Floor 3</v>
      </c>
      <c r="Y435" s="45" t="str">
        <f t="array" ref="Y435">_xlfn.XLOOKUP(records_2[ID], dAir[roomNo], dAir[Class])</f>
        <v>D</v>
      </c>
      <c r="Z435" s="45">
        <f t="array" ref="Z435">_xlfn.XLOOKUP(records_2[Method]&amp;"-"&amp;records_2[Class], dAirSpec[ID], dAirSpec[Spec])</f>
        <v>100</v>
      </c>
      <c r="AA435" s="45" t="str">
        <f t="array" ref="AA435">_xlfn.XLOOKUP(records_2[Method]&amp;"-"&amp;records_2[Class], dAirSpec[ID], dAirSpec[Unit])</f>
        <v>cfu/plate</v>
      </c>
      <c r="AB435" s="58">
        <f t="array" ref="AB435">if(R435="","", if(records_2[Method]="Active Air",_xlfn.xlookup(records_2[ColonyCount]&amp;records_2[AirSampler],feller[code],feller[Vc]),records_2[ColonyCount]))</f>
        <v>0</v>
      </c>
      <c r="AC435" s="60" t="b">
        <f t="shared" si="1"/>
        <v>1</v>
      </c>
      <c r="AD435" s="61" t="b">
        <v>0</v>
      </c>
      <c r="AE435" s="32" t="s">
        <v>280</v>
      </c>
      <c r="AF435" s="46"/>
      <c r="AG435" s="46"/>
      <c r="AH435" s="46"/>
      <c r="AI435" s="46"/>
      <c r="AJ435" s="46"/>
    </row>
    <row r="436" ht="22.5" customHeight="1">
      <c r="A436" s="27">
        <v>46102.0</v>
      </c>
      <c r="B436" s="34" t="str">
        <f t="array" ref="B436">TEXT(A436, "MM-YYYY")</f>
        <v>03-2026</v>
      </c>
      <c r="C436" s="25" t="s">
        <v>1182</v>
      </c>
      <c r="D436" s="36" t="s">
        <v>210</v>
      </c>
      <c r="E436" s="36" t="s">
        <v>213</v>
      </c>
      <c r="F436" s="29" t="b">
        <v>1</v>
      </c>
      <c r="G436" s="36" t="s">
        <v>214</v>
      </c>
      <c r="H436" s="36" t="s">
        <v>215</v>
      </c>
      <c r="I436" s="39"/>
      <c r="J436" s="43"/>
      <c r="K436" s="37" t="s">
        <v>469</v>
      </c>
      <c r="L436" s="37" t="s">
        <v>2349</v>
      </c>
      <c r="M436" s="37" t="s">
        <v>332</v>
      </c>
      <c r="N436" s="37" t="s">
        <v>939</v>
      </c>
      <c r="O436" s="37" t="s">
        <v>2326</v>
      </c>
      <c r="P436" s="37" t="s">
        <v>2327</v>
      </c>
      <c r="Q436" s="41">
        <v>46152.0</v>
      </c>
      <c r="R436" s="42">
        <v>0.0</v>
      </c>
      <c r="S436" s="44"/>
      <c r="T436" s="37" t="s">
        <v>2328</v>
      </c>
      <c r="U436" s="47" t="str">
        <f>IF(records_2[Type]="Room",records_2[roomNo],records_2[roomNo]&amp;"-"&amp;SUBSTITUTE(RIGHT(records_2[roomNo]&amp;records_2[Type],2),"-",""))</f>
        <v>10-3-089</v>
      </c>
      <c r="V436" s="47" t="str">
        <f t="array" ref="V436">_xlfn.XLOOKUP(records_2[ID], dAir[roomNo], dAir[roomName])</f>
        <v>DISPENSING 1</v>
      </c>
      <c r="W436" s="47" t="str">
        <f t="array" ref="W436">_xlfn.XLOOKUP(records_2[ID], dAir[roomNo], dAir[building])</f>
        <v>Building 10</v>
      </c>
      <c r="X436" s="47" t="str">
        <f t="array" ref="X436">_xlfn.XLOOKUP(records_2[ID], dAir[roomNo], dAir[floor])</f>
        <v>Floor 3</v>
      </c>
      <c r="Y436" s="45" t="str">
        <f t="array" ref="Y436">_xlfn.XLOOKUP(records_2[ID], dAir[roomNo], dAir[Class])</f>
        <v>D</v>
      </c>
      <c r="Z436" s="45">
        <f t="array" ref="Z436">_xlfn.XLOOKUP(records_2[Method]&amp;"-"&amp;records_2[Class], dAirSpec[ID], dAirSpec[Spec])</f>
        <v>100</v>
      </c>
      <c r="AA436" s="45" t="str">
        <f t="array" ref="AA436">_xlfn.XLOOKUP(records_2[Method]&amp;"-"&amp;records_2[Class], dAirSpec[ID], dAirSpec[Unit])</f>
        <v>cfu/plate</v>
      </c>
      <c r="AB436" s="58">
        <f t="array" ref="AB436">if(R436="","", if(records_2[Method]="Active Air",_xlfn.xlookup(records_2[ColonyCount]&amp;records_2[AirSampler],feller[code],feller[Vc]),records_2[ColonyCount]))</f>
        <v>0</v>
      </c>
      <c r="AC436" s="60" t="b">
        <f t="shared" si="1"/>
        <v>1</v>
      </c>
      <c r="AD436" s="61" t="b">
        <v>0</v>
      </c>
      <c r="AE436" s="32" t="s">
        <v>280</v>
      </c>
      <c r="AF436" s="46"/>
      <c r="AG436" s="46"/>
      <c r="AH436" s="46"/>
      <c r="AI436" s="46"/>
      <c r="AJ436" s="46"/>
    </row>
    <row r="437" ht="22.5" customHeight="1">
      <c r="A437" s="27">
        <v>46102.0</v>
      </c>
      <c r="B437" s="34" t="str">
        <f t="array" ref="B437">TEXT(A437, "MM-YYYY")</f>
        <v>03-2026</v>
      </c>
      <c r="C437" s="25" t="s">
        <v>1182</v>
      </c>
      <c r="D437" s="36" t="s">
        <v>680</v>
      </c>
      <c r="E437" s="36" t="s">
        <v>213</v>
      </c>
      <c r="F437" s="29" t="b">
        <v>1</v>
      </c>
      <c r="G437" s="36" t="s">
        <v>214</v>
      </c>
      <c r="H437" s="36" t="s">
        <v>215</v>
      </c>
      <c r="I437" s="39"/>
      <c r="J437" s="43"/>
      <c r="K437" s="37" t="s">
        <v>469</v>
      </c>
      <c r="L437" s="37" t="s">
        <v>2349</v>
      </c>
      <c r="M437" s="37" t="s">
        <v>332</v>
      </c>
      <c r="N437" s="37" t="s">
        <v>939</v>
      </c>
      <c r="O437" s="37" t="s">
        <v>2326</v>
      </c>
      <c r="P437" s="37" t="s">
        <v>2327</v>
      </c>
      <c r="Q437" s="41">
        <v>46152.0</v>
      </c>
      <c r="R437" s="42">
        <v>0.0</v>
      </c>
      <c r="S437" s="44" t="s">
        <v>2341</v>
      </c>
      <c r="T437" s="37" t="s">
        <v>2328</v>
      </c>
      <c r="U437" s="45" t="str">
        <f>IF(records_2[Type]="Room",records_2[roomNo],records_2[roomNo]&amp;"-"&amp;SUBSTITUTE(RIGHT(records_2[roomNo]&amp;records_2[Type],2),"-",""))</f>
        <v>10-3-089-B</v>
      </c>
      <c r="V437" s="47" t="str">
        <f t="array" ref="V437">_xlfn.XLOOKUP(records_2[ID], dAir[roomNo], dAir[roomName])</f>
        <v>DISPENSING 1 (Booth)</v>
      </c>
      <c r="W437" s="47" t="str">
        <f t="array" ref="W437">_xlfn.XLOOKUP(records_2[ID], dAir[roomNo], dAir[building])</f>
        <v>Building 10</v>
      </c>
      <c r="X437" s="47" t="str">
        <f t="array" ref="X437">_xlfn.XLOOKUP(records_2[ID], dAir[roomNo], dAir[floor])</f>
        <v>Floor 3</v>
      </c>
      <c r="Y437" s="45" t="str">
        <f t="array" ref="Y437">_xlfn.XLOOKUP(records_2[ID], dAir[roomNo], dAir[Class])</f>
        <v>D</v>
      </c>
      <c r="Z437" s="45">
        <f t="array" ref="Z437">_xlfn.XLOOKUP(records_2[Method]&amp;"-"&amp;records_2[Class], dAirSpec[ID], dAirSpec[Spec])</f>
        <v>100</v>
      </c>
      <c r="AA437" s="45" t="str">
        <f t="array" ref="AA437">_xlfn.XLOOKUP(records_2[Method]&amp;"-"&amp;records_2[Class], dAirSpec[ID], dAirSpec[Unit])</f>
        <v>cfu/plate</v>
      </c>
      <c r="AB437" s="58">
        <f t="array" ref="AB437">if(R437="","", if(records_2[Method]="Active Air",_xlfn.xlookup(records_2[ColonyCount]&amp;records_2[AirSampler],feller[code],feller[Vc]),records_2[ColonyCount]))</f>
        <v>0</v>
      </c>
      <c r="AC437" s="60" t="b">
        <f t="shared" si="1"/>
        <v>1</v>
      </c>
      <c r="AD437" s="61" t="b">
        <v>0</v>
      </c>
      <c r="AE437" s="32" t="s">
        <v>280</v>
      </c>
      <c r="AF437" s="46"/>
      <c r="AG437" s="46"/>
      <c r="AH437" s="46"/>
      <c r="AI437" s="46"/>
      <c r="AJ437" s="46"/>
    </row>
    <row r="438" ht="22.5" customHeight="1">
      <c r="A438" s="27">
        <v>46102.0</v>
      </c>
      <c r="B438" s="34" t="str">
        <f t="array" ref="B438">TEXT(A438, "MM-YYYY")</f>
        <v>03-2026</v>
      </c>
      <c r="C438" s="25" t="s">
        <v>1186</v>
      </c>
      <c r="D438" s="36" t="s">
        <v>210</v>
      </c>
      <c r="E438" s="36" t="s">
        <v>213</v>
      </c>
      <c r="F438" s="29" t="b">
        <v>1</v>
      </c>
      <c r="G438" s="36" t="s">
        <v>214</v>
      </c>
      <c r="H438" s="36" t="s">
        <v>215</v>
      </c>
      <c r="I438" s="39"/>
      <c r="J438" s="43"/>
      <c r="K438" s="37" t="s">
        <v>194</v>
      </c>
      <c r="L438" s="37" t="s">
        <v>194</v>
      </c>
      <c r="M438" s="37" t="s">
        <v>332</v>
      </c>
      <c r="N438" s="37" t="s">
        <v>939</v>
      </c>
      <c r="O438" s="37" t="s">
        <v>2326</v>
      </c>
      <c r="P438" s="37" t="s">
        <v>2327</v>
      </c>
      <c r="Q438" s="41">
        <v>46152.0</v>
      </c>
      <c r="R438" s="42">
        <v>0.0</v>
      </c>
      <c r="S438" s="44"/>
      <c r="T438" s="37" t="s">
        <v>2328</v>
      </c>
      <c r="U438" s="47" t="str">
        <f>IF(records_2[Type]="Room",records_2[roomNo],records_2[roomNo]&amp;"-"&amp;SUBSTITUTE(RIGHT(records_2[roomNo]&amp;records_2[Type],2),"-",""))</f>
        <v>10-3-090</v>
      </c>
      <c r="V438" s="47" t="str">
        <f t="array" ref="V438">_xlfn.XLOOKUP(records_2[ID], dAir[roomNo], dAir[roomName])</f>
        <v>DISPENSING 2</v>
      </c>
      <c r="W438" s="47" t="str">
        <f t="array" ref="W438">_xlfn.XLOOKUP(records_2[ID], dAir[roomNo], dAir[building])</f>
        <v>Building 10</v>
      </c>
      <c r="X438" s="47" t="str">
        <f t="array" ref="X438">_xlfn.XLOOKUP(records_2[ID], dAir[roomNo], dAir[floor])</f>
        <v>Floor 3</v>
      </c>
      <c r="Y438" s="45" t="str">
        <f t="array" ref="Y438">_xlfn.XLOOKUP(records_2[ID], dAir[roomNo], dAir[Class])</f>
        <v>D</v>
      </c>
      <c r="Z438" s="45">
        <f t="array" ref="Z438">_xlfn.XLOOKUP(records_2[Method]&amp;"-"&amp;records_2[Class], dAirSpec[ID], dAirSpec[Spec])</f>
        <v>100</v>
      </c>
      <c r="AA438" s="45" t="str">
        <f t="array" ref="AA438">_xlfn.XLOOKUP(records_2[Method]&amp;"-"&amp;records_2[Class], dAirSpec[ID], dAirSpec[Unit])</f>
        <v>cfu/plate</v>
      </c>
      <c r="AB438" s="58">
        <f t="array" ref="AB438">if(R438="","", if(records_2[Method]="Active Air",_xlfn.xlookup(records_2[ColonyCount]&amp;records_2[AirSampler],feller[code],feller[Vc]),records_2[ColonyCount]))</f>
        <v>0</v>
      </c>
      <c r="AC438" s="60" t="b">
        <f t="shared" si="1"/>
        <v>1</v>
      </c>
      <c r="AD438" s="61" t="b">
        <v>0</v>
      </c>
      <c r="AE438" s="32" t="s">
        <v>280</v>
      </c>
      <c r="AF438" s="46"/>
      <c r="AG438" s="46"/>
      <c r="AH438" s="46"/>
      <c r="AI438" s="46"/>
      <c r="AJ438" s="46"/>
    </row>
    <row r="439" ht="22.5" customHeight="1">
      <c r="A439" s="27">
        <v>46102.0</v>
      </c>
      <c r="B439" s="34" t="str">
        <f t="array" ref="B439">TEXT(A439, "MM-YYYY")</f>
        <v>03-2026</v>
      </c>
      <c r="C439" s="25" t="s">
        <v>1186</v>
      </c>
      <c r="D439" s="36" t="s">
        <v>680</v>
      </c>
      <c r="E439" s="36" t="s">
        <v>213</v>
      </c>
      <c r="F439" s="29" t="b">
        <v>1</v>
      </c>
      <c r="G439" s="36" t="s">
        <v>214</v>
      </c>
      <c r="H439" s="36" t="s">
        <v>215</v>
      </c>
      <c r="I439" s="39"/>
      <c r="J439" s="43"/>
      <c r="K439" s="37" t="s">
        <v>194</v>
      </c>
      <c r="L439" s="37" t="s">
        <v>194</v>
      </c>
      <c r="M439" s="37" t="s">
        <v>332</v>
      </c>
      <c r="N439" s="37" t="s">
        <v>939</v>
      </c>
      <c r="O439" s="37" t="s">
        <v>2326</v>
      </c>
      <c r="P439" s="37" t="s">
        <v>2327</v>
      </c>
      <c r="Q439" s="41">
        <v>46152.0</v>
      </c>
      <c r="R439" s="42">
        <v>0.0</v>
      </c>
      <c r="S439" s="44" t="s">
        <v>2341</v>
      </c>
      <c r="T439" s="37" t="s">
        <v>2328</v>
      </c>
      <c r="U439" s="45" t="str">
        <f>IF(records_2[Type]="Room",records_2[roomNo],records_2[roomNo]&amp;"-"&amp;SUBSTITUTE(RIGHT(records_2[roomNo]&amp;records_2[Type],2),"-",""))</f>
        <v>10-3-090-B</v>
      </c>
      <c r="V439" s="47" t="str">
        <f t="array" ref="V439">_xlfn.XLOOKUP(records_2[ID], dAir[roomNo], dAir[roomName])</f>
        <v>DISPENSING 2 (Booth)</v>
      </c>
      <c r="W439" s="47" t="str">
        <f t="array" ref="W439">_xlfn.XLOOKUP(records_2[ID], dAir[roomNo], dAir[building])</f>
        <v>Building 10</v>
      </c>
      <c r="X439" s="47" t="str">
        <f t="array" ref="X439">_xlfn.XLOOKUP(records_2[ID], dAir[roomNo], dAir[floor])</f>
        <v>Floor 3</v>
      </c>
      <c r="Y439" s="45" t="str">
        <f t="array" ref="Y439">_xlfn.XLOOKUP(records_2[ID], dAir[roomNo], dAir[Class])</f>
        <v>D</v>
      </c>
      <c r="Z439" s="45">
        <f t="array" ref="Z439">_xlfn.XLOOKUP(records_2[Method]&amp;"-"&amp;records_2[Class], dAirSpec[ID], dAirSpec[Spec])</f>
        <v>100</v>
      </c>
      <c r="AA439" s="45" t="str">
        <f t="array" ref="AA439">_xlfn.XLOOKUP(records_2[Method]&amp;"-"&amp;records_2[Class], dAirSpec[ID], dAirSpec[Unit])</f>
        <v>cfu/plate</v>
      </c>
      <c r="AB439" s="58">
        <f t="array" ref="AB439">if(R439="","", if(records_2[Method]="Active Air",_xlfn.xlookup(records_2[ColonyCount]&amp;records_2[AirSampler],feller[code],feller[Vc]),records_2[ColonyCount]))</f>
        <v>0</v>
      </c>
      <c r="AC439" s="60" t="b">
        <f t="shared" si="1"/>
        <v>1</v>
      </c>
      <c r="AD439" s="61" t="b">
        <v>0</v>
      </c>
      <c r="AE439" s="32" t="s">
        <v>280</v>
      </c>
      <c r="AF439" s="46"/>
      <c r="AG439" s="46"/>
      <c r="AH439" s="46"/>
      <c r="AI439" s="46"/>
      <c r="AJ439" s="46"/>
    </row>
    <row r="440" ht="22.5" customHeight="1">
      <c r="A440" s="27">
        <v>46102.0</v>
      </c>
      <c r="B440" s="34" t="str">
        <f t="array" ref="B440">TEXT(A440, "MM-YYYY")</f>
        <v>03-2026</v>
      </c>
      <c r="C440" s="25" t="s">
        <v>1191</v>
      </c>
      <c r="D440" s="36" t="s">
        <v>210</v>
      </c>
      <c r="E440" s="36" t="s">
        <v>213</v>
      </c>
      <c r="F440" s="29" t="b">
        <v>1</v>
      </c>
      <c r="G440" s="36" t="s">
        <v>214</v>
      </c>
      <c r="H440" s="36" t="s">
        <v>215</v>
      </c>
      <c r="I440" s="39"/>
      <c r="J440" s="43"/>
      <c r="K440" s="37" t="s">
        <v>1546</v>
      </c>
      <c r="L440" s="37" t="s">
        <v>2350</v>
      </c>
      <c r="M440" s="37" t="s">
        <v>319</v>
      </c>
      <c r="N440" s="37" t="s">
        <v>1605</v>
      </c>
      <c r="O440" s="37" t="s">
        <v>2326</v>
      </c>
      <c r="P440" s="37" t="s">
        <v>2327</v>
      </c>
      <c r="Q440" s="41">
        <v>46152.0</v>
      </c>
      <c r="R440" s="42">
        <v>0.0</v>
      </c>
      <c r="S440" s="44"/>
      <c r="T440" s="37" t="s">
        <v>2328</v>
      </c>
      <c r="U440" s="47" t="str">
        <f>IF(records_2[Type]="Room",records_2[roomNo],records_2[roomNo]&amp;"-"&amp;SUBSTITUTE(RIGHT(records_2[roomNo]&amp;records_2[Type],2),"-",""))</f>
        <v>10-3-091</v>
      </c>
      <c r="V440" s="47" t="str">
        <f t="array" ref="V440">_xlfn.XLOOKUP(records_2[ID], dAir[roomNo], dAir[roomName])</f>
        <v>RM STAGING</v>
      </c>
      <c r="W440" s="47" t="str">
        <f t="array" ref="W440">_xlfn.XLOOKUP(records_2[ID], dAir[roomNo], dAir[building])</f>
        <v>Building 10</v>
      </c>
      <c r="X440" s="47" t="str">
        <f t="array" ref="X440">_xlfn.XLOOKUP(records_2[ID], dAir[roomNo], dAir[floor])</f>
        <v>Floor 3</v>
      </c>
      <c r="Y440" s="45" t="str">
        <f t="array" ref="Y440">_xlfn.XLOOKUP(records_2[ID], dAir[roomNo], dAir[Class])</f>
        <v>D</v>
      </c>
      <c r="Z440" s="45">
        <f t="array" ref="Z440">_xlfn.XLOOKUP(records_2[Method]&amp;"-"&amp;records_2[Class], dAirSpec[ID], dAirSpec[Spec])</f>
        <v>100</v>
      </c>
      <c r="AA440" s="45" t="str">
        <f t="array" ref="AA440">_xlfn.XLOOKUP(records_2[Method]&amp;"-"&amp;records_2[Class], dAirSpec[ID], dAirSpec[Unit])</f>
        <v>cfu/plate</v>
      </c>
      <c r="AB440" s="58">
        <f t="array" ref="AB440">if(R440="","", if(records_2[Method]="Active Air",_xlfn.xlookup(records_2[ColonyCount]&amp;records_2[AirSampler],feller[code],feller[Vc]),records_2[ColonyCount]))</f>
        <v>0</v>
      </c>
      <c r="AC440" s="60" t="b">
        <f t="shared" si="1"/>
        <v>1</v>
      </c>
      <c r="AD440" s="61" t="b">
        <v>0</v>
      </c>
      <c r="AE440" s="32" t="s">
        <v>280</v>
      </c>
      <c r="AF440" s="46"/>
      <c r="AG440" s="46"/>
      <c r="AH440" s="46"/>
      <c r="AI440" s="46"/>
      <c r="AJ440" s="46"/>
    </row>
    <row r="441" ht="22.5" customHeight="1">
      <c r="A441" s="27">
        <v>46102.0</v>
      </c>
      <c r="B441" s="34" t="str">
        <f t="array" ref="B441">TEXT(A441, "MM-YYYY")</f>
        <v>03-2026</v>
      </c>
      <c r="C441" s="25" t="s">
        <v>1193</v>
      </c>
      <c r="D441" s="36" t="s">
        <v>210</v>
      </c>
      <c r="E441" s="36" t="s">
        <v>213</v>
      </c>
      <c r="F441" s="29" t="b">
        <v>1</v>
      </c>
      <c r="G441" s="36" t="s">
        <v>214</v>
      </c>
      <c r="H441" s="36" t="s">
        <v>215</v>
      </c>
      <c r="I441" s="39"/>
      <c r="J441" s="43"/>
      <c r="K441" s="37" t="s">
        <v>791</v>
      </c>
      <c r="L441" s="37" t="s">
        <v>2351</v>
      </c>
      <c r="M441" s="37" t="s">
        <v>319</v>
      </c>
      <c r="N441" s="37" t="s">
        <v>1605</v>
      </c>
      <c r="O441" s="37" t="s">
        <v>2326</v>
      </c>
      <c r="P441" s="37" t="s">
        <v>2327</v>
      </c>
      <c r="Q441" s="41">
        <v>46152.0</v>
      </c>
      <c r="R441" s="42">
        <v>2.0</v>
      </c>
      <c r="S441" s="44"/>
      <c r="T441" s="37" t="s">
        <v>2328</v>
      </c>
      <c r="U441" s="47" t="str">
        <f>IF(records_2[Type]="Room",records_2[roomNo],records_2[roomNo]&amp;"-"&amp;SUBSTITUTE(RIGHT(records_2[roomNo]&amp;records_2[Type],2),"-",""))</f>
        <v>10-3-092</v>
      </c>
      <c r="V441" s="47" t="str">
        <f t="array" ref="V441">_xlfn.XLOOKUP(records_2[ID], dAir[roomNo], dAir[roomName])</f>
        <v>MAL</v>
      </c>
      <c r="W441" s="47" t="str">
        <f t="array" ref="W441">_xlfn.XLOOKUP(records_2[ID], dAir[roomNo], dAir[building])</f>
        <v>Building 10</v>
      </c>
      <c r="X441" s="47" t="str">
        <f t="array" ref="X441">_xlfn.XLOOKUP(records_2[ID], dAir[roomNo], dAir[floor])</f>
        <v>Floor 3</v>
      </c>
      <c r="Y441" s="45" t="str">
        <f t="array" ref="Y441">_xlfn.XLOOKUP(records_2[ID], dAir[roomNo], dAir[Class])</f>
        <v>D</v>
      </c>
      <c r="Z441" s="45">
        <f t="array" ref="Z441">_xlfn.XLOOKUP(records_2[Method]&amp;"-"&amp;records_2[Class], dAirSpec[ID], dAirSpec[Spec])</f>
        <v>100</v>
      </c>
      <c r="AA441" s="45" t="str">
        <f t="array" ref="AA441">_xlfn.XLOOKUP(records_2[Method]&amp;"-"&amp;records_2[Class], dAirSpec[ID], dAirSpec[Unit])</f>
        <v>cfu/plate</v>
      </c>
      <c r="AB441" s="58">
        <f t="array" ref="AB441">if(R441="","", if(records_2[Method]="Active Air",_xlfn.xlookup(records_2[ColonyCount]&amp;records_2[AirSampler],feller[code],feller[Vc]),records_2[ColonyCount]))</f>
        <v>2</v>
      </c>
      <c r="AC441" s="60" t="b">
        <f t="shared" si="1"/>
        <v>1</v>
      </c>
      <c r="AD441" s="61" t="b">
        <v>0</v>
      </c>
      <c r="AE441" s="32" t="s">
        <v>280</v>
      </c>
      <c r="AF441" s="46"/>
      <c r="AG441" s="46"/>
      <c r="AH441" s="46"/>
      <c r="AI441" s="46"/>
      <c r="AJ441" s="46"/>
    </row>
    <row r="442" ht="22.5" customHeight="1">
      <c r="A442" s="27">
        <v>46102.0</v>
      </c>
      <c r="B442" s="34" t="str">
        <f t="array" ref="B442">TEXT(A442, "MM-YYYY")</f>
        <v>03-2026</v>
      </c>
      <c r="C442" s="25" t="s">
        <v>1195</v>
      </c>
      <c r="D442" s="36" t="s">
        <v>210</v>
      </c>
      <c r="E442" s="36" t="s">
        <v>213</v>
      </c>
      <c r="F442" s="29" t="b">
        <v>1</v>
      </c>
      <c r="G442" s="36" t="s">
        <v>214</v>
      </c>
      <c r="H442" s="36" t="s">
        <v>215</v>
      </c>
      <c r="I442" s="39"/>
      <c r="J442" s="43"/>
      <c r="K442" s="37" t="s">
        <v>314</v>
      </c>
      <c r="L442" s="37" t="s">
        <v>792</v>
      </c>
      <c r="M442" s="37" t="s">
        <v>319</v>
      </c>
      <c r="N442" s="37" t="s">
        <v>1605</v>
      </c>
      <c r="O442" s="37" t="s">
        <v>2326</v>
      </c>
      <c r="P442" s="37" t="s">
        <v>2327</v>
      </c>
      <c r="Q442" s="41">
        <v>46152.0</v>
      </c>
      <c r="R442" s="42">
        <v>1.0</v>
      </c>
      <c r="S442" s="44"/>
      <c r="T442" s="37" t="s">
        <v>2328</v>
      </c>
      <c r="U442" s="47" t="str">
        <f>IF(records_2[Type]="Room",records_2[roomNo],records_2[roomNo]&amp;"-"&amp;SUBSTITUTE(RIGHT(records_2[roomNo]&amp;records_2[Type],2),"-",""))</f>
        <v>10-3-093</v>
      </c>
      <c r="V442" s="47" t="str">
        <f t="array" ref="V442">_xlfn.XLOOKUP(records_2[ID], dAir[roomNo], dAir[roomName])</f>
        <v>IPQC/OFFICE</v>
      </c>
      <c r="W442" s="47" t="str">
        <f t="array" ref="W442">_xlfn.XLOOKUP(records_2[ID], dAir[roomNo], dAir[building])</f>
        <v>Building 10</v>
      </c>
      <c r="X442" s="47" t="str">
        <f t="array" ref="X442">_xlfn.XLOOKUP(records_2[ID], dAir[roomNo], dAir[floor])</f>
        <v>Floor 3</v>
      </c>
      <c r="Y442" s="45" t="str">
        <f t="array" ref="Y442">_xlfn.XLOOKUP(records_2[ID], dAir[roomNo], dAir[Class])</f>
        <v>D</v>
      </c>
      <c r="Z442" s="45">
        <f t="array" ref="Z442">_xlfn.XLOOKUP(records_2[Method]&amp;"-"&amp;records_2[Class], dAirSpec[ID], dAirSpec[Spec])</f>
        <v>100</v>
      </c>
      <c r="AA442" s="45" t="str">
        <f t="array" ref="AA442">_xlfn.XLOOKUP(records_2[Method]&amp;"-"&amp;records_2[Class], dAirSpec[ID], dAirSpec[Unit])</f>
        <v>cfu/plate</v>
      </c>
      <c r="AB442" s="58">
        <f t="array" ref="AB442">if(R442="","", if(records_2[Method]="Active Air",_xlfn.xlookup(records_2[ColonyCount]&amp;records_2[AirSampler],feller[code],feller[Vc]),records_2[ColonyCount]))</f>
        <v>1</v>
      </c>
      <c r="AC442" s="60" t="b">
        <f t="shared" si="1"/>
        <v>1</v>
      </c>
      <c r="AD442" s="61" t="b">
        <v>0</v>
      </c>
      <c r="AE442" s="32" t="s">
        <v>280</v>
      </c>
      <c r="AF442" s="46"/>
      <c r="AG442" s="46"/>
      <c r="AH442" s="46"/>
      <c r="AI442" s="46"/>
      <c r="AJ442" s="46"/>
    </row>
    <row r="443" ht="22.5" customHeight="1">
      <c r="A443" s="27">
        <v>46102.0</v>
      </c>
      <c r="B443" s="34" t="str">
        <f t="array" ref="B443">TEXT(A443, "MM-YYYY")</f>
        <v>03-2026</v>
      </c>
      <c r="C443" s="25" t="s">
        <v>1197</v>
      </c>
      <c r="D443" s="36" t="s">
        <v>210</v>
      </c>
      <c r="E443" s="36" t="s">
        <v>213</v>
      </c>
      <c r="F443" s="29" t="b">
        <v>1</v>
      </c>
      <c r="G443" s="36" t="s">
        <v>214</v>
      </c>
      <c r="H443" s="36" t="s">
        <v>215</v>
      </c>
      <c r="I443" s="39"/>
      <c r="J443" s="43"/>
      <c r="K443" s="37" t="s">
        <v>396</v>
      </c>
      <c r="L443" s="37" t="s">
        <v>2302</v>
      </c>
      <c r="M443" s="37" t="s">
        <v>319</v>
      </c>
      <c r="N443" s="37" t="s">
        <v>1588</v>
      </c>
      <c r="O443" s="37" t="s">
        <v>2326</v>
      </c>
      <c r="P443" s="37" t="s">
        <v>2327</v>
      </c>
      <c r="Q443" s="41">
        <v>46152.0</v>
      </c>
      <c r="R443" s="42">
        <v>0.0</v>
      </c>
      <c r="S443" s="44"/>
      <c r="T443" s="37" t="s">
        <v>2328</v>
      </c>
      <c r="U443" s="47" t="str">
        <f>IF(records_2[Type]="Room",records_2[roomNo],records_2[roomNo]&amp;"-"&amp;SUBSTITUTE(RIGHT(records_2[roomNo]&amp;records_2[Type],2),"-",""))</f>
        <v>10-3-094</v>
      </c>
      <c r="V443" s="47" t="str">
        <f t="array" ref="V443">_xlfn.XLOOKUP(records_2[ID], dAir[roomNo], dAir[roomName])</f>
        <v>DISPENSING 3</v>
      </c>
      <c r="W443" s="47" t="str">
        <f t="array" ref="W443">_xlfn.XLOOKUP(records_2[ID], dAir[roomNo], dAir[building])</f>
        <v>Building 10</v>
      </c>
      <c r="X443" s="47" t="str">
        <f t="array" ref="X443">_xlfn.XLOOKUP(records_2[ID], dAir[roomNo], dAir[floor])</f>
        <v>Floor 3</v>
      </c>
      <c r="Y443" s="45" t="str">
        <f t="array" ref="Y443">_xlfn.XLOOKUP(records_2[ID], dAir[roomNo], dAir[Class])</f>
        <v>D</v>
      </c>
      <c r="Z443" s="45">
        <f t="array" ref="Z443">_xlfn.XLOOKUP(records_2[Method]&amp;"-"&amp;records_2[Class], dAirSpec[ID], dAirSpec[Spec])</f>
        <v>100</v>
      </c>
      <c r="AA443" s="45" t="str">
        <f t="array" ref="AA443">_xlfn.XLOOKUP(records_2[Method]&amp;"-"&amp;records_2[Class], dAirSpec[ID], dAirSpec[Unit])</f>
        <v>cfu/plate</v>
      </c>
      <c r="AB443" s="58">
        <f t="array" ref="AB443">if(R443="","", if(records_2[Method]="Active Air",_xlfn.xlookup(records_2[ColonyCount]&amp;records_2[AirSampler],feller[code],feller[Vc]),records_2[ColonyCount]))</f>
        <v>0</v>
      </c>
      <c r="AC443" s="60" t="b">
        <f t="shared" si="1"/>
        <v>1</v>
      </c>
      <c r="AD443" s="61" t="b">
        <v>0</v>
      </c>
      <c r="AE443" s="32" t="s">
        <v>280</v>
      </c>
      <c r="AF443" s="46"/>
      <c r="AG443" s="46"/>
      <c r="AH443" s="46"/>
      <c r="AI443" s="46"/>
      <c r="AJ443" s="46"/>
    </row>
    <row r="444" ht="22.5" customHeight="1">
      <c r="A444" s="27">
        <v>46102.0</v>
      </c>
      <c r="B444" s="34" t="str">
        <f t="array" ref="B444">TEXT(A444, "MM-YYYY")</f>
        <v>03-2026</v>
      </c>
      <c r="C444" s="25" t="s">
        <v>1197</v>
      </c>
      <c r="D444" s="36" t="s">
        <v>680</v>
      </c>
      <c r="E444" s="36" t="s">
        <v>213</v>
      </c>
      <c r="F444" s="29" t="b">
        <v>1</v>
      </c>
      <c r="G444" s="36" t="s">
        <v>214</v>
      </c>
      <c r="H444" s="36" t="s">
        <v>215</v>
      </c>
      <c r="I444" s="39"/>
      <c r="J444" s="43"/>
      <c r="K444" s="37" t="s">
        <v>396</v>
      </c>
      <c r="L444" s="37" t="s">
        <v>2302</v>
      </c>
      <c r="M444" s="37" t="s">
        <v>319</v>
      </c>
      <c r="N444" s="37" t="s">
        <v>1588</v>
      </c>
      <c r="O444" s="37" t="s">
        <v>2326</v>
      </c>
      <c r="P444" s="37" t="s">
        <v>2327</v>
      </c>
      <c r="Q444" s="41">
        <v>46152.0</v>
      </c>
      <c r="R444" s="42">
        <v>0.0</v>
      </c>
      <c r="S444" s="44" t="s">
        <v>2341</v>
      </c>
      <c r="T444" s="37" t="s">
        <v>2328</v>
      </c>
      <c r="U444" s="45" t="str">
        <f>IF(records_2[Type]="Room",records_2[roomNo],records_2[roomNo]&amp;"-"&amp;SUBSTITUTE(RIGHT(records_2[roomNo]&amp;records_2[Type],2),"-",""))</f>
        <v>10-3-094-B</v>
      </c>
      <c r="V444" s="47" t="str">
        <f t="array" ref="V444">_xlfn.XLOOKUP(records_2[ID], dAir[roomNo], dAir[roomName])</f>
        <v>DISPENSING 3 (Booth)</v>
      </c>
      <c r="W444" s="47" t="str">
        <f t="array" ref="W444">_xlfn.XLOOKUP(records_2[ID], dAir[roomNo], dAir[building])</f>
        <v>Building 10</v>
      </c>
      <c r="X444" s="47" t="str">
        <f t="array" ref="X444">_xlfn.XLOOKUP(records_2[ID], dAir[roomNo], dAir[floor])</f>
        <v>Floor 3</v>
      </c>
      <c r="Y444" s="45" t="str">
        <f t="array" ref="Y444">_xlfn.XLOOKUP(records_2[ID], dAir[roomNo], dAir[Class])</f>
        <v>D</v>
      </c>
      <c r="Z444" s="45">
        <f t="array" ref="Z444">_xlfn.XLOOKUP(records_2[Method]&amp;"-"&amp;records_2[Class], dAirSpec[ID], dAirSpec[Spec])</f>
        <v>100</v>
      </c>
      <c r="AA444" s="45" t="str">
        <f t="array" ref="AA444">_xlfn.XLOOKUP(records_2[Method]&amp;"-"&amp;records_2[Class], dAirSpec[ID], dAirSpec[Unit])</f>
        <v>cfu/plate</v>
      </c>
      <c r="AB444" s="58">
        <f t="array" ref="AB444">if(R444="","", if(records_2[Method]="Active Air",_xlfn.xlookup(records_2[ColonyCount]&amp;records_2[AirSampler],feller[code],feller[Vc]),records_2[ColonyCount]))</f>
        <v>0</v>
      </c>
      <c r="AC444" s="60" t="b">
        <f t="shared" si="1"/>
        <v>1</v>
      </c>
      <c r="AD444" s="61" t="b">
        <v>0</v>
      </c>
      <c r="AE444" s="32" t="s">
        <v>280</v>
      </c>
      <c r="AF444" s="46"/>
      <c r="AG444" s="46"/>
      <c r="AH444" s="46"/>
      <c r="AI444" s="46"/>
      <c r="AJ444" s="46"/>
    </row>
    <row r="445" ht="22.5" customHeight="1">
      <c r="A445" s="27">
        <v>46102.0</v>
      </c>
      <c r="B445" s="34" t="str">
        <f t="array" ref="B445">TEXT(A445, "MM-YYYY")</f>
        <v>03-2026</v>
      </c>
      <c r="C445" s="25" t="s">
        <v>1201</v>
      </c>
      <c r="D445" s="36" t="s">
        <v>210</v>
      </c>
      <c r="E445" s="36" t="s">
        <v>213</v>
      </c>
      <c r="F445" s="29" t="b">
        <v>1</v>
      </c>
      <c r="G445" s="36" t="s">
        <v>214</v>
      </c>
      <c r="H445" s="36" t="s">
        <v>215</v>
      </c>
      <c r="I445" s="39"/>
      <c r="J445" s="43"/>
      <c r="K445" s="37" t="s">
        <v>1546</v>
      </c>
      <c r="L445" s="37" t="s">
        <v>2028</v>
      </c>
      <c r="M445" s="37" t="s">
        <v>378</v>
      </c>
      <c r="N445" s="37" t="s">
        <v>1588</v>
      </c>
      <c r="O445" s="37" t="s">
        <v>2326</v>
      </c>
      <c r="P445" s="37" t="s">
        <v>2327</v>
      </c>
      <c r="Q445" s="41">
        <v>46152.0</v>
      </c>
      <c r="R445" s="42">
        <v>0.0</v>
      </c>
      <c r="S445" s="44"/>
      <c r="T445" s="37" t="s">
        <v>2328</v>
      </c>
      <c r="U445" s="47" t="str">
        <f>IF(records_2[Type]="Room",records_2[roomNo],records_2[roomNo]&amp;"-"&amp;SUBSTITUTE(RIGHT(records_2[roomNo]&amp;records_2[Type],2),"-",""))</f>
        <v>10-3-095</v>
      </c>
      <c r="V445" s="47" t="str">
        <f t="array" ref="V445">_xlfn.XLOOKUP(records_2[ID], dAir[roomNo], dAir[roomName])</f>
        <v>DISPENSING 4</v>
      </c>
      <c r="W445" s="47" t="str">
        <f t="array" ref="W445">_xlfn.XLOOKUP(records_2[ID], dAir[roomNo], dAir[building])</f>
        <v>Building 10</v>
      </c>
      <c r="X445" s="47" t="str">
        <f t="array" ref="X445">_xlfn.XLOOKUP(records_2[ID], dAir[roomNo], dAir[floor])</f>
        <v>Floor 3</v>
      </c>
      <c r="Y445" s="45" t="str">
        <f t="array" ref="Y445">_xlfn.XLOOKUP(records_2[ID], dAir[roomNo], dAir[Class])</f>
        <v>D</v>
      </c>
      <c r="Z445" s="45">
        <f t="array" ref="Z445">_xlfn.XLOOKUP(records_2[Method]&amp;"-"&amp;records_2[Class], dAirSpec[ID], dAirSpec[Spec])</f>
        <v>100</v>
      </c>
      <c r="AA445" s="45" t="str">
        <f t="array" ref="AA445">_xlfn.XLOOKUP(records_2[Method]&amp;"-"&amp;records_2[Class], dAirSpec[ID], dAirSpec[Unit])</f>
        <v>cfu/plate</v>
      </c>
      <c r="AB445" s="58">
        <f t="array" ref="AB445">if(R445="","", if(records_2[Method]="Active Air",_xlfn.xlookup(records_2[ColonyCount]&amp;records_2[AirSampler],feller[code],feller[Vc]),records_2[ColonyCount]))</f>
        <v>0</v>
      </c>
      <c r="AC445" s="60" t="b">
        <f t="shared" si="1"/>
        <v>1</v>
      </c>
      <c r="AD445" s="61" t="b">
        <v>0</v>
      </c>
      <c r="AE445" s="32" t="s">
        <v>280</v>
      </c>
      <c r="AF445" s="46"/>
      <c r="AG445" s="46"/>
      <c r="AH445" s="46"/>
      <c r="AI445" s="46"/>
      <c r="AJ445" s="46"/>
    </row>
    <row r="446" ht="22.5" customHeight="1">
      <c r="A446" s="27">
        <v>46102.0</v>
      </c>
      <c r="B446" s="34" t="str">
        <f t="array" ref="B446">TEXT(A446, "MM-YYYY")</f>
        <v>03-2026</v>
      </c>
      <c r="C446" s="25" t="s">
        <v>1201</v>
      </c>
      <c r="D446" s="36" t="s">
        <v>680</v>
      </c>
      <c r="E446" s="36" t="s">
        <v>213</v>
      </c>
      <c r="F446" s="29" t="b">
        <v>1</v>
      </c>
      <c r="G446" s="36" t="s">
        <v>214</v>
      </c>
      <c r="H446" s="36" t="s">
        <v>215</v>
      </c>
      <c r="I446" s="39"/>
      <c r="J446" s="43"/>
      <c r="K446" s="37" t="s">
        <v>1546</v>
      </c>
      <c r="L446" s="37" t="s">
        <v>2028</v>
      </c>
      <c r="M446" s="37" t="s">
        <v>378</v>
      </c>
      <c r="N446" s="37" t="s">
        <v>1588</v>
      </c>
      <c r="O446" s="37" t="s">
        <v>2326</v>
      </c>
      <c r="P446" s="37" t="s">
        <v>2327</v>
      </c>
      <c r="Q446" s="41">
        <v>46152.0</v>
      </c>
      <c r="R446" s="42">
        <v>0.0</v>
      </c>
      <c r="S446" s="44" t="s">
        <v>2341</v>
      </c>
      <c r="T446" s="37" t="s">
        <v>2328</v>
      </c>
      <c r="U446" s="45" t="str">
        <f>IF(records_2[Type]="Room",records_2[roomNo],records_2[roomNo]&amp;"-"&amp;SUBSTITUTE(RIGHT(records_2[roomNo]&amp;records_2[Type],2),"-",""))</f>
        <v>10-3-095-B</v>
      </c>
      <c r="V446" s="47" t="str">
        <f t="array" ref="V446">_xlfn.XLOOKUP(records_2[ID], dAir[roomNo], dAir[roomName])</f>
        <v>DISPENSING 4 (Booth)</v>
      </c>
      <c r="W446" s="47" t="str">
        <f t="array" ref="W446">_xlfn.XLOOKUP(records_2[ID], dAir[roomNo], dAir[building])</f>
        <v>Building 10</v>
      </c>
      <c r="X446" s="47" t="str">
        <f t="array" ref="X446">_xlfn.XLOOKUP(records_2[ID], dAir[roomNo], dAir[floor])</f>
        <v>Floor 3</v>
      </c>
      <c r="Y446" s="45" t="str">
        <f t="array" ref="Y446">_xlfn.XLOOKUP(records_2[ID], dAir[roomNo], dAir[Class])</f>
        <v>D</v>
      </c>
      <c r="Z446" s="45">
        <f t="array" ref="Z446">_xlfn.XLOOKUP(records_2[Method]&amp;"-"&amp;records_2[Class], dAirSpec[ID], dAirSpec[Spec])</f>
        <v>100</v>
      </c>
      <c r="AA446" s="45" t="str">
        <f t="array" ref="AA446">_xlfn.XLOOKUP(records_2[Method]&amp;"-"&amp;records_2[Class], dAirSpec[ID], dAirSpec[Unit])</f>
        <v>cfu/plate</v>
      </c>
      <c r="AB446" s="58">
        <f t="array" ref="AB446">if(R446="","", if(records_2[Method]="Active Air",_xlfn.xlookup(records_2[ColonyCount]&amp;records_2[AirSampler],feller[code],feller[Vc]),records_2[ColonyCount]))</f>
        <v>0</v>
      </c>
      <c r="AC446" s="60" t="b">
        <f t="shared" si="1"/>
        <v>1</v>
      </c>
      <c r="AD446" s="61" t="b">
        <v>0</v>
      </c>
      <c r="AE446" s="32" t="s">
        <v>280</v>
      </c>
      <c r="AF446" s="46"/>
      <c r="AG446" s="46"/>
      <c r="AH446" s="46"/>
      <c r="AI446" s="46"/>
      <c r="AJ446" s="46"/>
    </row>
    <row r="447" ht="22.5" customHeight="1">
      <c r="A447" s="27">
        <v>46102.0</v>
      </c>
      <c r="B447" s="34" t="str">
        <f t="array" ref="B447">TEXT(A447, "MM-YYYY")</f>
        <v>03-2026</v>
      </c>
      <c r="C447" s="25" t="s">
        <v>1205</v>
      </c>
      <c r="D447" s="36" t="s">
        <v>210</v>
      </c>
      <c r="E447" s="36" t="s">
        <v>213</v>
      </c>
      <c r="F447" s="29" t="b">
        <v>1</v>
      </c>
      <c r="G447" s="36" t="s">
        <v>214</v>
      </c>
      <c r="H447" s="36" t="s">
        <v>215</v>
      </c>
      <c r="I447" s="39"/>
      <c r="J447" s="43"/>
      <c r="K447" s="37" t="s">
        <v>298</v>
      </c>
      <c r="L447" s="37" t="s">
        <v>1850</v>
      </c>
      <c r="M447" s="37" t="s">
        <v>378</v>
      </c>
      <c r="N447" s="37" t="s">
        <v>1588</v>
      </c>
      <c r="O447" s="37" t="s">
        <v>2326</v>
      </c>
      <c r="P447" s="37" t="s">
        <v>2327</v>
      </c>
      <c r="Q447" s="41">
        <v>46152.0</v>
      </c>
      <c r="R447" s="42">
        <v>0.0</v>
      </c>
      <c r="S447" s="44"/>
      <c r="T447" s="37" t="s">
        <v>2328</v>
      </c>
      <c r="U447" s="47" t="str">
        <f>IF(records_2[Type]="Room",records_2[roomNo],records_2[roomNo]&amp;"-"&amp;SUBSTITUTE(RIGHT(records_2[roomNo]&amp;records_2[Type],2),"-",""))</f>
        <v>10-3-096</v>
      </c>
      <c r="V447" s="47" t="str">
        <f t="array" ref="V447">_xlfn.XLOOKUP(records_2[ID], dAir[roomNo], dAir[roomName])</f>
        <v>DISPENSING 5</v>
      </c>
      <c r="W447" s="47" t="str">
        <f t="array" ref="W447">_xlfn.XLOOKUP(records_2[ID], dAir[roomNo], dAir[building])</f>
        <v>Building 10</v>
      </c>
      <c r="X447" s="47" t="str">
        <f t="array" ref="X447">_xlfn.XLOOKUP(records_2[ID], dAir[roomNo], dAir[floor])</f>
        <v>Floor 3</v>
      </c>
      <c r="Y447" s="45" t="str">
        <f t="array" ref="Y447">_xlfn.XLOOKUP(records_2[ID], dAir[roomNo], dAir[Class])</f>
        <v>D</v>
      </c>
      <c r="Z447" s="45">
        <f t="array" ref="Z447">_xlfn.XLOOKUP(records_2[Method]&amp;"-"&amp;records_2[Class], dAirSpec[ID], dAirSpec[Spec])</f>
        <v>100</v>
      </c>
      <c r="AA447" s="45" t="str">
        <f t="array" ref="AA447">_xlfn.XLOOKUP(records_2[Method]&amp;"-"&amp;records_2[Class], dAirSpec[ID], dAirSpec[Unit])</f>
        <v>cfu/plate</v>
      </c>
      <c r="AB447" s="58">
        <f t="array" ref="AB447">if(R447="","", if(records_2[Method]="Active Air",_xlfn.xlookup(records_2[ColonyCount]&amp;records_2[AirSampler],feller[code],feller[Vc]),records_2[ColonyCount]))</f>
        <v>0</v>
      </c>
      <c r="AC447" s="60" t="b">
        <f t="shared" si="1"/>
        <v>1</v>
      </c>
      <c r="AD447" s="61" t="b">
        <v>0</v>
      </c>
      <c r="AE447" s="32" t="s">
        <v>280</v>
      </c>
      <c r="AF447" s="46"/>
      <c r="AG447" s="46"/>
      <c r="AH447" s="46"/>
      <c r="AI447" s="46"/>
      <c r="AJ447" s="46"/>
    </row>
    <row r="448" ht="22.5" customHeight="1">
      <c r="A448" s="27">
        <v>46102.0</v>
      </c>
      <c r="B448" s="34" t="str">
        <f t="array" ref="B448">TEXT(A448, "MM-YYYY")</f>
        <v>03-2026</v>
      </c>
      <c r="C448" s="25" t="s">
        <v>1205</v>
      </c>
      <c r="D448" s="36" t="s">
        <v>680</v>
      </c>
      <c r="E448" s="36" t="s">
        <v>213</v>
      </c>
      <c r="F448" s="29" t="b">
        <v>1</v>
      </c>
      <c r="G448" s="36" t="s">
        <v>214</v>
      </c>
      <c r="H448" s="36" t="s">
        <v>215</v>
      </c>
      <c r="I448" s="39"/>
      <c r="J448" s="43"/>
      <c r="K448" s="37" t="s">
        <v>298</v>
      </c>
      <c r="L448" s="37" t="s">
        <v>1850</v>
      </c>
      <c r="M448" s="37" t="s">
        <v>378</v>
      </c>
      <c r="N448" s="37" t="s">
        <v>1588</v>
      </c>
      <c r="O448" s="37" t="s">
        <v>2326</v>
      </c>
      <c r="P448" s="37" t="s">
        <v>2327</v>
      </c>
      <c r="Q448" s="41">
        <v>46152.0</v>
      </c>
      <c r="R448" s="42">
        <v>1.0</v>
      </c>
      <c r="S448" s="44" t="s">
        <v>2341</v>
      </c>
      <c r="T448" s="37" t="s">
        <v>2328</v>
      </c>
      <c r="U448" s="45" t="str">
        <f>IF(records_2[Type]="Room",records_2[roomNo],records_2[roomNo]&amp;"-"&amp;SUBSTITUTE(RIGHT(records_2[roomNo]&amp;records_2[Type],2),"-",""))</f>
        <v>10-3-096-B</v>
      </c>
      <c r="V448" s="47" t="str">
        <f t="array" ref="V448">_xlfn.XLOOKUP(records_2[ID], dAir[roomNo], dAir[roomName])</f>
        <v>DISPENSING 5 (Booth)</v>
      </c>
      <c r="W448" s="47" t="str">
        <f t="array" ref="W448">_xlfn.XLOOKUP(records_2[ID], dAir[roomNo], dAir[building])</f>
        <v>Building 10</v>
      </c>
      <c r="X448" s="47" t="str">
        <f t="array" ref="X448">_xlfn.XLOOKUP(records_2[ID], dAir[roomNo], dAir[floor])</f>
        <v>Floor 3</v>
      </c>
      <c r="Y448" s="45" t="str">
        <f t="array" ref="Y448">_xlfn.XLOOKUP(records_2[ID], dAir[roomNo], dAir[Class])</f>
        <v>D</v>
      </c>
      <c r="Z448" s="45">
        <f t="array" ref="Z448">_xlfn.XLOOKUP(records_2[Method]&amp;"-"&amp;records_2[Class], dAirSpec[ID], dAirSpec[Spec])</f>
        <v>100</v>
      </c>
      <c r="AA448" s="45" t="str">
        <f t="array" ref="AA448">_xlfn.XLOOKUP(records_2[Method]&amp;"-"&amp;records_2[Class], dAirSpec[ID], dAirSpec[Unit])</f>
        <v>cfu/plate</v>
      </c>
      <c r="AB448" s="58">
        <f t="array" ref="AB448">if(R448="","", if(records_2[Method]="Active Air",_xlfn.xlookup(records_2[ColonyCount]&amp;records_2[AirSampler],feller[code],feller[Vc]),records_2[ColonyCount]))</f>
        <v>1</v>
      </c>
      <c r="AC448" s="60" t="b">
        <f t="shared" si="1"/>
        <v>1</v>
      </c>
      <c r="AD448" s="61" t="b">
        <v>0</v>
      </c>
      <c r="AE448" s="32" t="s">
        <v>280</v>
      </c>
      <c r="AF448" s="46"/>
      <c r="AG448" s="46"/>
      <c r="AH448" s="46"/>
      <c r="AI448" s="46"/>
      <c r="AJ448" s="46"/>
    </row>
    <row r="449" ht="22.5" customHeight="1">
      <c r="A449" s="27">
        <v>46102.0</v>
      </c>
      <c r="B449" s="34" t="str">
        <f t="array" ref="B449">TEXT(A449, "MM-YYYY")</f>
        <v>03-2026</v>
      </c>
      <c r="C449" s="25" t="s">
        <v>1209</v>
      </c>
      <c r="D449" s="36" t="s">
        <v>210</v>
      </c>
      <c r="E449" s="36" t="s">
        <v>213</v>
      </c>
      <c r="F449" s="29" t="b">
        <v>1</v>
      </c>
      <c r="G449" s="36" t="s">
        <v>214</v>
      </c>
      <c r="H449" s="36" t="s">
        <v>215</v>
      </c>
      <c r="I449" s="39"/>
      <c r="J449" s="43"/>
      <c r="K449" s="37" t="s">
        <v>310</v>
      </c>
      <c r="L449" s="37" t="s">
        <v>2352</v>
      </c>
      <c r="M449" s="37" t="s">
        <v>378</v>
      </c>
      <c r="N449" s="37" t="s">
        <v>1588</v>
      </c>
      <c r="O449" s="37" t="s">
        <v>2326</v>
      </c>
      <c r="P449" s="37" t="s">
        <v>2327</v>
      </c>
      <c r="Q449" s="41">
        <v>46152.0</v>
      </c>
      <c r="R449" s="42">
        <v>1.0</v>
      </c>
      <c r="S449" s="44"/>
      <c r="T449" s="37" t="s">
        <v>2328</v>
      </c>
      <c r="U449" s="47" t="str">
        <f>IF(records_2[Type]="Room",records_2[roomNo],records_2[roomNo]&amp;"-"&amp;SUBSTITUTE(RIGHT(records_2[roomNo]&amp;records_2[Type],2),"-",""))</f>
        <v>10-3-097</v>
      </c>
      <c r="V449" s="47" t="str">
        <f t="array" ref="V449">_xlfn.XLOOKUP(records_2[ID], dAir[roomNo], dAir[roomName])</f>
        <v>DISPENSING 6</v>
      </c>
      <c r="W449" s="47" t="str">
        <f t="array" ref="W449">_xlfn.XLOOKUP(records_2[ID], dAir[roomNo], dAir[building])</f>
        <v>Building 10</v>
      </c>
      <c r="X449" s="47" t="str">
        <f t="array" ref="X449">_xlfn.XLOOKUP(records_2[ID], dAir[roomNo], dAir[floor])</f>
        <v>Floor 3</v>
      </c>
      <c r="Y449" s="45" t="str">
        <f t="array" ref="Y449">_xlfn.XLOOKUP(records_2[ID], dAir[roomNo], dAir[Class])</f>
        <v>D</v>
      </c>
      <c r="Z449" s="45">
        <f t="array" ref="Z449">_xlfn.XLOOKUP(records_2[Method]&amp;"-"&amp;records_2[Class], dAirSpec[ID], dAirSpec[Spec])</f>
        <v>100</v>
      </c>
      <c r="AA449" s="45" t="str">
        <f t="array" ref="AA449">_xlfn.XLOOKUP(records_2[Method]&amp;"-"&amp;records_2[Class], dAirSpec[ID], dAirSpec[Unit])</f>
        <v>cfu/plate</v>
      </c>
      <c r="AB449" s="58">
        <f t="array" ref="AB449">if(R449="","", if(records_2[Method]="Active Air",_xlfn.xlookup(records_2[ColonyCount]&amp;records_2[AirSampler],feller[code],feller[Vc]),records_2[ColonyCount]))</f>
        <v>1</v>
      </c>
      <c r="AC449" s="60" t="b">
        <f t="shared" si="1"/>
        <v>1</v>
      </c>
      <c r="AD449" s="61" t="b">
        <v>0</v>
      </c>
      <c r="AE449" s="32" t="s">
        <v>280</v>
      </c>
      <c r="AF449" s="46"/>
      <c r="AG449" s="46"/>
      <c r="AH449" s="46"/>
      <c r="AI449" s="46"/>
      <c r="AJ449" s="46"/>
    </row>
    <row r="450" ht="22.5" customHeight="1">
      <c r="A450" s="27">
        <v>46102.0</v>
      </c>
      <c r="B450" s="34" t="str">
        <f t="array" ref="B450">TEXT(A450, "MM-YYYY")</f>
        <v>03-2026</v>
      </c>
      <c r="C450" s="25" t="s">
        <v>1209</v>
      </c>
      <c r="D450" s="36" t="s">
        <v>680</v>
      </c>
      <c r="E450" s="36" t="s">
        <v>213</v>
      </c>
      <c r="F450" s="29" t="b">
        <v>1</v>
      </c>
      <c r="G450" s="36" t="s">
        <v>214</v>
      </c>
      <c r="H450" s="36" t="s">
        <v>215</v>
      </c>
      <c r="I450" s="39"/>
      <c r="J450" s="43"/>
      <c r="K450" s="37" t="s">
        <v>310</v>
      </c>
      <c r="L450" s="37" t="s">
        <v>2352</v>
      </c>
      <c r="M450" s="37" t="s">
        <v>378</v>
      </c>
      <c r="N450" s="37" t="s">
        <v>1588</v>
      </c>
      <c r="O450" s="37" t="s">
        <v>2326</v>
      </c>
      <c r="P450" s="37" t="s">
        <v>2327</v>
      </c>
      <c r="Q450" s="41">
        <v>46152.0</v>
      </c>
      <c r="R450" s="42">
        <v>0.0</v>
      </c>
      <c r="S450" s="44" t="s">
        <v>2341</v>
      </c>
      <c r="T450" s="37" t="s">
        <v>2328</v>
      </c>
      <c r="U450" s="45" t="str">
        <f>IF(records_2[Type]="Room",records_2[roomNo],records_2[roomNo]&amp;"-"&amp;SUBSTITUTE(RIGHT(records_2[roomNo]&amp;records_2[Type],2),"-",""))</f>
        <v>10-3-097-B</v>
      </c>
      <c r="V450" s="47" t="str">
        <f t="array" ref="V450">_xlfn.XLOOKUP(records_2[ID], dAir[roomNo], dAir[roomName])</f>
        <v>DISPENSING 6 (Booth)</v>
      </c>
      <c r="W450" s="47" t="str">
        <f t="array" ref="W450">_xlfn.XLOOKUP(records_2[ID], dAir[roomNo], dAir[building])</f>
        <v>Building 10</v>
      </c>
      <c r="X450" s="47" t="str">
        <f t="array" ref="X450">_xlfn.XLOOKUP(records_2[ID], dAir[roomNo], dAir[floor])</f>
        <v>Floor 3</v>
      </c>
      <c r="Y450" s="45" t="str">
        <f t="array" ref="Y450">_xlfn.XLOOKUP(records_2[ID], dAir[roomNo], dAir[Class])</f>
        <v>D</v>
      </c>
      <c r="Z450" s="45">
        <f t="array" ref="Z450">_xlfn.XLOOKUP(records_2[Method]&amp;"-"&amp;records_2[Class], dAirSpec[ID], dAirSpec[Spec])</f>
        <v>100</v>
      </c>
      <c r="AA450" s="45" t="str">
        <f t="array" ref="AA450">_xlfn.XLOOKUP(records_2[Method]&amp;"-"&amp;records_2[Class], dAirSpec[ID], dAirSpec[Unit])</f>
        <v>cfu/plate</v>
      </c>
      <c r="AB450" s="58">
        <f t="array" ref="AB450">if(R450="","", if(records_2[Method]="Active Air",_xlfn.xlookup(records_2[ColonyCount]&amp;records_2[AirSampler],feller[code],feller[Vc]),records_2[ColonyCount]))</f>
        <v>0</v>
      </c>
      <c r="AC450" s="60" t="b">
        <f t="shared" si="1"/>
        <v>1</v>
      </c>
      <c r="AD450" s="61" t="b">
        <v>0</v>
      </c>
      <c r="AE450" s="32" t="s">
        <v>280</v>
      </c>
      <c r="AF450" s="46"/>
      <c r="AG450" s="46"/>
      <c r="AH450" s="46"/>
      <c r="AI450" s="46"/>
      <c r="AJ450" s="46"/>
    </row>
    <row r="451" ht="22.5" customHeight="1">
      <c r="A451" s="27">
        <v>46102.0</v>
      </c>
      <c r="B451" s="34" t="str">
        <f t="array" ref="B451">TEXT(A451, "MM-YYYY")</f>
        <v>03-2026</v>
      </c>
      <c r="C451" s="25" t="s">
        <v>1213</v>
      </c>
      <c r="D451" s="36" t="s">
        <v>210</v>
      </c>
      <c r="E451" s="36" t="s">
        <v>213</v>
      </c>
      <c r="F451" s="29" t="b">
        <v>1</v>
      </c>
      <c r="G451" s="36" t="s">
        <v>214</v>
      </c>
      <c r="H451" s="36" t="s">
        <v>215</v>
      </c>
      <c r="I451" s="39"/>
      <c r="J451" s="43"/>
      <c r="K451" s="37" t="s">
        <v>292</v>
      </c>
      <c r="L451" s="37" t="s">
        <v>1095</v>
      </c>
      <c r="M451" s="37" t="s">
        <v>2195</v>
      </c>
      <c r="N451" s="37" t="s">
        <v>1584</v>
      </c>
      <c r="O451" s="37" t="s">
        <v>2326</v>
      </c>
      <c r="P451" s="37" t="s">
        <v>2327</v>
      </c>
      <c r="Q451" s="41">
        <v>46152.0</v>
      </c>
      <c r="R451" s="42">
        <v>0.0</v>
      </c>
      <c r="S451" s="44"/>
      <c r="T451" s="37" t="s">
        <v>2328</v>
      </c>
      <c r="U451" s="47" t="str">
        <f>IF(records_2[Type]="Room",records_2[roomNo],records_2[roomNo]&amp;"-"&amp;SUBSTITUTE(RIGHT(records_2[roomNo]&amp;records_2[Type],2),"-",""))</f>
        <v>10-3-098</v>
      </c>
      <c r="V451" s="47" t="str">
        <f t="array" ref="V451">_xlfn.XLOOKUP(records_2[ID], dAir[roomNo], dAir[roomName])</f>
        <v>DISPENSED MATERIAL STAGING</v>
      </c>
      <c r="W451" s="47" t="str">
        <f t="array" ref="W451">_xlfn.XLOOKUP(records_2[ID], dAir[roomNo], dAir[building])</f>
        <v>Building 10</v>
      </c>
      <c r="X451" s="47" t="str">
        <f t="array" ref="X451">_xlfn.XLOOKUP(records_2[ID], dAir[roomNo], dAir[floor])</f>
        <v>Floor 3</v>
      </c>
      <c r="Y451" s="45" t="str">
        <f t="array" ref="Y451">_xlfn.XLOOKUP(records_2[ID], dAir[roomNo], dAir[Class])</f>
        <v>D</v>
      </c>
      <c r="Z451" s="45">
        <f t="array" ref="Z451">_xlfn.XLOOKUP(records_2[Method]&amp;"-"&amp;records_2[Class], dAirSpec[ID], dAirSpec[Spec])</f>
        <v>100</v>
      </c>
      <c r="AA451" s="45" t="str">
        <f t="array" ref="AA451">_xlfn.XLOOKUP(records_2[Method]&amp;"-"&amp;records_2[Class], dAirSpec[ID], dAirSpec[Unit])</f>
        <v>cfu/plate</v>
      </c>
      <c r="AB451" s="58">
        <f t="array" ref="AB451">if(R451="","", if(records_2[Method]="Active Air",_xlfn.xlookup(records_2[ColonyCount]&amp;records_2[AirSampler],feller[code],feller[Vc]),records_2[ColonyCount]))</f>
        <v>0</v>
      </c>
      <c r="AC451" s="60" t="b">
        <f t="shared" si="1"/>
        <v>1</v>
      </c>
      <c r="AD451" s="61" t="b">
        <v>0</v>
      </c>
      <c r="AE451" s="32" t="s">
        <v>280</v>
      </c>
      <c r="AF451" s="46"/>
      <c r="AG451" s="46"/>
      <c r="AH451" s="46"/>
      <c r="AI451" s="46"/>
      <c r="AJ451" s="46"/>
    </row>
    <row r="452" ht="22.5" customHeight="1">
      <c r="A452" s="27">
        <v>46102.0</v>
      </c>
      <c r="B452" s="34" t="str">
        <f t="array" ref="B452">TEXT(A452, "MM-YYYY")</f>
        <v>03-2026</v>
      </c>
      <c r="C452" s="25" t="s">
        <v>1215</v>
      </c>
      <c r="D452" s="36" t="s">
        <v>210</v>
      </c>
      <c r="E452" s="36" t="s">
        <v>213</v>
      </c>
      <c r="F452" s="29" t="b">
        <v>1</v>
      </c>
      <c r="G452" s="36" t="s">
        <v>214</v>
      </c>
      <c r="H452" s="36" t="s">
        <v>215</v>
      </c>
      <c r="I452" s="39"/>
      <c r="J452" s="43"/>
      <c r="K452" s="37" t="s">
        <v>303</v>
      </c>
      <c r="L452" s="37" t="s">
        <v>1072</v>
      </c>
      <c r="M452" s="37" t="s">
        <v>2195</v>
      </c>
      <c r="N452" s="37" t="s">
        <v>1637</v>
      </c>
      <c r="O452" s="37" t="s">
        <v>2326</v>
      </c>
      <c r="P452" s="37" t="s">
        <v>2327</v>
      </c>
      <c r="Q452" s="41">
        <v>46152.0</v>
      </c>
      <c r="R452" s="42">
        <v>0.0</v>
      </c>
      <c r="S452" s="44"/>
      <c r="T452" s="37" t="s">
        <v>2328</v>
      </c>
      <c r="U452" s="47" t="str">
        <f>IF(records_2[Type]="Room",records_2[roomNo],records_2[roomNo]&amp;"-"&amp;SUBSTITUTE(RIGHT(records_2[roomNo]&amp;records_2[Type],2),"-",""))</f>
        <v>10-3-099</v>
      </c>
      <c r="V452" s="47" t="str">
        <f t="array" ref="V452">_xlfn.XLOOKUP(records_2[ID], dAir[roomNo], dAir[roomName])</f>
        <v>OFFICE</v>
      </c>
      <c r="W452" s="47" t="str">
        <f t="array" ref="W452">_xlfn.XLOOKUP(records_2[ID], dAir[roomNo], dAir[building])</f>
        <v>Building 10</v>
      </c>
      <c r="X452" s="47" t="str">
        <f t="array" ref="X452">_xlfn.XLOOKUP(records_2[ID], dAir[roomNo], dAir[floor])</f>
        <v>Floor 3</v>
      </c>
      <c r="Y452" s="45" t="str">
        <f t="array" ref="Y452">_xlfn.XLOOKUP(records_2[ID], dAir[roomNo], dAir[Class])</f>
        <v>D</v>
      </c>
      <c r="Z452" s="45">
        <f t="array" ref="Z452">_xlfn.XLOOKUP(records_2[Method]&amp;"-"&amp;records_2[Class], dAirSpec[ID], dAirSpec[Spec])</f>
        <v>100</v>
      </c>
      <c r="AA452" s="45" t="str">
        <f t="array" ref="AA452">_xlfn.XLOOKUP(records_2[Method]&amp;"-"&amp;records_2[Class], dAirSpec[ID], dAirSpec[Unit])</f>
        <v>cfu/plate</v>
      </c>
      <c r="AB452" s="58">
        <f t="array" ref="AB452">if(R452="","", if(records_2[Method]="Active Air",_xlfn.xlookup(records_2[ColonyCount]&amp;records_2[AirSampler],feller[code],feller[Vc]),records_2[ColonyCount]))</f>
        <v>0</v>
      </c>
      <c r="AC452" s="60" t="b">
        <f t="shared" si="1"/>
        <v>1</v>
      </c>
      <c r="AD452" s="61" t="b">
        <v>0</v>
      </c>
      <c r="AE452" s="32" t="s">
        <v>280</v>
      </c>
      <c r="AF452" s="46"/>
      <c r="AG452" s="46"/>
      <c r="AH452" s="46"/>
      <c r="AI452" s="46"/>
      <c r="AJ452" s="46"/>
    </row>
    <row r="453" ht="22.5" customHeight="1">
      <c r="A453" s="27">
        <v>46102.0</v>
      </c>
      <c r="B453" s="34" t="str">
        <f t="array" ref="B453">TEXT(A453, "MM-YYYY")</f>
        <v>03-2026</v>
      </c>
      <c r="C453" s="25" t="s">
        <v>1216</v>
      </c>
      <c r="D453" s="36" t="s">
        <v>210</v>
      </c>
      <c r="E453" s="36" t="s">
        <v>213</v>
      </c>
      <c r="F453" s="29" t="b">
        <v>1</v>
      </c>
      <c r="G453" s="36" t="s">
        <v>214</v>
      </c>
      <c r="H453" s="36" t="s">
        <v>215</v>
      </c>
      <c r="I453" s="39"/>
      <c r="J453" s="43"/>
      <c r="K453" s="37" t="s">
        <v>353</v>
      </c>
      <c r="L453" s="37" t="s">
        <v>526</v>
      </c>
      <c r="M453" s="37" t="s">
        <v>2095</v>
      </c>
      <c r="N453" s="37" t="s">
        <v>1661</v>
      </c>
      <c r="O453" s="37" t="s">
        <v>2326</v>
      </c>
      <c r="P453" s="37" t="s">
        <v>2327</v>
      </c>
      <c r="Q453" s="41">
        <v>46152.0</v>
      </c>
      <c r="R453" s="42">
        <v>1.0</v>
      </c>
      <c r="S453" s="44"/>
      <c r="T453" s="37" t="s">
        <v>2328</v>
      </c>
      <c r="U453" s="47" t="str">
        <f>IF(records_2[Type]="Room",records_2[roomNo],records_2[roomNo]&amp;"-"&amp;SUBSTITUTE(RIGHT(records_2[roomNo]&amp;records_2[Type],2),"-",""))</f>
        <v>10-3-100</v>
      </c>
      <c r="V453" s="47" t="str">
        <f t="array" ref="V453">_xlfn.XLOOKUP(records_2[ID], dAir[roomNo], dAir[roomName])</f>
        <v>AIRLOCK</v>
      </c>
      <c r="W453" s="47" t="str">
        <f t="array" ref="W453">_xlfn.XLOOKUP(records_2[ID], dAir[roomNo], dAir[building])</f>
        <v>Building 10</v>
      </c>
      <c r="X453" s="47" t="str">
        <f t="array" ref="X453">_xlfn.XLOOKUP(records_2[ID], dAir[roomNo], dAir[floor])</f>
        <v>Floor 3</v>
      </c>
      <c r="Y453" s="45" t="str">
        <f t="array" ref="Y453">_xlfn.XLOOKUP(records_2[ID], dAir[roomNo], dAir[Class])</f>
        <v>D</v>
      </c>
      <c r="Z453" s="45">
        <f t="array" ref="Z453">_xlfn.XLOOKUP(records_2[Method]&amp;"-"&amp;records_2[Class], dAirSpec[ID], dAirSpec[Spec])</f>
        <v>100</v>
      </c>
      <c r="AA453" s="45" t="str">
        <f t="array" ref="AA453">_xlfn.XLOOKUP(records_2[Method]&amp;"-"&amp;records_2[Class], dAirSpec[ID], dAirSpec[Unit])</f>
        <v>cfu/plate</v>
      </c>
      <c r="AB453" s="58">
        <f t="array" ref="AB453">if(R453="","", if(records_2[Method]="Active Air",_xlfn.xlookup(records_2[ColonyCount]&amp;records_2[AirSampler],feller[code],feller[Vc]),records_2[ColonyCount]))</f>
        <v>1</v>
      </c>
      <c r="AC453" s="60" t="b">
        <f t="shared" si="1"/>
        <v>1</v>
      </c>
      <c r="AD453" s="61" t="b">
        <v>0</v>
      </c>
      <c r="AE453" s="32" t="s">
        <v>280</v>
      </c>
      <c r="AF453" s="46"/>
      <c r="AG453" s="46"/>
      <c r="AH453" s="46"/>
      <c r="AI453" s="46"/>
      <c r="AJ453" s="46"/>
    </row>
    <row r="454" ht="22.5" customHeight="1">
      <c r="A454" s="27">
        <v>46102.0</v>
      </c>
      <c r="B454" s="34" t="str">
        <f t="array" ref="B454">TEXT(A454, "MM-YYYY")</f>
        <v>03-2026</v>
      </c>
      <c r="C454" s="25" t="s">
        <v>1217</v>
      </c>
      <c r="D454" s="36" t="s">
        <v>210</v>
      </c>
      <c r="E454" s="36" t="s">
        <v>213</v>
      </c>
      <c r="F454" s="29" t="b">
        <v>1</v>
      </c>
      <c r="G454" s="36" t="s">
        <v>214</v>
      </c>
      <c r="H454" s="36" t="s">
        <v>215</v>
      </c>
      <c r="I454" s="39"/>
      <c r="J454" s="43"/>
      <c r="K454" s="37" t="s">
        <v>314</v>
      </c>
      <c r="L454" s="37" t="s">
        <v>403</v>
      </c>
      <c r="M454" s="37" t="s">
        <v>2095</v>
      </c>
      <c r="N454" s="37" t="s">
        <v>1661</v>
      </c>
      <c r="O454" s="37" t="s">
        <v>2326</v>
      </c>
      <c r="P454" s="37" t="s">
        <v>2327</v>
      </c>
      <c r="Q454" s="41">
        <v>46152.0</v>
      </c>
      <c r="R454" s="42">
        <v>0.0</v>
      </c>
      <c r="S454" s="44" t="s">
        <v>2011</v>
      </c>
      <c r="T454" s="37" t="s">
        <v>2328</v>
      </c>
      <c r="U454" s="47" t="str">
        <f>IF(records_2[Type]="Room",records_2[roomNo],records_2[roomNo]&amp;"-"&amp;SUBSTITUTE(RIGHT(records_2[roomNo]&amp;records_2[Type],2),"-",""))</f>
        <v>10-3-101</v>
      </c>
      <c r="V454" s="47" t="str">
        <f t="array" ref="V454">_xlfn.XLOOKUP(records_2[ID], dAir[roomNo], dAir[roomName])</f>
        <v>CORRIDOR</v>
      </c>
      <c r="W454" s="47" t="str">
        <f t="array" ref="W454">_xlfn.XLOOKUP(records_2[ID], dAir[roomNo], dAir[building])</f>
        <v>Building 10</v>
      </c>
      <c r="X454" s="47" t="str">
        <f t="array" ref="X454">_xlfn.XLOOKUP(records_2[ID], dAir[roomNo], dAir[floor])</f>
        <v>Floor 3</v>
      </c>
      <c r="Y454" s="45" t="str">
        <f t="array" ref="Y454">_xlfn.XLOOKUP(records_2[ID], dAir[roomNo], dAir[Class])</f>
        <v>D</v>
      </c>
      <c r="Z454" s="45">
        <f t="array" ref="Z454">_xlfn.XLOOKUP(records_2[Method]&amp;"-"&amp;records_2[Class], dAirSpec[ID], dAirSpec[Spec])</f>
        <v>100</v>
      </c>
      <c r="AA454" s="45" t="str">
        <f t="array" ref="AA454">_xlfn.XLOOKUP(records_2[Method]&amp;"-"&amp;records_2[Class], dAirSpec[ID], dAirSpec[Unit])</f>
        <v>cfu/plate</v>
      </c>
      <c r="AB454" s="58">
        <f t="array" ref="AB454">if(R454="","", if(records_2[Method]="Active Air",_xlfn.xlookup(records_2[ColonyCount]&amp;records_2[AirSampler],feller[code],feller[Vc]),records_2[ColonyCount]))</f>
        <v>0</v>
      </c>
      <c r="AC454" s="60" t="b">
        <f t="shared" si="1"/>
        <v>1</v>
      </c>
      <c r="AD454" s="61" t="b">
        <v>0</v>
      </c>
      <c r="AE454" s="32" t="s">
        <v>280</v>
      </c>
      <c r="AF454" s="46"/>
      <c r="AG454" s="46"/>
      <c r="AH454" s="46"/>
      <c r="AI454" s="46"/>
      <c r="AJ454" s="46"/>
    </row>
    <row r="455" ht="22.5" customHeight="1">
      <c r="A455" s="27">
        <v>46102.0</v>
      </c>
      <c r="B455" s="34" t="str">
        <f t="array" ref="B455">TEXT(A455, "MM-YYYY")</f>
        <v>03-2026</v>
      </c>
      <c r="C455" s="25" t="s">
        <v>1218</v>
      </c>
      <c r="D455" s="36" t="s">
        <v>210</v>
      </c>
      <c r="E455" s="36" t="s">
        <v>213</v>
      </c>
      <c r="F455" s="29" t="b">
        <v>1</v>
      </c>
      <c r="G455" s="36" t="s">
        <v>214</v>
      </c>
      <c r="H455" s="36" t="s">
        <v>215</v>
      </c>
      <c r="I455" s="39"/>
      <c r="J455" s="43"/>
      <c r="K455" s="37" t="s">
        <v>303</v>
      </c>
      <c r="L455" s="37" t="s">
        <v>2264</v>
      </c>
      <c r="M455" s="37" t="s">
        <v>2185</v>
      </c>
      <c r="N455" s="37" t="s">
        <v>1637</v>
      </c>
      <c r="O455" s="37" t="s">
        <v>2326</v>
      </c>
      <c r="P455" s="37" t="s">
        <v>2327</v>
      </c>
      <c r="Q455" s="41">
        <v>46152.0</v>
      </c>
      <c r="R455" s="42">
        <v>1.0</v>
      </c>
      <c r="S455" s="44"/>
      <c r="T455" s="37" t="s">
        <v>2328</v>
      </c>
      <c r="U455" s="47" t="str">
        <f>IF(records_2[Type]="Room",records_2[roomNo],records_2[roomNo]&amp;"-"&amp;SUBSTITUTE(RIGHT(records_2[roomNo]&amp;records_2[Type],2),"-",""))</f>
        <v>10-3-102</v>
      </c>
      <c r="V455" s="47" t="str">
        <f t="array" ref="V455">_xlfn.XLOOKUP(records_2[ID], dAir[roomNo], dAir[roomName])</f>
        <v>IPQC-1</v>
      </c>
      <c r="W455" s="47" t="str">
        <f t="array" ref="W455">_xlfn.XLOOKUP(records_2[ID], dAir[roomNo], dAir[building])</f>
        <v>Building 10</v>
      </c>
      <c r="X455" s="47" t="str">
        <f t="array" ref="X455">_xlfn.XLOOKUP(records_2[ID], dAir[roomNo], dAir[floor])</f>
        <v>Floor 3</v>
      </c>
      <c r="Y455" s="45" t="str">
        <f t="array" ref="Y455">_xlfn.XLOOKUP(records_2[ID], dAir[roomNo], dAir[Class])</f>
        <v>D</v>
      </c>
      <c r="Z455" s="45">
        <f t="array" ref="Z455">_xlfn.XLOOKUP(records_2[Method]&amp;"-"&amp;records_2[Class], dAirSpec[ID], dAirSpec[Spec])</f>
        <v>100</v>
      </c>
      <c r="AA455" s="45" t="str">
        <f t="array" ref="AA455">_xlfn.XLOOKUP(records_2[Method]&amp;"-"&amp;records_2[Class], dAirSpec[ID], dAirSpec[Unit])</f>
        <v>cfu/plate</v>
      </c>
      <c r="AB455" s="58">
        <f t="array" ref="AB455">if(R455="","", if(records_2[Method]="Active Air",_xlfn.xlookup(records_2[ColonyCount]&amp;records_2[AirSampler],feller[code],feller[Vc]),records_2[ColonyCount]))</f>
        <v>1</v>
      </c>
      <c r="AC455" s="60" t="b">
        <f t="shared" si="1"/>
        <v>1</v>
      </c>
      <c r="AD455" s="61" t="b">
        <v>0</v>
      </c>
      <c r="AE455" s="32" t="s">
        <v>280</v>
      </c>
      <c r="AF455" s="46"/>
      <c r="AG455" s="46"/>
      <c r="AH455" s="46"/>
      <c r="AI455" s="46"/>
      <c r="AJ455" s="46"/>
    </row>
    <row r="456" ht="22.5" customHeight="1">
      <c r="A456" s="27">
        <v>46102.0</v>
      </c>
      <c r="B456" s="34" t="str">
        <f t="array" ref="B456">TEXT(A456, "MM-YYYY")</f>
        <v>03-2026</v>
      </c>
      <c r="C456" s="25" t="s">
        <v>1220</v>
      </c>
      <c r="D456" s="36" t="s">
        <v>210</v>
      </c>
      <c r="E456" s="36" t="s">
        <v>213</v>
      </c>
      <c r="F456" s="29" t="b">
        <v>1</v>
      </c>
      <c r="G456" s="36" t="s">
        <v>214</v>
      </c>
      <c r="H456" s="36" t="s">
        <v>215</v>
      </c>
      <c r="I456" s="39"/>
      <c r="J456" s="43"/>
      <c r="K456" s="37" t="s">
        <v>484</v>
      </c>
      <c r="L456" s="37" t="s">
        <v>407</v>
      </c>
      <c r="M456" s="37" t="s">
        <v>2239</v>
      </c>
      <c r="N456" s="37" t="s">
        <v>1661</v>
      </c>
      <c r="O456" s="37" t="s">
        <v>2326</v>
      </c>
      <c r="P456" s="37" t="s">
        <v>2327</v>
      </c>
      <c r="Q456" s="41">
        <v>46152.0</v>
      </c>
      <c r="R456" s="42">
        <v>0.0</v>
      </c>
      <c r="S456" s="44"/>
      <c r="T456" s="37" t="s">
        <v>2328</v>
      </c>
      <c r="U456" s="47" t="str">
        <f>IF(records_2[Type]="Room",records_2[roomNo],records_2[roomNo]&amp;"-"&amp;SUBSTITUTE(RIGHT(records_2[roomNo]&amp;records_2[Type],2),"-",""))</f>
        <v>10-3-103</v>
      </c>
      <c r="V456" s="47" t="str">
        <f t="array" ref="V456">_xlfn.XLOOKUP(records_2[ID], dAir[roomNo], dAir[roomName])</f>
        <v>WEIGHINH 1</v>
      </c>
      <c r="W456" s="47" t="str">
        <f t="array" ref="W456">_xlfn.XLOOKUP(records_2[ID], dAir[roomNo], dAir[building])</f>
        <v>Building 10</v>
      </c>
      <c r="X456" s="47" t="str">
        <f t="array" ref="X456">_xlfn.XLOOKUP(records_2[ID], dAir[roomNo], dAir[floor])</f>
        <v>Floor 3</v>
      </c>
      <c r="Y456" s="45" t="str">
        <f t="array" ref="Y456">_xlfn.XLOOKUP(records_2[ID], dAir[roomNo], dAir[Class])</f>
        <v>D</v>
      </c>
      <c r="Z456" s="45">
        <f t="array" ref="Z456">_xlfn.XLOOKUP(records_2[Method]&amp;"-"&amp;records_2[Class], dAirSpec[ID], dAirSpec[Spec])</f>
        <v>100</v>
      </c>
      <c r="AA456" s="45" t="str">
        <f t="array" ref="AA456">_xlfn.XLOOKUP(records_2[Method]&amp;"-"&amp;records_2[Class], dAirSpec[ID], dAirSpec[Unit])</f>
        <v>cfu/plate</v>
      </c>
      <c r="AB456" s="58">
        <f t="array" ref="AB456">if(R456="","", if(records_2[Method]="Active Air",_xlfn.xlookup(records_2[ColonyCount]&amp;records_2[AirSampler],feller[code],feller[Vc]),records_2[ColonyCount]))</f>
        <v>0</v>
      </c>
      <c r="AC456" s="60" t="b">
        <f t="shared" si="1"/>
        <v>1</v>
      </c>
      <c r="AD456" s="61" t="b">
        <v>0</v>
      </c>
      <c r="AE456" s="32" t="s">
        <v>280</v>
      </c>
      <c r="AF456" s="46"/>
      <c r="AG456" s="46"/>
      <c r="AH456" s="46"/>
      <c r="AI456" s="46"/>
      <c r="AJ456" s="46"/>
    </row>
    <row r="457" ht="22.5" customHeight="1">
      <c r="A457" s="27">
        <v>46102.0</v>
      </c>
      <c r="B457" s="34" t="str">
        <f t="array" ref="B457">TEXT(A457, "MM-YYYY")</f>
        <v>03-2026</v>
      </c>
      <c r="C457" s="25" t="s">
        <v>573</v>
      </c>
      <c r="D457" s="36" t="s">
        <v>210</v>
      </c>
      <c r="E457" s="36" t="s">
        <v>213</v>
      </c>
      <c r="F457" s="29" t="b">
        <v>1</v>
      </c>
      <c r="G457" s="36" t="s">
        <v>214</v>
      </c>
      <c r="H457" s="36" t="s">
        <v>215</v>
      </c>
      <c r="I457" s="39"/>
      <c r="J457" s="43"/>
      <c r="K457" s="37" t="s">
        <v>326</v>
      </c>
      <c r="L457" s="37" t="s">
        <v>1693</v>
      </c>
      <c r="M457" s="37" t="s">
        <v>2239</v>
      </c>
      <c r="N457" s="37" t="s">
        <v>1672</v>
      </c>
      <c r="O457" s="37" t="s">
        <v>2326</v>
      </c>
      <c r="P457" s="37" t="s">
        <v>2327</v>
      </c>
      <c r="Q457" s="41">
        <v>46152.0</v>
      </c>
      <c r="R457" s="42">
        <v>0.0</v>
      </c>
      <c r="S457" s="44"/>
      <c r="T457" s="37" t="s">
        <v>2328</v>
      </c>
      <c r="U457" s="47" t="str">
        <f>IF(records_2[Type]="Room",records_2[roomNo],records_2[roomNo]&amp;"-"&amp;SUBSTITUTE(RIGHT(records_2[roomNo]&amp;records_2[Type],2),"-",""))</f>
        <v>10-3-104</v>
      </c>
      <c r="V457" s="47" t="str">
        <f t="array" ref="V457">_xlfn.XLOOKUP(records_2[ID], dAir[roomNo], dAir[roomName])</f>
        <v>BINDER PREPARATION  (BINDER PREPARATION MACHINE)</v>
      </c>
      <c r="W457" s="47" t="str">
        <f t="array" ref="W457">_xlfn.XLOOKUP(records_2[ID], dAir[roomNo], dAir[building])</f>
        <v>Building 10</v>
      </c>
      <c r="X457" s="47" t="str">
        <f t="array" ref="X457">_xlfn.XLOOKUP(records_2[ID], dAir[roomNo], dAir[floor])</f>
        <v>Floor 3</v>
      </c>
      <c r="Y457" s="45" t="str">
        <f t="array" ref="Y457">_xlfn.XLOOKUP(records_2[ID], dAir[roomNo], dAir[Class])</f>
        <v>D</v>
      </c>
      <c r="Z457" s="45">
        <f t="array" ref="Z457">_xlfn.XLOOKUP(records_2[Method]&amp;"-"&amp;records_2[Class], dAirSpec[ID], dAirSpec[Spec])</f>
        <v>100</v>
      </c>
      <c r="AA457" s="45" t="str">
        <f t="array" ref="AA457">_xlfn.XLOOKUP(records_2[Method]&amp;"-"&amp;records_2[Class], dAirSpec[ID], dAirSpec[Unit])</f>
        <v>cfu/plate</v>
      </c>
      <c r="AB457" s="58">
        <f t="array" ref="AB457">if(R457="","", if(records_2[Method]="Active Air",_xlfn.xlookup(records_2[ColonyCount]&amp;records_2[AirSampler],feller[code],feller[Vc]),records_2[ColonyCount]))</f>
        <v>0</v>
      </c>
      <c r="AC457" s="60" t="b">
        <f t="shared" si="1"/>
        <v>1</v>
      </c>
      <c r="AD457" s="61" t="b">
        <v>0</v>
      </c>
      <c r="AE457" s="32" t="s">
        <v>280</v>
      </c>
      <c r="AF457" s="46"/>
      <c r="AG457" s="46"/>
      <c r="AH457" s="46"/>
      <c r="AI457" s="46"/>
      <c r="AJ457" s="46"/>
    </row>
    <row r="458" ht="22.5" customHeight="1">
      <c r="A458" s="27">
        <v>46102.0</v>
      </c>
      <c r="B458" s="34" t="str">
        <f t="array" ref="B458">TEXT(A458, "MM-YYYY")</f>
        <v>03-2026</v>
      </c>
      <c r="C458" s="25" t="s">
        <v>1223</v>
      </c>
      <c r="D458" s="36" t="s">
        <v>210</v>
      </c>
      <c r="E458" s="36" t="s">
        <v>213</v>
      </c>
      <c r="F458" s="29" t="b">
        <v>1</v>
      </c>
      <c r="G458" s="36" t="s">
        <v>214</v>
      </c>
      <c r="H458" s="36" t="s">
        <v>215</v>
      </c>
      <c r="I458" s="39"/>
      <c r="J458" s="43"/>
      <c r="K458" s="37" t="s">
        <v>353</v>
      </c>
      <c r="L458" s="37" t="s">
        <v>532</v>
      </c>
      <c r="M458" s="37" t="s">
        <v>2239</v>
      </c>
      <c r="N458" s="37" t="s">
        <v>1672</v>
      </c>
      <c r="O458" s="37" t="s">
        <v>2326</v>
      </c>
      <c r="P458" s="37" t="s">
        <v>2327</v>
      </c>
      <c r="Q458" s="41">
        <v>46152.0</v>
      </c>
      <c r="R458" s="42">
        <v>0.0</v>
      </c>
      <c r="S458" s="44" t="s">
        <v>1043</v>
      </c>
      <c r="T458" s="37" t="s">
        <v>2328</v>
      </c>
      <c r="U458" s="47" t="str">
        <f>IF(records_2[Type]="Room",records_2[roomNo],records_2[roomNo]&amp;"-"&amp;SUBSTITUTE(RIGHT(records_2[roomNo]&amp;records_2[Type],2),"-",""))</f>
        <v>10-3-105</v>
      </c>
      <c r="V458" s="47" t="str">
        <f t="array" ref="V458">_xlfn.XLOOKUP(records_2[ID], dAir[roomNo], dAir[roomName])</f>
        <v>CORRIDOR</v>
      </c>
      <c r="W458" s="47" t="str">
        <f t="array" ref="W458">_xlfn.XLOOKUP(records_2[ID], dAir[roomNo], dAir[building])</f>
        <v>Building 10</v>
      </c>
      <c r="X458" s="47" t="str">
        <f t="array" ref="X458">_xlfn.XLOOKUP(records_2[ID], dAir[roomNo], dAir[floor])</f>
        <v>Floor 3</v>
      </c>
      <c r="Y458" s="45" t="str">
        <f t="array" ref="Y458">_xlfn.XLOOKUP(records_2[ID], dAir[roomNo], dAir[Class])</f>
        <v>D</v>
      </c>
      <c r="Z458" s="45">
        <f t="array" ref="Z458">_xlfn.XLOOKUP(records_2[Method]&amp;"-"&amp;records_2[Class], dAirSpec[ID], dAirSpec[Spec])</f>
        <v>100</v>
      </c>
      <c r="AA458" s="45" t="str">
        <f t="array" ref="AA458">_xlfn.XLOOKUP(records_2[Method]&amp;"-"&amp;records_2[Class], dAirSpec[ID], dAirSpec[Unit])</f>
        <v>cfu/plate</v>
      </c>
      <c r="AB458" s="58">
        <f t="array" ref="AB458">if(R458="","", if(records_2[Method]="Active Air",_xlfn.xlookup(records_2[ColonyCount]&amp;records_2[AirSampler],feller[code],feller[Vc]),records_2[ColonyCount]))</f>
        <v>0</v>
      </c>
      <c r="AC458" s="60" t="b">
        <f t="shared" si="1"/>
        <v>1</v>
      </c>
      <c r="AD458" s="61" t="b">
        <v>0</v>
      </c>
      <c r="AE458" s="32" t="s">
        <v>280</v>
      </c>
      <c r="AF458" s="46"/>
      <c r="AG458" s="46"/>
      <c r="AH458" s="46"/>
      <c r="AI458" s="46"/>
      <c r="AJ458" s="46"/>
    </row>
    <row r="459" ht="22.5" customHeight="1">
      <c r="A459" s="27">
        <v>46102.0</v>
      </c>
      <c r="B459" s="34" t="str">
        <f t="array" ref="B459">TEXT(A459, "MM-YYYY")</f>
        <v>03-2026</v>
      </c>
      <c r="C459" s="25" t="s">
        <v>1224</v>
      </c>
      <c r="D459" s="36" t="s">
        <v>210</v>
      </c>
      <c r="E459" s="36" t="s">
        <v>213</v>
      </c>
      <c r="F459" s="29" t="b">
        <v>1</v>
      </c>
      <c r="G459" s="36" t="s">
        <v>214</v>
      </c>
      <c r="H459" s="36" t="s">
        <v>215</v>
      </c>
      <c r="I459" s="39"/>
      <c r="J459" s="43"/>
      <c r="K459" s="37" t="s">
        <v>539</v>
      </c>
      <c r="L459" s="37" t="s">
        <v>775</v>
      </c>
      <c r="M459" s="37" t="s">
        <v>2185</v>
      </c>
      <c r="N459" s="37" t="s">
        <v>1637</v>
      </c>
      <c r="O459" s="37" t="s">
        <v>2326</v>
      </c>
      <c r="P459" s="37" t="s">
        <v>2327</v>
      </c>
      <c r="Q459" s="41">
        <v>46152.0</v>
      </c>
      <c r="R459" s="42">
        <v>0.0</v>
      </c>
      <c r="S459" s="44"/>
      <c r="T459" s="37" t="s">
        <v>2328</v>
      </c>
      <c r="U459" s="47" t="str">
        <f>IF(records_2[Type]="Room",records_2[roomNo],records_2[roomNo]&amp;"-"&amp;SUBSTITUTE(RIGHT(records_2[roomNo]&amp;records_2[Type],2),"-",""))</f>
        <v>10-3-106</v>
      </c>
      <c r="V459" s="47" t="str">
        <f t="array" ref="V459">_xlfn.XLOOKUP(records_2[ID], dAir[roomNo], dAir[roomName])</f>
        <v>WET GRANULATION 1</v>
      </c>
      <c r="W459" s="47" t="str">
        <f t="array" ref="W459">_xlfn.XLOOKUP(records_2[ID], dAir[roomNo], dAir[building])</f>
        <v>Building 10</v>
      </c>
      <c r="X459" s="47" t="str">
        <f t="array" ref="X459">_xlfn.XLOOKUP(records_2[ID], dAir[roomNo], dAir[floor])</f>
        <v>Floor 3</v>
      </c>
      <c r="Y459" s="45" t="str">
        <f t="array" ref="Y459">_xlfn.XLOOKUP(records_2[ID], dAir[roomNo], dAir[Class])</f>
        <v>D</v>
      </c>
      <c r="Z459" s="45">
        <f t="array" ref="Z459">_xlfn.XLOOKUP(records_2[Method]&amp;"-"&amp;records_2[Class], dAirSpec[ID], dAirSpec[Spec])</f>
        <v>100</v>
      </c>
      <c r="AA459" s="45" t="str">
        <f t="array" ref="AA459">_xlfn.XLOOKUP(records_2[Method]&amp;"-"&amp;records_2[Class], dAirSpec[ID], dAirSpec[Unit])</f>
        <v>cfu/plate</v>
      </c>
      <c r="AB459" s="58">
        <f t="array" ref="AB459">if(R459="","", if(records_2[Method]="Active Air",_xlfn.xlookup(records_2[ColonyCount]&amp;records_2[AirSampler],feller[code],feller[Vc]),records_2[ColonyCount]))</f>
        <v>0</v>
      </c>
      <c r="AC459" s="60" t="b">
        <f t="shared" si="1"/>
        <v>1</v>
      </c>
      <c r="AD459" s="61" t="b">
        <v>0</v>
      </c>
      <c r="AE459" s="32" t="s">
        <v>280</v>
      </c>
      <c r="AF459" s="46"/>
      <c r="AG459" s="46"/>
      <c r="AH459" s="46"/>
      <c r="AI459" s="46"/>
      <c r="AJ459" s="46"/>
    </row>
    <row r="460" ht="22.5" customHeight="1">
      <c r="A460" s="27">
        <v>46102.0</v>
      </c>
      <c r="B460" s="34" t="str">
        <f t="array" ref="B460">TEXT(A460, "MM-YYYY")</f>
        <v>03-2026</v>
      </c>
      <c r="C460" s="25" t="s">
        <v>257</v>
      </c>
      <c r="D460" s="36" t="s">
        <v>210</v>
      </c>
      <c r="E460" s="36" t="s">
        <v>213</v>
      </c>
      <c r="F460" s="29" t="b">
        <v>1</v>
      </c>
      <c r="G460" s="36" t="s">
        <v>214</v>
      </c>
      <c r="H460" s="36" t="s">
        <v>215</v>
      </c>
      <c r="I460" s="39"/>
      <c r="J460" s="43"/>
      <c r="K460" s="37" t="s">
        <v>696</v>
      </c>
      <c r="L460" s="37" t="s">
        <v>697</v>
      </c>
      <c r="M460" s="37" t="s">
        <v>2185</v>
      </c>
      <c r="N460" s="37" t="s">
        <v>1637</v>
      </c>
      <c r="O460" s="37" t="s">
        <v>2326</v>
      </c>
      <c r="P460" s="37" t="s">
        <v>2327</v>
      </c>
      <c r="Q460" s="41">
        <v>46152.0</v>
      </c>
      <c r="R460" s="42">
        <v>0.0</v>
      </c>
      <c r="S460" s="44"/>
      <c r="T460" s="37" t="s">
        <v>2328</v>
      </c>
      <c r="U460" s="47" t="str">
        <f>IF(records_2[Type]="Room",records_2[roomNo],records_2[roomNo]&amp;"-"&amp;SUBSTITUTE(RIGHT(records_2[roomNo]&amp;records_2[Type],2),"-",""))</f>
        <v>10-3-107</v>
      </c>
      <c r="V460" s="47" t="str">
        <f t="array" ref="V460">_xlfn.XLOOKUP(records_2[ID], dAir[roomNo], dAir[roomName])</f>
        <v>WET GRANULATION 2 (LOW RH)</v>
      </c>
      <c r="W460" s="47" t="str">
        <f t="array" ref="W460">_xlfn.XLOOKUP(records_2[ID], dAir[roomNo], dAir[building])</f>
        <v>Building 10</v>
      </c>
      <c r="X460" s="47" t="str">
        <f t="array" ref="X460">_xlfn.XLOOKUP(records_2[ID], dAir[roomNo], dAir[floor])</f>
        <v>Floor 3</v>
      </c>
      <c r="Y460" s="45" t="str">
        <f t="array" ref="Y460">_xlfn.XLOOKUP(records_2[ID], dAir[roomNo], dAir[Class])</f>
        <v>D</v>
      </c>
      <c r="Z460" s="45">
        <f t="array" ref="Z460">_xlfn.XLOOKUP(records_2[Method]&amp;"-"&amp;records_2[Class], dAirSpec[ID], dAirSpec[Spec])</f>
        <v>100</v>
      </c>
      <c r="AA460" s="45" t="str">
        <f t="array" ref="AA460">_xlfn.XLOOKUP(records_2[Method]&amp;"-"&amp;records_2[Class], dAirSpec[ID], dAirSpec[Unit])</f>
        <v>cfu/plate</v>
      </c>
      <c r="AB460" s="58">
        <f t="array" ref="AB460">if(R460="","", if(records_2[Method]="Active Air",_xlfn.xlookup(records_2[ColonyCount]&amp;records_2[AirSampler],feller[code],feller[Vc]),records_2[ColonyCount]))</f>
        <v>0</v>
      </c>
      <c r="AC460" s="60" t="b">
        <f t="shared" si="1"/>
        <v>1</v>
      </c>
      <c r="AD460" s="61" t="b">
        <v>0</v>
      </c>
      <c r="AE460" s="32" t="s">
        <v>280</v>
      </c>
      <c r="AF460" s="46"/>
      <c r="AG460" s="46"/>
      <c r="AH460" s="46"/>
      <c r="AI460" s="46"/>
      <c r="AJ460" s="46"/>
    </row>
    <row r="461" ht="22.5" customHeight="1">
      <c r="A461" s="27">
        <v>46102.0</v>
      </c>
      <c r="B461" s="34" t="str">
        <f t="array" ref="B461">TEXT(A461, "MM-YYYY")</f>
        <v>03-2026</v>
      </c>
      <c r="C461" s="25" t="s">
        <v>1227</v>
      </c>
      <c r="D461" s="36" t="s">
        <v>210</v>
      </c>
      <c r="E461" s="36" t="s">
        <v>213</v>
      </c>
      <c r="F461" s="29" t="b">
        <v>1</v>
      </c>
      <c r="G461" s="36" t="s">
        <v>214</v>
      </c>
      <c r="H461" s="36" t="s">
        <v>215</v>
      </c>
      <c r="I461" s="39"/>
      <c r="J461" s="43"/>
      <c r="K461" s="37" t="s">
        <v>1790</v>
      </c>
      <c r="L461" s="37" t="s">
        <v>306</v>
      </c>
      <c r="M461" s="37" t="s">
        <v>1812</v>
      </c>
      <c r="N461" s="37" t="s">
        <v>818</v>
      </c>
      <c r="O461" s="37" t="s">
        <v>2326</v>
      </c>
      <c r="P461" s="37" t="s">
        <v>2327</v>
      </c>
      <c r="Q461" s="41">
        <v>46152.0</v>
      </c>
      <c r="R461" s="42">
        <v>0.0</v>
      </c>
      <c r="S461" s="44"/>
      <c r="T461" s="37" t="s">
        <v>2328</v>
      </c>
      <c r="U461" s="47" t="str">
        <f>IF(records_2[Type]="Room",records_2[roomNo],records_2[roomNo]&amp;"-"&amp;SUBSTITUTE(RIGHT(records_2[roomNo]&amp;records_2[Type],2),"-",""))</f>
        <v>10-3-108</v>
      </c>
      <c r="V461" s="47" t="str">
        <f t="array" ref="V461">_xlfn.XLOOKUP(records_2[ID], dAir[roomNo], dAir[roomName])</f>
        <v>BLENDING 1</v>
      </c>
      <c r="W461" s="47" t="str">
        <f t="array" ref="W461">_xlfn.XLOOKUP(records_2[ID], dAir[roomNo], dAir[building])</f>
        <v>Building 10</v>
      </c>
      <c r="X461" s="47" t="str">
        <f t="array" ref="X461">_xlfn.XLOOKUP(records_2[ID], dAir[roomNo], dAir[floor])</f>
        <v>Floor 3</v>
      </c>
      <c r="Y461" s="45" t="str">
        <f t="array" ref="Y461">_xlfn.XLOOKUP(records_2[ID], dAir[roomNo], dAir[Class])</f>
        <v>D</v>
      </c>
      <c r="Z461" s="45">
        <f t="array" ref="Z461">_xlfn.XLOOKUP(records_2[Method]&amp;"-"&amp;records_2[Class], dAirSpec[ID], dAirSpec[Spec])</f>
        <v>100</v>
      </c>
      <c r="AA461" s="45" t="str">
        <f t="array" ref="AA461">_xlfn.XLOOKUP(records_2[Method]&amp;"-"&amp;records_2[Class], dAirSpec[ID], dAirSpec[Unit])</f>
        <v>cfu/plate</v>
      </c>
      <c r="AB461" s="58">
        <f t="array" ref="AB461">if(R461="","", if(records_2[Method]="Active Air",_xlfn.xlookup(records_2[ColonyCount]&amp;records_2[AirSampler],feller[code],feller[Vc]),records_2[ColonyCount]))</f>
        <v>0</v>
      </c>
      <c r="AC461" s="60" t="b">
        <f t="shared" si="1"/>
        <v>1</v>
      </c>
      <c r="AD461" s="61" t="b">
        <v>0</v>
      </c>
      <c r="AE461" s="32" t="s">
        <v>280</v>
      </c>
      <c r="AF461" s="46"/>
      <c r="AG461" s="46"/>
      <c r="AH461" s="46"/>
      <c r="AI461" s="46"/>
      <c r="AJ461" s="46"/>
    </row>
    <row r="462" ht="22.5" customHeight="1">
      <c r="A462" s="27">
        <v>46102.0</v>
      </c>
      <c r="B462" s="34" t="str">
        <f t="array" ref="B462">TEXT(A462, "MM-YYYY")</f>
        <v>03-2026</v>
      </c>
      <c r="C462" s="25" t="s">
        <v>1229</v>
      </c>
      <c r="D462" s="36" t="s">
        <v>210</v>
      </c>
      <c r="E462" s="36" t="s">
        <v>213</v>
      </c>
      <c r="F462" s="29" t="b">
        <v>1</v>
      </c>
      <c r="G462" s="36" t="s">
        <v>214</v>
      </c>
      <c r="H462" s="36" t="s">
        <v>215</v>
      </c>
      <c r="I462" s="39"/>
      <c r="J462" s="43"/>
      <c r="K462" s="37" t="s">
        <v>539</v>
      </c>
      <c r="L462" s="37" t="s">
        <v>522</v>
      </c>
      <c r="M462" s="37" t="s">
        <v>1812</v>
      </c>
      <c r="N462" s="37" t="s">
        <v>818</v>
      </c>
      <c r="O462" s="37" t="s">
        <v>2326</v>
      </c>
      <c r="P462" s="37" t="s">
        <v>2327</v>
      </c>
      <c r="Q462" s="41">
        <v>46152.0</v>
      </c>
      <c r="R462" s="42">
        <v>0.0</v>
      </c>
      <c r="S462" s="44"/>
      <c r="T462" s="37" t="s">
        <v>2328</v>
      </c>
      <c r="U462" s="47" t="str">
        <f>IF(records_2[Type]="Room",records_2[roomNo],records_2[roomNo]&amp;"-"&amp;SUBSTITUTE(RIGHT(records_2[roomNo]&amp;records_2[Type],2),"-",""))</f>
        <v>10-3-109</v>
      </c>
      <c r="V462" s="47" t="str">
        <f t="array" ref="V462">_xlfn.XLOOKUP(records_2[ID], dAir[roomNo], dAir[roomName])</f>
        <v>WET GRANULATION 3</v>
      </c>
      <c r="W462" s="47" t="str">
        <f t="array" ref="W462">_xlfn.XLOOKUP(records_2[ID], dAir[roomNo], dAir[building])</f>
        <v>Building 10</v>
      </c>
      <c r="X462" s="47" t="str">
        <f t="array" ref="X462">_xlfn.XLOOKUP(records_2[ID], dAir[roomNo], dAir[floor])</f>
        <v>Floor 3</v>
      </c>
      <c r="Y462" s="45" t="str">
        <f t="array" ref="Y462">_xlfn.XLOOKUP(records_2[ID], dAir[roomNo], dAir[Class])</f>
        <v>D</v>
      </c>
      <c r="Z462" s="45">
        <f t="array" ref="Z462">_xlfn.XLOOKUP(records_2[Method]&amp;"-"&amp;records_2[Class], dAirSpec[ID], dAirSpec[Spec])</f>
        <v>100</v>
      </c>
      <c r="AA462" s="45" t="str">
        <f t="array" ref="AA462">_xlfn.XLOOKUP(records_2[Method]&amp;"-"&amp;records_2[Class], dAirSpec[ID], dAirSpec[Unit])</f>
        <v>cfu/plate</v>
      </c>
      <c r="AB462" s="58">
        <f t="array" ref="AB462">if(R462="","", if(records_2[Method]="Active Air",_xlfn.xlookup(records_2[ColonyCount]&amp;records_2[AirSampler],feller[code],feller[Vc]),records_2[ColonyCount]))</f>
        <v>0</v>
      </c>
      <c r="AC462" s="60" t="b">
        <f t="shared" si="1"/>
        <v>1</v>
      </c>
      <c r="AD462" s="61" t="b">
        <v>0</v>
      </c>
      <c r="AE462" s="32" t="s">
        <v>280</v>
      </c>
      <c r="AF462" s="46"/>
      <c r="AG462" s="46"/>
      <c r="AH462" s="46"/>
      <c r="AI462" s="46"/>
      <c r="AJ462" s="46"/>
    </row>
    <row r="463" ht="22.5" customHeight="1">
      <c r="A463" s="27">
        <v>46102.0</v>
      </c>
      <c r="B463" s="34" t="str">
        <f t="array" ref="B463">TEXT(A463, "MM-YYYY")</f>
        <v>03-2026</v>
      </c>
      <c r="C463" s="25" t="s">
        <v>1231</v>
      </c>
      <c r="D463" s="36" t="s">
        <v>210</v>
      </c>
      <c r="E463" s="36" t="s">
        <v>213</v>
      </c>
      <c r="F463" s="29" t="b">
        <v>1</v>
      </c>
      <c r="G463" s="36" t="s">
        <v>214</v>
      </c>
      <c r="H463" s="36" t="s">
        <v>215</v>
      </c>
      <c r="I463" s="39"/>
      <c r="J463" s="43"/>
      <c r="K463" s="37" t="s">
        <v>539</v>
      </c>
      <c r="L463" s="37" t="s">
        <v>1622</v>
      </c>
      <c r="M463" s="37" t="s">
        <v>2093</v>
      </c>
      <c r="N463" s="37" t="s">
        <v>818</v>
      </c>
      <c r="O463" s="37" t="s">
        <v>2326</v>
      </c>
      <c r="P463" s="37" t="s">
        <v>2327</v>
      </c>
      <c r="Q463" s="41">
        <v>46152.0</v>
      </c>
      <c r="R463" s="42">
        <v>1.0</v>
      </c>
      <c r="S463" s="44"/>
      <c r="T463" s="37" t="s">
        <v>2328</v>
      </c>
      <c r="U463" s="47" t="str">
        <f>IF(records_2[Type]="Room",records_2[roomNo],records_2[roomNo]&amp;"-"&amp;SUBSTITUTE(RIGHT(records_2[roomNo]&amp;records_2[Type],2),"-",""))</f>
        <v>10-3-110</v>
      </c>
      <c r="V463" s="47" t="str">
        <f t="array" ref="V463">_xlfn.XLOOKUP(records_2[ID], dAir[roomNo], dAir[roomName])</f>
        <v>WET GRANULATION 4</v>
      </c>
      <c r="W463" s="47" t="str">
        <f t="array" ref="W463">_xlfn.XLOOKUP(records_2[ID], dAir[roomNo], dAir[building])</f>
        <v>Building 10</v>
      </c>
      <c r="X463" s="47" t="str">
        <f t="array" ref="X463">_xlfn.XLOOKUP(records_2[ID], dAir[roomNo], dAir[floor])</f>
        <v>Floor 3</v>
      </c>
      <c r="Y463" s="45" t="str">
        <f t="array" ref="Y463">_xlfn.XLOOKUP(records_2[ID], dAir[roomNo], dAir[Class])</f>
        <v>D</v>
      </c>
      <c r="Z463" s="45">
        <f t="array" ref="Z463">_xlfn.XLOOKUP(records_2[Method]&amp;"-"&amp;records_2[Class], dAirSpec[ID], dAirSpec[Spec])</f>
        <v>100</v>
      </c>
      <c r="AA463" s="45" t="str">
        <f t="array" ref="AA463">_xlfn.XLOOKUP(records_2[Method]&amp;"-"&amp;records_2[Class], dAirSpec[ID], dAirSpec[Unit])</f>
        <v>cfu/plate</v>
      </c>
      <c r="AB463" s="58">
        <f t="array" ref="AB463">if(R463="","", if(records_2[Method]="Active Air",_xlfn.xlookup(records_2[ColonyCount]&amp;records_2[AirSampler],feller[code],feller[Vc]),records_2[ColonyCount]))</f>
        <v>1</v>
      </c>
      <c r="AC463" s="60" t="b">
        <f t="shared" si="1"/>
        <v>1</v>
      </c>
      <c r="AD463" s="61" t="b">
        <v>0</v>
      </c>
      <c r="AE463" s="32" t="s">
        <v>280</v>
      </c>
      <c r="AF463" s="46"/>
      <c r="AG463" s="46"/>
      <c r="AH463" s="46"/>
      <c r="AI463" s="46"/>
      <c r="AJ463" s="46"/>
    </row>
    <row r="464" ht="22.5" customHeight="1">
      <c r="A464" s="27">
        <v>46102.0</v>
      </c>
      <c r="B464" s="34" t="str">
        <f t="array" ref="B464">TEXT(A464, "MM-YYYY")</f>
        <v>03-2026</v>
      </c>
      <c r="C464" s="25" t="s">
        <v>1233</v>
      </c>
      <c r="D464" s="36" t="s">
        <v>210</v>
      </c>
      <c r="E464" s="36" t="s">
        <v>213</v>
      </c>
      <c r="F464" s="29" t="b">
        <v>1</v>
      </c>
      <c r="G464" s="36" t="s">
        <v>214</v>
      </c>
      <c r="H464" s="36" t="s">
        <v>215</v>
      </c>
      <c r="I464" s="39"/>
      <c r="J464" s="43"/>
      <c r="K464" s="37" t="s">
        <v>424</v>
      </c>
      <c r="L464" s="37" t="s">
        <v>803</v>
      </c>
      <c r="M464" s="37" t="s">
        <v>2093</v>
      </c>
      <c r="N464" s="37" t="s">
        <v>1672</v>
      </c>
      <c r="O464" s="37" t="s">
        <v>2326</v>
      </c>
      <c r="P464" s="37" t="s">
        <v>2327</v>
      </c>
      <c r="Q464" s="41">
        <v>46152.0</v>
      </c>
      <c r="R464" s="42">
        <v>0.0</v>
      </c>
      <c r="S464" s="44"/>
      <c r="T464" s="37" t="s">
        <v>2328</v>
      </c>
      <c r="U464" s="47" t="str">
        <f>IF(records_2[Type]="Room",records_2[roomNo],records_2[roomNo]&amp;"-"&amp;SUBSTITUTE(RIGHT(records_2[roomNo]&amp;records_2[Type],2),"-",""))</f>
        <v>10-3-111</v>
      </c>
      <c r="V464" s="47" t="str">
        <f t="array" ref="V464">_xlfn.XLOOKUP(records_2[ID], dAir[roomNo], dAir[roomName])</f>
        <v>WET GRANULATION 5</v>
      </c>
      <c r="W464" s="47" t="str">
        <f t="array" ref="W464">_xlfn.XLOOKUP(records_2[ID], dAir[roomNo], dAir[building])</f>
        <v>Building 10</v>
      </c>
      <c r="X464" s="47" t="str">
        <f t="array" ref="X464">_xlfn.XLOOKUP(records_2[ID], dAir[roomNo], dAir[floor])</f>
        <v>Floor 3</v>
      </c>
      <c r="Y464" s="45" t="str">
        <f t="array" ref="Y464">_xlfn.XLOOKUP(records_2[ID], dAir[roomNo], dAir[Class])</f>
        <v>D</v>
      </c>
      <c r="Z464" s="45">
        <f t="array" ref="Z464">_xlfn.XLOOKUP(records_2[Method]&amp;"-"&amp;records_2[Class], dAirSpec[ID], dAirSpec[Spec])</f>
        <v>100</v>
      </c>
      <c r="AA464" s="45" t="str">
        <f t="array" ref="AA464">_xlfn.XLOOKUP(records_2[Method]&amp;"-"&amp;records_2[Class], dAirSpec[ID], dAirSpec[Unit])</f>
        <v>cfu/plate</v>
      </c>
      <c r="AB464" s="58">
        <f t="array" ref="AB464">if(R464="","", if(records_2[Method]="Active Air",_xlfn.xlookup(records_2[ColonyCount]&amp;records_2[AirSampler],feller[code],feller[Vc]),records_2[ColonyCount]))</f>
        <v>0</v>
      </c>
      <c r="AC464" s="60" t="b">
        <f t="shared" si="1"/>
        <v>1</v>
      </c>
      <c r="AD464" s="61" t="b">
        <v>0</v>
      </c>
      <c r="AE464" s="32" t="s">
        <v>280</v>
      </c>
      <c r="AF464" s="46"/>
      <c r="AG464" s="46"/>
      <c r="AH464" s="46"/>
      <c r="AI464" s="46"/>
      <c r="AJ464" s="46"/>
    </row>
    <row r="465" ht="22.5" customHeight="1">
      <c r="A465" s="27">
        <v>46102.0</v>
      </c>
      <c r="B465" s="34" t="str">
        <f t="array" ref="B465">TEXT(A465, "MM-YYYY")</f>
        <v>03-2026</v>
      </c>
      <c r="C465" s="25" t="s">
        <v>1235</v>
      </c>
      <c r="D465" s="36" t="s">
        <v>210</v>
      </c>
      <c r="E465" s="36" t="s">
        <v>213</v>
      </c>
      <c r="F465" s="29" t="b">
        <v>1</v>
      </c>
      <c r="G465" s="36" t="s">
        <v>214</v>
      </c>
      <c r="H465" s="36" t="s">
        <v>215</v>
      </c>
      <c r="I465" s="39"/>
      <c r="J465" s="43"/>
      <c r="K465" s="37" t="s">
        <v>317</v>
      </c>
      <c r="L465" s="37" t="s">
        <v>2354</v>
      </c>
      <c r="M465" s="37" t="s">
        <v>2093</v>
      </c>
      <c r="N465" s="37" t="s">
        <v>1672</v>
      </c>
      <c r="O465" s="37" t="s">
        <v>2326</v>
      </c>
      <c r="P465" s="37" t="s">
        <v>2327</v>
      </c>
      <c r="Q465" s="41">
        <v>46152.0</v>
      </c>
      <c r="R465" s="42">
        <v>0.0</v>
      </c>
      <c r="S465" s="44"/>
      <c r="T465" s="37" t="s">
        <v>2328</v>
      </c>
      <c r="U465" s="47" t="str">
        <f>IF(records_2[Type]="Room",records_2[roomNo],records_2[roomNo]&amp;"-"&amp;SUBSTITUTE(RIGHT(records_2[roomNo]&amp;records_2[Type],2),"-",""))</f>
        <v>10-3-112</v>
      </c>
      <c r="V465" s="47" t="str">
        <f t="array" ref="V465">_xlfn.XLOOKUP(records_2[ID], dAir[roomNo], dAir[roomName])</f>
        <v>BLENDING 2</v>
      </c>
      <c r="W465" s="47" t="str">
        <f t="array" ref="W465">_xlfn.XLOOKUP(records_2[ID], dAir[roomNo], dAir[building])</f>
        <v>Building 10</v>
      </c>
      <c r="X465" s="47" t="str">
        <f t="array" ref="X465">_xlfn.XLOOKUP(records_2[ID], dAir[roomNo], dAir[floor])</f>
        <v>Floor 3</v>
      </c>
      <c r="Y465" s="45" t="str">
        <f t="array" ref="Y465">_xlfn.XLOOKUP(records_2[ID], dAir[roomNo], dAir[Class])</f>
        <v>D</v>
      </c>
      <c r="Z465" s="45">
        <f t="array" ref="Z465">_xlfn.XLOOKUP(records_2[Method]&amp;"-"&amp;records_2[Class], dAirSpec[ID], dAirSpec[Spec])</f>
        <v>100</v>
      </c>
      <c r="AA465" s="45" t="str">
        <f t="array" ref="AA465">_xlfn.XLOOKUP(records_2[Method]&amp;"-"&amp;records_2[Class], dAirSpec[ID], dAirSpec[Unit])</f>
        <v>cfu/plate</v>
      </c>
      <c r="AB465" s="58">
        <f t="array" ref="AB465">if(R465="","", if(records_2[Method]="Active Air",_xlfn.xlookup(records_2[ColonyCount]&amp;records_2[AirSampler],feller[code],feller[Vc]),records_2[ColonyCount]))</f>
        <v>0</v>
      </c>
      <c r="AC465" s="60" t="b">
        <f t="shared" si="1"/>
        <v>1</v>
      </c>
      <c r="AD465" s="61" t="b">
        <v>0</v>
      </c>
      <c r="AE465" s="32" t="s">
        <v>280</v>
      </c>
      <c r="AF465" s="46"/>
      <c r="AG465" s="46"/>
      <c r="AH465" s="46"/>
      <c r="AI465" s="46"/>
      <c r="AJ465" s="46"/>
    </row>
    <row r="466" ht="22.5" customHeight="1">
      <c r="A466" s="27">
        <v>46102.0</v>
      </c>
      <c r="B466" s="34" t="str">
        <f t="array" ref="B466">TEXT(A466, "MM-YYYY")</f>
        <v>03-2026</v>
      </c>
      <c r="C466" s="25" t="s">
        <v>1237</v>
      </c>
      <c r="D466" s="36" t="s">
        <v>210</v>
      </c>
      <c r="E466" s="36" t="s">
        <v>213</v>
      </c>
      <c r="F466" s="29" t="b">
        <v>1</v>
      </c>
      <c r="G466" s="36" t="s">
        <v>214</v>
      </c>
      <c r="H466" s="36" t="s">
        <v>215</v>
      </c>
      <c r="I466" s="39"/>
      <c r="J466" s="43"/>
      <c r="K466" s="37" t="s">
        <v>671</v>
      </c>
      <c r="L466" s="37" t="s">
        <v>2302</v>
      </c>
      <c r="M466" s="37" t="s">
        <v>2239</v>
      </c>
      <c r="N466" s="37" t="s">
        <v>1672</v>
      </c>
      <c r="O466" s="37" t="s">
        <v>2326</v>
      </c>
      <c r="P466" s="37" t="s">
        <v>2327</v>
      </c>
      <c r="Q466" s="41">
        <v>46152.0</v>
      </c>
      <c r="R466" s="42">
        <v>0.0</v>
      </c>
      <c r="S466" s="44"/>
      <c r="T466" s="37" t="s">
        <v>2328</v>
      </c>
      <c r="U466" s="47" t="str">
        <f>IF(records_2[Type]="Room",records_2[roomNo],records_2[roomNo]&amp;"-"&amp;SUBSTITUTE(RIGHT(records_2[roomNo]&amp;records_2[Type],2),"-",""))</f>
        <v>10-3-113</v>
      </c>
      <c r="V466" s="47" t="str">
        <f t="array" ref="V466">_xlfn.XLOOKUP(records_2[ID], dAir[roomNo], dAir[roomName])</f>
        <v>BLENDING 3</v>
      </c>
      <c r="W466" s="47" t="str">
        <f t="array" ref="W466">_xlfn.XLOOKUP(records_2[ID], dAir[roomNo], dAir[building])</f>
        <v>Building 10</v>
      </c>
      <c r="X466" s="47" t="str">
        <f t="array" ref="X466">_xlfn.XLOOKUP(records_2[ID], dAir[roomNo], dAir[floor])</f>
        <v>Floor 3</v>
      </c>
      <c r="Y466" s="45" t="str">
        <f t="array" ref="Y466">_xlfn.XLOOKUP(records_2[ID], dAir[roomNo], dAir[Class])</f>
        <v>D</v>
      </c>
      <c r="Z466" s="45">
        <f t="array" ref="Z466">_xlfn.XLOOKUP(records_2[Method]&amp;"-"&amp;records_2[Class], dAirSpec[ID], dAirSpec[Spec])</f>
        <v>100</v>
      </c>
      <c r="AA466" s="45" t="str">
        <f t="array" ref="AA466">_xlfn.XLOOKUP(records_2[Method]&amp;"-"&amp;records_2[Class], dAirSpec[ID], dAirSpec[Unit])</f>
        <v>cfu/plate</v>
      </c>
      <c r="AB466" s="58">
        <f t="array" ref="AB466">if(R466="","", if(records_2[Method]="Active Air",_xlfn.xlookup(records_2[ColonyCount]&amp;records_2[AirSampler],feller[code],feller[Vc]),records_2[ColonyCount]))</f>
        <v>0</v>
      </c>
      <c r="AC466" s="60" t="b">
        <f t="shared" si="1"/>
        <v>1</v>
      </c>
      <c r="AD466" s="61" t="b">
        <v>0</v>
      </c>
      <c r="AE466" s="32" t="s">
        <v>280</v>
      </c>
      <c r="AF466" s="46"/>
      <c r="AG466" s="46"/>
      <c r="AH466" s="46"/>
      <c r="AI466" s="46"/>
      <c r="AJ466" s="46"/>
    </row>
    <row r="467" ht="22.5" customHeight="1">
      <c r="A467" s="27">
        <v>46102.0</v>
      </c>
      <c r="B467" s="34" t="str">
        <f t="array" ref="B467">TEXT(A467, "MM-YYYY")</f>
        <v>03-2026</v>
      </c>
      <c r="C467" s="25" t="s">
        <v>1239</v>
      </c>
      <c r="D467" s="36" t="s">
        <v>210</v>
      </c>
      <c r="E467" s="36" t="s">
        <v>213</v>
      </c>
      <c r="F467" s="29" t="b">
        <v>1</v>
      </c>
      <c r="G467" s="36" t="s">
        <v>214</v>
      </c>
      <c r="H467" s="36" t="s">
        <v>215</v>
      </c>
      <c r="I467" s="39"/>
      <c r="J467" s="43"/>
      <c r="K467" s="37" t="s">
        <v>326</v>
      </c>
      <c r="L467" s="37" t="s">
        <v>605</v>
      </c>
      <c r="M467" s="37" t="s">
        <v>2153</v>
      </c>
      <c r="N467" s="37" t="s">
        <v>1722</v>
      </c>
      <c r="O467" s="37" t="s">
        <v>2326</v>
      </c>
      <c r="P467" s="37" t="s">
        <v>2327</v>
      </c>
      <c r="Q467" s="41">
        <v>46152.0</v>
      </c>
      <c r="R467" s="42">
        <v>0.0</v>
      </c>
      <c r="S467" s="44"/>
      <c r="T467" s="37" t="s">
        <v>2328</v>
      </c>
      <c r="U467" s="47" t="str">
        <f>IF(records_2[Type]="Room",records_2[roomNo],records_2[roomNo]&amp;"-"&amp;SUBSTITUTE(RIGHT(records_2[roomNo]&amp;records_2[Type],2),"-",""))</f>
        <v>10-3-114</v>
      </c>
      <c r="V467" s="47" t="str">
        <f t="array" ref="V467">_xlfn.XLOOKUP(records_2[ID], dAir[roomNo], dAir[roomName])</f>
        <v>AIRLOCK</v>
      </c>
      <c r="W467" s="47" t="str">
        <f t="array" ref="W467">_xlfn.XLOOKUP(records_2[ID], dAir[roomNo], dAir[building])</f>
        <v>Building 10</v>
      </c>
      <c r="X467" s="47" t="str">
        <f t="array" ref="X467">_xlfn.XLOOKUP(records_2[ID], dAir[roomNo], dAir[floor])</f>
        <v>Floor 3</v>
      </c>
      <c r="Y467" s="45" t="str">
        <f t="array" ref="Y467">_xlfn.XLOOKUP(records_2[ID], dAir[roomNo], dAir[Class])</f>
        <v>D</v>
      </c>
      <c r="Z467" s="45">
        <f t="array" ref="Z467">_xlfn.XLOOKUP(records_2[Method]&amp;"-"&amp;records_2[Class], dAirSpec[ID], dAirSpec[Spec])</f>
        <v>100</v>
      </c>
      <c r="AA467" s="45" t="str">
        <f t="array" ref="AA467">_xlfn.XLOOKUP(records_2[Method]&amp;"-"&amp;records_2[Class], dAirSpec[ID], dAirSpec[Unit])</f>
        <v>cfu/plate</v>
      </c>
      <c r="AB467" s="58">
        <f t="array" ref="AB467">if(R467="","", if(records_2[Method]="Active Air",_xlfn.xlookup(records_2[ColonyCount]&amp;records_2[AirSampler],feller[code],feller[Vc]),records_2[ColonyCount]))</f>
        <v>0</v>
      </c>
      <c r="AC467" s="60" t="b">
        <f t="shared" si="1"/>
        <v>1</v>
      </c>
      <c r="AD467" s="61" t="b">
        <v>0</v>
      </c>
      <c r="AE467" s="32" t="s">
        <v>280</v>
      </c>
      <c r="AF467" s="46"/>
      <c r="AG467" s="46"/>
      <c r="AH467" s="46"/>
      <c r="AI467" s="46"/>
      <c r="AJ467" s="46"/>
    </row>
    <row r="468" ht="22.5" customHeight="1">
      <c r="A468" s="27">
        <v>46102.0</v>
      </c>
      <c r="B468" s="34" t="str">
        <f t="array" ref="B468">TEXT(A468, "MM-YYYY")</f>
        <v>03-2026</v>
      </c>
      <c r="C468" s="25" t="s">
        <v>1240</v>
      </c>
      <c r="D468" s="36" t="s">
        <v>210</v>
      </c>
      <c r="E468" s="36" t="s">
        <v>213</v>
      </c>
      <c r="F468" s="29" t="b">
        <v>1</v>
      </c>
      <c r="G468" s="36" t="s">
        <v>214</v>
      </c>
      <c r="H468" s="36" t="s">
        <v>215</v>
      </c>
      <c r="I468" s="39"/>
      <c r="J468" s="43"/>
      <c r="K468" s="37" t="s">
        <v>578</v>
      </c>
      <c r="L468" s="37" t="s">
        <v>2355</v>
      </c>
      <c r="M468" s="37" t="s">
        <v>1809</v>
      </c>
      <c r="N468" s="37" t="s">
        <v>2308</v>
      </c>
      <c r="O468" s="37" t="s">
        <v>2326</v>
      </c>
      <c r="P468" s="37" t="s">
        <v>2327</v>
      </c>
      <c r="Q468" s="41">
        <v>46152.0</v>
      </c>
      <c r="R468" s="42">
        <v>0.0</v>
      </c>
      <c r="S468" s="44" t="s">
        <v>2011</v>
      </c>
      <c r="T468" s="37" t="s">
        <v>2328</v>
      </c>
      <c r="U468" s="47" t="str">
        <f>IF(records_2[Type]="Room",records_2[roomNo],records_2[roomNo]&amp;"-"&amp;SUBSTITUTE(RIGHT(records_2[roomNo]&amp;records_2[Type],2),"-",""))</f>
        <v>10-3-115</v>
      </c>
      <c r="V468" s="47" t="str">
        <f t="array" ref="V468">_xlfn.XLOOKUP(records_2[ID], dAir[roomNo], dAir[roomName])</f>
        <v>CORRIDOR</v>
      </c>
      <c r="W468" s="47" t="str">
        <f t="array" ref="W468">_xlfn.XLOOKUP(records_2[ID], dAir[roomNo], dAir[building])</f>
        <v>Building 10</v>
      </c>
      <c r="X468" s="47" t="str">
        <f t="array" ref="X468">_xlfn.XLOOKUP(records_2[ID], dAir[roomNo], dAir[floor])</f>
        <v>Floor 3</v>
      </c>
      <c r="Y468" s="45" t="str">
        <f t="array" ref="Y468">_xlfn.XLOOKUP(records_2[ID], dAir[roomNo], dAir[Class])</f>
        <v>D</v>
      </c>
      <c r="Z468" s="45">
        <f t="array" ref="Z468">_xlfn.XLOOKUP(records_2[Method]&amp;"-"&amp;records_2[Class], dAirSpec[ID], dAirSpec[Spec])</f>
        <v>100</v>
      </c>
      <c r="AA468" s="45" t="str">
        <f t="array" ref="AA468">_xlfn.XLOOKUP(records_2[Method]&amp;"-"&amp;records_2[Class], dAirSpec[ID], dAirSpec[Unit])</f>
        <v>cfu/plate</v>
      </c>
      <c r="AB468" s="58">
        <f t="array" ref="AB468">if(R468="","", if(records_2[Method]="Active Air",_xlfn.xlookup(records_2[ColonyCount]&amp;records_2[AirSampler],feller[code],feller[Vc]),records_2[ColonyCount]))</f>
        <v>0</v>
      </c>
      <c r="AC468" s="60" t="b">
        <f t="shared" si="1"/>
        <v>1</v>
      </c>
      <c r="AD468" s="61" t="b">
        <v>0</v>
      </c>
      <c r="AE468" s="32" t="s">
        <v>280</v>
      </c>
      <c r="AF468" s="46"/>
      <c r="AG468" s="46"/>
      <c r="AH468" s="46"/>
      <c r="AI468" s="46"/>
      <c r="AJ468" s="46"/>
    </row>
    <row r="469" ht="22.5" customHeight="1">
      <c r="A469" s="27">
        <v>46102.0</v>
      </c>
      <c r="B469" s="34" t="str">
        <f t="array" ref="B469">TEXT(A469, "MM-YYYY")</f>
        <v>03-2026</v>
      </c>
      <c r="C469" s="25" t="s">
        <v>1241</v>
      </c>
      <c r="D469" s="36" t="s">
        <v>210</v>
      </c>
      <c r="E469" s="36" t="s">
        <v>213</v>
      </c>
      <c r="F469" s="29" t="b">
        <v>1</v>
      </c>
      <c r="G469" s="36" t="s">
        <v>214</v>
      </c>
      <c r="H469" s="36" t="s">
        <v>215</v>
      </c>
      <c r="I469" s="39"/>
      <c r="J469" s="43"/>
      <c r="K469" s="37" t="s">
        <v>578</v>
      </c>
      <c r="L469" s="37" t="s">
        <v>2356</v>
      </c>
      <c r="M469" s="37" t="s">
        <v>800</v>
      </c>
      <c r="N469" s="37" t="s">
        <v>1661</v>
      </c>
      <c r="O469" s="37" t="s">
        <v>2326</v>
      </c>
      <c r="P469" s="37" t="s">
        <v>2327</v>
      </c>
      <c r="Q469" s="41">
        <v>46152.0</v>
      </c>
      <c r="R469" s="42">
        <v>0.0</v>
      </c>
      <c r="S469" s="44"/>
      <c r="T469" s="37" t="s">
        <v>2328</v>
      </c>
      <c r="U469" s="47" t="str">
        <f>IF(records_2[Type]="Room",records_2[roomNo],records_2[roomNo]&amp;"-"&amp;SUBSTITUTE(RIGHT(records_2[roomNo]&amp;records_2[Type],2),"-",""))</f>
        <v>10-3-116</v>
      </c>
      <c r="V469" s="47" t="str">
        <f t="array" ref="V469">_xlfn.XLOOKUP(records_2[ID], dAir[roomNo], dAir[roomName])</f>
        <v>WEIGHING 2</v>
      </c>
      <c r="W469" s="47" t="str">
        <f t="array" ref="W469">_xlfn.XLOOKUP(records_2[ID], dAir[roomNo], dAir[building])</f>
        <v>Building 10</v>
      </c>
      <c r="X469" s="47" t="str">
        <f t="array" ref="X469">_xlfn.XLOOKUP(records_2[ID], dAir[roomNo], dAir[floor])</f>
        <v>Floor 3</v>
      </c>
      <c r="Y469" s="45" t="str">
        <f t="array" ref="Y469">_xlfn.XLOOKUP(records_2[ID], dAir[roomNo], dAir[Class])</f>
        <v>D</v>
      </c>
      <c r="Z469" s="45">
        <f t="array" ref="Z469">_xlfn.XLOOKUP(records_2[Method]&amp;"-"&amp;records_2[Class], dAirSpec[ID], dAirSpec[Spec])</f>
        <v>100</v>
      </c>
      <c r="AA469" s="45" t="str">
        <f t="array" ref="AA469">_xlfn.XLOOKUP(records_2[Method]&amp;"-"&amp;records_2[Class], dAirSpec[ID], dAirSpec[Unit])</f>
        <v>cfu/plate</v>
      </c>
      <c r="AB469" s="58">
        <f t="array" ref="AB469">if(R469="","", if(records_2[Method]="Active Air",_xlfn.xlookup(records_2[ColonyCount]&amp;records_2[AirSampler],feller[code],feller[Vc]),records_2[ColonyCount]))</f>
        <v>0</v>
      </c>
      <c r="AC469" s="60" t="b">
        <f t="shared" si="1"/>
        <v>1</v>
      </c>
      <c r="AD469" s="61" t="b">
        <v>0</v>
      </c>
      <c r="AE469" s="32" t="s">
        <v>280</v>
      </c>
      <c r="AF469" s="46"/>
      <c r="AG469" s="46"/>
      <c r="AH469" s="46"/>
      <c r="AI469" s="46"/>
      <c r="AJ469" s="46"/>
    </row>
    <row r="470" ht="22.5" customHeight="1">
      <c r="A470" s="27">
        <v>46102.0</v>
      </c>
      <c r="B470" s="34" t="str">
        <f t="array" ref="B470">TEXT(A470, "MM-YYYY")</f>
        <v>03-2026</v>
      </c>
      <c r="C470" s="25" t="s">
        <v>1243</v>
      </c>
      <c r="D470" s="36" t="s">
        <v>210</v>
      </c>
      <c r="E470" s="36" t="s">
        <v>213</v>
      </c>
      <c r="F470" s="29" t="b">
        <v>1</v>
      </c>
      <c r="G470" s="36" t="s">
        <v>214</v>
      </c>
      <c r="H470" s="36" t="s">
        <v>215</v>
      </c>
      <c r="I470" s="39"/>
      <c r="J470" s="43"/>
      <c r="K470" s="37" t="s">
        <v>326</v>
      </c>
      <c r="L470" s="37" t="s">
        <v>2357</v>
      </c>
      <c r="M470" s="37" t="s">
        <v>2095</v>
      </c>
      <c r="N470" s="37" t="s">
        <v>1661</v>
      </c>
      <c r="O470" s="37" t="s">
        <v>2326</v>
      </c>
      <c r="P470" s="37" t="s">
        <v>2327</v>
      </c>
      <c r="Q470" s="41">
        <v>46152.0</v>
      </c>
      <c r="R470" s="42">
        <v>0.0</v>
      </c>
      <c r="S470" s="44"/>
      <c r="T470" s="37" t="s">
        <v>2328</v>
      </c>
      <c r="U470" s="47" t="str">
        <f>IF(records_2[Type]="Room",records_2[roomNo],records_2[roomNo]&amp;"-"&amp;SUBSTITUTE(RIGHT(records_2[roomNo]&amp;records_2[Type],2),"-",""))</f>
        <v>10-3-117</v>
      </c>
      <c r="V470" s="47" t="str">
        <f t="array" ref="V470">_xlfn.XLOOKUP(records_2[ID], dAir[roomNo], dAir[roomName])</f>
        <v>IPQC-2</v>
      </c>
      <c r="W470" s="47" t="str">
        <f t="array" ref="W470">_xlfn.XLOOKUP(records_2[ID], dAir[roomNo], dAir[building])</f>
        <v>Building 10</v>
      </c>
      <c r="X470" s="47" t="str">
        <f t="array" ref="X470">_xlfn.XLOOKUP(records_2[ID], dAir[roomNo], dAir[floor])</f>
        <v>Floor 3</v>
      </c>
      <c r="Y470" s="45" t="str">
        <f t="array" ref="Y470">_xlfn.XLOOKUP(records_2[ID], dAir[roomNo], dAir[Class])</f>
        <v>D</v>
      </c>
      <c r="Z470" s="45">
        <f t="array" ref="Z470">_xlfn.XLOOKUP(records_2[Method]&amp;"-"&amp;records_2[Class], dAirSpec[ID], dAirSpec[Spec])</f>
        <v>100</v>
      </c>
      <c r="AA470" s="45" t="str">
        <f t="array" ref="AA470">_xlfn.XLOOKUP(records_2[Method]&amp;"-"&amp;records_2[Class], dAirSpec[ID], dAirSpec[Unit])</f>
        <v>cfu/plate</v>
      </c>
      <c r="AB470" s="58">
        <f t="array" ref="AB470">if(R470="","", if(records_2[Method]="Active Air",_xlfn.xlookup(records_2[ColonyCount]&amp;records_2[AirSampler],feller[code],feller[Vc]),records_2[ColonyCount]))</f>
        <v>0</v>
      </c>
      <c r="AC470" s="60" t="b">
        <f t="shared" si="1"/>
        <v>1</v>
      </c>
      <c r="AD470" s="61" t="b">
        <v>0</v>
      </c>
      <c r="AE470" s="32" t="s">
        <v>280</v>
      </c>
      <c r="AF470" s="46"/>
      <c r="AG470" s="46"/>
      <c r="AH470" s="46"/>
      <c r="AI470" s="46"/>
      <c r="AJ470" s="46"/>
    </row>
    <row r="471" ht="22.5" customHeight="1">
      <c r="A471" s="27">
        <v>46102.0</v>
      </c>
      <c r="B471" s="34" t="str">
        <f t="array" ref="B471">TEXT(A471, "MM-YYYY")</f>
        <v>03-2026</v>
      </c>
      <c r="C471" s="25" t="s">
        <v>1245</v>
      </c>
      <c r="D471" s="36" t="s">
        <v>210</v>
      </c>
      <c r="E471" s="36" t="s">
        <v>213</v>
      </c>
      <c r="F471" s="29" t="b">
        <v>1</v>
      </c>
      <c r="G471" s="36" t="s">
        <v>214</v>
      </c>
      <c r="H471" s="36" t="s">
        <v>215</v>
      </c>
      <c r="I471" s="39"/>
      <c r="J471" s="43"/>
      <c r="K471" s="37" t="s">
        <v>326</v>
      </c>
      <c r="L471" s="37" t="s">
        <v>2358</v>
      </c>
      <c r="M471" s="37" t="s">
        <v>2153</v>
      </c>
      <c r="N471" s="37" t="s">
        <v>1722</v>
      </c>
      <c r="O471" s="37" t="s">
        <v>2326</v>
      </c>
      <c r="P471" s="37" t="s">
        <v>2327</v>
      </c>
      <c r="Q471" s="41">
        <v>46152.0</v>
      </c>
      <c r="R471" s="42">
        <v>0.0</v>
      </c>
      <c r="S471" s="44"/>
      <c r="T471" s="37" t="s">
        <v>2328</v>
      </c>
      <c r="U471" s="47" t="str">
        <f>IF(records_2[Type]="Room",records_2[roomNo],records_2[roomNo]&amp;"-"&amp;SUBSTITUTE(RIGHT(records_2[roomNo]&amp;records_2[Type],2),"-",""))</f>
        <v>10-3-118</v>
      </c>
      <c r="V471" s="47" t="str">
        <f t="array" ref="V471">_xlfn.XLOOKUP(records_2[ID], dAir[roomNo], dAir[roomName])</f>
        <v>BULK STAGING 2</v>
      </c>
      <c r="W471" s="47" t="str">
        <f t="array" ref="W471">_xlfn.XLOOKUP(records_2[ID], dAir[roomNo], dAir[building])</f>
        <v>Building 10</v>
      </c>
      <c r="X471" s="47" t="str">
        <f t="array" ref="X471">_xlfn.XLOOKUP(records_2[ID], dAir[roomNo], dAir[floor])</f>
        <v>Floor 3</v>
      </c>
      <c r="Y471" s="45" t="str">
        <f t="array" ref="Y471">_xlfn.XLOOKUP(records_2[ID], dAir[roomNo], dAir[Class])</f>
        <v>D</v>
      </c>
      <c r="Z471" s="45">
        <f t="array" ref="Z471">_xlfn.XLOOKUP(records_2[Method]&amp;"-"&amp;records_2[Class], dAirSpec[ID], dAirSpec[Spec])</f>
        <v>100</v>
      </c>
      <c r="AA471" s="45" t="str">
        <f t="array" ref="AA471">_xlfn.XLOOKUP(records_2[Method]&amp;"-"&amp;records_2[Class], dAirSpec[ID], dAirSpec[Unit])</f>
        <v>cfu/plate</v>
      </c>
      <c r="AB471" s="58">
        <f t="array" ref="AB471">if(R471="","", if(records_2[Method]="Active Air",_xlfn.xlookup(records_2[ColonyCount]&amp;records_2[AirSampler],feller[code],feller[Vc]),records_2[ColonyCount]))</f>
        <v>0</v>
      </c>
      <c r="AC471" s="60" t="b">
        <f t="shared" si="1"/>
        <v>1</v>
      </c>
      <c r="AD471" s="61" t="b">
        <v>0</v>
      </c>
      <c r="AE471" s="32" t="s">
        <v>280</v>
      </c>
      <c r="AF471" s="46"/>
      <c r="AG471" s="46"/>
      <c r="AH471" s="46"/>
      <c r="AI471" s="46"/>
      <c r="AJ471" s="46"/>
    </row>
    <row r="472" ht="22.5" customHeight="1">
      <c r="A472" s="27">
        <v>46102.0</v>
      </c>
      <c r="B472" s="34" t="str">
        <f t="array" ref="B472">TEXT(A472, "MM-YYYY")</f>
        <v>03-2026</v>
      </c>
      <c r="C472" s="25" t="s">
        <v>1246</v>
      </c>
      <c r="D472" s="36" t="s">
        <v>210</v>
      </c>
      <c r="E472" s="36" t="s">
        <v>213</v>
      </c>
      <c r="F472" s="29" t="b">
        <v>1</v>
      </c>
      <c r="G472" s="36" t="s">
        <v>214</v>
      </c>
      <c r="H472" s="36" t="s">
        <v>215</v>
      </c>
      <c r="I472" s="39"/>
      <c r="J472" s="43"/>
      <c r="K472" s="37" t="s">
        <v>578</v>
      </c>
      <c r="L472" s="37" t="s">
        <v>2355</v>
      </c>
      <c r="M472" s="37" t="s">
        <v>1809</v>
      </c>
      <c r="N472" s="37" t="s">
        <v>2308</v>
      </c>
      <c r="O472" s="37" t="s">
        <v>2326</v>
      </c>
      <c r="P472" s="37" t="s">
        <v>2327</v>
      </c>
      <c r="Q472" s="41">
        <v>46152.0</v>
      </c>
      <c r="R472" s="42">
        <v>0.0</v>
      </c>
      <c r="S472" s="44" t="s">
        <v>2011</v>
      </c>
      <c r="T472" s="37" t="s">
        <v>2328</v>
      </c>
      <c r="U472" s="47" t="str">
        <f>IF(records_2[Type]="Room",records_2[roomNo],records_2[roomNo]&amp;"-"&amp;SUBSTITUTE(RIGHT(records_2[roomNo]&amp;records_2[Type],2),"-",""))</f>
        <v>10-3-119</v>
      </c>
      <c r="V472" s="47" t="str">
        <f t="array" ref="V472">_xlfn.XLOOKUP(records_2[ID], dAir[roomNo], dAir[roomName])</f>
        <v>CORRIDOR</v>
      </c>
      <c r="W472" s="47" t="str">
        <f t="array" ref="W472">_xlfn.XLOOKUP(records_2[ID], dAir[roomNo], dAir[building])</f>
        <v>Building 10</v>
      </c>
      <c r="X472" s="47" t="str">
        <f t="array" ref="X472">_xlfn.XLOOKUP(records_2[ID], dAir[roomNo], dAir[floor])</f>
        <v>Floor 3</v>
      </c>
      <c r="Y472" s="45" t="str">
        <f t="array" ref="Y472">_xlfn.XLOOKUP(records_2[ID], dAir[roomNo], dAir[Class])</f>
        <v>D</v>
      </c>
      <c r="Z472" s="45">
        <f t="array" ref="Z472">_xlfn.XLOOKUP(records_2[Method]&amp;"-"&amp;records_2[Class], dAirSpec[ID], dAirSpec[Spec])</f>
        <v>100</v>
      </c>
      <c r="AA472" s="45" t="str">
        <f t="array" ref="AA472">_xlfn.XLOOKUP(records_2[Method]&amp;"-"&amp;records_2[Class], dAirSpec[ID], dAirSpec[Unit])</f>
        <v>cfu/plate</v>
      </c>
      <c r="AB472" s="58">
        <f t="array" ref="AB472">if(R472="","", if(records_2[Method]="Active Air",_xlfn.xlookup(records_2[ColonyCount]&amp;records_2[AirSampler],feller[code],feller[Vc]),records_2[ColonyCount]))</f>
        <v>0</v>
      </c>
      <c r="AC472" s="60" t="b">
        <f t="shared" si="1"/>
        <v>1</v>
      </c>
      <c r="AD472" s="61" t="b">
        <v>0</v>
      </c>
      <c r="AE472" s="32" t="s">
        <v>280</v>
      </c>
      <c r="AF472" s="46"/>
      <c r="AG472" s="46"/>
      <c r="AH472" s="46"/>
      <c r="AI472" s="46"/>
      <c r="AJ472" s="46"/>
    </row>
    <row r="473" ht="22.5" customHeight="1">
      <c r="A473" s="27">
        <v>46102.0</v>
      </c>
      <c r="B473" s="34" t="str">
        <f t="array" ref="B473">TEXT(A473, "MM-YYYY")</f>
        <v>03-2026</v>
      </c>
      <c r="C473" s="25" t="s">
        <v>267</v>
      </c>
      <c r="D473" s="36" t="s">
        <v>210</v>
      </c>
      <c r="E473" s="36" t="s">
        <v>213</v>
      </c>
      <c r="F473" s="29" t="b">
        <v>1</v>
      </c>
      <c r="G473" s="36" t="s">
        <v>214</v>
      </c>
      <c r="H473" s="36" t="s">
        <v>215</v>
      </c>
      <c r="I473" s="39"/>
      <c r="J473" s="43"/>
      <c r="K473" s="37" t="s">
        <v>751</v>
      </c>
      <c r="L473" s="37" t="s">
        <v>2359</v>
      </c>
      <c r="M473" s="37" t="s">
        <v>800</v>
      </c>
      <c r="N473" s="37" t="s">
        <v>2306</v>
      </c>
      <c r="O473" s="37" t="s">
        <v>2326</v>
      </c>
      <c r="P473" s="37" t="s">
        <v>2327</v>
      </c>
      <c r="Q473" s="41">
        <v>46152.0</v>
      </c>
      <c r="R473" s="42">
        <v>0.0</v>
      </c>
      <c r="S473" s="44"/>
      <c r="T473" s="37" t="s">
        <v>2328</v>
      </c>
      <c r="U473" s="47" t="str">
        <f>IF(records_2[Type]="Room",records_2[roomNo],records_2[roomNo]&amp;"-"&amp;SUBSTITUTE(RIGHT(records_2[roomNo]&amp;records_2[Type],2),"-",""))</f>
        <v>10-3-120</v>
      </c>
      <c r="V473" s="47" t="str">
        <f t="array" ref="V473">_xlfn.XLOOKUP(records_2[ID], dAir[roomNo], dAir[roomName])</f>
        <v>COMPRESSION 1  (TABLET COMPRESSION MACHINE)</v>
      </c>
      <c r="W473" s="47" t="str">
        <f t="array" ref="W473">_xlfn.XLOOKUP(records_2[ID], dAir[roomNo], dAir[building])</f>
        <v>Building 10</v>
      </c>
      <c r="X473" s="47" t="str">
        <f t="array" ref="X473">_xlfn.XLOOKUP(records_2[ID], dAir[roomNo], dAir[floor])</f>
        <v>Floor 3</v>
      </c>
      <c r="Y473" s="45" t="str">
        <f t="array" ref="Y473">_xlfn.XLOOKUP(records_2[ID], dAir[roomNo], dAir[Class])</f>
        <v>D</v>
      </c>
      <c r="Z473" s="45">
        <f t="array" ref="Z473">_xlfn.XLOOKUP(records_2[Method]&amp;"-"&amp;records_2[Class], dAirSpec[ID], dAirSpec[Spec])</f>
        <v>100</v>
      </c>
      <c r="AA473" s="45" t="str">
        <f t="array" ref="AA473">_xlfn.XLOOKUP(records_2[Method]&amp;"-"&amp;records_2[Class], dAirSpec[ID], dAirSpec[Unit])</f>
        <v>cfu/plate</v>
      </c>
      <c r="AB473" s="58">
        <f t="array" ref="AB473">if(R473="","", if(records_2[Method]="Active Air",_xlfn.xlookup(records_2[ColonyCount]&amp;records_2[AirSampler],feller[code],feller[Vc]),records_2[ColonyCount]))</f>
        <v>0</v>
      </c>
      <c r="AC473" s="60" t="b">
        <f t="shared" si="1"/>
        <v>1</v>
      </c>
      <c r="AD473" s="61" t="b">
        <v>0</v>
      </c>
      <c r="AE473" s="32" t="s">
        <v>280</v>
      </c>
      <c r="AF473" s="46"/>
      <c r="AG473" s="46"/>
      <c r="AH473" s="46"/>
      <c r="AI473" s="46"/>
      <c r="AJ473" s="46"/>
    </row>
    <row r="474" ht="22.5" customHeight="1">
      <c r="A474" s="27">
        <v>46102.0</v>
      </c>
      <c r="B474" s="34" t="str">
        <f t="array" ref="B474">TEXT(A474, "MM-YYYY")</f>
        <v>03-2026</v>
      </c>
      <c r="C474" s="25" t="s">
        <v>270</v>
      </c>
      <c r="D474" s="36" t="s">
        <v>210</v>
      </c>
      <c r="E474" s="36" t="s">
        <v>213</v>
      </c>
      <c r="F474" s="29" t="b">
        <v>1</v>
      </c>
      <c r="G474" s="36" t="s">
        <v>214</v>
      </c>
      <c r="H474" s="36" t="s">
        <v>215</v>
      </c>
      <c r="I474" s="39"/>
      <c r="J474" s="43"/>
      <c r="K474" s="37" t="s">
        <v>599</v>
      </c>
      <c r="L474" s="37" t="s">
        <v>2360</v>
      </c>
      <c r="M474" s="37" t="s">
        <v>800</v>
      </c>
      <c r="N474" s="37" t="s">
        <v>2306</v>
      </c>
      <c r="O474" s="37" t="s">
        <v>2326</v>
      </c>
      <c r="P474" s="37" t="s">
        <v>2327</v>
      </c>
      <c r="Q474" s="41">
        <v>46152.0</v>
      </c>
      <c r="R474" s="42">
        <v>0.0</v>
      </c>
      <c r="S474" s="44"/>
      <c r="T474" s="37" t="s">
        <v>2328</v>
      </c>
      <c r="U474" s="47" t="str">
        <f>IF(records_2[Type]="Room",records_2[roomNo],records_2[roomNo]&amp;"-"&amp;SUBSTITUTE(RIGHT(records_2[roomNo]&amp;records_2[Type],2),"-",""))</f>
        <v>10-3-121</v>
      </c>
      <c r="V474" s="47" t="str">
        <f t="array" ref="V474">_xlfn.XLOOKUP(records_2[ID], dAir[roomNo], dAir[roomName])</f>
        <v>COMPRESSION 2  (TABLET COMPRESSION MACHINE)</v>
      </c>
      <c r="W474" s="47" t="str">
        <f t="array" ref="W474">_xlfn.XLOOKUP(records_2[ID], dAir[roomNo], dAir[building])</f>
        <v>Building 10</v>
      </c>
      <c r="X474" s="47" t="str">
        <f t="array" ref="X474">_xlfn.XLOOKUP(records_2[ID], dAir[roomNo], dAir[floor])</f>
        <v>Floor 3</v>
      </c>
      <c r="Y474" s="45" t="str">
        <f t="array" ref="Y474">_xlfn.XLOOKUP(records_2[ID], dAir[roomNo], dAir[Class])</f>
        <v>D</v>
      </c>
      <c r="Z474" s="45">
        <f t="array" ref="Z474">_xlfn.XLOOKUP(records_2[Method]&amp;"-"&amp;records_2[Class], dAirSpec[ID], dAirSpec[Spec])</f>
        <v>100</v>
      </c>
      <c r="AA474" s="45" t="str">
        <f t="array" ref="AA474">_xlfn.XLOOKUP(records_2[Method]&amp;"-"&amp;records_2[Class], dAirSpec[ID], dAirSpec[Unit])</f>
        <v>cfu/plate</v>
      </c>
      <c r="AB474" s="58">
        <f t="array" ref="AB474">if(R474="","", if(records_2[Method]="Active Air",_xlfn.xlookup(records_2[ColonyCount]&amp;records_2[AirSampler],feller[code],feller[Vc]),records_2[ColonyCount]))</f>
        <v>0</v>
      </c>
      <c r="AC474" s="60" t="b">
        <f t="shared" si="1"/>
        <v>1</v>
      </c>
      <c r="AD474" s="61" t="b">
        <v>0</v>
      </c>
      <c r="AE474" s="32" t="s">
        <v>280</v>
      </c>
      <c r="AF474" s="46"/>
      <c r="AG474" s="46"/>
      <c r="AH474" s="46"/>
      <c r="AI474" s="46"/>
      <c r="AJ474" s="46"/>
    </row>
    <row r="475" ht="22.5" customHeight="1">
      <c r="A475" s="27">
        <v>46102.0</v>
      </c>
      <c r="B475" s="34" t="str">
        <f t="array" ref="B475">TEXT(A475, "MM-YYYY")</f>
        <v>03-2026</v>
      </c>
      <c r="C475" s="25" t="s">
        <v>200</v>
      </c>
      <c r="D475" s="36" t="s">
        <v>210</v>
      </c>
      <c r="E475" s="36" t="s">
        <v>213</v>
      </c>
      <c r="F475" s="29" t="b">
        <v>1</v>
      </c>
      <c r="G475" s="36" t="s">
        <v>214</v>
      </c>
      <c r="H475" s="36" t="s">
        <v>215</v>
      </c>
      <c r="I475" s="39"/>
      <c r="J475" s="43"/>
      <c r="K475" s="37" t="s">
        <v>292</v>
      </c>
      <c r="L475" s="37" t="s">
        <v>2361</v>
      </c>
      <c r="M475" s="37" t="s">
        <v>2087</v>
      </c>
      <c r="N475" s="37" t="s">
        <v>2306</v>
      </c>
      <c r="O475" s="37" t="s">
        <v>2326</v>
      </c>
      <c r="P475" s="37" t="s">
        <v>2327</v>
      </c>
      <c r="Q475" s="41">
        <v>46152.0</v>
      </c>
      <c r="R475" s="42">
        <v>0.0</v>
      </c>
      <c r="S475" s="44"/>
      <c r="T475" s="37" t="s">
        <v>2328</v>
      </c>
      <c r="U475" s="47" t="str">
        <f>IF(records_2[Type]="Room",records_2[roomNo],records_2[roomNo]&amp;"-"&amp;SUBSTITUTE(RIGHT(records_2[roomNo]&amp;records_2[Type],2),"-",""))</f>
        <v>10-3-122</v>
      </c>
      <c r="V475" s="47" t="str">
        <f t="array" ref="V475">_xlfn.XLOOKUP(records_2[ID], dAir[roomNo], dAir[roomName])</f>
        <v>COMPRESSION 3 (LOW RH) (TABLET COMPRESSION MACHINE)</v>
      </c>
      <c r="W475" s="47" t="str">
        <f t="array" ref="W475">_xlfn.XLOOKUP(records_2[ID], dAir[roomNo], dAir[building])</f>
        <v>Building 10</v>
      </c>
      <c r="X475" s="47" t="str">
        <f t="array" ref="X475">_xlfn.XLOOKUP(records_2[ID], dAir[roomNo], dAir[floor])</f>
        <v>Floor 3</v>
      </c>
      <c r="Y475" s="45" t="str">
        <f t="array" ref="Y475">_xlfn.XLOOKUP(records_2[ID], dAir[roomNo], dAir[Class])</f>
        <v>D</v>
      </c>
      <c r="Z475" s="45">
        <f t="array" ref="Z475">_xlfn.XLOOKUP(records_2[Method]&amp;"-"&amp;records_2[Class], dAirSpec[ID], dAirSpec[Spec])</f>
        <v>100</v>
      </c>
      <c r="AA475" s="45" t="str">
        <f t="array" ref="AA475">_xlfn.XLOOKUP(records_2[Method]&amp;"-"&amp;records_2[Class], dAirSpec[ID], dAirSpec[Unit])</f>
        <v>cfu/plate</v>
      </c>
      <c r="AB475" s="58">
        <f t="array" ref="AB475">if(R475="","", if(records_2[Method]="Active Air",_xlfn.xlookup(records_2[ColonyCount]&amp;records_2[AirSampler],feller[code],feller[Vc]),records_2[ColonyCount]))</f>
        <v>0</v>
      </c>
      <c r="AC475" s="60" t="b">
        <f t="shared" si="1"/>
        <v>1</v>
      </c>
      <c r="AD475" s="61" t="b">
        <v>0</v>
      </c>
      <c r="AE475" s="32" t="s">
        <v>280</v>
      </c>
      <c r="AF475" s="46"/>
      <c r="AG475" s="46"/>
      <c r="AH475" s="46"/>
      <c r="AI475" s="46"/>
      <c r="AJ475" s="46"/>
    </row>
    <row r="476" ht="22.5" customHeight="1">
      <c r="A476" s="27">
        <v>46102.0</v>
      </c>
      <c r="B476" s="34" t="str">
        <f t="array" ref="B476">TEXT(A476, "MM-YYYY")</f>
        <v>03-2026</v>
      </c>
      <c r="C476" s="25" t="s">
        <v>205</v>
      </c>
      <c r="D476" s="36" t="s">
        <v>210</v>
      </c>
      <c r="E476" s="36" t="s">
        <v>213</v>
      </c>
      <c r="F476" s="29" t="b">
        <v>1</v>
      </c>
      <c r="G476" s="36" t="s">
        <v>214</v>
      </c>
      <c r="H476" s="36" t="s">
        <v>215</v>
      </c>
      <c r="I476" s="39"/>
      <c r="J476" s="43"/>
      <c r="K476" s="37" t="s">
        <v>259</v>
      </c>
      <c r="L476" s="37" t="s">
        <v>2362</v>
      </c>
      <c r="M476" s="37" t="s">
        <v>2087</v>
      </c>
      <c r="N476" s="37" t="s">
        <v>2306</v>
      </c>
      <c r="O476" s="37" t="s">
        <v>2326</v>
      </c>
      <c r="P476" s="37" t="s">
        <v>2327</v>
      </c>
      <c r="Q476" s="41">
        <v>46152.0</v>
      </c>
      <c r="R476" s="42">
        <v>0.0</v>
      </c>
      <c r="S476" s="44"/>
      <c r="T476" s="37" t="s">
        <v>2328</v>
      </c>
      <c r="U476" s="47" t="str">
        <f>IF(records_2[Type]="Room",records_2[roomNo],records_2[roomNo]&amp;"-"&amp;SUBSTITUTE(RIGHT(records_2[roomNo]&amp;records_2[Type],2),"-",""))</f>
        <v>10-3-123</v>
      </c>
      <c r="V476" s="47" t="str">
        <f t="array" ref="V476">_xlfn.XLOOKUP(records_2[ID], dAir[roomNo], dAir[roomName])</f>
        <v>COMPRESSION 4 (TABLET COMPRESSION MACHINE)</v>
      </c>
      <c r="W476" s="47" t="str">
        <f t="array" ref="W476">_xlfn.XLOOKUP(records_2[ID], dAir[roomNo], dAir[building])</f>
        <v>Building 10</v>
      </c>
      <c r="X476" s="47" t="str">
        <f t="array" ref="X476">_xlfn.XLOOKUP(records_2[ID], dAir[roomNo], dAir[floor])</f>
        <v>Floor 3</v>
      </c>
      <c r="Y476" s="45" t="str">
        <f t="array" ref="Y476">_xlfn.XLOOKUP(records_2[ID], dAir[roomNo], dAir[Class])</f>
        <v>D</v>
      </c>
      <c r="Z476" s="45">
        <f t="array" ref="Z476">_xlfn.XLOOKUP(records_2[Method]&amp;"-"&amp;records_2[Class], dAirSpec[ID], dAirSpec[Spec])</f>
        <v>100</v>
      </c>
      <c r="AA476" s="45" t="str">
        <f t="array" ref="AA476">_xlfn.XLOOKUP(records_2[Method]&amp;"-"&amp;records_2[Class], dAirSpec[ID], dAirSpec[Unit])</f>
        <v>cfu/plate</v>
      </c>
      <c r="AB476" s="58">
        <f t="array" ref="AB476">if(R476="","", if(records_2[Method]="Active Air",_xlfn.xlookup(records_2[ColonyCount]&amp;records_2[AirSampler],feller[code],feller[Vc]),records_2[ColonyCount]))</f>
        <v>0</v>
      </c>
      <c r="AC476" s="60" t="b">
        <f t="shared" si="1"/>
        <v>1</v>
      </c>
      <c r="AD476" s="61" t="b">
        <v>0</v>
      </c>
      <c r="AE476" s="32" t="s">
        <v>280</v>
      </c>
      <c r="AF476" s="46"/>
      <c r="AG476" s="46"/>
      <c r="AH476" s="46"/>
      <c r="AI476" s="46"/>
      <c r="AJ476" s="46"/>
    </row>
    <row r="477" ht="22.5" customHeight="1">
      <c r="A477" s="27">
        <v>46102.0</v>
      </c>
      <c r="B477" s="34" t="str">
        <f t="array" ref="B477">TEXT(A477, "MM-YYYY")</f>
        <v>03-2026</v>
      </c>
      <c r="C477" s="25" t="s">
        <v>609</v>
      </c>
      <c r="D477" s="36" t="s">
        <v>210</v>
      </c>
      <c r="E477" s="36" t="s">
        <v>213</v>
      </c>
      <c r="F477" s="29" t="b">
        <v>1</v>
      </c>
      <c r="G477" s="36" t="s">
        <v>214</v>
      </c>
      <c r="H477" s="36" t="s">
        <v>215</v>
      </c>
      <c r="I477" s="39"/>
      <c r="J477" s="43"/>
      <c r="K477" s="37" t="s">
        <v>2273</v>
      </c>
      <c r="L477" s="37" t="s">
        <v>875</v>
      </c>
      <c r="M477" s="37" t="s">
        <v>2087</v>
      </c>
      <c r="N477" s="37" t="s">
        <v>2308</v>
      </c>
      <c r="O477" s="37" t="s">
        <v>2326</v>
      </c>
      <c r="P477" s="37" t="s">
        <v>2327</v>
      </c>
      <c r="Q477" s="41">
        <v>46152.0</v>
      </c>
      <c r="R477" s="42">
        <v>0.0</v>
      </c>
      <c r="S477" s="44"/>
      <c r="T477" s="37" t="s">
        <v>2328</v>
      </c>
      <c r="U477" s="47" t="str">
        <f>IF(records_2[Type]="Room",records_2[roomNo],records_2[roomNo]&amp;"-"&amp;SUBSTITUTE(RIGHT(records_2[roomNo]&amp;records_2[Type],2),"-",""))</f>
        <v>10-3-124</v>
      </c>
      <c r="V477" s="47" t="str">
        <f t="array" ref="V477">_xlfn.XLOOKUP(records_2[ID], dAir[roomNo], dAir[roomName])</f>
        <v>COMPRESSION 5  (TABLET INSPECTION MACHINE)</v>
      </c>
      <c r="W477" s="47" t="str">
        <f t="array" ref="W477">_xlfn.XLOOKUP(records_2[ID], dAir[roomNo], dAir[building])</f>
        <v>Building 10</v>
      </c>
      <c r="X477" s="47" t="str">
        <f t="array" ref="X477">_xlfn.XLOOKUP(records_2[ID], dAir[roomNo], dAir[floor])</f>
        <v>Floor 3</v>
      </c>
      <c r="Y477" s="45" t="str">
        <f t="array" ref="Y477">_xlfn.XLOOKUP(records_2[ID], dAir[roomNo], dAir[Class])</f>
        <v>D</v>
      </c>
      <c r="Z477" s="45">
        <f t="array" ref="Z477">_xlfn.XLOOKUP(records_2[Method]&amp;"-"&amp;records_2[Class], dAirSpec[ID], dAirSpec[Spec])</f>
        <v>100</v>
      </c>
      <c r="AA477" s="45" t="str">
        <f t="array" ref="AA477">_xlfn.XLOOKUP(records_2[Method]&amp;"-"&amp;records_2[Class], dAirSpec[ID], dAirSpec[Unit])</f>
        <v>cfu/plate</v>
      </c>
      <c r="AB477" s="58">
        <f t="array" ref="AB477">if(R477="","", if(records_2[Method]="Active Air",_xlfn.xlookup(records_2[ColonyCount]&amp;records_2[AirSampler],feller[code],feller[Vc]),records_2[ColonyCount]))</f>
        <v>0</v>
      </c>
      <c r="AC477" s="60" t="b">
        <f t="shared" si="1"/>
        <v>1</v>
      </c>
      <c r="AD477" s="61" t="b">
        <v>0</v>
      </c>
      <c r="AE477" s="32" t="s">
        <v>280</v>
      </c>
      <c r="AF477" s="46"/>
      <c r="AG477" s="46"/>
      <c r="AH477" s="46"/>
      <c r="AI477" s="46"/>
      <c r="AJ477" s="46"/>
    </row>
    <row r="478" ht="22.5" customHeight="1">
      <c r="A478" s="27">
        <v>46102.0</v>
      </c>
      <c r="B478" s="34" t="str">
        <f t="array" ref="B478">TEXT(A478, "MM-YYYY")</f>
        <v>03-2026</v>
      </c>
      <c r="C478" s="25" t="s">
        <v>212</v>
      </c>
      <c r="D478" s="36" t="s">
        <v>210</v>
      </c>
      <c r="E478" s="36" t="s">
        <v>213</v>
      </c>
      <c r="F478" s="29" t="b">
        <v>1</v>
      </c>
      <c r="G478" s="36" t="s">
        <v>214</v>
      </c>
      <c r="H478" s="36" t="s">
        <v>215</v>
      </c>
      <c r="I478" s="39"/>
      <c r="J478" s="43"/>
      <c r="K478" s="37" t="s">
        <v>2237</v>
      </c>
      <c r="L478" s="37" t="s">
        <v>2335</v>
      </c>
      <c r="M478" s="37" t="s">
        <v>1809</v>
      </c>
      <c r="N478" s="37" t="s">
        <v>2308</v>
      </c>
      <c r="O478" s="37" t="s">
        <v>2326</v>
      </c>
      <c r="P478" s="37" t="s">
        <v>2327</v>
      </c>
      <c r="Q478" s="41">
        <v>46152.0</v>
      </c>
      <c r="R478" s="42">
        <v>0.0</v>
      </c>
      <c r="S478" s="44"/>
      <c r="T478" s="37" t="s">
        <v>2328</v>
      </c>
      <c r="U478" s="47" t="str">
        <f>IF(records_2[Type]="Room",records_2[roomNo],records_2[roomNo]&amp;"-"&amp;SUBSTITUTE(RIGHT(records_2[roomNo]&amp;records_2[Type],2),"-",""))</f>
        <v>10-3-125</v>
      </c>
      <c r="V478" s="47" t="str">
        <f t="array" ref="V478">_xlfn.XLOOKUP(records_2[ID], dAir[roomNo], dAir[roomName])</f>
        <v>COMPRESSION 6  (TABLET COMPRESSION MACHINE)</v>
      </c>
      <c r="W478" s="47" t="str">
        <f t="array" ref="W478">_xlfn.XLOOKUP(records_2[ID], dAir[roomNo], dAir[building])</f>
        <v>Building 10</v>
      </c>
      <c r="X478" s="47" t="str">
        <f t="array" ref="X478">_xlfn.XLOOKUP(records_2[ID], dAir[roomNo], dAir[floor])</f>
        <v>Floor 3</v>
      </c>
      <c r="Y478" s="45" t="str">
        <f t="array" ref="Y478">_xlfn.XLOOKUP(records_2[ID], dAir[roomNo], dAir[Class])</f>
        <v>D</v>
      </c>
      <c r="Z478" s="45">
        <f t="array" ref="Z478">_xlfn.XLOOKUP(records_2[Method]&amp;"-"&amp;records_2[Class], dAirSpec[ID], dAirSpec[Spec])</f>
        <v>100</v>
      </c>
      <c r="AA478" s="45" t="str">
        <f t="array" ref="AA478">_xlfn.XLOOKUP(records_2[Method]&amp;"-"&amp;records_2[Class], dAirSpec[ID], dAirSpec[Unit])</f>
        <v>cfu/plate</v>
      </c>
      <c r="AB478" s="58">
        <f t="array" ref="AB478">if(R478="","", if(records_2[Method]="Active Air",_xlfn.xlookup(records_2[ColonyCount]&amp;records_2[AirSampler],feller[code],feller[Vc]),records_2[ColonyCount]))</f>
        <v>0</v>
      </c>
      <c r="AC478" s="60" t="b">
        <f t="shared" si="1"/>
        <v>1</v>
      </c>
      <c r="AD478" s="61" t="b">
        <v>0</v>
      </c>
      <c r="AE478" s="32" t="s">
        <v>280</v>
      </c>
      <c r="AF478" s="46"/>
      <c r="AG478" s="46"/>
      <c r="AH478" s="46"/>
      <c r="AI478" s="46"/>
      <c r="AJ478" s="46"/>
    </row>
    <row r="479" ht="22.5" customHeight="1">
      <c r="A479" s="27">
        <v>46102.0</v>
      </c>
      <c r="B479" s="34" t="str">
        <f t="array" ref="B479">TEXT(A479, "MM-YYYY")</f>
        <v>03-2026</v>
      </c>
      <c r="C479" s="25" t="s">
        <v>217</v>
      </c>
      <c r="D479" s="36" t="s">
        <v>210</v>
      </c>
      <c r="E479" s="36" t="s">
        <v>213</v>
      </c>
      <c r="F479" s="29" t="b">
        <v>1</v>
      </c>
      <c r="G479" s="36" t="s">
        <v>214</v>
      </c>
      <c r="H479" s="36" t="s">
        <v>215</v>
      </c>
      <c r="I479" s="39"/>
      <c r="J479" s="43"/>
      <c r="K479" s="37" t="s">
        <v>445</v>
      </c>
      <c r="L479" s="37" t="s">
        <v>2363</v>
      </c>
      <c r="M479" s="37" t="s">
        <v>1809</v>
      </c>
      <c r="N479" s="37" t="s">
        <v>2308</v>
      </c>
      <c r="O479" s="37" t="s">
        <v>2326</v>
      </c>
      <c r="P479" s="37" t="s">
        <v>2327</v>
      </c>
      <c r="Q479" s="41">
        <v>46152.0</v>
      </c>
      <c r="R479" s="42">
        <v>1.0</v>
      </c>
      <c r="S479" s="44"/>
      <c r="T479" s="37" t="s">
        <v>2328</v>
      </c>
      <c r="U479" s="47" t="str">
        <f>IF(records_2[Type]="Room",records_2[roomNo],records_2[roomNo]&amp;"-"&amp;SUBSTITUTE(RIGHT(records_2[roomNo]&amp;records_2[Type],2),"-",""))</f>
        <v>10-3-126</v>
      </c>
      <c r="V479" s="47" t="str">
        <f t="array" ref="V479">_xlfn.XLOOKUP(records_2[ID], dAir[roomNo], dAir[roomName])</f>
        <v>COMPRESSION 7  (TABLET COMPRESSION MACHINE)</v>
      </c>
      <c r="W479" s="47" t="str">
        <f t="array" ref="W479">_xlfn.XLOOKUP(records_2[ID], dAir[roomNo], dAir[building])</f>
        <v>Building 10</v>
      </c>
      <c r="X479" s="47" t="str">
        <f t="array" ref="X479">_xlfn.XLOOKUP(records_2[ID], dAir[roomNo], dAir[floor])</f>
        <v>Floor 3</v>
      </c>
      <c r="Y479" s="45" t="str">
        <f t="array" ref="Y479">_xlfn.XLOOKUP(records_2[ID], dAir[roomNo], dAir[Class])</f>
        <v>D</v>
      </c>
      <c r="Z479" s="45">
        <f t="array" ref="Z479">_xlfn.XLOOKUP(records_2[Method]&amp;"-"&amp;records_2[Class], dAirSpec[ID], dAirSpec[Spec])</f>
        <v>100</v>
      </c>
      <c r="AA479" s="45" t="str">
        <f t="array" ref="AA479">_xlfn.XLOOKUP(records_2[Method]&amp;"-"&amp;records_2[Class], dAirSpec[ID], dAirSpec[Unit])</f>
        <v>cfu/plate</v>
      </c>
      <c r="AB479" s="58">
        <f t="array" ref="AB479">if(R479="","", if(records_2[Method]="Active Air",_xlfn.xlookup(records_2[ColonyCount]&amp;records_2[AirSampler],feller[code],feller[Vc]),records_2[ColonyCount]))</f>
        <v>1</v>
      </c>
      <c r="AC479" s="60" t="b">
        <f t="shared" si="1"/>
        <v>1</v>
      </c>
      <c r="AD479" s="61" t="b">
        <v>0</v>
      </c>
      <c r="AE479" s="32" t="s">
        <v>280</v>
      </c>
      <c r="AF479" s="46"/>
      <c r="AG479" s="46"/>
      <c r="AH479" s="46"/>
      <c r="AI479" s="46"/>
      <c r="AJ479" s="46"/>
    </row>
    <row r="480" ht="22.5" customHeight="1">
      <c r="A480" s="27">
        <v>46102.0</v>
      </c>
      <c r="B480" s="34" t="str">
        <f t="array" ref="B480">TEXT(A480, "MM-YYYY")</f>
        <v>03-2026</v>
      </c>
      <c r="C480" s="25" t="s">
        <v>222</v>
      </c>
      <c r="D480" s="36" t="s">
        <v>210</v>
      </c>
      <c r="E480" s="36" t="s">
        <v>213</v>
      </c>
      <c r="F480" s="29" t="b">
        <v>1</v>
      </c>
      <c r="G480" s="36" t="s">
        <v>214</v>
      </c>
      <c r="H480" s="36" t="s">
        <v>215</v>
      </c>
      <c r="I480" s="39"/>
      <c r="J480" s="43"/>
      <c r="K480" s="37" t="s">
        <v>2364</v>
      </c>
      <c r="L480" s="37" t="s">
        <v>2365</v>
      </c>
      <c r="M480" s="37" t="s">
        <v>1809</v>
      </c>
      <c r="N480" s="37" t="s">
        <v>2308</v>
      </c>
      <c r="O480" s="37" t="s">
        <v>2326</v>
      </c>
      <c r="P480" s="37" t="s">
        <v>2327</v>
      </c>
      <c r="Q480" s="41">
        <v>46152.0</v>
      </c>
      <c r="R480" s="42">
        <v>1.0</v>
      </c>
      <c r="S480" s="44"/>
      <c r="T480" s="37" t="s">
        <v>2328</v>
      </c>
      <c r="U480" s="47" t="str">
        <f>IF(records_2[Type]="Room",records_2[roomNo],records_2[roomNo]&amp;"-"&amp;SUBSTITUTE(RIGHT(records_2[roomNo]&amp;records_2[Type],2),"-",""))</f>
        <v>10-3-127</v>
      </c>
      <c r="V480" s="47" t="str">
        <f t="array" ref="V480">_xlfn.XLOOKUP(records_2[ID], dAir[roomNo], dAir[roomName])</f>
        <v>COMPRESSION 8  (TABLET COMPRESSION MACHINE)</v>
      </c>
      <c r="W480" s="47" t="str">
        <f t="array" ref="W480">_xlfn.XLOOKUP(records_2[ID], dAir[roomNo], dAir[building])</f>
        <v>Building 10</v>
      </c>
      <c r="X480" s="47" t="str">
        <f t="array" ref="X480">_xlfn.XLOOKUP(records_2[ID], dAir[roomNo], dAir[floor])</f>
        <v>Floor 3</v>
      </c>
      <c r="Y480" s="45" t="str">
        <f t="array" ref="Y480">_xlfn.XLOOKUP(records_2[ID], dAir[roomNo], dAir[Class])</f>
        <v>D</v>
      </c>
      <c r="Z480" s="45">
        <f t="array" ref="Z480">_xlfn.XLOOKUP(records_2[Method]&amp;"-"&amp;records_2[Class], dAirSpec[ID], dAirSpec[Spec])</f>
        <v>100</v>
      </c>
      <c r="AA480" s="45" t="str">
        <f t="array" ref="AA480">_xlfn.XLOOKUP(records_2[Method]&amp;"-"&amp;records_2[Class], dAirSpec[ID], dAirSpec[Unit])</f>
        <v>cfu/plate</v>
      </c>
      <c r="AB480" s="58">
        <f t="array" ref="AB480">if(R480="","", if(records_2[Method]="Active Air",_xlfn.xlookup(records_2[ColonyCount]&amp;records_2[AirSampler],feller[code],feller[Vc]),records_2[ColonyCount]))</f>
        <v>1</v>
      </c>
      <c r="AC480" s="60" t="b">
        <f t="shared" si="1"/>
        <v>1</v>
      </c>
      <c r="AD480" s="61" t="b">
        <v>0</v>
      </c>
      <c r="AE480" s="32" t="s">
        <v>280</v>
      </c>
      <c r="AF480" s="46"/>
      <c r="AG480" s="46"/>
      <c r="AH480" s="46"/>
      <c r="AI480" s="46"/>
      <c r="AJ480" s="46"/>
    </row>
    <row r="481" ht="22.5" customHeight="1">
      <c r="A481" s="27">
        <v>46102.0</v>
      </c>
      <c r="B481" s="34" t="str">
        <f t="array" ref="B481">TEXT(A481, "MM-YYYY")</f>
        <v>03-2026</v>
      </c>
      <c r="C481" s="25" t="s">
        <v>1254</v>
      </c>
      <c r="D481" s="36" t="s">
        <v>210</v>
      </c>
      <c r="E481" s="36" t="s">
        <v>213</v>
      </c>
      <c r="F481" s="29" t="b">
        <v>1</v>
      </c>
      <c r="G481" s="36" t="s">
        <v>214</v>
      </c>
      <c r="H481" s="36" t="s">
        <v>215</v>
      </c>
      <c r="I481" s="39"/>
      <c r="J481" s="43"/>
      <c r="K481" s="37" t="s">
        <v>353</v>
      </c>
      <c r="L481" s="37" t="s">
        <v>2366</v>
      </c>
      <c r="M481" s="37" t="s">
        <v>470</v>
      </c>
      <c r="N481" s="37" t="s">
        <v>634</v>
      </c>
      <c r="O481" s="37" t="s">
        <v>2326</v>
      </c>
      <c r="P481" s="37" t="s">
        <v>2327</v>
      </c>
      <c r="Q481" s="41">
        <v>46152.0</v>
      </c>
      <c r="R481" s="42">
        <v>2.0</v>
      </c>
      <c r="S481" s="44"/>
      <c r="T481" s="37" t="s">
        <v>2328</v>
      </c>
      <c r="U481" s="47" t="str">
        <f>IF(records_2[Type]="Room",records_2[roomNo],records_2[roomNo]&amp;"-"&amp;SUBSTITUTE(RIGHT(records_2[roomNo]&amp;records_2[Type],2),"-",""))</f>
        <v>10-3-128</v>
      </c>
      <c r="V481" s="47" t="str">
        <f t="array" ref="V481">_xlfn.XLOOKUP(records_2[ID], dAir[roomNo], dAir[roomName])</f>
        <v>PROCESS CHANGE-P</v>
      </c>
      <c r="W481" s="47" t="str">
        <f t="array" ref="W481">_xlfn.XLOOKUP(records_2[ID], dAir[roomNo], dAir[building])</f>
        <v>Building 10</v>
      </c>
      <c r="X481" s="47" t="str">
        <f t="array" ref="X481">_xlfn.XLOOKUP(records_2[ID], dAir[roomNo], dAir[floor])</f>
        <v>Floor 3</v>
      </c>
      <c r="Y481" s="45" t="str">
        <f t="array" ref="Y481">_xlfn.XLOOKUP(records_2[ID], dAir[roomNo], dAir[Class])</f>
        <v>D</v>
      </c>
      <c r="Z481" s="45">
        <f t="array" ref="Z481">_xlfn.XLOOKUP(records_2[Method]&amp;"-"&amp;records_2[Class], dAirSpec[ID], dAirSpec[Spec])</f>
        <v>100</v>
      </c>
      <c r="AA481" s="45" t="str">
        <f t="array" ref="AA481">_xlfn.XLOOKUP(records_2[Method]&amp;"-"&amp;records_2[Class], dAirSpec[ID], dAirSpec[Unit])</f>
        <v>cfu/plate</v>
      </c>
      <c r="AB481" s="58">
        <f t="array" ref="AB481">if(R481="","", if(records_2[Method]="Active Air",_xlfn.xlookup(records_2[ColonyCount]&amp;records_2[AirSampler],feller[code],feller[Vc]),records_2[ColonyCount]))</f>
        <v>2</v>
      </c>
      <c r="AC481" s="60" t="b">
        <f t="shared" si="1"/>
        <v>1</v>
      </c>
      <c r="AD481" s="61" t="b">
        <v>0</v>
      </c>
      <c r="AE481" s="32" t="s">
        <v>280</v>
      </c>
      <c r="AF481" s="46"/>
      <c r="AG481" s="46"/>
      <c r="AH481" s="46"/>
      <c r="AI481" s="46"/>
      <c r="AJ481" s="46"/>
    </row>
    <row r="482" ht="22.5" customHeight="1">
      <c r="A482" s="27">
        <v>46102.0</v>
      </c>
      <c r="B482" s="34" t="str">
        <f t="array" ref="B482">TEXT(A482, "MM-YYYY")</f>
        <v>03-2026</v>
      </c>
      <c r="C482" s="25" t="s">
        <v>1255</v>
      </c>
      <c r="D482" s="36" t="s">
        <v>210</v>
      </c>
      <c r="E482" s="36" t="s">
        <v>213</v>
      </c>
      <c r="F482" s="29" t="b">
        <v>1</v>
      </c>
      <c r="G482" s="36" t="s">
        <v>214</v>
      </c>
      <c r="H482" s="36" t="s">
        <v>215</v>
      </c>
      <c r="I482" s="39"/>
      <c r="J482" s="43"/>
      <c r="K482" s="37" t="s">
        <v>435</v>
      </c>
      <c r="L482" s="37" t="s">
        <v>1189</v>
      </c>
      <c r="M482" s="37" t="s">
        <v>470</v>
      </c>
      <c r="N482" s="37" t="s">
        <v>634</v>
      </c>
      <c r="O482" s="37" t="s">
        <v>2326</v>
      </c>
      <c r="P482" s="37" t="s">
        <v>2327</v>
      </c>
      <c r="Q482" s="41">
        <v>46152.0</v>
      </c>
      <c r="R482" s="42">
        <v>0.0</v>
      </c>
      <c r="S482" s="44" t="s">
        <v>2011</v>
      </c>
      <c r="T482" s="37" t="s">
        <v>2328</v>
      </c>
      <c r="U482" s="47" t="str">
        <f>IF(records_2[Type]="Room",records_2[roomNo],records_2[roomNo]&amp;"-"&amp;SUBSTITUTE(RIGHT(records_2[roomNo]&amp;records_2[Type],2),"-",""))</f>
        <v>10-3-129</v>
      </c>
      <c r="V482" s="47" t="str">
        <f t="array" ref="V482">_xlfn.XLOOKUP(records_2[ID], dAir[roomNo], dAir[roomName])</f>
        <v>CORRIDOR-P</v>
      </c>
      <c r="W482" s="47" t="str">
        <f t="array" ref="W482">_xlfn.XLOOKUP(records_2[ID], dAir[roomNo], dAir[building])</f>
        <v>Building 10</v>
      </c>
      <c r="X482" s="47" t="str">
        <f t="array" ref="X482">_xlfn.XLOOKUP(records_2[ID], dAir[roomNo], dAir[floor])</f>
        <v>Floor 3</v>
      </c>
      <c r="Y482" s="45" t="str">
        <f t="array" ref="Y482">_xlfn.XLOOKUP(records_2[ID], dAir[roomNo], dAir[Class])</f>
        <v>D</v>
      </c>
      <c r="Z482" s="45">
        <f t="array" ref="Z482">_xlfn.XLOOKUP(records_2[Method]&amp;"-"&amp;records_2[Class], dAirSpec[ID], dAirSpec[Spec])</f>
        <v>100</v>
      </c>
      <c r="AA482" s="45" t="str">
        <f t="array" ref="AA482">_xlfn.XLOOKUP(records_2[Method]&amp;"-"&amp;records_2[Class], dAirSpec[ID], dAirSpec[Unit])</f>
        <v>cfu/plate</v>
      </c>
      <c r="AB482" s="58">
        <f t="array" ref="AB482">if(R482="","", if(records_2[Method]="Active Air",_xlfn.xlookup(records_2[ColonyCount]&amp;records_2[AirSampler],feller[code],feller[Vc]),records_2[ColonyCount]))</f>
        <v>0</v>
      </c>
      <c r="AC482" s="60" t="b">
        <f t="shared" si="1"/>
        <v>1</v>
      </c>
      <c r="AD482" s="61" t="b">
        <v>0</v>
      </c>
      <c r="AE482" s="32" t="s">
        <v>280</v>
      </c>
      <c r="AF482" s="46"/>
      <c r="AG482" s="46"/>
      <c r="AH482" s="46"/>
      <c r="AI482" s="46"/>
      <c r="AJ482" s="46"/>
    </row>
    <row r="483" ht="22.5" customHeight="1">
      <c r="A483" s="27">
        <v>46102.0</v>
      </c>
      <c r="B483" s="34" t="str">
        <f t="array" ref="B483">TEXT(A483, "MM-YYYY")</f>
        <v>03-2026</v>
      </c>
      <c r="C483" s="25" t="s">
        <v>1256</v>
      </c>
      <c r="D483" s="36" t="s">
        <v>210</v>
      </c>
      <c r="E483" s="36" t="s">
        <v>213</v>
      </c>
      <c r="F483" s="29" t="b">
        <v>1</v>
      </c>
      <c r="G483" s="36" t="s">
        <v>214</v>
      </c>
      <c r="H483" s="36" t="s">
        <v>215</v>
      </c>
      <c r="I483" s="39"/>
      <c r="J483" s="43"/>
      <c r="K483" s="37" t="s">
        <v>194</v>
      </c>
      <c r="L483" s="37" t="s">
        <v>194</v>
      </c>
      <c r="M483" s="37" t="s">
        <v>2367</v>
      </c>
      <c r="N483" s="37" t="s">
        <v>650</v>
      </c>
      <c r="O483" s="37" t="s">
        <v>2326</v>
      </c>
      <c r="P483" s="37" t="s">
        <v>2327</v>
      </c>
      <c r="Q483" s="41">
        <v>46152.0</v>
      </c>
      <c r="R483" s="42">
        <v>0.0</v>
      </c>
      <c r="S483" s="44"/>
      <c r="T483" s="37" t="s">
        <v>2328</v>
      </c>
      <c r="U483" s="47" t="str">
        <f>IF(records_2[Type]="Room",records_2[roomNo],records_2[roomNo]&amp;"-"&amp;SUBSTITUTE(RIGHT(records_2[roomNo]&amp;records_2[Type],2),"-",""))</f>
        <v>10-3-130</v>
      </c>
      <c r="V483" s="47" t="str">
        <f t="array" ref="V483">_xlfn.XLOOKUP(records_2[ID], dAir[roomNo], dAir[roomName])</f>
        <v>PROCESS CHANGE EXIT-P</v>
      </c>
      <c r="W483" s="47" t="str">
        <f t="array" ref="W483">_xlfn.XLOOKUP(records_2[ID], dAir[roomNo], dAir[building])</f>
        <v>Building 10</v>
      </c>
      <c r="X483" s="47" t="str">
        <f t="array" ref="X483">_xlfn.XLOOKUP(records_2[ID], dAir[roomNo], dAir[floor])</f>
        <v>Floor 3</v>
      </c>
      <c r="Y483" s="45" t="str">
        <f t="array" ref="Y483">_xlfn.XLOOKUP(records_2[ID], dAir[roomNo], dAir[Class])</f>
        <v>D</v>
      </c>
      <c r="Z483" s="45">
        <f t="array" ref="Z483">_xlfn.XLOOKUP(records_2[Method]&amp;"-"&amp;records_2[Class], dAirSpec[ID], dAirSpec[Spec])</f>
        <v>100</v>
      </c>
      <c r="AA483" s="45" t="str">
        <f t="array" ref="AA483">_xlfn.XLOOKUP(records_2[Method]&amp;"-"&amp;records_2[Class], dAirSpec[ID], dAirSpec[Unit])</f>
        <v>cfu/plate</v>
      </c>
      <c r="AB483" s="58">
        <f t="array" ref="AB483">if(R483="","", if(records_2[Method]="Active Air",_xlfn.xlookup(records_2[ColonyCount]&amp;records_2[AirSampler],feller[code],feller[Vc]),records_2[ColonyCount]))</f>
        <v>0</v>
      </c>
      <c r="AC483" s="60" t="b">
        <f t="shared" si="1"/>
        <v>1</v>
      </c>
      <c r="AD483" s="61" t="b">
        <v>0</v>
      </c>
      <c r="AE483" s="32" t="s">
        <v>280</v>
      </c>
      <c r="AF483" s="46"/>
      <c r="AG483" s="46"/>
      <c r="AH483" s="46"/>
      <c r="AI483" s="46"/>
      <c r="AJ483" s="46"/>
    </row>
    <row r="484" ht="22.5" customHeight="1">
      <c r="A484" s="27">
        <v>46102.0</v>
      </c>
      <c r="B484" s="34" t="str">
        <f t="array" ref="B484">TEXT(A484, "MM-YYYY")</f>
        <v>03-2026</v>
      </c>
      <c r="C484" s="25" t="s">
        <v>1257</v>
      </c>
      <c r="D484" s="36" t="s">
        <v>210</v>
      </c>
      <c r="E484" s="36" t="s">
        <v>213</v>
      </c>
      <c r="F484" s="29" t="b">
        <v>1</v>
      </c>
      <c r="G484" s="36" t="s">
        <v>214</v>
      </c>
      <c r="H484" s="36" t="s">
        <v>215</v>
      </c>
      <c r="I484" s="39"/>
      <c r="J484" s="43"/>
      <c r="K484" s="37" t="s">
        <v>366</v>
      </c>
      <c r="L484" s="37" t="s">
        <v>1452</v>
      </c>
      <c r="M484" s="37" t="s">
        <v>470</v>
      </c>
      <c r="N484" s="37" t="s">
        <v>618</v>
      </c>
      <c r="O484" s="37" t="s">
        <v>2326</v>
      </c>
      <c r="P484" s="37" t="s">
        <v>2327</v>
      </c>
      <c r="Q484" s="41">
        <v>46152.0</v>
      </c>
      <c r="R484" s="42">
        <v>0.0</v>
      </c>
      <c r="S484" s="44"/>
      <c r="T484" s="37" t="s">
        <v>2328</v>
      </c>
      <c r="U484" s="47" t="str">
        <f>IF(records_2[Type]="Room",records_2[roomNo],records_2[roomNo]&amp;"-"&amp;SUBSTITUTE(RIGHT(records_2[roomNo]&amp;records_2[Type],2),"-",""))</f>
        <v>10-3-131</v>
      </c>
      <c r="V484" s="47" t="str">
        <f t="array" ref="V484">_xlfn.XLOOKUP(records_2[ID], dAir[roomNo], dAir[roomName])</f>
        <v>AIRLOCK-P</v>
      </c>
      <c r="W484" s="47" t="str">
        <f t="array" ref="W484">_xlfn.XLOOKUP(records_2[ID], dAir[roomNo], dAir[building])</f>
        <v>Building 10</v>
      </c>
      <c r="X484" s="47" t="str">
        <f t="array" ref="X484">_xlfn.XLOOKUP(records_2[ID], dAir[roomNo], dAir[floor])</f>
        <v>Floor 3</v>
      </c>
      <c r="Y484" s="45" t="str">
        <f t="array" ref="Y484">_xlfn.XLOOKUP(records_2[ID], dAir[roomNo], dAir[Class])</f>
        <v>D</v>
      </c>
      <c r="Z484" s="45">
        <f t="array" ref="Z484">_xlfn.XLOOKUP(records_2[Method]&amp;"-"&amp;records_2[Class], dAirSpec[ID], dAirSpec[Spec])</f>
        <v>100</v>
      </c>
      <c r="AA484" s="45" t="str">
        <f t="array" ref="AA484">_xlfn.XLOOKUP(records_2[Method]&amp;"-"&amp;records_2[Class], dAirSpec[ID], dAirSpec[Unit])</f>
        <v>cfu/plate</v>
      </c>
      <c r="AB484" s="58">
        <f t="array" ref="AB484">if(R484="","", if(records_2[Method]="Active Air",_xlfn.xlookup(records_2[ColonyCount]&amp;records_2[AirSampler],feller[code],feller[Vc]),records_2[ColonyCount]))</f>
        <v>0</v>
      </c>
      <c r="AC484" s="60" t="b">
        <f t="shared" si="1"/>
        <v>1</v>
      </c>
      <c r="AD484" s="61" t="b">
        <v>0</v>
      </c>
      <c r="AE484" s="32" t="s">
        <v>280</v>
      </c>
      <c r="AF484" s="46"/>
      <c r="AG484" s="46"/>
      <c r="AH484" s="46"/>
      <c r="AI484" s="46"/>
      <c r="AJ484" s="46"/>
    </row>
    <row r="485" ht="22.5" customHeight="1">
      <c r="A485" s="27">
        <v>46102.0</v>
      </c>
      <c r="B485" s="34" t="str">
        <f t="array" ref="B485">TEXT(A485, "MM-YYYY")</f>
        <v>03-2026</v>
      </c>
      <c r="C485" s="25" t="s">
        <v>1259</v>
      </c>
      <c r="D485" s="36" t="s">
        <v>210</v>
      </c>
      <c r="E485" s="36" t="s">
        <v>213</v>
      </c>
      <c r="F485" s="29" t="b">
        <v>1</v>
      </c>
      <c r="G485" s="36" t="s">
        <v>214</v>
      </c>
      <c r="H485" s="36" t="s">
        <v>215</v>
      </c>
      <c r="I485" s="39"/>
      <c r="J485" s="43"/>
      <c r="K485" s="37" t="s">
        <v>578</v>
      </c>
      <c r="L485" s="37" t="s">
        <v>2339</v>
      </c>
      <c r="M485" s="37" t="s">
        <v>462</v>
      </c>
      <c r="N485" s="37" t="s">
        <v>618</v>
      </c>
      <c r="O485" s="37" t="s">
        <v>2326</v>
      </c>
      <c r="P485" s="37" t="s">
        <v>2327</v>
      </c>
      <c r="Q485" s="41">
        <v>46152.0</v>
      </c>
      <c r="R485" s="42">
        <v>0.0</v>
      </c>
      <c r="S485" s="44"/>
      <c r="T485" s="37" t="s">
        <v>2328</v>
      </c>
      <c r="U485" s="47" t="str">
        <f>IF(records_2[Type]="Room",records_2[roomNo],records_2[roomNo]&amp;"-"&amp;SUBSTITUTE(RIGHT(records_2[roomNo]&amp;records_2[Type],2),"-",""))</f>
        <v>10-3-133</v>
      </c>
      <c r="V485" s="47" t="str">
        <f t="array" ref="V485">_xlfn.XLOOKUP(records_2[ID], dAir[roomNo], dAir[roomName])</f>
        <v>SCRAP ROOM-P</v>
      </c>
      <c r="W485" s="47" t="str">
        <f t="array" ref="W485">_xlfn.XLOOKUP(records_2[ID], dAir[roomNo], dAir[building])</f>
        <v>Building 10</v>
      </c>
      <c r="X485" s="47" t="str">
        <f t="array" ref="X485">_xlfn.XLOOKUP(records_2[ID], dAir[roomNo], dAir[floor])</f>
        <v>Floor 3</v>
      </c>
      <c r="Y485" s="45" t="str">
        <f t="array" ref="Y485">_xlfn.XLOOKUP(records_2[ID], dAir[roomNo], dAir[Class])</f>
        <v>D</v>
      </c>
      <c r="Z485" s="45">
        <f t="array" ref="Z485">_xlfn.XLOOKUP(records_2[Method]&amp;"-"&amp;records_2[Class], dAirSpec[ID], dAirSpec[Spec])</f>
        <v>100</v>
      </c>
      <c r="AA485" s="45" t="str">
        <f t="array" ref="AA485">_xlfn.XLOOKUP(records_2[Method]&amp;"-"&amp;records_2[Class], dAirSpec[ID], dAirSpec[Unit])</f>
        <v>cfu/plate</v>
      </c>
      <c r="AB485" s="58">
        <f t="array" ref="AB485">if(R485="","", if(records_2[Method]="Active Air",_xlfn.xlookup(records_2[ColonyCount]&amp;records_2[AirSampler],feller[code],feller[Vc]),records_2[ColonyCount]))</f>
        <v>0</v>
      </c>
      <c r="AC485" s="60" t="b">
        <f t="shared" si="1"/>
        <v>1</v>
      </c>
      <c r="AD485" s="61" t="b">
        <v>0</v>
      </c>
      <c r="AE485" s="32" t="s">
        <v>280</v>
      </c>
      <c r="AF485" s="46"/>
      <c r="AG485" s="46"/>
      <c r="AH485" s="46"/>
      <c r="AI485" s="46"/>
      <c r="AJ485" s="46"/>
    </row>
    <row r="486" ht="22.5" customHeight="1">
      <c r="A486" s="27">
        <v>46102.0</v>
      </c>
      <c r="B486" s="34" t="str">
        <f t="array" ref="B486">TEXT(A486, "MM-YYYY")</f>
        <v>03-2026</v>
      </c>
      <c r="C486" s="25" t="s">
        <v>1261</v>
      </c>
      <c r="D486" s="36" t="s">
        <v>210</v>
      </c>
      <c r="E486" s="36" t="s">
        <v>213</v>
      </c>
      <c r="F486" s="29" t="b">
        <v>1</v>
      </c>
      <c r="G486" s="36" t="s">
        <v>214</v>
      </c>
      <c r="H486" s="36" t="s">
        <v>215</v>
      </c>
      <c r="I486" s="39"/>
      <c r="J486" s="43"/>
      <c r="K486" s="37" t="s">
        <v>424</v>
      </c>
      <c r="L486" s="37" t="s">
        <v>1332</v>
      </c>
      <c r="M486" s="37" t="s">
        <v>2367</v>
      </c>
      <c r="N486" s="37" t="s">
        <v>650</v>
      </c>
      <c r="O486" s="37" t="s">
        <v>2326</v>
      </c>
      <c r="P486" s="37" t="s">
        <v>2327</v>
      </c>
      <c r="Q486" s="41">
        <v>46152.0</v>
      </c>
      <c r="R486" s="42">
        <v>0.0</v>
      </c>
      <c r="S486" s="44"/>
      <c r="T486" s="37" t="s">
        <v>2328</v>
      </c>
      <c r="U486" s="47" t="str">
        <f>IF(records_2[Type]="Room",records_2[roomNo],records_2[roomNo]&amp;"-"&amp;SUBSTITUTE(RIGHT(records_2[roomNo]&amp;records_2[Type],2),"-",""))</f>
        <v>10-3-134</v>
      </c>
      <c r="V486" s="47" t="str">
        <f t="array" ref="V486">_xlfn.XLOOKUP(records_2[ID], dAir[roomNo], dAir[roomName])</f>
        <v>BULK STAGING 2-P</v>
      </c>
      <c r="W486" s="47" t="str">
        <f t="array" ref="W486">_xlfn.XLOOKUP(records_2[ID], dAir[roomNo], dAir[building])</f>
        <v>Building 10</v>
      </c>
      <c r="X486" s="47" t="str">
        <f t="array" ref="X486">_xlfn.XLOOKUP(records_2[ID], dAir[roomNo], dAir[floor])</f>
        <v>Floor 3</v>
      </c>
      <c r="Y486" s="45" t="str">
        <f t="array" ref="Y486">_xlfn.XLOOKUP(records_2[ID], dAir[roomNo], dAir[Class])</f>
        <v>D</v>
      </c>
      <c r="Z486" s="45">
        <f t="array" ref="Z486">_xlfn.XLOOKUP(records_2[Method]&amp;"-"&amp;records_2[Class], dAirSpec[ID], dAirSpec[Spec])</f>
        <v>100</v>
      </c>
      <c r="AA486" s="45" t="str">
        <f t="array" ref="AA486">_xlfn.XLOOKUP(records_2[Method]&amp;"-"&amp;records_2[Class], dAirSpec[ID], dAirSpec[Unit])</f>
        <v>cfu/plate</v>
      </c>
      <c r="AB486" s="58">
        <f t="array" ref="AB486">if(R486="","", if(records_2[Method]="Active Air",_xlfn.xlookup(records_2[ColonyCount]&amp;records_2[AirSampler],feller[code],feller[Vc]),records_2[ColonyCount]))</f>
        <v>0</v>
      </c>
      <c r="AC486" s="60" t="b">
        <f t="shared" si="1"/>
        <v>1</v>
      </c>
      <c r="AD486" s="61" t="b">
        <v>0</v>
      </c>
      <c r="AE486" s="32" t="s">
        <v>280</v>
      </c>
      <c r="AF486" s="46"/>
      <c r="AG486" s="46"/>
      <c r="AH486" s="46"/>
      <c r="AI486" s="46"/>
      <c r="AJ486" s="46"/>
    </row>
    <row r="487" ht="22.5" customHeight="1">
      <c r="A487" s="27">
        <v>46102.0</v>
      </c>
      <c r="B487" s="34" t="str">
        <f t="array" ref="B487">TEXT(A487, "MM-YYYY")</f>
        <v>03-2026</v>
      </c>
      <c r="C487" s="25" t="s">
        <v>1263</v>
      </c>
      <c r="D487" s="36" t="s">
        <v>210</v>
      </c>
      <c r="E487" s="36" t="s">
        <v>213</v>
      </c>
      <c r="F487" s="29" t="b">
        <v>1</v>
      </c>
      <c r="G487" s="36" t="s">
        <v>214</v>
      </c>
      <c r="H487" s="36" t="s">
        <v>215</v>
      </c>
      <c r="I487" s="39"/>
      <c r="J487" s="43"/>
      <c r="K487" s="37" t="s">
        <v>396</v>
      </c>
      <c r="L487" s="37" t="s">
        <v>2368</v>
      </c>
      <c r="M487" s="37" t="s">
        <v>2367</v>
      </c>
      <c r="N487" s="37" t="s">
        <v>650</v>
      </c>
      <c r="O487" s="37" t="s">
        <v>2326</v>
      </c>
      <c r="P487" s="37" t="s">
        <v>2327</v>
      </c>
      <c r="Q487" s="41">
        <v>46152.0</v>
      </c>
      <c r="R487" s="42">
        <v>0.0</v>
      </c>
      <c r="S487" s="44"/>
      <c r="T487" s="37" t="s">
        <v>2328</v>
      </c>
      <c r="U487" s="47" t="str">
        <f>IF(records_2[Type]="Room",records_2[roomNo],records_2[roomNo]&amp;"-"&amp;SUBSTITUTE(RIGHT(records_2[roomNo]&amp;records_2[Type],2),"-",""))</f>
        <v>10-3-135</v>
      </c>
      <c r="V487" s="47" t="str">
        <f t="array" ref="V487">_xlfn.XLOOKUP(records_2[ID], dAir[roomNo], dAir[roomName])</f>
        <v>AIRLOCK-P</v>
      </c>
      <c r="W487" s="47" t="str">
        <f t="array" ref="W487">_xlfn.XLOOKUP(records_2[ID], dAir[roomNo], dAir[building])</f>
        <v>Building 10</v>
      </c>
      <c r="X487" s="47" t="str">
        <f t="array" ref="X487">_xlfn.XLOOKUP(records_2[ID], dAir[roomNo], dAir[floor])</f>
        <v>Floor 3</v>
      </c>
      <c r="Y487" s="45" t="str">
        <f t="array" ref="Y487">_xlfn.XLOOKUP(records_2[ID], dAir[roomNo], dAir[Class])</f>
        <v>D</v>
      </c>
      <c r="Z487" s="45">
        <f t="array" ref="Z487">_xlfn.XLOOKUP(records_2[Method]&amp;"-"&amp;records_2[Class], dAirSpec[ID], dAirSpec[Spec])</f>
        <v>100</v>
      </c>
      <c r="AA487" s="45" t="str">
        <f t="array" ref="AA487">_xlfn.XLOOKUP(records_2[Method]&amp;"-"&amp;records_2[Class], dAirSpec[ID], dAirSpec[Unit])</f>
        <v>cfu/plate</v>
      </c>
      <c r="AB487" s="58">
        <f t="array" ref="AB487">if(R487="","", if(records_2[Method]="Active Air",_xlfn.xlookup(records_2[ColonyCount]&amp;records_2[AirSampler],feller[code],feller[Vc]),records_2[ColonyCount]))</f>
        <v>0</v>
      </c>
      <c r="AC487" s="60" t="b">
        <f t="shared" si="1"/>
        <v>1</v>
      </c>
      <c r="AD487" s="61" t="b">
        <v>0</v>
      </c>
      <c r="AE487" s="32" t="s">
        <v>280</v>
      </c>
      <c r="AF487" s="46"/>
      <c r="AG487" s="46"/>
      <c r="AH487" s="46"/>
      <c r="AI487" s="46"/>
      <c r="AJ487" s="46"/>
    </row>
    <row r="488" ht="22.5" customHeight="1">
      <c r="A488" s="27">
        <v>46102.0</v>
      </c>
      <c r="B488" s="34" t="str">
        <f t="array" ref="B488">TEXT(A488, "MM-YYYY")</f>
        <v>03-2026</v>
      </c>
      <c r="C488" s="25" t="s">
        <v>168</v>
      </c>
      <c r="D488" s="36" t="s">
        <v>210</v>
      </c>
      <c r="E488" s="36" t="s">
        <v>213</v>
      </c>
      <c r="F488" s="29" t="b">
        <v>1</v>
      </c>
      <c r="G488" s="36" t="s">
        <v>214</v>
      </c>
      <c r="H488" s="36" t="s">
        <v>215</v>
      </c>
      <c r="I488" s="39"/>
      <c r="J488" s="43"/>
      <c r="K488" s="37" t="s">
        <v>539</v>
      </c>
      <c r="L488" s="37" t="s">
        <v>2369</v>
      </c>
      <c r="M488" s="37" t="s">
        <v>2367</v>
      </c>
      <c r="N488" s="37" t="s">
        <v>650</v>
      </c>
      <c r="O488" s="37" t="s">
        <v>2326</v>
      </c>
      <c r="P488" s="37" t="s">
        <v>2327</v>
      </c>
      <c r="Q488" s="41">
        <v>46152.0</v>
      </c>
      <c r="R488" s="42">
        <v>1.0</v>
      </c>
      <c r="S488" s="44"/>
      <c r="T488" s="37" t="s">
        <v>2328</v>
      </c>
      <c r="U488" s="47" t="str">
        <f>IF(records_2[Type]="Room",records_2[roomNo],records_2[roomNo]&amp;"-"&amp;SUBSTITUTE(RIGHT(records_2[roomNo]&amp;records_2[Type],2),"-",""))</f>
        <v>10-3-136</v>
      </c>
      <c r="V488" s="47" t="str">
        <f t="array" ref="V488">_xlfn.XLOOKUP(records_2[ID], dAir[roomNo], dAir[roomName])</f>
        <v>TABLET INSPECTION-P (LOW RH) (TABLET INSPECTION MACHINE) (DRUM TIPPER)</v>
      </c>
      <c r="W488" s="47" t="str">
        <f t="array" ref="W488">_xlfn.XLOOKUP(records_2[ID], dAir[roomNo], dAir[building])</f>
        <v>Building 10</v>
      </c>
      <c r="X488" s="47" t="str">
        <f t="array" ref="X488">_xlfn.XLOOKUP(records_2[ID], dAir[roomNo], dAir[floor])</f>
        <v>Floor 3</v>
      </c>
      <c r="Y488" s="45" t="str">
        <f t="array" ref="Y488">_xlfn.XLOOKUP(records_2[ID], dAir[roomNo], dAir[Class])</f>
        <v>D</v>
      </c>
      <c r="Z488" s="45">
        <f t="array" ref="Z488">_xlfn.XLOOKUP(records_2[Method]&amp;"-"&amp;records_2[Class], dAirSpec[ID], dAirSpec[Spec])</f>
        <v>100</v>
      </c>
      <c r="AA488" s="45" t="str">
        <f t="array" ref="AA488">_xlfn.XLOOKUP(records_2[Method]&amp;"-"&amp;records_2[Class], dAirSpec[ID], dAirSpec[Unit])</f>
        <v>cfu/plate</v>
      </c>
      <c r="AB488" s="58">
        <f t="array" ref="AB488">if(R488="","", if(records_2[Method]="Active Air",_xlfn.xlookup(records_2[ColonyCount]&amp;records_2[AirSampler],feller[code],feller[Vc]),records_2[ColonyCount]))</f>
        <v>1</v>
      </c>
      <c r="AC488" s="60" t="b">
        <f t="shared" si="1"/>
        <v>1</v>
      </c>
      <c r="AD488" s="61" t="b">
        <v>0</v>
      </c>
      <c r="AE488" s="32" t="s">
        <v>280</v>
      </c>
      <c r="AF488" s="46"/>
      <c r="AG488" s="46"/>
      <c r="AH488" s="46"/>
      <c r="AI488" s="46"/>
      <c r="AJ488" s="46"/>
    </row>
    <row r="489" ht="22.5" customHeight="1">
      <c r="A489" s="27">
        <v>46102.0</v>
      </c>
      <c r="B489" s="34" t="str">
        <f t="array" ref="B489">TEXT(A489, "MM-YYYY")</f>
        <v>03-2026</v>
      </c>
      <c r="C489" s="25" t="s">
        <v>1264</v>
      </c>
      <c r="D489" s="36" t="s">
        <v>210</v>
      </c>
      <c r="E489" s="36" t="s">
        <v>213</v>
      </c>
      <c r="F489" s="29" t="b">
        <v>1</v>
      </c>
      <c r="G489" s="36" t="s">
        <v>214</v>
      </c>
      <c r="H489" s="36" t="s">
        <v>215</v>
      </c>
      <c r="I489" s="39"/>
      <c r="J489" s="43"/>
      <c r="K489" s="37" t="s">
        <v>578</v>
      </c>
      <c r="L489" s="37" t="s">
        <v>2370</v>
      </c>
      <c r="M489" s="37" t="s">
        <v>440</v>
      </c>
      <c r="N489" s="37" t="s">
        <v>1984</v>
      </c>
      <c r="O489" s="37" t="s">
        <v>2326</v>
      </c>
      <c r="P489" s="37" t="s">
        <v>2327</v>
      </c>
      <c r="Q489" s="41">
        <v>46152.0</v>
      </c>
      <c r="R489" s="42">
        <v>0.0</v>
      </c>
      <c r="S489" s="44"/>
      <c r="T489" s="37" t="s">
        <v>2328</v>
      </c>
      <c r="U489" s="47" t="str">
        <f>IF(records_2[Type]="Room",records_2[roomNo],records_2[roomNo]&amp;"-"&amp;SUBSTITUTE(RIGHT(records_2[roomNo]&amp;records_2[Type],2),"-",""))</f>
        <v>10-3-137</v>
      </c>
      <c r="V489" s="47" t="str">
        <f t="array" ref="V489">_xlfn.XLOOKUP(records_2[ID], dAir[roomNo], dAir[roomName])</f>
        <v>AIRLOCK-P</v>
      </c>
      <c r="W489" s="47" t="str">
        <f t="array" ref="W489">_xlfn.XLOOKUP(records_2[ID], dAir[roomNo], dAir[building])</f>
        <v>Building 10</v>
      </c>
      <c r="X489" s="47" t="str">
        <f t="array" ref="X489">_xlfn.XLOOKUP(records_2[ID], dAir[roomNo], dAir[floor])</f>
        <v>Floor 3</v>
      </c>
      <c r="Y489" s="45" t="str">
        <f t="array" ref="Y489">_xlfn.XLOOKUP(records_2[ID], dAir[roomNo], dAir[Class])</f>
        <v>D</v>
      </c>
      <c r="Z489" s="45">
        <f t="array" ref="Z489">_xlfn.XLOOKUP(records_2[Method]&amp;"-"&amp;records_2[Class], dAirSpec[ID], dAirSpec[Spec])</f>
        <v>100</v>
      </c>
      <c r="AA489" s="45" t="str">
        <f t="array" ref="AA489">_xlfn.XLOOKUP(records_2[Method]&amp;"-"&amp;records_2[Class], dAirSpec[ID], dAirSpec[Unit])</f>
        <v>cfu/plate</v>
      </c>
      <c r="AB489" s="58">
        <f t="array" ref="AB489">if(R489="","", if(records_2[Method]="Active Air",_xlfn.xlookup(records_2[ColonyCount]&amp;records_2[AirSampler],feller[code],feller[Vc]),records_2[ColonyCount]))</f>
        <v>0</v>
      </c>
      <c r="AC489" s="60" t="b">
        <f t="shared" si="1"/>
        <v>1</v>
      </c>
      <c r="AD489" s="61" t="b">
        <v>0</v>
      </c>
      <c r="AE489" s="32" t="s">
        <v>280</v>
      </c>
      <c r="AF489" s="46"/>
      <c r="AG489" s="46"/>
      <c r="AH489" s="46"/>
      <c r="AI489" s="46"/>
      <c r="AJ489" s="46"/>
    </row>
    <row r="490" ht="22.5" customHeight="1">
      <c r="A490" s="27">
        <v>46102.0</v>
      </c>
      <c r="B490" s="34" t="str">
        <f t="array" ref="B490">TEXT(A490, "MM-YYYY")</f>
        <v>03-2026</v>
      </c>
      <c r="C490" s="25" t="s">
        <v>1265</v>
      </c>
      <c r="D490" s="36" t="s">
        <v>210</v>
      </c>
      <c r="E490" s="36" t="s">
        <v>213</v>
      </c>
      <c r="F490" s="29" t="b">
        <v>1</v>
      </c>
      <c r="G490" s="36" t="s">
        <v>214</v>
      </c>
      <c r="H490" s="36" t="s">
        <v>215</v>
      </c>
      <c r="I490" s="39"/>
      <c r="J490" s="43"/>
      <c r="K490" s="37" t="s">
        <v>326</v>
      </c>
      <c r="L490" s="37" t="s">
        <v>2371</v>
      </c>
      <c r="M490" s="37" t="s">
        <v>2367</v>
      </c>
      <c r="N490" s="37" t="s">
        <v>650</v>
      </c>
      <c r="O490" s="37" t="s">
        <v>2326</v>
      </c>
      <c r="P490" s="37" t="s">
        <v>2327</v>
      </c>
      <c r="Q490" s="41">
        <v>46152.0</v>
      </c>
      <c r="R490" s="42">
        <v>0.0</v>
      </c>
      <c r="S490" s="44"/>
      <c r="T490" s="37" t="s">
        <v>2328</v>
      </c>
      <c r="U490" s="47" t="str">
        <f>IF(records_2[Type]="Room",records_2[roomNo],records_2[roomNo]&amp;"-"&amp;SUBSTITUTE(RIGHT(records_2[roomNo]&amp;records_2[Type],2),"-",""))</f>
        <v>10-3-138</v>
      </c>
      <c r="V490" s="47" t="str">
        <f t="array" ref="V490">_xlfn.XLOOKUP(records_2[ID], dAir[roomNo], dAir[roomName])</f>
        <v>LINEN STORAGE-P</v>
      </c>
      <c r="W490" s="47" t="str">
        <f t="array" ref="W490">_xlfn.XLOOKUP(records_2[ID], dAir[roomNo], dAir[building])</f>
        <v>Building 10</v>
      </c>
      <c r="X490" s="47" t="str">
        <f t="array" ref="X490">_xlfn.XLOOKUP(records_2[ID], dAir[roomNo], dAir[floor])</f>
        <v>Floor 3</v>
      </c>
      <c r="Y490" s="45" t="str">
        <f t="array" ref="Y490">_xlfn.XLOOKUP(records_2[ID], dAir[roomNo], dAir[Class])</f>
        <v>D</v>
      </c>
      <c r="Z490" s="45">
        <f t="array" ref="Z490">_xlfn.XLOOKUP(records_2[Method]&amp;"-"&amp;records_2[Class], dAirSpec[ID], dAirSpec[Spec])</f>
        <v>100</v>
      </c>
      <c r="AA490" s="45" t="str">
        <f t="array" ref="AA490">_xlfn.XLOOKUP(records_2[Method]&amp;"-"&amp;records_2[Class], dAirSpec[ID], dAirSpec[Unit])</f>
        <v>cfu/plate</v>
      </c>
      <c r="AB490" s="58">
        <f t="array" ref="AB490">if(R490="","", if(records_2[Method]="Active Air",_xlfn.xlookup(records_2[ColonyCount]&amp;records_2[AirSampler],feller[code],feller[Vc]),records_2[ColonyCount]))</f>
        <v>0</v>
      </c>
      <c r="AC490" s="60" t="b">
        <f t="shared" si="1"/>
        <v>1</v>
      </c>
      <c r="AD490" s="61" t="b">
        <v>0</v>
      </c>
      <c r="AE490" s="32" t="s">
        <v>280</v>
      </c>
      <c r="AF490" s="46"/>
      <c r="AG490" s="46"/>
      <c r="AH490" s="46"/>
      <c r="AI490" s="46"/>
      <c r="AJ490" s="46"/>
    </row>
    <row r="491" ht="22.5" customHeight="1">
      <c r="A491" s="27">
        <v>46102.0</v>
      </c>
      <c r="B491" s="34" t="str">
        <f t="array" ref="B491">TEXT(A491, "MM-YYYY")</f>
        <v>03-2026</v>
      </c>
      <c r="C491" s="25" t="s">
        <v>1267</v>
      </c>
      <c r="D491" s="36" t="s">
        <v>210</v>
      </c>
      <c r="E491" s="36" t="s">
        <v>213</v>
      </c>
      <c r="F491" s="29" t="b">
        <v>1</v>
      </c>
      <c r="G491" s="36" t="s">
        <v>214</v>
      </c>
      <c r="H491" s="36" t="s">
        <v>215</v>
      </c>
      <c r="I491" s="39"/>
      <c r="J491" s="43"/>
      <c r="K491" s="37" t="s">
        <v>339</v>
      </c>
      <c r="L491" s="37" t="s">
        <v>1189</v>
      </c>
      <c r="M491" s="37" t="s">
        <v>440</v>
      </c>
      <c r="N491" s="37" t="s">
        <v>1984</v>
      </c>
      <c r="O491" s="37" t="s">
        <v>2326</v>
      </c>
      <c r="P491" s="37" t="s">
        <v>2327</v>
      </c>
      <c r="Q491" s="41">
        <v>46152.0</v>
      </c>
      <c r="R491" s="42">
        <v>0.0</v>
      </c>
      <c r="S491" s="44"/>
      <c r="T491" s="37" t="s">
        <v>2328</v>
      </c>
      <c r="U491" s="47" t="str">
        <f>IF(records_2[Type]="Room",records_2[roomNo],records_2[roomNo]&amp;"-"&amp;SUBSTITUTE(RIGHT(records_2[roomNo]&amp;records_2[Type],2),"-",""))</f>
        <v>10-3-139</v>
      </c>
      <c r="V491" s="47" t="str">
        <f t="array" ref="V491">_xlfn.XLOOKUP(records_2[ID], dAir[roomNo], dAir[roomName])</f>
        <v>LINEN WASHING-P</v>
      </c>
      <c r="W491" s="47" t="str">
        <f t="array" ref="W491">_xlfn.XLOOKUP(records_2[ID], dAir[roomNo], dAir[building])</f>
        <v>Building 10</v>
      </c>
      <c r="X491" s="47" t="str">
        <f t="array" ref="X491">_xlfn.XLOOKUP(records_2[ID], dAir[roomNo], dAir[floor])</f>
        <v>Floor 3</v>
      </c>
      <c r="Y491" s="45" t="str">
        <f t="array" ref="Y491">_xlfn.XLOOKUP(records_2[ID], dAir[roomNo], dAir[Class])</f>
        <v>D</v>
      </c>
      <c r="Z491" s="45">
        <f t="array" ref="Z491">_xlfn.XLOOKUP(records_2[Method]&amp;"-"&amp;records_2[Class], dAirSpec[ID], dAirSpec[Spec])</f>
        <v>100</v>
      </c>
      <c r="AA491" s="45" t="str">
        <f t="array" ref="AA491">_xlfn.XLOOKUP(records_2[Method]&amp;"-"&amp;records_2[Class], dAirSpec[ID], dAirSpec[Unit])</f>
        <v>cfu/plate</v>
      </c>
      <c r="AB491" s="58">
        <f t="array" ref="AB491">if(R491="","", if(records_2[Method]="Active Air",_xlfn.xlookup(records_2[ColonyCount]&amp;records_2[AirSampler],feller[code],feller[Vc]),records_2[ColonyCount]))</f>
        <v>0</v>
      </c>
      <c r="AC491" s="60" t="b">
        <f t="shared" si="1"/>
        <v>1</v>
      </c>
      <c r="AD491" s="61" t="b">
        <v>0</v>
      </c>
      <c r="AE491" s="32" t="s">
        <v>280</v>
      </c>
      <c r="AF491" s="46"/>
      <c r="AG491" s="46"/>
      <c r="AH491" s="46"/>
      <c r="AI491" s="46"/>
      <c r="AJ491" s="46"/>
    </row>
    <row r="492" ht="22.5" customHeight="1">
      <c r="A492" s="27">
        <v>46102.0</v>
      </c>
      <c r="B492" s="34" t="str">
        <f t="array" ref="B492">TEXT(A492, "MM-YYYY")</f>
        <v>03-2026</v>
      </c>
      <c r="C492" s="25" t="s">
        <v>1268</v>
      </c>
      <c r="D492" s="36" t="s">
        <v>210</v>
      </c>
      <c r="E492" s="36" t="s">
        <v>213</v>
      </c>
      <c r="F492" s="29" t="b">
        <v>1</v>
      </c>
      <c r="G492" s="36" t="s">
        <v>214</v>
      </c>
      <c r="H492" s="36" t="s">
        <v>215</v>
      </c>
      <c r="I492" s="39"/>
      <c r="J492" s="43"/>
      <c r="K492" s="37" t="s">
        <v>326</v>
      </c>
      <c r="L492" s="37" t="s">
        <v>1478</v>
      </c>
      <c r="M492" s="37" t="s">
        <v>2372</v>
      </c>
      <c r="N492" s="37" t="s">
        <v>516</v>
      </c>
      <c r="O492" s="37" t="s">
        <v>2326</v>
      </c>
      <c r="P492" s="37" t="s">
        <v>2327</v>
      </c>
      <c r="Q492" s="41">
        <v>46152.0</v>
      </c>
      <c r="R492" s="42">
        <v>1.0</v>
      </c>
      <c r="S492" s="44" t="s">
        <v>2353</v>
      </c>
      <c r="T492" s="37" t="s">
        <v>2328</v>
      </c>
      <c r="U492" s="47" t="str">
        <f>IF(records_2[Type]="Room",records_2[roomNo],records_2[roomNo]&amp;"-"&amp;SUBSTITUTE(RIGHT(records_2[roomNo]&amp;records_2[Type],2),"-",""))</f>
        <v>10-3-140</v>
      </c>
      <c r="V492" s="47" t="str">
        <f t="array" ref="V492">_xlfn.XLOOKUP(records_2[ID], dAir[roomNo], dAir[roomName])</f>
        <v>CORRIDOR-P</v>
      </c>
      <c r="W492" s="47" t="str">
        <f t="array" ref="W492">_xlfn.XLOOKUP(records_2[ID], dAir[roomNo], dAir[building])</f>
        <v>Building 10</v>
      </c>
      <c r="X492" s="47" t="str">
        <f t="array" ref="X492">_xlfn.XLOOKUP(records_2[ID], dAir[roomNo], dAir[floor])</f>
        <v>Floor 3</v>
      </c>
      <c r="Y492" s="45" t="str">
        <f t="array" ref="Y492">_xlfn.XLOOKUP(records_2[ID], dAir[roomNo], dAir[Class])</f>
        <v>D</v>
      </c>
      <c r="Z492" s="45">
        <f t="array" ref="Z492">_xlfn.XLOOKUP(records_2[Method]&amp;"-"&amp;records_2[Class], dAirSpec[ID], dAirSpec[Spec])</f>
        <v>100</v>
      </c>
      <c r="AA492" s="45" t="str">
        <f t="array" ref="AA492">_xlfn.XLOOKUP(records_2[Method]&amp;"-"&amp;records_2[Class], dAirSpec[ID], dAirSpec[Unit])</f>
        <v>cfu/plate</v>
      </c>
      <c r="AB492" s="58">
        <f t="array" ref="AB492">if(R492="","", if(records_2[Method]="Active Air",_xlfn.xlookup(records_2[ColonyCount]&amp;records_2[AirSampler],feller[code],feller[Vc]),records_2[ColonyCount]))</f>
        <v>1</v>
      </c>
      <c r="AC492" s="60" t="b">
        <f t="shared" si="1"/>
        <v>1</v>
      </c>
      <c r="AD492" s="61" t="b">
        <v>0</v>
      </c>
      <c r="AE492" s="32" t="s">
        <v>280</v>
      </c>
      <c r="AF492" s="46"/>
      <c r="AG492" s="46"/>
      <c r="AH492" s="46"/>
      <c r="AI492" s="46"/>
      <c r="AJ492" s="46"/>
    </row>
    <row r="493" ht="22.5" customHeight="1">
      <c r="A493" s="27">
        <v>46102.0</v>
      </c>
      <c r="B493" s="34" t="str">
        <f t="array" ref="B493">TEXT(A493, "MM-YYYY")</f>
        <v>03-2026</v>
      </c>
      <c r="C493" s="25" t="s">
        <v>1269</v>
      </c>
      <c r="D493" s="36" t="s">
        <v>210</v>
      </c>
      <c r="E493" s="36" t="s">
        <v>213</v>
      </c>
      <c r="F493" s="29" t="b">
        <v>1</v>
      </c>
      <c r="G493" s="36" t="s">
        <v>214</v>
      </c>
      <c r="H493" s="36" t="s">
        <v>215</v>
      </c>
      <c r="I493" s="39"/>
      <c r="J493" s="43"/>
      <c r="K493" s="37" t="s">
        <v>539</v>
      </c>
      <c r="L493" s="37" t="s">
        <v>734</v>
      </c>
      <c r="M493" s="37" t="s">
        <v>462</v>
      </c>
      <c r="N493" s="37" t="s">
        <v>691</v>
      </c>
      <c r="O493" s="37" t="s">
        <v>2326</v>
      </c>
      <c r="P493" s="37" t="s">
        <v>2327</v>
      </c>
      <c r="Q493" s="41">
        <v>46152.0</v>
      </c>
      <c r="R493" s="42">
        <v>2.0</v>
      </c>
      <c r="S493" s="44"/>
      <c r="T493" s="37" t="s">
        <v>2328</v>
      </c>
      <c r="U493" s="47" t="str">
        <f>IF(records_2[Type]="Room",records_2[roomNo],records_2[roomNo]&amp;"-"&amp;SUBSTITUTE(RIGHT(records_2[roomNo]&amp;records_2[Type],2),"-",""))</f>
        <v>10-3-141</v>
      </c>
      <c r="V493" s="47" t="str">
        <f t="array" ref="V493">_xlfn.XLOOKUP(records_2[ID], dAir[roomNo], dAir[roomName])</f>
        <v>AIRLOCK-P</v>
      </c>
      <c r="W493" s="47" t="str">
        <f t="array" ref="W493">_xlfn.XLOOKUP(records_2[ID], dAir[roomNo], dAir[building])</f>
        <v>Building 10</v>
      </c>
      <c r="X493" s="47" t="str">
        <f t="array" ref="X493">_xlfn.XLOOKUP(records_2[ID], dAir[roomNo], dAir[floor])</f>
        <v>Floor 3</v>
      </c>
      <c r="Y493" s="45" t="str">
        <f t="array" ref="Y493">_xlfn.XLOOKUP(records_2[ID], dAir[roomNo], dAir[Class])</f>
        <v>D</v>
      </c>
      <c r="Z493" s="45">
        <f t="array" ref="Z493">_xlfn.XLOOKUP(records_2[Method]&amp;"-"&amp;records_2[Class], dAirSpec[ID], dAirSpec[Spec])</f>
        <v>100</v>
      </c>
      <c r="AA493" s="45" t="str">
        <f t="array" ref="AA493">_xlfn.XLOOKUP(records_2[Method]&amp;"-"&amp;records_2[Class], dAirSpec[ID], dAirSpec[Unit])</f>
        <v>cfu/plate</v>
      </c>
      <c r="AB493" s="58">
        <f t="array" ref="AB493">if(R493="","", if(records_2[Method]="Active Air",_xlfn.xlookup(records_2[ColonyCount]&amp;records_2[AirSampler],feller[code],feller[Vc]),records_2[ColonyCount]))</f>
        <v>2</v>
      </c>
      <c r="AC493" s="60" t="b">
        <f t="shared" si="1"/>
        <v>1</v>
      </c>
      <c r="AD493" s="61" t="b">
        <v>0</v>
      </c>
      <c r="AE493" s="32" t="s">
        <v>280</v>
      </c>
      <c r="AF493" s="46"/>
      <c r="AG493" s="46"/>
      <c r="AH493" s="46"/>
      <c r="AI493" s="46"/>
      <c r="AJ493" s="46"/>
    </row>
    <row r="494" ht="22.5" customHeight="1">
      <c r="A494" s="27">
        <v>46102.0</v>
      </c>
      <c r="B494" s="34" t="str">
        <f t="array" ref="B494">TEXT(A494, "MM-YYYY")</f>
        <v>03-2026</v>
      </c>
      <c r="C494" s="25" t="s">
        <v>1270</v>
      </c>
      <c r="D494" s="36" t="s">
        <v>210</v>
      </c>
      <c r="E494" s="36" t="s">
        <v>213</v>
      </c>
      <c r="F494" s="29" t="b">
        <v>1</v>
      </c>
      <c r="G494" s="36" t="s">
        <v>214</v>
      </c>
      <c r="H494" s="36" t="s">
        <v>215</v>
      </c>
      <c r="I494" s="39"/>
      <c r="J494" s="43"/>
      <c r="K494" s="37" t="s">
        <v>292</v>
      </c>
      <c r="L494" s="37" t="s">
        <v>2331</v>
      </c>
      <c r="M494" s="37" t="s">
        <v>523</v>
      </c>
      <c r="N494" s="37" t="s">
        <v>713</v>
      </c>
      <c r="O494" s="37" t="s">
        <v>2326</v>
      </c>
      <c r="P494" s="37" t="s">
        <v>2327</v>
      </c>
      <c r="Q494" s="41">
        <v>46152.0</v>
      </c>
      <c r="R494" s="42">
        <v>4.0</v>
      </c>
      <c r="S494" s="44" t="s">
        <v>2011</v>
      </c>
      <c r="T494" s="37" t="s">
        <v>2328</v>
      </c>
      <c r="U494" s="47" t="str">
        <f>IF(records_2[Type]="Room",records_2[roomNo],records_2[roomNo]&amp;"-"&amp;SUBSTITUTE(RIGHT(records_2[roomNo]&amp;records_2[Type],2),"-",""))</f>
        <v>10-3-142</v>
      </c>
      <c r="V494" s="47" t="str">
        <f t="array" ref="V494">_xlfn.XLOOKUP(records_2[ID], dAir[roomNo], dAir[roomName])</f>
        <v>CORRIDOR-P</v>
      </c>
      <c r="W494" s="47" t="str">
        <f t="array" ref="W494">_xlfn.XLOOKUP(records_2[ID], dAir[roomNo], dAir[building])</f>
        <v>Building 10</v>
      </c>
      <c r="X494" s="47" t="str">
        <f t="array" ref="X494">_xlfn.XLOOKUP(records_2[ID], dAir[roomNo], dAir[floor])</f>
        <v>Floor 3</v>
      </c>
      <c r="Y494" s="45" t="str">
        <f t="array" ref="Y494">_xlfn.XLOOKUP(records_2[ID], dAir[roomNo], dAir[Class])</f>
        <v>D</v>
      </c>
      <c r="Z494" s="45">
        <f t="array" ref="Z494">_xlfn.XLOOKUP(records_2[Method]&amp;"-"&amp;records_2[Class], dAirSpec[ID], dAirSpec[Spec])</f>
        <v>100</v>
      </c>
      <c r="AA494" s="45" t="str">
        <f t="array" ref="AA494">_xlfn.XLOOKUP(records_2[Method]&amp;"-"&amp;records_2[Class], dAirSpec[ID], dAirSpec[Unit])</f>
        <v>cfu/plate</v>
      </c>
      <c r="AB494" s="58">
        <f t="array" ref="AB494">if(R494="","", if(records_2[Method]="Active Air",_xlfn.xlookup(records_2[ColonyCount]&amp;records_2[AirSampler],feller[code],feller[Vc]),records_2[ColonyCount]))</f>
        <v>4</v>
      </c>
      <c r="AC494" s="60" t="b">
        <f t="shared" si="1"/>
        <v>1</v>
      </c>
      <c r="AD494" s="61" t="b">
        <v>0</v>
      </c>
      <c r="AE494" s="32" t="s">
        <v>280</v>
      </c>
      <c r="AF494" s="46"/>
      <c r="AG494" s="46"/>
      <c r="AH494" s="46"/>
      <c r="AI494" s="46"/>
      <c r="AJ494" s="46"/>
    </row>
    <row r="495" ht="22.5" customHeight="1">
      <c r="A495" s="27">
        <v>46102.0</v>
      </c>
      <c r="B495" s="34" t="str">
        <f t="array" ref="B495">TEXT(A495, "MM-YYYY")</f>
        <v>03-2026</v>
      </c>
      <c r="C495" s="25" t="s">
        <v>226</v>
      </c>
      <c r="D495" s="36" t="s">
        <v>210</v>
      </c>
      <c r="E495" s="36" t="s">
        <v>213</v>
      </c>
      <c r="F495" s="29" t="b">
        <v>1</v>
      </c>
      <c r="G495" s="36" t="s">
        <v>214</v>
      </c>
      <c r="H495" s="36" t="s">
        <v>215</v>
      </c>
      <c r="I495" s="39"/>
      <c r="J495" s="43"/>
      <c r="K495" s="37" t="s">
        <v>580</v>
      </c>
      <c r="L495" s="37" t="s">
        <v>2365</v>
      </c>
      <c r="M495" s="37" t="s">
        <v>462</v>
      </c>
      <c r="N495" s="37" t="s">
        <v>691</v>
      </c>
      <c r="O495" s="37" t="s">
        <v>2326</v>
      </c>
      <c r="P495" s="37" t="s">
        <v>2327</v>
      </c>
      <c r="Q495" s="41">
        <v>46152.0</v>
      </c>
      <c r="R495" s="42">
        <v>0.0</v>
      </c>
      <c r="S495" s="44"/>
      <c r="T495" s="37" t="s">
        <v>2328</v>
      </c>
      <c r="U495" s="47" t="str">
        <f>IF(records_2[Type]="Room",records_2[roomNo],records_2[roomNo]&amp;"-"&amp;SUBSTITUTE(RIGHT(records_2[roomNo]&amp;records_2[Type],2),"-",""))</f>
        <v>10-3-143</v>
      </c>
      <c r="V495" s="47" t="str">
        <f t="array" ref="V495">_xlfn.XLOOKUP(records_2[ID], dAir[roomNo], dAir[roomName])</f>
        <v>COATING SOLUTION PREPARATION-P (SOLUTION PREPARATION TANK)</v>
      </c>
      <c r="W495" s="47" t="str">
        <f t="array" ref="W495">_xlfn.XLOOKUP(records_2[ID], dAir[roomNo], dAir[building])</f>
        <v>Building 10</v>
      </c>
      <c r="X495" s="47" t="str">
        <f t="array" ref="X495">_xlfn.XLOOKUP(records_2[ID], dAir[roomNo], dAir[floor])</f>
        <v>Floor 3</v>
      </c>
      <c r="Y495" s="45" t="str">
        <f t="array" ref="Y495">_xlfn.XLOOKUP(records_2[ID], dAir[roomNo], dAir[Class])</f>
        <v>D</v>
      </c>
      <c r="Z495" s="45">
        <f t="array" ref="Z495">_xlfn.XLOOKUP(records_2[Method]&amp;"-"&amp;records_2[Class], dAirSpec[ID], dAirSpec[Spec])</f>
        <v>100</v>
      </c>
      <c r="AA495" s="45" t="str">
        <f t="array" ref="AA495">_xlfn.XLOOKUP(records_2[Method]&amp;"-"&amp;records_2[Class], dAirSpec[ID], dAirSpec[Unit])</f>
        <v>cfu/plate</v>
      </c>
      <c r="AB495" s="58">
        <f t="array" ref="AB495">if(R495="","", if(records_2[Method]="Active Air",_xlfn.xlookup(records_2[ColonyCount]&amp;records_2[AirSampler],feller[code],feller[Vc]),records_2[ColonyCount]))</f>
        <v>0</v>
      </c>
      <c r="AC495" s="60" t="b">
        <f t="shared" si="1"/>
        <v>1</v>
      </c>
      <c r="AD495" s="61" t="b">
        <v>0</v>
      </c>
      <c r="AE495" s="32" t="s">
        <v>280</v>
      </c>
      <c r="AF495" s="46"/>
      <c r="AG495" s="46"/>
      <c r="AH495" s="46"/>
      <c r="AI495" s="46"/>
      <c r="AJ495" s="46"/>
    </row>
    <row r="496" ht="22.5" customHeight="1">
      <c r="A496" s="27">
        <v>46102.0</v>
      </c>
      <c r="B496" s="34" t="str">
        <f t="array" ref="B496">TEXT(A496, "MM-YYYY")</f>
        <v>03-2026</v>
      </c>
      <c r="C496" s="25" t="s">
        <v>643</v>
      </c>
      <c r="D496" s="36" t="s">
        <v>210</v>
      </c>
      <c r="E496" s="36" t="s">
        <v>213</v>
      </c>
      <c r="F496" s="29" t="b">
        <v>1</v>
      </c>
      <c r="G496" s="36" t="s">
        <v>214</v>
      </c>
      <c r="H496" s="36" t="s">
        <v>215</v>
      </c>
      <c r="I496" s="39"/>
      <c r="J496" s="43"/>
      <c r="K496" s="37" t="s">
        <v>2373</v>
      </c>
      <c r="L496" s="37" t="s">
        <v>2333</v>
      </c>
      <c r="M496" s="37" t="s">
        <v>515</v>
      </c>
      <c r="N496" s="37" t="s">
        <v>724</v>
      </c>
      <c r="O496" s="37" t="s">
        <v>2326</v>
      </c>
      <c r="P496" s="37" t="s">
        <v>2327</v>
      </c>
      <c r="Q496" s="41">
        <v>46152.0</v>
      </c>
      <c r="R496" s="42">
        <v>0.0</v>
      </c>
      <c r="S496" s="44"/>
      <c r="T496" s="37" t="s">
        <v>2328</v>
      </c>
      <c r="U496" s="47" t="str">
        <f>IF(records_2[Type]="Room",records_2[roomNo],records_2[roomNo]&amp;"-"&amp;SUBSTITUTE(RIGHT(records_2[roomNo]&amp;records_2[Type],2),"-",""))</f>
        <v>10-3-144</v>
      </c>
      <c r="V496" s="47" t="str">
        <f t="array" ref="V496">_xlfn.XLOOKUP(records_2[ID], dAir[roomNo], dAir[roomName])</f>
        <v>COATING-P</v>
      </c>
      <c r="W496" s="47" t="str">
        <f t="array" ref="W496">_xlfn.XLOOKUP(records_2[ID], dAir[roomNo], dAir[building])</f>
        <v>Building 10</v>
      </c>
      <c r="X496" s="47" t="str">
        <f t="array" ref="X496">_xlfn.XLOOKUP(records_2[ID], dAir[roomNo], dAir[floor])</f>
        <v>Floor 3</v>
      </c>
      <c r="Y496" s="45" t="str">
        <f t="array" ref="Y496">_xlfn.XLOOKUP(records_2[ID], dAir[roomNo], dAir[Class])</f>
        <v>D</v>
      </c>
      <c r="Z496" s="45">
        <f t="array" ref="Z496">_xlfn.XLOOKUP(records_2[Method]&amp;"-"&amp;records_2[Class], dAirSpec[ID], dAirSpec[Spec])</f>
        <v>100</v>
      </c>
      <c r="AA496" s="45" t="str">
        <f t="array" ref="AA496">_xlfn.XLOOKUP(records_2[Method]&amp;"-"&amp;records_2[Class], dAirSpec[ID], dAirSpec[Unit])</f>
        <v>cfu/plate</v>
      </c>
      <c r="AB496" s="58">
        <f t="array" ref="AB496">if(R496="","", if(records_2[Method]="Active Air",_xlfn.xlookup(records_2[ColonyCount]&amp;records_2[AirSampler],feller[code],feller[Vc]),records_2[ColonyCount]))</f>
        <v>0</v>
      </c>
      <c r="AC496" s="60" t="b">
        <f t="shared" si="1"/>
        <v>1</v>
      </c>
      <c r="AD496" s="61" t="b">
        <v>0</v>
      </c>
      <c r="AE496" s="32" t="s">
        <v>280</v>
      </c>
      <c r="AF496" s="46"/>
      <c r="AG496" s="46"/>
      <c r="AH496" s="46"/>
      <c r="AI496" s="46"/>
      <c r="AJ496" s="46"/>
    </row>
    <row r="497" ht="22.5" customHeight="1">
      <c r="A497" s="27">
        <v>46102.0</v>
      </c>
      <c r="B497" s="34" t="str">
        <f t="array" ref="B497">TEXT(A497, "MM-YYYY")</f>
        <v>03-2026</v>
      </c>
      <c r="C497" s="25" t="s">
        <v>177</v>
      </c>
      <c r="D497" s="36" t="s">
        <v>210</v>
      </c>
      <c r="E497" s="36" t="s">
        <v>213</v>
      </c>
      <c r="F497" s="29" t="b">
        <v>1</v>
      </c>
      <c r="G497" s="36" t="s">
        <v>214</v>
      </c>
      <c r="H497" s="36" t="s">
        <v>215</v>
      </c>
      <c r="I497" s="39"/>
      <c r="J497" s="43"/>
      <c r="K497" s="37" t="s">
        <v>396</v>
      </c>
      <c r="L497" s="37" t="s">
        <v>2374</v>
      </c>
      <c r="M497" s="37" t="s">
        <v>544</v>
      </c>
      <c r="N497" s="37" t="s">
        <v>369</v>
      </c>
      <c r="O497" s="37" t="s">
        <v>2326</v>
      </c>
      <c r="P497" s="37" t="s">
        <v>2327</v>
      </c>
      <c r="Q497" s="41">
        <v>46152.0</v>
      </c>
      <c r="R497" s="42">
        <v>2.0</v>
      </c>
      <c r="S497" s="44"/>
      <c r="T497" s="37" t="s">
        <v>2328</v>
      </c>
      <c r="U497" s="47" t="str">
        <f>IF(records_2[Type]="Room",records_2[roomNo],records_2[roomNo]&amp;"-"&amp;SUBSTITUTE(RIGHT(records_2[roomNo]&amp;records_2[Type],2),"-",""))</f>
        <v>10-3-145</v>
      </c>
      <c r="V497" s="47" t="str">
        <f t="array" ref="V497">_xlfn.XLOOKUP(records_2[ID], dAir[roomNo], dAir[roomName])</f>
        <v>COMPRESSION 1-P (LOW RH) (TABLET COMPRESSION MACHINE)</v>
      </c>
      <c r="W497" s="47" t="str">
        <f t="array" ref="W497">_xlfn.XLOOKUP(records_2[ID], dAir[roomNo], dAir[building])</f>
        <v>Building 10</v>
      </c>
      <c r="X497" s="47" t="str">
        <f t="array" ref="X497">_xlfn.XLOOKUP(records_2[ID], dAir[roomNo], dAir[floor])</f>
        <v>Floor 3</v>
      </c>
      <c r="Y497" s="45" t="str">
        <f t="array" ref="Y497">_xlfn.XLOOKUP(records_2[ID], dAir[roomNo], dAir[Class])</f>
        <v>D</v>
      </c>
      <c r="Z497" s="45">
        <f t="array" ref="Z497">_xlfn.XLOOKUP(records_2[Method]&amp;"-"&amp;records_2[Class], dAirSpec[ID], dAirSpec[Spec])</f>
        <v>100</v>
      </c>
      <c r="AA497" s="45" t="str">
        <f t="array" ref="AA497">_xlfn.XLOOKUP(records_2[Method]&amp;"-"&amp;records_2[Class], dAirSpec[ID], dAirSpec[Unit])</f>
        <v>cfu/plate</v>
      </c>
      <c r="AB497" s="58">
        <f t="array" ref="AB497">if(R497="","", if(records_2[Method]="Active Air",_xlfn.xlookup(records_2[ColonyCount]&amp;records_2[AirSampler],feller[code],feller[Vc]),records_2[ColonyCount]))</f>
        <v>2</v>
      </c>
      <c r="AC497" s="60" t="b">
        <f t="shared" si="1"/>
        <v>1</v>
      </c>
      <c r="AD497" s="61" t="b">
        <v>0</v>
      </c>
      <c r="AE497" s="32" t="s">
        <v>280</v>
      </c>
      <c r="AF497" s="46"/>
      <c r="AG497" s="46"/>
      <c r="AH497" s="46"/>
      <c r="AI497" s="46"/>
      <c r="AJ497" s="46"/>
    </row>
    <row r="498" ht="22.5" customHeight="1">
      <c r="A498" s="27">
        <v>46102.0</v>
      </c>
      <c r="B498" s="34" t="str">
        <f t="array" ref="B498">TEXT(A498, "MM-YYYY")</f>
        <v>03-2026</v>
      </c>
      <c r="C498" s="25" t="s">
        <v>1274</v>
      </c>
      <c r="D498" s="36" t="s">
        <v>210</v>
      </c>
      <c r="E498" s="36" t="s">
        <v>213</v>
      </c>
      <c r="F498" s="29" t="b">
        <v>1</v>
      </c>
      <c r="G498" s="36" t="s">
        <v>214</v>
      </c>
      <c r="H498" s="36" t="s">
        <v>215</v>
      </c>
      <c r="I498" s="39"/>
      <c r="J498" s="43"/>
      <c r="K498" s="37" t="s">
        <v>546</v>
      </c>
      <c r="L498" s="37" t="s">
        <v>1787</v>
      </c>
      <c r="M498" s="37" t="s">
        <v>544</v>
      </c>
      <c r="N498" s="37" t="s">
        <v>369</v>
      </c>
      <c r="O498" s="37" t="s">
        <v>2326</v>
      </c>
      <c r="P498" s="37" t="s">
        <v>2327</v>
      </c>
      <c r="Q498" s="41">
        <v>46152.0</v>
      </c>
      <c r="R498" s="42">
        <v>0.0</v>
      </c>
      <c r="S498" s="44"/>
      <c r="T498" s="37" t="s">
        <v>2328</v>
      </c>
      <c r="U498" s="47" t="str">
        <f>IF(records_2[Type]="Room",records_2[roomNo],records_2[roomNo]&amp;"-"&amp;SUBSTITUTE(RIGHT(records_2[roomNo]&amp;records_2[Type],2),"-",""))</f>
        <v>10-3-146</v>
      </c>
      <c r="V498" s="47" t="str">
        <f t="array" ref="V498">_xlfn.XLOOKUP(records_2[ID], dAir[roomNo], dAir[roomName])</f>
        <v>WEIGHING 1-P</v>
      </c>
      <c r="W498" s="47" t="str">
        <f t="array" ref="W498">_xlfn.XLOOKUP(records_2[ID], dAir[roomNo], dAir[building])</f>
        <v>Building 10</v>
      </c>
      <c r="X498" s="47" t="str">
        <f t="array" ref="X498">_xlfn.XLOOKUP(records_2[ID], dAir[roomNo], dAir[floor])</f>
        <v>Floor 3</v>
      </c>
      <c r="Y498" s="45" t="str">
        <f t="array" ref="Y498">_xlfn.XLOOKUP(records_2[ID], dAir[roomNo], dAir[Class])</f>
        <v>D</v>
      </c>
      <c r="Z498" s="45">
        <f t="array" ref="Z498">_xlfn.XLOOKUP(records_2[Method]&amp;"-"&amp;records_2[Class], dAirSpec[ID], dAirSpec[Spec])</f>
        <v>100</v>
      </c>
      <c r="AA498" s="45" t="str">
        <f t="array" ref="AA498">_xlfn.XLOOKUP(records_2[Method]&amp;"-"&amp;records_2[Class], dAirSpec[ID], dAirSpec[Unit])</f>
        <v>cfu/plate</v>
      </c>
      <c r="AB498" s="58">
        <f t="array" ref="AB498">if(R498="","", if(records_2[Method]="Active Air",_xlfn.xlookup(records_2[ColonyCount]&amp;records_2[AirSampler],feller[code],feller[Vc]),records_2[ColonyCount]))</f>
        <v>0</v>
      </c>
      <c r="AC498" s="60" t="b">
        <f t="shared" si="1"/>
        <v>1</v>
      </c>
      <c r="AD498" s="61" t="b">
        <v>0</v>
      </c>
      <c r="AE498" s="32" t="s">
        <v>280</v>
      </c>
      <c r="AF498" s="46"/>
      <c r="AG498" s="46"/>
      <c r="AH498" s="46"/>
      <c r="AI498" s="46"/>
      <c r="AJ498" s="46"/>
    </row>
    <row r="499" ht="22.5" customHeight="1">
      <c r="A499" s="27">
        <v>46102.0</v>
      </c>
      <c r="B499" s="34" t="str">
        <f t="array" ref="B499">TEXT(A499, "MM-YYYY")</f>
        <v>03-2026</v>
      </c>
      <c r="C499" s="25" t="s">
        <v>183</v>
      </c>
      <c r="D499" s="36" t="s">
        <v>210</v>
      </c>
      <c r="E499" s="36" t="s">
        <v>213</v>
      </c>
      <c r="F499" s="29" t="b">
        <v>1</v>
      </c>
      <c r="G499" s="36" t="s">
        <v>214</v>
      </c>
      <c r="H499" s="36" t="s">
        <v>215</v>
      </c>
      <c r="I499" s="39"/>
      <c r="J499" s="43"/>
      <c r="K499" s="37" t="s">
        <v>310</v>
      </c>
      <c r="L499" s="37" t="s">
        <v>1791</v>
      </c>
      <c r="M499" s="37" t="s">
        <v>544</v>
      </c>
      <c r="N499" s="37" t="s">
        <v>369</v>
      </c>
      <c r="O499" s="37" t="s">
        <v>2326</v>
      </c>
      <c r="P499" s="37" t="s">
        <v>2327</v>
      </c>
      <c r="Q499" s="41">
        <v>46152.0</v>
      </c>
      <c r="R499" s="42">
        <v>2.0</v>
      </c>
      <c r="S499" s="44"/>
      <c r="T499" s="37" t="s">
        <v>2328</v>
      </c>
      <c r="U499" s="47" t="str">
        <f>IF(records_2[Type]="Room",records_2[roomNo],records_2[roomNo]&amp;"-"&amp;SUBSTITUTE(RIGHT(records_2[roomNo]&amp;records_2[Type],2),"-",""))</f>
        <v>10-3-147</v>
      </c>
      <c r="V499" s="47" t="str">
        <f t="array" ref="V499">_xlfn.XLOOKUP(records_2[ID], dAir[roomNo], dAir[roomName])</f>
        <v>COMPRESSION 2-P (TABLET COMPRESSION MACHINE)</v>
      </c>
      <c r="W499" s="47" t="str">
        <f t="array" ref="W499">_xlfn.XLOOKUP(records_2[ID], dAir[roomNo], dAir[building])</f>
        <v>Building 10</v>
      </c>
      <c r="X499" s="47" t="str">
        <f t="array" ref="X499">_xlfn.XLOOKUP(records_2[ID], dAir[roomNo], dAir[floor])</f>
        <v>Floor 3</v>
      </c>
      <c r="Y499" s="45" t="str">
        <f t="array" ref="Y499">_xlfn.XLOOKUP(records_2[ID], dAir[roomNo], dAir[Class])</f>
        <v>D</v>
      </c>
      <c r="Z499" s="45">
        <f t="array" ref="Z499">_xlfn.XLOOKUP(records_2[Method]&amp;"-"&amp;records_2[Class], dAirSpec[ID], dAirSpec[Spec])</f>
        <v>100</v>
      </c>
      <c r="AA499" s="45" t="str">
        <f t="array" ref="AA499">_xlfn.XLOOKUP(records_2[Method]&amp;"-"&amp;records_2[Class], dAirSpec[ID], dAirSpec[Unit])</f>
        <v>cfu/plate</v>
      </c>
      <c r="AB499" s="58">
        <f t="array" ref="AB499">if(R499="","", if(records_2[Method]="Active Air",_xlfn.xlookup(records_2[ColonyCount]&amp;records_2[AirSampler],feller[code],feller[Vc]),records_2[ColonyCount]))</f>
        <v>2</v>
      </c>
      <c r="AC499" s="60" t="b">
        <f t="shared" si="1"/>
        <v>1</v>
      </c>
      <c r="AD499" s="61" t="b">
        <v>0</v>
      </c>
      <c r="AE499" s="32" t="s">
        <v>280</v>
      </c>
      <c r="AF499" s="46"/>
      <c r="AG499" s="46"/>
      <c r="AH499" s="46"/>
      <c r="AI499" s="46"/>
      <c r="AJ499" s="46"/>
    </row>
    <row r="500" ht="22.5" customHeight="1">
      <c r="A500" s="27">
        <v>46102.0</v>
      </c>
      <c r="B500" s="34" t="str">
        <f t="array" ref="B500">TEXT(A500, "MM-YYYY")</f>
        <v>03-2026</v>
      </c>
      <c r="C500" s="25" t="s">
        <v>1276</v>
      </c>
      <c r="D500" s="36" t="s">
        <v>210</v>
      </c>
      <c r="E500" s="36" t="s">
        <v>213</v>
      </c>
      <c r="F500" s="29" t="b">
        <v>1</v>
      </c>
      <c r="G500" s="36" t="s">
        <v>214</v>
      </c>
      <c r="H500" s="36" t="s">
        <v>215</v>
      </c>
      <c r="I500" s="39"/>
      <c r="J500" s="43"/>
      <c r="K500" s="37" t="s">
        <v>1157</v>
      </c>
      <c r="L500" s="37" t="s">
        <v>2375</v>
      </c>
      <c r="M500" s="37" t="s">
        <v>571</v>
      </c>
      <c r="N500" s="37" t="s">
        <v>2376</v>
      </c>
      <c r="O500" s="37" t="s">
        <v>2326</v>
      </c>
      <c r="P500" s="37" t="s">
        <v>2327</v>
      </c>
      <c r="Q500" s="41">
        <v>46152.0</v>
      </c>
      <c r="R500" s="42">
        <v>3.0</v>
      </c>
      <c r="S500" s="44"/>
      <c r="T500" s="37" t="s">
        <v>2328</v>
      </c>
      <c r="U500" s="47" t="str">
        <f>IF(records_2[Type]="Room",records_2[roomNo],records_2[roomNo]&amp;"-"&amp;SUBSTITUTE(RIGHT(records_2[roomNo]&amp;records_2[Type],2),"-",""))</f>
        <v>10-3-148</v>
      </c>
      <c r="V500" s="47" t="str">
        <f t="array" ref="V500">_xlfn.XLOOKUP(records_2[ID], dAir[roomNo], dAir[roomName])</f>
        <v>BULK STAGING 1-P</v>
      </c>
      <c r="W500" s="47" t="str">
        <f t="array" ref="W500">_xlfn.XLOOKUP(records_2[ID], dAir[roomNo], dAir[building])</f>
        <v>Building 10</v>
      </c>
      <c r="X500" s="47" t="str">
        <f t="array" ref="X500">_xlfn.XLOOKUP(records_2[ID], dAir[roomNo], dAir[floor])</f>
        <v>Floor 3</v>
      </c>
      <c r="Y500" s="45" t="str">
        <f t="array" ref="Y500">_xlfn.XLOOKUP(records_2[ID], dAir[roomNo], dAir[Class])</f>
        <v>D</v>
      </c>
      <c r="Z500" s="45">
        <f t="array" ref="Z500">_xlfn.XLOOKUP(records_2[Method]&amp;"-"&amp;records_2[Class], dAirSpec[ID], dAirSpec[Spec])</f>
        <v>100</v>
      </c>
      <c r="AA500" s="45" t="str">
        <f t="array" ref="AA500">_xlfn.XLOOKUP(records_2[Method]&amp;"-"&amp;records_2[Class], dAirSpec[ID], dAirSpec[Unit])</f>
        <v>cfu/plate</v>
      </c>
      <c r="AB500" s="58">
        <f t="array" ref="AB500">if(R500="","", if(records_2[Method]="Active Air",_xlfn.xlookup(records_2[ColonyCount]&amp;records_2[AirSampler],feller[code],feller[Vc]),records_2[ColonyCount]))</f>
        <v>3</v>
      </c>
      <c r="AC500" s="60" t="b">
        <f t="shared" si="1"/>
        <v>1</v>
      </c>
      <c r="AD500" s="61" t="b">
        <v>0</v>
      </c>
      <c r="AE500" s="32" t="s">
        <v>280</v>
      </c>
      <c r="AF500" s="46"/>
      <c r="AG500" s="46"/>
      <c r="AH500" s="46"/>
      <c r="AI500" s="46"/>
      <c r="AJ500" s="46"/>
    </row>
    <row r="501" ht="22.5" customHeight="1">
      <c r="A501" s="27">
        <v>46102.0</v>
      </c>
      <c r="B501" s="34" t="str">
        <f t="array" ref="B501">TEXT(A501, "MM-YYYY")</f>
        <v>03-2026</v>
      </c>
      <c r="C501" s="25" t="s">
        <v>1278</v>
      </c>
      <c r="D501" s="36" t="s">
        <v>210</v>
      </c>
      <c r="E501" s="36" t="s">
        <v>213</v>
      </c>
      <c r="F501" s="29" t="b">
        <v>1</v>
      </c>
      <c r="G501" s="36" t="s">
        <v>214</v>
      </c>
      <c r="H501" s="36" t="s">
        <v>215</v>
      </c>
      <c r="I501" s="39"/>
      <c r="J501" s="43"/>
      <c r="K501" s="37" t="s">
        <v>317</v>
      </c>
      <c r="L501" s="37" t="s">
        <v>477</v>
      </c>
      <c r="M501" s="37" t="s">
        <v>523</v>
      </c>
      <c r="N501" s="37" t="s">
        <v>713</v>
      </c>
      <c r="O501" s="37" t="s">
        <v>2326</v>
      </c>
      <c r="P501" s="37" t="s">
        <v>2327</v>
      </c>
      <c r="Q501" s="41">
        <v>46152.0</v>
      </c>
      <c r="R501" s="42">
        <v>2.0</v>
      </c>
      <c r="S501" s="44"/>
      <c r="T501" s="37" t="s">
        <v>2328</v>
      </c>
      <c r="U501" s="47" t="str">
        <f>IF(records_2[Type]="Room",records_2[roomNo],records_2[roomNo]&amp;"-"&amp;SUBSTITUTE(RIGHT(records_2[roomNo]&amp;records_2[Type],2),"-",""))</f>
        <v>10-3-149</v>
      </c>
      <c r="V501" s="47" t="str">
        <f t="array" ref="V501">_xlfn.XLOOKUP(records_2[ID], dAir[roomNo], dAir[roomName])</f>
        <v>IPQC 1-P</v>
      </c>
      <c r="W501" s="47" t="str">
        <f t="array" ref="W501">_xlfn.XLOOKUP(records_2[ID], dAir[roomNo], dAir[building])</f>
        <v>Building 10</v>
      </c>
      <c r="X501" s="47" t="str">
        <f t="array" ref="X501">_xlfn.XLOOKUP(records_2[ID], dAir[roomNo], dAir[floor])</f>
        <v>Floor 3</v>
      </c>
      <c r="Y501" s="45" t="str">
        <f t="array" ref="Y501">_xlfn.XLOOKUP(records_2[ID], dAir[roomNo], dAir[Class])</f>
        <v>D</v>
      </c>
      <c r="Z501" s="45">
        <f t="array" ref="Z501">_xlfn.XLOOKUP(records_2[Method]&amp;"-"&amp;records_2[Class], dAirSpec[ID], dAirSpec[Spec])</f>
        <v>100</v>
      </c>
      <c r="AA501" s="45" t="str">
        <f t="array" ref="AA501">_xlfn.XLOOKUP(records_2[Method]&amp;"-"&amp;records_2[Class], dAirSpec[ID], dAirSpec[Unit])</f>
        <v>cfu/plate</v>
      </c>
      <c r="AB501" s="58">
        <f t="array" ref="AB501">if(R501="","", if(records_2[Method]="Active Air",_xlfn.xlookup(records_2[ColonyCount]&amp;records_2[AirSampler],feller[code],feller[Vc]),records_2[ColonyCount]))</f>
        <v>2</v>
      </c>
      <c r="AC501" s="60" t="b">
        <f t="shared" si="1"/>
        <v>1</v>
      </c>
      <c r="AD501" s="61" t="b">
        <v>0</v>
      </c>
      <c r="AE501" s="32" t="s">
        <v>280</v>
      </c>
      <c r="AF501" s="46"/>
      <c r="AG501" s="46"/>
      <c r="AH501" s="46"/>
      <c r="AI501" s="46"/>
      <c r="AJ501" s="46"/>
    </row>
    <row r="502" ht="22.5" customHeight="1">
      <c r="A502" s="27">
        <v>46102.0</v>
      </c>
      <c r="B502" s="34" t="str">
        <f t="array" ref="B502">TEXT(A502, "MM-YYYY")</f>
        <v>03-2026</v>
      </c>
      <c r="C502" s="25" t="s">
        <v>1280</v>
      </c>
      <c r="D502" s="36" t="s">
        <v>210</v>
      </c>
      <c r="E502" s="36" t="s">
        <v>213</v>
      </c>
      <c r="F502" s="29" t="b">
        <v>1</v>
      </c>
      <c r="G502" s="36" t="s">
        <v>214</v>
      </c>
      <c r="H502" s="36" t="s">
        <v>215</v>
      </c>
      <c r="I502" s="39"/>
      <c r="J502" s="43"/>
      <c r="K502" s="37" t="s">
        <v>402</v>
      </c>
      <c r="L502" s="37" t="s">
        <v>1860</v>
      </c>
      <c r="M502" s="37" t="s">
        <v>523</v>
      </c>
      <c r="N502" s="37" t="s">
        <v>713</v>
      </c>
      <c r="O502" s="37" t="s">
        <v>2326</v>
      </c>
      <c r="P502" s="37" t="s">
        <v>2327</v>
      </c>
      <c r="Q502" s="41">
        <v>46152.0</v>
      </c>
      <c r="R502" s="42">
        <v>3.0</v>
      </c>
      <c r="S502" s="44"/>
      <c r="T502" s="37" t="s">
        <v>2328</v>
      </c>
      <c r="U502" s="47" t="str">
        <f>IF(records_2[Type]="Room",records_2[roomNo],records_2[roomNo]&amp;"-"&amp;SUBSTITUTE(RIGHT(records_2[roomNo]&amp;records_2[Type],2),"-",""))</f>
        <v>10-3-150</v>
      </c>
      <c r="V502" s="47" t="str">
        <f t="array" ref="V502">_xlfn.XLOOKUP(records_2[ID], dAir[roomNo], dAir[roomName])</f>
        <v>AIRLOCK-P</v>
      </c>
      <c r="W502" s="47" t="str">
        <f t="array" ref="W502">_xlfn.XLOOKUP(records_2[ID], dAir[roomNo], dAir[building])</f>
        <v>Building 10</v>
      </c>
      <c r="X502" s="47" t="str">
        <f t="array" ref="X502">_xlfn.XLOOKUP(records_2[ID], dAir[roomNo], dAir[floor])</f>
        <v>Floor 3</v>
      </c>
      <c r="Y502" s="45" t="str">
        <f t="array" ref="Y502">_xlfn.XLOOKUP(records_2[ID], dAir[roomNo], dAir[Class])</f>
        <v>D</v>
      </c>
      <c r="Z502" s="45">
        <f t="array" ref="Z502">_xlfn.XLOOKUP(records_2[Method]&amp;"-"&amp;records_2[Class], dAirSpec[ID], dAirSpec[Spec])</f>
        <v>100</v>
      </c>
      <c r="AA502" s="45" t="str">
        <f t="array" ref="AA502">_xlfn.XLOOKUP(records_2[Method]&amp;"-"&amp;records_2[Class], dAirSpec[ID], dAirSpec[Unit])</f>
        <v>cfu/plate</v>
      </c>
      <c r="AB502" s="58">
        <f t="array" ref="AB502">if(R502="","", if(records_2[Method]="Active Air",_xlfn.xlookup(records_2[ColonyCount]&amp;records_2[AirSampler],feller[code],feller[Vc]),records_2[ColonyCount]))</f>
        <v>3</v>
      </c>
      <c r="AC502" s="60" t="b">
        <f t="shared" si="1"/>
        <v>1</v>
      </c>
      <c r="AD502" s="61" t="b">
        <v>0</v>
      </c>
      <c r="AE502" s="32" t="s">
        <v>280</v>
      </c>
      <c r="AF502" s="46"/>
      <c r="AG502" s="46"/>
      <c r="AH502" s="46"/>
      <c r="AI502" s="46"/>
      <c r="AJ502" s="46"/>
    </row>
    <row r="503" ht="22.5" customHeight="1">
      <c r="A503" s="27">
        <v>46102.0</v>
      </c>
      <c r="B503" s="34" t="str">
        <f t="array" ref="B503">TEXT(A503, "MM-YYYY")</f>
        <v>03-2026</v>
      </c>
      <c r="C503" s="25" t="s">
        <v>1281</v>
      </c>
      <c r="D503" s="36" t="s">
        <v>210</v>
      </c>
      <c r="E503" s="36" t="s">
        <v>213</v>
      </c>
      <c r="F503" s="29" t="b">
        <v>1</v>
      </c>
      <c r="G503" s="36" t="s">
        <v>214</v>
      </c>
      <c r="H503" s="36" t="s">
        <v>215</v>
      </c>
      <c r="I503" s="39"/>
      <c r="J503" s="43"/>
      <c r="K503" s="37" t="s">
        <v>787</v>
      </c>
      <c r="L503" s="37" t="s">
        <v>518</v>
      </c>
      <c r="M503" s="37" t="s">
        <v>523</v>
      </c>
      <c r="N503" s="37" t="s">
        <v>713</v>
      </c>
      <c r="O503" s="37" t="s">
        <v>2326</v>
      </c>
      <c r="P503" s="37" t="s">
        <v>2327</v>
      </c>
      <c r="Q503" s="41">
        <v>46152.0</v>
      </c>
      <c r="R503" s="42">
        <v>1.0</v>
      </c>
      <c r="S503" s="44"/>
      <c r="T503" s="37" t="s">
        <v>2328</v>
      </c>
      <c r="U503" s="47" t="str">
        <f>IF(records_2[Type]="Room",records_2[roomNo],records_2[roomNo]&amp;"-"&amp;SUBSTITUTE(RIGHT(records_2[roomNo]&amp;records_2[Type],2),"-",""))</f>
        <v>10-3-151</v>
      </c>
      <c r="V503" s="47" t="str">
        <f t="array" ref="V503">_xlfn.XLOOKUP(records_2[ID], dAir[roomNo], dAir[roomName])</f>
        <v>USED EQUIPMENT-P</v>
      </c>
      <c r="W503" s="47" t="str">
        <f t="array" ref="W503">_xlfn.XLOOKUP(records_2[ID], dAir[roomNo], dAir[building])</f>
        <v>Building 10</v>
      </c>
      <c r="X503" s="47" t="str">
        <f t="array" ref="X503">_xlfn.XLOOKUP(records_2[ID], dAir[roomNo], dAir[floor])</f>
        <v>Floor 3</v>
      </c>
      <c r="Y503" s="45" t="str">
        <f t="array" ref="Y503">_xlfn.XLOOKUP(records_2[ID], dAir[roomNo], dAir[Class])</f>
        <v>D</v>
      </c>
      <c r="Z503" s="45">
        <f t="array" ref="Z503">_xlfn.XLOOKUP(records_2[Method]&amp;"-"&amp;records_2[Class], dAirSpec[ID], dAirSpec[Spec])</f>
        <v>100</v>
      </c>
      <c r="AA503" s="45" t="str">
        <f t="array" ref="AA503">_xlfn.XLOOKUP(records_2[Method]&amp;"-"&amp;records_2[Class], dAirSpec[ID], dAirSpec[Unit])</f>
        <v>cfu/plate</v>
      </c>
      <c r="AB503" s="58">
        <f t="array" ref="AB503">if(R503="","", if(records_2[Method]="Active Air",_xlfn.xlookup(records_2[ColonyCount]&amp;records_2[AirSampler],feller[code],feller[Vc]),records_2[ColonyCount]))</f>
        <v>1</v>
      </c>
      <c r="AC503" s="60" t="b">
        <f t="shared" si="1"/>
        <v>1</v>
      </c>
      <c r="AD503" s="61" t="b">
        <v>0</v>
      </c>
      <c r="AE503" s="32" t="s">
        <v>280</v>
      </c>
      <c r="AF503" s="46"/>
      <c r="AG503" s="46"/>
      <c r="AH503" s="46"/>
      <c r="AI503" s="46"/>
      <c r="AJ503" s="46"/>
    </row>
    <row r="504" ht="22.5" customHeight="1">
      <c r="A504" s="27">
        <v>46102.0</v>
      </c>
      <c r="B504" s="34" t="str">
        <f t="array" ref="B504">TEXT(A504, "MM-YYYY")</f>
        <v>03-2026</v>
      </c>
      <c r="C504" s="25" t="s">
        <v>1282</v>
      </c>
      <c r="D504" s="36" t="s">
        <v>210</v>
      </c>
      <c r="E504" s="36" t="s">
        <v>213</v>
      </c>
      <c r="F504" s="29" t="b">
        <v>1</v>
      </c>
      <c r="G504" s="36" t="s">
        <v>214</v>
      </c>
      <c r="H504" s="36" t="s">
        <v>215</v>
      </c>
      <c r="I504" s="39"/>
      <c r="J504" s="43"/>
      <c r="K504" s="37" t="s">
        <v>787</v>
      </c>
      <c r="L504" s="37" t="s">
        <v>608</v>
      </c>
      <c r="M504" s="37" t="s">
        <v>515</v>
      </c>
      <c r="N504" s="37" t="s">
        <v>724</v>
      </c>
      <c r="O504" s="37" t="s">
        <v>2326</v>
      </c>
      <c r="P504" s="37" t="s">
        <v>2327</v>
      </c>
      <c r="Q504" s="41">
        <v>46152.0</v>
      </c>
      <c r="R504" s="42">
        <v>3.0</v>
      </c>
      <c r="S504" s="44"/>
      <c r="T504" s="37" t="s">
        <v>2328</v>
      </c>
      <c r="U504" s="47" t="str">
        <f>IF(records_2[Type]="Room",records_2[roomNo],records_2[roomNo]&amp;"-"&amp;SUBSTITUTE(RIGHT(records_2[roomNo]&amp;records_2[Type],2),"-",""))</f>
        <v>10-3-152</v>
      </c>
      <c r="V504" s="47" t="str">
        <f t="array" ref="V504">_xlfn.XLOOKUP(records_2[ID], dAir[roomNo], dAir[roomName])</f>
        <v>WASHING-P</v>
      </c>
      <c r="W504" s="47" t="str">
        <f t="array" ref="W504">_xlfn.XLOOKUP(records_2[ID], dAir[roomNo], dAir[building])</f>
        <v>Building 10</v>
      </c>
      <c r="X504" s="47" t="str">
        <f t="array" ref="X504">_xlfn.XLOOKUP(records_2[ID], dAir[roomNo], dAir[floor])</f>
        <v>Floor 3</v>
      </c>
      <c r="Y504" s="45" t="str">
        <f t="array" ref="Y504">_xlfn.XLOOKUP(records_2[ID], dAir[roomNo], dAir[Class])</f>
        <v>D</v>
      </c>
      <c r="Z504" s="45">
        <f t="array" ref="Z504">_xlfn.XLOOKUP(records_2[Method]&amp;"-"&amp;records_2[Class], dAirSpec[ID], dAirSpec[Spec])</f>
        <v>100</v>
      </c>
      <c r="AA504" s="45" t="str">
        <f t="array" ref="AA504">_xlfn.XLOOKUP(records_2[Method]&amp;"-"&amp;records_2[Class], dAirSpec[ID], dAirSpec[Unit])</f>
        <v>cfu/plate</v>
      </c>
      <c r="AB504" s="58">
        <f t="array" ref="AB504">if(R504="","", if(records_2[Method]="Active Air",_xlfn.xlookup(records_2[ColonyCount]&amp;records_2[AirSampler],feller[code],feller[Vc]),records_2[ColonyCount]))</f>
        <v>3</v>
      </c>
      <c r="AC504" s="60" t="b">
        <f t="shared" si="1"/>
        <v>1</v>
      </c>
      <c r="AD504" s="61" t="b">
        <v>0</v>
      </c>
      <c r="AE504" s="32" t="s">
        <v>280</v>
      </c>
      <c r="AF504" s="46"/>
      <c r="AG504" s="46"/>
      <c r="AH504" s="46"/>
      <c r="AI504" s="46"/>
      <c r="AJ504" s="46"/>
    </row>
    <row r="505" ht="22.5" customHeight="1">
      <c r="A505" s="27">
        <v>46102.0</v>
      </c>
      <c r="B505" s="34" t="str">
        <f t="array" ref="B505">TEXT(A505, "MM-YYYY")</f>
        <v>03-2026</v>
      </c>
      <c r="C505" s="25" t="s">
        <v>1283</v>
      </c>
      <c r="D505" s="36" t="s">
        <v>210</v>
      </c>
      <c r="E505" s="36" t="s">
        <v>213</v>
      </c>
      <c r="F505" s="29" t="b">
        <v>1</v>
      </c>
      <c r="G505" s="36" t="s">
        <v>214</v>
      </c>
      <c r="H505" s="36" t="s">
        <v>215</v>
      </c>
      <c r="I505" s="39"/>
      <c r="J505" s="43"/>
      <c r="K505" s="37" t="s">
        <v>1157</v>
      </c>
      <c r="L505" s="37" t="s">
        <v>488</v>
      </c>
      <c r="M505" s="37" t="s">
        <v>593</v>
      </c>
      <c r="N505" s="37" t="s">
        <v>369</v>
      </c>
      <c r="O505" s="37" t="s">
        <v>2326</v>
      </c>
      <c r="P505" s="37" t="s">
        <v>2327</v>
      </c>
      <c r="Q505" s="41">
        <v>46152.0</v>
      </c>
      <c r="R505" s="42">
        <v>0.0</v>
      </c>
      <c r="S505" s="44"/>
      <c r="T505" s="37" t="s">
        <v>2328</v>
      </c>
      <c r="U505" s="47" t="str">
        <f>IF(records_2[Type]="Room",records_2[roomNo],records_2[roomNo]&amp;"-"&amp;SUBSTITUTE(RIGHT(records_2[roomNo]&amp;records_2[Type],2),"-",""))</f>
        <v>10-3-153</v>
      </c>
      <c r="V505" s="47" t="str">
        <f t="array" ref="V505">_xlfn.XLOOKUP(records_2[ID], dAir[roomNo], dAir[roomName])</f>
        <v>CLEANED EQUIPMENT-P</v>
      </c>
      <c r="W505" s="47" t="str">
        <f t="array" ref="W505">_xlfn.XLOOKUP(records_2[ID], dAir[roomNo], dAir[building])</f>
        <v>Building 10</v>
      </c>
      <c r="X505" s="47" t="str">
        <f t="array" ref="X505">_xlfn.XLOOKUP(records_2[ID], dAir[roomNo], dAir[floor])</f>
        <v>Floor 3</v>
      </c>
      <c r="Y505" s="45" t="str">
        <f t="array" ref="Y505">_xlfn.XLOOKUP(records_2[ID], dAir[roomNo], dAir[Class])</f>
        <v>D</v>
      </c>
      <c r="Z505" s="45">
        <f t="array" ref="Z505">_xlfn.XLOOKUP(records_2[Method]&amp;"-"&amp;records_2[Class], dAirSpec[ID], dAirSpec[Spec])</f>
        <v>100</v>
      </c>
      <c r="AA505" s="45" t="str">
        <f t="array" ref="AA505">_xlfn.XLOOKUP(records_2[Method]&amp;"-"&amp;records_2[Class], dAirSpec[ID], dAirSpec[Unit])</f>
        <v>cfu/plate</v>
      </c>
      <c r="AB505" s="58">
        <f t="array" ref="AB505">if(R505="","", if(records_2[Method]="Active Air",_xlfn.xlookup(records_2[ColonyCount]&amp;records_2[AirSampler],feller[code],feller[Vc]),records_2[ColonyCount]))</f>
        <v>0</v>
      </c>
      <c r="AC505" s="60" t="b">
        <f t="shared" si="1"/>
        <v>1</v>
      </c>
      <c r="AD505" s="61" t="b">
        <v>0</v>
      </c>
      <c r="AE505" s="32" t="s">
        <v>280</v>
      </c>
      <c r="AF505" s="46"/>
      <c r="AG505" s="46"/>
      <c r="AH505" s="46"/>
      <c r="AI505" s="46"/>
      <c r="AJ505" s="46"/>
    </row>
    <row r="506" ht="22.5" customHeight="1">
      <c r="A506" s="27">
        <v>46102.0</v>
      </c>
      <c r="B506" s="34" t="str">
        <f t="array" ref="B506">TEXT(A506, "MM-YYYY")</f>
        <v>03-2026</v>
      </c>
      <c r="C506" s="25" t="s">
        <v>1284</v>
      </c>
      <c r="D506" s="36" t="s">
        <v>210</v>
      </c>
      <c r="E506" s="36" t="s">
        <v>213</v>
      </c>
      <c r="F506" s="29" t="b">
        <v>1</v>
      </c>
      <c r="G506" s="36" t="s">
        <v>214</v>
      </c>
      <c r="H506" s="36" t="s">
        <v>215</v>
      </c>
      <c r="I506" s="39"/>
      <c r="J506" s="43"/>
      <c r="K506" s="37" t="s">
        <v>353</v>
      </c>
      <c r="L506" s="37" t="s">
        <v>407</v>
      </c>
      <c r="M506" s="37" t="s">
        <v>593</v>
      </c>
      <c r="N506" s="37" t="s">
        <v>2377</v>
      </c>
      <c r="O506" s="37" t="s">
        <v>2326</v>
      </c>
      <c r="P506" s="37" t="s">
        <v>2327</v>
      </c>
      <c r="Q506" s="41">
        <v>46152.0</v>
      </c>
      <c r="R506" s="42">
        <v>1.0</v>
      </c>
      <c r="S506" s="44"/>
      <c r="T506" s="37" t="s">
        <v>2328</v>
      </c>
      <c r="U506" s="47" t="str">
        <f>IF(records_2[Type]="Room",records_2[roomNo],records_2[roomNo]&amp;"-"&amp;SUBSTITUTE(RIGHT(records_2[roomNo]&amp;records_2[Type],2),"-",""))</f>
        <v>10-3-154</v>
      </c>
      <c r="V506" s="47" t="str">
        <f t="array" ref="V506">_xlfn.XLOOKUP(records_2[ID], dAir[roomNo], dAir[roomName])</f>
        <v>JANITOR-P</v>
      </c>
      <c r="W506" s="47" t="str">
        <f t="array" ref="W506">_xlfn.XLOOKUP(records_2[ID], dAir[roomNo], dAir[building])</f>
        <v>Building 10</v>
      </c>
      <c r="X506" s="47" t="str">
        <f t="array" ref="X506">_xlfn.XLOOKUP(records_2[ID], dAir[roomNo], dAir[floor])</f>
        <v>Floor 3</v>
      </c>
      <c r="Y506" s="45" t="str">
        <f t="array" ref="Y506">_xlfn.XLOOKUP(records_2[ID], dAir[roomNo], dAir[Class])</f>
        <v>D</v>
      </c>
      <c r="Z506" s="45">
        <f t="array" ref="Z506">_xlfn.XLOOKUP(records_2[Method]&amp;"-"&amp;records_2[Class], dAirSpec[ID], dAirSpec[Spec])</f>
        <v>100</v>
      </c>
      <c r="AA506" s="45" t="str">
        <f t="array" ref="AA506">_xlfn.XLOOKUP(records_2[Method]&amp;"-"&amp;records_2[Class], dAirSpec[ID], dAirSpec[Unit])</f>
        <v>cfu/plate</v>
      </c>
      <c r="AB506" s="58">
        <f t="array" ref="AB506">if(R506="","", if(records_2[Method]="Active Air",_xlfn.xlookup(records_2[ColonyCount]&amp;records_2[AirSampler],feller[code],feller[Vc]),records_2[ColonyCount]))</f>
        <v>1</v>
      </c>
      <c r="AC506" s="60" t="b">
        <f t="shared" si="1"/>
        <v>1</v>
      </c>
      <c r="AD506" s="61" t="b">
        <v>0</v>
      </c>
      <c r="AE506" s="32" t="s">
        <v>280</v>
      </c>
      <c r="AF506" s="46"/>
      <c r="AG506" s="46"/>
      <c r="AH506" s="46"/>
      <c r="AI506" s="46"/>
      <c r="AJ506" s="46"/>
    </row>
    <row r="507" ht="22.5" customHeight="1">
      <c r="A507" s="27">
        <v>46102.0</v>
      </c>
      <c r="B507" s="34" t="str">
        <f t="array" ref="B507">TEXT(A507, "MM-YYYY")</f>
        <v>03-2026</v>
      </c>
      <c r="C507" s="25" t="s">
        <v>1285</v>
      </c>
      <c r="D507" s="36" t="s">
        <v>210</v>
      </c>
      <c r="E507" s="36" t="s">
        <v>213</v>
      </c>
      <c r="F507" s="29" t="b">
        <v>1</v>
      </c>
      <c r="G507" s="36" t="s">
        <v>214</v>
      </c>
      <c r="H507" s="36" t="s">
        <v>215</v>
      </c>
      <c r="I507" s="39"/>
      <c r="J507" s="43"/>
      <c r="K507" s="37" t="s">
        <v>353</v>
      </c>
      <c r="L507" s="37" t="s">
        <v>532</v>
      </c>
      <c r="M507" s="37" t="s">
        <v>593</v>
      </c>
      <c r="N507" s="37" t="s">
        <v>2377</v>
      </c>
      <c r="O507" s="37" t="s">
        <v>2326</v>
      </c>
      <c r="P507" s="37" t="s">
        <v>2327</v>
      </c>
      <c r="Q507" s="41">
        <v>46152.0</v>
      </c>
      <c r="R507" s="42">
        <v>2.0</v>
      </c>
      <c r="S507" s="44"/>
      <c r="T507" s="37" t="s">
        <v>2328</v>
      </c>
      <c r="U507" s="47" t="str">
        <f>IF(records_2[Type]="Room",records_2[roomNo],records_2[roomNo]&amp;"-"&amp;SUBSTITUTE(RIGHT(records_2[roomNo]&amp;records_2[Type],2),"-",""))</f>
        <v>10-3-155</v>
      </c>
      <c r="V507" s="47" t="str">
        <f t="array" ref="V507">_xlfn.XLOOKUP(records_2[ID], dAir[roomNo], dAir[roomName])</f>
        <v>OFFICE-P</v>
      </c>
      <c r="W507" s="47" t="str">
        <f t="array" ref="W507">_xlfn.XLOOKUP(records_2[ID], dAir[roomNo], dAir[building])</f>
        <v>Building 10</v>
      </c>
      <c r="X507" s="47" t="str">
        <f t="array" ref="X507">_xlfn.XLOOKUP(records_2[ID], dAir[roomNo], dAir[floor])</f>
        <v>Floor 3</v>
      </c>
      <c r="Y507" s="45" t="str">
        <f t="array" ref="Y507">_xlfn.XLOOKUP(records_2[ID], dAir[roomNo], dAir[Class])</f>
        <v>D</v>
      </c>
      <c r="Z507" s="45">
        <f t="array" ref="Z507">_xlfn.XLOOKUP(records_2[Method]&amp;"-"&amp;records_2[Class], dAirSpec[ID], dAirSpec[Spec])</f>
        <v>100</v>
      </c>
      <c r="AA507" s="45" t="str">
        <f t="array" ref="AA507">_xlfn.XLOOKUP(records_2[Method]&amp;"-"&amp;records_2[Class], dAirSpec[ID], dAirSpec[Unit])</f>
        <v>cfu/plate</v>
      </c>
      <c r="AB507" s="58">
        <f t="array" ref="AB507">if(R507="","", if(records_2[Method]="Active Air",_xlfn.xlookup(records_2[ColonyCount]&amp;records_2[AirSampler],feller[code],feller[Vc]),records_2[ColonyCount]))</f>
        <v>2</v>
      </c>
      <c r="AC507" s="60" t="b">
        <f t="shared" si="1"/>
        <v>1</v>
      </c>
      <c r="AD507" s="61" t="b">
        <v>0</v>
      </c>
      <c r="AE507" s="32" t="s">
        <v>280</v>
      </c>
      <c r="AF507" s="46"/>
      <c r="AG507" s="46"/>
      <c r="AH507" s="46"/>
      <c r="AI507" s="46"/>
      <c r="AJ507" s="46"/>
    </row>
    <row r="508" ht="22.5" customHeight="1">
      <c r="A508" s="27">
        <v>46102.0</v>
      </c>
      <c r="B508" s="34" t="str">
        <f t="array" ref="B508">TEXT(A508, "MM-YYYY")</f>
        <v>03-2026</v>
      </c>
      <c r="C508" s="25" t="s">
        <v>1286</v>
      </c>
      <c r="D508" s="36" t="s">
        <v>210</v>
      </c>
      <c r="E508" s="36" t="s">
        <v>213</v>
      </c>
      <c r="F508" s="29" t="b">
        <v>1</v>
      </c>
      <c r="G508" s="36" t="s">
        <v>214</v>
      </c>
      <c r="H508" s="36" t="s">
        <v>215</v>
      </c>
      <c r="I508" s="39"/>
      <c r="J508" s="43"/>
      <c r="K508" s="37" t="s">
        <v>396</v>
      </c>
      <c r="L508" s="37" t="s">
        <v>707</v>
      </c>
      <c r="M508" s="37" t="s">
        <v>593</v>
      </c>
      <c r="N508" s="37" t="s">
        <v>2377</v>
      </c>
      <c r="O508" s="37" t="s">
        <v>2326</v>
      </c>
      <c r="P508" s="37" t="s">
        <v>2327</v>
      </c>
      <c r="Q508" s="41">
        <v>46152.0</v>
      </c>
      <c r="R508" s="42">
        <v>0.0</v>
      </c>
      <c r="S508" s="44"/>
      <c r="T508" s="37" t="s">
        <v>2328</v>
      </c>
      <c r="U508" s="47" t="str">
        <f>IF(records_2[Type]="Room",records_2[roomNo],records_2[roomNo]&amp;"-"&amp;SUBSTITUTE(RIGHT(records_2[roomNo]&amp;records_2[Type],2),"-",""))</f>
        <v>10-3-156</v>
      </c>
      <c r="V508" s="47" t="str">
        <f t="array" ref="V508">_xlfn.XLOOKUP(records_2[ID], dAir[roomNo], dAir[roomName])</f>
        <v>AIRLOCK-P</v>
      </c>
      <c r="W508" s="47" t="str">
        <f t="array" ref="W508">_xlfn.XLOOKUP(records_2[ID], dAir[roomNo], dAir[building])</f>
        <v>Building 10</v>
      </c>
      <c r="X508" s="47" t="str">
        <f t="array" ref="X508">_xlfn.XLOOKUP(records_2[ID], dAir[roomNo], dAir[floor])</f>
        <v>Floor 3</v>
      </c>
      <c r="Y508" s="45" t="str">
        <f t="array" ref="Y508">_xlfn.XLOOKUP(records_2[ID], dAir[roomNo], dAir[Class])</f>
        <v>D</v>
      </c>
      <c r="Z508" s="45">
        <f t="array" ref="Z508">_xlfn.XLOOKUP(records_2[Method]&amp;"-"&amp;records_2[Class], dAirSpec[ID], dAirSpec[Spec])</f>
        <v>100</v>
      </c>
      <c r="AA508" s="45" t="str">
        <f t="array" ref="AA508">_xlfn.XLOOKUP(records_2[Method]&amp;"-"&amp;records_2[Class], dAirSpec[ID], dAirSpec[Unit])</f>
        <v>cfu/plate</v>
      </c>
      <c r="AB508" s="58">
        <f t="array" ref="AB508">if(R508="","", if(records_2[Method]="Active Air",_xlfn.xlookup(records_2[ColonyCount]&amp;records_2[AirSampler],feller[code],feller[Vc]),records_2[ColonyCount]))</f>
        <v>0</v>
      </c>
      <c r="AC508" s="60" t="b">
        <f t="shared" si="1"/>
        <v>1</v>
      </c>
      <c r="AD508" s="61" t="b">
        <v>0</v>
      </c>
      <c r="AE508" s="32" t="s">
        <v>280</v>
      </c>
      <c r="AF508" s="46"/>
      <c r="AG508" s="46"/>
      <c r="AH508" s="46"/>
      <c r="AI508" s="46"/>
      <c r="AJ508" s="46"/>
    </row>
    <row r="509" ht="22.5" customHeight="1">
      <c r="A509" s="27">
        <v>46102.0</v>
      </c>
      <c r="B509" s="34" t="str">
        <f t="array" ref="B509">TEXT(A509, "MM-YYYY")</f>
        <v>03-2026</v>
      </c>
      <c r="C509" s="25" t="s">
        <v>1287</v>
      </c>
      <c r="D509" s="36" t="s">
        <v>210</v>
      </c>
      <c r="E509" s="36" t="s">
        <v>213</v>
      </c>
      <c r="F509" s="29" t="b">
        <v>1</v>
      </c>
      <c r="G509" s="36" t="s">
        <v>214</v>
      </c>
      <c r="H509" s="36" t="s">
        <v>215</v>
      </c>
      <c r="I509" s="39"/>
      <c r="J509" s="43"/>
      <c r="K509" s="37" t="s">
        <v>578</v>
      </c>
      <c r="L509" s="37" t="s">
        <v>742</v>
      </c>
      <c r="M509" s="37" t="s">
        <v>602</v>
      </c>
      <c r="N509" s="37" t="s">
        <v>2378</v>
      </c>
      <c r="O509" s="37" t="s">
        <v>2326</v>
      </c>
      <c r="P509" s="37" t="s">
        <v>2327</v>
      </c>
      <c r="Q509" s="41">
        <v>46152.0</v>
      </c>
      <c r="R509" s="42">
        <v>0.0</v>
      </c>
      <c r="S509" s="44" t="s">
        <v>2011</v>
      </c>
      <c r="T509" s="37" t="s">
        <v>2328</v>
      </c>
      <c r="U509" s="47" t="str">
        <f>IF(records_2[Type]="Room",records_2[roomNo],records_2[roomNo]&amp;"-"&amp;SUBSTITUTE(RIGHT(records_2[roomNo]&amp;records_2[Type],2),"-",""))</f>
        <v>10-3-157</v>
      </c>
      <c r="V509" s="47" t="str">
        <f t="array" ref="V509">_xlfn.XLOOKUP(records_2[ID], dAir[roomNo], dAir[roomName])</f>
        <v>CORRIDOR-P</v>
      </c>
      <c r="W509" s="47" t="str">
        <f t="array" ref="W509">_xlfn.XLOOKUP(records_2[ID], dAir[roomNo], dAir[building])</f>
        <v>Building 10</v>
      </c>
      <c r="X509" s="47" t="str">
        <f t="array" ref="X509">_xlfn.XLOOKUP(records_2[ID], dAir[roomNo], dAir[floor])</f>
        <v>Floor 3</v>
      </c>
      <c r="Y509" s="45" t="str">
        <f t="array" ref="Y509">_xlfn.XLOOKUP(records_2[ID], dAir[roomNo], dAir[Class])</f>
        <v>D</v>
      </c>
      <c r="Z509" s="45">
        <f t="array" ref="Z509">_xlfn.XLOOKUP(records_2[Method]&amp;"-"&amp;records_2[Class], dAirSpec[ID], dAirSpec[Spec])</f>
        <v>100</v>
      </c>
      <c r="AA509" s="45" t="str">
        <f t="array" ref="AA509">_xlfn.XLOOKUP(records_2[Method]&amp;"-"&amp;records_2[Class], dAirSpec[ID], dAirSpec[Unit])</f>
        <v>cfu/plate</v>
      </c>
      <c r="AB509" s="58">
        <f t="array" ref="AB509">if(R509="","", if(records_2[Method]="Active Air",_xlfn.xlookup(records_2[ColonyCount]&amp;records_2[AirSampler],feller[code],feller[Vc]),records_2[ColonyCount]))</f>
        <v>0</v>
      </c>
      <c r="AC509" s="60" t="b">
        <f t="shared" si="1"/>
        <v>1</v>
      </c>
      <c r="AD509" s="61" t="b">
        <v>0</v>
      </c>
      <c r="AE509" s="32" t="s">
        <v>280</v>
      </c>
      <c r="AF509" s="46"/>
      <c r="AG509" s="46"/>
      <c r="AH509" s="46"/>
      <c r="AI509" s="46"/>
      <c r="AJ509" s="46"/>
    </row>
    <row r="510" ht="22.5" customHeight="1">
      <c r="A510" s="27">
        <v>46102.0</v>
      </c>
      <c r="B510" s="34" t="str">
        <f t="array" ref="B510">TEXT(A510, "MM-YYYY")</f>
        <v>03-2026</v>
      </c>
      <c r="C510" s="25" t="s">
        <v>1288</v>
      </c>
      <c r="D510" s="36" t="s">
        <v>210</v>
      </c>
      <c r="E510" s="36" t="s">
        <v>213</v>
      </c>
      <c r="F510" s="29" t="b">
        <v>1</v>
      </c>
      <c r="G510" s="36" t="s">
        <v>214</v>
      </c>
      <c r="H510" s="36" t="s">
        <v>215</v>
      </c>
      <c r="I510" s="39"/>
      <c r="J510" s="43"/>
      <c r="K510" s="37" t="s">
        <v>569</v>
      </c>
      <c r="L510" s="37" t="s">
        <v>1721</v>
      </c>
      <c r="M510" s="37" t="s">
        <v>602</v>
      </c>
      <c r="N510" s="37" t="s">
        <v>2378</v>
      </c>
      <c r="O510" s="37" t="s">
        <v>2326</v>
      </c>
      <c r="P510" s="37" t="s">
        <v>2327</v>
      </c>
      <c r="Q510" s="41">
        <v>46152.0</v>
      </c>
      <c r="R510" s="42">
        <v>0.0</v>
      </c>
      <c r="S510" s="44"/>
      <c r="T510" s="37" t="s">
        <v>2328</v>
      </c>
      <c r="U510" s="47" t="str">
        <f>IF(records_2[Type]="Room",records_2[roomNo],records_2[roomNo]&amp;"-"&amp;SUBSTITUTE(RIGHT(records_2[roomNo]&amp;records_2[Type],2),"-",""))</f>
        <v>10-3-158</v>
      </c>
      <c r="V510" s="47" t="str">
        <f t="array" ref="V510">_xlfn.XLOOKUP(records_2[ID], dAir[roomNo], dAir[roomName])</f>
        <v>IPQC 2-P</v>
      </c>
      <c r="W510" s="47" t="str">
        <f t="array" ref="W510">_xlfn.XLOOKUP(records_2[ID], dAir[roomNo], dAir[building])</f>
        <v>Building 10</v>
      </c>
      <c r="X510" s="47" t="str">
        <f t="array" ref="X510">_xlfn.XLOOKUP(records_2[ID], dAir[roomNo], dAir[floor])</f>
        <v>Floor 3</v>
      </c>
      <c r="Y510" s="45" t="str">
        <f t="array" ref="Y510">_xlfn.XLOOKUP(records_2[ID], dAir[roomNo], dAir[Class])</f>
        <v>D</v>
      </c>
      <c r="Z510" s="45">
        <f t="array" ref="Z510">_xlfn.XLOOKUP(records_2[Method]&amp;"-"&amp;records_2[Class], dAirSpec[ID], dAirSpec[Spec])</f>
        <v>100</v>
      </c>
      <c r="AA510" s="45" t="str">
        <f t="array" ref="AA510">_xlfn.XLOOKUP(records_2[Method]&amp;"-"&amp;records_2[Class], dAirSpec[ID], dAirSpec[Unit])</f>
        <v>cfu/plate</v>
      </c>
      <c r="AB510" s="58">
        <f t="array" ref="AB510">if(R510="","", if(records_2[Method]="Active Air",_xlfn.xlookup(records_2[ColonyCount]&amp;records_2[AirSampler],feller[code],feller[Vc]),records_2[ColonyCount]))</f>
        <v>0</v>
      </c>
      <c r="AC510" s="60" t="b">
        <f t="shared" si="1"/>
        <v>1</v>
      </c>
      <c r="AD510" s="61" t="b">
        <v>0</v>
      </c>
      <c r="AE510" s="32" t="s">
        <v>280</v>
      </c>
      <c r="AF510" s="46"/>
      <c r="AG510" s="46"/>
      <c r="AH510" s="46"/>
      <c r="AI510" s="46"/>
      <c r="AJ510" s="46"/>
    </row>
    <row r="511" ht="22.5" customHeight="1">
      <c r="A511" s="27">
        <v>46102.0</v>
      </c>
      <c r="B511" s="34" t="str">
        <f t="array" ref="B511">TEXT(A511, "MM-YYYY")</f>
        <v>03-2026</v>
      </c>
      <c r="C511" s="25" t="s">
        <v>231</v>
      </c>
      <c r="D511" s="36" t="s">
        <v>210</v>
      </c>
      <c r="E511" s="36" t="s">
        <v>213</v>
      </c>
      <c r="F511" s="29" t="b">
        <v>1</v>
      </c>
      <c r="G511" s="36" t="s">
        <v>214</v>
      </c>
      <c r="H511" s="36" t="s">
        <v>215</v>
      </c>
      <c r="I511" s="39"/>
      <c r="J511" s="43"/>
      <c r="K511" s="37" t="s">
        <v>326</v>
      </c>
      <c r="L511" s="37" t="s">
        <v>481</v>
      </c>
      <c r="M511" s="37" t="s">
        <v>602</v>
      </c>
      <c r="N511" s="37" t="s">
        <v>2376</v>
      </c>
      <c r="O511" s="37" t="s">
        <v>2326</v>
      </c>
      <c r="P511" s="37" t="s">
        <v>2327</v>
      </c>
      <c r="Q511" s="41">
        <v>46152.0</v>
      </c>
      <c r="R511" s="42">
        <v>2.0</v>
      </c>
      <c r="S511" s="44"/>
      <c r="T511" s="37" t="s">
        <v>2328</v>
      </c>
      <c r="U511" s="47" t="str">
        <f>IF(records_2[Type]="Room",records_2[roomNo],records_2[roomNo]&amp;"-"&amp;SUBSTITUTE(RIGHT(records_2[roomNo]&amp;records_2[Type],2),"-",""))</f>
        <v>10-3-159</v>
      </c>
      <c r="V511" s="47" t="str">
        <f t="array" ref="V511">_xlfn.XLOOKUP(records_2[ID], dAir[roomNo], dAir[roomName])</f>
        <v>BINDER PREPARATION-P  (BINDER PREPARATION MACHINE)</v>
      </c>
      <c r="W511" s="47" t="str">
        <f t="array" ref="W511">_xlfn.XLOOKUP(records_2[ID], dAir[roomNo], dAir[building])</f>
        <v>Building 10</v>
      </c>
      <c r="X511" s="47" t="str">
        <f t="array" ref="X511">_xlfn.XLOOKUP(records_2[ID], dAir[roomNo], dAir[floor])</f>
        <v>Floor 3</v>
      </c>
      <c r="Y511" s="45" t="str">
        <f t="array" ref="Y511">_xlfn.XLOOKUP(records_2[ID], dAir[roomNo], dAir[Class])</f>
        <v>D</v>
      </c>
      <c r="Z511" s="45">
        <f t="array" ref="Z511">_xlfn.XLOOKUP(records_2[Method]&amp;"-"&amp;records_2[Class], dAirSpec[ID], dAirSpec[Spec])</f>
        <v>100</v>
      </c>
      <c r="AA511" s="45" t="str">
        <f t="array" ref="AA511">_xlfn.XLOOKUP(records_2[Method]&amp;"-"&amp;records_2[Class], dAirSpec[ID], dAirSpec[Unit])</f>
        <v>cfu/plate</v>
      </c>
      <c r="AB511" s="58">
        <f t="array" ref="AB511">if(R511="","", if(records_2[Method]="Active Air",_xlfn.xlookup(records_2[ColonyCount]&amp;records_2[AirSampler],feller[code],feller[Vc]),records_2[ColonyCount]))</f>
        <v>2</v>
      </c>
      <c r="AC511" s="60" t="b">
        <f t="shared" si="1"/>
        <v>1</v>
      </c>
      <c r="AD511" s="61" t="b">
        <v>0</v>
      </c>
      <c r="AE511" s="32" t="s">
        <v>280</v>
      </c>
      <c r="AF511" s="46"/>
      <c r="AG511" s="46"/>
      <c r="AH511" s="46"/>
      <c r="AI511" s="46"/>
      <c r="AJ511" s="46"/>
    </row>
    <row r="512" ht="22.5" customHeight="1">
      <c r="A512" s="27">
        <v>46102.0</v>
      </c>
      <c r="B512" s="34" t="str">
        <f t="array" ref="B512">TEXT(A512, "MM-YYYY")</f>
        <v>03-2026</v>
      </c>
      <c r="C512" s="25" t="s">
        <v>233</v>
      </c>
      <c r="D512" s="36" t="s">
        <v>210</v>
      </c>
      <c r="E512" s="36" t="s">
        <v>213</v>
      </c>
      <c r="F512" s="29" t="b">
        <v>1</v>
      </c>
      <c r="G512" s="36" t="s">
        <v>214</v>
      </c>
      <c r="H512" s="36" t="s">
        <v>215</v>
      </c>
      <c r="I512" s="39"/>
      <c r="J512" s="43"/>
      <c r="K512" s="37" t="s">
        <v>2379</v>
      </c>
      <c r="L512" s="37" t="s">
        <v>908</v>
      </c>
      <c r="M512" s="37" t="s">
        <v>2381</v>
      </c>
      <c r="N512" s="37" t="s">
        <v>431</v>
      </c>
      <c r="O512" s="37" t="s">
        <v>2326</v>
      </c>
      <c r="P512" s="37" t="s">
        <v>2327</v>
      </c>
      <c r="Q512" s="41">
        <v>46152.0</v>
      </c>
      <c r="R512" s="42">
        <v>0.0</v>
      </c>
      <c r="S512" s="44"/>
      <c r="T512" s="37" t="s">
        <v>2328</v>
      </c>
      <c r="U512" s="47" t="str">
        <f>IF(records_2[Type]="Room",records_2[roomNo],records_2[roomNo]&amp;"-"&amp;SUBSTITUTE(RIGHT(records_2[roomNo]&amp;records_2[Type],2),"-",""))</f>
        <v>10-3-160</v>
      </c>
      <c r="V512" s="47" t="str">
        <f t="array" ref="V512">_xlfn.XLOOKUP(records_2[ID], dAir[roomNo], dAir[roomName])</f>
        <v>DRY GRANULATION-P (LOW RH) (ROLL COMPACTOR)</v>
      </c>
      <c r="W512" s="47" t="str">
        <f t="array" ref="W512">_xlfn.XLOOKUP(records_2[ID], dAir[roomNo], dAir[building])</f>
        <v>Building 10</v>
      </c>
      <c r="X512" s="47" t="str">
        <f t="array" ref="X512">_xlfn.XLOOKUP(records_2[ID], dAir[roomNo], dAir[floor])</f>
        <v>Floor 3</v>
      </c>
      <c r="Y512" s="45" t="str">
        <f t="array" ref="Y512">_xlfn.XLOOKUP(records_2[ID], dAir[roomNo], dAir[Class])</f>
        <v>D</v>
      </c>
      <c r="Z512" s="45">
        <f t="array" ref="Z512">_xlfn.XLOOKUP(records_2[Method]&amp;"-"&amp;records_2[Class], dAirSpec[ID], dAirSpec[Spec])</f>
        <v>100</v>
      </c>
      <c r="AA512" s="45" t="str">
        <f t="array" ref="AA512">_xlfn.XLOOKUP(records_2[Method]&amp;"-"&amp;records_2[Class], dAirSpec[ID], dAirSpec[Unit])</f>
        <v>cfu/plate</v>
      </c>
      <c r="AB512" s="58">
        <f t="array" ref="AB512">if(R512="","", if(records_2[Method]="Active Air",_xlfn.xlookup(records_2[ColonyCount]&amp;records_2[AirSampler],feller[code],feller[Vc]),records_2[ColonyCount]))</f>
        <v>0</v>
      </c>
      <c r="AC512" s="60" t="b">
        <f t="shared" si="1"/>
        <v>1</v>
      </c>
      <c r="AD512" s="61" t="b">
        <v>0</v>
      </c>
      <c r="AE512" s="32" t="s">
        <v>280</v>
      </c>
      <c r="AF512" s="46"/>
      <c r="AG512" s="46"/>
      <c r="AH512" s="46"/>
      <c r="AI512" s="46"/>
      <c r="AJ512" s="46"/>
    </row>
    <row r="513" ht="22.5" customHeight="1">
      <c r="A513" s="27">
        <v>46102.0</v>
      </c>
      <c r="B513" s="34" t="str">
        <f t="array" ref="B513">TEXT(A513, "MM-YYYY")</f>
        <v>03-2026</v>
      </c>
      <c r="C513" s="25" t="s">
        <v>1291</v>
      </c>
      <c r="D513" s="36" t="s">
        <v>210</v>
      </c>
      <c r="E513" s="36" t="s">
        <v>213</v>
      </c>
      <c r="F513" s="29" t="b">
        <v>1</v>
      </c>
      <c r="G513" s="36" t="s">
        <v>214</v>
      </c>
      <c r="H513" s="36" t="s">
        <v>215</v>
      </c>
      <c r="I513" s="39"/>
      <c r="J513" s="43"/>
      <c r="K513" s="37" t="s">
        <v>798</v>
      </c>
      <c r="L513" s="37" t="s">
        <v>324</v>
      </c>
      <c r="M513" s="37" t="s">
        <v>2381</v>
      </c>
      <c r="N513" s="37" t="s">
        <v>431</v>
      </c>
      <c r="O513" s="37" t="s">
        <v>2326</v>
      </c>
      <c r="P513" s="37" t="s">
        <v>2327</v>
      </c>
      <c r="Q513" s="41">
        <v>46152.0</v>
      </c>
      <c r="R513" s="42">
        <v>0.0</v>
      </c>
      <c r="S513" s="44"/>
      <c r="T513" s="37" t="s">
        <v>2328</v>
      </c>
      <c r="U513" s="47" t="str">
        <f>IF(records_2[Type]="Room",records_2[roomNo],records_2[roomNo]&amp;"-"&amp;SUBSTITUTE(RIGHT(records_2[roomNo]&amp;records_2[Type],2),"-",""))</f>
        <v>10-3-161</v>
      </c>
      <c r="V513" s="47" t="str">
        <f t="array" ref="V513">_xlfn.XLOOKUP(records_2[ID], dAir[roomNo], dAir[roomName])</f>
        <v>WEIGHING-P</v>
      </c>
      <c r="W513" s="47" t="str">
        <f t="array" ref="W513">_xlfn.XLOOKUP(records_2[ID], dAir[roomNo], dAir[building])</f>
        <v>Building 10</v>
      </c>
      <c r="X513" s="47" t="str">
        <f t="array" ref="X513">_xlfn.XLOOKUP(records_2[ID], dAir[roomNo], dAir[floor])</f>
        <v>Floor 3</v>
      </c>
      <c r="Y513" s="45" t="str">
        <f t="array" ref="Y513">_xlfn.XLOOKUP(records_2[ID], dAir[roomNo], dAir[Class])</f>
        <v>D</v>
      </c>
      <c r="Z513" s="45">
        <f t="array" ref="Z513">_xlfn.XLOOKUP(records_2[Method]&amp;"-"&amp;records_2[Class], dAirSpec[ID], dAirSpec[Spec])</f>
        <v>100</v>
      </c>
      <c r="AA513" s="45" t="str">
        <f t="array" ref="AA513">_xlfn.XLOOKUP(records_2[Method]&amp;"-"&amp;records_2[Class], dAirSpec[ID], dAirSpec[Unit])</f>
        <v>cfu/plate</v>
      </c>
      <c r="AB513" s="58">
        <f t="array" ref="AB513">if(R513="","", if(records_2[Method]="Active Air",_xlfn.xlookup(records_2[ColonyCount]&amp;records_2[AirSampler],feller[code],feller[Vc]),records_2[ColonyCount]))</f>
        <v>0</v>
      </c>
      <c r="AC513" s="60" t="b">
        <f t="shared" si="1"/>
        <v>1</v>
      </c>
      <c r="AD513" s="61" t="b">
        <v>0</v>
      </c>
      <c r="AE513" s="32" t="s">
        <v>280</v>
      </c>
      <c r="AF513" s="46"/>
      <c r="AG513" s="46"/>
      <c r="AH513" s="46"/>
      <c r="AI513" s="46"/>
      <c r="AJ513" s="46"/>
    </row>
    <row r="514" ht="22.5" customHeight="1">
      <c r="A514" s="27">
        <v>46102.0</v>
      </c>
      <c r="B514" s="34" t="str">
        <f t="array" ref="B514">TEXT(A514, "MM-YYYY")</f>
        <v>03-2026</v>
      </c>
      <c r="C514" s="25" t="s">
        <v>1293</v>
      </c>
      <c r="D514" s="36" t="s">
        <v>210</v>
      </c>
      <c r="E514" s="36" t="s">
        <v>213</v>
      </c>
      <c r="F514" s="29" t="b">
        <v>1</v>
      </c>
      <c r="G514" s="36" t="s">
        <v>214</v>
      </c>
      <c r="H514" s="36" t="s">
        <v>215</v>
      </c>
      <c r="I514" s="39"/>
      <c r="J514" s="43"/>
      <c r="K514" s="37" t="s">
        <v>1157</v>
      </c>
      <c r="L514" s="37" t="s">
        <v>2382</v>
      </c>
      <c r="M514" s="37" t="s">
        <v>2383</v>
      </c>
      <c r="N514" s="37" t="s">
        <v>441</v>
      </c>
      <c r="O514" s="37" t="s">
        <v>2326</v>
      </c>
      <c r="P514" s="37" t="s">
        <v>2327</v>
      </c>
      <c r="Q514" s="41">
        <v>46152.0</v>
      </c>
      <c r="R514" s="42">
        <v>1.0</v>
      </c>
      <c r="S514" s="44"/>
      <c r="T514" s="37" t="s">
        <v>2328</v>
      </c>
      <c r="U514" s="47" t="str">
        <f>IF(records_2[Type]="Room",records_2[roomNo],records_2[roomNo]&amp;"-"&amp;SUBSTITUTE(RIGHT(records_2[roomNo]&amp;records_2[Type],2),"-",""))</f>
        <v>10-3-162</v>
      </c>
      <c r="V514" s="47" t="str">
        <f t="array" ref="V514">_xlfn.XLOOKUP(records_2[ID], dAir[roomNo], dAir[roomName])</f>
        <v>BLENDING-P</v>
      </c>
      <c r="W514" s="47" t="str">
        <f t="array" ref="W514">_xlfn.XLOOKUP(records_2[ID], dAir[roomNo], dAir[building])</f>
        <v>Building 10</v>
      </c>
      <c r="X514" s="47" t="str">
        <f t="array" ref="X514">_xlfn.XLOOKUP(records_2[ID], dAir[roomNo], dAir[floor])</f>
        <v>Floor 3</v>
      </c>
      <c r="Y514" s="45" t="str">
        <f t="array" ref="Y514">_xlfn.XLOOKUP(records_2[ID], dAir[roomNo], dAir[Class])</f>
        <v>D</v>
      </c>
      <c r="Z514" s="45">
        <f t="array" ref="Z514">_xlfn.XLOOKUP(records_2[Method]&amp;"-"&amp;records_2[Class], dAirSpec[ID], dAirSpec[Spec])</f>
        <v>100</v>
      </c>
      <c r="AA514" s="45" t="str">
        <f t="array" ref="AA514">_xlfn.XLOOKUP(records_2[Method]&amp;"-"&amp;records_2[Class], dAirSpec[ID], dAirSpec[Unit])</f>
        <v>cfu/plate</v>
      </c>
      <c r="AB514" s="58">
        <f t="array" ref="AB514">if(R514="","", if(records_2[Method]="Active Air",_xlfn.xlookup(records_2[ColonyCount]&amp;records_2[AirSampler],feller[code],feller[Vc]),records_2[ColonyCount]))</f>
        <v>1</v>
      </c>
      <c r="AC514" s="60" t="b">
        <f t="shared" si="1"/>
        <v>1</v>
      </c>
      <c r="AD514" s="61" t="b">
        <v>0</v>
      </c>
      <c r="AE514" s="32" t="s">
        <v>280</v>
      </c>
      <c r="AF514" s="46"/>
      <c r="AG514" s="46"/>
      <c r="AH514" s="46"/>
      <c r="AI514" s="46"/>
      <c r="AJ514" s="46"/>
    </row>
    <row r="515" ht="22.5" customHeight="1">
      <c r="A515" s="27">
        <v>46102.0</v>
      </c>
      <c r="B515" s="34" t="str">
        <f t="array" ref="B515">TEXT(A515, "MM-YYYY")</f>
        <v>03-2026</v>
      </c>
      <c r="C515" s="25" t="s">
        <v>1295</v>
      </c>
      <c r="D515" s="36" t="s">
        <v>210</v>
      </c>
      <c r="E515" s="36" t="s">
        <v>213</v>
      </c>
      <c r="F515" s="29" t="b">
        <v>1</v>
      </c>
      <c r="G515" s="36" t="s">
        <v>214</v>
      </c>
      <c r="H515" s="36" t="s">
        <v>215</v>
      </c>
      <c r="I515" s="39"/>
      <c r="J515" s="43"/>
      <c r="K515" s="37" t="s">
        <v>435</v>
      </c>
      <c r="L515" s="37" t="s">
        <v>1721</v>
      </c>
      <c r="M515" s="37" t="s">
        <v>571</v>
      </c>
      <c r="N515" s="37" t="s">
        <v>441</v>
      </c>
      <c r="O515" s="37" t="s">
        <v>2326</v>
      </c>
      <c r="P515" s="37" t="s">
        <v>2327</v>
      </c>
      <c r="Q515" s="41">
        <v>46152.0</v>
      </c>
      <c r="R515" s="42">
        <v>0.0</v>
      </c>
      <c r="S515" s="44"/>
      <c r="T515" s="37" t="s">
        <v>2328</v>
      </c>
      <c r="U515" s="47" t="str">
        <f>IF(records_2[Type]="Room",records_2[roomNo],records_2[roomNo]&amp;"-"&amp;SUBSTITUTE(RIGHT(records_2[roomNo]&amp;records_2[Type],2),"-",""))</f>
        <v>10-3-163</v>
      </c>
      <c r="V515" s="47" t="str">
        <f t="array" ref="V515">_xlfn.XLOOKUP(records_2[ID], dAir[roomNo], dAir[roomName])</f>
        <v>WET GRANULATION 1-P</v>
      </c>
      <c r="W515" s="47" t="str">
        <f t="array" ref="W515">_xlfn.XLOOKUP(records_2[ID], dAir[roomNo], dAir[building])</f>
        <v>Building 10</v>
      </c>
      <c r="X515" s="47" t="str">
        <f t="array" ref="X515">_xlfn.XLOOKUP(records_2[ID], dAir[roomNo], dAir[floor])</f>
        <v>Floor 3</v>
      </c>
      <c r="Y515" s="45" t="str">
        <f t="array" ref="Y515">_xlfn.XLOOKUP(records_2[ID], dAir[roomNo], dAir[Class])</f>
        <v>D</v>
      </c>
      <c r="Z515" s="45">
        <f t="array" ref="Z515">_xlfn.XLOOKUP(records_2[Method]&amp;"-"&amp;records_2[Class], dAirSpec[ID], dAirSpec[Spec])</f>
        <v>100</v>
      </c>
      <c r="AA515" s="45" t="str">
        <f t="array" ref="AA515">_xlfn.XLOOKUP(records_2[Method]&amp;"-"&amp;records_2[Class], dAirSpec[ID], dAirSpec[Unit])</f>
        <v>cfu/plate</v>
      </c>
      <c r="AB515" s="58">
        <f t="array" ref="AB515">if(R515="","", if(records_2[Method]="Active Air",_xlfn.xlookup(records_2[ColonyCount]&amp;records_2[AirSampler],feller[code],feller[Vc]),records_2[ColonyCount]))</f>
        <v>0</v>
      </c>
      <c r="AC515" s="60" t="b">
        <f t="shared" si="1"/>
        <v>1</v>
      </c>
      <c r="AD515" s="61" t="b">
        <v>0</v>
      </c>
      <c r="AE515" s="32" t="s">
        <v>280</v>
      </c>
      <c r="AF515" s="46"/>
      <c r="AG515" s="46"/>
      <c r="AH515" s="46"/>
      <c r="AI515" s="46"/>
      <c r="AJ515" s="46"/>
    </row>
    <row r="516" ht="22.5" customHeight="1">
      <c r="A516" s="27">
        <v>46102.0</v>
      </c>
      <c r="B516" s="34" t="str">
        <f t="array" ref="B516">TEXT(A516, "MM-YYYY")</f>
        <v>03-2026</v>
      </c>
      <c r="C516" s="25" t="s">
        <v>1298</v>
      </c>
      <c r="D516" s="36" t="s">
        <v>210</v>
      </c>
      <c r="E516" s="36" t="s">
        <v>213</v>
      </c>
      <c r="F516" s="29" t="b">
        <v>1</v>
      </c>
      <c r="G516" s="36" t="s">
        <v>214</v>
      </c>
      <c r="H516" s="36" t="s">
        <v>215</v>
      </c>
      <c r="I516" s="39"/>
      <c r="J516" s="43"/>
      <c r="K516" s="37" t="s">
        <v>539</v>
      </c>
      <c r="L516" s="37" t="s">
        <v>2334</v>
      </c>
      <c r="M516" s="37" t="s">
        <v>602</v>
      </c>
      <c r="N516" s="37" t="s">
        <v>2378</v>
      </c>
      <c r="O516" s="37" t="s">
        <v>2326</v>
      </c>
      <c r="P516" s="37" t="s">
        <v>2327</v>
      </c>
      <c r="Q516" s="41">
        <v>46152.0</v>
      </c>
      <c r="R516" s="42">
        <v>0.0</v>
      </c>
      <c r="S516" s="44"/>
      <c r="T516" s="37" t="s">
        <v>2328</v>
      </c>
      <c r="U516" s="47" t="str">
        <f>IF(records_2[Type]="Room",records_2[roomNo],records_2[roomNo]&amp;"-"&amp;SUBSTITUTE(RIGHT(records_2[roomNo]&amp;records_2[Type],2),"-",""))</f>
        <v>10-3-164</v>
      </c>
      <c r="V516" s="47" t="str">
        <f t="array" ref="V516">_xlfn.XLOOKUP(records_2[ID], dAir[roomNo], dAir[roomName])</f>
        <v>WET GRANULATION 2-P</v>
      </c>
      <c r="W516" s="47" t="str">
        <f t="array" ref="W516">_xlfn.XLOOKUP(records_2[ID], dAir[roomNo], dAir[building])</f>
        <v>Building 10</v>
      </c>
      <c r="X516" s="47" t="str">
        <f t="array" ref="X516">_xlfn.XLOOKUP(records_2[ID], dAir[roomNo], dAir[floor])</f>
        <v>Floor 3</v>
      </c>
      <c r="Y516" s="45" t="str">
        <f t="array" ref="Y516">_xlfn.XLOOKUP(records_2[ID], dAir[roomNo], dAir[Class])</f>
        <v>D</v>
      </c>
      <c r="Z516" s="45">
        <f t="array" ref="Z516">_xlfn.XLOOKUP(records_2[Method]&amp;"-"&amp;records_2[Class], dAirSpec[ID], dAirSpec[Spec])</f>
        <v>100</v>
      </c>
      <c r="AA516" s="45" t="str">
        <f t="array" ref="AA516">_xlfn.XLOOKUP(records_2[Method]&amp;"-"&amp;records_2[Class], dAirSpec[ID], dAirSpec[Unit])</f>
        <v>cfu/plate</v>
      </c>
      <c r="AB516" s="58">
        <f t="array" ref="AB516">if(R516="","", if(records_2[Method]="Active Air",_xlfn.xlookup(records_2[ColonyCount]&amp;records_2[AirSampler],feller[code],feller[Vc]),records_2[ColonyCount]))</f>
        <v>0</v>
      </c>
      <c r="AC516" s="60" t="b">
        <f t="shared" si="1"/>
        <v>1</v>
      </c>
      <c r="AD516" s="61" t="b">
        <v>0</v>
      </c>
      <c r="AE516" s="32" t="s">
        <v>280</v>
      </c>
      <c r="AF516" s="46"/>
      <c r="AG516" s="46"/>
      <c r="AH516" s="46"/>
      <c r="AI516" s="46"/>
      <c r="AJ516" s="46"/>
    </row>
    <row r="517" ht="22.5" customHeight="1">
      <c r="A517" s="27">
        <v>46102.0</v>
      </c>
      <c r="B517" s="34" t="str">
        <f t="array" ref="B517">TEXT(A517, "MM-YYYY")</f>
        <v>03-2026</v>
      </c>
      <c r="C517" s="25" t="s">
        <v>1300</v>
      </c>
      <c r="D517" s="36" t="s">
        <v>210</v>
      </c>
      <c r="E517" s="36" t="s">
        <v>213</v>
      </c>
      <c r="F517" s="29" t="b">
        <v>1</v>
      </c>
      <c r="G517" s="36" t="s">
        <v>214</v>
      </c>
      <c r="H517" s="36" t="s">
        <v>215</v>
      </c>
      <c r="I517" s="39"/>
      <c r="J517" s="43"/>
      <c r="K517" s="37" t="s">
        <v>435</v>
      </c>
      <c r="L517" s="37" t="s">
        <v>2329</v>
      </c>
      <c r="M517" s="37" t="s">
        <v>2384</v>
      </c>
      <c r="N517" s="37" t="s">
        <v>478</v>
      </c>
      <c r="O517" s="37" t="s">
        <v>2326</v>
      </c>
      <c r="P517" s="37" t="s">
        <v>2327</v>
      </c>
      <c r="Q517" s="41">
        <v>46152.0</v>
      </c>
      <c r="R517" s="42">
        <v>0.0</v>
      </c>
      <c r="S517" s="44"/>
      <c r="T517" s="37" t="s">
        <v>2328</v>
      </c>
      <c r="U517" s="47" t="str">
        <f>IF(records_2[Type]="Room",records_2[roomNo],records_2[roomNo]&amp;"-"&amp;SUBSTITUTE(RIGHT(records_2[roomNo]&amp;records_2[Type],2),"-",""))</f>
        <v>10-3-165</v>
      </c>
      <c r="V517" s="47" t="str">
        <f t="array" ref="V517">_xlfn.XLOOKUP(records_2[ID], dAir[roomNo], dAir[roomName])</f>
        <v>AIRLOCK-P</v>
      </c>
      <c r="W517" s="47" t="str">
        <f t="array" ref="W517">_xlfn.XLOOKUP(records_2[ID], dAir[roomNo], dAir[building])</f>
        <v>Building 10</v>
      </c>
      <c r="X517" s="47" t="str">
        <f t="array" ref="X517">_xlfn.XLOOKUP(records_2[ID], dAir[roomNo], dAir[floor])</f>
        <v>Floor 3</v>
      </c>
      <c r="Y517" s="45" t="str">
        <f t="array" ref="Y517">_xlfn.XLOOKUP(records_2[ID], dAir[roomNo], dAir[Class])</f>
        <v>D</v>
      </c>
      <c r="Z517" s="45">
        <f t="array" ref="Z517">_xlfn.XLOOKUP(records_2[Method]&amp;"-"&amp;records_2[Class], dAirSpec[ID], dAirSpec[Spec])</f>
        <v>100</v>
      </c>
      <c r="AA517" s="45" t="str">
        <f t="array" ref="AA517">_xlfn.XLOOKUP(records_2[Method]&amp;"-"&amp;records_2[Class], dAirSpec[ID], dAirSpec[Unit])</f>
        <v>cfu/plate</v>
      </c>
      <c r="AB517" s="58">
        <f t="array" ref="AB517">if(R517="","", if(records_2[Method]="Active Air",_xlfn.xlookup(records_2[ColonyCount]&amp;records_2[AirSampler],feller[code],feller[Vc]),records_2[ColonyCount]))</f>
        <v>0</v>
      </c>
      <c r="AC517" s="60" t="b">
        <f t="shared" si="1"/>
        <v>1</v>
      </c>
      <c r="AD517" s="61" t="b">
        <v>0</v>
      </c>
      <c r="AE517" s="32" t="s">
        <v>280</v>
      </c>
      <c r="AF517" s="46"/>
      <c r="AG517" s="46"/>
      <c r="AH517" s="46"/>
      <c r="AI517" s="46"/>
      <c r="AJ517" s="46"/>
    </row>
    <row r="518" ht="22.5" customHeight="1">
      <c r="A518" s="27">
        <v>46102.0</v>
      </c>
      <c r="B518" s="34" t="str">
        <f t="array" ref="B518">TEXT(A518, "MM-YYYY")</f>
        <v>03-2026</v>
      </c>
      <c r="C518" s="25" t="s">
        <v>1301</v>
      </c>
      <c r="D518" s="36" t="s">
        <v>210</v>
      </c>
      <c r="E518" s="36" t="s">
        <v>213</v>
      </c>
      <c r="F518" s="29" t="b">
        <v>1</v>
      </c>
      <c r="G518" s="36" t="s">
        <v>214</v>
      </c>
      <c r="H518" s="36" t="s">
        <v>215</v>
      </c>
      <c r="I518" s="39"/>
      <c r="J518" s="43"/>
      <c r="K518" s="37" t="s">
        <v>539</v>
      </c>
      <c r="L518" s="37" t="s">
        <v>742</v>
      </c>
      <c r="M518" s="37" t="s">
        <v>2321</v>
      </c>
      <c r="N518" s="37" t="s">
        <v>478</v>
      </c>
      <c r="O518" s="37" t="s">
        <v>2326</v>
      </c>
      <c r="P518" s="37" t="s">
        <v>2327</v>
      </c>
      <c r="Q518" s="41">
        <v>46152.0</v>
      </c>
      <c r="R518" s="42">
        <v>0.0</v>
      </c>
      <c r="S518" s="44" t="s">
        <v>2011</v>
      </c>
      <c r="T518" s="37" t="s">
        <v>2328</v>
      </c>
      <c r="U518" s="47" t="str">
        <f>IF(records_2[Type]="Room",records_2[roomNo],records_2[roomNo]&amp;"-"&amp;SUBSTITUTE(RIGHT(records_2[roomNo]&amp;records_2[Type],2),"-",""))</f>
        <v>10-3-166</v>
      </c>
      <c r="V518" s="47" t="str">
        <f t="array" ref="V518">_xlfn.XLOOKUP(records_2[ID], dAir[roomNo], dAir[roomName])</f>
        <v>CORRIDOR-P</v>
      </c>
      <c r="W518" s="47" t="str">
        <f t="array" ref="W518">_xlfn.XLOOKUP(records_2[ID], dAir[roomNo], dAir[building])</f>
        <v>Building 10</v>
      </c>
      <c r="X518" s="47" t="str">
        <f t="array" ref="X518">_xlfn.XLOOKUP(records_2[ID], dAir[roomNo], dAir[floor])</f>
        <v>Floor 3</v>
      </c>
      <c r="Y518" s="45" t="str">
        <f t="array" ref="Y518">_xlfn.XLOOKUP(records_2[ID], dAir[roomNo], dAir[Class])</f>
        <v>D</v>
      </c>
      <c r="Z518" s="45">
        <f t="array" ref="Z518">_xlfn.XLOOKUP(records_2[Method]&amp;"-"&amp;records_2[Class], dAirSpec[ID], dAirSpec[Spec])</f>
        <v>100</v>
      </c>
      <c r="AA518" s="45" t="str">
        <f t="array" ref="AA518">_xlfn.XLOOKUP(records_2[Method]&amp;"-"&amp;records_2[Class], dAirSpec[ID], dAirSpec[Unit])</f>
        <v>cfu/plate</v>
      </c>
      <c r="AB518" s="58">
        <f t="array" ref="AB518">if(R518="","", if(records_2[Method]="Active Air",_xlfn.xlookup(records_2[ColonyCount]&amp;records_2[AirSampler],feller[code],feller[Vc]),records_2[ColonyCount]))</f>
        <v>0</v>
      </c>
      <c r="AC518" s="60" t="b">
        <f t="shared" si="1"/>
        <v>1</v>
      </c>
      <c r="AD518" s="61" t="b">
        <v>0</v>
      </c>
      <c r="AE518" s="32" t="s">
        <v>280</v>
      </c>
      <c r="AF518" s="46"/>
      <c r="AG518" s="46"/>
      <c r="AH518" s="46"/>
      <c r="AI518" s="46"/>
      <c r="AJ518" s="46"/>
    </row>
    <row r="519" ht="22.5" customHeight="1">
      <c r="A519" s="27">
        <v>46102.0</v>
      </c>
      <c r="B519" s="34" t="str">
        <f t="array" ref="B519">TEXT(A519, "MM-YYYY")</f>
        <v>03-2026</v>
      </c>
      <c r="C519" s="25" t="s">
        <v>1302</v>
      </c>
      <c r="D519" s="36" t="s">
        <v>210</v>
      </c>
      <c r="E519" s="36" t="s">
        <v>213</v>
      </c>
      <c r="F519" s="29" t="b">
        <v>1</v>
      </c>
      <c r="G519" s="36" t="s">
        <v>214</v>
      </c>
      <c r="H519" s="36" t="s">
        <v>215</v>
      </c>
      <c r="I519" s="39"/>
      <c r="J519" s="43"/>
      <c r="K519" s="37" t="s">
        <v>310</v>
      </c>
      <c r="L519" s="37" t="s">
        <v>1721</v>
      </c>
      <c r="M519" s="37" t="s">
        <v>2321</v>
      </c>
      <c r="N519" s="37" t="s">
        <v>504</v>
      </c>
      <c r="O519" s="37" t="s">
        <v>2326</v>
      </c>
      <c r="P519" s="37" t="s">
        <v>2327</v>
      </c>
      <c r="Q519" s="41">
        <v>46152.0</v>
      </c>
      <c r="R519" s="42">
        <v>0.0</v>
      </c>
      <c r="S519" s="44"/>
      <c r="T519" s="37" t="s">
        <v>2328</v>
      </c>
      <c r="U519" s="47" t="str">
        <f>IF(records_2[Type]="Room",records_2[roomNo],records_2[roomNo]&amp;"-"&amp;SUBSTITUTE(RIGHT(records_2[roomNo]&amp;records_2[Type],2),"-",""))</f>
        <v>10-3-167</v>
      </c>
      <c r="V519" s="47" t="str">
        <f t="array" ref="V519">_xlfn.XLOOKUP(records_2[ID], dAir[roomNo], dAir[roomName])</f>
        <v>DISPENSED MATERIAL STAGING-P</v>
      </c>
      <c r="W519" s="47" t="str">
        <f t="array" ref="W519">_xlfn.XLOOKUP(records_2[ID], dAir[roomNo], dAir[building])</f>
        <v>Building 10</v>
      </c>
      <c r="X519" s="47" t="str">
        <f t="array" ref="X519">_xlfn.XLOOKUP(records_2[ID], dAir[roomNo], dAir[floor])</f>
        <v>Floor 3</v>
      </c>
      <c r="Y519" s="45" t="str">
        <f t="array" ref="Y519">_xlfn.XLOOKUP(records_2[ID], dAir[roomNo], dAir[Class])</f>
        <v>D</v>
      </c>
      <c r="Z519" s="45">
        <f t="array" ref="Z519">_xlfn.XLOOKUP(records_2[Method]&amp;"-"&amp;records_2[Class], dAirSpec[ID], dAirSpec[Spec])</f>
        <v>100</v>
      </c>
      <c r="AA519" s="45" t="str">
        <f t="array" ref="AA519">_xlfn.XLOOKUP(records_2[Method]&amp;"-"&amp;records_2[Class], dAirSpec[ID], dAirSpec[Unit])</f>
        <v>cfu/plate</v>
      </c>
      <c r="AB519" s="58">
        <f t="array" ref="AB519">if(R519="","", if(records_2[Method]="Active Air",_xlfn.xlookup(records_2[ColonyCount]&amp;records_2[AirSampler],feller[code],feller[Vc]),records_2[ColonyCount]))</f>
        <v>0</v>
      </c>
      <c r="AC519" s="60" t="b">
        <f t="shared" si="1"/>
        <v>1</v>
      </c>
      <c r="AD519" s="61" t="b">
        <v>0</v>
      </c>
      <c r="AE519" s="32" t="s">
        <v>280</v>
      </c>
      <c r="AF519" s="46"/>
      <c r="AG519" s="46"/>
      <c r="AH519" s="46"/>
      <c r="AI519" s="46"/>
      <c r="AJ519" s="46"/>
    </row>
    <row r="520" ht="22.5" customHeight="1">
      <c r="A520" s="27">
        <v>46102.0</v>
      </c>
      <c r="B520" s="34" t="str">
        <f t="array" ref="B520">TEXT(A520, "MM-YYYY")</f>
        <v>03-2026</v>
      </c>
      <c r="C520" s="25" t="s">
        <v>1304</v>
      </c>
      <c r="D520" s="36" t="s">
        <v>210</v>
      </c>
      <c r="E520" s="36" t="s">
        <v>213</v>
      </c>
      <c r="F520" s="29" t="b">
        <v>1</v>
      </c>
      <c r="G520" s="36" t="s">
        <v>214</v>
      </c>
      <c r="H520" s="36" t="s">
        <v>215</v>
      </c>
      <c r="I520" s="39"/>
      <c r="J520" s="43"/>
      <c r="K520" s="37" t="s">
        <v>539</v>
      </c>
      <c r="L520" s="37" t="s">
        <v>775</v>
      </c>
      <c r="M520" s="37" t="s">
        <v>2385</v>
      </c>
      <c r="N520" s="37" t="s">
        <v>504</v>
      </c>
      <c r="O520" s="37" t="s">
        <v>2326</v>
      </c>
      <c r="P520" s="37" t="s">
        <v>2327</v>
      </c>
      <c r="Q520" s="41">
        <v>46152.0</v>
      </c>
      <c r="R520" s="42">
        <v>0.0</v>
      </c>
      <c r="S520" s="44"/>
      <c r="T520" s="37" t="s">
        <v>2328</v>
      </c>
      <c r="U520" s="47" t="str">
        <f>IF(records_2[Type]="Room",records_2[roomNo],records_2[roomNo]&amp;"-"&amp;SUBSTITUTE(RIGHT(records_2[roomNo]&amp;records_2[Type],2),"-",""))</f>
        <v>10-3-168</v>
      </c>
      <c r="V520" s="47" t="str">
        <f t="array" ref="V520">_xlfn.XLOOKUP(records_2[ID], dAir[roomNo], dAir[roomName])</f>
        <v>DISPENSING 1-P</v>
      </c>
      <c r="W520" s="47" t="str">
        <f t="array" ref="W520">_xlfn.XLOOKUP(records_2[ID], dAir[roomNo], dAir[building])</f>
        <v>Building 10</v>
      </c>
      <c r="X520" s="47" t="str">
        <f t="array" ref="X520">_xlfn.XLOOKUP(records_2[ID], dAir[roomNo], dAir[floor])</f>
        <v>Floor 3</v>
      </c>
      <c r="Y520" s="45" t="str">
        <f t="array" ref="Y520">_xlfn.XLOOKUP(records_2[ID], dAir[roomNo], dAir[Class])</f>
        <v>D</v>
      </c>
      <c r="Z520" s="45">
        <f t="array" ref="Z520">_xlfn.XLOOKUP(records_2[Method]&amp;"-"&amp;records_2[Class], dAirSpec[ID], dAirSpec[Spec])</f>
        <v>100</v>
      </c>
      <c r="AA520" s="45" t="str">
        <f t="array" ref="AA520">_xlfn.XLOOKUP(records_2[Method]&amp;"-"&amp;records_2[Class], dAirSpec[ID], dAirSpec[Unit])</f>
        <v>cfu/plate</v>
      </c>
      <c r="AB520" s="58">
        <f t="array" ref="AB520">if(R520="","", if(records_2[Method]="Active Air",_xlfn.xlookup(records_2[ColonyCount]&amp;records_2[AirSampler],feller[code],feller[Vc]),records_2[ColonyCount]))</f>
        <v>0</v>
      </c>
      <c r="AC520" s="60" t="b">
        <f t="shared" si="1"/>
        <v>1</v>
      </c>
      <c r="AD520" s="61" t="b">
        <v>0</v>
      </c>
      <c r="AE520" s="32" t="s">
        <v>280</v>
      </c>
      <c r="AF520" s="46"/>
      <c r="AG520" s="46"/>
      <c r="AH520" s="46"/>
      <c r="AI520" s="46"/>
      <c r="AJ520" s="46"/>
    </row>
    <row r="521" ht="22.5" customHeight="1">
      <c r="A521" s="27">
        <v>46102.0</v>
      </c>
      <c r="B521" s="34" t="str">
        <f t="array" ref="B521">TEXT(A521, "MM-YYYY")</f>
        <v>03-2026</v>
      </c>
      <c r="C521" s="25" t="s">
        <v>1304</v>
      </c>
      <c r="D521" s="36" t="s">
        <v>680</v>
      </c>
      <c r="E521" s="36" t="s">
        <v>213</v>
      </c>
      <c r="F521" s="29" t="b">
        <v>1</v>
      </c>
      <c r="G521" s="36" t="s">
        <v>214</v>
      </c>
      <c r="H521" s="36" t="s">
        <v>215</v>
      </c>
      <c r="I521" s="39"/>
      <c r="J521" s="43"/>
      <c r="K521" s="37" t="s">
        <v>539</v>
      </c>
      <c r="L521" s="37" t="s">
        <v>775</v>
      </c>
      <c r="M521" s="37" t="s">
        <v>2385</v>
      </c>
      <c r="N521" s="37" t="s">
        <v>504</v>
      </c>
      <c r="O521" s="37" t="s">
        <v>2326</v>
      </c>
      <c r="P521" s="37" t="s">
        <v>2327</v>
      </c>
      <c r="Q521" s="41">
        <v>46152.0</v>
      </c>
      <c r="R521" s="42">
        <v>0.0</v>
      </c>
      <c r="S521" s="44" t="s">
        <v>2341</v>
      </c>
      <c r="T521" s="37" t="s">
        <v>2328</v>
      </c>
      <c r="U521" s="45" t="str">
        <f>IF(records_2[Type]="Room",records_2[roomNo],records_2[roomNo]&amp;"-"&amp;SUBSTITUTE(RIGHT(records_2[roomNo]&amp;records_2[Type],2),"-",""))</f>
        <v>10-3-168-B</v>
      </c>
      <c r="V521" s="47" t="str">
        <f t="array" ref="V521">_xlfn.XLOOKUP(records_2[ID], dAir[roomNo], dAir[roomName])</f>
        <v>DISPENSING 1-P (Booth)</v>
      </c>
      <c r="W521" s="47" t="str">
        <f t="array" ref="W521">_xlfn.XLOOKUP(records_2[ID], dAir[roomNo], dAir[building])</f>
        <v>Building 10</v>
      </c>
      <c r="X521" s="47" t="str">
        <f t="array" ref="X521">_xlfn.XLOOKUP(records_2[ID], dAir[roomNo], dAir[floor])</f>
        <v>Floor 3</v>
      </c>
      <c r="Y521" s="45" t="str">
        <f t="array" ref="Y521">_xlfn.XLOOKUP(records_2[ID], dAir[roomNo], dAir[Class])</f>
        <v>D</v>
      </c>
      <c r="Z521" s="45">
        <f t="array" ref="Z521">_xlfn.XLOOKUP(records_2[Method]&amp;"-"&amp;records_2[Class], dAirSpec[ID], dAirSpec[Spec])</f>
        <v>100</v>
      </c>
      <c r="AA521" s="45" t="str">
        <f t="array" ref="AA521">_xlfn.XLOOKUP(records_2[Method]&amp;"-"&amp;records_2[Class], dAirSpec[ID], dAirSpec[Unit])</f>
        <v>cfu/plate</v>
      </c>
      <c r="AB521" s="58">
        <f t="array" ref="AB521">if(R521="","", if(records_2[Method]="Active Air",_xlfn.xlookup(records_2[ColonyCount]&amp;records_2[AirSampler],feller[code],feller[Vc]),records_2[ColonyCount]))</f>
        <v>0</v>
      </c>
      <c r="AC521" s="60" t="b">
        <f t="shared" si="1"/>
        <v>1</v>
      </c>
      <c r="AD521" s="61" t="b">
        <v>0</v>
      </c>
      <c r="AE521" s="32" t="s">
        <v>280</v>
      </c>
      <c r="AF521" s="46"/>
      <c r="AG521" s="46"/>
      <c r="AH521" s="46"/>
      <c r="AI521" s="46"/>
      <c r="AJ521" s="46"/>
    </row>
    <row r="522" ht="22.5" customHeight="1">
      <c r="A522" s="27">
        <v>46102.0</v>
      </c>
      <c r="B522" s="34" t="str">
        <f t="array" ref="B522">TEXT(A522, "MM-YYYY")</f>
        <v>03-2026</v>
      </c>
      <c r="C522" s="25" t="s">
        <v>1308</v>
      </c>
      <c r="D522" s="36" t="s">
        <v>210</v>
      </c>
      <c r="E522" s="36" t="s">
        <v>213</v>
      </c>
      <c r="F522" s="29" t="b">
        <v>1</v>
      </c>
      <c r="G522" s="36" t="s">
        <v>214</v>
      </c>
      <c r="H522" s="36" t="s">
        <v>215</v>
      </c>
      <c r="I522" s="39"/>
      <c r="J522" s="43"/>
      <c r="K522" s="37" t="s">
        <v>484</v>
      </c>
      <c r="L522" s="37" t="s">
        <v>1754</v>
      </c>
      <c r="M522" s="37" t="s">
        <v>2386</v>
      </c>
      <c r="N522" s="37" t="s">
        <v>516</v>
      </c>
      <c r="O522" s="37" t="s">
        <v>2326</v>
      </c>
      <c r="P522" s="37" t="s">
        <v>2327</v>
      </c>
      <c r="Q522" s="41">
        <v>46152.0</v>
      </c>
      <c r="R522" s="42">
        <v>0.0</v>
      </c>
      <c r="S522" s="44"/>
      <c r="T522" s="37" t="s">
        <v>2328</v>
      </c>
      <c r="U522" s="47" t="str">
        <f>IF(records_2[Type]="Room",records_2[roomNo],records_2[roomNo]&amp;"-"&amp;SUBSTITUTE(RIGHT(records_2[roomNo]&amp;records_2[Type],2),"-",""))</f>
        <v>10-3-169</v>
      </c>
      <c r="V522" s="47" t="str">
        <f t="array" ref="V522">_xlfn.XLOOKUP(records_2[ID], dAir[roomNo], dAir[roomName])</f>
        <v>CLEANED TOOLS-P</v>
      </c>
      <c r="W522" s="47" t="str">
        <f t="array" ref="W522">_xlfn.XLOOKUP(records_2[ID], dAir[roomNo], dAir[building])</f>
        <v>Building 10</v>
      </c>
      <c r="X522" s="47" t="str">
        <f t="array" ref="X522">_xlfn.XLOOKUP(records_2[ID], dAir[roomNo], dAir[floor])</f>
        <v>Floor 3</v>
      </c>
      <c r="Y522" s="45" t="str">
        <f t="array" ref="Y522">_xlfn.XLOOKUP(records_2[ID], dAir[roomNo], dAir[Class])</f>
        <v>D</v>
      </c>
      <c r="Z522" s="45">
        <f t="array" ref="Z522">_xlfn.XLOOKUP(records_2[Method]&amp;"-"&amp;records_2[Class], dAirSpec[ID], dAirSpec[Spec])</f>
        <v>100</v>
      </c>
      <c r="AA522" s="45" t="str">
        <f t="array" ref="AA522">_xlfn.XLOOKUP(records_2[Method]&amp;"-"&amp;records_2[Class], dAirSpec[ID], dAirSpec[Unit])</f>
        <v>cfu/plate</v>
      </c>
      <c r="AB522" s="58">
        <f t="array" ref="AB522">if(R522="","", if(records_2[Method]="Active Air",_xlfn.xlookup(records_2[ColonyCount]&amp;records_2[AirSampler],feller[code],feller[Vc]),records_2[ColonyCount]))</f>
        <v>0</v>
      </c>
      <c r="AC522" s="60" t="b">
        <f t="shared" si="1"/>
        <v>1</v>
      </c>
      <c r="AD522" s="61" t="b">
        <v>0</v>
      </c>
      <c r="AE522" s="32" t="s">
        <v>280</v>
      </c>
      <c r="AF522" s="46"/>
      <c r="AG522" s="46"/>
      <c r="AH522" s="46"/>
      <c r="AI522" s="46"/>
      <c r="AJ522" s="46"/>
    </row>
    <row r="523" ht="22.5" customHeight="1">
      <c r="A523" s="27">
        <v>46102.0</v>
      </c>
      <c r="B523" s="34" t="str">
        <f t="array" ref="B523">TEXT(A523, "MM-YYYY")</f>
        <v>03-2026</v>
      </c>
      <c r="C523" s="25" t="s">
        <v>239</v>
      </c>
      <c r="D523" s="36" t="s">
        <v>210</v>
      </c>
      <c r="E523" s="36" t="s">
        <v>213</v>
      </c>
      <c r="F523" s="29" t="b">
        <v>1</v>
      </c>
      <c r="G523" s="36" t="s">
        <v>214</v>
      </c>
      <c r="H523" s="36" t="s">
        <v>215</v>
      </c>
      <c r="I523" s="39"/>
      <c r="J523" s="43"/>
      <c r="K523" s="37" t="s">
        <v>787</v>
      </c>
      <c r="L523" s="37" t="s">
        <v>1054</v>
      </c>
      <c r="M523" s="37" t="s">
        <v>2386</v>
      </c>
      <c r="N523" s="37" t="s">
        <v>516</v>
      </c>
      <c r="O523" s="37" t="s">
        <v>2326</v>
      </c>
      <c r="P523" s="37" t="s">
        <v>2327</v>
      </c>
      <c r="Q523" s="41">
        <v>46152.0</v>
      </c>
      <c r="R523" s="42">
        <v>2.0</v>
      </c>
      <c r="S523" s="44"/>
      <c r="T523" s="37" t="s">
        <v>2328</v>
      </c>
      <c r="U523" s="47" t="str">
        <f>IF(records_2[Type]="Room",records_2[roomNo],records_2[roomNo]&amp;"-"&amp;SUBSTITUTE(RIGHT(records_2[roomNo]&amp;records_2[Type],2),"-",""))</f>
        <v>10-3-170</v>
      </c>
      <c r="V523" s="47" t="str">
        <f t="array" ref="V523">_xlfn.XLOOKUP(records_2[ID], dAir[roomNo], dAir[roomName])</f>
        <v>DRYING-P</v>
      </c>
      <c r="W523" s="47" t="str">
        <f t="array" ref="W523">_xlfn.XLOOKUP(records_2[ID], dAir[roomNo], dAir[building])</f>
        <v>Building 10</v>
      </c>
      <c r="X523" s="47" t="str">
        <f t="array" ref="X523">_xlfn.XLOOKUP(records_2[ID], dAir[roomNo], dAir[floor])</f>
        <v>Floor 3</v>
      </c>
      <c r="Y523" s="45" t="str">
        <f t="array" ref="Y523">_xlfn.XLOOKUP(records_2[ID], dAir[roomNo], dAir[Class])</f>
        <v>D</v>
      </c>
      <c r="Z523" s="45">
        <f t="array" ref="Z523">_xlfn.XLOOKUP(records_2[Method]&amp;"-"&amp;records_2[Class], dAirSpec[ID], dAirSpec[Spec])</f>
        <v>100</v>
      </c>
      <c r="AA523" s="45" t="str">
        <f t="array" ref="AA523">_xlfn.XLOOKUP(records_2[Method]&amp;"-"&amp;records_2[Class], dAirSpec[ID], dAirSpec[Unit])</f>
        <v>cfu/plate</v>
      </c>
      <c r="AB523" s="58">
        <f t="array" ref="AB523">if(R523="","", if(records_2[Method]="Active Air",_xlfn.xlookup(records_2[ColonyCount]&amp;records_2[AirSampler],feller[code],feller[Vc]),records_2[ColonyCount]))</f>
        <v>2</v>
      </c>
      <c r="AC523" s="60" t="b">
        <f t="shared" si="1"/>
        <v>1</v>
      </c>
      <c r="AD523" s="61" t="b">
        <v>0</v>
      </c>
      <c r="AE523" s="32" t="s">
        <v>280</v>
      </c>
      <c r="AF523" s="46"/>
      <c r="AG523" s="46"/>
      <c r="AH523" s="46"/>
      <c r="AI523" s="46"/>
      <c r="AJ523" s="46"/>
    </row>
    <row r="524" ht="22.5" customHeight="1">
      <c r="A524" s="27">
        <v>46102.0</v>
      </c>
      <c r="B524" s="34" t="str">
        <f t="array" ref="B524">TEXT(A524, "MM-YYYY")</f>
        <v>03-2026</v>
      </c>
      <c r="C524" s="25" t="s">
        <v>241</v>
      </c>
      <c r="D524" s="36" t="s">
        <v>210</v>
      </c>
      <c r="E524" s="36" t="s">
        <v>213</v>
      </c>
      <c r="F524" s="29" t="b">
        <v>1</v>
      </c>
      <c r="G524" s="36" t="s">
        <v>214</v>
      </c>
      <c r="H524" s="36" t="s">
        <v>215</v>
      </c>
      <c r="I524" s="39"/>
      <c r="J524" s="43"/>
      <c r="K524" s="37" t="s">
        <v>569</v>
      </c>
      <c r="L524" s="37" t="s">
        <v>2144</v>
      </c>
      <c r="M524" s="37" t="s">
        <v>2386</v>
      </c>
      <c r="N524" s="37" t="s">
        <v>516</v>
      </c>
      <c r="O524" s="37" t="s">
        <v>2326</v>
      </c>
      <c r="P524" s="37" t="s">
        <v>2327</v>
      </c>
      <c r="Q524" s="41">
        <v>46152.0</v>
      </c>
      <c r="R524" s="42">
        <v>2.0</v>
      </c>
      <c r="S524" s="44"/>
      <c r="T524" s="37" t="s">
        <v>2328</v>
      </c>
      <c r="U524" s="47" t="str">
        <f>IF(records_2[Type]="Room",records_2[roomNo],records_2[roomNo]&amp;"-"&amp;SUBSTITUTE(RIGHT(records_2[roomNo]&amp;records_2[Type],2),"-",""))</f>
        <v>10-3-171</v>
      </c>
      <c r="V524" s="47" t="str">
        <f t="array" ref="V524">_xlfn.XLOOKUP(records_2[ID], dAir[roomNo], dAir[roomName])</f>
        <v>TOOLS WASHING-P</v>
      </c>
      <c r="W524" s="47" t="str">
        <f t="array" ref="W524">_xlfn.XLOOKUP(records_2[ID], dAir[roomNo], dAir[building])</f>
        <v>Building 10</v>
      </c>
      <c r="X524" s="47" t="str">
        <f t="array" ref="X524">_xlfn.XLOOKUP(records_2[ID], dAir[roomNo], dAir[floor])</f>
        <v>Floor 3</v>
      </c>
      <c r="Y524" s="45" t="str">
        <f t="array" ref="Y524">_xlfn.XLOOKUP(records_2[ID], dAir[roomNo], dAir[Class])</f>
        <v>D</v>
      </c>
      <c r="Z524" s="45">
        <f t="array" ref="Z524">_xlfn.XLOOKUP(records_2[Method]&amp;"-"&amp;records_2[Class], dAirSpec[ID], dAirSpec[Spec])</f>
        <v>100</v>
      </c>
      <c r="AA524" s="45" t="str">
        <f t="array" ref="AA524">_xlfn.XLOOKUP(records_2[Method]&amp;"-"&amp;records_2[Class], dAirSpec[ID], dAirSpec[Unit])</f>
        <v>cfu/plate</v>
      </c>
      <c r="AB524" s="58">
        <f t="array" ref="AB524">if(R524="","", if(records_2[Method]="Active Air",_xlfn.xlookup(records_2[ColonyCount]&amp;records_2[AirSampler],feller[code],feller[Vc]),records_2[ColonyCount]))</f>
        <v>2</v>
      </c>
      <c r="AC524" s="60" t="b">
        <f t="shared" si="1"/>
        <v>1</v>
      </c>
      <c r="AD524" s="61" t="b">
        <v>0</v>
      </c>
      <c r="AE524" s="32" t="s">
        <v>280</v>
      </c>
      <c r="AF524" s="46"/>
      <c r="AG524" s="46"/>
      <c r="AH524" s="46"/>
      <c r="AI524" s="46"/>
      <c r="AJ524" s="46"/>
    </row>
    <row r="525" ht="22.5" customHeight="1">
      <c r="A525" s="27">
        <v>46102.0</v>
      </c>
      <c r="B525" s="34" t="str">
        <f t="array" ref="B525">TEXT(A525, "MM-YYYY")</f>
        <v>03-2026</v>
      </c>
      <c r="C525" s="25" t="s">
        <v>1310</v>
      </c>
      <c r="D525" s="36" t="s">
        <v>210</v>
      </c>
      <c r="E525" s="36" t="s">
        <v>213</v>
      </c>
      <c r="F525" s="29" t="b">
        <v>1</v>
      </c>
      <c r="G525" s="36" t="s">
        <v>214</v>
      </c>
      <c r="H525" s="36" t="s">
        <v>215</v>
      </c>
      <c r="I525" s="39"/>
      <c r="J525" s="43"/>
      <c r="K525" s="37" t="s">
        <v>1546</v>
      </c>
      <c r="L525" s="37" t="s">
        <v>1854</v>
      </c>
      <c r="M525" s="37" t="s">
        <v>2386</v>
      </c>
      <c r="N525" s="37" t="s">
        <v>516</v>
      </c>
      <c r="O525" s="37" t="s">
        <v>2326</v>
      </c>
      <c r="P525" s="37" t="s">
        <v>2327</v>
      </c>
      <c r="Q525" s="41">
        <v>46152.0</v>
      </c>
      <c r="R525" s="42">
        <v>0.0</v>
      </c>
      <c r="S525" s="44"/>
      <c r="T525" s="37" t="s">
        <v>2328</v>
      </c>
      <c r="U525" s="47" t="str">
        <f>IF(records_2[Type]="Room",records_2[roomNo],records_2[roomNo]&amp;"-"&amp;SUBSTITUTE(RIGHT(records_2[roomNo]&amp;records_2[Type],2),"-",""))</f>
        <v>10-3-172</v>
      </c>
      <c r="V525" s="47" t="str">
        <f t="array" ref="V525">_xlfn.XLOOKUP(records_2[ID], dAir[roomNo], dAir[roomName])</f>
        <v>AIRLOCK-P</v>
      </c>
      <c r="W525" s="47" t="str">
        <f t="array" ref="W525">_xlfn.XLOOKUP(records_2[ID], dAir[roomNo], dAir[building])</f>
        <v>Building 10</v>
      </c>
      <c r="X525" s="47" t="str">
        <f t="array" ref="X525">_xlfn.XLOOKUP(records_2[ID], dAir[roomNo], dAir[floor])</f>
        <v>Floor 3</v>
      </c>
      <c r="Y525" s="45" t="str">
        <f t="array" ref="Y525">_xlfn.XLOOKUP(records_2[ID], dAir[roomNo], dAir[Class])</f>
        <v>D</v>
      </c>
      <c r="Z525" s="45">
        <f t="array" ref="Z525">_xlfn.XLOOKUP(records_2[Method]&amp;"-"&amp;records_2[Class], dAirSpec[ID], dAirSpec[Spec])</f>
        <v>100</v>
      </c>
      <c r="AA525" s="45" t="str">
        <f t="array" ref="AA525">_xlfn.XLOOKUP(records_2[Method]&amp;"-"&amp;records_2[Class], dAirSpec[ID], dAirSpec[Unit])</f>
        <v>cfu/plate</v>
      </c>
      <c r="AB525" s="58">
        <f t="array" ref="AB525">if(R525="","", if(records_2[Method]="Active Air",_xlfn.xlookup(records_2[ColonyCount]&amp;records_2[AirSampler],feller[code],feller[Vc]),records_2[ColonyCount]))</f>
        <v>0</v>
      </c>
      <c r="AC525" s="60" t="b">
        <f t="shared" si="1"/>
        <v>1</v>
      </c>
      <c r="AD525" s="61" t="b">
        <v>0</v>
      </c>
      <c r="AE525" s="32" t="s">
        <v>280</v>
      </c>
      <c r="AF525" s="46"/>
      <c r="AG525" s="46"/>
      <c r="AH525" s="46"/>
      <c r="AI525" s="46"/>
      <c r="AJ525" s="46"/>
    </row>
    <row r="526" ht="22.5" customHeight="1">
      <c r="A526" s="27">
        <v>46102.0</v>
      </c>
      <c r="B526" s="34" t="str">
        <f t="array" ref="B526">TEXT(A526, "MM-YYYY")</f>
        <v>03-2026</v>
      </c>
      <c r="C526" s="25" t="s">
        <v>1312</v>
      </c>
      <c r="D526" s="36" t="s">
        <v>210</v>
      </c>
      <c r="E526" s="36" t="s">
        <v>213</v>
      </c>
      <c r="F526" s="29" t="b">
        <v>1</v>
      </c>
      <c r="G526" s="36" t="s">
        <v>214</v>
      </c>
      <c r="H526" s="36" t="s">
        <v>215</v>
      </c>
      <c r="I526" s="39"/>
      <c r="J526" s="43"/>
      <c r="K526" s="37" t="s">
        <v>317</v>
      </c>
      <c r="L526" s="37" t="s">
        <v>522</v>
      </c>
      <c r="M526" s="37" t="s">
        <v>2386</v>
      </c>
      <c r="N526" s="37" t="s">
        <v>516</v>
      </c>
      <c r="O526" s="37" t="s">
        <v>2326</v>
      </c>
      <c r="P526" s="37" t="s">
        <v>2327</v>
      </c>
      <c r="Q526" s="41">
        <v>46152.0</v>
      </c>
      <c r="R526" s="42">
        <v>1.0</v>
      </c>
      <c r="S526" s="44"/>
      <c r="T526" s="37" t="s">
        <v>2328</v>
      </c>
      <c r="U526" s="47" t="str">
        <f>IF(records_2[Type]="Room",records_2[roomNo],records_2[roomNo]&amp;"-"&amp;SUBSTITUTE(RIGHT(records_2[roomNo]&amp;records_2[Type],2),"-",""))</f>
        <v>10-3-173</v>
      </c>
      <c r="V526" s="47" t="str">
        <f t="array" ref="V526">_xlfn.XLOOKUP(records_2[ID], dAir[roomNo], dAir[roomName])</f>
        <v>JANITOR-P</v>
      </c>
      <c r="W526" s="47" t="str">
        <f t="array" ref="W526">_xlfn.XLOOKUP(records_2[ID], dAir[roomNo], dAir[building])</f>
        <v>Building 10</v>
      </c>
      <c r="X526" s="47" t="str">
        <f t="array" ref="X526">_xlfn.XLOOKUP(records_2[ID], dAir[roomNo], dAir[floor])</f>
        <v>Floor 3</v>
      </c>
      <c r="Y526" s="45" t="str">
        <f t="array" ref="Y526">_xlfn.XLOOKUP(records_2[ID], dAir[roomNo], dAir[Class])</f>
        <v>D</v>
      </c>
      <c r="Z526" s="45">
        <f t="array" ref="Z526">_xlfn.XLOOKUP(records_2[Method]&amp;"-"&amp;records_2[Class], dAirSpec[ID], dAirSpec[Spec])</f>
        <v>100</v>
      </c>
      <c r="AA526" s="45" t="str">
        <f t="array" ref="AA526">_xlfn.XLOOKUP(records_2[Method]&amp;"-"&amp;records_2[Class], dAirSpec[ID], dAirSpec[Unit])</f>
        <v>cfu/plate</v>
      </c>
      <c r="AB526" s="58">
        <f t="array" ref="AB526">if(R526="","", if(records_2[Method]="Active Air",_xlfn.xlookup(records_2[ColonyCount]&amp;records_2[AirSampler],feller[code],feller[Vc]),records_2[ColonyCount]))</f>
        <v>1</v>
      </c>
      <c r="AC526" s="60" t="b">
        <f t="shared" si="1"/>
        <v>1</v>
      </c>
      <c r="AD526" s="61" t="b">
        <v>0</v>
      </c>
      <c r="AE526" s="32" t="s">
        <v>280</v>
      </c>
      <c r="AF526" s="46"/>
      <c r="AG526" s="46"/>
      <c r="AH526" s="46"/>
      <c r="AI526" s="46"/>
      <c r="AJ526" s="46"/>
    </row>
    <row r="527" ht="22.5" customHeight="1">
      <c r="A527" s="27">
        <v>46102.0</v>
      </c>
      <c r="B527" s="34" t="str">
        <f t="array" ref="B527">TEXT(A527, "MM-YYYY")</f>
        <v>03-2026</v>
      </c>
      <c r="C527" s="25" t="s">
        <v>1313</v>
      </c>
      <c r="D527" s="36" t="s">
        <v>210</v>
      </c>
      <c r="E527" s="36" t="s">
        <v>213</v>
      </c>
      <c r="F527" s="29" t="b">
        <v>1</v>
      </c>
      <c r="G527" s="36" t="s">
        <v>214</v>
      </c>
      <c r="H527" s="36" t="s">
        <v>215</v>
      </c>
      <c r="I527" s="39"/>
      <c r="J527" s="43"/>
      <c r="K527" s="37" t="s">
        <v>569</v>
      </c>
      <c r="L527" s="37" t="s">
        <v>356</v>
      </c>
      <c r="M527" s="37" t="s">
        <v>2385</v>
      </c>
      <c r="N527" s="37" t="s">
        <v>504</v>
      </c>
      <c r="O527" s="37" t="s">
        <v>2326</v>
      </c>
      <c r="P527" s="37" t="s">
        <v>2327</v>
      </c>
      <c r="Q527" s="41">
        <v>46152.0</v>
      </c>
      <c r="R527" s="42">
        <v>0.0</v>
      </c>
      <c r="S527" s="44"/>
      <c r="T527" s="37" t="s">
        <v>2328</v>
      </c>
      <c r="U527" s="47" t="str">
        <f>IF(records_2[Type]="Room",records_2[roomNo],records_2[roomNo]&amp;"-"&amp;SUBSTITUTE(RIGHT(records_2[roomNo]&amp;records_2[Type],2),"-",""))</f>
        <v>10-3-174</v>
      </c>
      <c r="V527" s="47" t="str">
        <f t="array" ref="V527">_xlfn.XLOOKUP(records_2[ID], dAir[roomNo], dAir[roomName])</f>
        <v>RAW MATERIAL STAGING-P</v>
      </c>
      <c r="W527" s="47" t="str">
        <f t="array" ref="W527">_xlfn.XLOOKUP(records_2[ID], dAir[roomNo], dAir[building])</f>
        <v>Building 10</v>
      </c>
      <c r="X527" s="47" t="str">
        <f t="array" ref="X527">_xlfn.XLOOKUP(records_2[ID], dAir[roomNo], dAir[floor])</f>
        <v>Floor 3</v>
      </c>
      <c r="Y527" s="45" t="str">
        <f t="array" ref="Y527">_xlfn.XLOOKUP(records_2[ID], dAir[roomNo], dAir[Class])</f>
        <v>D</v>
      </c>
      <c r="Z527" s="45">
        <f t="array" ref="Z527">_xlfn.XLOOKUP(records_2[Method]&amp;"-"&amp;records_2[Class], dAirSpec[ID], dAirSpec[Spec])</f>
        <v>100</v>
      </c>
      <c r="AA527" s="45" t="str">
        <f t="array" ref="AA527">_xlfn.XLOOKUP(records_2[Method]&amp;"-"&amp;records_2[Class], dAirSpec[ID], dAirSpec[Unit])</f>
        <v>cfu/plate</v>
      </c>
      <c r="AB527" s="58">
        <f t="array" ref="AB527">if(R527="","", if(records_2[Method]="Active Air",_xlfn.xlookup(records_2[ColonyCount]&amp;records_2[AirSampler],feller[code],feller[Vc]),records_2[ColonyCount]))</f>
        <v>0</v>
      </c>
      <c r="AC527" s="60" t="b">
        <f t="shared" si="1"/>
        <v>1</v>
      </c>
      <c r="AD527" s="61" t="b">
        <v>0</v>
      </c>
      <c r="AE527" s="32" t="s">
        <v>280</v>
      </c>
      <c r="AF527" s="46"/>
      <c r="AG527" s="46"/>
      <c r="AH527" s="46"/>
      <c r="AI527" s="46"/>
      <c r="AJ527" s="46"/>
    </row>
    <row r="528" ht="22.5" customHeight="1">
      <c r="A528" s="27">
        <v>46102.0</v>
      </c>
      <c r="B528" s="34" t="str">
        <f t="array" ref="B528">TEXT(A528, "MM-YYYY")</f>
        <v>03-2026</v>
      </c>
      <c r="C528" s="25" t="s">
        <v>246</v>
      </c>
      <c r="D528" s="36" t="s">
        <v>210</v>
      </c>
      <c r="E528" s="36" t="s">
        <v>213</v>
      </c>
      <c r="F528" s="29" t="b">
        <v>1</v>
      </c>
      <c r="G528" s="36" t="s">
        <v>214</v>
      </c>
      <c r="H528" s="36" t="s">
        <v>215</v>
      </c>
      <c r="I528" s="39"/>
      <c r="J528" s="43"/>
      <c r="K528" s="37" t="s">
        <v>317</v>
      </c>
      <c r="L528" s="37" t="s">
        <v>306</v>
      </c>
      <c r="M528" s="37" t="s">
        <v>2321</v>
      </c>
      <c r="N528" s="37" t="s">
        <v>504</v>
      </c>
      <c r="O528" s="37" t="s">
        <v>2326</v>
      </c>
      <c r="P528" s="37" t="s">
        <v>2327</v>
      </c>
      <c r="Q528" s="41">
        <v>46152.0</v>
      </c>
      <c r="R528" s="42">
        <v>0.0</v>
      </c>
      <c r="S528" s="44"/>
      <c r="T528" s="37" t="s">
        <v>2328</v>
      </c>
      <c r="U528" s="47" t="str">
        <f>IF(records_2[Type]="Room",records_2[roomNo],records_2[roomNo]&amp;"-"&amp;SUBSTITUTE(RIGHT(records_2[roomNo]&amp;records_2[Type],2),"-",""))</f>
        <v>10-3-175</v>
      </c>
      <c r="V528" s="47" t="str">
        <f t="array" ref="V528">_xlfn.XLOOKUP(records_2[ID], dAir[roomNo], dAir[roomName])</f>
        <v>DISPENSING 2-P (DISPENSING ISOLATOR)</v>
      </c>
      <c r="W528" s="47" t="str">
        <f t="array" ref="W528">_xlfn.XLOOKUP(records_2[ID], dAir[roomNo], dAir[building])</f>
        <v>Building 10</v>
      </c>
      <c r="X528" s="47" t="str">
        <f t="array" ref="X528">_xlfn.XLOOKUP(records_2[ID], dAir[roomNo], dAir[floor])</f>
        <v>Floor 3</v>
      </c>
      <c r="Y528" s="45" t="str">
        <f t="array" ref="Y528">_xlfn.XLOOKUP(records_2[ID], dAir[roomNo], dAir[Class])</f>
        <v>D</v>
      </c>
      <c r="Z528" s="45">
        <f t="array" ref="Z528">_xlfn.XLOOKUP(records_2[Method]&amp;"-"&amp;records_2[Class], dAirSpec[ID], dAirSpec[Spec])</f>
        <v>100</v>
      </c>
      <c r="AA528" s="45" t="str">
        <f t="array" ref="AA528">_xlfn.XLOOKUP(records_2[Method]&amp;"-"&amp;records_2[Class], dAirSpec[ID], dAirSpec[Unit])</f>
        <v>cfu/plate</v>
      </c>
      <c r="AB528" s="58">
        <f t="array" ref="AB528">if(R528="","", if(records_2[Method]="Active Air",_xlfn.xlookup(records_2[ColonyCount]&amp;records_2[AirSampler],feller[code],feller[Vc]),records_2[ColonyCount]))</f>
        <v>0</v>
      </c>
      <c r="AC528" s="60" t="b">
        <f t="shared" si="1"/>
        <v>1</v>
      </c>
      <c r="AD528" s="61" t="b">
        <v>0</v>
      </c>
      <c r="AE528" s="32" t="s">
        <v>280</v>
      </c>
      <c r="AF528" s="46"/>
      <c r="AG528" s="46"/>
      <c r="AH528" s="46"/>
      <c r="AI528" s="46"/>
      <c r="AJ528" s="46"/>
    </row>
    <row r="529" ht="22.5" customHeight="1">
      <c r="A529" s="27">
        <v>46105.0</v>
      </c>
      <c r="B529" s="34" t="str">
        <f t="array" ref="B529">TEXT(A529, "MM-YYYY")</f>
        <v>03-2026</v>
      </c>
      <c r="C529" s="222" t="s">
        <v>753</v>
      </c>
      <c r="D529" s="223" t="s">
        <v>755</v>
      </c>
      <c r="E529" s="223" t="s">
        <v>531</v>
      </c>
      <c r="F529" s="29" t="b">
        <v>1</v>
      </c>
      <c r="G529" s="36" t="s">
        <v>214</v>
      </c>
      <c r="H529" s="36" t="s">
        <v>757</v>
      </c>
      <c r="I529" s="39">
        <v>3.1101125E8</v>
      </c>
      <c r="J529" s="40">
        <v>46240.0</v>
      </c>
      <c r="K529" s="37" t="s">
        <v>435</v>
      </c>
      <c r="L529" s="37" t="s">
        <v>1031</v>
      </c>
      <c r="M529" s="37" t="s">
        <v>2387</v>
      </c>
      <c r="N529" s="37" t="s">
        <v>2388</v>
      </c>
      <c r="O529" s="37" t="s">
        <v>2278</v>
      </c>
      <c r="P529" s="37" t="s">
        <v>2279</v>
      </c>
      <c r="Q529" s="41">
        <v>46138.0</v>
      </c>
      <c r="R529" s="42">
        <v>0.0</v>
      </c>
      <c r="S529" s="29"/>
      <c r="T529" s="37" t="s">
        <v>2389</v>
      </c>
      <c r="U529" s="45" t="str">
        <f>IF(records_2[Type]="Room",records_2[roomNo],records_2[roomNo]&amp;"-"&amp;SUBSTITUTE(RIGHT(records_2[roomNo]&amp;records_2[Type],2),"-",""))</f>
        <v>16-1-075-M</v>
      </c>
      <c r="V529" s="47" t="str">
        <f t="array" ref="V529">_xlfn.XLOOKUP(records_2[ID], dAir[roomNo], dAir[roomName])</f>
        <v>VIALS CAPPING (Machine)</v>
      </c>
      <c r="W529" s="47" t="str">
        <f t="array" ref="W529">_xlfn.XLOOKUP(records_2[ID], dAir[roomNo], dAir[building])</f>
        <v>Building 16</v>
      </c>
      <c r="X529" s="47" t="str">
        <f t="array" ref="X529">_xlfn.XLOOKUP(records_2[ID], dAir[roomNo], dAir[floor])</f>
        <v>Floor 1</v>
      </c>
      <c r="Y529" s="45" t="str">
        <f t="array" ref="Y529">_xlfn.XLOOKUP(records_2[ID], dAir[roomNo], dAir[Class])</f>
        <v>A</v>
      </c>
      <c r="Z529" s="45">
        <f t="array" ref="Z529">_xlfn.XLOOKUP(records_2[Method]&amp;"-"&amp;records_2[Class], dAirSpec[ID], dAirSpec[Spec])</f>
        <v>0</v>
      </c>
      <c r="AA529" s="45" t="str">
        <f t="array" ref="AA529">_xlfn.XLOOKUP(records_2[Method]&amp;"-"&amp;records_2[Class], dAirSpec[ID], dAirSpec[Unit])</f>
        <v>cfu/m3</v>
      </c>
      <c r="AB529" s="45">
        <f t="array" ref="AB529">if(R529="","", if(records_2[Method]="Active Air",_xlfn.xlookup(records_2[ColonyCount]&amp;records_2[AirSampler],feller[code],feller[Vc]),records_2[ColonyCount]))</f>
        <v>0</v>
      </c>
      <c r="AC529" s="60" t="b">
        <f t="shared" si="1"/>
        <v>1</v>
      </c>
      <c r="AD529" s="61" t="b">
        <v>0</v>
      </c>
      <c r="AE529" s="32" t="s">
        <v>280</v>
      </c>
      <c r="AF529" s="46"/>
      <c r="AG529" s="46"/>
      <c r="AH529" s="46"/>
      <c r="AI529" s="46"/>
      <c r="AJ529" s="46"/>
    </row>
    <row r="530" ht="22.5" customHeight="1">
      <c r="A530" s="27">
        <v>46105.0</v>
      </c>
      <c r="B530" s="34" t="str">
        <f t="array" ref="B530">TEXT(A530, "MM-YYYY")</f>
        <v>03-2026</v>
      </c>
      <c r="C530" s="222" t="s">
        <v>765</v>
      </c>
      <c r="D530" s="36" t="s">
        <v>770</v>
      </c>
      <c r="E530" s="223" t="s">
        <v>531</v>
      </c>
      <c r="F530" s="29" t="b">
        <v>1</v>
      </c>
      <c r="G530" s="36" t="s">
        <v>214</v>
      </c>
      <c r="H530" s="36" t="s">
        <v>534</v>
      </c>
      <c r="I530" s="39"/>
      <c r="J530" s="43"/>
      <c r="K530" s="37" t="s">
        <v>798</v>
      </c>
      <c r="L530" s="37" t="s">
        <v>260</v>
      </c>
      <c r="M530" s="37" t="s">
        <v>2390</v>
      </c>
      <c r="N530" s="37" t="s">
        <v>2391</v>
      </c>
      <c r="O530" s="37" t="s">
        <v>2278</v>
      </c>
      <c r="P530" s="37" t="s">
        <v>2279</v>
      </c>
      <c r="Q530" s="41">
        <v>46138.0</v>
      </c>
      <c r="R530" s="42">
        <v>0.0</v>
      </c>
      <c r="S530" s="29"/>
      <c r="T530" s="37" t="s">
        <v>2389</v>
      </c>
      <c r="U530" s="45" t="str">
        <f>IF(records_2[Type]="Room",records_2[roomNo],records_2[roomNo]&amp;"-"&amp;SUBSTITUTE(RIGHT(records_2[roomNo]&amp;records_2[Type],2),"-",""))</f>
        <v>16-1-076-L</v>
      </c>
      <c r="V530" s="47" t="str">
        <f t="array" ref="V530">_xlfn.XLOOKUP(records_2[ID], dAir[roomNo], dAir[roomName])</f>
        <v>FILLING 2 (Laminar)</v>
      </c>
      <c r="W530" s="47" t="str">
        <f t="array" ref="W530">_xlfn.XLOOKUP(records_2[ID], dAir[roomNo], dAir[building])</f>
        <v>Building 16</v>
      </c>
      <c r="X530" s="47" t="str">
        <f t="array" ref="X530">_xlfn.XLOOKUP(records_2[ID], dAir[roomNo], dAir[floor])</f>
        <v>Floor 1</v>
      </c>
      <c r="Y530" s="45" t="str">
        <f t="array" ref="Y530">_xlfn.XLOOKUP(records_2[ID], dAir[roomNo], dAir[Class])</f>
        <v>A</v>
      </c>
      <c r="Z530" s="45">
        <f t="array" ref="Z530">_xlfn.XLOOKUP(records_2[Method]&amp;"-"&amp;records_2[Class], dAirSpec[ID], dAirSpec[Spec])</f>
        <v>0</v>
      </c>
      <c r="AA530" s="45" t="str">
        <f t="array" ref="AA530">_xlfn.XLOOKUP(records_2[Method]&amp;"-"&amp;records_2[Class], dAirSpec[ID], dAirSpec[Unit])</f>
        <v>cfu/m3</v>
      </c>
      <c r="AB530" s="45">
        <f t="array" ref="AB530">if(R530="","", if(records_2[Method]="Active Air",_xlfn.xlookup(records_2[ColonyCount]&amp;records_2[AirSampler],feller[code],feller[Vc]),records_2[ColonyCount]))</f>
        <v>0</v>
      </c>
      <c r="AC530" s="60" t="b">
        <f t="shared" si="1"/>
        <v>1</v>
      </c>
      <c r="AD530" s="61" t="b">
        <v>0</v>
      </c>
      <c r="AE530" s="32" t="s">
        <v>280</v>
      </c>
      <c r="AF530" s="46"/>
      <c r="AG530" s="46"/>
      <c r="AH530" s="46"/>
      <c r="AI530" s="46"/>
      <c r="AJ530" s="46"/>
    </row>
    <row r="531" ht="22.5" customHeight="1">
      <c r="A531" s="27">
        <v>46105.0</v>
      </c>
      <c r="B531" s="34" t="str">
        <f t="array" ref="B531">TEXT(A531, "MM-YYYY")</f>
        <v>03-2026</v>
      </c>
      <c r="C531" s="39" t="s">
        <v>765</v>
      </c>
      <c r="D531" s="36" t="s">
        <v>755</v>
      </c>
      <c r="E531" s="223" t="s">
        <v>531</v>
      </c>
      <c r="F531" s="29" t="b">
        <v>1</v>
      </c>
      <c r="G531" s="36" t="s">
        <v>214</v>
      </c>
      <c r="H531" s="36" t="s">
        <v>757</v>
      </c>
      <c r="I531" s="39">
        <v>3.1101125E8</v>
      </c>
      <c r="J531" s="40">
        <v>46240.0</v>
      </c>
      <c r="K531" s="37" t="s">
        <v>798</v>
      </c>
      <c r="L531" s="37" t="s">
        <v>260</v>
      </c>
      <c r="M531" s="37" t="s">
        <v>2392</v>
      </c>
      <c r="N531" s="37" t="s">
        <v>2393</v>
      </c>
      <c r="O531" s="37" t="s">
        <v>2278</v>
      </c>
      <c r="P531" s="37" t="s">
        <v>2279</v>
      </c>
      <c r="Q531" s="41">
        <v>46138.0</v>
      </c>
      <c r="R531" s="42">
        <v>0.0</v>
      </c>
      <c r="S531" s="29"/>
      <c r="T531" s="37" t="s">
        <v>2389</v>
      </c>
      <c r="U531" s="45" t="str">
        <f>IF(records_2[Type]="Room",records_2[roomNo],records_2[roomNo]&amp;"-"&amp;SUBSTITUTE(RIGHT(records_2[roomNo]&amp;records_2[Type],2),"-",""))</f>
        <v>16-1-076-M</v>
      </c>
      <c r="V531" s="47" t="str">
        <f t="array" ref="V531">_xlfn.XLOOKUP(records_2[ID], dAir[roomNo], dAir[roomName])</f>
        <v>FILLING 2 (Machine)</v>
      </c>
      <c r="W531" s="47" t="str">
        <f t="array" ref="W531">_xlfn.XLOOKUP(records_2[ID], dAir[roomNo], dAir[building])</f>
        <v>Building 16</v>
      </c>
      <c r="X531" s="47" t="str">
        <f t="array" ref="X531">_xlfn.XLOOKUP(records_2[ID], dAir[roomNo], dAir[floor])</f>
        <v>Floor 1</v>
      </c>
      <c r="Y531" s="45" t="str">
        <f t="array" ref="Y531">_xlfn.XLOOKUP(records_2[ID], dAir[roomNo], dAir[Class])</f>
        <v>A</v>
      </c>
      <c r="Z531" s="45">
        <f t="array" ref="Z531">_xlfn.XLOOKUP(records_2[Method]&amp;"-"&amp;records_2[Class], dAirSpec[ID], dAirSpec[Spec])</f>
        <v>0</v>
      </c>
      <c r="AA531" s="45" t="str">
        <f t="array" ref="AA531">_xlfn.XLOOKUP(records_2[Method]&amp;"-"&amp;records_2[Class], dAirSpec[ID], dAirSpec[Unit])</f>
        <v>cfu/m3</v>
      </c>
      <c r="AB531" s="45">
        <f t="array" ref="AB531">if(R531="","", if(records_2[Method]="Active Air",_xlfn.xlookup(records_2[ColonyCount]&amp;records_2[AirSampler],feller[code],feller[Vc]),records_2[ColonyCount]))</f>
        <v>0</v>
      </c>
      <c r="AC531" s="60" t="b">
        <f t="shared" si="1"/>
        <v>1</v>
      </c>
      <c r="AD531" s="61" t="b">
        <v>0</v>
      </c>
      <c r="AE531" s="32" t="s">
        <v>280</v>
      </c>
      <c r="AF531" s="46"/>
      <c r="AG531" s="46"/>
      <c r="AH531" s="46"/>
      <c r="AI531" s="46"/>
      <c r="AJ531" s="46"/>
    </row>
    <row r="532" ht="22.5" customHeight="1">
      <c r="A532" s="27">
        <v>46105.0</v>
      </c>
      <c r="B532" s="34" t="str">
        <f t="array" ref="B532">TEXT(A532, "MM-YYYY")</f>
        <v>03-2026</v>
      </c>
      <c r="C532" s="39" t="s">
        <v>774</v>
      </c>
      <c r="D532" s="36" t="s">
        <v>770</v>
      </c>
      <c r="E532" s="223" t="s">
        <v>531</v>
      </c>
      <c r="F532" s="29" t="b">
        <v>1</v>
      </c>
      <c r="G532" s="36" t="s">
        <v>214</v>
      </c>
      <c r="H532" s="36" t="s">
        <v>534</v>
      </c>
      <c r="I532" s="39"/>
      <c r="J532" s="43"/>
      <c r="K532" s="37" t="s">
        <v>353</v>
      </c>
      <c r="L532" s="37" t="s">
        <v>439</v>
      </c>
      <c r="M532" s="37" t="s">
        <v>2242</v>
      </c>
      <c r="N532" s="37" t="s">
        <v>2394</v>
      </c>
      <c r="O532" s="37" t="s">
        <v>2278</v>
      </c>
      <c r="P532" s="37" t="s">
        <v>2279</v>
      </c>
      <c r="Q532" s="41">
        <v>46138.0</v>
      </c>
      <c r="R532" s="42">
        <v>0.0</v>
      </c>
      <c r="S532" s="29"/>
      <c r="T532" s="37" t="s">
        <v>2389</v>
      </c>
      <c r="U532" s="45" t="str">
        <f>IF(records_2[Type]="Room",records_2[roomNo],records_2[roomNo]&amp;"-"&amp;SUBSTITUTE(RIGHT(records_2[roomNo]&amp;records_2[Type],2),"-",""))</f>
        <v>16-1-084-L</v>
      </c>
      <c r="V532" s="47" t="str">
        <f t="array" ref="V532">_xlfn.XLOOKUP(records_2[ID], dAir[roomNo], dAir[roomName])</f>
        <v>FILLING 1 (Laminar)</v>
      </c>
      <c r="W532" s="47" t="str">
        <f t="array" ref="W532">_xlfn.XLOOKUP(records_2[ID], dAir[roomNo], dAir[building])</f>
        <v>Building 16</v>
      </c>
      <c r="X532" s="47" t="str">
        <f t="array" ref="X532">_xlfn.XLOOKUP(records_2[ID], dAir[roomNo], dAir[floor])</f>
        <v>Floor 1</v>
      </c>
      <c r="Y532" s="45" t="str">
        <f t="array" ref="Y532">_xlfn.XLOOKUP(records_2[ID], dAir[roomNo], dAir[Class])</f>
        <v>A</v>
      </c>
      <c r="Z532" s="45">
        <f t="array" ref="Z532">_xlfn.XLOOKUP(records_2[Method]&amp;"-"&amp;records_2[Class], dAirSpec[ID], dAirSpec[Spec])</f>
        <v>0</v>
      </c>
      <c r="AA532" s="45" t="str">
        <f t="array" ref="AA532">_xlfn.XLOOKUP(records_2[Method]&amp;"-"&amp;records_2[Class], dAirSpec[ID], dAirSpec[Unit])</f>
        <v>cfu/m3</v>
      </c>
      <c r="AB532" s="45">
        <f t="array" ref="AB532">if(R532="","", if(records_2[Method]="Active Air",_xlfn.xlookup(records_2[ColonyCount]&amp;records_2[AirSampler],feller[code],feller[Vc]),records_2[ColonyCount]))</f>
        <v>0</v>
      </c>
      <c r="AC532" s="60" t="b">
        <f t="shared" si="1"/>
        <v>1</v>
      </c>
      <c r="AD532" s="61" t="b">
        <v>0</v>
      </c>
      <c r="AE532" s="32" t="s">
        <v>280</v>
      </c>
      <c r="AF532" s="46"/>
      <c r="AG532" s="46"/>
      <c r="AH532" s="46"/>
      <c r="AI532" s="46"/>
      <c r="AJ532" s="46"/>
    </row>
    <row r="533" ht="22.5" customHeight="1">
      <c r="A533" s="27">
        <v>46105.0</v>
      </c>
      <c r="B533" s="34" t="str">
        <f t="array" ref="B533">TEXT(A533, "MM-YYYY")</f>
        <v>03-2026</v>
      </c>
      <c r="C533" s="39" t="s">
        <v>774</v>
      </c>
      <c r="D533" s="36" t="s">
        <v>755</v>
      </c>
      <c r="E533" s="223" t="s">
        <v>531</v>
      </c>
      <c r="F533" s="29" t="b">
        <v>1</v>
      </c>
      <c r="G533" s="36" t="s">
        <v>214</v>
      </c>
      <c r="H533" s="36" t="s">
        <v>757</v>
      </c>
      <c r="I533" s="39">
        <v>3.1101125E8</v>
      </c>
      <c r="J533" s="40">
        <v>46240.0</v>
      </c>
      <c r="K533" s="37" t="s">
        <v>353</v>
      </c>
      <c r="L533" s="37" t="s">
        <v>439</v>
      </c>
      <c r="M533" s="37" t="s">
        <v>2395</v>
      </c>
      <c r="N533" s="37" t="s">
        <v>2396</v>
      </c>
      <c r="O533" s="37" t="s">
        <v>2278</v>
      </c>
      <c r="P533" s="37" t="s">
        <v>2279</v>
      </c>
      <c r="Q533" s="41">
        <v>46138.0</v>
      </c>
      <c r="R533" s="42">
        <v>0.0</v>
      </c>
      <c r="S533" s="29"/>
      <c r="T533" s="37" t="s">
        <v>2389</v>
      </c>
      <c r="U533" s="45" t="str">
        <f>IF(records_2[Type]="Room",records_2[roomNo],records_2[roomNo]&amp;"-"&amp;SUBSTITUTE(RIGHT(records_2[roomNo]&amp;records_2[Type],2),"-",""))</f>
        <v>16-1-084-M</v>
      </c>
      <c r="V533" s="47" t="str">
        <f t="array" ref="V533">_xlfn.XLOOKUP(records_2[ID], dAir[roomNo], dAir[roomName])</f>
        <v>FILLING 1 (Machine)</v>
      </c>
      <c r="W533" s="47" t="str">
        <f t="array" ref="W533">_xlfn.XLOOKUP(records_2[ID], dAir[roomNo], dAir[building])</f>
        <v>Building 16</v>
      </c>
      <c r="X533" s="47" t="str">
        <f t="array" ref="X533">_xlfn.XLOOKUP(records_2[ID], dAir[roomNo], dAir[floor])</f>
        <v>Floor 1</v>
      </c>
      <c r="Y533" s="45" t="str">
        <f t="array" ref="Y533">_xlfn.XLOOKUP(records_2[ID], dAir[roomNo], dAir[Class])</f>
        <v>A</v>
      </c>
      <c r="Z533" s="45">
        <f t="array" ref="Z533">_xlfn.XLOOKUP(records_2[Method]&amp;"-"&amp;records_2[Class], dAirSpec[ID], dAirSpec[Spec])</f>
        <v>0</v>
      </c>
      <c r="AA533" s="45" t="str">
        <f t="array" ref="AA533">_xlfn.XLOOKUP(records_2[Method]&amp;"-"&amp;records_2[Class], dAirSpec[ID], dAirSpec[Unit])</f>
        <v>cfu/m3</v>
      </c>
      <c r="AB533" s="45">
        <f t="array" ref="AB533">if(R533="","", if(records_2[Method]="Active Air",_xlfn.xlookup(records_2[ColonyCount]&amp;records_2[AirSampler],feller[code],feller[Vc]),records_2[ColonyCount]))</f>
        <v>0</v>
      </c>
      <c r="AC533" s="60" t="b">
        <f t="shared" si="1"/>
        <v>1</v>
      </c>
      <c r="AD533" s="61" t="b">
        <v>0</v>
      </c>
      <c r="AE533" s="32" t="s">
        <v>280</v>
      </c>
      <c r="AF533" s="46"/>
      <c r="AG533" s="46"/>
      <c r="AH533" s="46"/>
      <c r="AI533" s="46"/>
      <c r="AJ533" s="46"/>
    </row>
    <row r="534" ht="22.5" customHeight="1">
      <c r="A534" s="27">
        <v>46105.0</v>
      </c>
      <c r="B534" s="34" t="str">
        <f t="array" ref="B534">TEXT(A534, "MM-YYYY")</f>
        <v>03-2026</v>
      </c>
      <c r="C534" s="32" t="s">
        <v>786</v>
      </c>
      <c r="D534" s="36" t="s">
        <v>680</v>
      </c>
      <c r="E534" s="223" t="s">
        <v>531</v>
      </c>
      <c r="F534" s="29" t="b">
        <v>1</v>
      </c>
      <c r="G534" s="36" t="s">
        <v>214</v>
      </c>
      <c r="H534" s="36" t="s">
        <v>534</v>
      </c>
      <c r="I534" s="39"/>
      <c r="J534" s="43"/>
      <c r="K534" s="37" t="s">
        <v>377</v>
      </c>
      <c r="L534" s="37" t="s">
        <v>712</v>
      </c>
      <c r="M534" s="37" t="s">
        <v>2397</v>
      </c>
      <c r="N534" s="37" t="s">
        <v>2383</v>
      </c>
      <c r="O534" s="37" t="s">
        <v>2278</v>
      </c>
      <c r="P534" s="37" t="s">
        <v>2279</v>
      </c>
      <c r="Q534" s="41">
        <v>46138.0</v>
      </c>
      <c r="R534" s="42">
        <v>0.0</v>
      </c>
      <c r="S534" s="29"/>
      <c r="T534" s="37" t="s">
        <v>2389</v>
      </c>
      <c r="U534" s="45" t="str">
        <f>IF(records_2[Type]="Room",records_2[roomNo],records_2[roomNo]&amp;"-"&amp;SUBSTITUTE(RIGHT(records_2[roomNo]&amp;records_2[Type],2),"-",""))</f>
        <v>16-1-102-B</v>
      </c>
      <c r="V534" s="47" t="str">
        <f t="array" ref="V534">_xlfn.XLOOKUP(records_2[ID], dAir[roomNo], dAir[roomName])</f>
        <v>DISPENSING (Booth)</v>
      </c>
      <c r="W534" s="47" t="str">
        <f t="array" ref="W534">_xlfn.XLOOKUP(records_2[ID], dAir[roomNo], dAir[building])</f>
        <v>Building 16</v>
      </c>
      <c r="X534" s="47" t="str">
        <f t="array" ref="X534">_xlfn.XLOOKUP(records_2[ID], dAir[roomNo], dAir[floor])</f>
        <v>Floor 1</v>
      </c>
      <c r="Y534" s="45" t="str">
        <f t="array" ref="Y534">_xlfn.XLOOKUP(records_2[ID], dAir[roomNo], dAir[Class])</f>
        <v>A</v>
      </c>
      <c r="Z534" s="45">
        <f t="array" ref="Z534">_xlfn.XLOOKUP(records_2[Method]&amp;"-"&amp;records_2[Class], dAirSpec[ID], dAirSpec[Spec])</f>
        <v>0</v>
      </c>
      <c r="AA534" s="45" t="str">
        <f t="array" ref="AA534">_xlfn.XLOOKUP(records_2[Method]&amp;"-"&amp;records_2[Class], dAirSpec[ID], dAirSpec[Unit])</f>
        <v>cfu/m3</v>
      </c>
      <c r="AB534" s="45">
        <f t="array" ref="AB534">if(R534="","", if(records_2[Method]="Active Air",_xlfn.xlookup(records_2[ColonyCount]&amp;records_2[AirSampler],feller[code],feller[Vc]),records_2[ColonyCount]))</f>
        <v>0</v>
      </c>
      <c r="AC534" s="60" t="b">
        <f t="shared" si="1"/>
        <v>1</v>
      </c>
      <c r="AD534" s="61" t="b">
        <v>0</v>
      </c>
      <c r="AE534" s="32" t="s">
        <v>280</v>
      </c>
      <c r="AF534" s="46"/>
      <c r="AG534" s="46"/>
      <c r="AH534" s="46"/>
      <c r="AI534" s="46"/>
      <c r="AJ534" s="46"/>
    </row>
    <row r="535" ht="22.5" customHeight="1">
      <c r="A535" s="27">
        <v>46119.0</v>
      </c>
      <c r="B535" s="34" t="str">
        <f t="array" ref="B535">TEXT(A535, "MM-YYYY")</f>
        <v>04-2026</v>
      </c>
      <c r="C535" s="20" t="s">
        <v>840</v>
      </c>
      <c r="D535" s="21" t="s">
        <v>210</v>
      </c>
      <c r="E535" s="139" t="s">
        <v>531</v>
      </c>
      <c r="F535" s="29" t="b">
        <v>1</v>
      </c>
      <c r="G535" s="36" t="s">
        <v>214</v>
      </c>
      <c r="H535" s="36" t="s">
        <v>203</v>
      </c>
      <c r="I535" s="39"/>
      <c r="J535" s="43"/>
      <c r="K535" s="37" t="s">
        <v>1157</v>
      </c>
      <c r="L535" s="37" t="s">
        <v>331</v>
      </c>
      <c r="M535" s="37" t="s">
        <v>194</v>
      </c>
      <c r="N535" s="37" t="s">
        <v>194</v>
      </c>
      <c r="O535" s="37" t="s">
        <v>2398</v>
      </c>
      <c r="P535" s="37" t="s">
        <v>2399</v>
      </c>
      <c r="Q535" s="41">
        <v>46160.0</v>
      </c>
      <c r="R535" s="42">
        <v>18.0</v>
      </c>
      <c r="S535" s="174"/>
      <c r="T535" s="37" t="s">
        <v>2400</v>
      </c>
      <c r="U535" s="47" t="str">
        <f>IF(records_2[Type]="Room",records_2[roomNo],records_2[roomNo]&amp;"-"&amp;SUBSTITUTE(RIGHT(records_2[roomNo]&amp;records_2[Type],2),"-",""))</f>
        <v>16-1-069</v>
      </c>
      <c r="V535" s="47" t="str">
        <f t="array" ref="V535">_xlfn.XLOOKUP(records_2[ID], dAir[roomNo], dAir[roomName])</f>
        <v>MEN PAL</v>
      </c>
      <c r="W535" s="47" t="str">
        <f t="array" ref="W535">_xlfn.XLOOKUP(records_2[ID], dAir[roomNo], dAir[building])</f>
        <v>Building 16</v>
      </c>
      <c r="X535" s="47" t="str">
        <f t="array" ref="X535">_xlfn.XLOOKUP(records_2[ID], dAir[roomNo], dAir[floor])</f>
        <v>Floor 1</v>
      </c>
      <c r="Y535" s="45" t="str">
        <f t="array" ref="Y535">_xlfn.XLOOKUP(records_2[ID], dAir[roomNo], dAir[Class])</f>
        <v>D</v>
      </c>
      <c r="Z535" s="45">
        <f t="array" ref="Z535">_xlfn.XLOOKUP(records_2[Method]&amp;"-"&amp;records_2[Class], dAirSpec[ID], dAirSpec[Spec])</f>
        <v>200</v>
      </c>
      <c r="AA535" s="45" t="str">
        <f t="array" ref="AA535">_xlfn.XLOOKUP(records_2[Method]&amp;"-"&amp;records_2[Class], dAirSpec[ID], dAirSpec[Unit])</f>
        <v>cfu/m3</v>
      </c>
      <c r="AB535" s="45">
        <f t="array" ref="AB535">if(R535="","", if(records_2[Method]="Active Air",_xlfn.xlookup(records_2[ColonyCount]&amp;records_2[AirSampler],feller[code],feller[Vc]),records_2[ColonyCount]))</f>
        <v>18</v>
      </c>
      <c r="AC535" s="60" t="b">
        <f t="shared" si="1"/>
        <v>1</v>
      </c>
      <c r="AD535" s="61" t="b">
        <v>0</v>
      </c>
      <c r="AE535" s="32" t="s">
        <v>280</v>
      </c>
      <c r="AF535" s="46"/>
      <c r="AG535" s="46"/>
      <c r="AH535" s="46"/>
      <c r="AI535" s="46"/>
      <c r="AJ535" s="46"/>
    </row>
    <row r="536" ht="22.5" customHeight="1">
      <c r="A536" s="27">
        <v>46119.0</v>
      </c>
      <c r="B536" s="34" t="str">
        <f t="array" ref="B536">TEXT(A536, "MM-YYYY")</f>
        <v>04-2026</v>
      </c>
      <c r="C536" s="39" t="s">
        <v>845</v>
      </c>
      <c r="D536" s="36" t="s">
        <v>210</v>
      </c>
      <c r="E536" s="36" t="s">
        <v>531</v>
      </c>
      <c r="F536" s="29" t="b">
        <v>1</v>
      </c>
      <c r="G536" s="36" t="s">
        <v>214</v>
      </c>
      <c r="H536" s="36" t="s">
        <v>203</v>
      </c>
      <c r="I536" s="39"/>
      <c r="J536" s="43"/>
      <c r="K536" s="37" t="s">
        <v>402</v>
      </c>
      <c r="L536" s="37" t="s">
        <v>2401</v>
      </c>
      <c r="M536" s="37" t="s">
        <v>194</v>
      </c>
      <c r="N536" s="37" t="s">
        <v>194</v>
      </c>
      <c r="O536" s="37" t="s">
        <v>2398</v>
      </c>
      <c r="P536" s="37" t="s">
        <v>2399</v>
      </c>
      <c r="Q536" s="41">
        <v>46160.0</v>
      </c>
      <c r="R536" s="42">
        <v>3.0</v>
      </c>
      <c r="S536" s="29"/>
      <c r="T536" s="37" t="s">
        <v>2400</v>
      </c>
      <c r="U536" s="45" t="str">
        <f>IF(records_2[Type]="Room",records_2[roomNo],records_2[roomNo]&amp;"-"&amp;SUBSTITUTE(RIGHT(records_2[roomNo]&amp;records_2[Type],2),"-",""))</f>
        <v>16-1-070</v>
      </c>
      <c r="V536" s="47" t="str">
        <f t="array" ref="V536">_xlfn.XLOOKUP(records_2[ID], dAir[roomNo], dAir[roomName])</f>
        <v>MEN PROCESS CHANGE</v>
      </c>
      <c r="W536" s="47" t="str">
        <f t="array" ref="W536">_xlfn.XLOOKUP(records_2[ID], dAir[roomNo], dAir[building])</f>
        <v>Building 16</v>
      </c>
      <c r="X536" s="47" t="str">
        <f t="array" ref="X536">_xlfn.XLOOKUP(records_2[ID], dAir[roomNo], dAir[floor])</f>
        <v>Floor 1</v>
      </c>
      <c r="Y536" s="45" t="str">
        <f t="array" ref="Y536">_xlfn.XLOOKUP(records_2[ID], dAir[roomNo], dAir[Class])</f>
        <v>C</v>
      </c>
      <c r="Z536" s="45">
        <f t="array" ref="Z536">_xlfn.XLOOKUP(records_2[Method]&amp;"-"&amp;records_2[Class], dAirSpec[ID], dAirSpec[Spec])</f>
        <v>100</v>
      </c>
      <c r="AA536" s="45" t="str">
        <f t="array" ref="AA536">_xlfn.XLOOKUP(records_2[Method]&amp;"-"&amp;records_2[Class], dAirSpec[ID], dAirSpec[Unit])</f>
        <v>cfu/m3</v>
      </c>
      <c r="AB536" s="45">
        <f t="array" ref="AB536">if(R536="","", if(records_2[Method]="Active Air",_xlfn.xlookup(records_2[ColonyCount]&amp;records_2[AirSampler],feller[code],feller[Vc]),records_2[ColonyCount]))</f>
        <v>3</v>
      </c>
      <c r="AC536" s="60" t="b">
        <f t="shared" si="1"/>
        <v>1</v>
      </c>
      <c r="AD536" s="61" t="b">
        <v>0</v>
      </c>
      <c r="AE536" s="32" t="s">
        <v>280</v>
      </c>
      <c r="AF536" s="46"/>
      <c r="AG536" s="46"/>
      <c r="AH536" s="46"/>
      <c r="AI536" s="46"/>
      <c r="AJ536" s="46"/>
    </row>
    <row r="537" ht="22.5" customHeight="1">
      <c r="A537" s="27">
        <v>46119.0</v>
      </c>
      <c r="B537" s="34" t="str">
        <f t="array" ref="B537">TEXT(A537, "MM-YYYY")</f>
        <v>04-2026</v>
      </c>
      <c r="C537" s="39" t="s">
        <v>857</v>
      </c>
      <c r="D537" s="36" t="s">
        <v>210</v>
      </c>
      <c r="E537" s="36" t="s">
        <v>531</v>
      </c>
      <c r="F537" s="29" t="b">
        <v>1</v>
      </c>
      <c r="G537" s="36" t="s">
        <v>214</v>
      </c>
      <c r="H537" s="36" t="s">
        <v>534</v>
      </c>
      <c r="I537" s="39"/>
      <c r="J537" s="43"/>
      <c r="K537" s="37" t="s">
        <v>1157</v>
      </c>
      <c r="L537" s="37" t="s">
        <v>2144</v>
      </c>
      <c r="M537" s="37" t="s">
        <v>194</v>
      </c>
      <c r="N537" s="37" t="s">
        <v>194</v>
      </c>
      <c r="O537" s="37" t="s">
        <v>2398</v>
      </c>
      <c r="P537" s="37" t="s">
        <v>2399</v>
      </c>
      <c r="Q537" s="41">
        <v>46160.0</v>
      </c>
      <c r="R537" s="42">
        <v>10.0</v>
      </c>
      <c r="S537" s="29"/>
      <c r="T537" s="37" t="s">
        <v>2400</v>
      </c>
      <c r="U537" s="45" t="str">
        <f>IF(records_2[Type]="Room",records_2[roomNo],records_2[roomNo]&amp;"-"&amp;SUBSTITUTE(RIGHT(records_2[roomNo]&amp;records_2[Type],2),"-",""))</f>
        <v>16-1-071</v>
      </c>
      <c r="V537" s="47" t="str">
        <f t="array" ref="V537">_xlfn.XLOOKUP(records_2[ID], dAir[roomNo], dAir[roomName])</f>
        <v>WOMEN PAL</v>
      </c>
      <c r="W537" s="47" t="str">
        <f t="array" ref="W537">_xlfn.XLOOKUP(records_2[ID], dAir[roomNo], dAir[building])</f>
        <v>Building 16</v>
      </c>
      <c r="X537" s="47" t="str">
        <f t="array" ref="X537">_xlfn.XLOOKUP(records_2[ID], dAir[roomNo], dAir[floor])</f>
        <v>Floor 1</v>
      </c>
      <c r="Y537" s="45" t="str">
        <f t="array" ref="Y537">_xlfn.XLOOKUP(records_2[ID], dAir[roomNo], dAir[Class])</f>
        <v>D</v>
      </c>
      <c r="Z537" s="45">
        <f t="array" ref="Z537">_xlfn.XLOOKUP(records_2[Method]&amp;"-"&amp;records_2[Class], dAirSpec[ID], dAirSpec[Spec])</f>
        <v>200</v>
      </c>
      <c r="AA537" s="45" t="str">
        <f t="array" ref="AA537">_xlfn.XLOOKUP(records_2[Method]&amp;"-"&amp;records_2[Class], dAirSpec[ID], dAirSpec[Unit])</f>
        <v>cfu/m3</v>
      </c>
      <c r="AB537" s="45">
        <f t="array" ref="AB537">if(R537="","", if(records_2[Method]="Active Air",_xlfn.xlookup(records_2[ColonyCount]&amp;records_2[AirSampler],feller[code],feller[Vc]),records_2[ColonyCount]))</f>
        <v>10</v>
      </c>
      <c r="AC537" s="60" t="b">
        <f t="shared" si="1"/>
        <v>1</v>
      </c>
      <c r="AD537" s="61" t="b">
        <v>0</v>
      </c>
      <c r="AE537" s="32" t="s">
        <v>280</v>
      </c>
      <c r="AF537" s="46"/>
      <c r="AG537" s="46"/>
      <c r="AH537" s="46"/>
      <c r="AI537" s="46"/>
      <c r="AJ537" s="46"/>
    </row>
    <row r="538" ht="22.5" customHeight="1">
      <c r="A538" s="27">
        <v>46119.0</v>
      </c>
      <c r="B538" s="34" t="str">
        <f t="array" ref="B538">TEXT(A538, "MM-YYYY")</f>
        <v>04-2026</v>
      </c>
      <c r="C538" s="39" t="s">
        <v>878</v>
      </c>
      <c r="D538" s="36" t="s">
        <v>210</v>
      </c>
      <c r="E538" s="36" t="s">
        <v>531</v>
      </c>
      <c r="F538" s="29" t="b">
        <v>1</v>
      </c>
      <c r="G538" s="36" t="s">
        <v>214</v>
      </c>
      <c r="H538" s="36" t="s">
        <v>534</v>
      </c>
      <c r="I538" s="39"/>
      <c r="J538" s="43"/>
      <c r="K538" s="37" t="s">
        <v>402</v>
      </c>
      <c r="L538" s="37" t="s">
        <v>485</v>
      </c>
      <c r="M538" s="37" t="s">
        <v>194</v>
      </c>
      <c r="N538" s="37" t="s">
        <v>194</v>
      </c>
      <c r="O538" s="37" t="s">
        <v>2398</v>
      </c>
      <c r="P538" s="37" t="s">
        <v>2399</v>
      </c>
      <c r="Q538" s="41">
        <v>46160.0</v>
      </c>
      <c r="R538" s="42">
        <v>0.0</v>
      </c>
      <c r="S538" s="29"/>
      <c r="T538" s="37" t="s">
        <v>2400</v>
      </c>
      <c r="U538" s="45" t="str">
        <f>IF(records_2[Type]="Room",records_2[roomNo],records_2[roomNo]&amp;"-"&amp;SUBSTITUTE(RIGHT(records_2[roomNo]&amp;records_2[Type],2),"-",""))</f>
        <v>16-1-072</v>
      </c>
      <c r="V538" s="47" t="str">
        <f t="array" ref="V538">_xlfn.XLOOKUP(records_2[ID], dAir[roomNo], dAir[roomName])</f>
        <v>WOMEN PROCESS CHANGE</v>
      </c>
      <c r="W538" s="47" t="str">
        <f t="array" ref="W538">_xlfn.XLOOKUP(records_2[ID], dAir[roomNo], dAir[building])</f>
        <v>Building 16</v>
      </c>
      <c r="X538" s="47" t="str">
        <f t="array" ref="X538">_xlfn.XLOOKUP(records_2[ID], dAir[roomNo], dAir[floor])</f>
        <v>Floor 1</v>
      </c>
      <c r="Y538" s="45" t="str">
        <f t="array" ref="Y538">_xlfn.XLOOKUP(records_2[ID], dAir[roomNo], dAir[Class])</f>
        <v>C</v>
      </c>
      <c r="Z538" s="45">
        <f t="array" ref="Z538">_xlfn.XLOOKUP(records_2[Method]&amp;"-"&amp;records_2[Class], dAirSpec[ID], dAirSpec[Spec])</f>
        <v>100</v>
      </c>
      <c r="AA538" s="45" t="str">
        <f t="array" ref="AA538">_xlfn.XLOOKUP(records_2[Method]&amp;"-"&amp;records_2[Class], dAirSpec[ID], dAirSpec[Unit])</f>
        <v>cfu/m3</v>
      </c>
      <c r="AB538" s="45">
        <f t="array" ref="AB538">if(R538="","", if(records_2[Method]="Active Air",_xlfn.xlookup(records_2[ColonyCount]&amp;records_2[AirSampler],feller[code],feller[Vc]),records_2[ColonyCount]))</f>
        <v>0</v>
      </c>
      <c r="AC538" s="60" t="b">
        <f t="shared" si="1"/>
        <v>1</v>
      </c>
      <c r="AD538" s="61" t="b">
        <v>0</v>
      </c>
      <c r="AE538" s="32" t="s">
        <v>280</v>
      </c>
      <c r="AF538" s="46"/>
      <c r="AG538" s="46"/>
      <c r="AH538" s="46"/>
      <c r="AI538" s="46"/>
      <c r="AJ538" s="46"/>
    </row>
    <row r="539" ht="22.5" customHeight="1">
      <c r="A539" s="27">
        <v>46119.0</v>
      </c>
      <c r="B539" s="34" t="str">
        <f t="array" ref="B539">TEXT(A539, "MM-YYYY")</f>
        <v>04-2026</v>
      </c>
      <c r="C539" s="39" t="s">
        <v>898</v>
      </c>
      <c r="D539" s="36" t="s">
        <v>210</v>
      </c>
      <c r="E539" s="36" t="s">
        <v>531</v>
      </c>
      <c r="F539" s="29" t="b">
        <v>1</v>
      </c>
      <c r="G539" s="36" t="s">
        <v>214</v>
      </c>
      <c r="H539" s="36" t="s">
        <v>1413</v>
      </c>
      <c r="I539" s="39"/>
      <c r="J539" s="43"/>
      <c r="K539" s="37" t="s">
        <v>314</v>
      </c>
      <c r="L539" s="37" t="s">
        <v>526</v>
      </c>
      <c r="M539" s="37" t="s">
        <v>194</v>
      </c>
      <c r="N539" s="37" t="s">
        <v>194</v>
      </c>
      <c r="O539" s="37" t="s">
        <v>2398</v>
      </c>
      <c r="P539" s="37" t="s">
        <v>2399</v>
      </c>
      <c r="Q539" s="41">
        <v>46160.0</v>
      </c>
      <c r="R539" s="42">
        <v>8.0</v>
      </c>
      <c r="S539" s="29" t="s">
        <v>902</v>
      </c>
      <c r="T539" s="37" t="s">
        <v>2400</v>
      </c>
      <c r="U539" s="45" t="str">
        <f>IF(records_2[Type]="Room",records_2[roomNo],records_2[roomNo]&amp;"-"&amp;SUBSTITUTE(RIGHT(records_2[roomNo]&amp;records_2[Type],2),"-",""))</f>
        <v>16-1-073</v>
      </c>
      <c r="V539" s="47" t="str">
        <f t="array" ref="V539">_xlfn.XLOOKUP(records_2[ID], dAir[roomNo], dAir[roomName])</f>
        <v>CORRIDOR</v>
      </c>
      <c r="W539" s="47" t="str">
        <f t="array" ref="W539">_xlfn.XLOOKUP(records_2[ID], dAir[roomNo], dAir[building])</f>
        <v>Building 16</v>
      </c>
      <c r="X539" s="47" t="str">
        <f t="array" ref="X539">_xlfn.XLOOKUP(records_2[ID], dAir[roomNo], dAir[floor])</f>
        <v>Floor 1</v>
      </c>
      <c r="Y539" s="45" t="str">
        <f t="array" ref="Y539">_xlfn.XLOOKUP(records_2[ID], dAir[roomNo], dAir[Class])</f>
        <v>C</v>
      </c>
      <c r="Z539" s="45">
        <f t="array" ref="Z539">_xlfn.XLOOKUP(records_2[Method]&amp;"-"&amp;records_2[Class], dAirSpec[ID], dAirSpec[Spec])</f>
        <v>100</v>
      </c>
      <c r="AA539" s="45" t="str">
        <f t="array" ref="AA539">_xlfn.XLOOKUP(records_2[Method]&amp;"-"&amp;records_2[Class], dAirSpec[ID], dAirSpec[Unit])</f>
        <v>cfu/m3</v>
      </c>
      <c r="AB539" s="45">
        <f t="array" ref="AB539">if(R539="","", if(records_2[Method]="Active Air",_xlfn.xlookup(records_2[ColonyCount]&amp;records_2[AirSampler],feller[code],feller[Vc]),records_2[ColonyCount]))</f>
        <v>8</v>
      </c>
      <c r="AC539" s="60" t="b">
        <f t="shared" si="1"/>
        <v>1</v>
      </c>
      <c r="AD539" s="61" t="b">
        <v>0</v>
      </c>
      <c r="AE539" s="32" t="s">
        <v>280</v>
      </c>
      <c r="AF539" s="46"/>
      <c r="AG539" s="46"/>
      <c r="AH539" s="46"/>
      <c r="AI539" s="46"/>
      <c r="AJ539" s="46"/>
    </row>
    <row r="540" ht="22.5" customHeight="1">
      <c r="A540" s="27">
        <v>46119.0</v>
      </c>
      <c r="B540" s="34" t="str">
        <f t="array" ref="B540">TEXT(A540, "MM-YYYY")</f>
        <v>04-2026</v>
      </c>
      <c r="C540" s="39" t="s">
        <v>919</v>
      </c>
      <c r="D540" s="36" t="s">
        <v>210</v>
      </c>
      <c r="E540" s="36" t="s">
        <v>531</v>
      </c>
      <c r="F540" s="29" t="b">
        <v>1</v>
      </c>
      <c r="G540" s="36" t="s">
        <v>214</v>
      </c>
      <c r="H540" s="36" t="s">
        <v>757</v>
      </c>
      <c r="I540" s="39">
        <v>3.1101125E8</v>
      </c>
      <c r="J540" s="40">
        <v>46240.0</v>
      </c>
      <c r="K540" s="37" t="s">
        <v>402</v>
      </c>
      <c r="L540" s="37" t="s">
        <v>2080</v>
      </c>
      <c r="M540" s="37" t="s">
        <v>194</v>
      </c>
      <c r="N540" s="37" t="s">
        <v>194</v>
      </c>
      <c r="O540" s="37" t="s">
        <v>2398</v>
      </c>
      <c r="P540" s="37" t="s">
        <v>2399</v>
      </c>
      <c r="Q540" s="41">
        <v>46160.0</v>
      </c>
      <c r="R540" s="42">
        <v>0.0</v>
      </c>
      <c r="S540" s="29"/>
      <c r="T540" s="37" t="s">
        <v>2400</v>
      </c>
      <c r="U540" s="45" t="str">
        <f>IF(records_2[Type]="Room",records_2[roomNo],records_2[roomNo]&amp;"-"&amp;SUBSTITUTE(RIGHT(records_2[roomNo]&amp;records_2[Type],2),"-",""))</f>
        <v>16-1-074</v>
      </c>
      <c r="V540" s="47" t="str">
        <f t="array" ref="V540">_xlfn.XLOOKUP(records_2[ID], dAir[roomNo], dAir[roomName])</f>
        <v>AIRLOCK</v>
      </c>
      <c r="W540" s="47" t="str">
        <f t="array" ref="W540">_xlfn.XLOOKUP(records_2[ID], dAir[roomNo], dAir[building])</f>
        <v>Building 16</v>
      </c>
      <c r="X540" s="47" t="str">
        <f t="array" ref="X540">_xlfn.XLOOKUP(records_2[ID], dAir[roomNo], dAir[floor])</f>
        <v>Floor 1</v>
      </c>
      <c r="Y540" s="45" t="str">
        <f t="array" ref="Y540">_xlfn.XLOOKUP(records_2[ID], dAir[roomNo], dAir[Class])</f>
        <v>C</v>
      </c>
      <c r="Z540" s="45">
        <f t="array" ref="Z540">_xlfn.XLOOKUP(records_2[Method]&amp;"-"&amp;records_2[Class], dAirSpec[ID], dAirSpec[Spec])</f>
        <v>100</v>
      </c>
      <c r="AA540" s="45" t="str">
        <f t="array" ref="AA540">_xlfn.XLOOKUP(records_2[Method]&amp;"-"&amp;records_2[Class], dAirSpec[ID], dAirSpec[Unit])</f>
        <v>cfu/m3</v>
      </c>
      <c r="AB540" s="45">
        <f t="array" ref="AB540">if(R540="","", if(records_2[Method]="Active Air",_xlfn.xlookup(records_2[ColonyCount]&amp;records_2[AirSampler],feller[code],feller[Vc]),records_2[ColonyCount]))</f>
        <v>0</v>
      </c>
      <c r="AC540" s="60" t="b">
        <f t="shared" si="1"/>
        <v>1</v>
      </c>
      <c r="AD540" s="61" t="b">
        <v>0</v>
      </c>
      <c r="AE540" s="32" t="s">
        <v>280</v>
      </c>
      <c r="AF540" s="46"/>
      <c r="AG540" s="46"/>
      <c r="AH540" s="46"/>
      <c r="AI540" s="46"/>
      <c r="AJ540" s="46"/>
    </row>
    <row r="541" ht="22.5" customHeight="1">
      <c r="A541" s="27">
        <v>46119.0</v>
      </c>
      <c r="B541" s="34" t="str">
        <f t="array" ref="B541">TEXT(A541, "MM-YYYY")</f>
        <v>04-2026</v>
      </c>
      <c r="C541" s="39" t="s">
        <v>753</v>
      </c>
      <c r="D541" s="36" t="s">
        <v>210</v>
      </c>
      <c r="E541" s="36" t="s">
        <v>531</v>
      </c>
      <c r="F541" s="29" t="b">
        <v>1</v>
      </c>
      <c r="G541" s="36" t="s">
        <v>214</v>
      </c>
      <c r="H541" s="36" t="s">
        <v>757</v>
      </c>
      <c r="I541" s="39">
        <v>3.1101125E8</v>
      </c>
      <c r="J541" s="40">
        <v>46240.0</v>
      </c>
      <c r="K541" s="37" t="s">
        <v>353</v>
      </c>
      <c r="L541" s="37" t="s">
        <v>983</v>
      </c>
      <c r="M541" s="37" t="s">
        <v>194</v>
      </c>
      <c r="N541" s="37" t="s">
        <v>194</v>
      </c>
      <c r="O541" s="37" t="s">
        <v>2398</v>
      </c>
      <c r="P541" s="37" t="s">
        <v>2399</v>
      </c>
      <c r="Q541" s="41">
        <v>46160.0</v>
      </c>
      <c r="R541" s="42">
        <v>0.0</v>
      </c>
      <c r="S541" s="29"/>
      <c r="T541" s="37" t="s">
        <v>2400</v>
      </c>
      <c r="U541" s="45" t="str">
        <f>IF(records_2[Type]="Room",records_2[roomNo],records_2[roomNo]&amp;"-"&amp;SUBSTITUTE(RIGHT(records_2[roomNo]&amp;records_2[Type],2),"-",""))</f>
        <v>16-1-075</v>
      </c>
      <c r="V541" s="47" t="str">
        <f t="array" ref="V541">_xlfn.XLOOKUP(records_2[ID], dAir[roomNo], dAir[roomName])</f>
        <v>VIALS CAPPING</v>
      </c>
      <c r="W541" s="47" t="str">
        <f t="array" ref="W541">_xlfn.XLOOKUP(records_2[ID], dAir[roomNo], dAir[building])</f>
        <v>Building 16</v>
      </c>
      <c r="X541" s="47" t="str">
        <f t="array" ref="X541">_xlfn.XLOOKUP(records_2[ID], dAir[roomNo], dAir[floor])</f>
        <v>Floor 1</v>
      </c>
      <c r="Y541" s="45" t="str">
        <f t="array" ref="Y541">_xlfn.XLOOKUP(records_2[ID], dAir[roomNo], dAir[Class])</f>
        <v>C</v>
      </c>
      <c r="Z541" s="45">
        <f t="array" ref="Z541">_xlfn.XLOOKUP(records_2[Method]&amp;"-"&amp;records_2[Class], dAirSpec[ID], dAirSpec[Spec])</f>
        <v>100</v>
      </c>
      <c r="AA541" s="45" t="str">
        <f t="array" ref="AA541">_xlfn.XLOOKUP(records_2[Method]&amp;"-"&amp;records_2[Class], dAirSpec[ID], dAirSpec[Unit])</f>
        <v>cfu/m3</v>
      </c>
      <c r="AB541" s="45">
        <f t="array" ref="AB541">if(R541="","", if(records_2[Method]="Active Air",_xlfn.xlookup(records_2[ColonyCount]&amp;records_2[AirSampler],feller[code],feller[Vc]),records_2[ColonyCount]))</f>
        <v>0</v>
      </c>
      <c r="AC541" s="60" t="b">
        <f t="shared" si="1"/>
        <v>1</v>
      </c>
      <c r="AD541" s="61" t="b">
        <v>0</v>
      </c>
      <c r="AE541" s="32" t="s">
        <v>280</v>
      </c>
      <c r="AF541" s="46"/>
      <c r="AG541" s="46"/>
      <c r="AH541" s="46"/>
      <c r="AI541" s="46"/>
      <c r="AJ541" s="46"/>
    </row>
    <row r="542" ht="22.5" customHeight="1">
      <c r="A542" s="27">
        <v>46119.0</v>
      </c>
      <c r="B542" s="34" t="str">
        <f t="array" ref="B542">TEXT(A542, "MM-YYYY")</f>
        <v>04-2026</v>
      </c>
      <c r="C542" s="39" t="s">
        <v>753</v>
      </c>
      <c r="D542" s="36" t="s">
        <v>755</v>
      </c>
      <c r="E542" s="36" t="s">
        <v>531</v>
      </c>
      <c r="F542" s="29" t="b">
        <v>1</v>
      </c>
      <c r="G542" s="36" t="s">
        <v>214</v>
      </c>
      <c r="H542" s="36" t="s">
        <v>757</v>
      </c>
      <c r="I542" s="39">
        <v>3.1101125E8</v>
      </c>
      <c r="J542" s="40">
        <v>46240.0</v>
      </c>
      <c r="K542" s="37" t="s">
        <v>353</v>
      </c>
      <c r="L542" s="37" t="s">
        <v>983</v>
      </c>
      <c r="M542" s="37" t="s">
        <v>194</v>
      </c>
      <c r="N542" s="37" t="s">
        <v>194</v>
      </c>
      <c r="O542" s="37" t="s">
        <v>2398</v>
      </c>
      <c r="P542" s="37" t="s">
        <v>2399</v>
      </c>
      <c r="Q542" s="41">
        <v>46160.0</v>
      </c>
      <c r="R542" s="42">
        <v>0.0</v>
      </c>
      <c r="S542" s="29"/>
      <c r="T542" s="37" t="s">
        <v>2400</v>
      </c>
      <c r="U542" s="45" t="str">
        <f>IF(records_2[Type]="Room",records_2[roomNo],records_2[roomNo]&amp;"-"&amp;SUBSTITUTE(RIGHT(records_2[roomNo]&amp;records_2[Type],2),"-",""))</f>
        <v>16-1-075-M</v>
      </c>
      <c r="V542" s="47" t="str">
        <f t="array" ref="V542">_xlfn.XLOOKUP(records_2[ID], dAir[roomNo], dAir[roomName])</f>
        <v>VIALS CAPPING (Machine)</v>
      </c>
      <c r="W542" s="47" t="str">
        <f t="array" ref="W542">_xlfn.XLOOKUP(records_2[ID], dAir[roomNo], dAir[building])</f>
        <v>Building 16</v>
      </c>
      <c r="X542" s="47" t="str">
        <f t="array" ref="X542">_xlfn.XLOOKUP(records_2[ID], dAir[roomNo], dAir[floor])</f>
        <v>Floor 1</v>
      </c>
      <c r="Y542" s="45" t="str">
        <f t="array" ref="Y542">_xlfn.XLOOKUP(records_2[ID], dAir[roomNo], dAir[Class])</f>
        <v>A</v>
      </c>
      <c r="Z542" s="45">
        <f t="array" ref="Z542">_xlfn.XLOOKUP(records_2[Method]&amp;"-"&amp;records_2[Class], dAirSpec[ID], dAirSpec[Spec])</f>
        <v>0</v>
      </c>
      <c r="AA542" s="45" t="str">
        <f t="array" ref="AA542">_xlfn.XLOOKUP(records_2[Method]&amp;"-"&amp;records_2[Class], dAirSpec[ID], dAirSpec[Unit])</f>
        <v>cfu/m3</v>
      </c>
      <c r="AB542" s="45">
        <f t="array" ref="AB542">if(R542="","", if(records_2[Method]="Active Air",_xlfn.xlookup(records_2[ColonyCount]&amp;records_2[AirSampler],feller[code],feller[Vc]),records_2[ColonyCount]))</f>
        <v>0</v>
      </c>
      <c r="AC542" s="60" t="b">
        <f t="shared" si="1"/>
        <v>1</v>
      </c>
      <c r="AD542" s="61" t="b">
        <v>0</v>
      </c>
      <c r="AE542" s="32" t="s">
        <v>280</v>
      </c>
      <c r="AF542" s="46"/>
      <c r="AG542" s="46"/>
      <c r="AH542" s="46"/>
      <c r="AI542" s="46"/>
      <c r="AJ542" s="46"/>
    </row>
    <row r="543" ht="22.5" customHeight="1">
      <c r="A543" s="27">
        <v>46119.0</v>
      </c>
      <c r="B543" s="34" t="str">
        <f t="array" ref="B543">TEXT(A543, "MM-YYYY")</f>
        <v>04-2026</v>
      </c>
      <c r="C543" s="39" t="s">
        <v>765</v>
      </c>
      <c r="D543" s="36" t="s">
        <v>755</v>
      </c>
      <c r="E543" s="36" t="s">
        <v>531</v>
      </c>
      <c r="F543" s="29" t="b">
        <v>1</v>
      </c>
      <c r="G543" s="36" t="s">
        <v>214</v>
      </c>
      <c r="H543" s="36" t="s">
        <v>757</v>
      </c>
      <c r="I543" s="39">
        <v>3.1101125E8</v>
      </c>
      <c r="J543" s="40">
        <v>46240.0</v>
      </c>
      <c r="K543" s="37" t="s">
        <v>344</v>
      </c>
      <c r="L543" s="37" t="s">
        <v>2260</v>
      </c>
      <c r="M543" s="37" t="s">
        <v>194</v>
      </c>
      <c r="N543" s="37" t="s">
        <v>194</v>
      </c>
      <c r="O543" s="37" t="s">
        <v>2398</v>
      </c>
      <c r="P543" s="37" t="s">
        <v>2399</v>
      </c>
      <c r="Q543" s="41">
        <v>46160.0</v>
      </c>
      <c r="R543" s="42">
        <v>0.0</v>
      </c>
      <c r="S543" s="29"/>
      <c r="T543" s="37" t="s">
        <v>2400</v>
      </c>
      <c r="U543" s="45" t="str">
        <f>IF(records_2[Type]="Room",records_2[roomNo],records_2[roomNo]&amp;"-"&amp;SUBSTITUTE(RIGHT(records_2[roomNo]&amp;records_2[Type],2),"-",""))</f>
        <v>16-1-076-M</v>
      </c>
      <c r="V543" s="47" t="str">
        <f t="array" ref="V543">_xlfn.XLOOKUP(records_2[ID], dAir[roomNo], dAir[roomName])</f>
        <v>FILLING 2 (Machine)</v>
      </c>
      <c r="W543" s="47" t="str">
        <f t="array" ref="W543">_xlfn.XLOOKUP(records_2[ID], dAir[roomNo], dAir[building])</f>
        <v>Building 16</v>
      </c>
      <c r="X543" s="47" t="str">
        <f t="array" ref="X543">_xlfn.XLOOKUP(records_2[ID], dAir[roomNo], dAir[floor])</f>
        <v>Floor 1</v>
      </c>
      <c r="Y543" s="45" t="str">
        <f t="array" ref="Y543">_xlfn.XLOOKUP(records_2[ID], dAir[roomNo], dAir[Class])</f>
        <v>A</v>
      </c>
      <c r="Z543" s="45">
        <f t="array" ref="Z543">_xlfn.XLOOKUP(records_2[Method]&amp;"-"&amp;records_2[Class], dAirSpec[ID], dAirSpec[Spec])</f>
        <v>0</v>
      </c>
      <c r="AA543" s="45" t="str">
        <f t="array" ref="AA543">_xlfn.XLOOKUP(records_2[Method]&amp;"-"&amp;records_2[Class], dAirSpec[ID], dAirSpec[Unit])</f>
        <v>cfu/m3</v>
      </c>
      <c r="AB543" s="45">
        <f t="array" ref="AB543">if(R543="","", if(records_2[Method]="Active Air",_xlfn.xlookup(records_2[ColonyCount]&amp;records_2[AirSampler],feller[code],feller[Vc]),records_2[ColonyCount]))</f>
        <v>0</v>
      </c>
      <c r="AC543" s="60" t="b">
        <f t="shared" si="1"/>
        <v>1</v>
      </c>
      <c r="AD543" s="61" t="b">
        <v>0</v>
      </c>
      <c r="AE543" s="32" t="s">
        <v>280</v>
      </c>
      <c r="AF543" s="46"/>
      <c r="AG543" s="46"/>
      <c r="AH543" s="46"/>
      <c r="AI543" s="46"/>
      <c r="AJ543" s="46"/>
    </row>
    <row r="544" ht="22.5" customHeight="1">
      <c r="A544" s="27">
        <v>46119.0</v>
      </c>
      <c r="B544" s="34" t="str">
        <f t="array" ref="B544">TEXT(A544, "MM-YYYY")</f>
        <v>04-2026</v>
      </c>
      <c r="C544" s="39" t="s">
        <v>765</v>
      </c>
      <c r="D544" s="36" t="s">
        <v>770</v>
      </c>
      <c r="E544" s="36" t="s">
        <v>531</v>
      </c>
      <c r="F544" s="29" t="b">
        <v>1</v>
      </c>
      <c r="G544" s="36" t="s">
        <v>214</v>
      </c>
      <c r="H544" s="36" t="s">
        <v>757</v>
      </c>
      <c r="I544" s="39">
        <v>3.1101125E8</v>
      </c>
      <c r="J544" s="40">
        <v>46240.0</v>
      </c>
      <c r="K544" s="37" t="s">
        <v>344</v>
      </c>
      <c r="L544" s="37" t="s">
        <v>2260</v>
      </c>
      <c r="M544" s="37" t="s">
        <v>194</v>
      </c>
      <c r="N544" s="37" t="s">
        <v>194</v>
      </c>
      <c r="O544" s="37" t="s">
        <v>2398</v>
      </c>
      <c r="P544" s="37" t="s">
        <v>2399</v>
      </c>
      <c r="Q544" s="41">
        <v>46160.0</v>
      </c>
      <c r="R544" s="42">
        <v>0.0</v>
      </c>
      <c r="S544" s="29"/>
      <c r="T544" s="37" t="s">
        <v>2400</v>
      </c>
      <c r="U544" s="45" t="str">
        <f>IF(records_2[Type]="Room",records_2[roomNo],records_2[roomNo]&amp;"-"&amp;SUBSTITUTE(RIGHT(records_2[roomNo]&amp;records_2[Type],2),"-",""))</f>
        <v>16-1-076-L</v>
      </c>
      <c r="V544" s="47" t="str">
        <f t="array" ref="V544">_xlfn.XLOOKUP(records_2[ID], dAir[roomNo], dAir[roomName])</f>
        <v>FILLING 2 (Laminar)</v>
      </c>
      <c r="W544" s="47" t="str">
        <f t="array" ref="W544">_xlfn.XLOOKUP(records_2[ID], dAir[roomNo], dAir[building])</f>
        <v>Building 16</v>
      </c>
      <c r="X544" s="47" t="str">
        <f t="array" ref="X544">_xlfn.XLOOKUP(records_2[ID], dAir[roomNo], dAir[floor])</f>
        <v>Floor 1</v>
      </c>
      <c r="Y544" s="45" t="str">
        <f t="array" ref="Y544">_xlfn.XLOOKUP(records_2[ID], dAir[roomNo], dAir[Class])</f>
        <v>A</v>
      </c>
      <c r="Z544" s="45">
        <f t="array" ref="Z544">_xlfn.XLOOKUP(records_2[Method]&amp;"-"&amp;records_2[Class], dAirSpec[ID], dAirSpec[Spec])</f>
        <v>0</v>
      </c>
      <c r="AA544" s="45" t="str">
        <f t="array" ref="AA544">_xlfn.XLOOKUP(records_2[Method]&amp;"-"&amp;records_2[Class], dAirSpec[ID], dAirSpec[Unit])</f>
        <v>cfu/m3</v>
      </c>
      <c r="AB544" s="45">
        <f t="array" ref="AB544">if(R544="","", if(records_2[Method]="Active Air",_xlfn.xlookup(records_2[ColonyCount]&amp;records_2[AirSampler],feller[code],feller[Vc]),records_2[ColonyCount]))</f>
        <v>0</v>
      </c>
      <c r="AC544" s="60" t="b">
        <f t="shared" si="1"/>
        <v>1</v>
      </c>
      <c r="AD544" s="61" t="b">
        <v>0</v>
      </c>
      <c r="AE544" s="32" t="s">
        <v>280</v>
      </c>
      <c r="AF544" s="46"/>
      <c r="AG544" s="46"/>
      <c r="AH544" s="46"/>
      <c r="AI544" s="46"/>
      <c r="AJ544" s="46"/>
    </row>
    <row r="545" ht="22.5" customHeight="1">
      <c r="A545" s="27">
        <v>46119.0</v>
      </c>
      <c r="B545" s="34" t="str">
        <f t="array" ref="B545">TEXT(A545, "MM-YYYY")</f>
        <v>04-2026</v>
      </c>
      <c r="C545" s="39" t="s">
        <v>765</v>
      </c>
      <c r="D545" s="36" t="s">
        <v>210</v>
      </c>
      <c r="E545" s="36" t="s">
        <v>531</v>
      </c>
      <c r="F545" s="29" t="b">
        <v>1</v>
      </c>
      <c r="G545" s="36" t="s">
        <v>214</v>
      </c>
      <c r="H545" s="36" t="s">
        <v>757</v>
      </c>
      <c r="I545" s="39">
        <v>3.1101125E8</v>
      </c>
      <c r="J545" s="40">
        <v>46240.0</v>
      </c>
      <c r="K545" s="37" t="s">
        <v>344</v>
      </c>
      <c r="L545" s="37" t="s">
        <v>2260</v>
      </c>
      <c r="M545" s="37" t="s">
        <v>194</v>
      </c>
      <c r="N545" s="37" t="s">
        <v>194</v>
      </c>
      <c r="O545" s="37" t="s">
        <v>2398</v>
      </c>
      <c r="P545" s="37" t="s">
        <v>2399</v>
      </c>
      <c r="Q545" s="41">
        <v>46160.0</v>
      </c>
      <c r="R545" s="42">
        <v>2.0</v>
      </c>
      <c r="S545" s="29"/>
      <c r="T545" s="37" t="s">
        <v>2400</v>
      </c>
      <c r="U545" s="45" t="str">
        <f>IF(records_2[Type]="Room",records_2[roomNo],records_2[roomNo]&amp;"-"&amp;SUBSTITUTE(RIGHT(records_2[roomNo]&amp;records_2[Type],2),"-",""))</f>
        <v>16-1-076</v>
      </c>
      <c r="V545" s="47" t="str">
        <f t="array" ref="V545">_xlfn.XLOOKUP(records_2[ID], dAir[roomNo], dAir[roomName])</f>
        <v>FILLING 2</v>
      </c>
      <c r="W545" s="47" t="str">
        <f t="array" ref="W545">_xlfn.XLOOKUP(records_2[ID], dAir[roomNo], dAir[building])</f>
        <v>Building 16</v>
      </c>
      <c r="X545" s="47" t="str">
        <f t="array" ref="X545">_xlfn.XLOOKUP(records_2[ID], dAir[roomNo], dAir[floor])</f>
        <v>Floor 1</v>
      </c>
      <c r="Y545" s="45" t="str">
        <f t="array" ref="Y545">_xlfn.XLOOKUP(records_2[ID], dAir[roomNo], dAir[Class])</f>
        <v>C</v>
      </c>
      <c r="Z545" s="45">
        <f t="array" ref="Z545">_xlfn.XLOOKUP(records_2[Method]&amp;"-"&amp;records_2[Class], dAirSpec[ID], dAirSpec[Spec])</f>
        <v>100</v>
      </c>
      <c r="AA545" s="45" t="str">
        <f t="array" ref="AA545">_xlfn.XLOOKUP(records_2[Method]&amp;"-"&amp;records_2[Class], dAirSpec[ID], dAirSpec[Unit])</f>
        <v>cfu/m3</v>
      </c>
      <c r="AB545" s="45">
        <f t="array" ref="AB545">if(R545="","", if(records_2[Method]="Active Air",_xlfn.xlookup(records_2[ColonyCount]&amp;records_2[AirSampler],feller[code],feller[Vc]),records_2[ColonyCount]))</f>
        <v>2</v>
      </c>
      <c r="AC545" s="60" t="b">
        <f t="shared" si="1"/>
        <v>1</v>
      </c>
      <c r="AD545" s="61" t="b">
        <v>0</v>
      </c>
      <c r="AE545" s="32" t="s">
        <v>280</v>
      </c>
      <c r="AF545" s="46"/>
      <c r="AG545" s="46"/>
      <c r="AH545" s="46"/>
      <c r="AI545" s="46"/>
      <c r="AJ545" s="46"/>
    </row>
    <row r="546" ht="22.5" customHeight="1">
      <c r="A546" s="27">
        <v>46119.0</v>
      </c>
      <c r="B546" s="34" t="str">
        <f t="array" ref="B546">TEXT(A546, "MM-YYYY")</f>
        <v>04-2026</v>
      </c>
      <c r="C546" s="39" t="s">
        <v>729</v>
      </c>
      <c r="D546" s="36" t="s">
        <v>210</v>
      </c>
      <c r="E546" s="36" t="s">
        <v>531</v>
      </c>
      <c r="F546" s="29" t="b">
        <v>1</v>
      </c>
      <c r="G546" s="36" t="s">
        <v>214</v>
      </c>
      <c r="H546" s="36" t="s">
        <v>757</v>
      </c>
      <c r="I546" s="39">
        <v>3.1101125E8</v>
      </c>
      <c r="J546" s="40">
        <v>46240.0</v>
      </c>
      <c r="K546" s="37" t="s">
        <v>578</v>
      </c>
      <c r="L546" s="37" t="s">
        <v>1414</v>
      </c>
      <c r="M546" s="37" t="s">
        <v>194</v>
      </c>
      <c r="N546" s="37" t="s">
        <v>194</v>
      </c>
      <c r="O546" s="37" t="s">
        <v>2398</v>
      </c>
      <c r="P546" s="37" t="s">
        <v>2399</v>
      </c>
      <c r="Q546" s="41">
        <v>46160.0</v>
      </c>
      <c r="R546" s="42">
        <v>0.0</v>
      </c>
      <c r="S546" s="29"/>
      <c r="T546" s="37" t="s">
        <v>2400</v>
      </c>
      <c r="U546" s="45" t="str">
        <f>IF(records_2[Type]="Room",records_2[roomNo],records_2[roomNo]&amp;"-"&amp;SUBSTITUTE(RIGHT(records_2[roomNo]&amp;records_2[Type],2),"-",""))</f>
        <v>16-1-077</v>
      </c>
      <c r="V546" s="47" t="str">
        <f t="array" ref="V546">_xlfn.XLOOKUP(records_2[ID], dAir[roomNo], dAir[roomName])</f>
        <v>FILTRATION 2</v>
      </c>
      <c r="W546" s="47" t="str">
        <f t="array" ref="W546">_xlfn.XLOOKUP(records_2[ID], dAir[roomNo], dAir[building])</f>
        <v>Building 16</v>
      </c>
      <c r="X546" s="47" t="str">
        <f t="array" ref="X546">_xlfn.XLOOKUP(records_2[ID], dAir[roomNo], dAir[floor])</f>
        <v>Floor 1</v>
      </c>
      <c r="Y546" s="45" t="str">
        <f t="array" ref="Y546">_xlfn.XLOOKUP(records_2[ID], dAir[roomNo], dAir[Class])</f>
        <v>C</v>
      </c>
      <c r="Z546" s="45">
        <f t="array" ref="Z546">_xlfn.XLOOKUP(records_2[Method]&amp;"-"&amp;records_2[Class], dAirSpec[ID], dAirSpec[Spec])</f>
        <v>100</v>
      </c>
      <c r="AA546" s="45" t="str">
        <f t="array" ref="AA546">_xlfn.XLOOKUP(records_2[Method]&amp;"-"&amp;records_2[Class], dAirSpec[ID], dAirSpec[Unit])</f>
        <v>cfu/m3</v>
      </c>
      <c r="AB546" s="45">
        <f t="array" ref="AB546">if(R546="","", if(records_2[Method]="Active Air",_xlfn.xlookup(records_2[ColonyCount]&amp;records_2[AirSampler],feller[code],feller[Vc]),records_2[ColonyCount]))</f>
        <v>0</v>
      </c>
      <c r="AC546" s="60" t="b">
        <f t="shared" si="1"/>
        <v>1</v>
      </c>
      <c r="AD546" s="61" t="b">
        <v>0</v>
      </c>
      <c r="AE546" s="32" t="s">
        <v>280</v>
      </c>
      <c r="AF546" s="46"/>
      <c r="AG546" s="46"/>
      <c r="AH546" s="46"/>
      <c r="AI546" s="46"/>
      <c r="AJ546" s="46"/>
    </row>
    <row r="547" ht="22.5" customHeight="1">
      <c r="A547" s="27">
        <v>46119.0</v>
      </c>
      <c r="B547" s="34" t="str">
        <f t="array" ref="B547">TEXT(A547, "MM-YYYY")</f>
        <v>04-2026</v>
      </c>
      <c r="C547" s="39" t="s">
        <v>1041</v>
      </c>
      <c r="D547" s="36" t="s">
        <v>210</v>
      </c>
      <c r="E547" s="36" t="s">
        <v>531</v>
      </c>
      <c r="F547" s="29" t="b">
        <v>1</v>
      </c>
      <c r="G547" s="36" t="s">
        <v>214</v>
      </c>
      <c r="H547" s="36" t="s">
        <v>534</v>
      </c>
      <c r="I547" s="39"/>
      <c r="J547" s="43"/>
      <c r="K547" s="37" t="s">
        <v>314</v>
      </c>
      <c r="L547" s="37" t="s">
        <v>526</v>
      </c>
      <c r="M547" s="37" t="s">
        <v>194</v>
      </c>
      <c r="N547" s="37" t="s">
        <v>194</v>
      </c>
      <c r="O547" s="37" t="s">
        <v>2398</v>
      </c>
      <c r="P547" s="37" t="s">
        <v>2399</v>
      </c>
      <c r="Q547" s="41">
        <v>46160.0</v>
      </c>
      <c r="R547" s="42">
        <v>4.0</v>
      </c>
      <c r="S547" s="29" t="s">
        <v>1043</v>
      </c>
      <c r="T547" s="37" t="s">
        <v>2400</v>
      </c>
      <c r="U547" s="45" t="str">
        <f>IF(records_2[Type]="Room",records_2[roomNo],records_2[roomNo]&amp;"-"&amp;SUBSTITUTE(RIGHT(records_2[roomNo]&amp;records_2[Type],2),"-",""))</f>
        <v>16-1-078</v>
      </c>
      <c r="V547" s="47" t="str">
        <f t="array" ref="V547">_xlfn.XLOOKUP(records_2[ID], dAir[roomNo], dAir[roomName])</f>
        <v>PASSAGE</v>
      </c>
      <c r="W547" s="47" t="str">
        <f t="array" ref="W547">_xlfn.XLOOKUP(records_2[ID], dAir[roomNo], dAir[building])</f>
        <v>Building 16</v>
      </c>
      <c r="X547" s="47" t="str">
        <f t="array" ref="X547">_xlfn.XLOOKUP(records_2[ID], dAir[roomNo], dAir[floor])</f>
        <v>Floor 1</v>
      </c>
      <c r="Y547" s="45" t="str">
        <f t="array" ref="Y547">_xlfn.XLOOKUP(records_2[ID], dAir[roomNo], dAir[Class])</f>
        <v>C</v>
      </c>
      <c r="Z547" s="45">
        <f t="array" ref="Z547">_xlfn.XLOOKUP(records_2[Method]&amp;"-"&amp;records_2[Class], dAirSpec[ID], dAirSpec[Spec])</f>
        <v>100</v>
      </c>
      <c r="AA547" s="45" t="str">
        <f t="array" ref="AA547">_xlfn.XLOOKUP(records_2[Method]&amp;"-"&amp;records_2[Class], dAirSpec[ID], dAirSpec[Unit])</f>
        <v>cfu/m3</v>
      </c>
      <c r="AB547" s="45">
        <f t="array" ref="AB547">if(R547="","", if(records_2[Method]="Active Air",_xlfn.xlookup(records_2[ColonyCount]&amp;records_2[AirSampler],feller[code],feller[Vc]),records_2[ColonyCount]))</f>
        <v>4</v>
      </c>
      <c r="AC547" s="60" t="b">
        <f t="shared" si="1"/>
        <v>1</v>
      </c>
      <c r="AD547" s="61" t="b">
        <v>0</v>
      </c>
      <c r="AE547" s="32" t="s">
        <v>280</v>
      </c>
      <c r="AF547" s="46"/>
      <c r="AG547" s="46"/>
      <c r="AH547" s="46"/>
      <c r="AI547" s="46"/>
      <c r="AJ547" s="46"/>
    </row>
    <row r="548" ht="22.5" customHeight="1">
      <c r="A548" s="27">
        <v>46119.0</v>
      </c>
      <c r="B548" s="34" t="str">
        <f t="array" ref="B548">TEXT(A548, "MM-YYYY")</f>
        <v>04-2026</v>
      </c>
      <c r="C548" s="39" t="s">
        <v>1047</v>
      </c>
      <c r="D548" s="36" t="s">
        <v>210</v>
      </c>
      <c r="E548" s="36" t="s">
        <v>531</v>
      </c>
      <c r="F548" s="29" t="b">
        <v>1</v>
      </c>
      <c r="G548" s="36" t="s">
        <v>214</v>
      </c>
      <c r="H548" s="36" t="s">
        <v>534</v>
      </c>
      <c r="I548" s="39"/>
      <c r="J548" s="43"/>
      <c r="K548" s="37" t="s">
        <v>339</v>
      </c>
      <c r="L548" s="37" t="s">
        <v>1783</v>
      </c>
      <c r="M548" s="37" t="s">
        <v>194</v>
      </c>
      <c r="N548" s="37" t="s">
        <v>194</v>
      </c>
      <c r="O548" s="37" t="s">
        <v>2398</v>
      </c>
      <c r="P548" s="37" t="s">
        <v>2399</v>
      </c>
      <c r="Q548" s="41">
        <v>46160.0</v>
      </c>
      <c r="R548" s="42">
        <v>1.0</v>
      </c>
      <c r="S548" s="29"/>
      <c r="T548" s="37" t="s">
        <v>2400</v>
      </c>
      <c r="U548" s="45" t="str">
        <f>IF(records_2[Type]="Room",records_2[roomNo],records_2[roomNo]&amp;"-"&amp;SUBSTITUTE(RIGHT(records_2[roomNo]&amp;records_2[Type],2),"-",""))</f>
        <v>16-1-079</v>
      </c>
      <c r="V548" s="47" t="str">
        <f t="array" ref="V548">_xlfn.XLOOKUP(records_2[ID], dAir[roomNo], dAir[roomName])</f>
        <v>COOLING ZONE</v>
      </c>
      <c r="W548" s="47" t="str">
        <f t="array" ref="W548">_xlfn.XLOOKUP(records_2[ID], dAir[roomNo], dAir[building])</f>
        <v>Building 16</v>
      </c>
      <c r="X548" s="47" t="str">
        <f t="array" ref="X548">_xlfn.XLOOKUP(records_2[ID], dAir[roomNo], dAir[floor])</f>
        <v>Floor 1</v>
      </c>
      <c r="Y548" s="45" t="str">
        <f t="array" ref="Y548">_xlfn.XLOOKUP(records_2[ID], dAir[roomNo], dAir[Class])</f>
        <v>C</v>
      </c>
      <c r="Z548" s="45">
        <f t="array" ref="Z548">_xlfn.XLOOKUP(records_2[Method]&amp;"-"&amp;records_2[Class], dAirSpec[ID], dAirSpec[Spec])</f>
        <v>100</v>
      </c>
      <c r="AA548" s="45" t="str">
        <f t="array" ref="AA548">_xlfn.XLOOKUP(records_2[Method]&amp;"-"&amp;records_2[Class], dAirSpec[ID], dAirSpec[Unit])</f>
        <v>cfu/m3</v>
      </c>
      <c r="AB548" s="45">
        <f t="array" ref="AB548">if(R548="","", if(records_2[Method]="Active Air",_xlfn.xlookup(records_2[ColonyCount]&amp;records_2[AirSampler],feller[code],feller[Vc]),records_2[ColonyCount]))</f>
        <v>1</v>
      </c>
      <c r="AC548" s="60" t="b">
        <f t="shared" si="1"/>
        <v>1</v>
      </c>
      <c r="AD548" s="61" t="b">
        <v>0</v>
      </c>
      <c r="AE548" s="32" t="s">
        <v>280</v>
      </c>
      <c r="AF548" s="46"/>
      <c r="AG548" s="46"/>
      <c r="AH548" s="46"/>
      <c r="AI548" s="46"/>
      <c r="AJ548" s="46"/>
    </row>
    <row r="549" ht="22.5" customHeight="1">
      <c r="A549" s="27">
        <v>46119.0</v>
      </c>
      <c r="B549" s="34" t="str">
        <f t="array" ref="B549">TEXT(A549, "MM-YYYY")</f>
        <v>04-2026</v>
      </c>
      <c r="C549" s="39" t="s">
        <v>1052</v>
      </c>
      <c r="D549" s="36" t="s">
        <v>210</v>
      </c>
      <c r="E549" s="36" t="s">
        <v>531</v>
      </c>
      <c r="F549" s="29" t="b">
        <v>1</v>
      </c>
      <c r="G549" s="36" t="s">
        <v>214</v>
      </c>
      <c r="H549" s="36" t="s">
        <v>534</v>
      </c>
      <c r="I549" s="39"/>
      <c r="J549" s="43"/>
      <c r="K549" s="37" t="s">
        <v>402</v>
      </c>
      <c r="L549" s="37" t="s">
        <v>1721</v>
      </c>
      <c r="M549" s="37" t="s">
        <v>194</v>
      </c>
      <c r="N549" s="37" t="s">
        <v>194</v>
      </c>
      <c r="O549" s="37" t="s">
        <v>2398</v>
      </c>
      <c r="P549" s="37" t="s">
        <v>2399</v>
      </c>
      <c r="Q549" s="41">
        <v>46160.0</v>
      </c>
      <c r="R549" s="42">
        <v>2.0</v>
      </c>
      <c r="S549" s="29"/>
      <c r="T549" s="37" t="s">
        <v>2400</v>
      </c>
      <c r="U549" s="45" t="str">
        <f>IF(records_2[Type]="Room",records_2[roomNo],records_2[roomNo]&amp;"-"&amp;SUBSTITUTE(RIGHT(records_2[roomNo]&amp;records_2[Type],2),"-",""))</f>
        <v>16-1-080</v>
      </c>
      <c r="V549" s="47" t="str">
        <f t="array" ref="V549">_xlfn.XLOOKUP(records_2[ID], dAir[roomNo], dAir[roomName])</f>
        <v>TOOL STORAGE</v>
      </c>
      <c r="W549" s="47" t="str">
        <f t="array" ref="W549">_xlfn.XLOOKUP(records_2[ID], dAir[roomNo], dAir[building])</f>
        <v>Building 16</v>
      </c>
      <c r="X549" s="47" t="str">
        <f t="array" ref="X549">_xlfn.XLOOKUP(records_2[ID], dAir[roomNo], dAir[floor])</f>
        <v>Floor 1</v>
      </c>
      <c r="Y549" s="45" t="str">
        <f t="array" ref="Y549">_xlfn.XLOOKUP(records_2[ID], dAir[roomNo], dAir[Class])</f>
        <v>C</v>
      </c>
      <c r="Z549" s="45">
        <f t="array" ref="Z549">_xlfn.XLOOKUP(records_2[Method]&amp;"-"&amp;records_2[Class], dAirSpec[ID], dAirSpec[Spec])</f>
        <v>100</v>
      </c>
      <c r="AA549" s="45" t="str">
        <f t="array" ref="AA549">_xlfn.XLOOKUP(records_2[Method]&amp;"-"&amp;records_2[Class], dAirSpec[ID], dAirSpec[Unit])</f>
        <v>cfu/m3</v>
      </c>
      <c r="AB549" s="45">
        <f t="array" ref="AB549">if(R549="","", if(records_2[Method]="Active Air",_xlfn.xlookup(records_2[ColonyCount]&amp;records_2[AirSampler],feller[code],feller[Vc]),records_2[ColonyCount]))</f>
        <v>2</v>
      </c>
      <c r="AC549" s="60" t="b">
        <f t="shared" si="1"/>
        <v>1</v>
      </c>
      <c r="AD549" s="61" t="b">
        <v>0</v>
      </c>
      <c r="AE549" s="32" t="s">
        <v>280</v>
      </c>
      <c r="AF549" s="46"/>
      <c r="AG549" s="46"/>
      <c r="AH549" s="46"/>
      <c r="AI549" s="46"/>
      <c r="AJ549" s="46"/>
    </row>
    <row r="550" ht="22.5" customHeight="1">
      <c r="A550" s="27">
        <v>46119.0</v>
      </c>
      <c r="B550" s="34" t="str">
        <f t="array" ref="B550">TEXT(A550, "MM-YYYY")</f>
        <v>04-2026</v>
      </c>
      <c r="C550" s="39" t="s">
        <v>1068</v>
      </c>
      <c r="D550" s="36" t="s">
        <v>210</v>
      </c>
      <c r="E550" s="36" t="s">
        <v>531</v>
      </c>
      <c r="F550" s="29" t="b">
        <v>1</v>
      </c>
      <c r="G550" s="36" t="s">
        <v>214</v>
      </c>
      <c r="H550" s="36" t="s">
        <v>534</v>
      </c>
      <c r="I550" s="39"/>
      <c r="J550" s="43"/>
      <c r="K550" s="37" t="s">
        <v>377</v>
      </c>
      <c r="L550" s="37" t="s">
        <v>1858</v>
      </c>
      <c r="M550" s="37" t="s">
        <v>194</v>
      </c>
      <c r="N550" s="37" t="s">
        <v>194</v>
      </c>
      <c r="O550" s="37" t="s">
        <v>2398</v>
      </c>
      <c r="P550" s="37" t="s">
        <v>2399</v>
      </c>
      <c r="Q550" s="41">
        <v>46160.0</v>
      </c>
      <c r="R550" s="42">
        <v>4.0</v>
      </c>
      <c r="S550" s="29"/>
      <c r="T550" s="37" t="s">
        <v>2400</v>
      </c>
      <c r="U550" s="45" t="str">
        <f>IF(records_2[Type]="Room",records_2[roomNo],records_2[roomNo]&amp;"-"&amp;SUBSTITUTE(RIGHT(records_2[roomNo]&amp;records_2[Type],2),"-",""))</f>
        <v>16-1-081</v>
      </c>
      <c r="V550" s="47" t="str">
        <f t="array" ref="V550">_xlfn.XLOOKUP(records_2[ID], dAir[roomNo], dAir[roomName])</f>
        <v>AIRLOCK</v>
      </c>
      <c r="W550" s="47" t="str">
        <f t="array" ref="W550">_xlfn.XLOOKUP(records_2[ID], dAir[roomNo], dAir[building])</f>
        <v>Building 16</v>
      </c>
      <c r="X550" s="47" t="str">
        <f t="array" ref="X550">_xlfn.XLOOKUP(records_2[ID], dAir[roomNo], dAir[floor])</f>
        <v>Floor 1</v>
      </c>
      <c r="Y550" s="45" t="str">
        <f t="array" ref="Y550">_xlfn.XLOOKUP(records_2[ID], dAir[roomNo], dAir[Class])</f>
        <v>C</v>
      </c>
      <c r="Z550" s="45">
        <f t="array" ref="Z550">_xlfn.XLOOKUP(records_2[Method]&amp;"-"&amp;records_2[Class], dAirSpec[ID], dAirSpec[Spec])</f>
        <v>100</v>
      </c>
      <c r="AA550" s="45" t="str">
        <f t="array" ref="AA550">_xlfn.XLOOKUP(records_2[Method]&amp;"-"&amp;records_2[Class], dAirSpec[ID], dAirSpec[Unit])</f>
        <v>cfu/m3</v>
      </c>
      <c r="AB550" s="45">
        <f t="array" ref="AB550">if(R550="","", if(records_2[Method]="Active Air",_xlfn.xlookup(records_2[ColonyCount]&amp;records_2[AirSampler],feller[code],feller[Vc]),records_2[ColonyCount]))</f>
        <v>4</v>
      </c>
      <c r="AC550" s="60" t="b">
        <f t="shared" si="1"/>
        <v>1</v>
      </c>
      <c r="AD550" s="61" t="b">
        <v>0</v>
      </c>
      <c r="AE550" s="32" t="s">
        <v>280</v>
      </c>
      <c r="AF550" s="46"/>
      <c r="AG550" s="46"/>
      <c r="AH550" s="46"/>
      <c r="AI550" s="46"/>
      <c r="AJ550" s="46"/>
    </row>
    <row r="551" ht="22.5" customHeight="1">
      <c r="A551" s="27">
        <v>46119.0</v>
      </c>
      <c r="B551" s="34" t="str">
        <f t="array" ref="B551">TEXT(A551, "MM-YYYY")</f>
        <v>04-2026</v>
      </c>
      <c r="C551" s="39" t="s">
        <v>736</v>
      </c>
      <c r="D551" s="36" t="s">
        <v>210</v>
      </c>
      <c r="E551" s="36" t="s">
        <v>531</v>
      </c>
      <c r="F551" s="29" t="b">
        <v>1</v>
      </c>
      <c r="G551" s="36" t="s">
        <v>214</v>
      </c>
      <c r="H551" s="36" t="s">
        <v>757</v>
      </c>
      <c r="I551" s="39">
        <v>3.1101125E8</v>
      </c>
      <c r="J551" s="40">
        <v>46240.0</v>
      </c>
      <c r="K551" s="37" t="s">
        <v>569</v>
      </c>
      <c r="L551" s="37" t="s">
        <v>999</v>
      </c>
      <c r="M551" s="37" t="s">
        <v>194</v>
      </c>
      <c r="N551" s="37" t="s">
        <v>194</v>
      </c>
      <c r="O551" s="37" t="s">
        <v>2398</v>
      </c>
      <c r="P551" s="37" t="s">
        <v>2399</v>
      </c>
      <c r="Q551" s="41">
        <v>46160.0</v>
      </c>
      <c r="R551" s="42">
        <v>0.0</v>
      </c>
      <c r="S551" s="29"/>
      <c r="T551" s="37" t="s">
        <v>2400</v>
      </c>
      <c r="U551" s="45" t="str">
        <f>IF(records_2[Type]="Room",records_2[roomNo],records_2[roomNo]&amp;"-"&amp;SUBSTITUTE(RIGHT(records_2[roomNo]&amp;records_2[Type],2),"-",""))</f>
        <v>16-1-082</v>
      </c>
      <c r="V551" s="47" t="str">
        <f t="array" ref="V551">_xlfn.XLOOKUP(records_2[ID], dAir[roomNo], dAir[roomName])</f>
        <v>WASHING</v>
      </c>
      <c r="W551" s="47" t="str">
        <f t="array" ref="W551">_xlfn.XLOOKUP(records_2[ID], dAir[roomNo], dAir[building])</f>
        <v>Building 16</v>
      </c>
      <c r="X551" s="47" t="str">
        <f t="array" ref="X551">_xlfn.XLOOKUP(records_2[ID], dAir[roomNo], dAir[floor])</f>
        <v>Floor 1</v>
      </c>
      <c r="Y551" s="45" t="str">
        <f t="array" ref="Y551">_xlfn.XLOOKUP(records_2[ID], dAir[roomNo], dAir[Class])</f>
        <v>C</v>
      </c>
      <c r="Z551" s="45">
        <f t="array" ref="Z551">_xlfn.XLOOKUP(records_2[Method]&amp;"-"&amp;records_2[Class], dAirSpec[ID], dAirSpec[Spec])</f>
        <v>100</v>
      </c>
      <c r="AA551" s="45" t="str">
        <f t="array" ref="AA551">_xlfn.XLOOKUP(records_2[Method]&amp;"-"&amp;records_2[Class], dAirSpec[ID], dAirSpec[Unit])</f>
        <v>cfu/m3</v>
      </c>
      <c r="AB551" s="45">
        <f t="array" ref="AB551">if(R551="","", if(records_2[Method]="Active Air",_xlfn.xlookup(records_2[ColonyCount]&amp;records_2[AirSampler],feller[code],feller[Vc]),records_2[ColonyCount]))</f>
        <v>0</v>
      </c>
      <c r="AC551" s="60" t="b">
        <f t="shared" si="1"/>
        <v>1</v>
      </c>
      <c r="AD551" s="61" t="b">
        <v>0</v>
      </c>
      <c r="AE551" s="32" t="s">
        <v>280</v>
      </c>
      <c r="AF551" s="46"/>
      <c r="AG551" s="46"/>
      <c r="AH551" s="46"/>
      <c r="AI551" s="46"/>
      <c r="AJ551" s="46"/>
    </row>
    <row r="552" ht="22.5" customHeight="1">
      <c r="A552" s="27">
        <v>46119.0</v>
      </c>
      <c r="B552" s="34" t="str">
        <f t="array" ref="B552">TEXT(A552, "MM-YYYY")</f>
        <v>04-2026</v>
      </c>
      <c r="C552" s="39" t="s">
        <v>740</v>
      </c>
      <c r="D552" s="36" t="s">
        <v>210</v>
      </c>
      <c r="E552" s="36" t="s">
        <v>531</v>
      </c>
      <c r="F552" s="29" t="b">
        <v>1</v>
      </c>
      <c r="G552" s="36" t="s">
        <v>214</v>
      </c>
      <c r="H552" s="36" t="s">
        <v>203</v>
      </c>
      <c r="I552" s="39"/>
      <c r="J552" s="43"/>
      <c r="K552" s="37" t="s">
        <v>381</v>
      </c>
      <c r="L552" s="37" t="s">
        <v>803</v>
      </c>
      <c r="M552" s="37" t="s">
        <v>194</v>
      </c>
      <c r="N552" s="37" t="s">
        <v>194</v>
      </c>
      <c r="O552" s="37" t="s">
        <v>2398</v>
      </c>
      <c r="P552" s="37" t="s">
        <v>2399</v>
      </c>
      <c r="Q552" s="41">
        <v>46160.0</v>
      </c>
      <c r="R552" s="42">
        <v>12.0</v>
      </c>
      <c r="S552" s="29"/>
      <c r="T552" s="37" t="s">
        <v>2400</v>
      </c>
      <c r="U552" s="45" t="str">
        <f>IF(records_2[Type]="Room",records_2[roomNo],records_2[roomNo]&amp;"-"&amp;SUBSTITUTE(RIGHT(records_2[roomNo]&amp;records_2[Type],2),"-",""))</f>
        <v>16-1-083</v>
      </c>
      <c r="V552" s="47" t="str">
        <f t="array" ref="V552">_xlfn.XLOOKUP(records_2[ID], dAir[roomNo], dAir[roomName])</f>
        <v>FILTRATION 1</v>
      </c>
      <c r="W552" s="47" t="str">
        <f t="array" ref="W552">_xlfn.XLOOKUP(records_2[ID], dAir[roomNo], dAir[building])</f>
        <v>Building 16</v>
      </c>
      <c r="X552" s="47" t="str">
        <f t="array" ref="X552">_xlfn.XLOOKUP(records_2[ID], dAir[roomNo], dAir[floor])</f>
        <v>Floor 1</v>
      </c>
      <c r="Y552" s="45" t="str">
        <f t="array" ref="Y552">_xlfn.XLOOKUP(records_2[ID], dAir[roomNo], dAir[Class])</f>
        <v>C</v>
      </c>
      <c r="Z552" s="45">
        <f t="array" ref="Z552">_xlfn.XLOOKUP(records_2[Method]&amp;"-"&amp;records_2[Class], dAirSpec[ID], dAirSpec[Spec])</f>
        <v>100</v>
      </c>
      <c r="AA552" s="45" t="str">
        <f t="array" ref="AA552">_xlfn.XLOOKUP(records_2[Method]&amp;"-"&amp;records_2[Class], dAirSpec[ID], dAirSpec[Unit])</f>
        <v>cfu/m3</v>
      </c>
      <c r="AB552" s="45">
        <f t="array" ref="AB552">if(R552="","", if(records_2[Method]="Active Air",_xlfn.xlookup(records_2[ColonyCount]&amp;records_2[AirSampler],feller[code],feller[Vc]),records_2[ColonyCount]))</f>
        <v>12</v>
      </c>
      <c r="AC552" s="60" t="b">
        <f t="shared" si="1"/>
        <v>1</v>
      </c>
      <c r="AD552" s="61" t="b">
        <v>0</v>
      </c>
      <c r="AE552" s="32" t="s">
        <v>280</v>
      </c>
      <c r="AF552" s="46"/>
      <c r="AG552" s="46"/>
      <c r="AH552" s="46"/>
      <c r="AI552" s="46"/>
      <c r="AJ552" s="46"/>
    </row>
    <row r="553" ht="22.5" customHeight="1">
      <c r="A553" s="27">
        <v>46119.0</v>
      </c>
      <c r="B553" s="34" t="str">
        <f t="array" ref="B553">TEXT(A553, "MM-YYYY")</f>
        <v>04-2026</v>
      </c>
      <c r="C553" s="39" t="s">
        <v>774</v>
      </c>
      <c r="D553" s="36" t="s">
        <v>755</v>
      </c>
      <c r="E553" s="36" t="s">
        <v>531</v>
      </c>
      <c r="F553" s="29" t="b">
        <v>1</v>
      </c>
      <c r="G553" s="36" t="s">
        <v>214</v>
      </c>
      <c r="H553" s="36" t="s">
        <v>757</v>
      </c>
      <c r="I553" s="39">
        <v>3.1101125E8</v>
      </c>
      <c r="J553" s="40">
        <v>46240.0</v>
      </c>
      <c r="K553" s="37" t="s">
        <v>353</v>
      </c>
      <c r="L553" s="37" t="s">
        <v>2238</v>
      </c>
      <c r="M553" s="37" t="s">
        <v>194</v>
      </c>
      <c r="N553" s="37" t="s">
        <v>194</v>
      </c>
      <c r="O553" s="37" t="s">
        <v>2398</v>
      </c>
      <c r="P553" s="37" t="s">
        <v>2399</v>
      </c>
      <c r="Q553" s="41">
        <v>46160.0</v>
      </c>
      <c r="R553" s="42">
        <v>0.0</v>
      </c>
      <c r="S553" s="29"/>
      <c r="T553" s="37" t="s">
        <v>2400</v>
      </c>
      <c r="U553" s="45" t="str">
        <f>IF(records_2[Type]="Room",records_2[roomNo],records_2[roomNo]&amp;"-"&amp;SUBSTITUTE(RIGHT(records_2[roomNo]&amp;records_2[Type],2),"-",""))</f>
        <v>16-1-084-M</v>
      </c>
      <c r="V553" s="47" t="str">
        <f t="array" ref="V553">_xlfn.XLOOKUP(records_2[ID], dAir[roomNo], dAir[roomName])</f>
        <v>FILLING 1 (Machine)</v>
      </c>
      <c r="W553" s="47" t="str">
        <f t="array" ref="W553">_xlfn.XLOOKUP(records_2[ID], dAir[roomNo], dAir[building])</f>
        <v>Building 16</v>
      </c>
      <c r="X553" s="47" t="str">
        <f t="array" ref="X553">_xlfn.XLOOKUP(records_2[ID], dAir[roomNo], dAir[floor])</f>
        <v>Floor 1</v>
      </c>
      <c r="Y553" s="45" t="str">
        <f t="array" ref="Y553">_xlfn.XLOOKUP(records_2[ID], dAir[roomNo], dAir[Class])</f>
        <v>A</v>
      </c>
      <c r="Z553" s="45">
        <f t="array" ref="Z553">_xlfn.XLOOKUP(records_2[Method]&amp;"-"&amp;records_2[Class], dAirSpec[ID], dAirSpec[Spec])</f>
        <v>0</v>
      </c>
      <c r="AA553" s="45" t="str">
        <f t="array" ref="AA553">_xlfn.XLOOKUP(records_2[Method]&amp;"-"&amp;records_2[Class], dAirSpec[ID], dAirSpec[Unit])</f>
        <v>cfu/m3</v>
      </c>
      <c r="AB553" s="45">
        <f t="array" ref="AB553">if(R553="","", if(records_2[Method]="Active Air",_xlfn.xlookup(records_2[ColonyCount]&amp;records_2[AirSampler],feller[code],feller[Vc]),records_2[ColonyCount]))</f>
        <v>0</v>
      </c>
      <c r="AC553" s="60" t="b">
        <f t="shared" si="1"/>
        <v>1</v>
      </c>
      <c r="AD553" s="61" t="b">
        <v>0</v>
      </c>
      <c r="AE553" s="32" t="s">
        <v>280</v>
      </c>
      <c r="AF553" s="46"/>
      <c r="AG553" s="46"/>
      <c r="AH553" s="46"/>
      <c r="AI553" s="46"/>
      <c r="AJ553" s="46"/>
    </row>
    <row r="554" ht="22.5" customHeight="1">
      <c r="A554" s="27">
        <v>46119.0</v>
      </c>
      <c r="B554" s="34" t="str">
        <f t="array" ref="B554">TEXT(A554, "MM-YYYY")</f>
        <v>04-2026</v>
      </c>
      <c r="C554" s="39" t="s">
        <v>774</v>
      </c>
      <c r="D554" s="36" t="s">
        <v>770</v>
      </c>
      <c r="E554" s="36" t="s">
        <v>531</v>
      </c>
      <c r="F554" s="29" t="b">
        <v>1</v>
      </c>
      <c r="G554" s="36" t="s">
        <v>214</v>
      </c>
      <c r="H554" s="36" t="s">
        <v>757</v>
      </c>
      <c r="I554" s="39">
        <v>3.1101125E8</v>
      </c>
      <c r="J554" s="40">
        <v>46240.0</v>
      </c>
      <c r="K554" s="37" t="s">
        <v>353</v>
      </c>
      <c r="L554" s="37" t="s">
        <v>2238</v>
      </c>
      <c r="M554" s="37" t="s">
        <v>194</v>
      </c>
      <c r="N554" s="37" t="s">
        <v>194</v>
      </c>
      <c r="O554" s="37" t="s">
        <v>2398</v>
      </c>
      <c r="P554" s="37" t="s">
        <v>2399</v>
      </c>
      <c r="Q554" s="41">
        <v>46160.0</v>
      </c>
      <c r="R554" s="42">
        <v>0.0</v>
      </c>
      <c r="S554" s="29"/>
      <c r="T554" s="37" t="s">
        <v>2400</v>
      </c>
      <c r="U554" s="45" t="str">
        <f>IF(records_2[Type]="Room",records_2[roomNo],records_2[roomNo]&amp;"-"&amp;SUBSTITUTE(RIGHT(records_2[roomNo]&amp;records_2[Type],2),"-",""))</f>
        <v>16-1-084-L</v>
      </c>
      <c r="V554" s="47" t="str">
        <f t="array" ref="V554">_xlfn.XLOOKUP(records_2[ID], dAir[roomNo], dAir[roomName])</f>
        <v>FILLING 1 (Laminar)</v>
      </c>
      <c r="W554" s="47" t="str">
        <f t="array" ref="W554">_xlfn.XLOOKUP(records_2[ID], dAir[roomNo], dAir[building])</f>
        <v>Building 16</v>
      </c>
      <c r="X554" s="47" t="str">
        <f t="array" ref="X554">_xlfn.XLOOKUP(records_2[ID], dAir[roomNo], dAir[floor])</f>
        <v>Floor 1</v>
      </c>
      <c r="Y554" s="45" t="str">
        <f t="array" ref="Y554">_xlfn.XLOOKUP(records_2[ID], dAir[roomNo], dAir[Class])</f>
        <v>A</v>
      </c>
      <c r="Z554" s="45">
        <f t="array" ref="Z554">_xlfn.XLOOKUP(records_2[Method]&amp;"-"&amp;records_2[Class], dAirSpec[ID], dAirSpec[Spec])</f>
        <v>0</v>
      </c>
      <c r="AA554" s="45" t="str">
        <f t="array" ref="AA554">_xlfn.XLOOKUP(records_2[Method]&amp;"-"&amp;records_2[Class], dAirSpec[ID], dAirSpec[Unit])</f>
        <v>cfu/m3</v>
      </c>
      <c r="AB554" s="45">
        <f t="array" ref="AB554">if(R554="","", if(records_2[Method]="Active Air",_xlfn.xlookup(records_2[ColonyCount]&amp;records_2[AirSampler],feller[code],feller[Vc]),records_2[ColonyCount]))</f>
        <v>0</v>
      </c>
      <c r="AC554" s="60" t="b">
        <f t="shared" si="1"/>
        <v>1</v>
      </c>
      <c r="AD554" s="61" t="b">
        <v>0</v>
      </c>
      <c r="AE554" s="32" t="s">
        <v>280</v>
      </c>
      <c r="AF554" s="46"/>
      <c r="AG554" s="46"/>
      <c r="AH554" s="46"/>
      <c r="AI554" s="46"/>
      <c r="AJ554" s="46"/>
    </row>
    <row r="555" ht="22.5" customHeight="1">
      <c r="A555" s="27">
        <v>46119.0</v>
      </c>
      <c r="B555" s="34" t="str">
        <f t="array" ref="B555">TEXT(A555, "MM-YYYY")</f>
        <v>04-2026</v>
      </c>
      <c r="C555" s="39" t="s">
        <v>774</v>
      </c>
      <c r="D555" s="36" t="s">
        <v>210</v>
      </c>
      <c r="E555" s="36" t="s">
        <v>531</v>
      </c>
      <c r="F555" s="29" t="b">
        <v>1</v>
      </c>
      <c r="G555" s="36" t="s">
        <v>214</v>
      </c>
      <c r="H555" s="36" t="s">
        <v>203</v>
      </c>
      <c r="I555" s="39"/>
      <c r="J555" s="43"/>
      <c r="K555" s="37" t="s">
        <v>353</v>
      </c>
      <c r="L555" s="37" t="s">
        <v>2238</v>
      </c>
      <c r="M555" s="37" t="s">
        <v>194</v>
      </c>
      <c r="N555" s="37" t="s">
        <v>194</v>
      </c>
      <c r="O555" s="37" t="s">
        <v>2398</v>
      </c>
      <c r="P555" s="37" t="s">
        <v>2399</v>
      </c>
      <c r="Q555" s="41">
        <v>46160.0</v>
      </c>
      <c r="R555" s="42">
        <v>1.0</v>
      </c>
      <c r="S555" s="29"/>
      <c r="T555" s="37" t="s">
        <v>2400</v>
      </c>
      <c r="U555" s="45" t="str">
        <f>IF(records_2[Type]="Room",records_2[roomNo],records_2[roomNo]&amp;"-"&amp;SUBSTITUTE(RIGHT(records_2[roomNo]&amp;records_2[Type],2),"-",""))</f>
        <v>16-1-084</v>
      </c>
      <c r="V555" s="47" t="str">
        <f t="array" ref="V555">_xlfn.XLOOKUP(records_2[ID], dAir[roomNo], dAir[roomName])</f>
        <v>FILLING 1</v>
      </c>
      <c r="W555" s="47" t="str">
        <f t="array" ref="W555">_xlfn.XLOOKUP(records_2[ID], dAir[roomNo], dAir[building])</f>
        <v>Building 16</v>
      </c>
      <c r="X555" s="47" t="str">
        <f t="array" ref="X555">_xlfn.XLOOKUP(records_2[ID], dAir[roomNo], dAir[floor])</f>
        <v>Floor 1</v>
      </c>
      <c r="Y555" s="45" t="str">
        <f t="array" ref="Y555">_xlfn.XLOOKUP(records_2[ID], dAir[roomNo], dAir[Class])</f>
        <v>C</v>
      </c>
      <c r="Z555" s="45">
        <f t="array" ref="Z555">_xlfn.XLOOKUP(records_2[Method]&amp;"-"&amp;records_2[Class], dAirSpec[ID], dAirSpec[Spec])</f>
        <v>100</v>
      </c>
      <c r="AA555" s="45" t="str">
        <f t="array" ref="AA555">_xlfn.XLOOKUP(records_2[Method]&amp;"-"&amp;records_2[Class], dAirSpec[ID], dAirSpec[Unit])</f>
        <v>cfu/m3</v>
      </c>
      <c r="AB555" s="45">
        <f t="array" ref="AB555">if(R555="","", if(records_2[Method]="Active Air",_xlfn.xlookup(records_2[ColonyCount]&amp;records_2[AirSampler],feller[code],feller[Vc]),records_2[ColonyCount]))</f>
        <v>1</v>
      </c>
      <c r="AC555" s="60" t="b">
        <f t="shared" si="1"/>
        <v>1</v>
      </c>
      <c r="AD555" s="61" t="b">
        <v>0</v>
      </c>
      <c r="AE555" s="32" t="s">
        <v>280</v>
      </c>
      <c r="AF555" s="46"/>
      <c r="AG555" s="46"/>
      <c r="AH555" s="46"/>
      <c r="AI555" s="46"/>
      <c r="AJ555" s="46"/>
    </row>
    <row r="556" ht="22.5" customHeight="1">
      <c r="A556" s="27">
        <v>46119.0</v>
      </c>
      <c r="B556" s="34" t="str">
        <f t="array" ref="B556">TEXT(A556, "MM-YYYY")</f>
        <v>04-2026</v>
      </c>
      <c r="C556" s="39" t="s">
        <v>1162</v>
      </c>
      <c r="D556" s="36" t="s">
        <v>210</v>
      </c>
      <c r="E556" s="36" t="s">
        <v>531</v>
      </c>
      <c r="F556" s="29" t="b">
        <v>1</v>
      </c>
      <c r="G556" s="36" t="s">
        <v>214</v>
      </c>
      <c r="H556" s="36" t="s">
        <v>203</v>
      </c>
      <c r="I556" s="39"/>
      <c r="J556" s="43"/>
      <c r="K556" s="37" t="s">
        <v>303</v>
      </c>
      <c r="L556" s="37" t="s">
        <v>526</v>
      </c>
      <c r="M556" s="37" t="s">
        <v>194</v>
      </c>
      <c r="N556" s="37" t="s">
        <v>194</v>
      </c>
      <c r="O556" s="37" t="s">
        <v>2398</v>
      </c>
      <c r="P556" s="37" t="s">
        <v>2399</v>
      </c>
      <c r="Q556" s="41">
        <v>46160.0</v>
      </c>
      <c r="R556" s="42">
        <v>8.0</v>
      </c>
      <c r="S556" s="29"/>
      <c r="T556" s="37" t="s">
        <v>2400</v>
      </c>
      <c r="U556" s="45" t="str">
        <f>IF(records_2[Type]="Room",records_2[roomNo],records_2[roomNo]&amp;"-"&amp;SUBSTITUTE(RIGHT(records_2[roomNo]&amp;records_2[Type],2),"-",""))</f>
        <v>16-1-085</v>
      </c>
      <c r="V556" s="47" t="str">
        <f t="array" ref="V556">_xlfn.XLOOKUP(records_2[ID], dAir[roomNo], dAir[roomName])</f>
        <v>IPQC</v>
      </c>
      <c r="W556" s="47" t="str">
        <f t="array" ref="W556">_xlfn.XLOOKUP(records_2[ID], dAir[roomNo], dAir[building])</f>
        <v>Building 16</v>
      </c>
      <c r="X556" s="47" t="str">
        <f t="array" ref="X556">_xlfn.XLOOKUP(records_2[ID], dAir[roomNo], dAir[floor])</f>
        <v>Floor 1</v>
      </c>
      <c r="Y556" s="45" t="str">
        <f t="array" ref="Y556">_xlfn.XLOOKUP(records_2[ID], dAir[roomNo], dAir[Class])</f>
        <v>C</v>
      </c>
      <c r="Z556" s="45">
        <f t="array" ref="Z556">_xlfn.XLOOKUP(records_2[Method]&amp;"-"&amp;records_2[Class], dAirSpec[ID], dAirSpec[Spec])</f>
        <v>100</v>
      </c>
      <c r="AA556" s="45" t="str">
        <f t="array" ref="AA556">_xlfn.XLOOKUP(records_2[Method]&amp;"-"&amp;records_2[Class], dAirSpec[ID], dAirSpec[Unit])</f>
        <v>cfu/m3</v>
      </c>
      <c r="AB556" s="45">
        <f t="array" ref="AB556">if(R556="","", if(records_2[Method]="Active Air",_xlfn.xlookup(records_2[ColonyCount]&amp;records_2[AirSampler],feller[code],feller[Vc]),records_2[ColonyCount]))</f>
        <v>8</v>
      </c>
      <c r="AC556" s="60" t="b">
        <f t="shared" si="1"/>
        <v>1</v>
      </c>
      <c r="AD556" s="61" t="b">
        <v>0</v>
      </c>
      <c r="AE556" s="32" t="s">
        <v>280</v>
      </c>
      <c r="AF556" s="46"/>
      <c r="AG556" s="46"/>
      <c r="AH556" s="46"/>
      <c r="AI556" s="46"/>
      <c r="AJ556" s="46"/>
    </row>
    <row r="557" ht="22.5" customHeight="1">
      <c r="A557" s="27">
        <v>46119.0</v>
      </c>
      <c r="B557" s="34" t="str">
        <f t="array" ref="B557">TEXT(A557, "MM-YYYY")</f>
        <v>04-2026</v>
      </c>
      <c r="C557" s="39" t="s">
        <v>1174</v>
      </c>
      <c r="D557" s="36" t="s">
        <v>210</v>
      </c>
      <c r="E557" s="36" t="s">
        <v>531</v>
      </c>
      <c r="F557" s="29" t="b">
        <v>1</v>
      </c>
      <c r="G557" s="36" t="s">
        <v>214</v>
      </c>
      <c r="H557" s="36" t="s">
        <v>203</v>
      </c>
      <c r="I557" s="39"/>
      <c r="J557" s="43"/>
      <c r="K557" s="37" t="s">
        <v>339</v>
      </c>
      <c r="L557" s="37" t="s">
        <v>2238</v>
      </c>
      <c r="M557" s="37" t="s">
        <v>194</v>
      </c>
      <c r="N557" s="37" t="s">
        <v>194</v>
      </c>
      <c r="O557" s="37" t="s">
        <v>2398</v>
      </c>
      <c r="P557" s="37" t="s">
        <v>2399</v>
      </c>
      <c r="Q557" s="41">
        <v>46160.0</v>
      </c>
      <c r="R557" s="42">
        <v>4.0</v>
      </c>
      <c r="S557" s="29"/>
      <c r="T557" s="37" t="s">
        <v>2400</v>
      </c>
      <c r="U557" s="45" t="str">
        <f>IF(records_2[Type]="Room",records_2[roomNo],records_2[roomNo]&amp;"-"&amp;SUBSTITUTE(RIGHT(records_2[roomNo]&amp;records_2[Type],2),"-",""))</f>
        <v>16-1-086</v>
      </c>
      <c r="V557" s="47" t="str">
        <f t="array" ref="V557">_xlfn.XLOOKUP(records_2[ID], dAir[roomNo], dAir[roomName])</f>
        <v>CLEANED EQUIPMENT</v>
      </c>
      <c r="W557" s="47" t="str">
        <f t="array" ref="W557">_xlfn.XLOOKUP(records_2[ID], dAir[roomNo], dAir[building])</f>
        <v>Building 16</v>
      </c>
      <c r="X557" s="47" t="str">
        <f t="array" ref="X557">_xlfn.XLOOKUP(records_2[ID], dAir[roomNo], dAir[floor])</f>
        <v>Floor 1</v>
      </c>
      <c r="Y557" s="45" t="str">
        <f t="array" ref="Y557">_xlfn.XLOOKUP(records_2[ID], dAir[roomNo], dAir[Class])</f>
        <v>C</v>
      </c>
      <c r="Z557" s="45">
        <f t="array" ref="Z557">_xlfn.XLOOKUP(records_2[Method]&amp;"-"&amp;records_2[Class], dAirSpec[ID], dAirSpec[Spec])</f>
        <v>100</v>
      </c>
      <c r="AA557" s="45" t="str">
        <f t="array" ref="AA557">_xlfn.XLOOKUP(records_2[Method]&amp;"-"&amp;records_2[Class], dAirSpec[ID], dAirSpec[Unit])</f>
        <v>cfu/m3</v>
      </c>
      <c r="AB557" s="45">
        <f t="array" ref="AB557">if(R557="","", if(records_2[Method]="Active Air",_xlfn.xlookup(records_2[ColonyCount]&amp;records_2[AirSampler],feller[code],feller[Vc]),records_2[ColonyCount]))</f>
        <v>4</v>
      </c>
      <c r="AC557" s="60" t="b">
        <f t="shared" si="1"/>
        <v>1</v>
      </c>
      <c r="AD557" s="61" t="b">
        <v>0</v>
      </c>
      <c r="AE557" s="32" t="s">
        <v>280</v>
      </c>
      <c r="AF557" s="46"/>
      <c r="AG557" s="46"/>
      <c r="AH557" s="46"/>
      <c r="AI557" s="46"/>
      <c r="AJ557" s="46"/>
    </row>
    <row r="558" ht="22.5" customHeight="1">
      <c r="A558" s="27">
        <v>46119.0</v>
      </c>
      <c r="B558" s="34" t="str">
        <f t="array" ref="B558">TEXT(A558, "MM-YYYY")</f>
        <v>04-2026</v>
      </c>
      <c r="C558" s="39" t="s">
        <v>1194</v>
      </c>
      <c r="D558" s="36" t="s">
        <v>210</v>
      </c>
      <c r="E558" s="36" t="s">
        <v>531</v>
      </c>
      <c r="F558" s="29" t="b">
        <v>1</v>
      </c>
      <c r="G558" s="36" t="s">
        <v>214</v>
      </c>
      <c r="H558" s="36" t="s">
        <v>203</v>
      </c>
      <c r="I558" s="39"/>
      <c r="J558" s="43"/>
      <c r="K558" s="37" t="s">
        <v>435</v>
      </c>
      <c r="L558" s="37" t="s">
        <v>488</v>
      </c>
      <c r="M558" s="37" t="s">
        <v>194</v>
      </c>
      <c r="N558" s="37" t="s">
        <v>194</v>
      </c>
      <c r="O558" s="37" t="s">
        <v>2398</v>
      </c>
      <c r="P558" s="37" t="s">
        <v>2399</v>
      </c>
      <c r="Q558" s="41">
        <v>46160.0</v>
      </c>
      <c r="R558" s="42">
        <v>3.0</v>
      </c>
      <c r="S558" s="29"/>
      <c r="T558" s="37" t="s">
        <v>2400</v>
      </c>
      <c r="U558" s="45" t="str">
        <f>IF(records_2[Type]="Room",records_2[roomNo],records_2[roomNo]&amp;"-"&amp;SUBSTITUTE(RIGHT(records_2[roomNo]&amp;records_2[Type],2),"-",""))</f>
        <v>16-1-087</v>
      </c>
      <c r="V558" s="47" t="str">
        <f t="array" ref="V558">_xlfn.XLOOKUP(records_2[ID], dAir[roomNo], dAir[roomName])</f>
        <v>MEN PAL</v>
      </c>
      <c r="W558" s="47" t="str">
        <f t="array" ref="W558">_xlfn.XLOOKUP(records_2[ID], dAir[roomNo], dAir[building])</f>
        <v>Building 16</v>
      </c>
      <c r="X558" s="47" t="str">
        <f t="array" ref="X558">_xlfn.XLOOKUP(records_2[ID], dAir[roomNo], dAir[floor])</f>
        <v>Floor 1</v>
      </c>
      <c r="Y558" s="45" t="str">
        <f t="array" ref="Y558">_xlfn.XLOOKUP(records_2[ID], dAir[roomNo], dAir[Class])</f>
        <v>D</v>
      </c>
      <c r="Z558" s="45">
        <f t="array" ref="Z558">_xlfn.XLOOKUP(records_2[Method]&amp;"-"&amp;records_2[Class], dAirSpec[ID], dAirSpec[Spec])</f>
        <v>200</v>
      </c>
      <c r="AA558" s="45" t="str">
        <f t="array" ref="AA558">_xlfn.XLOOKUP(records_2[Method]&amp;"-"&amp;records_2[Class], dAirSpec[ID], dAirSpec[Unit])</f>
        <v>cfu/m3</v>
      </c>
      <c r="AB558" s="45">
        <f t="array" ref="AB558">if(R558="","", if(records_2[Method]="Active Air",_xlfn.xlookup(records_2[ColonyCount]&amp;records_2[AirSampler],feller[code],feller[Vc]),records_2[ColonyCount]))</f>
        <v>3</v>
      </c>
      <c r="AC558" s="60" t="b">
        <f t="shared" si="1"/>
        <v>1</v>
      </c>
      <c r="AD558" s="61" t="b">
        <v>0</v>
      </c>
      <c r="AE558" s="32" t="s">
        <v>280</v>
      </c>
      <c r="AF558" s="46"/>
      <c r="AG558" s="46"/>
      <c r="AH558" s="46"/>
      <c r="AI558" s="46"/>
      <c r="AJ558" s="46"/>
    </row>
    <row r="559" ht="22.5" customHeight="1">
      <c r="A559" s="27">
        <v>46119.0</v>
      </c>
      <c r="B559" s="34" t="str">
        <f t="array" ref="B559">TEXT(A559, "MM-YYYY")</f>
        <v>04-2026</v>
      </c>
      <c r="C559" s="39" t="s">
        <v>1226</v>
      </c>
      <c r="D559" s="36" t="s">
        <v>210</v>
      </c>
      <c r="E559" s="36" t="s">
        <v>531</v>
      </c>
      <c r="F559" s="29" t="b">
        <v>1</v>
      </c>
      <c r="G559" s="36" t="s">
        <v>214</v>
      </c>
      <c r="H559" s="36" t="s">
        <v>203</v>
      </c>
      <c r="I559" s="39"/>
      <c r="J559" s="43"/>
      <c r="K559" s="37" t="s">
        <v>550</v>
      </c>
      <c r="L559" s="37" t="s">
        <v>842</v>
      </c>
      <c r="M559" s="37" t="s">
        <v>194</v>
      </c>
      <c r="N559" s="37" t="s">
        <v>194</v>
      </c>
      <c r="O559" s="37" t="s">
        <v>2398</v>
      </c>
      <c r="P559" s="37" t="s">
        <v>2399</v>
      </c>
      <c r="Q559" s="41">
        <v>46160.0</v>
      </c>
      <c r="R559" s="42">
        <v>4.0</v>
      </c>
      <c r="S559" s="55"/>
      <c r="T559" s="37" t="s">
        <v>2400</v>
      </c>
      <c r="U559" s="45" t="str">
        <f>IF(records_2[Type]="Room",records_2[roomNo],records_2[roomNo]&amp;"-"&amp;SUBSTITUTE(RIGHT(records_2[roomNo]&amp;records_2[Type],2),"-",""))</f>
        <v>16-1-088</v>
      </c>
      <c r="V559" s="47" t="str">
        <f t="array" ref="V559">_xlfn.XLOOKUP(records_2[ID], dAir[roomNo], dAir[roomName])</f>
        <v>MEN PROCESS CHANGE</v>
      </c>
      <c r="W559" s="47" t="str">
        <f t="array" ref="W559">_xlfn.XLOOKUP(records_2[ID], dAir[roomNo], dAir[building])</f>
        <v>Building 16</v>
      </c>
      <c r="X559" s="47" t="str">
        <f t="array" ref="X559">_xlfn.XLOOKUP(records_2[ID], dAir[roomNo], dAir[floor])</f>
        <v>Floor 1</v>
      </c>
      <c r="Y559" s="45" t="str">
        <f t="array" ref="Y559">_xlfn.XLOOKUP(records_2[ID], dAir[roomNo], dAir[Class])</f>
        <v>C</v>
      </c>
      <c r="Z559" s="45">
        <f t="array" ref="Z559">_xlfn.XLOOKUP(records_2[Method]&amp;"-"&amp;records_2[Class], dAirSpec[ID], dAirSpec[Spec])</f>
        <v>100</v>
      </c>
      <c r="AA559" s="45" t="str">
        <f t="array" ref="AA559">_xlfn.XLOOKUP(records_2[Method]&amp;"-"&amp;records_2[Class], dAirSpec[ID], dAirSpec[Unit])</f>
        <v>cfu/m3</v>
      </c>
      <c r="AB559" s="45">
        <f t="array" ref="AB559">if(R559="","", if(records_2[Method]="Active Air",_xlfn.xlookup(records_2[ColonyCount]&amp;records_2[AirSampler],feller[code],feller[Vc]),records_2[ColonyCount]))</f>
        <v>4</v>
      </c>
      <c r="AC559" s="60" t="b">
        <f t="shared" si="1"/>
        <v>1</v>
      </c>
      <c r="AD559" s="61" t="b">
        <v>0</v>
      </c>
      <c r="AE559" s="32" t="s">
        <v>280</v>
      </c>
      <c r="AF559" s="46"/>
      <c r="AG559" s="46"/>
      <c r="AH559" s="46"/>
      <c r="AI559" s="46"/>
      <c r="AJ559" s="46"/>
    </row>
    <row r="560" ht="22.5" customHeight="1">
      <c r="A560" s="27">
        <v>46119.0</v>
      </c>
      <c r="B560" s="34" t="str">
        <f t="array" ref="B560">TEXT(A560, "MM-YYYY")</f>
        <v>04-2026</v>
      </c>
      <c r="C560" s="39" t="s">
        <v>1250</v>
      </c>
      <c r="D560" s="36" t="s">
        <v>210</v>
      </c>
      <c r="E560" s="36" t="s">
        <v>531</v>
      </c>
      <c r="F560" s="29" t="b">
        <v>1</v>
      </c>
      <c r="G560" s="36" t="s">
        <v>214</v>
      </c>
      <c r="H560" s="36" t="s">
        <v>534</v>
      </c>
      <c r="I560" s="39"/>
      <c r="J560" s="43"/>
      <c r="K560" s="37" t="s">
        <v>2100</v>
      </c>
      <c r="L560" s="37" t="s">
        <v>2101</v>
      </c>
      <c r="M560" s="37" t="s">
        <v>194</v>
      </c>
      <c r="N560" s="37" t="s">
        <v>194</v>
      </c>
      <c r="O560" s="37" t="s">
        <v>2398</v>
      </c>
      <c r="P560" s="37" t="s">
        <v>2399</v>
      </c>
      <c r="Q560" s="41">
        <v>46160.0</v>
      </c>
      <c r="R560" s="42">
        <v>3.0</v>
      </c>
      <c r="S560" s="29"/>
      <c r="T560" s="37" t="s">
        <v>2400</v>
      </c>
      <c r="U560" s="45" t="str">
        <f>IF(records_2[Type]="Room",records_2[roomNo],records_2[roomNo]&amp;"-"&amp;SUBSTITUTE(RIGHT(records_2[roomNo]&amp;records_2[Type],2),"-",""))</f>
        <v>16-1-089</v>
      </c>
      <c r="V560" s="47" t="str">
        <f t="array" ref="V560">_xlfn.XLOOKUP(records_2[ID], dAir[roomNo], dAir[roomName])</f>
        <v>WOMEN PAL</v>
      </c>
      <c r="W560" s="47" t="str">
        <f t="array" ref="W560">_xlfn.XLOOKUP(records_2[ID], dAir[roomNo], dAir[building])</f>
        <v>Building 16</v>
      </c>
      <c r="X560" s="47" t="str">
        <f t="array" ref="X560">_xlfn.XLOOKUP(records_2[ID], dAir[roomNo], dAir[floor])</f>
        <v>Floor 1</v>
      </c>
      <c r="Y560" s="45" t="str">
        <f t="array" ref="Y560">_xlfn.XLOOKUP(records_2[ID], dAir[roomNo], dAir[Class])</f>
        <v>D</v>
      </c>
      <c r="Z560" s="45">
        <f t="array" ref="Z560">_xlfn.XLOOKUP(records_2[Method]&amp;"-"&amp;records_2[Class], dAirSpec[ID], dAirSpec[Spec])</f>
        <v>200</v>
      </c>
      <c r="AA560" s="45" t="str">
        <f t="array" ref="AA560">_xlfn.XLOOKUP(records_2[Method]&amp;"-"&amp;records_2[Class], dAirSpec[ID], dAirSpec[Unit])</f>
        <v>cfu/m3</v>
      </c>
      <c r="AB560" s="45">
        <f t="array" ref="AB560">if(R560="","", if(records_2[Method]="Active Air",_xlfn.xlookup(records_2[ColonyCount]&amp;records_2[AirSampler],feller[code],feller[Vc]),records_2[ColonyCount]))</f>
        <v>3</v>
      </c>
      <c r="AC560" s="60" t="b">
        <f t="shared" si="1"/>
        <v>1</v>
      </c>
      <c r="AD560" s="61" t="b">
        <v>0</v>
      </c>
      <c r="AE560" s="32" t="s">
        <v>280</v>
      </c>
      <c r="AF560" s="46"/>
      <c r="AG560" s="46"/>
      <c r="AH560" s="46"/>
      <c r="AI560" s="46"/>
      <c r="AJ560" s="46"/>
    </row>
    <row r="561" ht="22.5" customHeight="1">
      <c r="A561" s="27">
        <v>46119.0</v>
      </c>
      <c r="B561" s="34" t="str">
        <f t="array" ref="B561">TEXT(A561, "MM-YYYY")</f>
        <v>04-2026</v>
      </c>
      <c r="C561" s="39" t="s">
        <v>1273</v>
      </c>
      <c r="D561" s="36" t="s">
        <v>210</v>
      </c>
      <c r="E561" s="36" t="s">
        <v>531</v>
      </c>
      <c r="F561" s="29" t="b">
        <v>1</v>
      </c>
      <c r="G561" s="36" t="s">
        <v>214</v>
      </c>
      <c r="H561" s="36" t="s">
        <v>534</v>
      </c>
      <c r="I561" s="39"/>
      <c r="J561" s="43"/>
      <c r="K561" s="37" t="s">
        <v>578</v>
      </c>
      <c r="L561" s="37" t="s">
        <v>788</v>
      </c>
      <c r="M561" s="37" t="s">
        <v>194</v>
      </c>
      <c r="N561" s="37" t="s">
        <v>194</v>
      </c>
      <c r="O561" s="37" t="s">
        <v>2398</v>
      </c>
      <c r="P561" s="37" t="s">
        <v>2399</v>
      </c>
      <c r="Q561" s="41">
        <v>46160.0</v>
      </c>
      <c r="R561" s="42">
        <v>3.0</v>
      </c>
      <c r="S561" s="29"/>
      <c r="T561" s="37" t="s">
        <v>2400</v>
      </c>
      <c r="U561" s="45" t="str">
        <f>IF(records_2[Type]="Room",records_2[roomNo],records_2[roomNo]&amp;"-"&amp;SUBSTITUTE(RIGHT(records_2[roomNo]&amp;records_2[Type],2),"-",""))</f>
        <v>16-1-090</v>
      </c>
      <c r="V561" s="47" t="str">
        <f t="array" ref="V561">_xlfn.XLOOKUP(records_2[ID], dAir[roomNo], dAir[roomName])</f>
        <v>WOMEN PROCESS CHANGE</v>
      </c>
      <c r="W561" s="47" t="str">
        <f t="array" ref="W561">_xlfn.XLOOKUP(records_2[ID], dAir[roomNo], dAir[building])</f>
        <v>Building 16</v>
      </c>
      <c r="X561" s="47" t="str">
        <f t="array" ref="X561">_xlfn.XLOOKUP(records_2[ID], dAir[roomNo], dAir[floor])</f>
        <v>Floor 1</v>
      </c>
      <c r="Y561" s="45" t="str">
        <f t="array" ref="Y561">_xlfn.XLOOKUP(records_2[ID], dAir[roomNo], dAir[Class])</f>
        <v>C</v>
      </c>
      <c r="Z561" s="45">
        <f t="array" ref="Z561">_xlfn.XLOOKUP(records_2[Method]&amp;"-"&amp;records_2[Class], dAirSpec[ID], dAirSpec[Spec])</f>
        <v>100</v>
      </c>
      <c r="AA561" s="45" t="str">
        <f t="array" ref="AA561">_xlfn.XLOOKUP(records_2[Method]&amp;"-"&amp;records_2[Class], dAirSpec[ID], dAirSpec[Unit])</f>
        <v>cfu/m3</v>
      </c>
      <c r="AB561" s="45">
        <f t="array" ref="AB561">if(R561="","", if(records_2[Method]="Active Air",_xlfn.xlookup(records_2[ColonyCount]&amp;records_2[AirSampler],feller[code],feller[Vc]),records_2[ColonyCount]))</f>
        <v>3</v>
      </c>
      <c r="AC561" s="60" t="b">
        <f t="shared" si="1"/>
        <v>1</v>
      </c>
      <c r="AD561" s="61" t="b">
        <v>0</v>
      </c>
      <c r="AE561" s="32" t="s">
        <v>280</v>
      </c>
      <c r="AF561" s="46"/>
      <c r="AG561" s="46"/>
      <c r="AH561" s="46"/>
      <c r="AI561" s="46"/>
      <c r="AJ561" s="46"/>
    </row>
    <row r="562" ht="22.5" customHeight="1">
      <c r="A562" s="27">
        <v>46119.0</v>
      </c>
      <c r="B562" s="34" t="str">
        <f t="array" ref="B562">TEXT(A562, "MM-YYYY")</f>
        <v>04-2026</v>
      </c>
      <c r="C562" s="39" t="s">
        <v>1311</v>
      </c>
      <c r="D562" s="36" t="s">
        <v>210</v>
      </c>
      <c r="E562" s="36" t="s">
        <v>531</v>
      </c>
      <c r="F562" s="29" t="b">
        <v>1</v>
      </c>
      <c r="G562" s="36" t="s">
        <v>214</v>
      </c>
      <c r="H562" s="36" t="s">
        <v>203</v>
      </c>
      <c r="I562" s="39"/>
      <c r="J562" s="43"/>
      <c r="K562" s="37" t="s">
        <v>546</v>
      </c>
      <c r="L562" s="37" t="s">
        <v>1054</v>
      </c>
      <c r="M562" s="37" t="s">
        <v>194</v>
      </c>
      <c r="N562" s="37" t="s">
        <v>194</v>
      </c>
      <c r="O562" s="37" t="s">
        <v>2398</v>
      </c>
      <c r="P562" s="37" t="s">
        <v>2399</v>
      </c>
      <c r="Q562" s="41">
        <v>46160.0</v>
      </c>
      <c r="R562" s="42">
        <v>4.0</v>
      </c>
      <c r="S562" s="29" t="s">
        <v>1318</v>
      </c>
      <c r="T562" s="37" t="s">
        <v>2400</v>
      </c>
      <c r="U562" s="45" t="str">
        <f>IF(records_2[Type]="Room",records_2[roomNo],records_2[roomNo]&amp;"-"&amp;SUBSTITUTE(RIGHT(records_2[roomNo]&amp;records_2[Type],2),"-",""))</f>
        <v>16-1-091</v>
      </c>
      <c r="V562" s="47" t="str">
        <f t="array" ref="V562">_xlfn.XLOOKUP(records_2[ID], dAir[roomNo], dAir[roomName])</f>
        <v>CORRIDOR</v>
      </c>
      <c r="W562" s="47" t="str">
        <f t="array" ref="W562">_xlfn.XLOOKUP(records_2[ID], dAir[roomNo], dAir[building])</f>
        <v>Building 16</v>
      </c>
      <c r="X562" s="47" t="str">
        <f t="array" ref="X562">_xlfn.XLOOKUP(records_2[ID], dAir[roomNo], dAir[floor])</f>
        <v>Floor 1</v>
      </c>
      <c r="Y562" s="45" t="str">
        <f t="array" ref="Y562">_xlfn.XLOOKUP(records_2[ID], dAir[roomNo], dAir[Class])</f>
        <v>C</v>
      </c>
      <c r="Z562" s="45">
        <f t="array" ref="Z562">_xlfn.XLOOKUP(records_2[Method]&amp;"-"&amp;records_2[Class], dAirSpec[ID], dAirSpec[Spec])</f>
        <v>100</v>
      </c>
      <c r="AA562" s="45" t="str">
        <f t="array" ref="AA562">_xlfn.XLOOKUP(records_2[Method]&amp;"-"&amp;records_2[Class], dAirSpec[ID], dAirSpec[Unit])</f>
        <v>cfu/m3</v>
      </c>
      <c r="AB562" s="45">
        <f t="array" ref="AB562">if(R562="","", if(records_2[Method]="Active Air",_xlfn.xlookup(records_2[ColonyCount]&amp;records_2[AirSampler],feller[code],feller[Vc]),records_2[ColonyCount]))</f>
        <v>4</v>
      </c>
      <c r="AC562" s="60" t="b">
        <f t="shared" si="1"/>
        <v>1</v>
      </c>
      <c r="AD562" s="61" t="b">
        <v>0</v>
      </c>
      <c r="AE562" s="32" t="s">
        <v>280</v>
      </c>
      <c r="AF562" s="46"/>
      <c r="AG562" s="46"/>
      <c r="AH562" s="46"/>
      <c r="AI562" s="46"/>
      <c r="AJ562" s="46"/>
    </row>
    <row r="563" ht="22.5" customHeight="1">
      <c r="A563" s="27">
        <v>46119.0</v>
      </c>
      <c r="B563" s="34" t="str">
        <f t="array" ref="B563">TEXT(A563, "MM-YYYY")</f>
        <v>04-2026</v>
      </c>
      <c r="C563" s="39" t="s">
        <v>1311</v>
      </c>
      <c r="D563" s="36" t="s">
        <v>1350</v>
      </c>
      <c r="E563" s="36" t="s">
        <v>531</v>
      </c>
      <c r="F563" s="29" t="b">
        <v>1</v>
      </c>
      <c r="G563" s="36" t="s">
        <v>214</v>
      </c>
      <c r="H563" s="36" t="s">
        <v>203</v>
      </c>
      <c r="I563" s="39"/>
      <c r="J563" s="43"/>
      <c r="K563" s="37" t="s">
        <v>546</v>
      </c>
      <c r="L563" s="37" t="s">
        <v>1054</v>
      </c>
      <c r="M563" s="37" t="s">
        <v>194</v>
      </c>
      <c r="N563" s="37" t="s">
        <v>194</v>
      </c>
      <c r="O563" s="37" t="s">
        <v>2398</v>
      </c>
      <c r="P563" s="37" t="s">
        <v>2399</v>
      </c>
      <c r="Q563" s="41">
        <v>46160.0</v>
      </c>
      <c r="R563" s="42">
        <v>0.0</v>
      </c>
      <c r="S563" s="29" t="s">
        <v>2267</v>
      </c>
      <c r="T563" s="37" t="s">
        <v>2400</v>
      </c>
      <c r="U563" s="45" t="str">
        <f>IF(records_2[Type]="Room",records_2[roomNo],records_2[roomNo]&amp;"-"&amp;SUBSTITUTE(RIGHT(records_2[roomNo]&amp;records_2[Type],2),"-",""))</f>
        <v>16-1-091-PB</v>
      </c>
      <c r="V563" s="47" t="str">
        <f t="array" ref="V563">_xlfn.XLOOKUP(records_2[ID], dAir[roomNo], dAir[roomName])</f>
        <v>CORRIDOR (Passbox)</v>
      </c>
      <c r="W563" s="47" t="str">
        <f t="array" ref="W563">_xlfn.XLOOKUP(records_2[ID], dAir[roomNo], dAir[building])</f>
        <v>Building 16</v>
      </c>
      <c r="X563" s="47" t="str">
        <f t="array" ref="X563">_xlfn.XLOOKUP(records_2[ID], dAir[roomNo], dAir[floor])</f>
        <v>Floor 1</v>
      </c>
      <c r="Y563" s="45" t="str">
        <f t="array" ref="Y563">_xlfn.XLOOKUP(records_2[ID], dAir[roomNo], dAir[Class])</f>
        <v>C</v>
      </c>
      <c r="Z563" s="45">
        <f t="array" ref="Z563">_xlfn.XLOOKUP(records_2[Method]&amp;"-"&amp;records_2[Class], dAirSpec[ID], dAirSpec[Spec])</f>
        <v>100</v>
      </c>
      <c r="AA563" s="45" t="str">
        <f t="array" ref="AA563">_xlfn.XLOOKUP(records_2[Method]&amp;"-"&amp;records_2[Class], dAirSpec[ID], dAirSpec[Unit])</f>
        <v>cfu/m3</v>
      </c>
      <c r="AB563" s="45">
        <f t="array" ref="AB563">if(R563="","", if(records_2[Method]="Active Air",_xlfn.xlookup(records_2[ColonyCount]&amp;records_2[AirSampler],feller[code],feller[Vc]),records_2[ColonyCount]))</f>
        <v>0</v>
      </c>
      <c r="AC563" s="60" t="b">
        <f t="shared" si="1"/>
        <v>1</v>
      </c>
      <c r="AD563" s="61" t="b">
        <v>0</v>
      </c>
      <c r="AE563" s="32" t="s">
        <v>280</v>
      </c>
      <c r="AF563" s="46"/>
      <c r="AG563" s="46"/>
      <c r="AH563" s="46"/>
      <c r="AI563" s="46"/>
      <c r="AJ563" s="46"/>
    </row>
    <row r="564" ht="22.5" customHeight="1">
      <c r="A564" s="27">
        <v>46119.0</v>
      </c>
      <c r="B564" s="34" t="str">
        <f t="array" ref="B564">TEXT(A564, "MM-YYYY")</f>
        <v>04-2026</v>
      </c>
      <c r="C564" s="39" t="s">
        <v>1041</v>
      </c>
      <c r="D564" s="36" t="s">
        <v>1350</v>
      </c>
      <c r="E564" s="36" t="s">
        <v>531</v>
      </c>
      <c r="F564" s="29" t="b">
        <v>1</v>
      </c>
      <c r="G564" s="36" t="s">
        <v>214</v>
      </c>
      <c r="H564" s="36" t="s">
        <v>757</v>
      </c>
      <c r="I564" s="39">
        <v>3.1101125E8</v>
      </c>
      <c r="J564" s="40">
        <v>46240.0</v>
      </c>
      <c r="K564" s="37" t="s">
        <v>314</v>
      </c>
      <c r="L564" s="37" t="s">
        <v>526</v>
      </c>
      <c r="M564" s="37" t="s">
        <v>194</v>
      </c>
      <c r="N564" s="37" t="s">
        <v>194</v>
      </c>
      <c r="O564" s="37" t="s">
        <v>2398</v>
      </c>
      <c r="P564" s="37" t="s">
        <v>2399</v>
      </c>
      <c r="Q564" s="41">
        <v>46160.0</v>
      </c>
      <c r="R564" s="42">
        <v>6.0</v>
      </c>
      <c r="S564" s="29" t="s">
        <v>2258</v>
      </c>
      <c r="T564" s="37" t="s">
        <v>2400</v>
      </c>
      <c r="U564" s="45" t="str">
        <f>IF(records_2[Type]="Room",records_2[roomNo],records_2[roomNo]&amp;"-"&amp;SUBSTITUTE(RIGHT(records_2[roomNo]&amp;records_2[Type],2),"-",""))</f>
        <v>16-1-078-PB</v>
      </c>
      <c r="V564" s="47" t="str">
        <f t="array" ref="V564">_xlfn.XLOOKUP(records_2[ID], dAir[roomNo], dAir[roomName])</f>
        <v>PASSAGE (Passbox)</v>
      </c>
      <c r="W564" s="47" t="str">
        <f t="array" ref="W564">_xlfn.XLOOKUP(records_2[ID], dAir[roomNo], dAir[building])</f>
        <v>Building 16</v>
      </c>
      <c r="X564" s="47" t="str">
        <f t="array" ref="X564">_xlfn.XLOOKUP(records_2[ID], dAir[roomNo], dAir[floor])</f>
        <v>Floor 1</v>
      </c>
      <c r="Y564" s="45" t="str">
        <f t="array" ref="Y564">_xlfn.XLOOKUP(records_2[ID], dAir[roomNo], dAir[Class])</f>
        <v>C</v>
      </c>
      <c r="Z564" s="45">
        <f t="array" ref="Z564">_xlfn.XLOOKUP(records_2[Method]&amp;"-"&amp;records_2[Class], dAirSpec[ID], dAirSpec[Spec])</f>
        <v>100</v>
      </c>
      <c r="AA564" s="45" t="str">
        <f t="array" ref="AA564">_xlfn.XLOOKUP(records_2[Method]&amp;"-"&amp;records_2[Class], dAirSpec[ID], dAirSpec[Unit])</f>
        <v>cfu/m3</v>
      </c>
      <c r="AB564" s="45">
        <f t="array" ref="AB564">if(R564="","", if(records_2[Method]="Active Air",_xlfn.xlookup(records_2[ColonyCount]&amp;records_2[AirSampler],feller[code],feller[Vc]),records_2[ColonyCount]))</f>
        <v>6</v>
      </c>
      <c r="AC564" s="60" t="b">
        <f t="shared" si="1"/>
        <v>1</v>
      </c>
      <c r="AD564" s="61" t="b">
        <v>0</v>
      </c>
      <c r="AE564" s="32" t="s">
        <v>280</v>
      </c>
      <c r="AF564" s="46"/>
      <c r="AG564" s="46"/>
      <c r="AH564" s="46"/>
      <c r="AI564" s="46"/>
      <c r="AJ564" s="46"/>
    </row>
    <row r="565" ht="22.5" customHeight="1">
      <c r="A565" s="27">
        <v>46119.0</v>
      </c>
      <c r="B565" s="34" t="str">
        <f t="array" ref="B565">TEXT(A565, "MM-YYYY")</f>
        <v>04-2026</v>
      </c>
      <c r="C565" s="39" t="s">
        <v>1311</v>
      </c>
      <c r="D565" s="36" t="s">
        <v>210</v>
      </c>
      <c r="E565" s="36" t="s">
        <v>531</v>
      </c>
      <c r="F565" s="29" t="b">
        <v>1</v>
      </c>
      <c r="G565" s="36" t="s">
        <v>214</v>
      </c>
      <c r="H565" s="36" t="s">
        <v>203</v>
      </c>
      <c r="I565" s="39"/>
      <c r="J565" s="43"/>
      <c r="K565" s="37" t="s">
        <v>546</v>
      </c>
      <c r="L565" s="37" t="s">
        <v>1054</v>
      </c>
      <c r="M565" s="37" t="s">
        <v>194</v>
      </c>
      <c r="N565" s="37" t="s">
        <v>194</v>
      </c>
      <c r="O565" s="37" t="s">
        <v>2398</v>
      </c>
      <c r="P565" s="37" t="s">
        <v>2399</v>
      </c>
      <c r="Q565" s="41">
        <v>46160.0</v>
      </c>
      <c r="R565" s="42">
        <v>28.0</v>
      </c>
      <c r="S565" s="29" t="s">
        <v>1403</v>
      </c>
      <c r="T565" s="37" t="s">
        <v>2400</v>
      </c>
      <c r="U565" s="45" t="str">
        <f>IF(records_2[Type]="Room",records_2[roomNo],records_2[roomNo]&amp;"-"&amp;SUBSTITUTE(RIGHT(records_2[roomNo]&amp;records_2[Type],2),"-",""))</f>
        <v>16-1-091</v>
      </c>
      <c r="V565" s="47" t="str">
        <f t="array" ref="V565">_xlfn.XLOOKUP(records_2[ID], dAir[roomNo], dAir[roomName])</f>
        <v>CORRIDOR</v>
      </c>
      <c r="W565" s="47" t="str">
        <f t="array" ref="W565">_xlfn.XLOOKUP(records_2[ID], dAir[roomNo], dAir[building])</f>
        <v>Building 16</v>
      </c>
      <c r="X565" s="47" t="str">
        <f t="array" ref="X565">_xlfn.XLOOKUP(records_2[ID], dAir[roomNo], dAir[floor])</f>
        <v>Floor 1</v>
      </c>
      <c r="Y565" s="45" t="str">
        <f t="array" ref="Y565">_xlfn.XLOOKUP(records_2[ID], dAir[roomNo], dAir[Class])</f>
        <v>C</v>
      </c>
      <c r="Z565" s="45">
        <f t="array" ref="Z565">_xlfn.XLOOKUP(records_2[Method]&amp;"-"&amp;records_2[Class], dAirSpec[ID], dAirSpec[Spec])</f>
        <v>100</v>
      </c>
      <c r="AA565" s="45" t="str">
        <f t="array" ref="AA565">_xlfn.XLOOKUP(records_2[Method]&amp;"-"&amp;records_2[Class], dAirSpec[ID], dAirSpec[Unit])</f>
        <v>cfu/m3</v>
      </c>
      <c r="AB565" s="45">
        <f t="array" ref="AB565">if(R565="","", if(records_2[Method]="Active Air",_xlfn.xlookup(records_2[ColonyCount]&amp;records_2[AirSampler],feller[code],feller[Vc]),records_2[ColonyCount]))</f>
        <v>28</v>
      </c>
      <c r="AC565" s="60" t="b">
        <f t="shared" si="1"/>
        <v>1</v>
      </c>
      <c r="AD565" s="61" t="b">
        <v>0</v>
      </c>
      <c r="AE565" s="32" t="s">
        <v>280</v>
      </c>
      <c r="AF565" s="46"/>
      <c r="AG565" s="46"/>
      <c r="AH565" s="46"/>
      <c r="AI565" s="46"/>
      <c r="AJ565" s="46"/>
    </row>
    <row r="566" ht="22.5" customHeight="1">
      <c r="A566" s="27">
        <v>46119.0</v>
      </c>
      <c r="B566" s="34" t="str">
        <f t="array" ref="B566">TEXT(A566, "MM-YYYY")</f>
        <v>04-2026</v>
      </c>
      <c r="C566" s="39" t="s">
        <v>1412</v>
      </c>
      <c r="D566" s="36" t="s">
        <v>210</v>
      </c>
      <c r="E566" s="36" t="s">
        <v>531</v>
      </c>
      <c r="F566" s="29" t="b">
        <v>1</v>
      </c>
      <c r="G566" s="36" t="s">
        <v>214</v>
      </c>
      <c r="H566" s="36" t="s">
        <v>534</v>
      </c>
      <c r="I566" s="39"/>
      <c r="J566" s="43"/>
      <c r="K566" s="37" t="s">
        <v>310</v>
      </c>
      <c r="L566" s="37" t="s">
        <v>324</v>
      </c>
      <c r="M566" s="37" t="s">
        <v>194</v>
      </c>
      <c r="N566" s="37" t="s">
        <v>194</v>
      </c>
      <c r="O566" s="37" t="s">
        <v>2398</v>
      </c>
      <c r="P566" s="37" t="s">
        <v>2399</v>
      </c>
      <c r="Q566" s="41">
        <v>46160.0</v>
      </c>
      <c r="R566" s="42">
        <v>0.0</v>
      </c>
      <c r="S566" s="55"/>
      <c r="T566" s="37" t="s">
        <v>2400</v>
      </c>
      <c r="U566" s="45" t="str">
        <f>IF(records_2[Type]="Room",records_2[roomNo],records_2[roomNo]&amp;"-"&amp;SUBSTITUTE(RIGHT(records_2[roomNo]&amp;records_2[Type],2),"-",""))</f>
        <v>16-1-092</v>
      </c>
      <c r="V566" s="47" t="str">
        <f t="array" ref="V566">_xlfn.XLOOKUP(records_2[ID], dAir[roomNo], dAir[roomName])</f>
        <v>LINEN WASHING</v>
      </c>
      <c r="W566" s="47" t="str">
        <f t="array" ref="W566">_xlfn.XLOOKUP(records_2[ID], dAir[roomNo], dAir[building])</f>
        <v>Building 16</v>
      </c>
      <c r="X566" s="47" t="str">
        <f t="array" ref="X566">_xlfn.XLOOKUP(records_2[ID], dAir[roomNo], dAir[floor])</f>
        <v>Floor 1</v>
      </c>
      <c r="Y566" s="45" t="str">
        <f t="array" ref="Y566">_xlfn.XLOOKUP(records_2[ID], dAir[roomNo], dAir[Class])</f>
        <v>C</v>
      </c>
      <c r="Z566" s="45">
        <f t="array" ref="Z566">_xlfn.XLOOKUP(records_2[Method]&amp;"-"&amp;records_2[Class], dAirSpec[ID], dAirSpec[Spec])</f>
        <v>100</v>
      </c>
      <c r="AA566" s="45" t="str">
        <f t="array" ref="AA566">_xlfn.XLOOKUP(records_2[Method]&amp;"-"&amp;records_2[Class], dAirSpec[ID], dAirSpec[Unit])</f>
        <v>cfu/m3</v>
      </c>
      <c r="AB566" s="45">
        <f t="array" ref="AB566">if(R566="","", if(records_2[Method]="Active Air",_xlfn.xlookup(records_2[ColonyCount]&amp;records_2[AirSampler],feller[code],feller[Vc]),records_2[ColonyCount]))</f>
        <v>0</v>
      </c>
      <c r="AC566" s="60" t="b">
        <f t="shared" si="1"/>
        <v>1</v>
      </c>
      <c r="AD566" s="61" t="b">
        <v>0</v>
      </c>
      <c r="AE566" s="32" t="s">
        <v>280</v>
      </c>
      <c r="AF566" s="46"/>
      <c r="AG566" s="46"/>
      <c r="AH566" s="46"/>
      <c r="AI566" s="46"/>
      <c r="AJ566" s="46"/>
    </row>
    <row r="567" ht="22.5" customHeight="1">
      <c r="A567" s="27">
        <v>46119.0</v>
      </c>
      <c r="B567" s="34" t="str">
        <f t="array" ref="B567">TEXT(A567, "MM-YYYY")</f>
        <v>04-2026</v>
      </c>
      <c r="C567" s="39" t="s">
        <v>1417</v>
      </c>
      <c r="D567" s="36" t="s">
        <v>210</v>
      </c>
      <c r="E567" s="36" t="s">
        <v>531</v>
      </c>
      <c r="F567" s="29" t="b">
        <v>1</v>
      </c>
      <c r="G567" s="36" t="s">
        <v>214</v>
      </c>
      <c r="H567" s="36" t="s">
        <v>534</v>
      </c>
      <c r="I567" s="39"/>
      <c r="J567" s="43"/>
      <c r="K567" s="37" t="s">
        <v>314</v>
      </c>
      <c r="L567" s="37" t="s">
        <v>2366</v>
      </c>
      <c r="M567" s="37" t="s">
        <v>194</v>
      </c>
      <c r="N567" s="37" t="s">
        <v>194</v>
      </c>
      <c r="O567" s="37" t="s">
        <v>2398</v>
      </c>
      <c r="P567" s="37" t="s">
        <v>2399</v>
      </c>
      <c r="Q567" s="41">
        <v>46160.0</v>
      </c>
      <c r="R567" s="42">
        <v>7.0</v>
      </c>
      <c r="S567" s="55"/>
      <c r="T567" s="37" t="s">
        <v>2400</v>
      </c>
      <c r="U567" s="45" t="str">
        <f>IF(records_2[Type]="Room",records_2[roomNo],records_2[roomNo]&amp;"-"&amp;SUBSTITUTE(RIGHT(records_2[roomNo]&amp;records_2[Type],2),"-",""))</f>
        <v>16-1-093</v>
      </c>
      <c r="V567" s="47" t="str">
        <f t="array" ref="V567">_xlfn.XLOOKUP(records_2[ID], dAir[roomNo], dAir[roomName])</f>
        <v>LINEN DRY</v>
      </c>
      <c r="W567" s="47" t="str">
        <f t="array" ref="W567">_xlfn.XLOOKUP(records_2[ID], dAir[roomNo], dAir[building])</f>
        <v>Building 16</v>
      </c>
      <c r="X567" s="47" t="str">
        <f t="array" ref="X567">_xlfn.XLOOKUP(records_2[ID], dAir[roomNo], dAir[floor])</f>
        <v>Floor 1</v>
      </c>
      <c r="Y567" s="45" t="str">
        <f t="array" ref="Y567">_xlfn.XLOOKUP(records_2[ID], dAir[roomNo], dAir[Class])</f>
        <v>C</v>
      </c>
      <c r="Z567" s="45">
        <f t="array" ref="Z567">_xlfn.XLOOKUP(records_2[Method]&amp;"-"&amp;records_2[Class], dAirSpec[ID], dAirSpec[Spec])</f>
        <v>100</v>
      </c>
      <c r="AA567" s="45" t="str">
        <f t="array" ref="AA567">_xlfn.XLOOKUP(records_2[Method]&amp;"-"&amp;records_2[Class], dAirSpec[ID], dAirSpec[Unit])</f>
        <v>cfu/m3</v>
      </c>
      <c r="AB567" s="45">
        <f t="array" ref="AB567">if(R567="","", if(records_2[Method]="Active Air",_xlfn.xlookup(records_2[ColonyCount]&amp;records_2[AirSampler],feller[code],feller[Vc]),records_2[ColonyCount]))</f>
        <v>7</v>
      </c>
      <c r="AC567" s="60" t="b">
        <f t="shared" si="1"/>
        <v>1</v>
      </c>
      <c r="AD567" s="61" t="b">
        <v>0</v>
      </c>
      <c r="AE567" s="32" t="s">
        <v>280</v>
      </c>
      <c r="AF567" s="46"/>
      <c r="AG567" s="46"/>
      <c r="AH567" s="46"/>
      <c r="AI567" s="46"/>
      <c r="AJ567" s="46"/>
    </row>
    <row r="568" ht="22.5" customHeight="1">
      <c r="A568" s="27">
        <v>46119.0</v>
      </c>
      <c r="B568" s="34" t="str">
        <f t="array" ref="B568">TEXT(A568, "MM-YYYY")</f>
        <v>04-2026</v>
      </c>
      <c r="C568" s="39" t="s">
        <v>1421</v>
      </c>
      <c r="D568" s="36" t="s">
        <v>210</v>
      </c>
      <c r="E568" s="36" t="s">
        <v>531</v>
      </c>
      <c r="F568" s="29" t="b">
        <v>1</v>
      </c>
      <c r="G568" s="36" t="s">
        <v>214</v>
      </c>
      <c r="H568" s="36" t="s">
        <v>534</v>
      </c>
      <c r="I568" s="39"/>
      <c r="J568" s="43"/>
      <c r="K568" s="37" t="s">
        <v>546</v>
      </c>
      <c r="L568" s="37" t="s">
        <v>354</v>
      </c>
      <c r="M568" s="37" t="s">
        <v>194</v>
      </c>
      <c r="N568" s="37" t="s">
        <v>194</v>
      </c>
      <c r="O568" s="37" t="s">
        <v>2398</v>
      </c>
      <c r="P568" s="37" t="s">
        <v>2399</v>
      </c>
      <c r="Q568" s="41">
        <v>46160.0</v>
      </c>
      <c r="R568" s="42">
        <v>14.0</v>
      </c>
      <c r="S568" s="55"/>
      <c r="T568" s="37" t="s">
        <v>2400</v>
      </c>
      <c r="U568" s="45" t="str">
        <f>IF(records_2[Type]="Room",records_2[roomNo],records_2[roomNo]&amp;"-"&amp;SUBSTITUTE(RIGHT(records_2[roomNo]&amp;records_2[Type],2),"-",""))</f>
        <v>16-1-094</v>
      </c>
      <c r="V568" s="47" t="str">
        <f t="array" ref="V568">_xlfn.XLOOKUP(records_2[ID], dAir[roomNo], dAir[roomName])</f>
        <v>LINEN STORAGE</v>
      </c>
      <c r="W568" s="47" t="str">
        <f t="array" ref="W568">_xlfn.XLOOKUP(records_2[ID], dAir[roomNo], dAir[building])</f>
        <v>Building 16</v>
      </c>
      <c r="X568" s="47" t="str">
        <f t="array" ref="X568">_xlfn.XLOOKUP(records_2[ID], dAir[roomNo], dAir[floor])</f>
        <v>Floor 1</v>
      </c>
      <c r="Y568" s="45" t="str">
        <f t="array" ref="Y568">_xlfn.XLOOKUP(records_2[ID], dAir[roomNo], dAir[Class])</f>
        <v>C</v>
      </c>
      <c r="Z568" s="45">
        <f t="array" ref="Z568">_xlfn.XLOOKUP(records_2[Method]&amp;"-"&amp;records_2[Class], dAirSpec[ID], dAirSpec[Spec])</f>
        <v>100</v>
      </c>
      <c r="AA568" s="45" t="str">
        <f t="array" ref="AA568">_xlfn.XLOOKUP(records_2[Method]&amp;"-"&amp;records_2[Class], dAirSpec[ID], dAirSpec[Unit])</f>
        <v>cfu/m3</v>
      </c>
      <c r="AB568" s="45">
        <f t="array" ref="AB568">if(R568="","", if(records_2[Method]="Active Air",_xlfn.xlookup(records_2[ColonyCount]&amp;records_2[AirSampler],feller[code],feller[Vc]),records_2[ColonyCount]))</f>
        <v>14</v>
      </c>
      <c r="AC568" s="60" t="b">
        <f t="shared" si="1"/>
        <v>1</v>
      </c>
      <c r="AD568" s="61" t="b">
        <v>0</v>
      </c>
      <c r="AE568" s="32" t="s">
        <v>280</v>
      </c>
      <c r="AF568" s="46"/>
      <c r="AG568" s="46"/>
      <c r="AH568" s="46"/>
      <c r="AI568" s="46"/>
      <c r="AJ568" s="46"/>
    </row>
    <row r="569" ht="22.5" customHeight="1">
      <c r="A569" s="27">
        <v>46119.0</v>
      </c>
      <c r="B569" s="34" t="str">
        <f t="array" ref="B569">TEXT(A569, "MM-YYYY")</f>
        <v>04-2026</v>
      </c>
      <c r="C569" s="39" t="s">
        <v>1431</v>
      </c>
      <c r="D569" s="36" t="s">
        <v>210</v>
      </c>
      <c r="E569" s="36" t="s">
        <v>531</v>
      </c>
      <c r="F569" s="29" t="b">
        <v>1</v>
      </c>
      <c r="G569" s="36" t="s">
        <v>214</v>
      </c>
      <c r="H569" s="36" t="s">
        <v>534</v>
      </c>
      <c r="I569" s="39"/>
      <c r="J569" s="43"/>
      <c r="K569" s="37" t="s">
        <v>402</v>
      </c>
      <c r="L569" s="37" t="s">
        <v>1414</v>
      </c>
      <c r="M569" s="37" t="s">
        <v>194</v>
      </c>
      <c r="N569" s="37" t="s">
        <v>194</v>
      </c>
      <c r="O569" s="37" t="s">
        <v>2398</v>
      </c>
      <c r="P569" s="37" t="s">
        <v>2399</v>
      </c>
      <c r="Q569" s="41">
        <v>46160.0</v>
      </c>
      <c r="R569" s="42">
        <v>11.0</v>
      </c>
      <c r="S569" s="55"/>
      <c r="T569" s="37" t="s">
        <v>2400</v>
      </c>
      <c r="U569" s="45" t="str">
        <f>IF(records_2[Type]="Room",records_2[roomNo],records_2[roomNo]&amp;"-"&amp;SUBSTITUTE(RIGHT(records_2[roomNo]&amp;records_2[Type],2),"-",""))</f>
        <v>16-1-095</v>
      </c>
      <c r="V569" s="47" t="str">
        <f t="array" ref="V569">_xlfn.XLOOKUP(records_2[ID], dAir[roomNo], dAir[roomName])</f>
        <v>JANITOR</v>
      </c>
      <c r="W569" s="47" t="str">
        <f t="array" ref="W569">_xlfn.XLOOKUP(records_2[ID], dAir[roomNo], dAir[building])</f>
        <v>Building 16</v>
      </c>
      <c r="X569" s="47" t="str">
        <f t="array" ref="X569">_xlfn.XLOOKUP(records_2[ID], dAir[roomNo], dAir[floor])</f>
        <v>Floor 1</v>
      </c>
      <c r="Y569" s="45" t="str">
        <f t="array" ref="Y569">_xlfn.XLOOKUP(records_2[ID], dAir[roomNo], dAir[Class])</f>
        <v>C</v>
      </c>
      <c r="Z569" s="45">
        <f t="array" ref="Z569">_xlfn.XLOOKUP(records_2[Method]&amp;"-"&amp;records_2[Class], dAirSpec[ID], dAirSpec[Spec])</f>
        <v>100</v>
      </c>
      <c r="AA569" s="45" t="str">
        <f t="array" ref="AA569">_xlfn.XLOOKUP(records_2[Method]&amp;"-"&amp;records_2[Class], dAirSpec[ID], dAirSpec[Unit])</f>
        <v>cfu/m3</v>
      </c>
      <c r="AB569" s="45">
        <f t="array" ref="AB569">if(R569="","", if(records_2[Method]="Active Air",_xlfn.xlookup(records_2[ColonyCount]&amp;records_2[AirSampler],feller[code],feller[Vc]),records_2[ColonyCount]))</f>
        <v>11</v>
      </c>
      <c r="AC569" s="60" t="b">
        <f t="shared" si="1"/>
        <v>1</v>
      </c>
      <c r="AD569" s="61" t="b">
        <v>0</v>
      </c>
      <c r="AE569" s="32" t="s">
        <v>280</v>
      </c>
      <c r="AF569" s="46"/>
      <c r="AG569" s="46"/>
      <c r="AH569" s="46"/>
      <c r="AI569" s="46"/>
      <c r="AJ569" s="46"/>
    </row>
    <row r="570" ht="22.5" customHeight="1">
      <c r="A570" s="27">
        <v>46119.0</v>
      </c>
      <c r="B570" s="34" t="str">
        <f t="array" ref="B570">TEXT(A570, "MM-YYYY")</f>
        <v>04-2026</v>
      </c>
      <c r="C570" s="39" t="s">
        <v>745</v>
      </c>
      <c r="D570" s="36" t="s">
        <v>210</v>
      </c>
      <c r="E570" s="36" t="s">
        <v>531</v>
      </c>
      <c r="F570" s="29" t="b">
        <v>1</v>
      </c>
      <c r="G570" s="36" t="s">
        <v>214</v>
      </c>
      <c r="H570" s="36" t="s">
        <v>534</v>
      </c>
      <c r="I570" s="39"/>
      <c r="J570" s="43"/>
      <c r="K570" s="37" t="s">
        <v>1790</v>
      </c>
      <c r="L570" s="37" t="s">
        <v>1856</v>
      </c>
      <c r="M570" s="37" t="s">
        <v>194</v>
      </c>
      <c r="N570" s="37" t="s">
        <v>194</v>
      </c>
      <c r="O570" s="37" t="s">
        <v>2398</v>
      </c>
      <c r="P570" s="37" t="s">
        <v>2399</v>
      </c>
      <c r="Q570" s="41">
        <v>46160.0</v>
      </c>
      <c r="R570" s="42">
        <v>0.0</v>
      </c>
      <c r="S570" s="55"/>
      <c r="T570" s="37" t="s">
        <v>2400</v>
      </c>
      <c r="U570" s="45" t="str">
        <f>IF(records_2[Type]="Room",records_2[roomNo],records_2[roomNo]&amp;"-"&amp;SUBSTITUTE(RIGHT(records_2[roomNo]&amp;records_2[Type],2),"-",""))</f>
        <v>16-1-096</v>
      </c>
      <c r="V570" s="47" t="str">
        <f t="array" ref="V570">_xlfn.XLOOKUP(records_2[ID], dAir[roomNo], dAir[roomName])</f>
        <v>WASHING / TUNNEL 2</v>
      </c>
      <c r="W570" s="47" t="str">
        <f t="array" ref="W570">_xlfn.XLOOKUP(records_2[ID], dAir[roomNo], dAir[building])</f>
        <v>Building 16</v>
      </c>
      <c r="X570" s="47" t="str">
        <f t="array" ref="X570">_xlfn.XLOOKUP(records_2[ID], dAir[roomNo], dAir[floor])</f>
        <v>Floor 1</v>
      </c>
      <c r="Y570" s="45" t="str">
        <f t="array" ref="Y570">_xlfn.XLOOKUP(records_2[ID], dAir[roomNo], dAir[Class])</f>
        <v>C</v>
      </c>
      <c r="Z570" s="45">
        <f t="array" ref="Z570">_xlfn.XLOOKUP(records_2[Method]&amp;"-"&amp;records_2[Class], dAirSpec[ID], dAirSpec[Spec])</f>
        <v>100</v>
      </c>
      <c r="AA570" s="45" t="str">
        <f t="array" ref="AA570">_xlfn.XLOOKUP(records_2[Method]&amp;"-"&amp;records_2[Class], dAirSpec[ID], dAirSpec[Unit])</f>
        <v>cfu/m3</v>
      </c>
      <c r="AB570" s="45">
        <f t="array" ref="AB570">if(R570="","", if(records_2[Method]="Active Air",_xlfn.xlookup(records_2[ColonyCount]&amp;records_2[AirSampler],feller[code],feller[Vc]),records_2[ColonyCount]))</f>
        <v>0</v>
      </c>
      <c r="AC570" s="60" t="b">
        <f t="shared" si="1"/>
        <v>1</v>
      </c>
      <c r="AD570" s="61" t="b">
        <v>0</v>
      </c>
      <c r="AE570" s="32" t="s">
        <v>280</v>
      </c>
      <c r="AF570" s="46"/>
      <c r="AG570" s="46"/>
      <c r="AH570" s="46"/>
      <c r="AI570" s="46"/>
      <c r="AJ570" s="46"/>
    </row>
    <row r="571" ht="22.5" customHeight="1">
      <c r="A571" s="27">
        <v>46119.0</v>
      </c>
      <c r="B571" s="34" t="str">
        <f t="array" ref="B571">TEXT(A571, "MM-YYYY")</f>
        <v>04-2026</v>
      </c>
      <c r="C571" s="39" t="s">
        <v>1471</v>
      </c>
      <c r="D571" s="36" t="s">
        <v>210</v>
      </c>
      <c r="E571" s="36" t="s">
        <v>531</v>
      </c>
      <c r="F571" s="29" t="b">
        <v>1</v>
      </c>
      <c r="G571" s="36" t="s">
        <v>214</v>
      </c>
      <c r="H571" s="36" t="s">
        <v>534</v>
      </c>
      <c r="I571" s="39"/>
      <c r="J571" s="43"/>
      <c r="K571" s="37" t="s">
        <v>252</v>
      </c>
      <c r="L571" s="37" t="s">
        <v>2274</v>
      </c>
      <c r="M571" s="37" t="s">
        <v>194</v>
      </c>
      <c r="N571" s="37" t="s">
        <v>194</v>
      </c>
      <c r="O571" s="37" t="s">
        <v>2398</v>
      </c>
      <c r="P571" s="37" t="s">
        <v>2399</v>
      </c>
      <c r="Q571" s="41">
        <v>46160.0</v>
      </c>
      <c r="R571" s="42">
        <v>6.0</v>
      </c>
      <c r="S571" s="55"/>
      <c r="T571" s="37" t="s">
        <v>2400</v>
      </c>
      <c r="U571" s="45" t="str">
        <f>IF(records_2[Type]="Room",records_2[roomNo],records_2[roomNo]&amp;"-"&amp;SUBSTITUTE(RIGHT(records_2[roomNo]&amp;records_2[Type],2),"-",""))</f>
        <v>16-1-097</v>
      </c>
      <c r="V571" s="47" t="str">
        <f t="array" ref="V571">_xlfn.XLOOKUP(records_2[ID], dAir[roomNo], dAir[roomName])</f>
        <v>VIALS INTERNAL STAGING</v>
      </c>
      <c r="W571" s="47" t="str">
        <f t="array" ref="W571">_xlfn.XLOOKUP(records_2[ID], dAir[roomNo], dAir[building])</f>
        <v>Building 16</v>
      </c>
      <c r="X571" s="47" t="str">
        <f t="array" ref="X571">_xlfn.XLOOKUP(records_2[ID], dAir[roomNo], dAir[floor])</f>
        <v>Floor 1</v>
      </c>
      <c r="Y571" s="45" t="str">
        <f t="array" ref="Y571">_xlfn.XLOOKUP(records_2[ID], dAir[roomNo], dAir[Class])</f>
        <v>C</v>
      </c>
      <c r="Z571" s="45">
        <f t="array" ref="Z571">_xlfn.XLOOKUP(records_2[Method]&amp;"-"&amp;records_2[Class], dAirSpec[ID], dAirSpec[Spec])</f>
        <v>100</v>
      </c>
      <c r="AA571" s="45" t="str">
        <f t="array" ref="AA571">_xlfn.XLOOKUP(records_2[Method]&amp;"-"&amp;records_2[Class], dAirSpec[ID], dAirSpec[Unit])</f>
        <v>cfu/m3</v>
      </c>
      <c r="AB571" s="45">
        <f t="array" ref="AB571">if(R571="","", if(records_2[Method]="Active Air",_xlfn.xlookup(records_2[ColonyCount]&amp;records_2[AirSampler],feller[code],feller[Vc]),records_2[ColonyCount]))</f>
        <v>6</v>
      </c>
      <c r="AC571" s="60" t="b">
        <f t="shared" si="1"/>
        <v>1</v>
      </c>
      <c r="AD571" s="61" t="b">
        <v>0</v>
      </c>
      <c r="AE571" s="32" t="s">
        <v>280</v>
      </c>
      <c r="AF571" s="46"/>
      <c r="AG571" s="46"/>
      <c r="AH571" s="46"/>
      <c r="AI571" s="46"/>
      <c r="AJ571" s="46"/>
    </row>
    <row r="572" ht="22.5" customHeight="1">
      <c r="A572" s="27">
        <v>46119.0</v>
      </c>
      <c r="B572" s="34" t="str">
        <f t="array" ref="B572">TEXT(A572, "MM-YYYY")</f>
        <v>04-2026</v>
      </c>
      <c r="C572" s="39" t="s">
        <v>1471</v>
      </c>
      <c r="D572" s="36" t="s">
        <v>1350</v>
      </c>
      <c r="E572" s="36" t="s">
        <v>531</v>
      </c>
      <c r="F572" s="29" t="b">
        <v>1</v>
      </c>
      <c r="G572" s="36" t="s">
        <v>214</v>
      </c>
      <c r="H572" s="36" t="s">
        <v>534</v>
      </c>
      <c r="I572" s="39"/>
      <c r="J572" s="43"/>
      <c r="K572" s="37" t="s">
        <v>252</v>
      </c>
      <c r="L572" s="37" t="s">
        <v>2274</v>
      </c>
      <c r="M572" s="37" t="s">
        <v>194</v>
      </c>
      <c r="N572" s="37" t="s">
        <v>194</v>
      </c>
      <c r="O572" s="37" t="s">
        <v>2398</v>
      </c>
      <c r="P572" s="37" t="s">
        <v>2399</v>
      </c>
      <c r="Q572" s="41">
        <v>46160.0</v>
      </c>
      <c r="R572" s="42">
        <v>4.0</v>
      </c>
      <c r="S572" s="29"/>
      <c r="T572" s="37" t="s">
        <v>2400</v>
      </c>
      <c r="U572" s="45" t="str">
        <f>IF(records_2[Type]="Room",records_2[roomNo],records_2[roomNo]&amp;"-"&amp;SUBSTITUTE(RIGHT(records_2[roomNo]&amp;records_2[Type],2),"-",""))</f>
        <v>16-1-097-PB</v>
      </c>
      <c r="V572" s="47" t="str">
        <f t="array" ref="V572">_xlfn.XLOOKUP(records_2[ID], dAir[roomNo], dAir[roomName])</f>
        <v>VIALS INTERNAL STAGING (Passbox)</v>
      </c>
      <c r="W572" s="47" t="str">
        <f t="array" ref="W572">_xlfn.XLOOKUP(records_2[ID], dAir[roomNo], dAir[building])</f>
        <v>Building 16</v>
      </c>
      <c r="X572" s="47" t="str">
        <f t="array" ref="X572">_xlfn.XLOOKUP(records_2[ID], dAir[roomNo], dAir[floor])</f>
        <v>Floor 1</v>
      </c>
      <c r="Y572" s="45" t="str">
        <f t="array" ref="Y572">_xlfn.XLOOKUP(records_2[ID], dAir[roomNo], dAir[Class])</f>
        <v>C</v>
      </c>
      <c r="Z572" s="45">
        <f t="array" ref="Z572">_xlfn.XLOOKUP(records_2[Method]&amp;"-"&amp;records_2[Class], dAirSpec[ID], dAirSpec[Spec])</f>
        <v>100</v>
      </c>
      <c r="AA572" s="45" t="str">
        <f t="array" ref="AA572">_xlfn.XLOOKUP(records_2[Method]&amp;"-"&amp;records_2[Class], dAirSpec[ID], dAirSpec[Unit])</f>
        <v>cfu/m3</v>
      </c>
      <c r="AB572" s="45">
        <f t="array" ref="AB572">if(R572="","", if(records_2[Method]="Active Air",_xlfn.xlookup(records_2[ColonyCount]&amp;records_2[AirSampler],feller[code],feller[Vc]),records_2[ColonyCount]))</f>
        <v>4</v>
      </c>
      <c r="AC572" s="60" t="b">
        <f t="shared" si="1"/>
        <v>1</v>
      </c>
      <c r="AD572" s="61" t="b">
        <v>0</v>
      </c>
      <c r="AE572" s="32" t="s">
        <v>280</v>
      </c>
      <c r="AF572" s="46"/>
      <c r="AG572" s="46"/>
      <c r="AH572" s="46"/>
      <c r="AI572" s="46"/>
      <c r="AJ572" s="46"/>
    </row>
    <row r="573" ht="22.5" customHeight="1">
      <c r="A573" s="27">
        <v>46119.0</v>
      </c>
      <c r="B573" s="34" t="str">
        <f t="array" ref="B573">TEXT(A573, "MM-YYYY")</f>
        <v>04-2026</v>
      </c>
      <c r="C573" s="39" t="s">
        <v>749</v>
      </c>
      <c r="D573" s="36" t="s">
        <v>210</v>
      </c>
      <c r="E573" s="36" t="s">
        <v>531</v>
      </c>
      <c r="F573" s="29" t="b">
        <v>1</v>
      </c>
      <c r="G573" s="36" t="s">
        <v>214</v>
      </c>
      <c r="H573" s="36" t="s">
        <v>534</v>
      </c>
      <c r="I573" s="39"/>
      <c r="J573" s="43"/>
      <c r="K573" s="37" t="s">
        <v>317</v>
      </c>
      <c r="L573" s="37" t="s">
        <v>2415</v>
      </c>
      <c r="M573" s="37" t="s">
        <v>194</v>
      </c>
      <c r="N573" s="37" t="s">
        <v>194</v>
      </c>
      <c r="O573" s="37" t="s">
        <v>2398</v>
      </c>
      <c r="P573" s="37" t="s">
        <v>2399</v>
      </c>
      <c r="Q573" s="41">
        <v>46160.0</v>
      </c>
      <c r="R573" s="42">
        <v>0.0</v>
      </c>
      <c r="S573" s="55"/>
      <c r="T573" s="37" t="s">
        <v>2400</v>
      </c>
      <c r="U573" s="45" t="str">
        <f>IF(records_2[Type]="Room",records_2[roomNo],records_2[roomNo]&amp;"-"&amp;SUBSTITUTE(RIGHT(records_2[roomNo]&amp;records_2[Type],2),"-",""))</f>
        <v>16-1-098</v>
      </c>
      <c r="V573" s="47" t="str">
        <f t="array" ref="V573">_xlfn.XLOOKUP(records_2[ID], dAir[roomNo], dAir[roomName])</f>
        <v>CIP/SIP</v>
      </c>
      <c r="W573" s="47" t="str">
        <f t="array" ref="W573">_xlfn.XLOOKUP(records_2[ID], dAir[roomNo], dAir[building])</f>
        <v>Building 16</v>
      </c>
      <c r="X573" s="47" t="str">
        <f t="array" ref="X573">_xlfn.XLOOKUP(records_2[ID], dAir[roomNo], dAir[floor])</f>
        <v>Floor 1</v>
      </c>
      <c r="Y573" s="45" t="str">
        <f t="array" ref="Y573">_xlfn.XLOOKUP(records_2[ID], dAir[roomNo], dAir[Class])</f>
        <v>C</v>
      </c>
      <c r="Z573" s="45">
        <f t="array" ref="Z573">_xlfn.XLOOKUP(records_2[Method]&amp;"-"&amp;records_2[Class], dAirSpec[ID], dAirSpec[Spec])</f>
        <v>100</v>
      </c>
      <c r="AA573" s="45" t="str">
        <f t="array" ref="AA573">_xlfn.XLOOKUP(records_2[Method]&amp;"-"&amp;records_2[Class], dAirSpec[ID], dAirSpec[Unit])</f>
        <v>cfu/m3</v>
      </c>
      <c r="AB573" s="45">
        <f t="array" ref="AB573">if(R573="","", if(records_2[Method]="Active Air",_xlfn.xlookup(records_2[ColonyCount]&amp;records_2[AirSampler],feller[code],feller[Vc]),records_2[ColonyCount]))</f>
        <v>0</v>
      </c>
      <c r="AC573" s="60" t="b">
        <f t="shared" si="1"/>
        <v>1</v>
      </c>
      <c r="AD573" s="61" t="b">
        <v>0</v>
      </c>
      <c r="AE573" s="32" t="s">
        <v>280</v>
      </c>
      <c r="AF573" s="46"/>
      <c r="AG573" s="46"/>
      <c r="AH573" s="46"/>
      <c r="AI573" s="46"/>
      <c r="AJ573" s="46"/>
    </row>
    <row r="574" ht="22.5" customHeight="1">
      <c r="A574" s="27">
        <v>46119.0</v>
      </c>
      <c r="B574" s="34" t="str">
        <f t="array" ref="B574">TEXT(A574, "MM-YYYY")</f>
        <v>04-2026</v>
      </c>
      <c r="C574" s="39" t="s">
        <v>1484</v>
      </c>
      <c r="D574" s="36" t="s">
        <v>210</v>
      </c>
      <c r="E574" s="36" t="s">
        <v>531</v>
      </c>
      <c r="F574" s="29" t="b">
        <v>1</v>
      </c>
      <c r="G574" s="36" t="s">
        <v>214</v>
      </c>
      <c r="H574" s="36" t="s">
        <v>203</v>
      </c>
      <c r="I574" s="39"/>
      <c r="J574" s="43"/>
      <c r="K574" s="37" t="s">
        <v>353</v>
      </c>
      <c r="L574" s="37" t="s">
        <v>481</v>
      </c>
      <c r="M574" s="37" t="s">
        <v>194</v>
      </c>
      <c r="N574" s="37" t="s">
        <v>194</v>
      </c>
      <c r="O574" s="37" t="s">
        <v>2398</v>
      </c>
      <c r="P574" s="37" t="s">
        <v>2399</v>
      </c>
      <c r="Q574" s="41">
        <v>46160.0</v>
      </c>
      <c r="R574" s="42">
        <v>13.0</v>
      </c>
      <c r="S574" s="55"/>
      <c r="T574" s="37" t="s">
        <v>2400</v>
      </c>
      <c r="U574" s="45" t="str">
        <f>IF(records_2[Type]="Room",records_2[roomNo],records_2[roomNo]&amp;"-"&amp;SUBSTITUTE(RIGHT(records_2[roomNo]&amp;records_2[Type],2),"-",""))</f>
        <v>16-1-099</v>
      </c>
      <c r="V574" s="47" t="str">
        <f t="array" ref="V574">_xlfn.XLOOKUP(records_2[ID], dAir[roomNo], dAir[roomName])</f>
        <v>MAL</v>
      </c>
      <c r="W574" s="47" t="str">
        <f t="array" ref="W574">_xlfn.XLOOKUP(records_2[ID], dAir[roomNo], dAir[building])</f>
        <v>Building 16</v>
      </c>
      <c r="X574" s="47" t="str">
        <f t="array" ref="X574">_xlfn.XLOOKUP(records_2[ID], dAir[roomNo], dAir[floor])</f>
        <v>Floor 1</v>
      </c>
      <c r="Y574" s="45" t="str">
        <f t="array" ref="Y574">_xlfn.XLOOKUP(records_2[ID], dAir[roomNo], dAir[Class])</f>
        <v>C</v>
      </c>
      <c r="Z574" s="45">
        <f t="array" ref="Z574">_xlfn.XLOOKUP(records_2[Method]&amp;"-"&amp;records_2[Class], dAirSpec[ID], dAirSpec[Spec])</f>
        <v>100</v>
      </c>
      <c r="AA574" s="45" t="str">
        <f t="array" ref="AA574">_xlfn.XLOOKUP(records_2[Method]&amp;"-"&amp;records_2[Class], dAirSpec[ID], dAirSpec[Unit])</f>
        <v>cfu/m3</v>
      </c>
      <c r="AB574" s="45">
        <f t="array" ref="AB574">if(R574="","", if(records_2[Method]="Active Air",_xlfn.xlookup(records_2[ColonyCount]&amp;records_2[AirSampler],feller[code],feller[Vc]),records_2[ColonyCount]))</f>
        <v>13</v>
      </c>
      <c r="AC574" s="60" t="b">
        <f t="shared" si="1"/>
        <v>1</v>
      </c>
      <c r="AD574" s="61" t="b">
        <v>0</v>
      </c>
      <c r="AE574" s="32" t="s">
        <v>280</v>
      </c>
      <c r="AF574" s="46"/>
      <c r="AG574" s="46"/>
      <c r="AH574" s="46"/>
      <c r="AI574" s="46"/>
      <c r="AJ574" s="46"/>
    </row>
    <row r="575" ht="22.5" customHeight="1">
      <c r="A575" s="27">
        <v>46119.0</v>
      </c>
      <c r="B575" s="34" t="str">
        <f t="array" ref="B575">TEXT(A575, "MM-YYYY")</f>
        <v>04-2026</v>
      </c>
      <c r="C575" s="39" t="s">
        <v>1485</v>
      </c>
      <c r="D575" s="36" t="s">
        <v>210</v>
      </c>
      <c r="E575" s="36" t="s">
        <v>531</v>
      </c>
      <c r="F575" s="29" t="b">
        <v>1</v>
      </c>
      <c r="G575" s="36" t="s">
        <v>214</v>
      </c>
      <c r="H575" s="36" t="s">
        <v>534</v>
      </c>
      <c r="I575" s="39"/>
      <c r="J575" s="43"/>
      <c r="K575" s="37" t="s">
        <v>798</v>
      </c>
      <c r="L575" s="37" t="s">
        <v>775</v>
      </c>
      <c r="M575" s="37" t="s">
        <v>194</v>
      </c>
      <c r="N575" s="37" t="s">
        <v>194</v>
      </c>
      <c r="O575" s="37" t="s">
        <v>2398</v>
      </c>
      <c r="P575" s="37" t="s">
        <v>2399</v>
      </c>
      <c r="Q575" s="41">
        <v>46160.0</v>
      </c>
      <c r="R575" s="42">
        <v>21.0</v>
      </c>
      <c r="S575" s="29"/>
      <c r="T575" s="37" t="s">
        <v>2400</v>
      </c>
      <c r="U575" s="45" t="str">
        <f>IF(records_2[Type]="Room",records_2[roomNo],records_2[roomNo]&amp;"-"&amp;SUBSTITUTE(RIGHT(records_2[roomNo]&amp;records_2[Type],2),"-",""))</f>
        <v>16-1-100</v>
      </c>
      <c r="V575" s="47" t="str">
        <f t="array" ref="V575">_xlfn.XLOOKUP(records_2[ID], dAir[roomNo], dAir[roomName])</f>
        <v>MAL</v>
      </c>
      <c r="W575" s="47" t="str">
        <f t="array" ref="W575">_xlfn.XLOOKUP(records_2[ID], dAir[roomNo], dAir[building])</f>
        <v>Building 16</v>
      </c>
      <c r="X575" s="47" t="str">
        <f t="array" ref="X575">_xlfn.XLOOKUP(records_2[ID], dAir[roomNo], dAir[floor])</f>
        <v>Floor 1</v>
      </c>
      <c r="Y575" s="45" t="str">
        <f t="array" ref="Y575">_xlfn.XLOOKUP(records_2[ID], dAir[roomNo], dAir[Class])</f>
        <v>D</v>
      </c>
      <c r="Z575" s="45">
        <f t="array" ref="Z575">_xlfn.XLOOKUP(records_2[Method]&amp;"-"&amp;records_2[Class], dAirSpec[ID], dAirSpec[Spec])</f>
        <v>200</v>
      </c>
      <c r="AA575" s="45" t="str">
        <f t="array" ref="AA575">_xlfn.XLOOKUP(records_2[Method]&amp;"-"&amp;records_2[Class], dAirSpec[ID], dAirSpec[Unit])</f>
        <v>cfu/m3</v>
      </c>
      <c r="AB575" s="45">
        <f t="array" ref="AB575">if(R575="","", if(records_2[Method]="Active Air",_xlfn.xlookup(records_2[ColonyCount]&amp;records_2[AirSampler],feller[code],feller[Vc]),records_2[ColonyCount]))</f>
        <v>22</v>
      </c>
      <c r="AC575" s="60" t="b">
        <f t="shared" si="1"/>
        <v>1</v>
      </c>
      <c r="AD575" s="61" t="b">
        <v>0</v>
      </c>
      <c r="AE575" s="32" t="s">
        <v>280</v>
      </c>
      <c r="AF575" s="46"/>
      <c r="AG575" s="46"/>
      <c r="AH575" s="46"/>
      <c r="AI575" s="46"/>
      <c r="AJ575" s="46"/>
    </row>
    <row r="576" ht="22.5" customHeight="1">
      <c r="A576" s="27">
        <v>46119.0</v>
      </c>
      <c r="B576" s="34" t="str">
        <f t="array" ref="B576">TEXT(A576, "MM-YYYY")</f>
        <v>04-2026</v>
      </c>
      <c r="C576" s="39" t="s">
        <v>1486</v>
      </c>
      <c r="D576" s="36" t="s">
        <v>210</v>
      </c>
      <c r="E576" s="36" t="s">
        <v>531</v>
      </c>
      <c r="F576" s="29" t="b">
        <v>1</v>
      </c>
      <c r="G576" s="36" t="s">
        <v>214</v>
      </c>
      <c r="H576" s="36" t="s">
        <v>757</v>
      </c>
      <c r="I576" s="39">
        <v>3.1101125E8</v>
      </c>
      <c r="J576" s="40">
        <v>46240.0</v>
      </c>
      <c r="K576" s="37" t="s">
        <v>798</v>
      </c>
      <c r="L576" s="37" t="s">
        <v>403</v>
      </c>
      <c r="M576" s="37" t="s">
        <v>194</v>
      </c>
      <c r="N576" s="37" t="s">
        <v>194</v>
      </c>
      <c r="O576" s="37" t="s">
        <v>2398</v>
      </c>
      <c r="P576" s="37" t="s">
        <v>2399</v>
      </c>
      <c r="Q576" s="41">
        <v>46160.0</v>
      </c>
      <c r="R576" s="42">
        <v>3.0</v>
      </c>
      <c r="S576" s="29"/>
      <c r="T576" s="37" t="s">
        <v>2400</v>
      </c>
      <c r="U576" s="45" t="str">
        <f>IF(records_2[Type]="Room",records_2[roomNo],records_2[roomNo]&amp;"-"&amp;SUBSTITUTE(RIGHT(records_2[roomNo]&amp;records_2[Type],2),"-",""))</f>
        <v>16-1-101</v>
      </c>
      <c r="V576" s="47" t="str">
        <f t="array" ref="V576">_xlfn.XLOOKUP(records_2[ID], dAir[roomNo], dAir[roomName])</f>
        <v>AIRLOCK</v>
      </c>
      <c r="W576" s="47" t="str">
        <f t="array" ref="W576">_xlfn.XLOOKUP(records_2[ID], dAir[roomNo], dAir[building])</f>
        <v>Building 16</v>
      </c>
      <c r="X576" s="47" t="str">
        <f t="array" ref="X576">_xlfn.XLOOKUP(records_2[ID], dAir[roomNo], dAir[floor])</f>
        <v>Floor 1</v>
      </c>
      <c r="Y576" s="45" t="str">
        <f t="array" ref="Y576">_xlfn.XLOOKUP(records_2[ID], dAir[roomNo], dAir[Class])</f>
        <v>C</v>
      </c>
      <c r="Z576" s="45">
        <f t="array" ref="Z576">_xlfn.XLOOKUP(records_2[Method]&amp;"-"&amp;records_2[Class], dAirSpec[ID], dAirSpec[Spec])</f>
        <v>100</v>
      </c>
      <c r="AA576" s="45" t="str">
        <f t="array" ref="AA576">_xlfn.XLOOKUP(records_2[Method]&amp;"-"&amp;records_2[Class], dAirSpec[ID], dAirSpec[Unit])</f>
        <v>cfu/m3</v>
      </c>
      <c r="AB576" s="45">
        <f t="array" ref="AB576">if(R576="","", if(records_2[Method]="Active Air",_xlfn.xlookup(records_2[ColonyCount]&amp;records_2[AirSampler],feller[code],feller[Vc]),records_2[ColonyCount]))</f>
        <v>3</v>
      </c>
      <c r="AC576" s="60" t="b">
        <f t="shared" si="1"/>
        <v>1</v>
      </c>
      <c r="AD576" s="61" t="b">
        <v>0</v>
      </c>
      <c r="AE576" s="32" t="s">
        <v>280</v>
      </c>
      <c r="AF576" s="46"/>
      <c r="AG576" s="46"/>
      <c r="AH576" s="46"/>
      <c r="AI576" s="46"/>
      <c r="AJ576" s="46"/>
    </row>
    <row r="577" ht="22.5" customHeight="1">
      <c r="A577" s="27">
        <v>46119.0</v>
      </c>
      <c r="B577" s="34" t="str">
        <f t="array" ref="B577">TEXT(A577, "MM-YYYY")</f>
        <v>04-2026</v>
      </c>
      <c r="C577" s="39" t="s">
        <v>1486</v>
      </c>
      <c r="D577" s="36" t="s">
        <v>1350</v>
      </c>
      <c r="E577" s="36" t="s">
        <v>531</v>
      </c>
      <c r="F577" s="29" t="b">
        <v>1</v>
      </c>
      <c r="G577" s="36" t="s">
        <v>214</v>
      </c>
      <c r="H577" s="36" t="s">
        <v>757</v>
      </c>
      <c r="I577" s="39">
        <v>3.1101125E8</v>
      </c>
      <c r="J577" s="40">
        <v>46240.0</v>
      </c>
      <c r="K577" s="37" t="s">
        <v>798</v>
      </c>
      <c r="L577" s="37" t="s">
        <v>403</v>
      </c>
      <c r="M577" s="37" t="s">
        <v>194</v>
      </c>
      <c r="N577" s="37" t="s">
        <v>194</v>
      </c>
      <c r="O577" s="37" t="s">
        <v>2398</v>
      </c>
      <c r="P577" s="37" t="s">
        <v>2399</v>
      </c>
      <c r="Q577" s="41">
        <v>46160.0</v>
      </c>
      <c r="R577" s="42">
        <v>3.0</v>
      </c>
      <c r="S577" s="29"/>
      <c r="T577" s="37" t="s">
        <v>2400</v>
      </c>
      <c r="U577" s="45" t="str">
        <f>IF(records_2[Type]="Room",records_2[roomNo],records_2[roomNo]&amp;"-"&amp;SUBSTITUTE(RIGHT(records_2[roomNo]&amp;records_2[Type],2),"-",""))</f>
        <v>16-1-101-PB</v>
      </c>
      <c r="V577" s="47" t="str">
        <f t="array" ref="V577">_xlfn.XLOOKUP(records_2[ID], dAir[roomNo], dAir[roomName])</f>
        <v>AIRLOCK (Passbox)</v>
      </c>
      <c r="W577" s="47" t="str">
        <f t="array" ref="W577">_xlfn.XLOOKUP(records_2[ID], dAir[roomNo], dAir[building])</f>
        <v>Building 16</v>
      </c>
      <c r="X577" s="47" t="str">
        <f t="array" ref="X577">_xlfn.XLOOKUP(records_2[ID], dAir[roomNo], dAir[floor])</f>
        <v>Floor 1</v>
      </c>
      <c r="Y577" s="45" t="str">
        <f t="array" ref="Y577">_xlfn.XLOOKUP(records_2[ID], dAir[roomNo], dAir[Class])</f>
        <v>C</v>
      </c>
      <c r="Z577" s="45">
        <f t="array" ref="Z577">_xlfn.XLOOKUP(records_2[Method]&amp;"-"&amp;records_2[Class], dAirSpec[ID], dAirSpec[Spec])</f>
        <v>100</v>
      </c>
      <c r="AA577" s="45" t="str">
        <f t="array" ref="AA577">_xlfn.XLOOKUP(records_2[Method]&amp;"-"&amp;records_2[Class], dAirSpec[ID], dAirSpec[Unit])</f>
        <v>cfu/m3</v>
      </c>
      <c r="AB577" s="45">
        <f t="array" ref="AB577">if(R577="","", if(records_2[Method]="Active Air",_xlfn.xlookup(records_2[ColonyCount]&amp;records_2[AirSampler],feller[code],feller[Vc]),records_2[ColonyCount]))</f>
        <v>3</v>
      </c>
      <c r="AC577" s="60" t="b">
        <f t="shared" si="1"/>
        <v>1</v>
      </c>
      <c r="AD577" s="61" t="b">
        <v>0</v>
      </c>
      <c r="AE577" s="32" t="s">
        <v>280</v>
      </c>
      <c r="AF577" s="46"/>
      <c r="AG577" s="46"/>
      <c r="AH577" s="46"/>
      <c r="AI577" s="46"/>
      <c r="AJ577" s="46"/>
    </row>
    <row r="578" ht="22.5" customHeight="1">
      <c r="A578" s="27">
        <v>46119.0</v>
      </c>
      <c r="B578" s="34" t="str">
        <f t="array" ref="B578">TEXT(A578, "MM-YYYY")</f>
        <v>04-2026</v>
      </c>
      <c r="C578" s="32" t="s">
        <v>786</v>
      </c>
      <c r="D578" s="21" t="s">
        <v>680</v>
      </c>
      <c r="E578" s="21" t="s">
        <v>531</v>
      </c>
      <c r="F578" s="29" t="b">
        <v>1</v>
      </c>
      <c r="G578" s="36" t="s">
        <v>214</v>
      </c>
      <c r="H578" s="36" t="s">
        <v>757</v>
      </c>
      <c r="I578" s="39">
        <v>3.1101125E8</v>
      </c>
      <c r="J578" s="40">
        <v>46240.0</v>
      </c>
      <c r="K578" s="37" t="s">
        <v>452</v>
      </c>
      <c r="L578" s="37" t="s">
        <v>767</v>
      </c>
      <c r="M578" s="37" t="s">
        <v>194</v>
      </c>
      <c r="N578" s="37" t="s">
        <v>194</v>
      </c>
      <c r="O578" s="37" t="s">
        <v>2398</v>
      </c>
      <c r="P578" s="37" t="s">
        <v>2399</v>
      </c>
      <c r="Q578" s="41">
        <v>46160.0</v>
      </c>
      <c r="R578" s="42">
        <v>0.0</v>
      </c>
      <c r="S578" s="29"/>
      <c r="T578" s="37" t="s">
        <v>2400</v>
      </c>
      <c r="U578" s="45" t="str">
        <f>IF(records_2[Type]="Room",records_2[roomNo],records_2[roomNo]&amp;"-"&amp;SUBSTITUTE(RIGHT(records_2[roomNo]&amp;records_2[Type],2),"-",""))</f>
        <v>16-1-102-B</v>
      </c>
      <c r="V578" s="47" t="str">
        <f t="array" ref="V578">_xlfn.XLOOKUP(records_2[ID], dAir[roomNo], dAir[roomName])</f>
        <v>DISPENSING (Booth)</v>
      </c>
      <c r="W578" s="47" t="str">
        <f t="array" ref="W578">_xlfn.XLOOKUP(records_2[ID], dAir[roomNo], dAir[building])</f>
        <v>Building 16</v>
      </c>
      <c r="X578" s="47" t="str">
        <f t="array" ref="X578">_xlfn.XLOOKUP(records_2[ID], dAir[roomNo], dAir[floor])</f>
        <v>Floor 1</v>
      </c>
      <c r="Y578" s="45" t="str">
        <f t="array" ref="Y578">_xlfn.XLOOKUP(records_2[ID], dAir[roomNo], dAir[Class])</f>
        <v>A</v>
      </c>
      <c r="Z578" s="45">
        <f t="array" ref="Z578">_xlfn.XLOOKUP(records_2[Method]&amp;"-"&amp;records_2[Class], dAirSpec[ID], dAirSpec[Spec])</f>
        <v>0</v>
      </c>
      <c r="AA578" s="45" t="str">
        <f t="array" ref="AA578">_xlfn.XLOOKUP(records_2[Method]&amp;"-"&amp;records_2[Class], dAirSpec[ID], dAirSpec[Unit])</f>
        <v>cfu/m3</v>
      </c>
      <c r="AB578" s="45">
        <f t="array" ref="AB578">if(R578="","", if(records_2[Method]="Active Air",_xlfn.xlookup(records_2[ColonyCount]&amp;records_2[AirSampler],feller[code],feller[Vc]),records_2[ColonyCount]))</f>
        <v>0</v>
      </c>
      <c r="AC578" s="60" t="b">
        <f t="shared" si="1"/>
        <v>1</v>
      </c>
      <c r="AD578" s="61" t="b">
        <v>0</v>
      </c>
      <c r="AE578" s="32" t="s">
        <v>280</v>
      </c>
      <c r="AF578" s="46"/>
      <c r="AG578" s="46"/>
      <c r="AH578" s="46"/>
      <c r="AI578" s="46"/>
      <c r="AJ578" s="46"/>
    </row>
    <row r="579" ht="22.5" customHeight="1">
      <c r="A579" s="27">
        <v>46119.0</v>
      </c>
      <c r="B579" s="34" t="str">
        <f t="array" ref="B579">TEXT(A579, "MM-YYYY")</f>
        <v>04-2026</v>
      </c>
      <c r="C579" s="39" t="s">
        <v>786</v>
      </c>
      <c r="D579" s="36" t="s">
        <v>210</v>
      </c>
      <c r="E579" s="36" t="s">
        <v>531</v>
      </c>
      <c r="F579" s="29" t="b">
        <v>1</v>
      </c>
      <c r="G579" s="36" t="s">
        <v>214</v>
      </c>
      <c r="H579" s="36" t="s">
        <v>757</v>
      </c>
      <c r="I579" s="39">
        <v>3.1101125E8</v>
      </c>
      <c r="J579" s="40">
        <v>46240.0</v>
      </c>
      <c r="K579" s="37" t="s">
        <v>452</v>
      </c>
      <c r="L579" s="37" t="s">
        <v>767</v>
      </c>
      <c r="M579" s="37" t="s">
        <v>194</v>
      </c>
      <c r="N579" s="37" t="s">
        <v>194</v>
      </c>
      <c r="O579" s="37" t="s">
        <v>2398</v>
      </c>
      <c r="P579" s="37" t="s">
        <v>2399</v>
      </c>
      <c r="Q579" s="41">
        <v>46160.0</v>
      </c>
      <c r="R579" s="42">
        <v>47.0</v>
      </c>
      <c r="S579" s="29"/>
      <c r="T579" s="37" t="s">
        <v>2400</v>
      </c>
      <c r="U579" s="45" t="str">
        <f>IF(records_2[Type]="Room",records_2[roomNo],records_2[roomNo]&amp;"-"&amp;SUBSTITUTE(RIGHT(records_2[roomNo]&amp;records_2[Type],2),"-",""))</f>
        <v>16-1-102</v>
      </c>
      <c r="V579" s="47" t="str">
        <f t="array" ref="V579">_xlfn.XLOOKUP(records_2[ID], dAir[roomNo], dAir[roomName])</f>
        <v>DISPENSING</v>
      </c>
      <c r="W579" s="47" t="str">
        <f t="array" ref="W579">_xlfn.XLOOKUP(records_2[ID], dAir[roomNo], dAir[building])</f>
        <v>Building 16</v>
      </c>
      <c r="X579" s="47" t="str">
        <f t="array" ref="X579">_xlfn.XLOOKUP(records_2[ID], dAir[roomNo], dAir[floor])</f>
        <v>Floor 1</v>
      </c>
      <c r="Y579" s="45" t="str">
        <f t="array" ref="Y579">_xlfn.XLOOKUP(records_2[ID], dAir[roomNo], dAir[Class])</f>
        <v>C</v>
      </c>
      <c r="Z579" s="45">
        <f t="array" ref="Z579">_xlfn.XLOOKUP(records_2[Method]&amp;"-"&amp;records_2[Class], dAirSpec[ID], dAirSpec[Spec])</f>
        <v>100</v>
      </c>
      <c r="AA579" s="45" t="str">
        <f t="array" ref="AA579">_xlfn.XLOOKUP(records_2[Method]&amp;"-"&amp;records_2[Class], dAirSpec[ID], dAirSpec[Unit])</f>
        <v>cfu/m3</v>
      </c>
      <c r="AB579" s="45">
        <f t="array" ref="AB579">if(R579="","", if(records_2[Method]="Active Air",_xlfn.xlookup(records_2[ColonyCount]&amp;records_2[AirSampler],feller[code],feller[Vc]),records_2[ColonyCount]))</f>
        <v>51</v>
      </c>
      <c r="AC579" s="60" t="b">
        <f t="shared" si="1"/>
        <v>1</v>
      </c>
      <c r="AD579" s="61" t="b">
        <v>0</v>
      </c>
      <c r="AE579" s="32" t="s">
        <v>280</v>
      </c>
      <c r="AF579" s="46"/>
      <c r="AG579" s="46"/>
      <c r="AH579" s="46"/>
      <c r="AI579" s="46"/>
      <c r="AJ579" s="46"/>
    </row>
    <row r="580" ht="22.5" customHeight="1">
      <c r="A580" s="27">
        <v>46119.0</v>
      </c>
      <c r="B580" s="34" t="str">
        <f t="array" ref="B580">TEXT(A580, "MM-YYYY")</f>
        <v>04-2026</v>
      </c>
      <c r="C580" s="39" t="s">
        <v>1492</v>
      </c>
      <c r="D580" s="36" t="s">
        <v>210</v>
      </c>
      <c r="E580" s="36" t="s">
        <v>531</v>
      </c>
      <c r="F580" s="29" t="b">
        <v>1</v>
      </c>
      <c r="G580" s="36" t="s">
        <v>214</v>
      </c>
      <c r="H580" s="36" t="s">
        <v>203</v>
      </c>
      <c r="I580" s="39"/>
      <c r="J580" s="43"/>
      <c r="K580" s="37" t="s">
        <v>469</v>
      </c>
      <c r="L580" s="37" t="s">
        <v>324</v>
      </c>
      <c r="M580" s="37" t="s">
        <v>194</v>
      </c>
      <c r="N580" s="37" t="s">
        <v>194</v>
      </c>
      <c r="O580" s="37" t="s">
        <v>2398</v>
      </c>
      <c r="P580" s="37" t="s">
        <v>2399</v>
      </c>
      <c r="Q580" s="41">
        <v>46160.0</v>
      </c>
      <c r="R580" s="42">
        <v>5.0</v>
      </c>
      <c r="S580" s="55"/>
      <c r="T580" s="37" t="s">
        <v>2400</v>
      </c>
      <c r="U580" s="45" t="str">
        <f>IF(records_2[Type]="Room",records_2[roomNo],records_2[roomNo]&amp;"-"&amp;SUBSTITUTE(RIGHT(records_2[roomNo]&amp;records_2[Type],2),"-",""))</f>
        <v>16-1-103</v>
      </c>
      <c r="V580" s="47" t="str">
        <f t="array" ref="V580">_xlfn.XLOOKUP(records_2[ID], dAir[roomNo], dAir[roomName])</f>
        <v>DISPENSED MATERIAL STAGING</v>
      </c>
      <c r="W580" s="47" t="str">
        <f t="array" ref="W580">_xlfn.XLOOKUP(records_2[ID], dAir[roomNo], dAir[building])</f>
        <v>Building 16</v>
      </c>
      <c r="X580" s="47" t="str">
        <f t="array" ref="X580">_xlfn.XLOOKUP(records_2[ID], dAir[roomNo], dAir[floor])</f>
        <v>Floor 1</v>
      </c>
      <c r="Y580" s="45" t="str">
        <f t="array" ref="Y580">_xlfn.XLOOKUP(records_2[ID], dAir[roomNo], dAir[Class])</f>
        <v>C</v>
      </c>
      <c r="Z580" s="45">
        <f t="array" ref="Z580">_xlfn.XLOOKUP(records_2[Method]&amp;"-"&amp;records_2[Class], dAirSpec[ID], dAirSpec[Spec])</f>
        <v>100</v>
      </c>
      <c r="AA580" s="45" t="str">
        <f t="array" ref="AA580">_xlfn.XLOOKUP(records_2[Method]&amp;"-"&amp;records_2[Class], dAirSpec[ID], dAirSpec[Unit])</f>
        <v>cfu/m3</v>
      </c>
      <c r="AB580" s="45">
        <f t="array" ref="AB580">if(R580="","", if(records_2[Method]="Active Air",_xlfn.xlookup(records_2[ColonyCount]&amp;records_2[AirSampler],feller[code],feller[Vc]),records_2[ColonyCount]))</f>
        <v>5</v>
      </c>
      <c r="AC580" s="60" t="b">
        <f t="shared" si="1"/>
        <v>1</v>
      </c>
      <c r="AD580" s="61" t="b">
        <v>0</v>
      </c>
      <c r="AE580" s="32" t="s">
        <v>280</v>
      </c>
      <c r="AF580" s="46"/>
      <c r="AG580" s="46"/>
      <c r="AH580" s="46"/>
      <c r="AI580" s="46"/>
      <c r="AJ580" s="46"/>
    </row>
    <row r="581" ht="22.5" customHeight="1">
      <c r="A581" s="27">
        <v>46119.0</v>
      </c>
      <c r="B581" s="34" t="str">
        <f t="array" ref="B581">TEXT(A581, "MM-YYYY")</f>
        <v>04-2026</v>
      </c>
      <c r="C581" s="39" t="s">
        <v>1493</v>
      </c>
      <c r="D581" s="36" t="s">
        <v>210</v>
      </c>
      <c r="E581" s="36" t="s">
        <v>531</v>
      </c>
      <c r="F581" s="29" t="b">
        <v>1</v>
      </c>
      <c r="G581" s="36" t="s">
        <v>214</v>
      </c>
      <c r="H581" s="36" t="s">
        <v>203</v>
      </c>
      <c r="I581" s="39"/>
      <c r="J581" s="43"/>
      <c r="K581" s="37" t="s">
        <v>314</v>
      </c>
      <c r="L581" s="37" t="s">
        <v>294</v>
      </c>
      <c r="M581" s="37" t="s">
        <v>194</v>
      </c>
      <c r="N581" s="37" t="s">
        <v>194</v>
      </c>
      <c r="O581" s="37" t="s">
        <v>2398</v>
      </c>
      <c r="P581" s="37" t="s">
        <v>2399</v>
      </c>
      <c r="Q581" s="41">
        <v>46160.0</v>
      </c>
      <c r="R581" s="42">
        <v>4.0</v>
      </c>
      <c r="S581" s="29"/>
      <c r="T581" s="37" t="s">
        <v>2400</v>
      </c>
      <c r="U581" s="45" t="str">
        <f>IF(records_2[Type]="Room",records_2[roomNo],records_2[roomNo]&amp;"-"&amp;SUBSTITUTE(RIGHT(records_2[roomNo]&amp;records_2[Type],2),"-",""))</f>
        <v>16-1-104</v>
      </c>
      <c r="V581" s="47" t="str">
        <f t="array" ref="V581">_xlfn.XLOOKUP(records_2[ID], dAir[roomNo], dAir[roomName])</f>
        <v>AMPOULES INTERNAL STAGING</v>
      </c>
      <c r="W581" s="47" t="str">
        <f t="array" ref="W581">_xlfn.XLOOKUP(records_2[ID], dAir[roomNo], dAir[building])</f>
        <v>Building 16</v>
      </c>
      <c r="X581" s="47" t="str">
        <f t="array" ref="X581">_xlfn.XLOOKUP(records_2[ID], dAir[roomNo], dAir[floor])</f>
        <v>Floor 1</v>
      </c>
      <c r="Y581" s="45" t="str">
        <f t="array" ref="Y581">_xlfn.XLOOKUP(records_2[ID], dAir[roomNo], dAir[Class])</f>
        <v>C</v>
      </c>
      <c r="Z581" s="45">
        <f t="array" ref="Z581">_xlfn.XLOOKUP(records_2[Method]&amp;"-"&amp;records_2[Class], dAirSpec[ID], dAirSpec[Spec])</f>
        <v>100</v>
      </c>
      <c r="AA581" s="45" t="str">
        <f t="array" ref="AA581">_xlfn.XLOOKUP(records_2[Method]&amp;"-"&amp;records_2[Class], dAirSpec[ID], dAirSpec[Unit])</f>
        <v>cfu/m3</v>
      </c>
      <c r="AB581" s="45">
        <f t="array" ref="AB581">if(R581="","", if(records_2[Method]="Active Air",_xlfn.xlookup(records_2[ColonyCount]&amp;records_2[AirSampler],feller[code],feller[Vc]),records_2[ColonyCount]))</f>
        <v>4</v>
      </c>
      <c r="AC581" s="60" t="b">
        <f t="shared" si="1"/>
        <v>1</v>
      </c>
      <c r="AD581" s="61" t="b">
        <v>0</v>
      </c>
      <c r="AE581" s="32" t="s">
        <v>280</v>
      </c>
      <c r="AF581" s="46"/>
      <c r="AG581" s="46"/>
      <c r="AH581" s="46"/>
      <c r="AI581" s="46"/>
      <c r="AJ581" s="46"/>
    </row>
    <row r="582" ht="22.5" customHeight="1">
      <c r="A582" s="27">
        <v>46119.0</v>
      </c>
      <c r="B582" s="34" t="str">
        <f t="array" ref="B582">TEXT(A582, "MM-YYYY")</f>
        <v>04-2026</v>
      </c>
      <c r="C582" s="39" t="s">
        <v>1493</v>
      </c>
      <c r="D582" s="36" t="s">
        <v>1350</v>
      </c>
      <c r="E582" s="36" t="s">
        <v>531</v>
      </c>
      <c r="F582" s="29" t="b">
        <v>1</v>
      </c>
      <c r="G582" s="36" t="s">
        <v>214</v>
      </c>
      <c r="H582" s="36" t="s">
        <v>203</v>
      </c>
      <c r="I582" s="39"/>
      <c r="J582" s="43"/>
      <c r="K582" s="37" t="s">
        <v>314</v>
      </c>
      <c r="L582" s="37" t="s">
        <v>294</v>
      </c>
      <c r="M582" s="37" t="s">
        <v>194</v>
      </c>
      <c r="N582" s="37" t="s">
        <v>194</v>
      </c>
      <c r="O582" s="37" t="s">
        <v>2398</v>
      </c>
      <c r="P582" s="37" t="s">
        <v>2399</v>
      </c>
      <c r="Q582" s="41">
        <v>46160.0</v>
      </c>
      <c r="R582" s="42">
        <v>2.0</v>
      </c>
      <c r="S582" s="29"/>
      <c r="T582" s="37" t="s">
        <v>2400</v>
      </c>
      <c r="U582" s="45" t="str">
        <f>IF(records_2[Type]="Room",records_2[roomNo],records_2[roomNo]&amp;"-"&amp;SUBSTITUTE(RIGHT(records_2[roomNo]&amp;records_2[Type],2),"-",""))</f>
        <v>16-1-104-PB</v>
      </c>
      <c r="V582" s="47" t="str">
        <f t="array" ref="V582">_xlfn.XLOOKUP(records_2[ID], dAir[roomNo], dAir[roomName])</f>
        <v>AMPOULES INTERNAL STAGING (Passbox)</v>
      </c>
      <c r="W582" s="47" t="str">
        <f t="array" ref="W582">_xlfn.XLOOKUP(records_2[ID], dAir[roomNo], dAir[building])</f>
        <v>Building 16</v>
      </c>
      <c r="X582" s="47" t="str">
        <f t="array" ref="X582">_xlfn.XLOOKUP(records_2[ID], dAir[roomNo], dAir[floor])</f>
        <v>Floor 1</v>
      </c>
      <c r="Y582" s="45" t="str">
        <f t="array" ref="Y582">_xlfn.XLOOKUP(records_2[ID], dAir[roomNo], dAir[Class])</f>
        <v>C</v>
      </c>
      <c r="Z582" s="45">
        <f t="array" ref="Z582">_xlfn.XLOOKUP(records_2[Method]&amp;"-"&amp;records_2[Class], dAirSpec[ID], dAirSpec[Spec])</f>
        <v>100</v>
      </c>
      <c r="AA582" s="45" t="str">
        <f t="array" ref="AA582">_xlfn.XLOOKUP(records_2[Method]&amp;"-"&amp;records_2[Class], dAirSpec[ID], dAirSpec[Unit])</f>
        <v>cfu/m3</v>
      </c>
      <c r="AB582" s="45">
        <f t="array" ref="AB582">if(R582="","", if(records_2[Method]="Active Air",_xlfn.xlookup(records_2[ColonyCount]&amp;records_2[AirSampler],feller[code],feller[Vc]),records_2[ColonyCount]))</f>
        <v>2</v>
      </c>
      <c r="AC582" s="60" t="b">
        <f t="shared" si="1"/>
        <v>1</v>
      </c>
      <c r="AD582" s="61" t="b">
        <v>0</v>
      </c>
      <c r="AE582" s="32" t="s">
        <v>280</v>
      </c>
      <c r="AF582" s="46"/>
      <c r="AG582" s="46"/>
      <c r="AH582" s="46"/>
      <c r="AI582" s="46"/>
      <c r="AJ582" s="46"/>
    </row>
    <row r="583" ht="22.5" customHeight="1">
      <c r="A583" s="27">
        <v>46119.0</v>
      </c>
      <c r="B583" s="34" t="str">
        <f t="array" ref="B583">TEXT(A583, "MM-YYYY")</f>
        <v>04-2026</v>
      </c>
      <c r="C583" s="39" t="s">
        <v>754</v>
      </c>
      <c r="D583" s="36" t="s">
        <v>210</v>
      </c>
      <c r="E583" s="36" t="s">
        <v>531</v>
      </c>
      <c r="F583" s="29" t="b">
        <v>1</v>
      </c>
      <c r="G583" s="36" t="s">
        <v>214</v>
      </c>
      <c r="H583" s="36" t="s">
        <v>203</v>
      </c>
      <c r="I583" s="39"/>
      <c r="J583" s="43"/>
      <c r="K583" s="37" t="s">
        <v>366</v>
      </c>
      <c r="L583" s="37" t="s">
        <v>775</v>
      </c>
      <c r="M583" s="37" t="s">
        <v>194</v>
      </c>
      <c r="N583" s="37" t="s">
        <v>194</v>
      </c>
      <c r="O583" s="37" t="s">
        <v>2398</v>
      </c>
      <c r="P583" s="37" t="s">
        <v>2399</v>
      </c>
      <c r="Q583" s="41">
        <v>46160.0</v>
      </c>
      <c r="R583" s="42">
        <v>1.0</v>
      </c>
      <c r="S583" s="55"/>
      <c r="T583" s="37" t="s">
        <v>2400</v>
      </c>
      <c r="U583" s="45" t="str">
        <f>IF(records_2[Type]="Room",records_2[roomNo],records_2[roomNo]&amp;"-"&amp;SUBSTITUTE(RIGHT(records_2[roomNo]&amp;records_2[Type],2),"-",""))</f>
        <v>16-1-105</v>
      </c>
      <c r="V583" s="47" t="str">
        <f t="array" ref="V583">_xlfn.XLOOKUP(records_2[ID], dAir[roomNo], dAir[roomName])</f>
        <v>WASHING / TUNNEL 1</v>
      </c>
      <c r="W583" s="47" t="str">
        <f t="array" ref="W583">_xlfn.XLOOKUP(records_2[ID], dAir[roomNo], dAir[building])</f>
        <v>Building 16</v>
      </c>
      <c r="X583" s="47" t="str">
        <f t="array" ref="X583">_xlfn.XLOOKUP(records_2[ID], dAir[roomNo], dAir[floor])</f>
        <v>Floor 1</v>
      </c>
      <c r="Y583" s="45" t="str">
        <f t="array" ref="Y583">_xlfn.XLOOKUP(records_2[ID], dAir[roomNo], dAir[Class])</f>
        <v>C</v>
      </c>
      <c r="Z583" s="45">
        <f t="array" ref="Z583">_xlfn.XLOOKUP(records_2[Method]&amp;"-"&amp;records_2[Class], dAirSpec[ID], dAirSpec[Spec])</f>
        <v>100</v>
      </c>
      <c r="AA583" s="45" t="str">
        <f t="array" ref="AA583">_xlfn.XLOOKUP(records_2[Method]&amp;"-"&amp;records_2[Class], dAirSpec[ID], dAirSpec[Unit])</f>
        <v>cfu/m3</v>
      </c>
      <c r="AB583" s="45">
        <f t="array" ref="AB583">if(R583="","", if(records_2[Method]="Active Air",_xlfn.xlookup(records_2[ColonyCount]&amp;records_2[AirSampler],feller[code],feller[Vc]),records_2[ColonyCount]))</f>
        <v>1</v>
      </c>
      <c r="AC583" s="60" t="b">
        <f t="shared" si="1"/>
        <v>1</v>
      </c>
      <c r="AD583" s="61" t="b">
        <v>0</v>
      </c>
      <c r="AE583" s="32" t="s">
        <v>280</v>
      </c>
      <c r="AF583" s="46"/>
      <c r="AG583" s="46"/>
      <c r="AH583" s="46"/>
      <c r="AI583" s="46"/>
      <c r="AJ583" s="46"/>
    </row>
    <row r="584" ht="22.5" customHeight="1">
      <c r="A584" s="27">
        <v>46119.0</v>
      </c>
      <c r="B584" s="34" t="str">
        <f t="array" ref="B584">TEXT(A584, "MM-YYYY")</f>
        <v>04-2026</v>
      </c>
      <c r="C584" s="39" t="s">
        <v>1498</v>
      </c>
      <c r="D584" s="36" t="s">
        <v>210</v>
      </c>
      <c r="E584" s="36" t="s">
        <v>531</v>
      </c>
      <c r="F584" s="29" t="b">
        <v>1</v>
      </c>
      <c r="G584" s="36" t="s">
        <v>214</v>
      </c>
      <c r="H584" s="36" t="s">
        <v>203</v>
      </c>
      <c r="I584" s="39"/>
      <c r="J584" s="43"/>
      <c r="K584" s="37" t="s">
        <v>326</v>
      </c>
      <c r="L584" s="37" t="s">
        <v>439</v>
      </c>
      <c r="M584" s="37" t="s">
        <v>194</v>
      </c>
      <c r="N584" s="37" t="s">
        <v>194</v>
      </c>
      <c r="O584" s="37" t="s">
        <v>2398</v>
      </c>
      <c r="P584" s="37" t="s">
        <v>2399</v>
      </c>
      <c r="Q584" s="41">
        <v>46160.0</v>
      </c>
      <c r="R584" s="42">
        <v>11.0</v>
      </c>
      <c r="S584" s="55"/>
      <c r="T584" s="37" t="s">
        <v>2400</v>
      </c>
      <c r="U584" s="45" t="str">
        <f>IF(records_2[Type]="Room",records_2[roomNo],records_2[roomNo]&amp;"-"&amp;SUBSTITUTE(RIGHT(records_2[roomNo]&amp;records_2[Type],2),"-",""))</f>
        <v>16-1-106</v>
      </c>
      <c r="V584" s="47" t="str">
        <f t="array" ref="V584">_xlfn.XLOOKUP(records_2[ID], dAir[roomNo], dAir[roomName])</f>
        <v>AIRLOCK</v>
      </c>
      <c r="W584" s="47" t="str">
        <f t="array" ref="W584">_xlfn.XLOOKUP(records_2[ID], dAir[roomNo], dAir[building])</f>
        <v>Building 16</v>
      </c>
      <c r="X584" s="47" t="str">
        <f t="array" ref="X584">_xlfn.XLOOKUP(records_2[ID], dAir[roomNo], dAir[floor])</f>
        <v>Floor 1</v>
      </c>
      <c r="Y584" s="45" t="str">
        <f t="array" ref="Y584">_xlfn.XLOOKUP(records_2[ID], dAir[roomNo], dAir[Class])</f>
        <v>C</v>
      </c>
      <c r="Z584" s="45">
        <f t="array" ref="Z584">_xlfn.XLOOKUP(records_2[Method]&amp;"-"&amp;records_2[Class], dAirSpec[ID], dAirSpec[Spec])</f>
        <v>100</v>
      </c>
      <c r="AA584" s="45" t="str">
        <f t="array" ref="AA584">_xlfn.XLOOKUP(records_2[Method]&amp;"-"&amp;records_2[Class], dAirSpec[ID], dAirSpec[Unit])</f>
        <v>cfu/m3</v>
      </c>
      <c r="AB584" s="45">
        <f t="array" ref="AB584">if(R584="","", if(records_2[Method]="Active Air",_xlfn.xlookup(records_2[ColonyCount]&amp;records_2[AirSampler],feller[code],feller[Vc]),records_2[ColonyCount]))</f>
        <v>11</v>
      </c>
      <c r="AC584" s="60" t="b">
        <f t="shared" si="1"/>
        <v>1</v>
      </c>
      <c r="AD584" s="61" t="b">
        <v>0</v>
      </c>
      <c r="AE584" s="32" t="s">
        <v>280</v>
      </c>
      <c r="AF584" s="46"/>
      <c r="AG584" s="46"/>
      <c r="AH584" s="46"/>
      <c r="AI584" s="46"/>
      <c r="AJ584" s="46"/>
    </row>
    <row r="585" ht="22.5" customHeight="1">
      <c r="A585" s="27">
        <v>46119.0</v>
      </c>
      <c r="B585" s="34" t="str">
        <f t="array" ref="B585">TEXT(A585, "MM-YYYY")</f>
        <v>04-2026</v>
      </c>
      <c r="C585" s="39" t="s">
        <v>763</v>
      </c>
      <c r="D585" s="36" t="s">
        <v>210</v>
      </c>
      <c r="E585" s="36" t="s">
        <v>531</v>
      </c>
      <c r="F585" s="29" t="b">
        <v>1</v>
      </c>
      <c r="G585" s="36" t="s">
        <v>214</v>
      </c>
      <c r="H585" s="36" t="s">
        <v>203</v>
      </c>
      <c r="I585" s="39"/>
      <c r="J585" s="43"/>
      <c r="K585" s="37" t="s">
        <v>317</v>
      </c>
      <c r="L585" s="37" t="s">
        <v>1860</v>
      </c>
      <c r="M585" s="37" t="s">
        <v>194</v>
      </c>
      <c r="N585" s="37" t="s">
        <v>194</v>
      </c>
      <c r="O585" s="37" t="s">
        <v>2398</v>
      </c>
      <c r="P585" s="37" t="s">
        <v>2399</v>
      </c>
      <c r="Q585" s="41">
        <v>46160.0</v>
      </c>
      <c r="R585" s="42">
        <v>5.0</v>
      </c>
      <c r="S585" s="55"/>
      <c r="T585" s="37" t="s">
        <v>2400</v>
      </c>
      <c r="U585" s="45" t="str">
        <f>IF(records_2[Type]="Room",records_2[roomNo],records_2[roomNo]&amp;"-"&amp;SUBSTITUTE(RIGHT(records_2[roomNo]&amp;records_2[Type],2),"-",""))</f>
        <v>16-1-107</v>
      </c>
      <c r="V585" s="47" t="str">
        <f t="array" ref="V585">_xlfn.XLOOKUP(records_2[ID], dAir[roomNo], dAir[roomName])</f>
        <v>COMPOUNDING 1</v>
      </c>
      <c r="W585" s="47" t="str">
        <f t="array" ref="W585">_xlfn.XLOOKUP(records_2[ID], dAir[roomNo], dAir[building])</f>
        <v>Building 16</v>
      </c>
      <c r="X585" s="47" t="str">
        <f t="array" ref="X585">_xlfn.XLOOKUP(records_2[ID], dAir[roomNo], dAir[floor])</f>
        <v>Floor 1</v>
      </c>
      <c r="Y585" s="45" t="str">
        <f t="array" ref="Y585">_xlfn.XLOOKUP(records_2[ID], dAir[roomNo], dAir[Class])</f>
        <v>C</v>
      </c>
      <c r="Z585" s="45">
        <f t="array" ref="Z585">_xlfn.XLOOKUP(records_2[Method]&amp;"-"&amp;records_2[Class], dAirSpec[ID], dAirSpec[Spec])</f>
        <v>100</v>
      </c>
      <c r="AA585" s="45" t="str">
        <f t="array" ref="AA585">_xlfn.XLOOKUP(records_2[Method]&amp;"-"&amp;records_2[Class], dAirSpec[ID], dAirSpec[Unit])</f>
        <v>cfu/m3</v>
      </c>
      <c r="AB585" s="45">
        <f t="array" ref="AB585">if(R585="","", if(records_2[Method]="Active Air",_xlfn.xlookup(records_2[ColonyCount]&amp;records_2[AirSampler],feller[code],feller[Vc]),records_2[ColonyCount]))</f>
        <v>5</v>
      </c>
      <c r="AC585" s="60" t="b">
        <f t="shared" si="1"/>
        <v>1</v>
      </c>
      <c r="AD585" s="61" t="b">
        <v>0</v>
      </c>
      <c r="AE585" s="32" t="s">
        <v>280</v>
      </c>
      <c r="AF585" s="46"/>
      <c r="AG585" s="46"/>
      <c r="AH585" s="46"/>
      <c r="AI585" s="46"/>
      <c r="AJ585" s="46"/>
    </row>
    <row r="586" ht="22.5" customHeight="1">
      <c r="A586" s="27">
        <v>46119.0</v>
      </c>
      <c r="B586" s="34" t="str">
        <f t="array" ref="B586">TEXT(A586, "MM-YYYY")</f>
        <v>04-2026</v>
      </c>
      <c r="C586" s="39" t="s">
        <v>1499</v>
      </c>
      <c r="D586" s="36" t="s">
        <v>210</v>
      </c>
      <c r="E586" s="36" t="s">
        <v>531</v>
      </c>
      <c r="F586" s="29" t="b">
        <v>1</v>
      </c>
      <c r="G586" s="36" t="s">
        <v>214</v>
      </c>
      <c r="H586" s="36" t="s">
        <v>203</v>
      </c>
      <c r="I586" s="39"/>
      <c r="J586" s="43"/>
      <c r="K586" s="37" t="s">
        <v>2100</v>
      </c>
      <c r="L586" s="37" t="s">
        <v>2270</v>
      </c>
      <c r="M586" s="37" t="s">
        <v>194</v>
      </c>
      <c r="N586" s="37" t="s">
        <v>194</v>
      </c>
      <c r="O586" s="37" t="s">
        <v>2398</v>
      </c>
      <c r="P586" s="37" t="s">
        <v>2399</v>
      </c>
      <c r="Q586" s="41">
        <v>46160.0</v>
      </c>
      <c r="R586" s="42">
        <v>0.0</v>
      </c>
      <c r="S586" s="55"/>
      <c r="T586" s="37" t="s">
        <v>2400</v>
      </c>
      <c r="U586" s="45" t="str">
        <f>IF(records_2[Type]="Room",records_2[roomNo],records_2[roomNo]&amp;"-"&amp;SUBSTITUTE(RIGHT(records_2[roomNo]&amp;records_2[Type],2),"-",""))</f>
        <v>16-1-108</v>
      </c>
      <c r="V586" s="47" t="str">
        <f t="array" ref="V586">_xlfn.XLOOKUP(records_2[ID], dAir[roomNo], dAir[roomName])</f>
        <v>CLEANED EQUIPMENT</v>
      </c>
      <c r="W586" s="47" t="str">
        <f t="array" ref="W586">_xlfn.XLOOKUP(records_2[ID], dAir[roomNo], dAir[building])</f>
        <v>Building 16</v>
      </c>
      <c r="X586" s="47" t="str">
        <f t="array" ref="X586">_xlfn.XLOOKUP(records_2[ID], dAir[roomNo], dAir[floor])</f>
        <v>Floor 1</v>
      </c>
      <c r="Y586" s="45" t="str">
        <f t="array" ref="Y586">_xlfn.XLOOKUP(records_2[ID], dAir[roomNo], dAir[Class])</f>
        <v>C</v>
      </c>
      <c r="Z586" s="45">
        <f t="array" ref="Z586">_xlfn.XLOOKUP(records_2[Method]&amp;"-"&amp;records_2[Class], dAirSpec[ID], dAirSpec[Spec])</f>
        <v>100</v>
      </c>
      <c r="AA586" s="45" t="str">
        <f t="array" ref="AA586">_xlfn.XLOOKUP(records_2[Method]&amp;"-"&amp;records_2[Class], dAirSpec[ID], dAirSpec[Unit])</f>
        <v>cfu/m3</v>
      </c>
      <c r="AB586" s="45">
        <f t="array" ref="AB586">if(R586="","", if(records_2[Method]="Active Air",_xlfn.xlookup(records_2[ColonyCount]&amp;records_2[AirSampler],feller[code],feller[Vc]),records_2[ColonyCount]))</f>
        <v>0</v>
      </c>
      <c r="AC586" s="60" t="b">
        <f t="shared" si="1"/>
        <v>1</v>
      </c>
      <c r="AD586" s="61" t="b">
        <v>0</v>
      </c>
      <c r="AE586" s="32" t="s">
        <v>280</v>
      </c>
      <c r="AF586" s="46"/>
      <c r="AG586" s="46"/>
      <c r="AH586" s="46"/>
      <c r="AI586" s="46"/>
      <c r="AJ586" s="46"/>
    </row>
    <row r="587" ht="22.5" customHeight="1">
      <c r="A587" s="27">
        <v>46119.0</v>
      </c>
      <c r="B587" s="34" t="str">
        <f t="array" ref="B587">TEXT(A587, "MM-YYYY")</f>
        <v>04-2026</v>
      </c>
      <c r="C587" s="39" t="s">
        <v>769</v>
      </c>
      <c r="D587" s="36" t="s">
        <v>210</v>
      </c>
      <c r="E587" s="36" t="s">
        <v>531</v>
      </c>
      <c r="F587" s="29" t="b">
        <v>1</v>
      </c>
      <c r="G587" s="36" t="s">
        <v>214</v>
      </c>
      <c r="H587" s="36" t="s">
        <v>203</v>
      </c>
      <c r="I587" s="39"/>
      <c r="J587" s="43"/>
      <c r="K587" s="37" t="s">
        <v>550</v>
      </c>
      <c r="L587" s="37" t="s">
        <v>345</v>
      </c>
      <c r="M587" s="37" t="s">
        <v>194</v>
      </c>
      <c r="N587" s="37" t="s">
        <v>194</v>
      </c>
      <c r="O587" s="37" t="s">
        <v>2398</v>
      </c>
      <c r="P587" s="37" t="s">
        <v>2399</v>
      </c>
      <c r="Q587" s="41">
        <v>46160.0</v>
      </c>
      <c r="R587" s="42">
        <v>3.0</v>
      </c>
      <c r="S587" s="55"/>
      <c r="T587" s="37" t="s">
        <v>2400</v>
      </c>
      <c r="U587" s="45" t="str">
        <f>IF(records_2[Type]="Room",records_2[roomNo],records_2[roomNo]&amp;"-"&amp;SUBSTITUTE(RIGHT(records_2[roomNo]&amp;records_2[Type],2),"-",""))</f>
        <v>16-1-109</v>
      </c>
      <c r="V587" s="47" t="str">
        <f t="array" ref="V587">_xlfn.XLOOKUP(records_2[ID], dAir[roomNo], dAir[roomName])</f>
        <v>DRYING</v>
      </c>
      <c r="W587" s="47" t="str">
        <f t="array" ref="W587">_xlfn.XLOOKUP(records_2[ID], dAir[roomNo], dAir[building])</f>
        <v>Building 16</v>
      </c>
      <c r="X587" s="47" t="str">
        <f t="array" ref="X587">_xlfn.XLOOKUP(records_2[ID], dAir[roomNo], dAir[floor])</f>
        <v>Floor 1</v>
      </c>
      <c r="Y587" s="45" t="str">
        <f t="array" ref="Y587">_xlfn.XLOOKUP(records_2[ID], dAir[roomNo], dAir[Class])</f>
        <v>C</v>
      </c>
      <c r="Z587" s="45">
        <f t="array" ref="Z587">_xlfn.XLOOKUP(records_2[Method]&amp;"-"&amp;records_2[Class], dAirSpec[ID], dAirSpec[Spec])</f>
        <v>100</v>
      </c>
      <c r="AA587" s="45" t="str">
        <f t="array" ref="AA587">_xlfn.XLOOKUP(records_2[Method]&amp;"-"&amp;records_2[Class], dAirSpec[ID], dAirSpec[Unit])</f>
        <v>cfu/m3</v>
      </c>
      <c r="AB587" s="45">
        <f t="array" ref="AB587">if(R587="","", if(records_2[Method]="Active Air",_xlfn.xlookup(records_2[ColonyCount]&amp;records_2[AirSampler],feller[code],feller[Vc]),records_2[ColonyCount]))</f>
        <v>3</v>
      </c>
      <c r="AC587" s="60" t="b">
        <f t="shared" si="1"/>
        <v>1</v>
      </c>
      <c r="AD587" s="61" t="b">
        <v>0</v>
      </c>
      <c r="AE587" s="32" t="s">
        <v>280</v>
      </c>
      <c r="AF587" s="46"/>
      <c r="AG587" s="46"/>
      <c r="AH587" s="46"/>
      <c r="AI587" s="46"/>
      <c r="AJ587" s="46"/>
    </row>
    <row r="588" ht="22.5" customHeight="1">
      <c r="A588" s="27">
        <v>46119.0</v>
      </c>
      <c r="B588" s="34" t="str">
        <f t="array" ref="B588">TEXT(A588, "MM-YYYY")</f>
        <v>04-2026</v>
      </c>
      <c r="C588" s="39" t="s">
        <v>1024</v>
      </c>
      <c r="D588" s="36" t="s">
        <v>210</v>
      </c>
      <c r="E588" s="36" t="s">
        <v>531</v>
      </c>
      <c r="F588" s="29" t="b">
        <v>1</v>
      </c>
      <c r="G588" s="36" t="s">
        <v>214</v>
      </c>
      <c r="H588" s="36" t="s">
        <v>534</v>
      </c>
      <c r="I588" s="39"/>
      <c r="J588" s="43"/>
      <c r="K588" s="37" t="s">
        <v>546</v>
      </c>
      <c r="L588" s="37" t="s">
        <v>2403</v>
      </c>
      <c r="M588" s="37" t="s">
        <v>194</v>
      </c>
      <c r="N588" s="37" t="s">
        <v>194</v>
      </c>
      <c r="O588" s="37" t="s">
        <v>2398</v>
      </c>
      <c r="P588" s="37" t="s">
        <v>2399</v>
      </c>
      <c r="Q588" s="41">
        <v>46160.0</v>
      </c>
      <c r="R588" s="42">
        <v>2.0</v>
      </c>
      <c r="S588" s="55"/>
      <c r="T588" s="37" t="s">
        <v>2400</v>
      </c>
      <c r="U588" s="45" t="str">
        <f>IF(records_2[Type]="Room",records_2[roomNo],records_2[roomNo]&amp;"-"&amp;SUBSTITUTE(RIGHT(records_2[roomNo]&amp;records_2[Type],2),"-",""))</f>
        <v>16-1-110</v>
      </c>
      <c r="V588" s="47" t="str">
        <f t="array" ref="V588">_xlfn.XLOOKUP(records_2[ID], dAir[roomNo], dAir[roomName])</f>
        <v>DISINFECTANT PREPARATION</v>
      </c>
      <c r="W588" s="47" t="str">
        <f t="array" ref="W588">_xlfn.XLOOKUP(records_2[ID], dAir[roomNo], dAir[building])</f>
        <v>Building 16</v>
      </c>
      <c r="X588" s="47" t="str">
        <f t="array" ref="X588">_xlfn.XLOOKUP(records_2[ID], dAir[roomNo], dAir[floor])</f>
        <v>Floor 1</v>
      </c>
      <c r="Y588" s="45" t="str">
        <f t="array" ref="Y588">_xlfn.XLOOKUP(records_2[ID], dAir[roomNo], dAir[Class])</f>
        <v>C</v>
      </c>
      <c r="Z588" s="45">
        <f t="array" ref="Z588">_xlfn.XLOOKUP(records_2[Method]&amp;"-"&amp;records_2[Class], dAirSpec[ID], dAirSpec[Spec])</f>
        <v>100</v>
      </c>
      <c r="AA588" s="45" t="str">
        <f t="array" ref="AA588">_xlfn.XLOOKUP(records_2[Method]&amp;"-"&amp;records_2[Class], dAirSpec[ID], dAirSpec[Unit])</f>
        <v>cfu/m3</v>
      </c>
      <c r="AB588" s="45">
        <f t="array" ref="AB588">if(R588="","", if(records_2[Method]="Active Air",_xlfn.xlookup(records_2[ColonyCount]&amp;records_2[AirSampler],feller[code],feller[Vc]),records_2[ColonyCount]))</f>
        <v>2</v>
      </c>
      <c r="AC588" s="60" t="b">
        <f t="shared" si="1"/>
        <v>1</v>
      </c>
      <c r="AD588" s="61" t="b">
        <v>0</v>
      </c>
      <c r="AE588" s="32" t="s">
        <v>280</v>
      </c>
      <c r="AF588" s="46"/>
      <c r="AG588" s="46"/>
      <c r="AH588" s="46"/>
      <c r="AI588" s="46"/>
      <c r="AJ588" s="46"/>
    </row>
    <row r="589" ht="22.5" customHeight="1">
      <c r="A589" s="27">
        <v>46119.0</v>
      </c>
      <c r="B589" s="34" t="str">
        <f t="array" ref="B589">TEXT(A589, "MM-YYYY")</f>
        <v>04-2026</v>
      </c>
      <c r="C589" s="39" t="s">
        <v>1500</v>
      </c>
      <c r="D589" s="36" t="s">
        <v>210</v>
      </c>
      <c r="E589" s="36" t="s">
        <v>531</v>
      </c>
      <c r="F589" s="29" t="b">
        <v>1</v>
      </c>
      <c r="G589" s="36" t="s">
        <v>214</v>
      </c>
      <c r="H589" s="36" t="s">
        <v>534</v>
      </c>
      <c r="I589" s="39"/>
      <c r="J589" s="43"/>
      <c r="K589" s="37" t="s">
        <v>353</v>
      </c>
      <c r="L589" s="37" t="s">
        <v>429</v>
      </c>
      <c r="M589" s="37" t="s">
        <v>194</v>
      </c>
      <c r="N589" s="37" t="s">
        <v>194</v>
      </c>
      <c r="O589" s="37" t="s">
        <v>2398</v>
      </c>
      <c r="P589" s="37" t="s">
        <v>2399</v>
      </c>
      <c r="Q589" s="41">
        <v>46160.0</v>
      </c>
      <c r="R589" s="42">
        <v>3.0</v>
      </c>
      <c r="S589" s="55"/>
      <c r="T589" s="37" t="s">
        <v>2400</v>
      </c>
      <c r="U589" s="45" t="str">
        <f>IF(records_2[Type]="Room",records_2[roomNo],records_2[roomNo]&amp;"-"&amp;SUBSTITUTE(RIGHT(records_2[roomNo]&amp;records_2[Type],2),"-",""))</f>
        <v>16-1-111</v>
      </c>
      <c r="V589" s="47" t="str">
        <f t="array" ref="V589">_xlfn.XLOOKUP(records_2[ID], dAir[roomNo], dAir[roomName])</f>
        <v>COMPONENT PREPARATION</v>
      </c>
      <c r="W589" s="47" t="str">
        <f t="array" ref="W589">_xlfn.XLOOKUP(records_2[ID], dAir[roomNo], dAir[building])</f>
        <v>Building 16</v>
      </c>
      <c r="X589" s="47" t="str">
        <f t="array" ref="X589">_xlfn.XLOOKUP(records_2[ID], dAir[roomNo], dAir[floor])</f>
        <v>Floor 1</v>
      </c>
      <c r="Y589" s="45" t="str">
        <f t="array" ref="Y589">_xlfn.XLOOKUP(records_2[ID], dAir[roomNo], dAir[Class])</f>
        <v>C</v>
      </c>
      <c r="Z589" s="45">
        <f t="array" ref="Z589">_xlfn.XLOOKUP(records_2[Method]&amp;"-"&amp;records_2[Class], dAirSpec[ID], dAirSpec[Spec])</f>
        <v>100</v>
      </c>
      <c r="AA589" s="45" t="str">
        <f t="array" ref="AA589">_xlfn.XLOOKUP(records_2[Method]&amp;"-"&amp;records_2[Class], dAirSpec[ID], dAirSpec[Unit])</f>
        <v>cfu/m3</v>
      </c>
      <c r="AB589" s="45">
        <f t="array" ref="AB589">if(R589="","", if(records_2[Method]="Active Air",_xlfn.xlookup(records_2[ColonyCount]&amp;records_2[AirSampler],feller[code],feller[Vc]),records_2[ColonyCount]))</f>
        <v>3</v>
      </c>
      <c r="AC589" s="60" t="b">
        <f t="shared" si="1"/>
        <v>1</v>
      </c>
      <c r="AD589" s="61" t="b">
        <v>0</v>
      </c>
      <c r="AE589" s="32" t="s">
        <v>280</v>
      </c>
      <c r="AF589" s="46"/>
      <c r="AG589" s="46"/>
      <c r="AH589" s="46"/>
      <c r="AI589" s="46"/>
      <c r="AJ589" s="46"/>
    </row>
    <row r="590" ht="22.5" customHeight="1">
      <c r="A590" s="27">
        <v>46119.0</v>
      </c>
      <c r="B590" s="34" t="str">
        <f t="array" ref="B590">TEXT(A590, "MM-YYYY")</f>
        <v>04-2026</v>
      </c>
      <c r="C590" s="39" t="s">
        <v>1502</v>
      </c>
      <c r="D590" s="36" t="s">
        <v>210</v>
      </c>
      <c r="E590" s="36" t="s">
        <v>531</v>
      </c>
      <c r="F590" s="29" t="b">
        <v>1</v>
      </c>
      <c r="G590" s="36" t="s">
        <v>214</v>
      </c>
      <c r="H590" s="36" t="s">
        <v>757</v>
      </c>
      <c r="I590" s="39">
        <v>3.1101125E8</v>
      </c>
      <c r="J590" s="40">
        <v>46240.0</v>
      </c>
      <c r="K590" s="37" t="s">
        <v>546</v>
      </c>
      <c r="L590" s="37" t="s">
        <v>1054</v>
      </c>
      <c r="M590" s="37" t="s">
        <v>194</v>
      </c>
      <c r="N590" s="37" t="s">
        <v>194</v>
      </c>
      <c r="O590" s="37" t="s">
        <v>2398</v>
      </c>
      <c r="P590" s="37" t="s">
        <v>2399</v>
      </c>
      <c r="Q590" s="41">
        <v>46160.0</v>
      </c>
      <c r="R590" s="42">
        <v>4.0</v>
      </c>
      <c r="S590" s="29" t="s">
        <v>1043</v>
      </c>
      <c r="T590" s="37" t="s">
        <v>2400</v>
      </c>
      <c r="U590" s="45" t="str">
        <f>IF(records_2[Type]="Room",records_2[roomNo],records_2[roomNo]&amp;"-"&amp;SUBSTITUTE(RIGHT(records_2[roomNo]&amp;records_2[Type],2),"-",""))</f>
        <v>16-1-112</v>
      </c>
      <c r="V590" s="47" t="str">
        <f t="array" ref="V590">_xlfn.XLOOKUP(records_2[ID], dAir[roomNo], dAir[roomName])</f>
        <v>PASSAGE</v>
      </c>
      <c r="W590" s="47" t="str">
        <f t="array" ref="W590">_xlfn.XLOOKUP(records_2[ID], dAir[roomNo], dAir[building])</f>
        <v>Building 16</v>
      </c>
      <c r="X590" s="47" t="str">
        <f t="array" ref="X590">_xlfn.XLOOKUP(records_2[ID], dAir[roomNo], dAir[floor])</f>
        <v>Floor 1</v>
      </c>
      <c r="Y590" s="45" t="str">
        <f t="array" ref="Y590">_xlfn.XLOOKUP(records_2[ID], dAir[roomNo], dAir[Class])</f>
        <v>C</v>
      </c>
      <c r="Z590" s="45">
        <f t="array" ref="Z590">_xlfn.XLOOKUP(records_2[Method]&amp;"-"&amp;records_2[Class], dAirSpec[ID], dAirSpec[Spec])</f>
        <v>100</v>
      </c>
      <c r="AA590" s="45" t="str">
        <f t="array" ref="AA590">_xlfn.XLOOKUP(records_2[Method]&amp;"-"&amp;records_2[Class], dAirSpec[ID], dAirSpec[Unit])</f>
        <v>cfu/m3</v>
      </c>
      <c r="AB590" s="45">
        <f t="array" ref="AB590">if(R590="","", if(records_2[Method]="Active Air",_xlfn.xlookup(records_2[ColonyCount]&amp;records_2[AirSampler],feller[code],feller[Vc]),records_2[ColonyCount]))</f>
        <v>4</v>
      </c>
      <c r="AC590" s="60" t="b">
        <f t="shared" si="1"/>
        <v>1</v>
      </c>
      <c r="AD590" s="61" t="b">
        <v>0</v>
      </c>
      <c r="AE590" s="32" t="s">
        <v>280</v>
      </c>
      <c r="AF590" s="46"/>
      <c r="AG590" s="46"/>
      <c r="AH590" s="46"/>
      <c r="AI590" s="46"/>
      <c r="AJ590" s="46"/>
    </row>
    <row r="591" ht="22.5" customHeight="1">
      <c r="A591" s="27">
        <v>46119.0</v>
      </c>
      <c r="B591" s="34" t="str">
        <f t="array" ref="B591">TEXT(A591, "MM-YYYY")</f>
        <v>04-2026</v>
      </c>
      <c r="C591" s="39" t="s">
        <v>1503</v>
      </c>
      <c r="D591" s="36" t="s">
        <v>210</v>
      </c>
      <c r="E591" s="36" t="s">
        <v>531</v>
      </c>
      <c r="F591" s="29" t="b">
        <v>1</v>
      </c>
      <c r="G591" s="36" t="s">
        <v>214</v>
      </c>
      <c r="H591" s="36" t="s">
        <v>534</v>
      </c>
      <c r="I591" s="39"/>
      <c r="J591" s="43"/>
      <c r="K591" s="37" t="s">
        <v>330</v>
      </c>
      <c r="L591" s="37" t="s">
        <v>2420</v>
      </c>
      <c r="M591" s="37" t="s">
        <v>194</v>
      </c>
      <c r="N591" s="37" t="s">
        <v>194</v>
      </c>
      <c r="O591" s="37" t="s">
        <v>2398</v>
      </c>
      <c r="P591" s="37" t="s">
        <v>2399</v>
      </c>
      <c r="Q591" s="41">
        <v>46160.0</v>
      </c>
      <c r="R591" s="42">
        <v>6.0</v>
      </c>
      <c r="S591" s="55"/>
      <c r="T591" s="37" t="s">
        <v>2400</v>
      </c>
      <c r="U591" s="45" t="str">
        <f>IF(records_2[Type]="Room",records_2[roomNo],records_2[roomNo]&amp;"-"&amp;SUBSTITUTE(RIGHT(records_2[roomNo]&amp;records_2[Type],2),"-",""))</f>
        <v>16-1-113</v>
      </c>
      <c r="V591" s="47" t="str">
        <f t="array" ref="V591">_xlfn.XLOOKUP(records_2[ID], dAir[roomNo], dAir[roomName])</f>
        <v>AIRLOCK</v>
      </c>
      <c r="W591" s="47" t="str">
        <f t="array" ref="W591">_xlfn.XLOOKUP(records_2[ID], dAir[roomNo], dAir[building])</f>
        <v>Building 16</v>
      </c>
      <c r="X591" s="47" t="str">
        <f t="array" ref="X591">_xlfn.XLOOKUP(records_2[ID], dAir[roomNo], dAir[floor])</f>
        <v>Floor 1</v>
      </c>
      <c r="Y591" s="45" t="str">
        <f t="array" ref="Y591">_xlfn.XLOOKUP(records_2[ID], dAir[roomNo], dAir[Class])</f>
        <v>C</v>
      </c>
      <c r="Z591" s="45">
        <f t="array" ref="Z591">_xlfn.XLOOKUP(records_2[Method]&amp;"-"&amp;records_2[Class], dAirSpec[ID], dAirSpec[Spec])</f>
        <v>100</v>
      </c>
      <c r="AA591" s="45" t="str">
        <f t="array" ref="AA591">_xlfn.XLOOKUP(records_2[Method]&amp;"-"&amp;records_2[Class], dAirSpec[ID], dAirSpec[Unit])</f>
        <v>cfu/m3</v>
      </c>
      <c r="AB591" s="45">
        <f t="array" ref="AB591">if(R591="","", if(records_2[Method]="Active Air",_xlfn.xlookup(records_2[ColonyCount]&amp;records_2[AirSampler],feller[code],feller[Vc]),records_2[ColonyCount]))</f>
        <v>6</v>
      </c>
      <c r="AC591" s="60" t="b">
        <f t="shared" si="1"/>
        <v>1</v>
      </c>
      <c r="AD591" s="61" t="b">
        <v>0</v>
      </c>
      <c r="AE591" s="32" t="s">
        <v>280</v>
      </c>
      <c r="AF591" s="46"/>
      <c r="AG591" s="46"/>
      <c r="AH591" s="46"/>
      <c r="AI591" s="46"/>
      <c r="AJ591" s="46"/>
    </row>
    <row r="592" ht="22.5" customHeight="1">
      <c r="A592" s="27">
        <v>46119.0</v>
      </c>
      <c r="B592" s="34" t="str">
        <f t="array" ref="B592">TEXT(A592, "MM-YYYY")</f>
        <v>04-2026</v>
      </c>
      <c r="C592" s="39" t="s">
        <v>776</v>
      </c>
      <c r="D592" s="36" t="s">
        <v>210</v>
      </c>
      <c r="E592" s="36" t="s">
        <v>531</v>
      </c>
      <c r="F592" s="29" t="b">
        <v>1</v>
      </c>
      <c r="G592" s="36" t="s">
        <v>214</v>
      </c>
      <c r="H592" s="36" t="s">
        <v>534</v>
      </c>
      <c r="I592" s="39"/>
      <c r="J592" s="43"/>
      <c r="K592" s="37" t="s">
        <v>2421</v>
      </c>
      <c r="L592" s="37" t="s">
        <v>2266</v>
      </c>
      <c r="M592" s="37" t="s">
        <v>194</v>
      </c>
      <c r="N592" s="37" t="s">
        <v>194</v>
      </c>
      <c r="O592" s="37" t="s">
        <v>2398</v>
      </c>
      <c r="P592" s="37" t="s">
        <v>2399</v>
      </c>
      <c r="Q592" s="41">
        <v>46160.0</v>
      </c>
      <c r="R592" s="42">
        <v>0.0</v>
      </c>
      <c r="S592" s="55"/>
      <c r="T592" s="37" t="s">
        <v>2400</v>
      </c>
      <c r="U592" s="45" t="str">
        <f>IF(records_2[Type]="Room",records_2[roomNo],records_2[roomNo]&amp;"-"&amp;SUBSTITUTE(RIGHT(records_2[roomNo]&amp;records_2[Type],2),"-",""))</f>
        <v>16-1-114</v>
      </c>
      <c r="V592" s="47" t="str">
        <f t="array" ref="V592">_xlfn.XLOOKUP(records_2[ID], dAir[roomNo], dAir[roomName])</f>
        <v>COMPOUNDING 2</v>
      </c>
      <c r="W592" s="47" t="str">
        <f t="array" ref="W592">_xlfn.XLOOKUP(records_2[ID], dAir[roomNo], dAir[building])</f>
        <v>Building 16</v>
      </c>
      <c r="X592" s="47" t="str">
        <f t="array" ref="X592">_xlfn.XLOOKUP(records_2[ID], dAir[roomNo], dAir[floor])</f>
        <v>Floor 1</v>
      </c>
      <c r="Y592" s="45" t="str">
        <f t="array" ref="Y592">_xlfn.XLOOKUP(records_2[ID], dAir[roomNo], dAir[Class])</f>
        <v>C</v>
      </c>
      <c r="Z592" s="45">
        <f t="array" ref="Z592">_xlfn.XLOOKUP(records_2[Method]&amp;"-"&amp;records_2[Class], dAirSpec[ID], dAirSpec[Spec])</f>
        <v>100</v>
      </c>
      <c r="AA592" s="45" t="str">
        <f t="array" ref="AA592">_xlfn.XLOOKUP(records_2[Method]&amp;"-"&amp;records_2[Class], dAirSpec[ID], dAirSpec[Unit])</f>
        <v>cfu/m3</v>
      </c>
      <c r="AB592" s="45">
        <f t="array" ref="AB592">if(R592="","", if(records_2[Method]="Active Air",_xlfn.xlookup(records_2[ColonyCount]&amp;records_2[AirSampler],feller[code],feller[Vc]),records_2[ColonyCount]))</f>
        <v>0</v>
      </c>
      <c r="AC592" s="60" t="b">
        <f t="shared" si="1"/>
        <v>1</v>
      </c>
      <c r="AD592" s="61" t="b">
        <v>0</v>
      </c>
      <c r="AE592" s="32" t="s">
        <v>280</v>
      </c>
      <c r="AF592" s="46"/>
      <c r="AG592" s="46"/>
      <c r="AH592" s="46"/>
      <c r="AI592" s="46"/>
      <c r="AJ592" s="46"/>
    </row>
    <row r="593" ht="22.5" customHeight="1">
      <c r="A593" s="27">
        <v>46119.0</v>
      </c>
      <c r="B593" s="34" t="str">
        <f t="array" ref="B593">TEXT(A593, "MM-YYYY")</f>
        <v>04-2026</v>
      </c>
      <c r="C593" s="39" t="s">
        <v>1504</v>
      </c>
      <c r="D593" s="36" t="s">
        <v>210</v>
      </c>
      <c r="E593" s="36" t="s">
        <v>531</v>
      </c>
      <c r="F593" s="29" t="b">
        <v>1</v>
      </c>
      <c r="G593" s="36" t="s">
        <v>214</v>
      </c>
      <c r="H593" s="36" t="s">
        <v>534</v>
      </c>
      <c r="I593" s="39"/>
      <c r="J593" s="43"/>
      <c r="K593" s="37" t="s">
        <v>546</v>
      </c>
      <c r="L593" s="37" t="s">
        <v>2264</v>
      </c>
      <c r="M593" s="37" t="s">
        <v>194</v>
      </c>
      <c r="N593" s="37" t="s">
        <v>194</v>
      </c>
      <c r="O593" s="37" t="s">
        <v>2398</v>
      </c>
      <c r="P593" s="37" t="s">
        <v>2399</v>
      </c>
      <c r="Q593" s="41">
        <v>46160.0</v>
      </c>
      <c r="R593" s="42">
        <v>11.0</v>
      </c>
      <c r="S593" s="55"/>
      <c r="T593" s="37" t="s">
        <v>2400</v>
      </c>
      <c r="U593" s="45" t="str">
        <f>IF(records_2[Type]="Room",records_2[roomNo],records_2[roomNo]&amp;"-"&amp;SUBSTITUTE(RIGHT(records_2[roomNo]&amp;records_2[Type],2),"-",""))</f>
        <v>16-1-124</v>
      </c>
      <c r="V593" s="47" t="str">
        <f t="array" ref="V593">_xlfn.XLOOKUP(records_2[ID], dAir[roomNo], dAir[roomName])</f>
        <v>CORRIDOR</v>
      </c>
      <c r="W593" s="47" t="str">
        <f t="array" ref="W593">_xlfn.XLOOKUP(records_2[ID], dAir[roomNo], dAir[building])</f>
        <v>Building 16</v>
      </c>
      <c r="X593" s="47" t="str">
        <f t="array" ref="X593">_xlfn.XLOOKUP(records_2[ID], dAir[roomNo], dAir[floor])</f>
        <v>Floor 1</v>
      </c>
      <c r="Y593" s="45" t="str">
        <f t="array" ref="Y593">_xlfn.XLOOKUP(records_2[ID], dAir[roomNo], dAir[Class])</f>
        <v>C</v>
      </c>
      <c r="Z593" s="45">
        <f t="array" ref="Z593">_xlfn.XLOOKUP(records_2[Method]&amp;"-"&amp;records_2[Class], dAirSpec[ID], dAirSpec[Spec])</f>
        <v>100</v>
      </c>
      <c r="AA593" s="45" t="str">
        <f t="array" ref="AA593">_xlfn.XLOOKUP(records_2[Method]&amp;"-"&amp;records_2[Class], dAirSpec[ID], dAirSpec[Unit])</f>
        <v>cfu/m3</v>
      </c>
      <c r="AB593" s="45">
        <f t="array" ref="AB593">if(R593="","", if(records_2[Method]="Active Air",_xlfn.xlookup(records_2[ColonyCount]&amp;records_2[AirSampler],feller[code],feller[Vc]),records_2[ColonyCount]))</f>
        <v>11</v>
      </c>
      <c r="AC593" s="60" t="b">
        <f t="shared" si="1"/>
        <v>1</v>
      </c>
      <c r="AD593" s="61" t="b">
        <v>0</v>
      </c>
      <c r="AE593" s="32" t="s">
        <v>280</v>
      </c>
      <c r="AF593" s="46"/>
      <c r="AG593" s="46"/>
      <c r="AH593" s="46"/>
      <c r="AI593" s="46"/>
      <c r="AJ593" s="46"/>
    </row>
    <row r="594" ht="22.5" customHeight="1">
      <c r="A594" s="27">
        <v>46119.0</v>
      </c>
      <c r="B594" s="34" t="str">
        <f t="array" ref="B594">TEXT(A594, "MM-YYYY")</f>
        <v>04-2026</v>
      </c>
      <c r="C594" s="39" t="s">
        <v>1505</v>
      </c>
      <c r="D594" s="36" t="s">
        <v>210</v>
      </c>
      <c r="E594" s="36" t="s">
        <v>531</v>
      </c>
      <c r="F594" s="29" t="b">
        <v>1</v>
      </c>
      <c r="G594" s="36" t="s">
        <v>214</v>
      </c>
      <c r="H594" s="36" t="s">
        <v>534</v>
      </c>
      <c r="I594" s="39"/>
      <c r="J594" s="43"/>
      <c r="K594" s="37" t="s">
        <v>339</v>
      </c>
      <c r="L594" s="37" t="s">
        <v>2302</v>
      </c>
      <c r="M594" s="37" t="s">
        <v>194</v>
      </c>
      <c r="N594" s="37" t="s">
        <v>194</v>
      </c>
      <c r="O594" s="37" t="s">
        <v>2398</v>
      </c>
      <c r="P594" s="37" t="s">
        <v>2399</v>
      </c>
      <c r="Q594" s="41">
        <v>46160.0</v>
      </c>
      <c r="R594" s="42">
        <v>2.0</v>
      </c>
      <c r="S594" s="55"/>
      <c r="T594" s="37" t="s">
        <v>2400</v>
      </c>
      <c r="U594" s="45" t="str">
        <f>IF(records_2[Type]="Room",records_2[roomNo],records_2[roomNo]&amp;"-"&amp;SUBSTITUTE(RIGHT(records_2[roomNo]&amp;records_2[Type],2),"-",""))</f>
        <v>16-1-125</v>
      </c>
      <c r="V594" s="47" t="str">
        <f t="array" ref="V594">_xlfn.XLOOKUP(records_2[ID], dAir[roomNo], dAir[roomName])</f>
        <v>CORRIDOR</v>
      </c>
      <c r="W594" s="47" t="str">
        <f t="array" ref="W594">_xlfn.XLOOKUP(records_2[ID], dAir[roomNo], dAir[building])</f>
        <v>Building 16</v>
      </c>
      <c r="X594" s="47" t="str">
        <f t="array" ref="X594">_xlfn.XLOOKUP(records_2[ID], dAir[roomNo], dAir[floor])</f>
        <v>Floor 1</v>
      </c>
      <c r="Y594" s="45" t="str">
        <f t="array" ref="Y594">_xlfn.XLOOKUP(records_2[ID], dAir[roomNo], dAir[Class])</f>
        <v>C</v>
      </c>
      <c r="Z594" s="45">
        <f t="array" ref="Z594">_xlfn.XLOOKUP(records_2[Method]&amp;"-"&amp;records_2[Class], dAirSpec[ID], dAirSpec[Spec])</f>
        <v>100</v>
      </c>
      <c r="AA594" s="45" t="str">
        <f t="array" ref="AA594">_xlfn.XLOOKUP(records_2[Method]&amp;"-"&amp;records_2[Class], dAirSpec[ID], dAirSpec[Unit])</f>
        <v>cfu/m3</v>
      </c>
      <c r="AB594" s="45">
        <f t="array" ref="AB594">if(R594="","", if(records_2[Method]="Active Air",_xlfn.xlookup(records_2[ColonyCount]&amp;records_2[AirSampler],feller[code],feller[Vc]),records_2[ColonyCount]))</f>
        <v>2</v>
      </c>
      <c r="AC594" s="60" t="b">
        <f t="shared" si="1"/>
        <v>1</v>
      </c>
      <c r="AD594" s="61" t="b">
        <v>0</v>
      </c>
      <c r="AE594" s="32" t="s">
        <v>280</v>
      </c>
      <c r="AF594" s="46"/>
      <c r="AG594" s="46"/>
      <c r="AH594" s="46"/>
      <c r="AI594" s="46"/>
      <c r="AJ594" s="46"/>
    </row>
    <row r="595" ht="22.5" customHeight="1">
      <c r="A595" s="27">
        <v>46129.0</v>
      </c>
      <c r="B595" s="34" t="str">
        <f t="array" ref="B595">TEXT(A595, "MM-YYYY")</f>
        <v>04-2026</v>
      </c>
      <c r="C595" s="39" t="s">
        <v>417</v>
      </c>
      <c r="D595" s="36" t="s">
        <v>210</v>
      </c>
      <c r="E595" s="36" t="s">
        <v>213</v>
      </c>
      <c r="F595" s="29" t="b">
        <v>1</v>
      </c>
      <c r="G595" s="36" t="s">
        <v>214</v>
      </c>
      <c r="H595" s="36" t="s">
        <v>215</v>
      </c>
      <c r="I595" s="39"/>
      <c r="J595" s="43"/>
      <c r="K595" s="37" t="s">
        <v>696</v>
      </c>
      <c r="L595" s="37" t="s">
        <v>354</v>
      </c>
      <c r="M595" s="37" t="s">
        <v>2422</v>
      </c>
      <c r="N595" s="37" t="s">
        <v>2423</v>
      </c>
      <c r="O595" s="37" t="s">
        <v>2398</v>
      </c>
      <c r="P595" s="37" t="s">
        <v>2399</v>
      </c>
      <c r="Q595" s="41">
        <v>46160.0</v>
      </c>
      <c r="R595" s="42">
        <v>19.0</v>
      </c>
      <c r="S595" s="55"/>
      <c r="T595" s="37" t="s">
        <v>2424</v>
      </c>
      <c r="U595" s="45" t="str">
        <f>IF(records_2[Type]="Room",records_2[roomNo],records_2[roomNo]&amp;"-"&amp;SUBSTITUTE(RIGHT(records_2[roomNo]&amp;records_2[Type],2),"-",""))</f>
        <v>10-1-043</v>
      </c>
      <c r="V595" s="47" t="str">
        <f t="array" ref="V595">_xlfn.XLOOKUP(records_2[ID], dAir[roomNo], dAir[roomName])</f>
        <v>PROCESS CHANGE-P</v>
      </c>
      <c r="W595" s="47" t="str">
        <f t="array" ref="W595">_xlfn.XLOOKUP(records_2[ID], dAir[roomNo], dAir[building])</f>
        <v>Building 10</v>
      </c>
      <c r="X595" s="47" t="str">
        <f t="array" ref="X595">_xlfn.XLOOKUP(records_2[ID], dAir[roomNo], dAir[floor])</f>
        <v>Floor 1</v>
      </c>
      <c r="Y595" s="45" t="str">
        <f t="array" ref="Y595">_xlfn.XLOOKUP(records_2[ID], dAir[roomNo], dAir[Class])</f>
        <v>D</v>
      </c>
      <c r="Z595" s="45">
        <f t="array" ref="Z595">_xlfn.XLOOKUP(records_2[Method]&amp;"-"&amp;records_2[Class], dAirSpec[ID], dAirSpec[Spec])</f>
        <v>100</v>
      </c>
      <c r="AA595" s="45" t="str">
        <f t="array" ref="AA595">_xlfn.XLOOKUP(records_2[Method]&amp;"-"&amp;records_2[Class], dAirSpec[ID], dAirSpec[Unit])</f>
        <v>cfu/plate</v>
      </c>
      <c r="AB595" s="58">
        <f t="array" ref="AB595">if(R595="","", if(records_2[Method]="Active Air",_xlfn.xlookup(records_2[ColonyCount]&amp;records_2[AirSampler],feller[code],feller[Vc]),records_2[ColonyCount]))</f>
        <v>19</v>
      </c>
      <c r="AC595" s="60" t="b">
        <f t="shared" si="1"/>
        <v>1</v>
      </c>
      <c r="AD595" s="61" t="b">
        <v>0</v>
      </c>
      <c r="AE595" s="32" t="s">
        <v>280</v>
      </c>
      <c r="AF595" s="46"/>
      <c r="AG595" s="46"/>
      <c r="AH595" s="46"/>
      <c r="AI595" s="46"/>
      <c r="AJ595" s="46"/>
    </row>
    <row r="596" ht="22.5" customHeight="1">
      <c r="A596" s="27">
        <v>46129.0</v>
      </c>
      <c r="B596" s="34" t="str">
        <f t="array" ref="B596">TEXT(A596, "MM-YYYY")</f>
        <v>04-2026</v>
      </c>
      <c r="C596" s="39" t="s">
        <v>427</v>
      </c>
      <c r="D596" s="36" t="s">
        <v>210</v>
      </c>
      <c r="E596" s="36" t="s">
        <v>213</v>
      </c>
      <c r="F596" s="29" t="b">
        <v>1</v>
      </c>
      <c r="G596" s="36" t="s">
        <v>214</v>
      </c>
      <c r="H596" s="36" t="s">
        <v>215</v>
      </c>
      <c r="I596" s="39"/>
      <c r="J596" s="43"/>
      <c r="K596" s="37" t="s">
        <v>344</v>
      </c>
      <c r="L596" s="37" t="s">
        <v>575</v>
      </c>
      <c r="M596" s="37" t="s">
        <v>2425</v>
      </c>
      <c r="N596" s="37" t="s">
        <v>2426</v>
      </c>
      <c r="O596" s="37" t="s">
        <v>2398</v>
      </c>
      <c r="P596" s="37" t="s">
        <v>2399</v>
      </c>
      <c r="Q596" s="41">
        <v>46160.0</v>
      </c>
      <c r="R596" s="42">
        <v>0.0</v>
      </c>
      <c r="S596" s="55"/>
      <c r="T596" s="37" t="s">
        <v>2424</v>
      </c>
      <c r="U596" s="45" t="str">
        <f>IF(records_2[Type]="Room",records_2[roomNo],records_2[roomNo]&amp;"-"&amp;SUBSTITUTE(RIGHT(records_2[roomNo]&amp;records_2[Type],2),"-",""))</f>
        <v>10-1-044</v>
      </c>
      <c r="V596" s="47" t="str">
        <f t="array" ref="V596">_xlfn.XLOOKUP(records_2[ID], dAir[roomNo], dAir[roomName])</f>
        <v>LINEN WASHING-P</v>
      </c>
      <c r="W596" s="47" t="str">
        <f t="array" ref="W596">_xlfn.XLOOKUP(records_2[ID], dAir[roomNo], dAir[building])</f>
        <v>Building 10</v>
      </c>
      <c r="X596" s="47" t="str">
        <f t="array" ref="X596">_xlfn.XLOOKUP(records_2[ID], dAir[roomNo], dAir[floor])</f>
        <v>Floor 1</v>
      </c>
      <c r="Y596" s="45" t="str">
        <f t="array" ref="Y596">_xlfn.XLOOKUP(records_2[ID], dAir[roomNo], dAir[Class])</f>
        <v>D</v>
      </c>
      <c r="Z596" s="45">
        <f t="array" ref="Z596">_xlfn.XLOOKUP(records_2[Method]&amp;"-"&amp;records_2[Class], dAirSpec[ID], dAirSpec[Spec])</f>
        <v>100</v>
      </c>
      <c r="AA596" s="45" t="str">
        <f t="array" ref="AA596">_xlfn.XLOOKUP(records_2[Method]&amp;"-"&amp;records_2[Class], dAirSpec[ID], dAirSpec[Unit])</f>
        <v>cfu/plate</v>
      </c>
      <c r="AB596" s="58">
        <f t="array" ref="AB596">if(R596="","", if(records_2[Method]="Active Air",_xlfn.xlookup(records_2[ColonyCount]&amp;records_2[AirSampler],feller[code],feller[Vc]),records_2[ColonyCount]))</f>
        <v>0</v>
      </c>
      <c r="AC596" s="60" t="b">
        <f t="shared" si="1"/>
        <v>1</v>
      </c>
      <c r="AD596" s="61" t="b">
        <v>0</v>
      </c>
      <c r="AE596" s="32" t="s">
        <v>280</v>
      </c>
      <c r="AF596" s="46"/>
      <c r="AG596" s="46"/>
      <c r="AH596" s="46"/>
      <c r="AI596" s="46"/>
      <c r="AJ596" s="46"/>
    </row>
    <row r="597" ht="22.5" customHeight="1">
      <c r="A597" s="27">
        <v>46129.0</v>
      </c>
      <c r="B597" s="34" t="str">
        <f t="array" ref="B597">TEXT(A597, "MM-YYYY")</f>
        <v>04-2026</v>
      </c>
      <c r="C597" s="39" t="s">
        <v>438</v>
      </c>
      <c r="D597" s="36" t="s">
        <v>210</v>
      </c>
      <c r="E597" s="36" t="s">
        <v>213</v>
      </c>
      <c r="F597" s="29" t="b">
        <v>1</v>
      </c>
      <c r="G597" s="36" t="s">
        <v>214</v>
      </c>
      <c r="H597" s="36" t="s">
        <v>215</v>
      </c>
      <c r="I597" s="39"/>
      <c r="J597" s="43"/>
      <c r="K597" s="37" t="s">
        <v>366</v>
      </c>
      <c r="L597" s="37" t="s">
        <v>2427</v>
      </c>
      <c r="M597" s="37" t="s">
        <v>2425</v>
      </c>
      <c r="N597" s="37" t="s">
        <v>2428</v>
      </c>
      <c r="O597" s="37" t="s">
        <v>2398</v>
      </c>
      <c r="P597" s="37" t="s">
        <v>2399</v>
      </c>
      <c r="Q597" s="41">
        <v>46160.0</v>
      </c>
      <c r="R597" s="42">
        <v>1.0</v>
      </c>
      <c r="S597" s="55"/>
      <c r="T597" s="37" t="s">
        <v>2424</v>
      </c>
      <c r="U597" s="45" t="str">
        <f>IF(records_2[Type]="Room",records_2[roomNo],records_2[roomNo]&amp;"-"&amp;SUBSTITUTE(RIGHT(records_2[roomNo]&amp;records_2[Type],2),"-",""))</f>
        <v>10-1-045</v>
      </c>
      <c r="V597" s="47" t="str">
        <f t="array" ref="V597">_xlfn.XLOOKUP(records_2[ID], dAir[roomNo], dAir[roomName])</f>
        <v>LINEN DRY-P</v>
      </c>
      <c r="W597" s="47" t="str">
        <f t="array" ref="W597">_xlfn.XLOOKUP(records_2[ID], dAir[roomNo], dAir[building])</f>
        <v>Building 10</v>
      </c>
      <c r="X597" s="47" t="str">
        <f t="array" ref="X597">_xlfn.XLOOKUP(records_2[ID], dAir[roomNo], dAir[floor])</f>
        <v>Floor 1</v>
      </c>
      <c r="Y597" s="45" t="str">
        <f t="array" ref="Y597">_xlfn.XLOOKUP(records_2[ID], dAir[roomNo], dAir[Class])</f>
        <v>D</v>
      </c>
      <c r="Z597" s="45">
        <f t="array" ref="Z597">_xlfn.XLOOKUP(records_2[Method]&amp;"-"&amp;records_2[Class], dAirSpec[ID], dAirSpec[Spec])</f>
        <v>100</v>
      </c>
      <c r="AA597" s="45" t="str">
        <f t="array" ref="AA597">_xlfn.XLOOKUP(records_2[Method]&amp;"-"&amp;records_2[Class], dAirSpec[ID], dAirSpec[Unit])</f>
        <v>cfu/plate</v>
      </c>
      <c r="AB597" s="58">
        <f t="array" ref="AB597">if(R597="","", if(records_2[Method]="Active Air",_xlfn.xlookup(records_2[ColonyCount]&amp;records_2[AirSampler],feller[code],feller[Vc]),records_2[ColonyCount]))</f>
        <v>1</v>
      </c>
      <c r="AC597" s="60" t="b">
        <f t="shared" si="1"/>
        <v>1</v>
      </c>
      <c r="AD597" s="61" t="b">
        <v>0</v>
      </c>
      <c r="AE597" s="32" t="s">
        <v>280</v>
      </c>
      <c r="AF597" s="46"/>
      <c r="AG597" s="46"/>
      <c r="AH597" s="46"/>
      <c r="AI597" s="46"/>
      <c r="AJ597" s="46"/>
    </row>
    <row r="598" ht="22.5" customHeight="1">
      <c r="A598" s="27">
        <v>46129.0</v>
      </c>
      <c r="B598" s="34" t="str">
        <f t="array" ref="B598">TEXT(A598, "MM-YYYY")</f>
        <v>04-2026</v>
      </c>
      <c r="C598" s="39" t="s">
        <v>448</v>
      </c>
      <c r="D598" s="36" t="s">
        <v>210</v>
      </c>
      <c r="E598" s="36" t="s">
        <v>213</v>
      </c>
      <c r="F598" s="29" t="b">
        <v>1</v>
      </c>
      <c r="G598" s="36" t="s">
        <v>214</v>
      </c>
      <c r="H598" s="36" t="s">
        <v>215</v>
      </c>
      <c r="I598" s="39"/>
      <c r="J598" s="43"/>
      <c r="K598" s="37" t="s">
        <v>469</v>
      </c>
      <c r="L598" s="37" t="s">
        <v>2429</v>
      </c>
      <c r="M598" s="37" t="s">
        <v>2430</v>
      </c>
      <c r="N598" s="37" t="s">
        <v>2431</v>
      </c>
      <c r="O598" s="37" t="s">
        <v>2398</v>
      </c>
      <c r="P598" s="37" t="s">
        <v>2399</v>
      </c>
      <c r="Q598" s="41">
        <v>46160.0</v>
      </c>
      <c r="R598" s="42">
        <v>4.0</v>
      </c>
      <c r="S598" s="55"/>
      <c r="T598" s="37" t="s">
        <v>2424</v>
      </c>
      <c r="U598" s="45" t="str">
        <f>IF(records_2[Type]="Room",records_2[roomNo],records_2[roomNo]&amp;"-"&amp;SUBSTITUTE(RIGHT(records_2[roomNo]&amp;records_2[Type],2),"-",""))</f>
        <v>10-1-046</v>
      </c>
      <c r="V598" s="47" t="str">
        <f t="array" ref="V598">_xlfn.XLOOKUP(records_2[ID], dAir[roomNo], dAir[roomName])</f>
        <v>CORRIDOR-P</v>
      </c>
      <c r="W598" s="47" t="str">
        <f t="array" ref="W598">_xlfn.XLOOKUP(records_2[ID], dAir[roomNo], dAir[building])</f>
        <v>Building 10</v>
      </c>
      <c r="X598" s="47" t="str">
        <f t="array" ref="X598">_xlfn.XLOOKUP(records_2[ID], dAir[roomNo], dAir[floor])</f>
        <v>Floor 1</v>
      </c>
      <c r="Y598" s="45" t="str">
        <f t="array" ref="Y598">_xlfn.XLOOKUP(records_2[ID], dAir[roomNo], dAir[Class])</f>
        <v>D</v>
      </c>
      <c r="Z598" s="45">
        <f t="array" ref="Z598">_xlfn.XLOOKUP(records_2[Method]&amp;"-"&amp;records_2[Class], dAirSpec[ID], dAirSpec[Spec])</f>
        <v>100</v>
      </c>
      <c r="AA598" s="45" t="str">
        <f t="array" ref="AA598">_xlfn.XLOOKUP(records_2[Method]&amp;"-"&amp;records_2[Class], dAirSpec[ID], dAirSpec[Unit])</f>
        <v>cfu/plate</v>
      </c>
      <c r="AB598" s="58">
        <f t="array" ref="AB598">if(R598="","", if(records_2[Method]="Active Air",_xlfn.xlookup(records_2[ColonyCount]&amp;records_2[AirSampler],feller[code],feller[Vc]),records_2[ColonyCount]))</f>
        <v>4</v>
      </c>
      <c r="AC598" s="60" t="b">
        <f t="shared" si="1"/>
        <v>1</v>
      </c>
      <c r="AD598" s="61" t="b">
        <v>0</v>
      </c>
      <c r="AE598" s="32" t="s">
        <v>280</v>
      </c>
      <c r="AF598" s="46"/>
      <c r="AG598" s="46"/>
      <c r="AH598" s="46"/>
      <c r="AI598" s="46"/>
      <c r="AJ598" s="46"/>
    </row>
    <row r="599" ht="22.5" customHeight="1">
      <c r="A599" s="27">
        <v>46129.0</v>
      </c>
      <c r="B599" s="34" t="str">
        <f t="array" ref="B599">TEXT(A599, "MM-YYYY")</f>
        <v>04-2026</v>
      </c>
      <c r="C599" s="39" t="s">
        <v>454</v>
      </c>
      <c r="D599" s="36" t="s">
        <v>210</v>
      </c>
      <c r="E599" s="36" t="s">
        <v>213</v>
      </c>
      <c r="F599" s="29" t="b">
        <v>1</v>
      </c>
      <c r="G599" s="36" t="s">
        <v>214</v>
      </c>
      <c r="H599" s="36" t="s">
        <v>215</v>
      </c>
      <c r="I599" s="39"/>
      <c r="J599" s="43"/>
      <c r="K599" s="37" t="s">
        <v>292</v>
      </c>
      <c r="L599" s="37" t="s">
        <v>2432</v>
      </c>
      <c r="M599" s="37" t="s">
        <v>2425</v>
      </c>
      <c r="N599" s="37" t="s">
        <v>2426</v>
      </c>
      <c r="O599" s="37" t="s">
        <v>2398</v>
      </c>
      <c r="P599" s="37" t="s">
        <v>2399</v>
      </c>
      <c r="Q599" s="41">
        <v>46160.0</v>
      </c>
      <c r="R599" s="42">
        <v>28.0</v>
      </c>
      <c r="S599" s="55"/>
      <c r="T599" s="37" t="s">
        <v>2424</v>
      </c>
      <c r="U599" s="45" t="str">
        <f>IF(records_2[Type]="Room",records_2[roomNo],records_2[roomNo]&amp;"-"&amp;SUBSTITUTE(RIGHT(records_2[roomNo]&amp;records_2[Type],2),"-",""))</f>
        <v>10-1-047</v>
      </c>
      <c r="V599" s="47" t="str">
        <f t="array" ref="V599">_xlfn.XLOOKUP(records_2[ID], dAir[roomNo], dAir[roomName])</f>
        <v>PROCESS CHANGE EXIT-P</v>
      </c>
      <c r="W599" s="47" t="str">
        <f t="array" ref="W599">_xlfn.XLOOKUP(records_2[ID], dAir[roomNo], dAir[building])</f>
        <v>Building 10</v>
      </c>
      <c r="X599" s="47" t="str">
        <f t="array" ref="X599">_xlfn.XLOOKUP(records_2[ID], dAir[roomNo], dAir[floor])</f>
        <v>Floor 1</v>
      </c>
      <c r="Y599" s="45" t="str">
        <f t="array" ref="Y599">_xlfn.XLOOKUP(records_2[ID], dAir[roomNo], dAir[Class])</f>
        <v>D</v>
      </c>
      <c r="Z599" s="45">
        <f t="array" ref="Z599">_xlfn.XLOOKUP(records_2[Method]&amp;"-"&amp;records_2[Class], dAirSpec[ID], dAirSpec[Spec])</f>
        <v>100</v>
      </c>
      <c r="AA599" s="45" t="str">
        <f t="array" ref="AA599">_xlfn.XLOOKUP(records_2[Method]&amp;"-"&amp;records_2[Class], dAirSpec[ID], dAirSpec[Unit])</f>
        <v>cfu/plate</v>
      </c>
      <c r="AB599" s="58">
        <f t="array" ref="AB599">if(R599="","", if(records_2[Method]="Active Air",_xlfn.xlookup(records_2[ColonyCount]&amp;records_2[AirSampler],feller[code],feller[Vc]),records_2[ColonyCount]))</f>
        <v>28</v>
      </c>
      <c r="AC599" s="60" t="b">
        <f t="shared" si="1"/>
        <v>1</v>
      </c>
      <c r="AD599" s="61" t="b">
        <v>0</v>
      </c>
      <c r="AE599" s="32" t="s">
        <v>280</v>
      </c>
      <c r="AF599" s="46"/>
      <c r="AG599" s="46"/>
      <c r="AH599" s="46"/>
      <c r="AI599" s="46"/>
      <c r="AJ599" s="46"/>
    </row>
    <row r="600" ht="22.5" customHeight="1">
      <c r="A600" s="27">
        <v>46129.0</v>
      </c>
      <c r="B600" s="34" t="str">
        <f t="array" ref="B600">TEXT(A600, "MM-YYYY")</f>
        <v>04-2026</v>
      </c>
      <c r="C600" s="39" t="s">
        <v>461</v>
      </c>
      <c r="D600" s="36" t="s">
        <v>210</v>
      </c>
      <c r="E600" s="36" t="s">
        <v>213</v>
      </c>
      <c r="F600" s="29" t="b">
        <v>1</v>
      </c>
      <c r="G600" s="36" t="s">
        <v>214</v>
      </c>
      <c r="H600" s="36" t="s">
        <v>215</v>
      </c>
      <c r="I600" s="39"/>
      <c r="J600" s="43"/>
      <c r="K600" s="37" t="s">
        <v>428</v>
      </c>
      <c r="L600" s="37" t="s">
        <v>1357</v>
      </c>
      <c r="M600" s="37" t="s">
        <v>2397</v>
      </c>
      <c r="N600" s="37" t="s">
        <v>2433</v>
      </c>
      <c r="O600" s="37" t="s">
        <v>2398</v>
      </c>
      <c r="P600" s="37" t="s">
        <v>2399</v>
      </c>
      <c r="Q600" s="41">
        <v>46160.0</v>
      </c>
      <c r="R600" s="42">
        <v>0.0</v>
      </c>
      <c r="S600" s="55"/>
      <c r="T600" s="37" t="s">
        <v>2424</v>
      </c>
      <c r="U600" s="45" t="str">
        <f>IF(records_2[Type]="Room",records_2[roomNo],records_2[roomNo]&amp;"-"&amp;SUBSTITUTE(RIGHT(records_2[roomNo]&amp;records_2[Type],2),"-",""))</f>
        <v>10-1-049</v>
      </c>
      <c r="V600" s="47" t="str">
        <f t="array" ref="V600">_xlfn.XLOOKUP(records_2[ID], dAir[roomNo], dAir[roomName])</f>
        <v>AIR LOCK-P</v>
      </c>
      <c r="W600" s="47" t="str">
        <f t="array" ref="W600">_xlfn.XLOOKUP(records_2[ID], dAir[roomNo], dAir[building])</f>
        <v>Building 10</v>
      </c>
      <c r="X600" s="47" t="str">
        <f t="array" ref="X600">_xlfn.XLOOKUP(records_2[ID], dAir[roomNo], dAir[floor])</f>
        <v>Floor 1</v>
      </c>
      <c r="Y600" s="45" t="str">
        <f t="array" ref="Y600">_xlfn.XLOOKUP(records_2[ID], dAir[roomNo], dAir[Class])</f>
        <v>D</v>
      </c>
      <c r="Z600" s="45">
        <f t="array" ref="Z600">_xlfn.XLOOKUP(records_2[Method]&amp;"-"&amp;records_2[Class], dAirSpec[ID], dAirSpec[Spec])</f>
        <v>100</v>
      </c>
      <c r="AA600" s="45" t="str">
        <f t="array" ref="AA600">_xlfn.XLOOKUP(records_2[Method]&amp;"-"&amp;records_2[Class], dAirSpec[ID], dAirSpec[Unit])</f>
        <v>cfu/plate</v>
      </c>
      <c r="AB600" s="58">
        <f t="array" ref="AB600">if(R600="","", if(records_2[Method]="Active Air",_xlfn.xlookup(records_2[ColonyCount]&amp;records_2[AirSampler],feller[code],feller[Vc]),records_2[ColonyCount]))</f>
        <v>0</v>
      </c>
      <c r="AC600" s="60" t="b">
        <f t="shared" si="1"/>
        <v>1</v>
      </c>
      <c r="AD600" s="61" t="b">
        <v>0</v>
      </c>
      <c r="AE600" s="32" t="s">
        <v>280</v>
      </c>
      <c r="AF600" s="46"/>
      <c r="AG600" s="46"/>
      <c r="AH600" s="46"/>
      <c r="AI600" s="46"/>
      <c r="AJ600" s="46"/>
    </row>
    <row r="601" ht="22.5" customHeight="1">
      <c r="A601" s="27">
        <v>46129.0</v>
      </c>
      <c r="B601" s="34" t="str">
        <f t="array" ref="B601">TEXT(A601, "MM-YYYY")</f>
        <v>04-2026</v>
      </c>
      <c r="C601" s="39" t="s">
        <v>468</v>
      </c>
      <c r="D601" s="36" t="s">
        <v>210</v>
      </c>
      <c r="E601" s="36" t="s">
        <v>213</v>
      </c>
      <c r="F601" s="29" t="b">
        <v>1</v>
      </c>
      <c r="G601" s="36" t="s">
        <v>214</v>
      </c>
      <c r="H601" s="36" t="s">
        <v>215</v>
      </c>
      <c r="I601" s="39"/>
      <c r="J601" s="43"/>
      <c r="K601" s="37" t="s">
        <v>292</v>
      </c>
      <c r="L601" s="37" t="s">
        <v>773</v>
      </c>
      <c r="M601" s="37" t="s">
        <v>2430</v>
      </c>
      <c r="N601" s="37" t="s">
        <v>2434</v>
      </c>
      <c r="O601" s="37" t="s">
        <v>2398</v>
      </c>
      <c r="P601" s="37" t="s">
        <v>2399</v>
      </c>
      <c r="Q601" s="41">
        <v>46160.0</v>
      </c>
      <c r="R601" s="42">
        <v>0.0</v>
      </c>
      <c r="S601" s="55"/>
      <c r="T601" s="37" t="s">
        <v>2424</v>
      </c>
      <c r="U601" s="45" t="str">
        <f>IF(records_2[Type]="Room",records_2[roomNo],records_2[roomNo]&amp;"-"&amp;SUBSTITUTE(RIGHT(records_2[roomNo]&amp;records_2[Type],2),"-",""))</f>
        <v>10-1-050</v>
      </c>
      <c r="V601" s="47" t="str">
        <f t="array" ref="V601">_xlfn.XLOOKUP(records_2[ID], dAir[roomNo], dAir[roomName])</f>
        <v>SCRAP OUT-P</v>
      </c>
      <c r="W601" s="47" t="str">
        <f t="array" ref="W601">_xlfn.XLOOKUP(records_2[ID], dAir[roomNo], dAir[building])</f>
        <v>Building 10</v>
      </c>
      <c r="X601" s="47" t="str">
        <f t="array" ref="X601">_xlfn.XLOOKUP(records_2[ID], dAir[roomNo], dAir[floor])</f>
        <v>Floor 1</v>
      </c>
      <c r="Y601" s="45" t="str">
        <f t="array" ref="Y601">_xlfn.XLOOKUP(records_2[ID], dAir[roomNo], dAir[Class])</f>
        <v>D</v>
      </c>
      <c r="Z601" s="45">
        <f t="array" ref="Z601">_xlfn.XLOOKUP(records_2[Method]&amp;"-"&amp;records_2[Class], dAirSpec[ID], dAirSpec[Spec])</f>
        <v>100</v>
      </c>
      <c r="AA601" s="45" t="str">
        <f t="array" ref="AA601">_xlfn.XLOOKUP(records_2[Method]&amp;"-"&amp;records_2[Class], dAirSpec[ID], dAirSpec[Unit])</f>
        <v>cfu/plate</v>
      </c>
      <c r="AB601" s="58">
        <f t="array" ref="AB601">if(R601="","", if(records_2[Method]="Active Air",_xlfn.xlookup(records_2[ColonyCount]&amp;records_2[AirSampler],feller[code],feller[Vc]),records_2[ColonyCount]))</f>
        <v>0</v>
      </c>
      <c r="AC601" s="60" t="b">
        <f t="shared" si="1"/>
        <v>1</v>
      </c>
      <c r="AD601" s="61" t="b">
        <v>0</v>
      </c>
      <c r="AE601" s="32" t="s">
        <v>280</v>
      </c>
      <c r="AF601" s="46"/>
      <c r="AG601" s="46"/>
      <c r="AH601" s="46"/>
      <c r="AI601" s="46"/>
      <c r="AJ601" s="46"/>
    </row>
    <row r="602" ht="22.5" customHeight="1">
      <c r="A602" s="27">
        <v>46129.0</v>
      </c>
      <c r="B602" s="34" t="str">
        <f t="array" ref="B602">TEXT(A602, "MM-YYYY")</f>
        <v>04-2026</v>
      </c>
      <c r="C602" s="39" t="s">
        <v>476</v>
      </c>
      <c r="D602" s="36" t="s">
        <v>210</v>
      </c>
      <c r="E602" s="36" t="s">
        <v>213</v>
      </c>
      <c r="F602" s="29" t="b">
        <v>1</v>
      </c>
      <c r="G602" s="36" t="s">
        <v>214</v>
      </c>
      <c r="H602" s="36" t="s">
        <v>215</v>
      </c>
      <c r="I602" s="39"/>
      <c r="J602" s="43"/>
      <c r="K602" s="37" t="s">
        <v>292</v>
      </c>
      <c r="L602" s="37" t="s">
        <v>2435</v>
      </c>
      <c r="M602" s="37" t="s">
        <v>2320</v>
      </c>
      <c r="N602" s="37" t="s">
        <v>2436</v>
      </c>
      <c r="O602" s="37" t="s">
        <v>2398</v>
      </c>
      <c r="P602" s="37" t="s">
        <v>2399</v>
      </c>
      <c r="Q602" s="41">
        <v>46160.0</v>
      </c>
      <c r="R602" s="42">
        <v>1.0</v>
      </c>
      <c r="S602" s="55"/>
      <c r="T602" s="37" t="s">
        <v>2424</v>
      </c>
      <c r="U602" s="45" t="str">
        <f>IF(records_2[Type]="Room",records_2[roomNo],records_2[roomNo]&amp;"-"&amp;SUBSTITUTE(RIGHT(records_2[roomNo]&amp;records_2[Type],2),"-",""))</f>
        <v>10-1-051</v>
      </c>
      <c r="V602" s="47" t="str">
        <f t="array" ref="V602">_xlfn.XLOOKUP(records_2[ID], dAir[roomNo], dAir[roomName])</f>
        <v>MAL-P</v>
      </c>
      <c r="W602" s="47" t="str">
        <f t="array" ref="W602">_xlfn.XLOOKUP(records_2[ID], dAir[roomNo], dAir[building])</f>
        <v>Building 10</v>
      </c>
      <c r="X602" s="47" t="str">
        <f t="array" ref="X602">_xlfn.XLOOKUP(records_2[ID], dAir[roomNo], dAir[floor])</f>
        <v>Floor 1</v>
      </c>
      <c r="Y602" s="45" t="str">
        <f t="array" ref="Y602">_xlfn.XLOOKUP(records_2[ID], dAir[roomNo], dAir[Class])</f>
        <v>D</v>
      </c>
      <c r="Z602" s="45">
        <f t="array" ref="Z602">_xlfn.XLOOKUP(records_2[Method]&amp;"-"&amp;records_2[Class], dAirSpec[ID], dAirSpec[Spec])</f>
        <v>100</v>
      </c>
      <c r="AA602" s="45" t="str">
        <f t="array" ref="AA602">_xlfn.XLOOKUP(records_2[Method]&amp;"-"&amp;records_2[Class], dAirSpec[ID], dAirSpec[Unit])</f>
        <v>cfu/plate</v>
      </c>
      <c r="AB602" s="58">
        <f t="array" ref="AB602">if(R602="","", if(records_2[Method]="Active Air",_xlfn.xlookup(records_2[ColonyCount]&amp;records_2[AirSampler],feller[code],feller[Vc]),records_2[ColonyCount]))</f>
        <v>1</v>
      </c>
      <c r="AC602" s="60" t="b">
        <f t="shared" si="1"/>
        <v>1</v>
      </c>
      <c r="AD602" s="61" t="b">
        <v>0</v>
      </c>
      <c r="AE602" s="32" t="s">
        <v>280</v>
      </c>
      <c r="AF602" s="46"/>
      <c r="AG602" s="46"/>
      <c r="AH602" s="46"/>
      <c r="AI602" s="46"/>
      <c r="AJ602" s="46"/>
    </row>
    <row r="603" ht="22.5" customHeight="1">
      <c r="A603" s="27">
        <v>46129.0</v>
      </c>
      <c r="B603" s="34" t="str">
        <f t="array" ref="B603">TEXT(A603, "MM-YYYY")</f>
        <v>04-2026</v>
      </c>
      <c r="C603" s="39" t="s">
        <v>482</v>
      </c>
      <c r="D603" s="36" t="s">
        <v>210</v>
      </c>
      <c r="E603" s="36" t="s">
        <v>213</v>
      </c>
      <c r="F603" s="29" t="b">
        <v>1</v>
      </c>
      <c r="G603" s="36" t="s">
        <v>214</v>
      </c>
      <c r="H603" s="36" t="s">
        <v>215</v>
      </c>
      <c r="I603" s="39"/>
      <c r="J603" s="43"/>
      <c r="K603" s="37" t="s">
        <v>402</v>
      </c>
      <c r="L603" s="37" t="s">
        <v>315</v>
      </c>
      <c r="M603" s="37" t="s">
        <v>2397</v>
      </c>
      <c r="N603" s="37" t="s">
        <v>2433</v>
      </c>
      <c r="O603" s="37" t="s">
        <v>2398</v>
      </c>
      <c r="P603" s="37" t="s">
        <v>2399</v>
      </c>
      <c r="Q603" s="41">
        <v>46160.0</v>
      </c>
      <c r="R603" s="42">
        <v>4.0</v>
      </c>
      <c r="S603" s="55"/>
      <c r="T603" s="37" t="s">
        <v>2424</v>
      </c>
      <c r="U603" s="45" t="str">
        <f>IF(records_2[Type]="Room",records_2[roomNo],records_2[roomNo]&amp;"-"&amp;SUBSTITUTE(RIGHT(records_2[roomNo]&amp;records_2[Type],2),"-",""))</f>
        <v>10-1-052</v>
      </c>
      <c r="V603" s="47" t="str">
        <f t="array" ref="V603">_xlfn.XLOOKUP(records_2[ID], dAir[roomNo], dAir[roomName])</f>
        <v>CORRIDOR-P</v>
      </c>
      <c r="W603" s="47" t="str">
        <f t="array" ref="W603">_xlfn.XLOOKUP(records_2[ID], dAir[roomNo], dAir[building])</f>
        <v>Building 10</v>
      </c>
      <c r="X603" s="47" t="str">
        <f t="array" ref="X603">_xlfn.XLOOKUP(records_2[ID], dAir[roomNo], dAir[floor])</f>
        <v>Floor 1</v>
      </c>
      <c r="Y603" s="45" t="str">
        <f t="array" ref="Y603">_xlfn.XLOOKUP(records_2[ID], dAir[roomNo], dAir[Class])</f>
        <v>D</v>
      </c>
      <c r="Z603" s="45">
        <f t="array" ref="Z603">_xlfn.XLOOKUP(records_2[Method]&amp;"-"&amp;records_2[Class], dAirSpec[ID], dAirSpec[Spec])</f>
        <v>100</v>
      </c>
      <c r="AA603" s="45" t="str">
        <f t="array" ref="AA603">_xlfn.XLOOKUP(records_2[Method]&amp;"-"&amp;records_2[Class], dAirSpec[ID], dAirSpec[Unit])</f>
        <v>cfu/plate</v>
      </c>
      <c r="AB603" s="58">
        <f t="array" ref="AB603">if(R603="","", if(records_2[Method]="Active Air",_xlfn.xlookup(records_2[ColonyCount]&amp;records_2[AirSampler],feller[code],feller[Vc]),records_2[ColonyCount]))</f>
        <v>4</v>
      </c>
      <c r="AC603" s="60" t="b">
        <f t="shared" si="1"/>
        <v>1</v>
      </c>
      <c r="AD603" s="61" t="b">
        <v>0</v>
      </c>
      <c r="AE603" s="32" t="s">
        <v>280</v>
      </c>
      <c r="AF603" s="46"/>
      <c r="AG603" s="46"/>
      <c r="AH603" s="46"/>
      <c r="AI603" s="46"/>
      <c r="AJ603" s="46"/>
    </row>
    <row r="604" ht="22.5" customHeight="1">
      <c r="A604" s="27">
        <v>46129.0</v>
      </c>
      <c r="B604" s="34" t="str">
        <f t="array" ref="B604">TEXT(A604, "MM-YYYY")</f>
        <v>04-2026</v>
      </c>
      <c r="C604" s="39" t="s">
        <v>489</v>
      </c>
      <c r="D604" s="36" t="s">
        <v>210</v>
      </c>
      <c r="E604" s="36" t="s">
        <v>213</v>
      </c>
      <c r="F604" s="29" t="b">
        <v>1</v>
      </c>
      <c r="G604" s="36" t="s">
        <v>214</v>
      </c>
      <c r="H604" s="36" t="s">
        <v>215</v>
      </c>
      <c r="I604" s="39"/>
      <c r="J604" s="43"/>
      <c r="K604" s="37" t="s">
        <v>428</v>
      </c>
      <c r="L604" s="37" t="s">
        <v>1582</v>
      </c>
      <c r="M604" s="37" t="s">
        <v>2320</v>
      </c>
      <c r="N604" s="37" t="s">
        <v>2436</v>
      </c>
      <c r="O604" s="37" t="s">
        <v>2398</v>
      </c>
      <c r="P604" s="37" t="s">
        <v>2399</v>
      </c>
      <c r="Q604" s="41">
        <v>46160.0</v>
      </c>
      <c r="R604" s="42">
        <v>0.0</v>
      </c>
      <c r="S604" s="55"/>
      <c r="T604" s="37" t="s">
        <v>2424</v>
      </c>
      <c r="U604" s="45" t="str">
        <f>IF(records_2[Type]="Room",records_2[roomNo],records_2[roomNo]&amp;"-"&amp;SUBSTITUTE(RIGHT(records_2[roomNo]&amp;records_2[Type],2),"-",""))</f>
        <v>10-1-053</v>
      </c>
      <c r="V604" s="47" t="str">
        <f t="array" ref="V604">_xlfn.XLOOKUP(records_2[ID], dAir[roomNo], dAir[roomName])</f>
        <v>OFFICE-P</v>
      </c>
      <c r="W604" s="47" t="str">
        <f t="array" ref="W604">_xlfn.XLOOKUP(records_2[ID], dAir[roomNo], dAir[building])</f>
        <v>Building 10</v>
      </c>
      <c r="X604" s="47" t="str">
        <f t="array" ref="X604">_xlfn.XLOOKUP(records_2[ID], dAir[roomNo], dAir[floor])</f>
        <v>Floor 1</v>
      </c>
      <c r="Y604" s="45" t="str">
        <f t="array" ref="Y604">_xlfn.XLOOKUP(records_2[ID], dAir[roomNo], dAir[Class])</f>
        <v>D</v>
      </c>
      <c r="Z604" s="45">
        <f t="array" ref="Z604">_xlfn.XLOOKUP(records_2[Method]&amp;"-"&amp;records_2[Class], dAirSpec[ID], dAirSpec[Spec])</f>
        <v>100</v>
      </c>
      <c r="AA604" s="45" t="str">
        <f t="array" ref="AA604">_xlfn.XLOOKUP(records_2[Method]&amp;"-"&amp;records_2[Class], dAirSpec[ID], dAirSpec[Unit])</f>
        <v>cfu/plate</v>
      </c>
      <c r="AB604" s="58">
        <f t="array" ref="AB604">if(R604="","", if(records_2[Method]="Active Air",_xlfn.xlookup(records_2[ColonyCount]&amp;records_2[AirSampler],feller[code],feller[Vc]),records_2[ColonyCount]))</f>
        <v>0</v>
      </c>
      <c r="AC604" s="60" t="b">
        <f t="shared" si="1"/>
        <v>1</v>
      </c>
      <c r="AD604" s="61" t="b">
        <v>0</v>
      </c>
      <c r="AE604" s="32" t="s">
        <v>280</v>
      </c>
      <c r="AF604" s="46"/>
      <c r="AG604" s="46"/>
      <c r="AH604" s="46"/>
      <c r="AI604" s="46"/>
      <c r="AJ604" s="46"/>
    </row>
    <row r="605" ht="22.5" customHeight="1">
      <c r="A605" s="27">
        <v>46129.0</v>
      </c>
      <c r="B605" s="34" t="str">
        <f t="array" ref="B605">TEXT(A605, "MM-YYYY")</f>
        <v>04-2026</v>
      </c>
      <c r="C605" s="39" t="s">
        <v>502</v>
      </c>
      <c r="D605" s="36" t="s">
        <v>210</v>
      </c>
      <c r="E605" s="36" t="s">
        <v>213</v>
      </c>
      <c r="F605" s="29" t="b">
        <v>1</v>
      </c>
      <c r="G605" s="36" t="s">
        <v>214</v>
      </c>
      <c r="H605" s="36" t="s">
        <v>215</v>
      </c>
      <c r="I605" s="39"/>
      <c r="J605" s="43"/>
      <c r="K605" s="37" t="s">
        <v>314</v>
      </c>
      <c r="L605" s="37" t="s">
        <v>980</v>
      </c>
      <c r="M605" s="37" t="s">
        <v>2320</v>
      </c>
      <c r="N605" s="37" t="s">
        <v>2436</v>
      </c>
      <c r="O605" s="37" t="s">
        <v>2398</v>
      </c>
      <c r="P605" s="37" t="s">
        <v>2399</v>
      </c>
      <c r="Q605" s="41">
        <v>46160.0</v>
      </c>
      <c r="R605" s="42">
        <v>1.0</v>
      </c>
      <c r="S605" s="55"/>
      <c r="T605" s="37" t="s">
        <v>2424</v>
      </c>
      <c r="U605" s="45" t="str">
        <f>IF(records_2[Type]="Room",records_2[roomNo],records_2[roomNo]&amp;"-"&amp;SUBSTITUTE(RIGHT(records_2[roomNo]&amp;records_2[Type],2),"-",""))</f>
        <v>10-1-054</v>
      </c>
      <c r="V605" s="47" t="str">
        <f t="array" ref="V605">_xlfn.XLOOKUP(records_2[ID], dAir[roomNo], dAir[roomName])</f>
        <v>IPQC-P</v>
      </c>
      <c r="W605" s="47" t="str">
        <f t="array" ref="W605">_xlfn.XLOOKUP(records_2[ID], dAir[roomNo], dAir[building])</f>
        <v>Building 10</v>
      </c>
      <c r="X605" s="47" t="str">
        <f t="array" ref="X605">_xlfn.XLOOKUP(records_2[ID], dAir[roomNo], dAir[floor])</f>
        <v>Floor 1</v>
      </c>
      <c r="Y605" s="45" t="str">
        <f t="array" ref="Y605">_xlfn.XLOOKUP(records_2[ID], dAir[roomNo], dAir[Class])</f>
        <v>D</v>
      </c>
      <c r="Z605" s="45">
        <f t="array" ref="Z605">_xlfn.XLOOKUP(records_2[Method]&amp;"-"&amp;records_2[Class], dAirSpec[ID], dAirSpec[Spec])</f>
        <v>100</v>
      </c>
      <c r="AA605" s="45" t="str">
        <f t="array" ref="AA605">_xlfn.XLOOKUP(records_2[Method]&amp;"-"&amp;records_2[Class], dAirSpec[ID], dAirSpec[Unit])</f>
        <v>cfu/plate</v>
      </c>
      <c r="AB605" s="58">
        <f t="array" ref="AB605">if(R605="","", if(records_2[Method]="Active Air",_xlfn.xlookup(records_2[ColonyCount]&amp;records_2[AirSampler],feller[code],feller[Vc]),records_2[ColonyCount]))</f>
        <v>1</v>
      </c>
      <c r="AC605" s="60" t="b">
        <f t="shared" si="1"/>
        <v>1</v>
      </c>
      <c r="AD605" s="61" t="b">
        <v>0</v>
      </c>
      <c r="AE605" s="32" t="s">
        <v>280</v>
      </c>
      <c r="AF605" s="46"/>
      <c r="AG605" s="46"/>
      <c r="AH605" s="46"/>
      <c r="AI605" s="46"/>
      <c r="AJ605" s="46"/>
    </row>
    <row r="606" ht="22.5" customHeight="1">
      <c r="A606" s="27">
        <v>46129.0</v>
      </c>
      <c r="B606" s="34" t="str">
        <f t="array" ref="B606">TEXT(A606, "MM-YYYY")</f>
        <v>04-2026</v>
      </c>
      <c r="C606" s="39" t="s">
        <v>512</v>
      </c>
      <c r="D606" s="36" t="s">
        <v>210</v>
      </c>
      <c r="E606" s="36" t="s">
        <v>213</v>
      </c>
      <c r="F606" s="29" t="b">
        <v>1</v>
      </c>
      <c r="G606" s="36" t="s">
        <v>214</v>
      </c>
      <c r="H606" s="36" t="s">
        <v>215</v>
      </c>
      <c r="I606" s="39"/>
      <c r="J606" s="43"/>
      <c r="K606" s="37" t="s">
        <v>424</v>
      </c>
      <c r="L606" s="37" t="s">
        <v>343</v>
      </c>
      <c r="M606" s="37" t="s">
        <v>2437</v>
      </c>
      <c r="N606" s="37" t="s">
        <v>2438</v>
      </c>
      <c r="O606" s="37" t="s">
        <v>2398</v>
      </c>
      <c r="P606" s="37" t="s">
        <v>2399</v>
      </c>
      <c r="Q606" s="41">
        <v>46160.0</v>
      </c>
      <c r="R606" s="42">
        <v>0.0</v>
      </c>
      <c r="S606" s="55"/>
      <c r="T606" s="37" t="s">
        <v>2424</v>
      </c>
      <c r="U606" s="45" t="str">
        <f>IF(records_2[Type]="Room",records_2[roomNo],records_2[roomNo]&amp;"-"&amp;SUBSTITUTE(RIGHT(records_2[roomNo]&amp;records_2[Type],2),"-",""))</f>
        <v>10-1-055</v>
      </c>
      <c r="V606" s="47" t="str">
        <f t="array" ref="V606">_xlfn.XLOOKUP(records_2[ID], dAir[roomNo], dAir[roomName])</f>
        <v>USED EQUIPMENT-P</v>
      </c>
      <c r="W606" s="47" t="str">
        <f t="array" ref="W606">_xlfn.XLOOKUP(records_2[ID], dAir[roomNo], dAir[building])</f>
        <v>Building 10</v>
      </c>
      <c r="X606" s="47" t="str">
        <f t="array" ref="X606">_xlfn.XLOOKUP(records_2[ID], dAir[roomNo], dAir[floor])</f>
        <v>Floor 1</v>
      </c>
      <c r="Y606" s="45" t="str">
        <f t="array" ref="Y606">_xlfn.XLOOKUP(records_2[ID], dAir[roomNo], dAir[Class])</f>
        <v>D</v>
      </c>
      <c r="Z606" s="45">
        <f t="array" ref="Z606">_xlfn.XLOOKUP(records_2[Method]&amp;"-"&amp;records_2[Class], dAirSpec[ID], dAirSpec[Spec])</f>
        <v>100</v>
      </c>
      <c r="AA606" s="45" t="str">
        <f t="array" ref="AA606">_xlfn.XLOOKUP(records_2[Method]&amp;"-"&amp;records_2[Class], dAirSpec[ID], dAirSpec[Unit])</f>
        <v>cfu/plate</v>
      </c>
      <c r="AB606" s="58">
        <f t="array" ref="AB606">if(R606="","", if(records_2[Method]="Active Air",_xlfn.xlookup(records_2[ColonyCount]&amp;records_2[AirSampler],feller[code],feller[Vc]),records_2[ColonyCount]))</f>
        <v>0</v>
      </c>
      <c r="AC606" s="60" t="b">
        <f t="shared" si="1"/>
        <v>1</v>
      </c>
      <c r="AD606" s="61" t="b">
        <v>0</v>
      </c>
      <c r="AE606" s="32" t="s">
        <v>280</v>
      </c>
      <c r="AF606" s="46"/>
      <c r="AG606" s="46"/>
      <c r="AH606" s="46"/>
      <c r="AI606" s="46"/>
      <c r="AJ606" s="46"/>
    </row>
    <row r="607" ht="22.5" customHeight="1">
      <c r="A607" s="27">
        <v>46129.0</v>
      </c>
      <c r="B607" s="34" t="str">
        <f t="array" ref="B607">TEXT(A607, "MM-YYYY")</f>
        <v>04-2026</v>
      </c>
      <c r="C607" s="39" t="s">
        <v>521</v>
      </c>
      <c r="D607" s="36" t="s">
        <v>210</v>
      </c>
      <c r="E607" s="36" t="s">
        <v>213</v>
      </c>
      <c r="F607" s="29" t="b">
        <v>1</v>
      </c>
      <c r="G607" s="36" t="s">
        <v>214</v>
      </c>
      <c r="H607" s="36" t="s">
        <v>215</v>
      </c>
      <c r="I607" s="39"/>
      <c r="J607" s="43"/>
      <c r="K607" s="37" t="s">
        <v>428</v>
      </c>
      <c r="L607" s="37" t="s">
        <v>540</v>
      </c>
      <c r="M607" s="37" t="s">
        <v>2320</v>
      </c>
      <c r="N607" s="37" t="s">
        <v>2436</v>
      </c>
      <c r="O607" s="37" t="s">
        <v>2398</v>
      </c>
      <c r="P607" s="37" t="s">
        <v>2399</v>
      </c>
      <c r="Q607" s="41">
        <v>46160.0</v>
      </c>
      <c r="R607" s="42">
        <v>1.0</v>
      </c>
      <c r="S607" s="55"/>
      <c r="T607" s="37" t="s">
        <v>2424</v>
      </c>
      <c r="U607" s="45" t="str">
        <f>IF(records_2[Type]="Room",records_2[roomNo],records_2[roomNo]&amp;"-"&amp;SUBSTITUTE(RIGHT(records_2[roomNo]&amp;records_2[Type],2),"-",""))</f>
        <v>10-1-056</v>
      </c>
      <c r="V607" s="47" t="str">
        <f t="array" ref="V607">_xlfn.XLOOKUP(records_2[ID], dAir[roomNo], dAir[roomName])</f>
        <v>PPM STAGING-P</v>
      </c>
      <c r="W607" s="47" t="str">
        <f t="array" ref="W607">_xlfn.XLOOKUP(records_2[ID], dAir[roomNo], dAir[building])</f>
        <v>Building 10</v>
      </c>
      <c r="X607" s="47" t="str">
        <f t="array" ref="X607">_xlfn.XLOOKUP(records_2[ID], dAir[roomNo], dAir[floor])</f>
        <v>Floor 1</v>
      </c>
      <c r="Y607" s="45" t="str">
        <f t="array" ref="Y607">_xlfn.XLOOKUP(records_2[ID], dAir[roomNo], dAir[Class])</f>
        <v>D</v>
      </c>
      <c r="Z607" s="45">
        <f t="array" ref="Z607">_xlfn.XLOOKUP(records_2[Method]&amp;"-"&amp;records_2[Class], dAirSpec[ID], dAirSpec[Spec])</f>
        <v>100</v>
      </c>
      <c r="AA607" s="45" t="str">
        <f t="array" ref="AA607">_xlfn.XLOOKUP(records_2[Method]&amp;"-"&amp;records_2[Class], dAirSpec[ID], dAirSpec[Unit])</f>
        <v>cfu/plate</v>
      </c>
      <c r="AB607" s="58">
        <f t="array" ref="AB607">if(R607="","", if(records_2[Method]="Active Air",_xlfn.xlookup(records_2[ColonyCount]&amp;records_2[AirSampler],feller[code],feller[Vc]),records_2[ColonyCount]))</f>
        <v>1</v>
      </c>
      <c r="AC607" s="60" t="b">
        <f t="shared" si="1"/>
        <v>1</v>
      </c>
      <c r="AD607" s="61" t="b">
        <v>0</v>
      </c>
      <c r="AE607" s="32" t="s">
        <v>280</v>
      </c>
      <c r="AF607" s="46"/>
      <c r="AG607" s="46"/>
      <c r="AH607" s="46"/>
      <c r="AI607" s="46"/>
      <c r="AJ607" s="46"/>
    </row>
    <row r="608" ht="22.5" customHeight="1">
      <c r="A608" s="27">
        <v>46129.0</v>
      </c>
      <c r="B608" s="34" t="str">
        <f t="array" ref="B608">TEXT(A608, "MM-YYYY")</f>
        <v>04-2026</v>
      </c>
      <c r="C608" s="39" t="s">
        <v>529</v>
      </c>
      <c r="D608" s="36" t="s">
        <v>210</v>
      </c>
      <c r="E608" s="36" t="s">
        <v>213</v>
      </c>
      <c r="F608" s="29" t="b">
        <v>1</v>
      </c>
      <c r="G608" s="36" t="s">
        <v>214</v>
      </c>
      <c r="H608" s="36" t="s">
        <v>215</v>
      </c>
      <c r="I608" s="39"/>
      <c r="J608" s="43"/>
      <c r="K608" s="37" t="s">
        <v>396</v>
      </c>
      <c r="L608" s="37" t="s">
        <v>2439</v>
      </c>
      <c r="M608" s="37" t="s">
        <v>2440</v>
      </c>
      <c r="N608" s="37" t="s">
        <v>2438</v>
      </c>
      <c r="O608" s="37" t="s">
        <v>2398</v>
      </c>
      <c r="P608" s="37" t="s">
        <v>2399</v>
      </c>
      <c r="Q608" s="41">
        <v>46160.0</v>
      </c>
      <c r="R608" s="42">
        <v>0.0</v>
      </c>
      <c r="S608" s="55"/>
      <c r="T608" s="37" t="s">
        <v>2424</v>
      </c>
      <c r="U608" s="45" t="str">
        <f>IF(records_2[Type]="Room",records_2[roomNo],records_2[roomNo]&amp;"-"&amp;SUBSTITUTE(RIGHT(records_2[roomNo]&amp;records_2[Type],2),"-",""))</f>
        <v>10-1-057</v>
      </c>
      <c r="V608" s="47" t="str">
        <f t="array" ref="V608">_xlfn.XLOOKUP(records_2[ID], dAir[roomNo], dAir[roomName])</f>
        <v>WASHING-P</v>
      </c>
      <c r="W608" s="47" t="str">
        <f t="array" ref="W608">_xlfn.XLOOKUP(records_2[ID], dAir[roomNo], dAir[building])</f>
        <v>Building 10</v>
      </c>
      <c r="X608" s="47" t="str">
        <f t="array" ref="X608">_xlfn.XLOOKUP(records_2[ID], dAir[roomNo], dAir[floor])</f>
        <v>Floor 1</v>
      </c>
      <c r="Y608" s="45" t="str">
        <f t="array" ref="Y608">_xlfn.XLOOKUP(records_2[ID], dAir[roomNo], dAir[Class])</f>
        <v>D</v>
      </c>
      <c r="Z608" s="45">
        <f t="array" ref="Z608">_xlfn.XLOOKUP(records_2[Method]&amp;"-"&amp;records_2[Class], dAirSpec[ID], dAirSpec[Spec])</f>
        <v>100</v>
      </c>
      <c r="AA608" s="45" t="str">
        <f t="array" ref="AA608">_xlfn.XLOOKUP(records_2[Method]&amp;"-"&amp;records_2[Class], dAirSpec[ID], dAirSpec[Unit])</f>
        <v>cfu/plate</v>
      </c>
      <c r="AB608" s="58">
        <f t="array" ref="AB608">if(R608="","", if(records_2[Method]="Active Air",_xlfn.xlookup(records_2[ColonyCount]&amp;records_2[AirSampler],feller[code],feller[Vc]),records_2[ColonyCount]))</f>
        <v>0</v>
      </c>
      <c r="AC608" s="60" t="b">
        <f t="shared" si="1"/>
        <v>1</v>
      </c>
      <c r="AD608" s="61" t="b">
        <v>0</v>
      </c>
      <c r="AE608" s="32" t="s">
        <v>280</v>
      </c>
      <c r="AF608" s="46"/>
      <c r="AG608" s="46"/>
      <c r="AH608" s="46"/>
      <c r="AI608" s="46"/>
      <c r="AJ608" s="46"/>
    </row>
    <row r="609" ht="22.5" customHeight="1">
      <c r="A609" s="27">
        <v>46129.0</v>
      </c>
      <c r="B609" s="34" t="str">
        <f t="array" ref="B609">TEXT(A609, "MM-YYYY")</f>
        <v>04-2026</v>
      </c>
      <c r="C609" s="39" t="s">
        <v>542</v>
      </c>
      <c r="D609" s="36" t="s">
        <v>210</v>
      </c>
      <c r="E609" s="36" t="s">
        <v>213</v>
      </c>
      <c r="F609" s="29" t="b">
        <v>1</v>
      </c>
      <c r="G609" s="36" t="s">
        <v>214</v>
      </c>
      <c r="H609" s="36" t="s">
        <v>215</v>
      </c>
      <c r="I609" s="39"/>
      <c r="J609" s="43"/>
      <c r="K609" s="37" t="s">
        <v>381</v>
      </c>
      <c r="L609" s="37" t="s">
        <v>654</v>
      </c>
      <c r="M609" s="37" t="s">
        <v>2440</v>
      </c>
      <c r="N609" s="37" t="s">
        <v>2438</v>
      </c>
      <c r="O609" s="37" t="s">
        <v>2398</v>
      </c>
      <c r="P609" s="37" t="s">
        <v>2399</v>
      </c>
      <c r="Q609" s="41">
        <v>46160.0</v>
      </c>
      <c r="R609" s="42">
        <v>1.0</v>
      </c>
      <c r="S609" s="55"/>
      <c r="T609" s="37" t="s">
        <v>2424</v>
      </c>
      <c r="U609" s="45" t="str">
        <f>IF(records_2[Type]="Room",records_2[roomNo],records_2[roomNo]&amp;"-"&amp;SUBSTITUTE(RIGHT(records_2[roomNo]&amp;records_2[Type],2),"-",""))</f>
        <v>10-1-058</v>
      </c>
      <c r="V609" s="47" t="str">
        <f t="array" ref="V609">_xlfn.XLOOKUP(records_2[ID], dAir[roomNo], dAir[roomName])</f>
        <v>JANITOR-P</v>
      </c>
      <c r="W609" s="47" t="str">
        <f t="array" ref="W609">_xlfn.XLOOKUP(records_2[ID], dAir[roomNo], dAir[building])</f>
        <v>Building 10</v>
      </c>
      <c r="X609" s="47" t="str">
        <f t="array" ref="X609">_xlfn.XLOOKUP(records_2[ID], dAir[roomNo], dAir[floor])</f>
        <v>Floor 1</v>
      </c>
      <c r="Y609" s="45" t="str">
        <f t="array" ref="Y609">_xlfn.XLOOKUP(records_2[ID], dAir[roomNo], dAir[Class])</f>
        <v>D</v>
      </c>
      <c r="Z609" s="45">
        <f t="array" ref="Z609">_xlfn.XLOOKUP(records_2[Method]&amp;"-"&amp;records_2[Class], dAirSpec[ID], dAirSpec[Spec])</f>
        <v>100</v>
      </c>
      <c r="AA609" s="45" t="str">
        <f t="array" ref="AA609">_xlfn.XLOOKUP(records_2[Method]&amp;"-"&amp;records_2[Class], dAirSpec[ID], dAirSpec[Unit])</f>
        <v>cfu/plate</v>
      </c>
      <c r="AB609" s="58">
        <f t="array" ref="AB609">if(R609="","", if(records_2[Method]="Active Air",_xlfn.xlookup(records_2[ColonyCount]&amp;records_2[AirSampler],feller[code],feller[Vc]),records_2[ColonyCount]))</f>
        <v>1</v>
      </c>
      <c r="AC609" s="60" t="b">
        <f t="shared" si="1"/>
        <v>1</v>
      </c>
      <c r="AD609" s="61" t="b">
        <v>0</v>
      </c>
      <c r="AE609" s="32" t="s">
        <v>280</v>
      </c>
      <c r="AF609" s="46"/>
      <c r="AG609" s="46"/>
      <c r="AH609" s="46"/>
      <c r="AI609" s="46"/>
      <c r="AJ609" s="46"/>
    </row>
    <row r="610" ht="22.5" customHeight="1">
      <c r="A610" s="27">
        <v>46129.0</v>
      </c>
      <c r="B610" s="34" t="str">
        <f t="array" ref="B610">TEXT(A610, "MM-YYYY")</f>
        <v>04-2026</v>
      </c>
      <c r="C610" s="39" t="s">
        <v>549</v>
      </c>
      <c r="D610" s="36" t="s">
        <v>210</v>
      </c>
      <c r="E610" s="36" t="s">
        <v>213</v>
      </c>
      <c r="F610" s="29" t="b">
        <v>1</v>
      </c>
      <c r="G610" s="36" t="s">
        <v>214</v>
      </c>
      <c r="H610" s="36" t="s">
        <v>215</v>
      </c>
      <c r="I610" s="39"/>
      <c r="J610" s="43"/>
      <c r="K610" s="37" t="s">
        <v>402</v>
      </c>
      <c r="L610" s="37" t="s">
        <v>1478</v>
      </c>
      <c r="M610" s="37" t="s">
        <v>2437</v>
      </c>
      <c r="N610" s="37" t="s">
        <v>2438</v>
      </c>
      <c r="O610" s="37" t="s">
        <v>2398</v>
      </c>
      <c r="P610" s="37" t="s">
        <v>2399</v>
      </c>
      <c r="Q610" s="41">
        <v>46160.0</v>
      </c>
      <c r="R610" s="42">
        <v>10.0</v>
      </c>
      <c r="S610" s="55"/>
      <c r="T610" s="37" t="s">
        <v>2424</v>
      </c>
      <c r="U610" s="45" t="str">
        <f>IF(records_2[Type]="Room",records_2[roomNo],records_2[roomNo]&amp;"-"&amp;SUBSTITUTE(RIGHT(records_2[roomNo]&amp;records_2[Type],2),"-",""))</f>
        <v>10-1-059</v>
      </c>
      <c r="V610" s="47" t="str">
        <f t="array" ref="V610">_xlfn.XLOOKUP(records_2[ID], dAir[roomNo], dAir[roomName])</f>
        <v>CORRIDOR-P</v>
      </c>
      <c r="W610" s="47" t="str">
        <f t="array" ref="W610">_xlfn.XLOOKUP(records_2[ID], dAir[roomNo], dAir[building])</f>
        <v>Building 10</v>
      </c>
      <c r="X610" s="47" t="str">
        <f t="array" ref="X610">_xlfn.XLOOKUP(records_2[ID], dAir[roomNo], dAir[floor])</f>
        <v>Floor 1</v>
      </c>
      <c r="Y610" s="45" t="str">
        <f t="array" ref="Y610">_xlfn.XLOOKUP(records_2[ID], dAir[roomNo], dAir[Class])</f>
        <v>D</v>
      </c>
      <c r="Z610" s="45">
        <f t="array" ref="Z610">_xlfn.XLOOKUP(records_2[Method]&amp;"-"&amp;records_2[Class], dAirSpec[ID], dAirSpec[Spec])</f>
        <v>100</v>
      </c>
      <c r="AA610" s="45" t="str">
        <f t="array" ref="AA610">_xlfn.XLOOKUP(records_2[Method]&amp;"-"&amp;records_2[Class], dAirSpec[ID], dAirSpec[Unit])</f>
        <v>cfu/plate</v>
      </c>
      <c r="AB610" s="58">
        <f t="array" ref="AB610">if(R610="","", if(records_2[Method]="Active Air",_xlfn.xlookup(records_2[ColonyCount]&amp;records_2[AirSampler],feller[code],feller[Vc]),records_2[ColonyCount]))</f>
        <v>10</v>
      </c>
      <c r="AC610" s="60" t="b">
        <f t="shared" si="1"/>
        <v>1</v>
      </c>
      <c r="AD610" s="61" t="b">
        <v>0</v>
      </c>
      <c r="AE610" s="32" t="s">
        <v>280</v>
      </c>
      <c r="AF610" s="46"/>
      <c r="AG610" s="46"/>
      <c r="AH610" s="46"/>
      <c r="AI610" s="46"/>
      <c r="AJ610" s="46"/>
    </row>
    <row r="611" ht="22.5" customHeight="1">
      <c r="A611" s="27">
        <v>46129.0</v>
      </c>
      <c r="B611" s="34" t="str">
        <f t="array" ref="B611">TEXT(A611, "MM-YYYY")</f>
        <v>04-2026</v>
      </c>
      <c r="C611" s="39" t="s">
        <v>555</v>
      </c>
      <c r="D611" s="36" t="s">
        <v>210</v>
      </c>
      <c r="E611" s="36" t="s">
        <v>213</v>
      </c>
      <c r="F611" s="29" t="b">
        <v>1</v>
      </c>
      <c r="G611" s="36" t="s">
        <v>214</v>
      </c>
      <c r="H611" s="36" t="s">
        <v>215</v>
      </c>
      <c r="I611" s="39"/>
      <c r="J611" s="43"/>
      <c r="K611" s="37" t="s">
        <v>700</v>
      </c>
      <c r="L611" s="37" t="s">
        <v>2441</v>
      </c>
      <c r="M611" s="37" t="s">
        <v>2437</v>
      </c>
      <c r="N611" s="37" t="s">
        <v>2438</v>
      </c>
      <c r="O611" s="37" t="s">
        <v>2398</v>
      </c>
      <c r="P611" s="37" t="s">
        <v>2399</v>
      </c>
      <c r="Q611" s="41">
        <v>46160.0</v>
      </c>
      <c r="R611" s="42">
        <v>3.0</v>
      </c>
      <c r="S611" s="55"/>
      <c r="T611" s="37" t="s">
        <v>2424</v>
      </c>
      <c r="U611" s="45" t="str">
        <f>IF(records_2[Type]="Room",records_2[roomNo],records_2[roomNo]&amp;"-"&amp;SUBSTITUTE(RIGHT(records_2[roomNo]&amp;records_2[Type],2),"-",""))</f>
        <v>10-1-060</v>
      </c>
      <c r="V611" s="47" t="str">
        <f t="array" ref="V611">_xlfn.XLOOKUP(records_2[ID], dAir[roomNo], dAir[roomName])</f>
        <v>BOTTLE CLEANING-P</v>
      </c>
      <c r="W611" s="47" t="str">
        <f t="array" ref="W611">_xlfn.XLOOKUP(records_2[ID], dAir[roomNo], dAir[building])</f>
        <v>Building 10</v>
      </c>
      <c r="X611" s="47" t="str">
        <f t="array" ref="X611">_xlfn.XLOOKUP(records_2[ID], dAir[roomNo], dAir[floor])</f>
        <v>Floor 1</v>
      </c>
      <c r="Y611" s="45" t="str">
        <f t="array" ref="Y611">_xlfn.XLOOKUP(records_2[ID], dAir[roomNo], dAir[Class])</f>
        <v>D</v>
      </c>
      <c r="Z611" s="45">
        <f t="array" ref="Z611">_xlfn.XLOOKUP(records_2[Method]&amp;"-"&amp;records_2[Class], dAirSpec[ID], dAirSpec[Spec])</f>
        <v>100</v>
      </c>
      <c r="AA611" s="45" t="str">
        <f t="array" ref="AA611">_xlfn.XLOOKUP(records_2[Method]&amp;"-"&amp;records_2[Class], dAirSpec[ID], dAirSpec[Unit])</f>
        <v>cfu/plate</v>
      </c>
      <c r="AB611" s="58">
        <f t="array" ref="AB611">if(R611="","", if(records_2[Method]="Active Air",_xlfn.xlookup(records_2[ColonyCount]&amp;records_2[AirSampler],feller[code],feller[Vc]),records_2[ColonyCount]))</f>
        <v>3</v>
      </c>
      <c r="AC611" s="60" t="b">
        <f t="shared" si="1"/>
        <v>1</v>
      </c>
      <c r="AD611" s="61" t="b">
        <v>0</v>
      </c>
      <c r="AE611" s="32" t="s">
        <v>280</v>
      </c>
      <c r="AF611" s="46"/>
      <c r="AG611" s="46"/>
      <c r="AH611" s="46"/>
      <c r="AI611" s="46"/>
      <c r="AJ611" s="46"/>
    </row>
    <row r="612" ht="22.5" customHeight="1">
      <c r="A612" s="27">
        <v>46129.0</v>
      </c>
      <c r="B612" s="34" t="str">
        <f t="array" ref="B612">TEXT(A612, "MM-YYYY")</f>
        <v>04-2026</v>
      </c>
      <c r="C612" s="39" t="s">
        <v>560</v>
      </c>
      <c r="D612" s="36" t="s">
        <v>210</v>
      </c>
      <c r="E612" s="36" t="s">
        <v>213</v>
      </c>
      <c r="F612" s="29" t="b">
        <v>1</v>
      </c>
      <c r="G612" s="36" t="s">
        <v>214</v>
      </c>
      <c r="H612" s="36" t="s">
        <v>215</v>
      </c>
      <c r="I612" s="39"/>
      <c r="J612" s="43"/>
      <c r="K612" s="37" t="s">
        <v>428</v>
      </c>
      <c r="L612" s="37" t="s">
        <v>575</v>
      </c>
      <c r="M612" s="37" t="s">
        <v>2440</v>
      </c>
      <c r="N612" s="37" t="s">
        <v>2438</v>
      </c>
      <c r="O612" s="37" t="s">
        <v>2398</v>
      </c>
      <c r="P612" s="37" t="s">
        <v>2399</v>
      </c>
      <c r="Q612" s="41">
        <v>46160.0</v>
      </c>
      <c r="R612" s="42">
        <v>0.0</v>
      </c>
      <c r="S612" s="55"/>
      <c r="T612" s="37" t="s">
        <v>2424</v>
      </c>
      <c r="U612" s="45" t="str">
        <f>IF(records_2[Type]="Room",records_2[roomNo],records_2[roomNo]&amp;"-"&amp;SUBSTITUTE(RIGHT(records_2[roomNo]&amp;records_2[Type],2),"-",""))</f>
        <v>10-1-061</v>
      </c>
      <c r="V612" s="47" t="str">
        <f t="array" ref="V612">_xlfn.XLOOKUP(records_2[ID], dAir[roomNo], dAir[roomName])</f>
        <v>CLEANED EQUIPMENT-P</v>
      </c>
      <c r="W612" s="47" t="str">
        <f t="array" ref="W612">_xlfn.XLOOKUP(records_2[ID], dAir[roomNo], dAir[building])</f>
        <v>Building 10</v>
      </c>
      <c r="X612" s="47" t="str">
        <f t="array" ref="X612">_xlfn.XLOOKUP(records_2[ID], dAir[roomNo], dAir[floor])</f>
        <v>Floor 1</v>
      </c>
      <c r="Y612" s="45" t="str">
        <f t="array" ref="Y612">_xlfn.XLOOKUP(records_2[ID], dAir[roomNo], dAir[Class])</f>
        <v>D</v>
      </c>
      <c r="Z612" s="45">
        <f t="array" ref="Z612">_xlfn.XLOOKUP(records_2[Method]&amp;"-"&amp;records_2[Class], dAirSpec[ID], dAirSpec[Spec])</f>
        <v>100</v>
      </c>
      <c r="AA612" s="45" t="str">
        <f t="array" ref="AA612">_xlfn.XLOOKUP(records_2[Method]&amp;"-"&amp;records_2[Class], dAirSpec[ID], dAirSpec[Unit])</f>
        <v>cfu/plate</v>
      </c>
      <c r="AB612" s="58">
        <f t="array" ref="AB612">if(R612="","", if(records_2[Method]="Active Air",_xlfn.xlookup(records_2[ColonyCount]&amp;records_2[AirSampler],feller[code],feller[Vc]),records_2[ColonyCount]))</f>
        <v>0</v>
      </c>
      <c r="AC612" s="60" t="b">
        <f t="shared" si="1"/>
        <v>1</v>
      </c>
      <c r="AD612" s="61" t="b">
        <v>0</v>
      </c>
      <c r="AE612" s="32" t="s">
        <v>280</v>
      </c>
      <c r="AF612" s="46"/>
      <c r="AG612" s="46"/>
      <c r="AH612" s="46"/>
      <c r="AI612" s="46"/>
      <c r="AJ612" s="46"/>
    </row>
    <row r="613" ht="22.5" customHeight="1">
      <c r="A613" s="27">
        <v>46129.0</v>
      </c>
      <c r="B613" s="34" t="str">
        <f t="array" ref="B613">TEXT(A613, "MM-YYYY")</f>
        <v>04-2026</v>
      </c>
      <c r="C613" s="39" t="s">
        <v>568</v>
      </c>
      <c r="D613" s="36" t="s">
        <v>210</v>
      </c>
      <c r="E613" s="36" t="s">
        <v>213</v>
      </c>
      <c r="F613" s="29" t="b">
        <v>1</v>
      </c>
      <c r="G613" s="36" t="s">
        <v>214</v>
      </c>
      <c r="H613" s="36" t="s">
        <v>215</v>
      </c>
      <c r="I613" s="39"/>
      <c r="J613" s="43"/>
      <c r="K613" s="37" t="s">
        <v>314</v>
      </c>
      <c r="L613" s="37" t="s">
        <v>2442</v>
      </c>
      <c r="M613" s="37" t="s">
        <v>2422</v>
      </c>
      <c r="N613" s="37" t="s">
        <v>2423</v>
      </c>
      <c r="O613" s="37" t="s">
        <v>2398</v>
      </c>
      <c r="P613" s="37" t="s">
        <v>2399</v>
      </c>
      <c r="Q613" s="41">
        <v>46160.0</v>
      </c>
      <c r="R613" s="42">
        <v>0.0</v>
      </c>
      <c r="S613" s="55"/>
      <c r="T613" s="37" t="s">
        <v>2424</v>
      </c>
      <c r="U613" s="45" t="str">
        <f>IF(records_2[Type]="Room",records_2[roomNo],records_2[roomNo]&amp;"-"&amp;SUBSTITUTE(RIGHT(records_2[roomNo]&amp;records_2[Type],2),"-",""))</f>
        <v>10-1-062</v>
      </c>
      <c r="V613" s="47" t="str">
        <f t="array" ref="V613">_xlfn.XLOOKUP(records_2[ID], dAir[roomNo], dAir[roomName])</f>
        <v>BULK STAGING-P</v>
      </c>
      <c r="W613" s="47" t="str">
        <f t="array" ref="W613">_xlfn.XLOOKUP(records_2[ID], dAir[roomNo], dAir[building])</f>
        <v>Building 10</v>
      </c>
      <c r="X613" s="47" t="str">
        <f t="array" ref="X613">_xlfn.XLOOKUP(records_2[ID], dAir[roomNo], dAir[floor])</f>
        <v>Floor 1</v>
      </c>
      <c r="Y613" s="45" t="str">
        <f t="array" ref="Y613">_xlfn.XLOOKUP(records_2[ID], dAir[roomNo], dAir[Class])</f>
        <v>D</v>
      </c>
      <c r="Z613" s="45">
        <f t="array" ref="Z613">_xlfn.XLOOKUP(records_2[Method]&amp;"-"&amp;records_2[Class], dAirSpec[ID], dAirSpec[Spec])</f>
        <v>100</v>
      </c>
      <c r="AA613" s="45" t="str">
        <f t="array" ref="AA613">_xlfn.XLOOKUP(records_2[Method]&amp;"-"&amp;records_2[Class], dAirSpec[ID], dAirSpec[Unit])</f>
        <v>cfu/plate</v>
      </c>
      <c r="AB613" s="58">
        <f t="array" ref="AB613">if(R613="","", if(records_2[Method]="Active Air",_xlfn.xlookup(records_2[ColonyCount]&amp;records_2[AirSampler],feller[code],feller[Vc]),records_2[ColonyCount]))</f>
        <v>0</v>
      </c>
      <c r="AC613" s="60" t="b">
        <f t="shared" si="1"/>
        <v>1</v>
      </c>
      <c r="AD613" s="61" t="b">
        <v>0</v>
      </c>
      <c r="AE613" s="32" t="s">
        <v>280</v>
      </c>
      <c r="AF613" s="46"/>
      <c r="AG613" s="46"/>
      <c r="AH613" s="46"/>
      <c r="AI613" s="46"/>
      <c r="AJ613" s="46"/>
    </row>
    <row r="614" ht="22.5" customHeight="1">
      <c r="A614" s="27">
        <v>46129.0</v>
      </c>
      <c r="B614" s="34" t="str">
        <f t="array" ref="B614">TEXT(A614, "MM-YYYY")</f>
        <v>04-2026</v>
      </c>
      <c r="C614" s="39" t="s">
        <v>577</v>
      </c>
      <c r="D614" s="36" t="s">
        <v>210</v>
      </c>
      <c r="E614" s="36" t="s">
        <v>213</v>
      </c>
      <c r="F614" s="29" t="b">
        <v>1</v>
      </c>
      <c r="G614" s="36" t="s">
        <v>214</v>
      </c>
      <c r="H614" s="36" t="s">
        <v>215</v>
      </c>
      <c r="I614" s="39"/>
      <c r="J614" s="43"/>
      <c r="K614" s="37" t="s">
        <v>377</v>
      </c>
      <c r="L614" s="37" t="s">
        <v>2443</v>
      </c>
      <c r="M614" s="37" t="s">
        <v>2440</v>
      </c>
      <c r="N614" s="37" t="s">
        <v>2444</v>
      </c>
      <c r="O614" s="37" t="s">
        <v>2398</v>
      </c>
      <c r="P614" s="37" t="s">
        <v>2399</v>
      </c>
      <c r="Q614" s="41">
        <v>46160.0</v>
      </c>
      <c r="R614" s="42">
        <v>5.0</v>
      </c>
      <c r="S614" s="55"/>
      <c r="T614" s="37" t="s">
        <v>2424</v>
      </c>
      <c r="U614" s="45" t="str">
        <f>IF(records_2[Type]="Room",records_2[roomNo],records_2[roomNo]&amp;"-"&amp;SUBSTITUTE(RIGHT(records_2[roomNo]&amp;records_2[Type],2),"-",""))</f>
        <v>10-1-063</v>
      </c>
      <c r="V614" s="47" t="str">
        <f t="array" ref="V614">_xlfn.XLOOKUP(records_2[ID], dAir[roomNo], dAir[roomName])</f>
        <v>AIR LOCK-P</v>
      </c>
      <c r="W614" s="47" t="str">
        <f t="array" ref="W614">_xlfn.XLOOKUP(records_2[ID], dAir[roomNo], dAir[building])</f>
        <v>Building 10</v>
      </c>
      <c r="X614" s="47" t="str">
        <f t="array" ref="X614">_xlfn.XLOOKUP(records_2[ID], dAir[roomNo], dAir[floor])</f>
        <v>Floor 1</v>
      </c>
      <c r="Y614" s="45" t="str">
        <f t="array" ref="Y614">_xlfn.XLOOKUP(records_2[ID], dAir[roomNo], dAir[Class])</f>
        <v>D</v>
      </c>
      <c r="Z614" s="45">
        <f t="array" ref="Z614">_xlfn.XLOOKUP(records_2[Method]&amp;"-"&amp;records_2[Class], dAirSpec[ID], dAirSpec[Spec])</f>
        <v>100</v>
      </c>
      <c r="AA614" s="45" t="str">
        <f t="array" ref="AA614">_xlfn.XLOOKUP(records_2[Method]&amp;"-"&amp;records_2[Class], dAirSpec[ID], dAirSpec[Unit])</f>
        <v>cfu/plate</v>
      </c>
      <c r="AB614" s="58">
        <f t="array" ref="AB614">if(R614="","", if(records_2[Method]="Active Air",_xlfn.xlookup(records_2[ColonyCount]&amp;records_2[AirSampler],feller[code],feller[Vc]),records_2[ColonyCount]))</f>
        <v>5</v>
      </c>
      <c r="AC614" s="60" t="b">
        <f t="shared" si="1"/>
        <v>1</v>
      </c>
      <c r="AD614" s="61" t="b">
        <v>0</v>
      </c>
      <c r="AE614" s="32" t="s">
        <v>280</v>
      </c>
      <c r="AF614" s="46"/>
      <c r="AG614" s="46"/>
      <c r="AH614" s="46"/>
      <c r="AI614" s="46"/>
      <c r="AJ614" s="46"/>
    </row>
    <row r="615" ht="22.5" customHeight="1">
      <c r="A615" s="27">
        <v>46129.0</v>
      </c>
      <c r="B615" s="34" t="str">
        <f t="array" ref="B615">TEXT(A615, "MM-YYYY")</f>
        <v>04-2026</v>
      </c>
      <c r="C615" s="39" t="s">
        <v>582</v>
      </c>
      <c r="D615" s="36" t="s">
        <v>210</v>
      </c>
      <c r="E615" s="36" t="s">
        <v>213</v>
      </c>
      <c r="F615" s="29" t="b">
        <v>1</v>
      </c>
      <c r="G615" s="36" t="s">
        <v>214</v>
      </c>
      <c r="H615" s="36" t="s">
        <v>215</v>
      </c>
      <c r="I615" s="39"/>
      <c r="J615" s="43"/>
      <c r="K615" s="37" t="s">
        <v>546</v>
      </c>
      <c r="L615" s="37" t="s">
        <v>449</v>
      </c>
      <c r="M615" s="37" t="s">
        <v>2440</v>
      </c>
      <c r="N615" s="37" t="s">
        <v>2444</v>
      </c>
      <c r="O615" s="37" t="s">
        <v>2398</v>
      </c>
      <c r="P615" s="37" t="s">
        <v>2399</v>
      </c>
      <c r="Q615" s="41">
        <v>46160.0</v>
      </c>
      <c r="R615" s="42">
        <v>64.0</v>
      </c>
      <c r="S615" s="55"/>
      <c r="T615" s="37" t="s">
        <v>2424</v>
      </c>
      <c r="U615" s="45" t="str">
        <f>IF(records_2[Type]="Room",records_2[roomNo],records_2[roomNo]&amp;"-"&amp;SUBSTITUTE(RIGHT(records_2[roomNo]&amp;records_2[Type],2),"-",""))</f>
        <v>10-1-064</v>
      </c>
      <c r="V615" s="47" t="str">
        <f t="array" ref="V615">_xlfn.XLOOKUP(records_2[ID], dAir[roomNo], dAir[roomName])</f>
        <v>CORRIDOR-P</v>
      </c>
      <c r="W615" s="47" t="str">
        <f t="array" ref="W615">_xlfn.XLOOKUP(records_2[ID], dAir[roomNo], dAir[building])</f>
        <v>Building 10</v>
      </c>
      <c r="X615" s="47" t="str">
        <f t="array" ref="X615">_xlfn.XLOOKUP(records_2[ID], dAir[roomNo], dAir[floor])</f>
        <v>Floor 1</v>
      </c>
      <c r="Y615" s="45" t="str">
        <f t="array" ref="Y615">_xlfn.XLOOKUP(records_2[ID], dAir[roomNo], dAir[Class])</f>
        <v>D</v>
      </c>
      <c r="Z615" s="45">
        <f t="array" ref="Z615">_xlfn.XLOOKUP(records_2[Method]&amp;"-"&amp;records_2[Class], dAirSpec[ID], dAirSpec[Spec])</f>
        <v>100</v>
      </c>
      <c r="AA615" s="45" t="str">
        <f t="array" ref="AA615">_xlfn.XLOOKUP(records_2[Method]&amp;"-"&amp;records_2[Class], dAirSpec[ID], dAirSpec[Unit])</f>
        <v>cfu/plate</v>
      </c>
      <c r="AB615" s="58">
        <f t="array" ref="AB615">if(R615="","", if(records_2[Method]="Active Air",_xlfn.xlookup(records_2[ColonyCount]&amp;records_2[AirSampler],feller[code],feller[Vc]),records_2[ColonyCount]))</f>
        <v>64</v>
      </c>
      <c r="AC615" s="60" t="b">
        <f t="shared" si="1"/>
        <v>1</v>
      </c>
      <c r="AD615" s="61" t="b">
        <v>0</v>
      </c>
      <c r="AE615" s="32" t="s">
        <v>280</v>
      </c>
      <c r="AF615" s="46"/>
      <c r="AG615" s="46"/>
      <c r="AH615" s="46"/>
      <c r="AI615" s="46"/>
      <c r="AJ615" s="46"/>
    </row>
    <row r="616" ht="22.5" customHeight="1">
      <c r="A616" s="27">
        <v>46129.0</v>
      </c>
      <c r="B616" s="34" t="str">
        <f t="array" ref="B616">TEXT(A616, "MM-YYYY")</f>
        <v>04-2026</v>
      </c>
      <c r="C616" s="39" t="s">
        <v>589</v>
      </c>
      <c r="D616" s="36" t="s">
        <v>210</v>
      </c>
      <c r="E616" s="36" t="s">
        <v>213</v>
      </c>
      <c r="F616" s="29" t="b">
        <v>1</v>
      </c>
      <c r="G616" s="36" t="s">
        <v>214</v>
      </c>
      <c r="H616" s="36" t="s">
        <v>215</v>
      </c>
      <c r="I616" s="39"/>
      <c r="J616" s="43"/>
      <c r="K616" s="37" t="s">
        <v>2445</v>
      </c>
      <c r="L616" s="37" t="s">
        <v>2446</v>
      </c>
      <c r="M616" s="37" t="s">
        <v>2440</v>
      </c>
      <c r="N616" s="37" t="s">
        <v>2423</v>
      </c>
      <c r="O616" s="37" t="s">
        <v>2398</v>
      </c>
      <c r="P616" s="37" t="s">
        <v>2399</v>
      </c>
      <c r="Q616" s="41">
        <v>46160.0</v>
      </c>
      <c r="R616" s="42">
        <v>15.0</v>
      </c>
      <c r="S616" s="55"/>
      <c r="T616" s="37" t="s">
        <v>2424</v>
      </c>
      <c r="U616" s="45" t="str">
        <f>IF(records_2[Type]="Room",records_2[roomNo],records_2[roomNo]&amp;"-"&amp;SUBSTITUTE(RIGHT(records_2[roomNo]&amp;records_2[Type],2),"-",""))</f>
        <v>10-1-065</v>
      </c>
      <c r="V616" s="47" t="str">
        <f t="array" ref="V616">_xlfn.XLOOKUP(records_2[ID], dAir[roomNo], dAir[roomName])</f>
        <v>BOTTLE FILLING-P (LOW RH) (BOTTLE FILLING LINE)</v>
      </c>
      <c r="W616" s="47" t="str">
        <f t="array" ref="W616">_xlfn.XLOOKUP(records_2[ID], dAir[roomNo], dAir[building])</f>
        <v>Building 10</v>
      </c>
      <c r="X616" s="47" t="str">
        <f t="array" ref="X616">_xlfn.XLOOKUP(records_2[ID], dAir[roomNo], dAir[floor])</f>
        <v>Floor 1</v>
      </c>
      <c r="Y616" s="45" t="str">
        <f t="array" ref="Y616">_xlfn.XLOOKUP(records_2[ID], dAir[roomNo], dAir[Class])</f>
        <v>D</v>
      </c>
      <c r="Z616" s="45">
        <f t="array" ref="Z616">_xlfn.XLOOKUP(records_2[Method]&amp;"-"&amp;records_2[Class], dAirSpec[ID], dAirSpec[Spec])</f>
        <v>100</v>
      </c>
      <c r="AA616" s="45" t="str">
        <f t="array" ref="AA616">_xlfn.XLOOKUP(records_2[Method]&amp;"-"&amp;records_2[Class], dAirSpec[ID], dAirSpec[Unit])</f>
        <v>cfu/plate</v>
      </c>
      <c r="AB616" s="58">
        <f t="array" ref="AB616">if(R616="","", if(records_2[Method]="Active Air",_xlfn.xlookup(records_2[ColonyCount]&amp;records_2[AirSampler],feller[code],feller[Vc]),records_2[ColonyCount]))</f>
        <v>15</v>
      </c>
      <c r="AC616" s="60" t="b">
        <f t="shared" si="1"/>
        <v>1</v>
      </c>
      <c r="AD616" s="61" t="b">
        <v>0</v>
      </c>
      <c r="AE616" s="32" t="s">
        <v>280</v>
      </c>
      <c r="AF616" s="46"/>
      <c r="AG616" s="46"/>
      <c r="AH616" s="46"/>
      <c r="AI616" s="46"/>
      <c r="AJ616" s="46"/>
    </row>
    <row r="617" ht="22.5" customHeight="1">
      <c r="A617" s="27">
        <v>46129.0</v>
      </c>
      <c r="B617" s="34" t="str">
        <f t="array" ref="B617">TEXT(A617, "MM-YYYY")</f>
        <v>04-2026</v>
      </c>
      <c r="C617" s="39" t="s">
        <v>598</v>
      </c>
      <c r="D617" s="36" t="s">
        <v>210</v>
      </c>
      <c r="E617" s="36" t="s">
        <v>213</v>
      </c>
      <c r="F617" s="29" t="b">
        <v>1</v>
      </c>
      <c r="G617" s="36" t="s">
        <v>214</v>
      </c>
      <c r="H617" s="36" t="s">
        <v>215</v>
      </c>
      <c r="I617" s="39"/>
      <c r="J617" s="43"/>
      <c r="K617" s="37" t="s">
        <v>1157</v>
      </c>
      <c r="L617" s="37" t="s">
        <v>2145</v>
      </c>
      <c r="M617" s="37" t="s">
        <v>2440</v>
      </c>
      <c r="N617" s="37" t="s">
        <v>2423</v>
      </c>
      <c r="O617" s="37" t="s">
        <v>2398</v>
      </c>
      <c r="P617" s="37" t="s">
        <v>2399</v>
      </c>
      <c r="Q617" s="41">
        <v>46160.0</v>
      </c>
      <c r="R617" s="42">
        <v>1.0</v>
      </c>
      <c r="S617" s="55"/>
      <c r="T617" s="37" t="s">
        <v>2424</v>
      </c>
      <c r="U617" s="45" t="str">
        <f>IF(records_2[Type]="Room",records_2[roomNo],records_2[roomNo]&amp;"-"&amp;SUBSTITUTE(RIGHT(records_2[roomNo]&amp;records_2[Type],2),"-",""))</f>
        <v>10-1-067</v>
      </c>
      <c r="V617" s="47" t="str">
        <f t="array" ref="V617">_xlfn.XLOOKUP(records_2[ID], dAir[roomNo], dAir[roomName])</f>
        <v>BLISTER PACKING-P (LOW RH) (BLISTER PACKING MACHINE)</v>
      </c>
      <c r="W617" s="47" t="str">
        <f t="array" ref="W617">_xlfn.XLOOKUP(records_2[ID], dAir[roomNo], dAir[building])</f>
        <v>Building 10</v>
      </c>
      <c r="X617" s="47" t="str">
        <f t="array" ref="X617">_xlfn.XLOOKUP(records_2[ID], dAir[roomNo], dAir[floor])</f>
        <v>Floor 1</v>
      </c>
      <c r="Y617" s="45" t="str">
        <f t="array" ref="Y617">_xlfn.XLOOKUP(records_2[ID], dAir[roomNo], dAir[Class])</f>
        <v>D</v>
      </c>
      <c r="Z617" s="45">
        <f t="array" ref="Z617">_xlfn.XLOOKUP(records_2[Method]&amp;"-"&amp;records_2[Class], dAirSpec[ID], dAirSpec[Spec])</f>
        <v>100</v>
      </c>
      <c r="AA617" s="45" t="str">
        <f t="array" ref="AA617">_xlfn.XLOOKUP(records_2[Method]&amp;"-"&amp;records_2[Class], dAirSpec[ID], dAirSpec[Unit])</f>
        <v>cfu/plate</v>
      </c>
      <c r="AB617" s="58">
        <f t="array" ref="AB617">if(R617="","", if(records_2[Method]="Active Air",_xlfn.xlookup(records_2[ColonyCount]&amp;records_2[AirSampler],feller[code],feller[Vc]),records_2[ColonyCount]))</f>
        <v>1</v>
      </c>
      <c r="AC617" s="60" t="b">
        <f t="shared" si="1"/>
        <v>1</v>
      </c>
      <c r="AD617" s="61" t="b">
        <v>0</v>
      </c>
      <c r="AE617" s="32" t="s">
        <v>280</v>
      </c>
      <c r="AF617" s="46"/>
      <c r="AG617" s="46"/>
      <c r="AH617" s="46"/>
      <c r="AI617" s="46"/>
      <c r="AJ617" s="46"/>
    </row>
    <row r="618" ht="22.5" customHeight="1">
      <c r="A618" s="27">
        <v>46129.0</v>
      </c>
      <c r="B618" s="34" t="str">
        <f t="array" ref="B618">TEXT(A618, "MM-YYYY")</f>
        <v>04-2026</v>
      </c>
      <c r="C618" s="39" t="s">
        <v>607</v>
      </c>
      <c r="D618" s="36" t="s">
        <v>210</v>
      </c>
      <c r="E618" s="36" t="s">
        <v>213</v>
      </c>
      <c r="F618" s="29" t="b">
        <v>1</v>
      </c>
      <c r="G618" s="36" t="s">
        <v>214</v>
      </c>
      <c r="H618" s="36" t="s">
        <v>215</v>
      </c>
      <c r="I618" s="39"/>
      <c r="J618" s="43"/>
      <c r="K618" s="37" t="s">
        <v>615</v>
      </c>
      <c r="L618" s="37" t="s">
        <v>2435</v>
      </c>
      <c r="M618" s="37" t="s">
        <v>2422</v>
      </c>
      <c r="N618" s="37" t="s">
        <v>2423</v>
      </c>
      <c r="O618" s="37" t="s">
        <v>2398</v>
      </c>
      <c r="P618" s="37" t="s">
        <v>2399</v>
      </c>
      <c r="Q618" s="41">
        <v>46160.0</v>
      </c>
      <c r="R618" s="42">
        <v>3.0</v>
      </c>
      <c r="S618" s="55"/>
      <c r="T618" s="37" t="s">
        <v>2424</v>
      </c>
      <c r="U618" s="45" t="str">
        <f>IF(records_2[Type]="Room",records_2[roomNo],records_2[roomNo]&amp;"-"&amp;SUBSTITUTE(RIGHT(records_2[roomNo]&amp;records_2[Type],2),"-",""))</f>
        <v>10-1-068</v>
      </c>
      <c r="V618" s="47" t="str">
        <f t="array" ref="V618">_xlfn.XLOOKUP(records_2[ID], dAir[roomNo], dAir[roomName])</f>
        <v>STRIP PACKING-P (LOW RH) (DRUM TIPPER) &amp; (STRIP PACKING MACHINE)</v>
      </c>
      <c r="W618" s="47" t="str">
        <f t="array" ref="W618">_xlfn.XLOOKUP(records_2[ID], dAir[roomNo], dAir[building])</f>
        <v>Building 10</v>
      </c>
      <c r="X618" s="47" t="str">
        <f t="array" ref="X618">_xlfn.XLOOKUP(records_2[ID], dAir[roomNo], dAir[floor])</f>
        <v>Floor 1</v>
      </c>
      <c r="Y618" s="45" t="str">
        <f t="array" ref="Y618">_xlfn.XLOOKUP(records_2[ID], dAir[roomNo], dAir[Class])</f>
        <v>D</v>
      </c>
      <c r="Z618" s="45">
        <f t="array" ref="Z618">_xlfn.XLOOKUP(records_2[Method]&amp;"-"&amp;records_2[Class], dAirSpec[ID], dAirSpec[Spec])</f>
        <v>100</v>
      </c>
      <c r="AA618" s="45" t="str">
        <f t="array" ref="AA618">_xlfn.XLOOKUP(records_2[Method]&amp;"-"&amp;records_2[Class], dAirSpec[ID], dAirSpec[Unit])</f>
        <v>cfu/plate</v>
      </c>
      <c r="AB618" s="58">
        <f t="array" ref="AB618">if(R618="","", if(records_2[Method]="Active Air",_xlfn.xlookup(records_2[ColonyCount]&amp;records_2[AirSampler],feller[code],feller[Vc]),records_2[ColonyCount]))</f>
        <v>3</v>
      </c>
      <c r="AC618" s="60" t="b">
        <f t="shared" si="1"/>
        <v>1</v>
      </c>
      <c r="AD618" s="61" t="b">
        <v>0</v>
      </c>
      <c r="AE618" s="32" t="s">
        <v>280</v>
      </c>
      <c r="AF618" s="46"/>
      <c r="AG618" s="46"/>
      <c r="AH618" s="46"/>
      <c r="AI618" s="46"/>
      <c r="AJ618" s="46"/>
    </row>
    <row r="619" ht="22.5" customHeight="1">
      <c r="A619" s="27">
        <v>46132.0</v>
      </c>
      <c r="B619" s="34" t="str">
        <f t="array" ref="B619">TEXT(A619, "MM-YYYY")</f>
        <v>04-2026</v>
      </c>
      <c r="C619" s="39" t="s">
        <v>753</v>
      </c>
      <c r="D619" s="36" t="s">
        <v>755</v>
      </c>
      <c r="E619" s="36" t="s">
        <v>531</v>
      </c>
      <c r="F619" s="29" t="b">
        <v>1</v>
      </c>
      <c r="G619" s="36" t="s">
        <v>214</v>
      </c>
      <c r="H619" s="36" t="s">
        <v>757</v>
      </c>
      <c r="I619" s="39">
        <v>3.1101125E8</v>
      </c>
      <c r="J619" s="40">
        <v>46240.0</v>
      </c>
      <c r="K619" s="37" t="s">
        <v>330</v>
      </c>
      <c r="L619" s="37" t="s">
        <v>2265</v>
      </c>
      <c r="M619" s="37" t="s">
        <v>194</v>
      </c>
      <c r="N619" s="37" t="s">
        <v>194</v>
      </c>
      <c r="O619" s="37" t="s">
        <v>2398</v>
      </c>
      <c r="P619" s="37" t="s">
        <v>2399</v>
      </c>
      <c r="Q619" s="41">
        <v>46160.0</v>
      </c>
      <c r="R619" s="42">
        <v>0.0</v>
      </c>
      <c r="S619" s="55"/>
      <c r="T619" s="37" t="s">
        <v>2447</v>
      </c>
      <c r="U619" s="45" t="str">
        <f>IF(records_2[Type]="Room",records_2[roomNo],records_2[roomNo]&amp;"-"&amp;SUBSTITUTE(RIGHT(records_2[roomNo]&amp;records_2[Type],2),"-",""))</f>
        <v>16-1-075-M</v>
      </c>
      <c r="V619" s="47" t="str">
        <f t="array" ref="V619">_xlfn.XLOOKUP(records_2[ID], dAir[roomNo], dAir[roomName])</f>
        <v>VIALS CAPPING (Machine)</v>
      </c>
      <c r="W619" s="47" t="str">
        <f t="array" ref="W619">_xlfn.XLOOKUP(records_2[ID], dAir[roomNo], dAir[building])</f>
        <v>Building 16</v>
      </c>
      <c r="X619" s="47" t="str">
        <f t="array" ref="X619">_xlfn.XLOOKUP(records_2[ID], dAir[roomNo], dAir[floor])</f>
        <v>Floor 1</v>
      </c>
      <c r="Y619" s="45" t="str">
        <f t="array" ref="Y619">_xlfn.XLOOKUP(records_2[ID], dAir[roomNo], dAir[Class])</f>
        <v>A</v>
      </c>
      <c r="Z619" s="45">
        <f t="array" ref="Z619">_xlfn.XLOOKUP(records_2[Method]&amp;"-"&amp;records_2[Class], dAirSpec[ID], dAirSpec[Spec])</f>
        <v>0</v>
      </c>
      <c r="AA619" s="45" t="str">
        <f t="array" ref="AA619">_xlfn.XLOOKUP(records_2[Method]&amp;"-"&amp;records_2[Class], dAirSpec[ID], dAirSpec[Unit])</f>
        <v>cfu/m3</v>
      </c>
      <c r="AB619" s="45">
        <f t="array" ref="AB619">if(R619="","", if(records_2[Method]="Active Air",_xlfn.xlookup(records_2[ColonyCount]&amp;records_2[AirSampler],feller[code],feller[Vc]),records_2[ColonyCount]))</f>
        <v>0</v>
      </c>
      <c r="AC619" s="60" t="b">
        <f t="shared" si="1"/>
        <v>1</v>
      </c>
      <c r="AD619" s="61" t="b">
        <v>0</v>
      </c>
      <c r="AE619" s="32" t="s">
        <v>280</v>
      </c>
      <c r="AF619" s="46"/>
      <c r="AG619" s="46"/>
      <c r="AH619" s="46"/>
      <c r="AI619" s="46"/>
      <c r="AJ619" s="46"/>
    </row>
    <row r="620" ht="22.5" customHeight="1">
      <c r="A620" s="27">
        <v>46132.0</v>
      </c>
      <c r="B620" s="34" t="str">
        <f t="array" ref="B620">TEXT(A620, "MM-YYYY")</f>
        <v>04-2026</v>
      </c>
      <c r="C620" s="39" t="s">
        <v>765</v>
      </c>
      <c r="D620" s="36" t="s">
        <v>755</v>
      </c>
      <c r="E620" s="36" t="s">
        <v>531</v>
      </c>
      <c r="F620" s="29" t="b">
        <v>1</v>
      </c>
      <c r="G620" s="36" t="s">
        <v>214</v>
      </c>
      <c r="H620" s="36" t="s">
        <v>757</v>
      </c>
      <c r="I620" s="39">
        <v>3.1101125E8</v>
      </c>
      <c r="J620" s="40">
        <v>46240.0</v>
      </c>
      <c r="K620" s="37" t="s">
        <v>326</v>
      </c>
      <c r="L620" s="37" t="s">
        <v>2439</v>
      </c>
      <c r="M620" s="37" t="s">
        <v>194</v>
      </c>
      <c r="N620" s="37" t="s">
        <v>194</v>
      </c>
      <c r="O620" s="37" t="s">
        <v>2398</v>
      </c>
      <c r="P620" s="37" t="s">
        <v>2399</v>
      </c>
      <c r="Q620" s="41">
        <v>46160.0</v>
      </c>
      <c r="R620" s="42">
        <v>0.0</v>
      </c>
      <c r="S620" s="55"/>
      <c r="T620" s="37" t="s">
        <v>2447</v>
      </c>
      <c r="U620" s="45" t="str">
        <f>IF(records_2[Type]="Room",records_2[roomNo],records_2[roomNo]&amp;"-"&amp;SUBSTITUTE(RIGHT(records_2[roomNo]&amp;records_2[Type],2),"-",""))</f>
        <v>16-1-076-M</v>
      </c>
      <c r="V620" s="47" t="str">
        <f t="array" ref="V620">_xlfn.XLOOKUP(records_2[ID], dAir[roomNo], dAir[roomName])</f>
        <v>FILLING 2 (Machine)</v>
      </c>
      <c r="W620" s="47" t="str">
        <f t="array" ref="W620">_xlfn.XLOOKUP(records_2[ID], dAir[roomNo], dAir[building])</f>
        <v>Building 16</v>
      </c>
      <c r="X620" s="47" t="str">
        <f t="array" ref="X620">_xlfn.XLOOKUP(records_2[ID], dAir[roomNo], dAir[floor])</f>
        <v>Floor 1</v>
      </c>
      <c r="Y620" s="45" t="str">
        <f t="array" ref="Y620">_xlfn.XLOOKUP(records_2[ID], dAir[roomNo], dAir[Class])</f>
        <v>A</v>
      </c>
      <c r="Z620" s="45">
        <f t="array" ref="Z620">_xlfn.XLOOKUP(records_2[Method]&amp;"-"&amp;records_2[Class], dAirSpec[ID], dAirSpec[Spec])</f>
        <v>0</v>
      </c>
      <c r="AA620" s="45" t="str">
        <f t="array" ref="AA620">_xlfn.XLOOKUP(records_2[Method]&amp;"-"&amp;records_2[Class], dAirSpec[ID], dAirSpec[Unit])</f>
        <v>cfu/m3</v>
      </c>
      <c r="AB620" s="45">
        <f t="array" ref="AB620">if(R620="","", if(records_2[Method]="Active Air",_xlfn.xlookup(records_2[ColonyCount]&amp;records_2[AirSampler],feller[code],feller[Vc]),records_2[ColonyCount]))</f>
        <v>0</v>
      </c>
      <c r="AC620" s="60" t="b">
        <f t="shared" si="1"/>
        <v>1</v>
      </c>
      <c r="AD620" s="61" t="b">
        <v>0</v>
      </c>
      <c r="AE620" s="32" t="s">
        <v>280</v>
      </c>
      <c r="AF620" s="46"/>
      <c r="AG620" s="46"/>
      <c r="AH620" s="46"/>
      <c r="AI620" s="46"/>
      <c r="AJ620" s="46"/>
    </row>
    <row r="621" ht="22.5" customHeight="1">
      <c r="A621" s="27">
        <v>46132.0</v>
      </c>
      <c r="B621" s="34" t="str">
        <f t="array" ref="B621">TEXT(A621, "MM-YYYY")</f>
        <v>04-2026</v>
      </c>
      <c r="C621" s="39" t="s">
        <v>765</v>
      </c>
      <c r="D621" s="36" t="s">
        <v>770</v>
      </c>
      <c r="E621" s="36" t="s">
        <v>531</v>
      </c>
      <c r="F621" s="29" t="b">
        <v>1</v>
      </c>
      <c r="G621" s="36" t="s">
        <v>214</v>
      </c>
      <c r="H621" s="36" t="s">
        <v>757</v>
      </c>
      <c r="I621" s="39">
        <v>3.1101125E8</v>
      </c>
      <c r="J621" s="40">
        <v>46240.0</v>
      </c>
      <c r="K621" s="37" t="s">
        <v>326</v>
      </c>
      <c r="L621" s="37" t="s">
        <v>2439</v>
      </c>
      <c r="M621" s="37" t="s">
        <v>194</v>
      </c>
      <c r="N621" s="37" t="s">
        <v>194</v>
      </c>
      <c r="O621" s="37" t="s">
        <v>2398</v>
      </c>
      <c r="P621" s="37" t="s">
        <v>2399</v>
      </c>
      <c r="Q621" s="41">
        <v>46160.0</v>
      </c>
      <c r="R621" s="42">
        <v>0.0</v>
      </c>
      <c r="S621" s="55"/>
      <c r="T621" s="37" t="s">
        <v>2447</v>
      </c>
      <c r="U621" s="45" t="str">
        <f>IF(records_2[Type]="Room",records_2[roomNo],records_2[roomNo]&amp;"-"&amp;SUBSTITUTE(RIGHT(records_2[roomNo]&amp;records_2[Type],2),"-",""))</f>
        <v>16-1-076-L</v>
      </c>
      <c r="V621" s="47" t="str">
        <f t="array" ref="V621">_xlfn.XLOOKUP(records_2[ID], dAir[roomNo], dAir[roomName])</f>
        <v>FILLING 2 (Laminar)</v>
      </c>
      <c r="W621" s="47" t="str">
        <f t="array" ref="W621">_xlfn.XLOOKUP(records_2[ID], dAir[roomNo], dAir[building])</f>
        <v>Building 16</v>
      </c>
      <c r="X621" s="47" t="str">
        <f t="array" ref="X621">_xlfn.XLOOKUP(records_2[ID], dAir[roomNo], dAir[floor])</f>
        <v>Floor 1</v>
      </c>
      <c r="Y621" s="45" t="str">
        <f t="array" ref="Y621">_xlfn.XLOOKUP(records_2[ID], dAir[roomNo], dAir[Class])</f>
        <v>A</v>
      </c>
      <c r="Z621" s="45">
        <f t="array" ref="Z621">_xlfn.XLOOKUP(records_2[Method]&amp;"-"&amp;records_2[Class], dAirSpec[ID], dAirSpec[Spec])</f>
        <v>0</v>
      </c>
      <c r="AA621" s="45" t="str">
        <f t="array" ref="AA621">_xlfn.XLOOKUP(records_2[Method]&amp;"-"&amp;records_2[Class], dAirSpec[ID], dAirSpec[Unit])</f>
        <v>cfu/m3</v>
      </c>
      <c r="AB621" s="45">
        <f t="array" ref="AB621">if(R621="","", if(records_2[Method]="Active Air",_xlfn.xlookup(records_2[ColonyCount]&amp;records_2[AirSampler],feller[code],feller[Vc]),records_2[ColonyCount]))</f>
        <v>0</v>
      </c>
      <c r="AC621" s="60" t="b">
        <f t="shared" si="1"/>
        <v>1</v>
      </c>
      <c r="AD621" s="61" t="b">
        <v>0</v>
      </c>
      <c r="AE621" s="32" t="s">
        <v>280</v>
      </c>
      <c r="AF621" s="46"/>
      <c r="AG621" s="46"/>
      <c r="AH621" s="46"/>
      <c r="AI621" s="46"/>
      <c r="AJ621" s="46"/>
    </row>
    <row r="622" ht="22.5" customHeight="1">
      <c r="A622" s="27">
        <v>46132.0</v>
      </c>
      <c r="B622" s="34" t="str">
        <f t="array" ref="B622">TEXT(A622, "MM-YYYY")</f>
        <v>04-2026</v>
      </c>
      <c r="C622" s="39" t="s">
        <v>774</v>
      </c>
      <c r="D622" s="36" t="s">
        <v>755</v>
      </c>
      <c r="E622" s="36" t="s">
        <v>531</v>
      </c>
      <c r="F622" s="29" t="b">
        <v>1</v>
      </c>
      <c r="G622" s="36" t="s">
        <v>214</v>
      </c>
      <c r="H622" s="36" t="s">
        <v>757</v>
      </c>
      <c r="I622" s="39">
        <v>3.1101125E8</v>
      </c>
      <c r="J622" s="40">
        <v>46240.0</v>
      </c>
      <c r="K622" s="37" t="s">
        <v>787</v>
      </c>
      <c r="L622" s="37" t="s">
        <v>1495</v>
      </c>
      <c r="M622" s="37" t="s">
        <v>194</v>
      </c>
      <c r="N622" s="37" t="s">
        <v>194</v>
      </c>
      <c r="O622" s="37" t="s">
        <v>2398</v>
      </c>
      <c r="P622" s="37" t="s">
        <v>2399</v>
      </c>
      <c r="Q622" s="41">
        <v>46160.0</v>
      </c>
      <c r="R622" s="42">
        <v>0.0</v>
      </c>
      <c r="S622" s="55"/>
      <c r="T622" s="37" t="s">
        <v>2447</v>
      </c>
      <c r="U622" s="45" t="str">
        <f>IF(records_2[Type]="Room",records_2[roomNo],records_2[roomNo]&amp;"-"&amp;SUBSTITUTE(RIGHT(records_2[roomNo]&amp;records_2[Type],2),"-",""))</f>
        <v>16-1-084-M</v>
      </c>
      <c r="V622" s="47" t="str">
        <f t="array" ref="V622">_xlfn.XLOOKUP(records_2[ID], dAir[roomNo], dAir[roomName])</f>
        <v>FILLING 1 (Machine)</v>
      </c>
      <c r="W622" s="47" t="str">
        <f t="array" ref="W622">_xlfn.XLOOKUP(records_2[ID], dAir[roomNo], dAir[building])</f>
        <v>Building 16</v>
      </c>
      <c r="X622" s="47" t="str">
        <f t="array" ref="X622">_xlfn.XLOOKUP(records_2[ID], dAir[roomNo], dAir[floor])</f>
        <v>Floor 1</v>
      </c>
      <c r="Y622" s="45" t="str">
        <f t="array" ref="Y622">_xlfn.XLOOKUP(records_2[ID], dAir[roomNo], dAir[Class])</f>
        <v>A</v>
      </c>
      <c r="Z622" s="45">
        <f t="array" ref="Z622">_xlfn.XLOOKUP(records_2[Method]&amp;"-"&amp;records_2[Class], dAirSpec[ID], dAirSpec[Spec])</f>
        <v>0</v>
      </c>
      <c r="AA622" s="45" t="str">
        <f t="array" ref="AA622">_xlfn.XLOOKUP(records_2[Method]&amp;"-"&amp;records_2[Class], dAirSpec[ID], dAirSpec[Unit])</f>
        <v>cfu/m3</v>
      </c>
      <c r="AB622" s="45">
        <f t="array" ref="AB622">if(R622="","", if(records_2[Method]="Active Air",_xlfn.xlookup(records_2[ColonyCount]&amp;records_2[AirSampler],feller[code],feller[Vc]),records_2[ColonyCount]))</f>
        <v>0</v>
      </c>
      <c r="AC622" s="60" t="b">
        <f t="shared" si="1"/>
        <v>1</v>
      </c>
      <c r="AD622" s="61" t="b">
        <v>0</v>
      </c>
      <c r="AE622" s="32" t="s">
        <v>280</v>
      </c>
      <c r="AF622" s="46"/>
      <c r="AG622" s="46"/>
      <c r="AH622" s="46"/>
      <c r="AI622" s="46"/>
      <c r="AJ622" s="46"/>
    </row>
    <row r="623" ht="22.5" customHeight="1">
      <c r="A623" s="27">
        <v>46132.0</v>
      </c>
      <c r="B623" s="34" t="str">
        <f t="array" ref="B623">TEXT(A623, "MM-YYYY")</f>
        <v>04-2026</v>
      </c>
      <c r="C623" s="39" t="s">
        <v>774</v>
      </c>
      <c r="D623" s="36" t="s">
        <v>770</v>
      </c>
      <c r="E623" s="36" t="s">
        <v>531</v>
      </c>
      <c r="F623" s="29" t="b">
        <v>1</v>
      </c>
      <c r="G623" s="36" t="s">
        <v>214</v>
      </c>
      <c r="H623" s="36" t="s">
        <v>757</v>
      </c>
      <c r="I623" s="39">
        <v>3.1101125E8</v>
      </c>
      <c r="J623" s="40">
        <v>46240.0</v>
      </c>
      <c r="K623" s="37" t="s">
        <v>787</v>
      </c>
      <c r="L623" s="37" t="s">
        <v>1495</v>
      </c>
      <c r="M623" s="37" t="s">
        <v>194</v>
      </c>
      <c r="N623" s="37" t="s">
        <v>194</v>
      </c>
      <c r="O623" s="37" t="s">
        <v>2398</v>
      </c>
      <c r="P623" s="37" t="s">
        <v>2399</v>
      </c>
      <c r="Q623" s="41">
        <v>46160.0</v>
      </c>
      <c r="R623" s="42">
        <v>0.0</v>
      </c>
      <c r="S623" s="55"/>
      <c r="T623" s="37" t="s">
        <v>2447</v>
      </c>
      <c r="U623" s="45" t="str">
        <f>IF(records_2[Type]="Room",records_2[roomNo],records_2[roomNo]&amp;"-"&amp;SUBSTITUTE(RIGHT(records_2[roomNo]&amp;records_2[Type],2),"-",""))</f>
        <v>16-1-084-L</v>
      </c>
      <c r="V623" s="47" t="str">
        <f t="array" ref="V623">_xlfn.XLOOKUP(records_2[ID], dAir[roomNo], dAir[roomName])</f>
        <v>FILLING 1 (Laminar)</v>
      </c>
      <c r="W623" s="47" t="str">
        <f t="array" ref="W623">_xlfn.XLOOKUP(records_2[ID], dAir[roomNo], dAir[building])</f>
        <v>Building 16</v>
      </c>
      <c r="X623" s="47" t="str">
        <f t="array" ref="X623">_xlfn.XLOOKUP(records_2[ID], dAir[roomNo], dAir[floor])</f>
        <v>Floor 1</v>
      </c>
      <c r="Y623" s="45" t="str">
        <f t="array" ref="Y623">_xlfn.XLOOKUP(records_2[ID], dAir[roomNo], dAir[Class])</f>
        <v>A</v>
      </c>
      <c r="Z623" s="45">
        <f t="array" ref="Z623">_xlfn.XLOOKUP(records_2[Method]&amp;"-"&amp;records_2[Class], dAirSpec[ID], dAirSpec[Spec])</f>
        <v>0</v>
      </c>
      <c r="AA623" s="45" t="str">
        <f t="array" ref="AA623">_xlfn.XLOOKUP(records_2[Method]&amp;"-"&amp;records_2[Class], dAirSpec[ID], dAirSpec[Unit])</f>
        <v>cfu/m3</v>
      </c>
      <c r="AB623" s="45">
        <f t="array" ref="AB623">if(R623="","", if(records_2[Method]="Active Air",_xlfn.xlookup(records_2[ColonyCount]&amp;records_2[AirSampler],feller[code],feller[Vc]),records_2[ColonyCount]))</f>
        <v>0</v>
      </c>
      <c r="AC623" s="60" t="b">
        <f t="shared" si="1"/>
        <v>1</v>
      </c>
      <c r="AD623" s="61" t="b">
        <v>0</v>
      </c>
      <c r="AE623" s="32" t="s">
        <v>280</v>
      </c>
      <c r="AF623" s="46"/>
      <c r="AG623" s="46"/>
      <c r="AH623" s="46"/>
      <c r="AI623" s="46"/>
      <c r="AJ623" s="46"/>
    </row>
    <row r="624" ht="22.5" customHeight="1">
      <c r="A624" s="27">
        <v>46132.0</v>
      </c>
      <c r="B624" s="34" t="str">
        <f t="array" ref="B624">TEXT(A624, "MM-YYYY")</f>
        <v>04-2026</v>
      </c>
      <c r="C624" s="32" t="s">
        <v>786</v>
      </c>
      <c r="D624" s="21" t="s">
        <v>680</v>
      </c>
      <c r="E624" s="36" t="s">
        <v>531</v>
      </c>
      <c r="F624" s="29" t="b">
        <v>1</v>
      </c>
      <c r="G624" s="36" t="s">
        <v>214</v>
      </c>
      <c r="H624" s="36" t="s">
        <v>757</v>
      </c>
      <c r="I624" s="39">
        <v>3.1101125E8</v>
      </c>
      <c r="J624" s="40">
        <v>46240.0</v>
      </c>
      <c r="K624" s="37" t="s">
        <v>596</v>
      </c>
      <c r="L624" s="37" t="s">
        <v>2382</v>
      </c>
      <c r="M624" s="37" t="s">
        <v>194</v>
      </c>
      <c r="N624" s="37" t="s">
        <v>194</v>
      </c>
      <c r="O624" s="37" t="s">
        <v>2398</v>
      </c>
      <c r="P624" s="37" t="s">
        <v>2399</v>
      </c>
      <c r="Q624" s="41">
        <v>46160.0</v>
      </c>
      <c r="R624" s="42">
        <v>3.0</v>
      </c>
      <c r="S624" s="55"/>
      <c r="T624" s="37" t="s">
        <v>2447</v>
      </c>
      <c r="U624" s="45" t="str">
        <f>IF(records_2[Type]="Room",records_2[roomNo],records_2[roomNo]&amp;"-"&amp;SUBSTITUTE(RIGHT(records_2[roomNo]&amp;records_2[Type],2),"-",""))</f>
        <v>16-1-102-B</v>
      </c>
      <c r="V624" s="47" t="str">
        <f t="array" ref="V624">_xlfn.XLOOKUP(records_2[ID], dAir[roomNo], dAir[roomName])</f>
        <v>DISPENSING (Booth)</v>
      </c>
      <c r="W624" s="47" t="str">
        <f t="array" ref="W624">_xlfn.XLOOKUP(records_2[ID], dAir[roomNo], dAir[building])</f>
        <v>Building 16</v>
      </c>
      <c r="X624" s="47" t="str">
        <f t="array" ref="X624">_xlfn.XLOOKUP(records_2[ID], dAir[roomNo], dAir[floor])</f>
        <v>Floor 1</v>
      </c>
      <c r="Y624" s="45" t="str">
        <f t="array" ref="Y624">_xlfn.XLOOKUP(records_2[ID], dAir[roomNo], dAir[Class])</f>
        <v>A</v>
      </c>
      <c r="Z624" s="45">
        <f t="array" ref="Z624">_xlfn.XLOOKUP(records_2[Method]&amp;"-"&amp;records_2[Class], dAirSpec[ID], dAirSpec[Spec])</f>
        <v>0</v>
      </c>
      <c r="AA624" s="45" t="str">
        <f t="array" ref="AA624">_xlfn.XLOOKUP(records_2[Method]&amp;"-"&amp;records_2[Class], dAirSpec[ID], dAirSpec[Unit])</f>
        <v>cfu/m3</v>
      </c>
      <c r="AB624" s="45">
        <f t="array" ref="AB624">if(R624="","", if(records_2[Method]="Active Air",_xlfn.xlookup(records_2[ColonyCount]&amp;records_2[AirSampler],feller[code],feller[Vc]),records_2[ColonyCount]))</f>
        <v>3</v>
      </c>
      <c r="AC624" s="60" t="b">
        <f t="shared" si="1"/>
        <v>0</v>
      </c>
      <c r="AD624" s="61" t="b">
        <v>0</v>
      </c>
      <c r="AE624" s="32" t="s">
        <v>280</v>
      </c>
      <c r="AF624" s="46"/>
      <c r="AG624" s="46"/>
      <c r="AH624" s="46"/>
      <c r="AI624" s="46"/>
      <c r="AJ624" s="46"/>
    </row>
    <row r="625" ht="22.5" customHeight="1">
      <c r="A625" s="27">
        <v>46136.0</v>
      </c>
      <c r="B625" s="34" t="str">
        <f t="array" ref="B625">TEXT(A625, "MM-YYYY")</f>
        <v>04-2026</v>
      </c>
      <c r="C625" s="32" t="s">
        <v>255</v>
      </c>
      <c r="D625" s="36" t="s">
        <v>210</v>
      </c>
      <c r="E625" s="36" t="s">
        <v>213</v>
      </c>
      <c r="F625" s="29" t="b">
        <v>1</v>
      </c>
      <c r="G625" s="36" t="s">
        <v>214</v>
      </c>
      <c r="H625" s="36" t="s">
        <v>215</v>
      </c>
      <c r="I625" s="39"/>
      <c r="J625" s="40"/>
      <c r="K625" s="37" t="s">
        <v>194</v>
      </c>
      <c r="L625" s="37" t="s">
        <v>194</v>
      </c>
      <c r="M625" s="37" t="s">
        <v>194</v>
      </c>
      <c r="N625" s="37" t="s">
        <v>194</v>
      </c>
      <c r="O625" s="37" t="s">
        <v>2398</v>
      </c>
      <c r="P625" s="37" t="s">
        <v>2399</v>
      </c>
      <c r="Q625" s="41">
        <v>46160.0</v>
      </c>
      <c r="R625" s="42">
        <v>0.0</v>
      </c>
      <c r="S625" s="55"/>
      <c r="T625" s="37" t="s">
        <v>2448</v>
      </c>
      <c r="U625" s="45" t="str">
        <f>IF(records_2[Type]="Room",records_2[roomNo],records_2[roomNo]&amp;"-"&amp;SUBSTITUTE(RIGHT(records_2[roomNo]&amp;records_2[Type],2),"-",""))</f>
        <v>10-1-030</v>
      </c>
      <c r="V625" s="47" t="str">
        <f t="array" ref="V625">_xlfn.XLOOKUP(records_2[ID], dAir[roomNo], dAir[roomName])</f>
        <v>AIRLOCK</v>
      </c>
      <c r="W625" s="47" t="str">
        <f t="array" ref="W625">_xlfn.XLOOKUP(records_2[ID], dAir[roomNo], dAir[building])</f>
        <v>Building 10</v>
      </c>
      <c r="X625" s="47" t="str">
        <f t="array" ref="X625">_xlfn.XLOOKUP(records_2[ID], dAir[roomNo], dAir[floor])</f>
        <v>Floor 1</v>
      </c>
      <c r="Y625" s="45" t="str">
        <f t="array" ref="Y625">_xlfn.XLOOKUP(records_2[ID], dAir[roomNo], dAir[Class])</f>
        <v>D</v>
      </c>
      <c r="Z625" s="45">
        <f t="array" ref="Z625">_xlfn.XLOOKUP(records_2[Method]&amp;"-"&amp;records_2[Class], dAirSpec[ID], dAirSpec[Spec])</f>
        <v>100</v>
      </c>
      <c r="AA625" s="45" t="str">
        <f t="array" ref="AA625">_xlfn.XLOOKUP(records_2[Method]&amp;"-"&amp;records_2[Class], dAirSpec[ID], dAirSpec[Unit])</f>
        <v>cfu/plate</v>
      </c>
      <c r="AB625" s="58">
        <f t="array" ref="AB625">if(R625="","", if(records_2[Method]="Active Air",_xlfn.xlookup(records_2[ColonyCount]&amp;records_2[AirSampler],feller[code],feller[Vc]),records_2[ColonyCount]))</f>
        <v>0</v>
      </c>
      <c r="AC625" s="60" t="b">
        <f t="shared" si="1"/>
        <v>1</v>
      </c>
      <c r="AD625" s="61" t="b">
        <v>0</v>
      </c>
      <c r="AE625" s="32" t="s">
        <v>280</v>
      </c>
      <c r="AF625" s="46"/>
      <c r="AG625" s="46"/>
      <c r="AH625" s="46"/>
      <c r="AI625" s="46"/>
      <c r="AJ625" s="46"/>
    </row>
    <row r="626" ht="22.5" customHeight="1">
      <c r="A626" s="27">
        <v>46136.0</v>
      </c>
      <c r="B626" s="34" t="str">
        <f t="array" ref="B626">TEXT(A626, "MM-YYYY")</f>
        <v>04-2026</v>
      </c>
      <c r="C626" s="32" t="s">
        <v>290</v>
      </c>
      <c r="D626" s="36" t="s">
        <v>210</v>
      </c>
      <c r="E626" s="36" t="s">
        <v>213</v>
      </c>
      <c r="F626" s="29" t="b">
        <v>1</v>
      </c>
      <c r="G626" s="36" t="s">
        <v>214</v>
      </c>
      <c r="H626" s="36" t="s">
        <v>215</v>
      </c>
      <c r="I626" s="39"/>
      <c r="J626" s="40"/>
      <c r="K626" s="37" t="s">
        <v>194</v>
      </c>
      <c r="L626" s="37" t="s">
        <v>194</v>
      </c>
      <c r="M626" s="37" t="s">
        <v>194</v>
      </c>
      <c r="N626" s="37" t="s">
        <v>194</v>
      </c>
      <c r="O626" s="37" t="s">
        <v>2398</v>
      </c>
      <c r="P626" s="37" t="s">
        <v>2399</v>
      </c>
      <c r="Q626" s="41">
        <v>46160.0</v>
      </c>
      <c r="R626" s="42">
        <v>0.0</v>
      </c>
      <c r="S626" s="55"/>
      <c r="T626" s="37" t="s">
        <v>2448</v>
      </c>
      <c r="U626" s="45" t="str">
        <f>IF(records_2[Type]="Room",records_2[roomNo],records_2[roomNo]&amp;"-"&amp;SUBSTITUTE(RIGHT(records_2[roomNo]&amp;records_2[Type],2),"-",""))</f>
        <v>10-1-031</v>
      </c>
      <c r="V626" s="47" t="str">
        <f t="array" ref="V626">_xlfn.XLOOKUP(records_2[ID], dAir[roomNo], dAir[roomName])</f>
        <v>BULK STAGING 1</v>
      </c>
      <c r="W626" s="47" t="str">
        <f t="array" ref="W626">_xlfn.XLOOKUP(records_2[ID], dAir[roomNo], dAir[building])</f>
        <v>Building 10</v>
      </c>
      <c r="X626" s="47" t="str">
        <f t="array" ref="X626">_xlfn.XLOOKUP(records_2[ID], dAir[roomNo], dAir[floor])</f>
        <v>Floor 1</v>
      </c>
      <c r="Y626" s="45" t="str">
        <f t="array" ref="Y626">_xlfn.XLOOKUP(records_2[ID], dAir[roomNo], dAir[Class])</f>
        <v>D</v>
      </c>
      <c r="Z626" s="45">
        <f t="array" ref="Z626">_xlfn.XLOOKUP(records_2[Method]&amp;"-"&amp;records_2[Class], dAirSpec[ID], dAirSpec[Spec])</f>
        <v>100</v>
      </c>
      <c r="AA626" s="45" t="str">
        <f t="array" ref="AA626">_xlfn.XLOOKUP(records_2[Method]&amp;"-"&amp;records_2[Class], dAirSpec[ID], dAirSpec[Unit])</f>
        <v>cfu/plate</v>
      </c>
      <c r="AB626" s="58">
        <f t="array" ref="AB626">if(R626="","", if(records_2[Method]="Active Air",_xlfn.xlookup(records_2[ColonyCount]&amp;records_2[AirSampler],feller[code],feller[Vc]),records_2[ColonyCount]))</f>
        <v>0</v>
      </c>
      <c r="AC626" s="60" t="b">
        <f t="shared" si="1"/>
        <v>1</v>
      </c>
      <c r="AD626" s="61" t="b">
        <v>0</v>
      </c>
      <c r="AE626" s="32" t="s">
        <v>280</v>
      </c>
      <c r="AF626" s="46"/>
      <c r="AG626" s="46"/>
      <c r="AH626" s="46"/>
      <c r="AI626" s="46"/>
      <c r="AJ626" s="46"/>
    </row>
    <row r="627" ht="22.5" customHeight="1">
      <c r="A627" s="27">
        <v>46136.0</v>
      </c>
      <c r="B627" s="34" t="str">
        <f t="array" ref="B627">TEXT(A627, "MM-YYYY")</f>
        <v>04-2026</v>
      </c>
      <c r="C627" s="32" t="s">
        <v>301</v>
      </c>
      <c r="D627" s="36" t="s">
        <v>210</v>
      </c>
      <c r="E627" s="36" t="s">
        <v>213</v>
      </c>
      <c r="F627" s="29" t="b">
        <v>1</v>
      </c>
      <c r="G627" s="36" t="s">
        <v>214</v>
      </c>
      <c r="H627" s="36" t="s">
        <v>215</v>
      </c>
      <c r="I627" s="39"/>
      <c r="J627" s="40"/>
      <c r="K627" s="37" t="s">
        <v>194</v>
      </c>
      <c r="L627" s="37" t="s">
        <v>194</v>
      </c>
      <c r="M627" s="37" t="s">
        <v>194</v>
      </c>
      <c r="N627" s="37" t="s">
        <v>194</v>
      </c>
      <c r="O627" s="37" t="s">
        <v>2398</v>
      </c>
      <c r="P627" s="37" t="s">
        <v>2399</v>
      </c>
      <c r="Q627" s="41">
        <v>46160.0</v>
      </c>
      <c r="R627" s="42">
        <v>0.0</v>
      </c>
      <c r="S627" s="55"/>
      <c r="T627" s="37" t="s">
        <v>2448</v>
      </c>
      <c r="U627" s="45" t="str">
        <f>IF(records_2[Type]="Room",records_2[roomNo],records_2[roomNo]&amp;"-"&amp;SUBSTITUTE(RIGHT(records_2[roomNo]&amp;records_2[Type],2),"-",""))</f>
        <v>10-1-032</v>
      </c>
      <c r="V627" s="47" t="str">
        <f t="array" ref="V627">_xlfn.XLOOKUP(records_2[ID], dAir[roomNo], dAir[roomName])</f>
        <v>BULK STAGING 2</v>
      </c>
      <c r="W627" s="47" t="str">
        <f t="array" ref="W627">_xlfn.XLOOKUP(records_2[ID], dAir[roomNo], dAir[building])</f>
        <v>Building 10</v>
      </c>
      <c r="X627" s="47" t="str">
        <f t="array" ref="X627">_xlfn.XLOOKUP(records_2[ID], dAir[roomNo], dAir[floor])</f>
        <v>Floor 1</v>
      </c>
      <c r="Y627" s="45" t="str">
        <f t="array" ref="Y627">_xlfn.XLOOKUP(records_2[ID], dAir[roomNo], dAir[Class])</f>
        <v>D</v>
      </c>
      <c r="Z627" s="45">
        <f t="array" ref="Z627">_xlfn.XLOOKUP(records_2[Method]&amp;"-"&amp;records_2[Class], dAirSpec[ID], dAirSpec[Spec])</f>
        <v>100</v>
      </c>
      <c r="AA627" s="45" t="str">
        <f t="array" ref="AA627">_xlfn.XLOOKUP(records_2[Method]&amp;"-"&amp;records_2[Class], dAirSpec[ID], dAirSpec[Unit])</f>
        <v>cfu/plate</v>
      </c>
      <c r="AB627" s="58">
        <f t="array" ref="AB627">if(R627="","", if(records_2[Method]="Active Air",_xlfn.xlookup(records_2[ColonyCount]&amp;records_2[AirSampler],feller[code],feller[Vc]),records_2[ColonyCount]))</f>
        <v>0</v>
      </c>
      <c r="AC627" s="60" t="b">
        <f t="shared" si="1"/>
        <v>1</v>
      </c>
      <c r="AD627" s="61" t="b">
        <v>0</v>
      </c>
      <c r="AE627" s="32" t="s">
        <v>280</v>
      </c>
      <c r="AF627" s="46"/>
      <c r="AG627" s="46"/>
      <c r="AH627" s="46"/>
      <c r="AI627" s="46"/>
      <c r="AJ627" s="46"/>
    </row>
    <row r="628" ht="22.5" customHeight="1">
      <c r="A628" s="27">
        <v>46136.0</v>
      </c>
      <c r="B628" s="34" t="str">
        <f t="array" ref="B628">TEXT(A628, "MM-YYYY")</f>
        <v>04-2026</v>
      </c>
      <c r="C628" s="32" t="s">
        <v>313</v>
      </c>
      <c r="D628" s="36" t="s">
        <v>210</v>
      </c>
      <c r="E628" s="36" t="s">
        <v>213</v>
      </c>
      <c r="F628" s="29" t="b">
        <v>1</v>
      </c>
      <c r="G628" s="36" t="s">
        <v>214</v>
      </c>
      <c r="H628" s="36" t="s">
        <v>215</v>
      </c>
      <c r="I628" s="39"/>
      <c r="J628" s="40"/>
      <c r="K628" s="37" t="s">
        <v>194</v>
      </c>
      <c r="L628" s="37" t="s">
        <v>194</v>
      </c>
      <c r="M628" s="37" t="s">
        <v>194</v>
      </c>
      <c r="N628" s="37" t="s">
        <v>194</v>
      </c>
      <c r="O628" s="37" t="s">
        <v>2398</v>
      </c>
      <c r="P628" s="37" t="s">
        <v>2399</v>
      </c>
      <c r="Q628" s="41">
        <v>46160.0</v>
      </c>
      <c r="R628" s="42">
        <v>1.0</v>
      </c>
      <c r="S628" s="55"/>
      <c r="T628" s="37" t="s">
        <v>2448</v>
      </c>
      <c r="U628" s="45" t="str">
        <f>IF(records_2[Type]="Room",records_2[roomNo],records_2[roomNo]&amp;"-"&amp;SUBSTITUTE(RIGHT(records_2[roomNo]&amp;records_2[Type],2),"-",""))</f>
        <v>10-1-033</v>
      </c>
      <c r="V628" s="47" t="str">
        <f t="array" ref="V628">_xlfn.XLOOKUP(records_2[ID], dAir[roomNo], dAir[roomName])</f>
        <v>JANITOR</v>
      </c>
      <c r="W628" s="47" t="str">
        <f t="array" ref="W628">_xlfn.XLOOKUP(records_2[ID], dAir[roomNo], dAir[building])</f>
        <v>Building 10</v>
      </c>
      <c r="X628" s="47" t="str">
        <f t="array" ref="X628">_xlfn.XLOOKUP(records_2[ID], dAir[roomNo], dAir[floor])</f>
        <v>Floor 1</v>
      </c>
      <c r="Y628" s="45" t="str">
        <f t="array" ref="Y628">_xlfn.XLOOKUP(records_2[ID], dAir[roomNo], dAir[Class])</f>
        <v>D</v>
      </c>
      <c r="Z628" s="45">
        <f t="array" ref="Z628">_xlfn.XLOOKUP(records_2[Method]&amp;"-"&amp;records_2[Class], dAirSpec[ID], dAirSpec[Spec])</f>
        <v>100</v>
      </c>
      <c r="AA628" s="45" t="str">
        <f t="array" ref="AA628">_xlfn.XLOOKUP(records_2[Method]&amp;"-"&amp;records_2[Class], dAirSpec[ID], dAirSpec[Unit])</f>
        <v>cfu/plate</v>
      </c>
      <c r="AB628" s="58">
        <f t="array" ref="AB628">if(R628="","", if(records_2[Method]="Active Air",_xlfn.xlookup(records_2[ColonyCount]&amp;records_2[AirSampler],feller[code],feller[Vc]),records_2[ColonyCount]))</f>
        <v>1</v>
      </c>
      <c r="AC628" s="60" t="b">
        <f t="shared" si="1"/>
        <v>1</v>
      </c>
      <c r="AD628" s="61" t="b">
        <v>0</v>
      </c>
      <c r="AE628" s="32" t="s">
        <v>280</v>
      </c>
      <c r="AF628" s="46"/>
      <c r="AG628" s="46"/>
      <c r="AH628" s="46"/>
      <c r="AI628" s="46"/>
      <c r="AJ628" s="46"/>
    </row>
    <row r="629" ht="22.5" customHeight="1">
      <c r="A629" s="27">
        <v>46136.0</v>
      </c>
      <c r="B629" s="34" t="str">
        <f t="array" ref="B629">TEXT(A629, "MM-YYYY")</f>
        <v>04-2026</v>
      </c>
      <c r="C629" s="32" t="s">
        <v>329</v>
      </c>
      <c r="D629" s="36" t="s">
        <v>210</v>
      </c>
      <c r="E629" s="36" t="s">
        <v>213</v>
      </c>
      <c r="F629" s="29" t="b">
        <v>1</v>
      </c>
      <c r="G629" s="36" t="s">
        <v>214</v>
      </c>
      <c r="H629" s="36" t="s">
        <v>215</v>
      </c>
      <c r="I629" s="39"/>
      <c r="J629" s="40"/>
      <c r="K629" s="37" t="s">
        <v>194</v>
      </c>
      <c r="L629" s="37" t="s">
        <v>194</v>
      </c>
      <c r="M629" s="37" t="s">
        <v>194</v>
      </c>
      <c r="N629" s="37" t="s">
        <v>194</v>
      </c>
      <c r="O629" s="37" t="s">
        <v>2398</v>
      </c>
      <c r="P629" s="37" t="s">
        <v>2399</v>
      </c>
      <c r="Q629" s="41">
        <v>46160.0</v>
      </c>
      <c r="R629" s="42">
        <v>1.0</v>
      </c>
      <c r="S629" s="55"/>
      <c r="T629" s="37" t="s">
        <v>2448</v>
      </c>
      <c r="U629" s="45" t="str">
        <f>IF(records_2[Type]="Room",records_2[roomNo],records_2[roomNo]&amp;"-"&amp;SUBSTITUTE(RIGHT(records_2[roomNo]&amp;records_2[Type],2),"-",""))</f>
        <v>10-1-034</v>
      </c>
      <c r="V629" s="47" t="str">
        <f t="array" ref="V629">_xlfn.XLOOKUP(records_2[ID], dAir[roomNo], dAir[roomName])</f>
        <v>LINEN DRY</v>
      </c>
      <c r="W629" s="47" t="str">
        <f t="array" ref="W629">_xlfn.XLOOKUP(records_2[ID], dAir[roomNo], dAir[building])</f>
        <v>Building 10</v>
      </c>
      <c r="X629" s="47" t="str">
        <f t="array" ref="X629">_xlfn.XLOOKUP(records_2[ID], dAir[roomNo], dAir[floor])</f>
        <v>Floor 1</v>
      </c>
      <c r="Y629" s="45" t="str">
        <f t="array" ref="Y629">_xlfn.XLOOKUP(records_2[ID], dAir[roomNo], dAir[Class])</f>
        <v>D</v>
      </c>
      <c r="Z629" s="45">
        <f t="array" ref="Z629">_xlfn.XLOOKUP(records_2[Method]&amp;"-"&amp;records_2[Class], dAirSpec[ID], dAirSpec[Spec])</f>
        <v>100</v>
      </c>
      <c r="AA629" s="45" t="str">
        <f t="array" ref="AA629">_xlfn.XLOOKUP(records_2[Method]&amp;"-"&amp;records_2[Class], dAirSpec[ID], dAirSpec[Unit])</f>
        <v>cfu/plate</v>
      </c>
      <c r="AB629" s="58">
        <f t="array" ref="AB629">if(R629="","", if(records_2[Method]="Active Air",_xlfn.xlookup(records_2[ColonyCount]&amp;records_2[AirSampler],feller[code],feller[Vc]),records_2[ColonyCount]))</f>
        <v>1</v>
      </c>
      <c r="AC629" s="60" t="b">
        <f t="shared" si="1"/>
        <v>1</v>
      </c>
      <c r="AD629" s="61" t="b">
        <v>0</v>
      </c>
      <c r="AE629" s="32" t="s">
        <v>280</v>
      </c>
      <c r="AF629" s="46"/>
      <c r="AG629" s="46"/>
      <c r="AH629" s="46"/>
      <c r="AI629" s="46"/>
      <c r="AJ629" s="46"/>
    </row>
    <row r="630" ht="22.5" customHeight="1">
      <c r="A630" s="27">
        <v>46136.0</v>
      </c>
      <c r="B630" s="34" t="str">
        <f t="array" ref="B630">TEXT(A630, "MM-YYYY")</f>
        <v>04-2026</v>
      </c>
      <c r="C630" s="32" t="s">
        <v>338</v>
      </c>
      <c r="D630" s="36" t="s">
        <v>210</v>
      </c>
      <c r="E630" s="36" t="s">
        <v>213</v>
      </c>
      <c r="F630" s="29" t="b">
        <v>1</v>
      </c>
      <c r="G630" s="36" t="s">
        <v>214</v>
      </c>
      <c r="H630" s="36" t="s">
        <v>215</v>
      </c>
      <c r="I630" s="39"/>
      <c r="J630" s="40"/>
      <c r="K630" s="37" t="s">
        <v>194</v>
      </c>
      <c r="L630" s="37" t="s">
        <v>194</v>
      </c>
      <c r="M630" s="37" t="s">
        <v>194</v>
      </c>
      <c r="N630" s="37" t="s">
        <v>194</v>
      </c>
      <c r="O630" s="37" t="s">
        <v>2398</v>
      </c>
      <c r="P630" s="37" t="s">
        <v>2399</v>
      </c>
      <c r="Q630" s="41">
        <v>46160.0</v>
      </c>
      <c r="R630" s="42">
        <v>3.0</v>
      </c>
      <c r="S630" s="55"/>
      <c r="T630" s="37" t="s">
        <v>2448</v>
      </c>
      <c r="U630" s="45" t="str">
        <f>IF(records_2[Type]="Room",records_2[roomNo],records_2[roomNo]&amp;"-"&amp;SUBSTITUTE(RIGHT(records_2[roomNo]&amp;records_2[Type],2),"-",""))</f>
        <v>10-1-035</v>
      </c>
      <c r="V630" s="47" t="str">
        <f t="array" ref="V630">_xlfn.XLOOKUP(records_2[ID], dAir[roomNo], dAir[roomName])</f>
        <v>LINEN WASHING</v>
      </c>
      <c r="W630" s="47" t="str">
        <f t="array" ref="W630">_xlfn.XLOOKUP(records_2[ID], dAir[roomNo], dAir[building])</f>
        <v>Building 10</v>
      </c>
      <c r="X630" s="47" t="str">
        <f t="array" ref="X630">_xlfn.XLOOKUP(records_2[ID], dAir[roomNo], dAir[floor])</f>
        <v>Floor 1</v>
      </c>
      <c r="Y630" s="45" t="str">
        <f t="array" ref="Y630">_xlfn.XLOOKUP(records_2[ID], dAir[roomNo], dAir[Class])</f>
        <v>D</v>
      </c>
      <c r="Z630" s="45">
        <f t="array" ref="Z630">_xlfn.XLOOKUP(records_2[Method]&amp;"-"&amp;records_2[Class], dAirSpec[ID], dAirSpec[Spec])</f>
        <v>100</v>
      </c>
      <c r="AA630" s="45" t="str">
        <f t="array" ref="AA630">_xlfn.XLOOKUP(records_2[Method]&amp;"-"&amp;records_2[Class], dAirSpec[ID], dAirSpec[Unit])</f>
        <v>cfu/plate</v>
      </c>
      <c r="AB630" s="58">
        <f t="array" ref="AB630">if(R630="","", if(records_2[Method]="Active Air",_xlfn.xlookup(records_2[ColonyCount]&amp;records_2[AirSampler],feller[code],feller[Vc]),records_2[ColonyCount]))</f>
        <v>3</v>
      </c>
      <c r="AC630" s="60" t="b">
        <f t="shared" si="1"/>
        <v>1</v>
      </c>
      <c r="AD630" s="61" t="b">
        <v>0</v>
      </c>
      <c r="AE630" s="32" t="s">
        <v>280</v>
      </c>
      <c r="AF630" s="46"/>
      <c r="AG630" s="46"/>
      <c r="AH630" s="46"/>
      <c r="AI630" s="46"/>
      <c r="AJ630" s="46"/>
    </row>
    <row r="631" ht="22.5" customHeight="1">
      <c r="A631" s="27">
        <v>46136.0</v>
      </c>
      <c r="B631" s="34" t="str">
        <f t="array" ref="B631">TEXT(A631, "MM-YYYY")</f>
        <v>04-2026</v>
      </c>
      <c r="C631" s="32" t="s">
        <v>352</v>
      </c>
      <c r="D631" s="36" t="s">
        <v>210</v>
      </c>
      <c r="E631" s="36" t="s">
        <v>213</v>
      </c>
      <c r="F631" s="29" t="b">
        <v>1</v>
      </c>
      <c r="G631" s="36" t="s">
        <v>214</v>
      </c>
      <c r="H631" s="36" t="s">
        <v>215</v>
      </c>
      <c r="I631" s="39"/>
      <c r="J631" s="40"/>
      <c r="K631" s="37" t="s">
        <v>194</v>
      </c>
      <c r="L631" s="37" t="s">
        <v>194</v>
      </c>
      <c r="M631" s="37" t="s">
        <v>194</v>
      </c>
      <c r="N631" s="37" t="s">
        <v>194</v>
      </c>
      <c r="O631" s="37" t="s">
        <v>2398</v>
      </c>
      <c r="P631" s="37" t="s">
        <v>2399</v>
      </c>
      <c r="Q631" s="41">
        <v>46160.0</v>
      </c>
      <c r="R631" s="42">
        <v>0.0</v>
      </c>
      <c r="S631" s="55"/>
      <c r="T631" s="37" t="s">
        <v>2448</v>
      </c>
      <c r="U631" s="45" t="str">
        <f>IF(records_2[Type]="Room",records_2[roomNo],records_2[roomNo]&amp;"-"&amp;SUBSTITUTE(RIGHT(records_2[roomNo]&amp;records_2[Type],2),"-",""))</f>
        <v>10-1-036</v>
      </c>
      <c r="V631" s="47" t="str">
        <f t="array" ref="V631">_xlfn.XLOOKUP(records_2[ID], dAir[roomNo], dAir[roomName])</f>
        <v>CORRIDOR</v>
      </c>
      <c r="W631" s="47" t="str">
        <f t="array" ref="W631">_xlfn.XLOOKUP(records_2[ID], dAir[roomNo], dAir[building])</f>
        <v>Building 10</v>
      </c>
      <c r="X631" s="47" t="str">
        <f t="array" ref="X631">_xlfn.XLOOKUP(records_2[ID], dAir[roomNo], dAir[floor])</f>
        <v>Floor 1</v>
      </c>
      <c r="Y631" s="45" t="str">
        <f t="array" ref="Y631">_xlfn.XLOOKUP(records_2[ID], dAir[roomNo], dAir[Class])</f>
        <v>D</v>
      </c>
      <c r="Z631" s="45">
        <f t="array" ref="Z631">_xlfn.XLOOKUP(records_2[Method]&amp;"-"&amp;records_2[Class], dAirSpec[ID], dAirSpec[Spec])</f>
        <v>100</v>
      </c>
      <c r="AA631" s="45" t="str">
        <f t="array" ref="AA631">_xlfn.XLOOKUP(records_2[Method]&amp;"-"&amp;records_2[Class], dAirSpec[ID], dAirSpec[Unit])</f>
        <v>cfu/plate</v>
      </c>
      <c r="AB631" s="58">
        <f t="array" ref="AB631">if(R631="","", if(records_2[Method]="Active Air",_xlfn.xlookup(records_2[ColonyCount]&amp;records_2[AirSampler],feller[code],feller[Vc]),records_2[ColonyCount]))</f>
        <v>0</v>
      </c>
      <c r="AC631" s="60" t="b">
        <f t="shared" si="1"/>
        <v>1</v>
      </c>
      <c r="AD631" s="61" t="b">
        <v>0</v>
      </c>
      <c r="AE631" s="32" t="s">
        <v>280</v>
      </c>
      <c r="AF631" s="46"/>
      <c r="AG631" s="46"/>
      <c r="AH631" s="46"/>
      <c r="AI631" s="46"/>
      <c r="AJ631" s="46"/>
    </row>
    <row r="632" ht="22.5" customHeight="1">
      <c r="A632" s="27">
        <v>46136.0</v>
      </c>
      <c r="B632" s="34" t="str">
        <f t="array" ref="B632">TEXT(A632, "MM-YYYY")</f>
        <v>04-2026</v>
      </c>
      <c r="C632" s="32" t="s">
        <v>364</v>
      </c>
      <c r="D632" s="36" t="s">
        <v>210</v>
      </c>
      <c r="E632" s="36" t="s">
        <v>213</v>
      </c>
      <c r="F632" s="29" t="b">
        <v>1</v>
      </c>
      <c r="G632" s="36" t="s">
        <v>214</v>
      </c>
      <c r="H632" s="36" t="s">
        <v>215</v>
      </c>
      <c r="I632" s="39"/>
      <c r="J632" s="40"/>
      <c r="K632" s="37" t="s">
        <v>194</v>
      </c>
      <c r="L632" s="37" t="s">
        <v>194</v>
      </c>
      <c r="M632" s="37" t="s">
        <v>194</v>
      </c>
      <c r="N632" s="37" t="s">
        <v>194</v>
      </c>
      <c r="O632" s="37" t="s">
        <v>2398</v>
      </c>
      <c r="P632" s="37" t="s">
        <v>2399</v>
      </c>
      <c r="Q632" s="41">
        <v>46160.0</v>
      </c>
      <c r="R632" s="42">
        <v>2.0</v>
      </c>
      <c r="S632" s="55"/>
      <c r="T632" s="37" t="s">
        <v>2448</v>
      </c>
      <c r="U632" s="45" t="str">
        <f>IF(records_2[Type]="Room",records_2[roomNo],records_2[roomNo]&amp;"-"&amp;SUBSTITUTE(RIGHT(records_2[roomNo]&amp;records_2[Type],2),"-",""))</f>
        <v>10-1-037</v>
      </c>
      <c r="V632" s="47" t="str">
        <f t="array" ref="V632">_xlfn.XLOOKUP(records_2[ID], dAir[roomNo], dAir[roomName])</f>
        <v>PROCESS CHANGE</v>
      </c>
      <c r="W632" s="47" t="str">
        <f t="array" ref="W632">_xlfn.XLOOKUP(records_2[ID], dAir[roomNo], dAir[building])</f>
        <v>Building 10</v>
      </c>
      <c r="X632" s="47" t="str">
        <f t="array" ref="X632">_xlfn.XLOOKUP(records_2[ID], dAir[roomNo], dAir[floor])</f>
        <v>Floor 1</v>
      </c>
      <c r="Y632" s="45" t="str">
        <f t="array" ref="Y632">_xlfn.XLOOKUP(records_2[ID], dAir[roomNo], dAir[Class])</f>
        <v>D</v>
      </c>
      <c r="Z632" s="45">
        <f t="array" ref="Z632">_xlfn.XLOOKUP(records_2[Method]&amp;"-"&amp;records_2[Class], dAirSpec[ID], dAirSpec[Spec])</f>
        <v>100</v>
      </c>
      <c r="AA632" s="45" t="str">
        <f t="array" ref="AA632">_xlfn.XLOOKUP(records_2[Method]&amp;"-"&amp;records_2[Class], dAirSpec[ID], dAirSpec[Unit])</f>
        <v>cfu/plate</v>
      </c>
      <c r="AB632" s="58">
        <f t="array" ref="AB632">if(R632="","", if(records_2[Method]="Active Air",_xlfn.xlookup(records_2[ColonyCount]&amp;records_2[AirSampler],feller[code],feller[Vc]),records_2[ColonyCount]))</f>
        <v>2</v>
      </c>
      <c r="AC632" s="60" t="b">
        <f t="shared" si="1"/>
        <v>1</v>
      </c>
      <c r="AD632" s="61" t="b">
        <v>0</v>
      </c>
      <c r="AE632" s="32" t="s">
        <v>280</v>
      </c>
      <c r="AF632" s="46"/>
      <c r="AG632" s="46"/>
      <c r="AH632" s="46"/>
      <c r="AI632" s="46"/>
      <c r="AJ632" s="46"/>
    </row>
    <row r="633" ht="22.5" customHeight="1">
      <c r="A633" s="27">
        <v>46136.0</v>
      </c>
      <c r="B633" s="34" t="str">
        <f t="array" ref="B633">TEXT(A633, "MM-YYYY")</f>
        <v>04-2026</v>
      </c>
      <c r="C633" s="32" t="s">
        <v>375</v>
      </c>
      <c r="D633" s="36" t="s">
        <v>210</v>
      </c>
      <c r="E633" s="36" t="s">
        <v>213</v>
      </c>
      <c r="F633" s="29" t="b">
        <v>1</v>
      </c>
      <c r="G633" s="36" t="s">
        <v>214</v>
      </c>
      <c r="H633" s="36" t="s">
        <v>215</v>
      </c>
      <c r="I633" s="39"/>
      <c r="J633" s="40"/>
      <c r="K633" s="37" t="s">
        <v>194</v>
      </c>
      <c r="L633" s="37" t="s">
        <v>194</v>
      </c>
      <c r="M633" s="37" t="s">
        <v>194</v>
      </c>
      <c r="N633" s="37" t="s">
        <v>194</v>
      </c>
      <c r="O633" s="37" t="s">
        <v>2398</v>
      </c>
      <c r="P633" s="37" t="s">
        <v>2399</v>
      </c>
      <c r="Q633" s="41">
        <v>46160.0</v>
      </c>
      <c r="R633" s="42">
        <v>0.0</v>
      </c>
      <c r="S633" s="55"/>
      <c r="T633" s="37" t="s">
        <v>2448</v>
      </c>
      <c r="U633" s="45" t="str">
        <f>IF(records_2[Type]="Room",records_2[roomNo],records_2[roomNo]&amp;"-"&amp;SUBSTITUTE(RIGHT(records_2[roomNo]&amp;records_2[Type],2),"-",""))</f>
        <v>10-1-039</v>
      </c>
      <c r="V633" s="47" t="str">
        <f t="array" ref="V633">_xlfn.XLOOKUP(records_2[ID], dAir[roomNo], dAir[roomName])</f>
        <v>VISITOR PROCESS CHANGE</v>
      </c>
      <c r="W633" s="47" t="str">
        <f t="array" ref="W633">_xlfn.XLOOKUP(records_2[ID], dAir[roomNo], dAir[building])</f>
        <v>Building 10</v>
      </c>
      <c r="X633" s="47" t="str">
        <f t="array" ref="X633">_xlfn.XLOOKUP(records_2[ID], dAir[roomNo], dAir[floor])</f>
        <v>Floor 1</v>
      </c>
      <c r="Y633" s="45" t="str">
        <f t="array" ref="Y633">_xlfn.XLOOKUP(records_2[ID], dAir[roomNo], dAir[Class])</f>
        <v>D</v>
      </c>
      <c r="Z633" s="45">
        <f t="array" ref="Z633">_xlfn.XLOOKUP(records_2[Method]&amp;"-"&amp;records_2[Class], dAirSpec[ID], dAirSpec[Spec])</f>
        <v>100</v>
      </c>
      <c r="AA633" s="45" t="str">
        <f t="array" ref="AA633">_xlfn.XLOOKUP(records_2[Method]&amp;"-"&amp;records_2[Class], dAirSpec[ID], dAirSpec[Unit])</f>
        <v>cfu/plate</v>
      </c>
      <c r="AB633" s="58">
        <f t="array" ref="AB633">if(R633="","", if(records_2[Method]="Active Air",_xlfn.xlookup(records_2[ColonyCount]&amp;records_2[AirSampler],feller[code],feller[Vc]),records_2[ColonyCount]))</f>
        <v>0</v>
      </c>
      <c r="AC633" s="60" t="b">
        <f t="shared" si="1"/>
        <v>1</v>
      </c>
      <c r="AD633" s="61" t="b">
        <v>0</v>
      </c>
      <c r="AE633" s="32" t="s">
        <v>280</v>
      </c>
      <c r="AF633" s="46"/>
      <c r="AG633" s="46"/>
      <c r="AH633" s="46"/>
      <c r="AI633" s="46"/>
      <c r="AJ633" s="46"/>
    </row>
    <row r="634" ht="22.5" customHeight="1">
      <c r="A634" s="27">
        <v>46136.0</v>
      </c>
      <c r="B634" s="34" t="str">
        <f t="array" ref="B634">TEXT(A634, "MM-YYYY")</f>
        <v>04-2026</v>
      </c>
      <c r="C634" s="32" t="s">
        <v>388</v>
      </c>
      <c r="D634" s="36" t="s">
        <v>210</v>
      </c>
      <c r="E634" s="36" t="s">
        <v>213</v>
      </c>
      <c r="F634" s="29" t="b">
        <v>1</v>
      </c>
      <c r="G634" s="36" t="s">
        <v>214</v>
      </c>
      <c r="H634" s="36" t="s">
        <v>215</v>
      </c>
      <c r="I634" s="39"/>
      <c r="J634" s="40"/>
      <c r="K634" s="37" t="s">
        <v>194</v>
      </c>
      <c r="L634" s="37" t="s">
        <v>194</v>
      </c>
      <c r="M634" s="37" t="s">
        <v>194</v>
      </c>
      <c r="N634" s="37" t="s">
        <v>194</v>
      </c>
      <c r="O634" s="37" t="s">
        <v>2398</v>
      </c>
      <c r="P634" s="37" t="s">
        <v>2399</v>
      </c>
      <c r="Q634" s="41">
        <v>46160.0</v>
      </c>
      <c r="R634" s="42">
        <v>1.0</v>
      </c>
      <c r="S634" s="55"/>
      <c r="T634" s="37" t="s">
        <v>2448</v>
      </c>
      <c r="U634" s="45" t="str">
        <f>IF(records_2[Type]="Room",records_2[roomNo],records_2[roomNo]&amp;"-"&amp;SUBSTITUTE(RIGHT(records_2[roomNo]&amp;records_2[Type],2),"-",""))</f>
        <v>10-1-040</v>
      </c>
      <c r="V634" s="47" t="str">
        <f t="array" ref="V634">_xlfn.XLOOKUP(records_2[ID], dAir[roomNo], dAir[roomName])</f>
        <v>IPQC</v>
      </c>
      <c r="W634" s="47" t="str">
        <f t="array" ref="W634">_xlfn.XLOOKUP(records_2[ID], dAir[roomNo], dAir[building])</f>
        <v>Building 10</v>
      </c>
      <c r="X634" s="47" t="str">
        <f t="array" ref="X634">_xlfn.XLOOKUP(records_2[ID], dAir[roomNo], dAir[floor])</f>
        <v>Floor 1</v>
      </c>
      <c r="Y634" s="45" t="str">
        <f t="array" ref="Y634">_xlfn.XLOOKUP(records_2[ID], dAir[roomNo], dAir[Class])</f>
        <v>D</v>
      </c>
      <c r="Z634" s="45">
        <f t="array" ref="Z634">_xlfn.XLOOKUP(records_2[Method]&amp;"-"&amp;records_2[Class], dAirSpec[ID], dAirSpec[Spec])</f>
        <v>100</v>
      </c>
      <c r="AA634" s="45" t="str">
        <f t="array" ref="AA634">_xlfn.XLOOKUP(records_2[Method]&amp;"-"&amp;records_2[Class], dAirSpec[ID], dAirSpec[Unit])</f>
        <v>cfu/plate</v>
      </c>
      <c r="AB634" s="58">
        <f t="array" ref="AB634">if(R634="","", if(records_2[Method]="Active Air",_xlfn.xlookup(records_2[ColonyCount]&amp;records_2[AirSampler],feller[code],feller[Vc]),records_2[ColonyCount]))</f>
        <v>1</v>
      </c>
      <c r="AC634" s="60" t="b">
        <f t="shared" si="1"/>
        <v>1</v>
      </c>
      <c r="AD634" s="61" t="b">
        <v>0</v>
      </c>
      <c r="AE634" s="32" t="s">
        <v>280</v>
      </c>
      <c r="AF634" s="46"/>
      <c r="AG634" s="46"/>
      <c r="AH634" s="46"/>
      <c r="AI634" s="46"/>
      <c r="AJ634" s="46"/>
    </row>
    <row r="635" ht="22.5" customHeight="1">
      <c r="A635" s="27">
        <v>46136.0</v>
      </c>
      <c r="B635" s="34" t="str">
        <f t="array" ref="B635">TEXT(A635, "MM-YYYY")</f>
        <v>04-2026</v>
      </c>
      <c r="C635" s="32" t="s">
        <v>398</v>
      </c>
      <c r="D635" s="36" t="s">
        <v>210</v>
      </c>
      <c r="E635" s="36" t="s">
        <v>213</v>
      </c>
      <c r="F635" s="29" t="b">
        <v>1</v>
      </c>
      <c r="G635" s="36" t="s">
        <v>214</v>
      </c>
      <c r="H635" s="36" t="s">
        <v>215</v>
      </c>
      <c r="I635" s="39"/>
      <c r="J635" s="40"/>
      <c r="K635" s="37" t="s">
        <v>194</v>
      </c>
      <c r="L635" s="37" t="s">
        <v>194</v>
      </c>
      <c r="M635" s="37" t="s">
        <v>194</v>
      </c>
      <c r="N635" s="37" t="s">
        <v>194</v>
      </c>
      <c r="O635" s="37" t="s">
        <v>2398</v>
      </c>
      <c r="P635" s="37" t="s">
        <v>2399</v>
      </c>
      <c r="Q635" s="41">
        <v>46160.0</v>
      </c>
      <c r="R635" s="42">
        <v>0.0</v>
      </c>
      <c r="S635" s="55"/>
      <c r="T635" s="37" t="s">
        <v>2448</v>
      </c>
      <c r="U635" s="45" t="str">
        <f>IF(records_2[Type]="Room",records_2[roomNo],records_2[roomNo]&amp;"-"&amp;SUBSTITUTE(RIGHT(records_2[roomNo]&amp;records_2[Type],2),"-",""))</f>
        <v>10-1-041</v>
      </c>
      <c r="V635" s="47" t="str">
        <f t="array" ref="V635">_xlfn.XLOOKUP(records_2[ID], dAir[roomNo], dAir[roomName])</f>
        <v>SCRAP OUT</v>
      </c>
      <c r="W635" s="47" t="str">
        <f t="array" ref="W635">_xlfn.XLOOKUP(records_2[ID], dAir[roomNo], dAir[building])</f>
        <v>Building 10</v>
      </c>
      <c r="X635" s="47" t="str">
        <f t="array" ref="X635">_xlfn.XLOOKUP(records_2[ID], dAir[roomNo], dAir[floor])</f>
        <v>Floor 1</v>
      </c>
      <c r="Y635" s="45" t="str">
        <f t="array" ref="Y635">_xlfn.XLOOKUP(records_2[ID], dAir[roomNo], dAir[Class])</f>
        <v>D</v>
      </c>
      <c r="Z635" s="45">
        <f t="array" ref="Z635">_xlfn.XLOOKUP(records_2[Method]&amp;"-"&amp;records_2[Class], dAirSpec[ID], dAirSpec[Spec])</f>
        <v>100</v>
      </c>
      <c r="AA635" s="45" t="str">
        <f t="array" ref="AA635">_xlfn.XLOOKUP(records_2[Method]&amp;"-"&amp;records_2[Class], dAirSpec[ID], dAirSpec[Unit])</f>
        <v>cfu/plate</v>
      </c>
      <c r="AB635" s="58">
        <f t="array" ref="AB635">if(R635="","", if(records_2[Method]="Active Air",_xlfn.xlookup(records_2[ColonyCount]&amp;records_2[AirSampler],feller[code],feller[Vc]),records_2[ColonyCount]))</f>
        <v>0</v>
      </c>
      <c r="AC635" s="60" t="b">
        <f t="shared" si="1"/>
        <v>1</v>
      </c>
      <c r="AD635" s="61" t="b">
        <v>0</v>
      </c>
      <c r="AE635" s="32" t="s">
        <v>280</v>
      </c>
      <c r="AF635" s="46"/>
      <c r="AG635" s="46"/>
      <c r="AH635" s="46"/>
      <c r="AI635" s="46"/>
      <c r="AJ635" s="46"/>
    </row>
    <row r="636" ht="22.5" customHeight="1">
      <c r="A636" s="27">
        <v>46136.0</v>
      </c>
      <c r="B636" s="34" t="str">
        <f t="array" ref="B636">TEXT(A636, "MM-YYYY")</f>
        <v>04-2026</v>
      </c>
      <c r="C636" s="32" t="s">
        <v>406</v>
      </c>
      <c r="D636" s="36" t="s">
        <v>210</v>
      </c>
      <c r="E636" s="36" t="s">
        <v>213</v>
      </c>
      <c r="F636" s="29" t="b">
        <v>1</v>
      </c>
      <c r="G636" s="36" t="s">
        <v>214</v>
      </c>
      <c r="H636" s="36" t="s">
        <v>215</v>
      </c>
      <c r="I636" s="39"/>
      <c r="J636" s="40"/>
      <c r="K636" s="37" t="s">
        <v>194</v>
      </c>
      <c r="L636" s="37" t="s">
        <v>194</v>
      </c>
      <c r="M636" s="37" t="s">
        <v>194</v>
      </c>
      <c r="N636" s="37" t="s">
        <v>194</v>
      </c>
      <c r="O636" s="37" t="s">
        <v>2398</v>
      </c>
      <c r="P636" s="37" t="s">
        <v>2399</v>
      </c>
      <c r="Q636" s="41">
        <v>46160.0</v>
      </c>
      <c r="R636" s="42">
        <v>0.0</v>
      </c>
      <c r="S636" s="55"/>
      <c r="T636" s="37" t="s">
        <v>2448</v>
      </c>
      <c r="U636" s="45" t="str">
        <f>IF(records_2[Type]="Room",records_2[roomNo],records_2[roomNo]&amp;"-"&amp;SUBSTITUTE(RIGHT(records_2[roomNo]&amp;records_2[Type],2),"-",""))</f>
        <v>10-1-042</v>
      </c>
      <c r="V636" s="47" t="str">
        <f t="array" ref="V636">_xlfn.XLOOKUP(records_2[ID], dAir[roomNo], dAir[roomName])</f>
        <v>OFFICE</v>
      </c>
      <c r="W636" s="47" t="str">
        <f t="array" ref="W636">_xlfn.XLOOKUP(records_2[ID], dAir[roomNo], dAir[building])</f>
        <v>Building 10</v>
      </c>
      <c r="X636" s="47" t="str">
        <f t="array" ref="X636">_xlfn.XLOOKUP(records_2[ID], dAir[roomNo], dAir[floor])</f>
        <v>Floor 1</v>
      </c>
      <c r="Y636" s="45" t="str">
        <f t="array" ref="Y636">_xlfn.XLOOKUP(records_2[ID], dAir[roomNo], dAir[Class])</f>
        <v>D</v>
      </c>
      <c r="Z636" s="45">
        <f t="array" ref="Z636">_xlfn.XLOOKUP(records_2[Method]&amp;"-"&amp;records_2[Class], dAirSpec[ID], dAirSpec[Spec])</f>
        <v>100</v>
      </c>
      <c r="AA636" s="45" t="str">
        <f t="array" ref="AA636">_xlfn.XLOOKUP(records_2[Method]&amp;"-"&amp;records_2[Class], dAirSpec[ID], dAirSpec[Unit])</f>
        <v>cfu/plate</v>
      </c>
      <c r="AB636" s="58">
        <f t="array" ref="AB636">if(R636="","", if(records_2[Method]="Active Air",_xlfn.xlookup(records_2[ColonyCount]&amp;records_2[AirSampler],feller[code],feller[Vc]),records_2[ColonyCount]))</f>
        <v>0</v>
      </c>
      <c r="AC636" s="60" t="b">
        <f t="shared" si="1"/>
        <v>1</v>
      </c>
      <c r="AD636" s="61" t="b">
        <v>0</v>
      </c>
      <c r="AE636" s="32" t="s">
        <v>280</v>
      </c>
      <c r="AF636" s="46"/>
      <c r="AG636" s="46"/>
      <c r="AH636" s="46"/>
      <c r="AI636" s="46"/>
      <c r="AJ636" s="46"/>
    </row>
    <row r="637" ht="22.5" customHeight="1">
      <c r="A637" s="27">
        <v>46136.0</v>
      </c>
      <c r="B637" s="34" t="str">
        <f t="array" ref="B637">TEXT(A637, "MM-YYYY")</f>
        <v>04-2026</v>
      </c>
      <c r="C637" s="32" t="s">
        <v>408</v>
      </c>
      <c r="D637" s="36" t="s">
        <v>210</v>
      </c>
      <c r="E637" s="36" t="s">
        <v>213</v>
      </c>
      <c r="F637" s="29" t="b">
        <v>1</v>
      </c>
      <c r="G637" s="36" t="s">
        <v>214</v>
      </c>
      <c r="H637" s="36" t="s">
        <v>215</v>
      </c>
      <c r="I637" s="39"/>
      <c r="J637" s="40"/>
      <c r="K637" s="37" t="s">
        <v>194</v>
      </c>
      <c r="L637" s="37" t="s">
        <v>194</v>
      </c>
      <c r="M637" s="37" t="s">
        <v>194</v>
      </c>
      <c r="N637" s="37" t="s">
        <v>194</v>
      </c>
      <c r="O637" s="37" t="s">
        <v>2398</v>
      </c>
      <c r="P637" s="37" t="s">
        <v>2399</v>
      </c>
      <c r="Q637" s="41">
        <v>46160.0</v>
      </c>
      <c r="R637" s="42">
        <v>0.0</v>
      </c>
      <c r="S637" s="55"/>
      <c r="T637" s="37" t="s">
        <v>2448</v>
      </c>
      <c r="U637" s="45" t="str">
        <f>IF(records_2[Type]="Room",records_2[roomNo],records_2[roomNo]&amp;"-"&amp;SUBSTITUTE(RIGHT(records_2[roomNo]&amp;records_2[Type],2),"-",""))</f>
        <v>10-1-091</v>
      </c>
      <c r="V637" s="47" t="str">
        <f t="array" ref="V637">_xlfn.XLOOKUP(records_2[ID], dAir[roomNo], dAir[roomName])</f>
        <v>BOTTLE CLEANING (BOTTLE CLEANING MACHINE)</v>
      </c>
      <c r="W637" s="47" t="str">
        <f t="array" ref="W637">_xlfn.XLOOKUP(records_2[ID], dAir[roomNo], dAir[building])</f>
        <v>Building 10</v>
      </c>
      <c r="X637" s="47" t="str">
        <f t="array" ref="X637">_xlfn.XLOOKUP(records_2[ID], dAir[roomNo], dAir[floor])</f>
        <v>Floor 1</v>
      </c>
      <c r="Y637" s="45" t="str">
        <f t="array" ref="Y637">_xlfn.XLOOKUP(records_2[ID], dAir[roomNo], dAir[Class])</f>
        <v>D</v>
      </c>
      <c r="Z637" s="45">
        <f t="array" ref="Z637">_xlfn.XLOOKUP(records_2[Method]&amp;"-"&amp;records_2[Class], dAirSpec[ID], dAirSpec[Spec])</f>
        <v>100</v>
      </c>
      <c r="AA637" s="45" t="str">
        <f t="array" ref="AA637">_xlfn.XLOOKUP(records_2[Method]&amp;"-"&amp;records_2[Class], dAirSpec[ID], dAirSpec[Unit])</f>
        <v>cfu/plate</v>
      </c>
      <c r="AB637" s="58">
        <f t="array" ref="AB637">if(R637="","", if(records_2[Method]="Active Air",_xlfn.xlookup(records_2[ColonyCount]&amp;records_2[AirSampler],feller[code],feller[Vc]),records_2[ColonyCount]))</f>
        <v>0</v>
      </c>
      <c r="AC637" s="60" t="b">
        <f t="shared" si="1"/>
        <v>1</v>
      </c>
      <c r="AD637" s="61" t="b">
        <v>0</v>
      </c>
      <c r="AE637" s="32" t="s">
        <v>280</v>
      </c>
      <c r="AF637" s="46"/>
      <c r="AG637" s="46"/>
      <c r="AH637" s="46"/>
      <c r="AI637" s="46"/>
      <c r="AJ637" s="46"/>
    </row>
    <row r="638" ht="22.5" customHeight="1">
      <c r="A638" s="27">
        <v>46136.0</v>
      </c>
      <c r="B638" s="34" t="str">
        <f t="array" ref="B638">TEXT(A638, "MM-YYYY")</f>
        <v>04-2026</v>
      </c>
      <c r="C638" s="32" t="s">
        <v>400</v>
      </c>
      <c r="D638" s="36" t="s">
        <v>210</v>
      </c>
      <c r="E638" s="36" t="s">
        <v>213</v>
      </c>
      <c r="F638" s="29" t="b">
        <v>1</v>
      </c>
      <c r="G638" s="36" t="s">
        <v>214</v>
      </c>
      <c r="H638" s="36" t="s">
        <v>215</v>
      </c>
      <c r="I638" s="39"/>
      <c r="J638" s="40"/>
      <c r="K638" s="37" t="s">
        <v>194</v>
      </c>
      <c r="L638" s="37" t="s">
        <v>194</v>
      </c>
      <c r="M638" s="37" t="s">
        <v>194</v>
      </c>
      <c r="N638" s="37" t="s">
        <v>194</v>
      </c>
      <c r="O638" s="37" t="s">
        <v>2398</v>
      </c>
      <c r="P638" s="37" t="s">
        <v>2399</v>
      </c>
      <c r="Q638" s="41">
        <v>46160.0</v>
      </c>
      <c r="R638" s="42">
        <v>0.0</v>
      </c>
      <c r="S638" s="55"/>
      <c r="T638" s="37" t="s">
        <v>2448</v>
      </c>
      <c r="U638" s="45" t="str">
        <f>IF(records_2[Type]="Room",records_2[roomNo],records_2[roomNo]&amp;"-"&amp;SUBSTITUTE(RIGHT(records_2[roomNo]&amp;records_2[Type],2),"-",""))</f>
        <v>10-1-092</v>
      </c>
      <c r="V638" s="47" t="str">
        <f t="array" ref="V638">_xlfn.XLOOKUP(records_2[ID], dAir[roomNo], dAir[roomName])</f>
        <v>POS FILLING (LOW RH) (BOTTLE FILLING MACHINE)</v>
      </c>
      <c r="W638" s="47" t="str">
        <f t="array" ref="W638">_xlfn.XLOOKUP(records_2[ID], dAir[roomNo], dAir[building])</f>
        <v>Building 10</v>
      </c>
      <c r="X638" s="47" t="str">
        <f t="array" ref="X638">_xlfn.XLOOKUP(records_2[ID], dAir[roomNo], dAir[floor])</f>
        <v>Floor 1</v>
      </c>
      <c r="Y638" s="45" t="str">
        <f t="array" ref="Y638">_xlfn.XLOOKUP(records_2[ID], dAir[roomNo], dAir[Class])</f>
        <v>D</v>
      </c>
      <c r="Z638" s="45">
        <f t="array" ref="Z638">_xlfn.XLOOKUP(records_2[Method]&amp;"-"&amp;records_2[Class], dAirSpec[ID], dAirSpec[Spec])</f>
        <v>100</v>
      </c>
      <c r="AA638" s="45" t="str">
        <f t="array" ref="AA638">_xlfn.XLOOKUP(records_2[Method]&amp;"-"&amp;records_2[Class], dAirSpec[ID], dAirSpec[Unit])</f>
        <v>cfu/plate</v>
      </c>
      <c r="AB638" s="58">
        <f t="array" ref="AB638">if(R638="","", if(records_2[Method]="Active Air",_xlfn.xlookup(records_2[ColonyCount]&amp;records_2[AirSampler],feller[code],feller[Vc]),records_2[ColonyCount]))</f>
        <v>0</v>
      </c>
      <c r="AC638" s="60" t="b">
        <f t="shared" si="1"/>
        <v>1</v>
      </c>
      <c r="AD638" s="61" t="b">
        <v>0</v>
      </c>
      <c r="AE638" s="32" t="s">
        <v>280</v>
      </c>
      <c r="AF638" s="46"/>
      <c r="AG638" s="46"/>
      <c r="AH638" s="46"/>
      <c r="AI638" s="46"/>
      <c r="AJ638" s="46"/>
    </row>
    <row r="639" ht="22.5" customHeight="1">
      <c r="A639" s="27">
        <v>46136.0</v>
      </c>
      <c r="B639" s="34" t="str">
        <f t="array" ref="B639">TEXT(A639, "MM-YYYY")</f>
        <v>04-2026</v>
      </c>
      <c r="C639" s="32" t="s">
        <v>308</v>
      </c>
      <c r="D639" s="36" t="s">
        <v>210</v>
      </c>
      <c r="E639" s="36" t="s">
        <v>213</v>
      </c>
      <c r="F639" s="29" t="b">
        <v>1</v>
      </c>
      <c r="G639" s="36" t="s">
        <v>214</v>
      </c>
      <c r="H639" s="36" t="s">
        <v>215</v>
      </c>
      <c r="I639" s="39"/>
      <c r="J639" s="40"/>
      <c r="K639" s="37" t="s">
        <v>194</v>
      </c>
      <c r="L639" s="37" t="s">
        <v>194</v>
      </c>
      <c r="M639" s="37" t="s">
        <v>194</v>
      </c>
      <c r="N639" s="37" t="s">
        <v>194</v>
      </c>
      <c r="O639" s="37" t="s">
        <v>2398</v>
      </c>
      <c r="P639" s="37" t="s">
        <v>2399</v>
      </c>
      <c r="Q639" s="41">
        <v>46160.0</v>
      </c>
      <c r="R639" s="42">
        <v>0.0</v>
      </c>
      <c r="S639" s="55"/>
      <c r="T639" s="37" t="s">
        <v>2448</v>
      </c>
      <c r="U639" s="45" t="str">
        <f>IF(records_2[Type]="Room",records_2[roomNo],records_2[roomNo]&amp;"-"&amp;SUBSTITUTE(RIGHT(records_2[roomNo]&amp;records_2[Type],2),"-",""))</f>
        <v>10-1-093</v>
      </c>
      <c r="V639" s="47" t="str">
        <f t="array" ref="V639">_xlfn.XLOOKUP(records_2[ID], dAir[roomNo], dAir[roomName])</f>
        <v>BLISTER PACKING 1 (BLISTER PACKING MACHINE)</v>
      </c>
      <c r="W639" s="47" t="str">
        <f t="array" ref="W639">_xlfn.XLOOKUP(records_2[ID], dAir[roomNo], dAir[building])</f>
        <v>Building 10</v>
      </c>
      <c r="X639" s="47" t="str">
        <f t="array" ref="X639">_xlfn.XLOOKUP(records_2[ID], dAir[roomNo], dAir[floor])</f>
        <v>Floor 1</v>
      </c>
      <c r="Y639" s="45" t="str">
        <f t="array" ref="Y639">_xlfn.XLOOKUP(records_2[ID], dAir[roomNo], dAir[Class])</f>
        <v>D</v>
      </c>
      <c r="Z639" s="45">
        <f t="array" ref="Z639">_xlfn.XLOOKUP(records_2[Method]&amp;"-"&amp;records_2[Class], dAirSpec[ID], dAirSpec[Spec])</f>
        <v>100</v>
      </c>
      <c r="AA639" s="45" t="str">
        <f t="array" ref="AA639">_xlfn.XLOOKUP(records_2[Method]&amp;"-"&amp;records_2[Class], dAirSpec[ID], dAirSpec[Unit])</f>
        <v>cfu/plate</v>
      </c>
      <c r="AB639" s="58">
        <f t="array" ref="AB639">if(R639="","", if(records_2[Method]="Active Air",_xlfn.xlookup(records_2[ColonyCount]&amp;records_2[AirSampler],feller[code],feller[Vc]),records_2[ColonyCount]))</f>
        <v>0</v>
      </c>
      <c r="AC639" s="60" t="b">
        <f t="shared" si="1"/>
        <v>1</v>
      </c>
      <c r="AD639" s="61" t="b">
        <v>0</v>
      </c>
      <c r="AE639" s="32" t="s">
        <v>280</v>
      </c>
      <c r="AF639" s="46"/>
      <c r="AG639" s="46"/>
      <c r="AH639" s="46"/>
      <c r="AI639" s="46"/>
      <c r="AJ639" s="46"/>
    </row>
    <row r="640" ht="22.5" customHeight="1">
      <c r="A640" s="27">
        <v>46136.0</v>
      </c>
      <c r="B640" s="34" t="str">
        <f t="array" ref="B640">TEXT(A640, "MM-YYYY")</f>
        <v>04-2026</v>
      </c>
      <c r="C640" s="32" t="s">
        <v>322</v>
      </c>
      <c r="D640" s="36" t="s">
        <v>210</v>
      </c>
      <c r="E640" s="36" t="s">
        <v>213</v>
      </c>
      <c r="F640" s="29" t="b">
        <v>1</v>
      </c>
      <c r="G640" s="36" t="s">
        <v>214</v>
      </c>
      <c r="H640" s="36" t="s">
        <v>215</v>
      </c>
      <c r="I640" s="39"/>
      <c r="J640" s="40"/>
      <c r="K640" s="37" t="s">
        <v>194</v>
      </c>
      <c r="L640" s="37" t="s">
        <v>194</v>
      </c>
      <c r="M640" s="37" t="s">
        <v>194</v>
      </c>
      <c r="N640" s="37" t="s">
        <v>194</v>
      </c>
      <c r="O640" s="37" t="s">
        <v>2398</v>
      </c>
      <c r="P640" s="37" t="s">
        <v>2399</v>
      </c>
      <c r="Q640" s="41">
        <v>46160.0</v>
      </c>
      <c r="R640" s="42">
        <v>0.0</v>
      </c>
      <c r="S640" s="55"/>
      <c r="T640" s="37" t="s">
        <v>2448</v>
      </c>
      <c r="U640" s="45" t="str">
        <f>IF(records_2[Type]="Room",records_2[roomNo],records_2[roomNo]&amp;"-"&amp;SUBSTITUTE(RIGHT(records_2[roomNo]&amp;records_2[Type],2),"-",""))</f>
        <v>10-1-094</v>
      </c>
      <c r="V640" s="47" t="str">
        <f t="array" ref="V640">_xlfn.XLOOKUP(records_2[ID], dAir[roomNo], dAir[roomName])</f>
        <v>BLISTER PACKING 2 (DRUM TIPPER)  (BLISTER PACKING MACHINE)</v>
      </c>
      <c r="W640" s="47" t="str">
        <f t="array" ref="W640">_xlfn.XLOOKUP(records_2[ID], dAir[roomNo], dAir[building])</f>
        <v>Building 10</v>
      </c>
      <c r="X640" s="47" t="str">
        <f t="array" ref="X640">_xlfn.XLOOKUP(records_2[ID], dAir[roomNo], dAir[floor])</f>
        <v>Floor 1</v>
      </c>
      <c r="Y640" s="45" t="str">
        <f t="array" ref="Y640">_xlfn.XLOOKUP(records_2[ID], dAir[roomNo], dAir[Class])</f>
        <v>D</v>
      </c>
      <c r="Z640" s="45">
        <f t="array" ref="Z640">_xlfn.XLOOKUP(records_2[Method]&amp;"-"&amp;records_2[Class], dAirSpec[ID], dAirSpec[Spec])</f>
        <v>100</v>
      </c>
      <c r="AA640" s="45" t="str">
        <f t="array" ref="AA640">_xlfn.XLOOKUP(records_2[Method]&amp;"-"&amp;records_2[Class], dAirSpec[ID], dAirSpec[Unit])</f>
        <v>cfu/plate</v>
      </c>
      <c r="AB640" s="58">
        <f t="array" ref="AB640">if(R640="","", if(records_2[Method]="Active Air",_xlfn.xlookup(records_2[ColonyCount]&amp;records_2[AirSampler],feller[code],feller[Vc]),records_2[ColonyCount]))</f>
        <v>0</v>
      </c>
      <c r="AC640" s="60" t="b">
        <f t="shared" si="1"/>
        <v>1</v>
      </c>
      <c r="AD640" s="61" t="b">
        <v>0</v>
      </c>
      <c r="AE640" s="32" t="s">
        <v>280</v>
      </c>
      <c r="AF640" s="46"/>
      <c r="AG640" s="46"/>
      <c r="AH640" s="46"/>
      <c r="AI640" s="46"/>
      <c r="AJ640" s="46"/>
    </row>
    <row r="641" ht="22.5" customHeight="1">
      <c r="A641" s="27">
        <v>46136.0</v>
      </c>
      <c r="B641" s="34" t="str">
        <f t="array" ref="B641">TEXT(A641, "MM-YYYY")</f>
        <v>04-2026</v>
      </c>
      <c r="C641" s="32" t="s">
        <v>340</v>
      </c>
      <c r="D641" s="36" t="s">
        <v>210</v>
      </c>
      <c r="E641" s="36" t="s">
        <v>213</v>
      </c>
      <c r="F641" s="29" t="b">
        <v>1</v>
      </c>
      <c r="G641" s="36" t="s">
        <v>214</v>
      </c>
      <c r="H641" s="36" t="s">
        <v>215</v>
      </c>
      <c r="I641" s="39"/>
      <c r="J641" s="40"/>
      <c r="K641" s="37" t="s">
        <v>194</v>
      </c>
      <c r="L641" s="37" t="s">
        <v>194</v>
      </c>
      <c r="M641" s="37" t="s">
        <v>194</v>
      </c>
      <c r="N641" s="37" t="s">
        <v>194</v>
      </c>
      <c r="O641" s="37" t="s">
        <v>2398</v>
      </c>
      <c r="P641" s="37" t="s">
        <v>2399</v>
      </c>
      <c r="Q641" s="41">
        <v>46160.0</v>
      </c>
      <c r="R641" s="42">
        <v>0.0</v>
      </c>
      <c r="S641" s="55"/>
      <c r="T641" s="37" t="s">
        <v>2448</v>
      </c>
      <c r="U641" s="45" t="str">
        <f>IF(records_2[Type]="Room",records_2[roomNo],records_2[roomNo]&amp;"-"&amp;SUBSTITUTE(RIGHT(records_2[roomNo]&amp;records_2[Type],2),"-",""))</f>
        <v>10-1-095</v>
      </c>
      <c r="V641" s="47" t="str">
        <f t="array" ref="V641">_xlfn.XLOOKUP(records_2[ID], dAir[roomNo], dAir[roomName])</f>
        <v>BLISTER PACKING 3 (BLISTER PACKING MACHINE)</v>
      </c>
      <c r="W641" s="47" t="str">
        <f t="array" ref="W641">_xlfn.XLOOKUP(records_2[ID], dAir[roomNo], dAir[building])</f>
        <v>Building 10</v>
      </c>
      <c r="X641" s="47" t="str">
        <f t="array" ref="X641">_xlfn.XLOOKUP(records_2[ID], dAir[roomNo], dAir[floor])</f>
        <v>Floor 1</v>
      </c>
      <c r="Y641" s="45" t="str">
        <f t="array" ref="Y641">_xlfn.XLOOKUP(records_2[ID], dAir[roomNo], dAir[Class])</f>
        <v>D</v>
      </c>
      <c r="Z641" s="45">
        <f t="array" ref="Z641">_xlfn.XLOOKUP(records_2[Method]&amp;"-"&amp;records_2[Class], dAirSpec[ID], dAirSpec[Spec])</f>
        <v>100</v>
      </c>
      <c r="AA641" s="45" t="str">
        <f t="array" ref="AA641">_xlfn.XLOOKUP(records_2[Method]&amp;"-"&amp;records_2[Class], dAirSpec[ID], dAirSpec[Unit])</f>
        <v>cfu/plate</v>
      </c>
      <c r="AB641" s="58">
        <f t="array" ref="AB641">if(R641="","", if(records_2[Method]="Active Air",_xlfn.xlookup(records_2[ColonyCount]&amp;records_2[AirSampler],feller[code],feller[Vc]),records_2[ColonyCount]))</f>
        <v>0</v>
      </c>
      <c r="AC641" s="60" t="b">
        <f t="shared" si="1"/>
        <v>1</v>
      </c>
      <c r="AD641" s="61" t="b">
        <v>0</v>
      </c>
      <c r="AE641" s="32" t="s">
        <v>280</v>
      </c>
      <c r="AF641" s="46"/>
      <c r="AG641" s="46"/>
      <c r="AH641" s="46"/>
      <c r="AI641" s="46"/>
      <c r="AJ641" s="46"/>
    </row>
    <row r="642" ht="22.5" customHeight="1">
      <c r="A642" s="27">
        <v>46136.0</v>
      </c>
      <c r="B642" s="34" t="str">
        <f t="array" ref="B642">TEXT(A642, "MM-YYYY")</f>
        <v>04-2026</v>
      </c>
      <c r="C642" s="32" t="s">
        <v>348</v>
      </c>
      <c r="D642" s="36" t="s">
        <v>210</v>
      </c>
      <c r="E642" s="36" t="s">
        <v>213</v>
      </c>
      <c r="F642" s="29" t="b">
        <v>1</v>
      </c>
      <c r="G642" s="36" t="s">
        <v>214</v>
      </c>
      <c r="H642" s="36" t="s">
        <v>215</v>
      </c>
      <c r="I642" s="39"/>
      <c r="J642" s="40"/>
      <c r="K642" s="37" t="s">
        <v>194</v>
      </c>
      <c r="L642" s="37" t="s">
        <v>194</v>
      </c>
      <c r="M642" s="37" t="s">
        <v>194</v>
      </c>
      <c r="N642" s="37" t="s">
        <v>194</v>
      </c>
      <c r="O642" s="37" t="s">
        <v>2398</v>
      </c>
      <c r="P642" s="37" t="s">
        <v>2399</v>
      </c>
      <c r="Q642" s="41">
        <v>46160.0</v>
      </c>
      <c r="R642" s="42">
        <v>0.0</v>
      </c>
      <c r="S642" s="55"/>
      <c r="T642" s="37" t="s">
        <v>2448</v>
      </c>
      <c r="U642" s="45" t="str">
        <f>IF(records_2[Type]="Room",records_2[roomNo],records_2[roomNo]&amp;"-"&amp;SUBSTITUTE(RIGHT(records_2[roomNo]&amp;records_2[Type],2),"-",""))</f>
        <v>10-1-096</v>
      </c>
      <c r="V642" s="47" t="str">
        <f t="array" ref="V642">_xlfn.XLOOKUP(records_2[ID], dAir[roomNo], dAir[roomName])</f>
        <v>BLISTER PACKING 4 (BLISTER PACKING MACHINE)</v>
      </c>
      <c r="W642" s="47" t="str">
        <f t="array" ref="W642">_xlfn.XLOOKUP(records_2[ID], dAir[roomNo], dAir[building])</f>
        <v>Building 10</v>
      </c>
      <c r="X642" s="47" t="str">
        <f t="array" ref="X642">_xlfn.XLOOKUP(records_2[ID], dAir[roomNo], dAir[floor])</f>
        <v>Floor 1</v>
      </c>
      <c r="Y642" s="45" t="str">
        <f t="array" ref="Y642">_xlfn.XLOOKUP(records_2[ID], dAir[roomNo], dAir[Class])</f>
        <v>D</v>
      </c>
      <c r="Z642" s="45">
        <f t="array" ref="Z642">_xlfn.XLOOKUP(records_2[Method]&amp;"-"&amp;records_2[Class], dAirSpec[ID], dAirSpec[Spec])</f>
        <v>100</v>
      </c>
      <c r="AA642" s="45" t="str">
        <f t="array" ref="AA642">_xlfn.XLOOKUP(records_2[Method]&amp;"-"&amp;records_2[Class], dAirSpec[ID], dAirSpec[Unit])</f>
        <v>cfu/plate</v>
      </c>
      <c r="AB642" s="58">
        <f t="array" ref="AB642">if(R642="","", if(records_2[Method]="Active Air",_xlfn.xlookup(records_2[ColonyCount]&amp;records_2[AirSampler],feller[code],feller[Vc]),records_2[ColonyCount]))</f>
        <v>0</v>
      </c>
      <c r="AC642" s="60" t="b">
        <f t="shared" si="1"/>
        <v>1</v>
      </c>
      <c r="AD642" s="61" t="b">
        <v>0</v>
      </c>
      <c r="AE642" s="32" t="s">
        <v>280</v>
      </c>
      <c r="AF642" s="46"/>
      <c r="AG642" s="46"/>
      <c r="AH642" s="46"/>
      <c r="AI642" s="46"/>
      <c r="AJ642" s="46"/>
    </row>
    <row r="643" ht="22.5" customHeight="1">
      <c r="A643" s="27">
        <v>46136.0</v>
      </c>
      <c r="B643" s="34" t="str">
        <f t="array" ref="B643">TEXT(A643, "MM-YYYY")</f>
        <v>04-2026</v>
      </c>
      <c r="C643" s="32" t="s">
        <v>357</v>
      </c>
      <c r="D643" s="36" t="s">
        <v>210</v>
      </c>
      <c r="E643" s="36" t="s">
        <v>213</v>
      </c>
      <c r="F643" s="29" t="b">
        <v>1</v>
      </c>
      <c r="G643" s="36" t="s">
        <v>214</v>
      </c>
      <c r="H643" s="36" t="s">
        <v>215</v>
      </c>
      <c r="I643" s="39"/>
      <c r="J643" s="40"/>
      <c r="K643" s="37" t="s">
        <v>194</v>
      </c>
      <c r="L643" s="37" t="s">
        <v>194</v>
      </c>
      <c r="M643" s="37" t="s">
        <v>194</v>
      </c>
      <c r="N643" s="37" t="s">
        <v>194</v>
      </c>
      <c r="O643" s="37" t="s">
        <v>2398</v>
      </c>
      <c r="P643" s="37" t="s">
        <v>2399</v>
      </c>
      <c r="Q643" s="41">
        <v>46160.0</v>
      </c>
      <c r="R643" s="42">
        <v>0.0</v>
      </c>
      <c r="S643" s="55"/>
      <c r="T643" s="37" t="s">
        <v>2448</v>
      </c>
      <c r="U643" s="45" t="str">
        <f>IF(records_2[Type]="Room",records_2[roomNo],records_2[roomNo]&amp;"-"&amp;SUBSTITUTE(RIGHT(records_2[roomNo]&amp;records_2[Type],2),"-",""))</f>
        <v>10-1-097</v>
      </c>
      <c r="V643" s="47" t="str">
        <f t="array" ref="V643">_xlfn.XLOOKUP(records_2[ID], dAir[roomNo], dAir[roomName])</f>
        <v>BLISTER PACKING 5 (BLISTER PACKING MACHINE)</v>
      </c>
      <c r="W643" s="47" t="str">
        <f t="array" ref="W643">_xlfn.XLOOKUP(records_2[ID], dAir[roomNo], dAir[building])</f>
        <v>Building 10</v>
      </c>
      <c r="X643" s="47" t="str">
        <f t="array" ref="X643">_xlfn.XLOOKUP(records_2[ID], dAir[roomNo], dAir[floor])</f>
        <v>Floor 1</v>
      </c>
      <c r="Y643" s="45" t="str">
        <f t="array" ref="Y643">_xlfn.XLOOKUP(records_2[ID], dAir[roomNo], dAir[Class])</f>
        <v>D</v>
      </c>
      <c r="Z643" s="45">
        <f t="array" ref="Z643">_xlfn.XLOOKUP(records_2[Method]&amp;"-"&amp;records_2[Class], dAirSpec[ID], dAirSpec[Spec])</f>
        <v>100</v>
      </c>
      <c r="AA643" s="45" t="str">
        <f t="array" ref="AA643">_xlfn.XLOOKUP(records_2[Method]&amp;"-"&amp;records_2[Class], dAirSpec[ID], dAirSpec[Unit])</f>
        <v>cfu/plate</v>
      </c>
      <c r="AB643" s="58">
        <f t="array" ref="AB643">if(R643="","", if(records_2[Method]="Active Air",_xlfn.xlookup(records_2[ColonyCount]&amp;records_2[AirSampler],feller[code],feller[Vc]),records_2[ColonyCount]))</f>
        <v>0</v>
      </c>
      <c r="AC643" s="60" t="b">
        <f t="shared" si="1"/>
        <v>1</v>
      </c>
      <c r="AD643" s="61" t="b">
        <v>0</v>
      </c>
      <c r="AE643" s="32" t="s">
        <v>280</v>
      </c>
      <c r="AF643" s="46"/>
      <c r="AG643" s="46"/>
      <c r="AH643" s="46"/>
      <c r="AI643" s="46"/>
      <c r="AJ643" s="46"/>
    </row>
    <row r="644" ht="22.5" customHeight="1">
      <c r="A644" s="27">
        <v>46136.0</v>
      </c>
      <c r="B644" s="34" t="str">
        <f t="array" ref="B644">TEXT(A644, "MM-YYYY")</f>
        <v>04-2026</v>
      </c>
      <c r="C644" s="32" t="s">
        <v>370</v>
      </c>
      <c r="D644" s="36" t="s">
        <v>210</v>
      </c>
      <c r="E644" s="36" t="s">
        <v>213</v>
      </c>
      <c r="F644" s="29" t="b">
        <v>1</v>
      </c>
      <c r="G644" s="36" t="s">
        <v>214</v>
      </c>
      <c r="H644" s="36" t="s">
        <v>215</v>
      </c>
      <c r="I644" s="39"/>
      <c r="J644" s="40"/>
      <c r="K644" s="37" t="s">
        <v>194</v>
      </c>
      <c r="L644" s="37" t="s">
        <v>194</v>
      </c>
      <c r="M644" s="37" t="s">
        <v>194</v>
      </c>
      <c r="N644" s="37" t="s">
        <v>194</v>
      </c>
      <c r="O644" s="37" t="s">
        <v>2398</v>
      </c>
      <c r="P644" s="37" t="s">
        <v>2399</v>
      </c>
      <c r="Q644" s="41">
        <v>46160.0</v>
      </c>
      <c r="R644" s="42">
        <v>1.0</v>
      </c>
      <c r="S644" s="55"/>
      <c r="T644" s="37" t="s">
        <v>2448</v>
      </c>
      <c r="U644" s="45" t="str">
        <f>IF(records_2[Type]="Room",records_2[roomNo],records_2[roomNo]&amp;"-"&amp;SUBSTITUTE(RIGHT(records_2[roomNo]&amp;records_2[Type],2),"-",""))</f>
        <v>10-1-098</v>
      </c>
      <c r="V644" s="47" t="str">
        <f t="array" ref="V644">_xlfn.XLOOKUP(records_2[ID], dAir[roomNo], dAir[roomName])</f>
        <v>BLISTER PACKING 6 (BLISTER PACKING MACHINE)</v>
      </c>
      <c r="W644" s="47" t="str">
        <f t="array" ref="W644">_xlfn.XLOOKUP(records_2[ID], dAir[roomNo], dAir[building])</f>
        <v>Building 10</v>
      </c>
      <c r="X644" s="47" t="str">
        <f t="array" ref="X644">_xlfn.XLOOKUP(records_2[ID], dAir[roomNo], dAir[floor])</f>
        <v>Floor 1</v>
      </c>
      <c r="Y644" s="45" t="str">
        <f t="array" ref="Y644">_xlfn.XLOOKUP(records_2[ID], dAir[roomNo], dAir[Class])</f>
        <v>D</v>
      </c>
      <c r="Z644" s="45">
        <f t="array" ref="Z644">_xlfn.XLOOKUP(records_2[Method]&amp;"-"&amp;records_2[Class], dAirSpec[ID], dAirSpec[Spec])</f>
        <v>100</v>
      </c>
      <c r="AA644" s="45" t="str">
        <f t="array" ref="AA644">_xlfn.XLOOKUP(records_2[Method]&amp;"-"&amp;records_2[Class], dAirSpec[ID], dAirSpec[Unit])</f>
        <v>cfu/plate</v>
      </c>
      <c r="AB644" s="58">
        <f t="array" ref="AB644">if(R644="","", if(records_2[Method]="Active Air",_xlfn.xlookup(records_2[ColonyCount]&amp;records_2[AirSampler],feller[code],feller[Vc]),records_2[ColonyCount]))</f>
        <v>1</v>
      </c>
      <c r="AC644" s="60" t="b">
        <f t="shared" si="1"/>
        <v>1</v>
      </c>
      <c r="AD644" s="61" t="b">
        <v>0</v>
      </c>
      <c r="AE644" s="32" t="s">
        <v>280</v>
      </c>
      <c r="AF644" s="46"/>
      <c r="AG644" s="46"/>
      <c r="AH644" s="46"/>
      <c r="AI644" s="46"/>
      <c r="AJ644" s="46"/>
    </row>
    <row r="645" ht="22.5" customHeight="1">
      <c r="A645" s="27">
        <v>46136.0</v>
      </c>
      <c r="B645" s="34" t="str">
        <f t="array" ref="B645">TEXT(A645, "MM-YYYY")</f>
        <v>04-2026</v>
      </c>
      <c r="C645" s="32" t="s">
        <v>374</v>
      </c>
      <c r="D645" s="36" t="s">
        <v>210</v>
      </c>
      <c r="E645" s="36" t="s">
        <v>213</v>
      </c>
      <c r="F645" s="29" t="b">
        <v>1</v>
      </c>
      <c r="G645" s="36" t="s">
        <v>214</v>
      </c>
      <c r="H645" s="36" t="s">
        <v>215</v>
      </c>
      <c r="I645" s="39"/>
      <c r="J645" s="40"/>
      <c r="K645" s="37" t="s">
        <v>194</v>
      </c>
      <c r="L645" s="37" t="s">
        <v>194</v>
      </c>
      <c r="M645" s="37" t="s">
        <v>194</v>
      </c>
      <c r="N645" s="37" t="s">
        <v>194</v>
      </c>
      <c r="O645" s="37" t="s">
        <v>2398</v>
      </c>
      <c r="P645" s="37" t="s">
        <v>2399</v>
      </c>
      <c r="Q645" s="41">
        <v>46160.0</v>
      </c>
      <c r="R645" s="42">
        <v>0.0</v>
      </c>
      <c r="S645" s="55"/>
      <c r="T645" s="37" t="s">
        <v>2448</v>
      </c>
      <c r="U645" s="45" t="str">
        <f>IF(records_2[Type]="Room",records_2[roomNo],records_2[roomNo]&amp;"-"&amp;SUBSTITUTE(RIGHT(records_2[roomNo]&amp;records_2[Type],2),"-",""))</f>
        <v>10-1-099</v>
      </c>
      <c r="V645" s="47" t="str">
        <f t="array" ref="V645">_xlfn.XLOOKUP(records_2[ID], dAir[roomNo], dAir[roomName])</f>
        <v>BLISTER PACKING 4 (LOW RH) (BLISTER PACKING MACHINE)</v>
      </c>
      <c r="W645" s="47" t="str">
        <f t="array" ref="W645">_xlfn.XLOOKUP(records_2[ID], dAir[roomNo], dAir[building])</f>
        <v>Building 10</v>
      </c>
      <c r="X645" s="47" t="str">
        <f t="array" ref="X645">_xlfn.XLOOKUP(records_2[ID], dAir[roomNo], dAir[floor])</f>
        <v>Floor 1</v>
      </c>
      <c r="Y645" s="45" t="str">
        <f t="array" ref="Y645">_xlfn.XLOOKUP(records_2[ID], dAir[roomNo], dAir[Class])</f>
        <v>D</v>
      </c>
      <c r="Z645" s="45">
        <f t="array" ref="Z645">_xlfn.XLOOKUP(records_2[Method]&amp;"-"&amp;records_2[Class], dAirSpec[ID], dAirSpec[Spec])</f>
        <v>100</v>
      </c>
      <c r="AA645" s="45" t="str">
        <f t="array" ref="AA645">_xlfn.XLOOKUP(records_2[Method]&amp;"-"&amp;records_2[Class], dAirSpec[ID], dAirSpec[Unit])</f>
        <v>cfu/plate</v>
      </c>
      <c r="AB645" s="58">
        <f t="array" ref="AB645">if(R645="","", if(records_2[Method]="Active Air",_xlfn.xlookup(records_2[ColonyCount]&amp;records_2[AirSampler],feller[code],feller[Vc]),records_2[ColonyCount]))</f>
        <v>0</v>
      </c>
      <c r="AC645" s="60" t="b">
        <f t="shared" si="1"/>
        <v>1</v>
      </c>
      <c r="AD645" s="61" t="b">
        <v>0</v>
      </c>
      <c r="AE645" s="32" t="s">
        <v>280</v>
      </c>
      <c r="AF645" s="46"/>
      <c r="AG645" s="46"/>
      <c r="AH645" s="46"/>
      <c r="AI645" s="46"/>
      <c r="AJ645" s="46"/>
    </row>
    <row r="646" ht="22.5" customHeight="1">
      <c r="A646" s="27">
        <v>46136.0</v>
      </c>
      <c r="B646" s="34" t="str">
        <f t="array" ref="B646">TEXT(A646, "MM-YYYY")</f>
        <v>04-2026</v>
      </c>
      <c r="C646" s="32" t="s">
        <v>384</v>
      </c>
      <c r="D646" s="36" t="s">
        <v>210</v>
      </c>
      <c r="E646" s="36" t="s">
        <v>213</v>
      </c>
      <c r="F646" s="29" t="b">
        <v>1</v>
      </c>
      <c r="G646" s="36" t="s">
        <v>214</v>
      </c>
      <c r="H646" s="36" t="s">
        <v>215</v>
      </c>
      <c r="I646" s="39"/>
      <c r="J646" s="40"/>
      <c r="K646" s="37" t="s">
        <v>194</v>
      </c>
      <c r="L646" s="37" t="s">
        <v>194</v>
      </c>
      <c r="M646" s="37" t="s">
        <v>194</v>
      </c>
      <c r="N646" s="37" t="s">
        <v>194</v>
      </c>
      <c r="O646" s="37" t="s">
        <v>2398</v>
      </c>
      <c r="P646" s="37" t="s">
        <v>2399</v>
      </c>
      <c r="Q646" s="41">
        <v>46160.0</v>
      </c>
      <c r="R646" s="42">
        <v>0.0</v>
      </c>
      <c r="S646" s="55"/>
      <c r="T646" s="37" t="s">
        <v>2448</v>
      </c>
      <c r="U646" s="45" t="str">
        <f>IF(records_2[Type]="Room",records_2[roomNo],records_2[roomNo]&amp;"-"&amp;SUBSTITUTE(RIGHT(records_2[roomNo]&amp;records_2[Type],2),"-",""))</f>
        <v>10-1-100</v>
      </c>
      <c r="V646" s="47" t="str">
        <f t="array" ref="V646">_xlfn.XLOOKUP(records_2[ID], dAir[roomNo], dAir[roomName])</f>
        <v>BLISTER PACKING 5 (LOW RH) (BLISTER PACKING MACHINE)</v>
      </c>
      <c r="W646" s="47" t="str">
        <f t="array" ref="W646">_xlfn.XLOOKUP(records_2[ID], dAir[roomNo], dAir[building])</f>
        <v>Building 10</v>
      </c>
      <c r="X646" s="47" t="str">
        <f t="array" ref="X646">_xlfn.XLOOKUP(records_2[ID], dAir[roomNo], dAir[floor])</f>
        <v>Floor 1</v>
      </c>
      <c r="Y646" s="45" t="str">
        <f t="array" ref="Y646">_xlfn.XLOOKUP(records_2[ID], dAir[roomNo], dAir[Class])</f>
        <v>D</v>
      </c>
      <c r="Z646" s="45">
        <f t="array" ref="Z646">_xlfn.XLOOKUP(records_2[Method]&amp;"-"&amp;records_2[Class], dAirSpec[ID], dAirSpec[Spec])</f>
        <v>100</v>
      </c>
      <c r="AA646" s="45" t="str">
        <f t="array" ref="AA646">_xlfn.XLOOKUP(records_2[Method]&amp;"-"&amp;records_2[Class], dAirSpec[ID], dAirSpec[Unit])</f>
        <v>cfu/plate</v>
      </c>
      <c r="AB646" s="58">
        <f t="array" ref="AB646">if(R646="","", if(records_2[Method]="Active Air",_xlfn.xlookup(records_2[ColonyCount]&amp;records_2[AirSampler],feller[code],feller[Vc]),records_2[ColonyCount]))</f>
        <v>0</v>
      </c>
      <c r="AC646" s="60" t="b">
        <f t="shared" si="1"/>
        <v>1</v>
      </c>
      <c r="AD646" s="61" t="b">
        <v>0</v>
      </c>
      <c r="AE646" s="32" t="s">
        <v>280</v>
      </c>
      <c r="AF646" s="46"/>
      <c r="AG646" s="46"/>
      <c r="AH646" s="46"/>
      <c r="AI646" s="46"/>
      <c r="AJ646" s="46"/>
    </row>
    <row r="647" ht="22.5" customHeight="1">
      <c r="A647" s="27">
        <v>46136.0</v>
      </c>
      <c r="B647" s="34" t="str">
        <f t="array" ref="B647">TEXT(A647, "MM-YYYY")</f>
        <v>04-2026</v>
      </c>
      <c r="C647" s="32" t="s">
        <v>684</v>
      </c>
      <c r="D647" s="36" t="s">
        <v>210</v>
      </c>
      <c r="E647" s="36" t="s">
        <v>213</v>
      </c>
      <c r="F647" s="29" t="b">
        <v>1</v>
      </c>
      <c r="G647" s="36" t="s">
        <v>214</v>
      </c>
      <c r="H647" s="36" t="s">
        <v>215</v>
      </c>
      <c r="I647" s="39"/>
      <c r="J647" s="40"/>
      <c r="K647" s="37" t="s">
        <v>194</v>
      </c>
      <c r="L647" s="37" t="s">
        <v>194</v>
      </c>
      <c r="M647" s="37" t="s">
        <v>194</v>
      </c>
      <c r="N647" s="37" t="s">
        <v>194</v>
      </c>
      <c r="O647" s="37" t="s">
        <v>2398</v>
      </c>
      <c r="P647" s="37" t="s">
        <v>2399</v>
      </c>
      <c r="Q647" s="41">
        <v>46160.0</v>
      </c>
      <c r="R647" s="42">
        <v>0.0</v>
      </c>
      <c r="S647" s="55"/>
      <c r="T647" s="37" t="s">
        <v>2448</v>
      </c>
      <c r="U647" s="45" t="str">
        <f>IF(records_2[Type]="Room",records_2[roomNo],records_2[roomNo]&amp;"-"&amp;SUBSTITUTE(RIGHT(records_2[roomNo]&amp;records_2[Type],2),"-",""))</f>
        <v>10-1-102</v>
      </c>
      <c r="V647" s="47" t="str">
        <f t="array" ref="V647">_xlfn.XLOOKUP(records_2[ID], dAir[roomNo], dAir[roomName])</f>
        <v>CORRIDOR</v>
      </c>
      <c r="W647" s="47" t="str">
        <f t="array" ref="W647">_xlfn.XLOOKUP(records_2[ID], dAir[roomNo], dAir[building])</f>
        <v>Building 10</v>
      </c>
      <c r="X647" s="47" t="str">
        <f t="array" ref="X647">_xlfn.XLOOKUP(records_2[ID], dAir[roomNo], dAir[floor])</f>
        <v>Floor 1</v>
      </c>
      <c r="Y647" s="45" t="str">
        <f t="array" ref="Y647">_xlfn.XLOOKUP(records_2[ID], dAir[roomNo], dAir[Class])</f>
        <v>D</v>
      </c>
      <c r="Z647" s="45">
        <f t="array" ref="Z647">_xlfn.XLOOKUP(records_2[Method]&amp;"-"&amp;records_2[Class], dAirSpec[ID], dAirSpec[Spec])</f>
        <v>100</v>
      </c>
      <c r="AA647" s="45" t="str">
        <f t="array" ref="AA647">_xlfn.XLOOKUP(records_2[Method]&amp;"-"&amp;records_2[Class], dAirSpec[ID], dAirSpec[Unit])</f>
        <v>cfu/plate</v>
      </c>
      <c r="AB647" s="58">
        <f t="array" ref="AB647">if(R647="","", if(records_2[Method]="Active Air",_xlfn.xlookup(records_2[ColonyCount]&amp;records_2[AirSampler],feller[code],feller[Vc]),records_2[ColonyCount]))</f>
        <v>0</v>
      </c>
      <c r="AC647" s="60" t="b">
        <f t="shared" si="1"/>
        <v>1</v>
      </c>
      <c r="AD647" s="61" t="b">
        <v>0</v>
      </c>
      <c r="AE647" s="32" t="s">
        <v>280</v>
      </c>
      <c r="AF647" s="46"/>
      <c r="AG647" s="46"/>
      <c r="AH647" s="46"/>
      <c r="AI647" s="46"/>
      <c r="AJ647" s="46"/>
    </row>
    <row r="648" ht="22.5" customHeight="1">
      <c r="A648" s="27">
        <v>46136.0</v>
      </c>
      <c r="B648" s="34" t="str">
        <f t="array" ref="B648">TEXT(A648, "MM-YYYY")</f>
        <v>04-2026</v>
      </c>
      <c r="C648" s="32" t="s">
        <v>688</v>
      </c>
      <c r="D648" s="36" t="s">
        <v>210</v>
      </c>
      <c r="E648" s="36" t="s">
        <v>213</v>
      </c>
      <c r="F648" s="29" t="b">
        <v>1</v>
      </c>
      <c r="G648" s="36" t="s">
        <v>214</v>
      </c>
      <c r="H648" s="36" t="s">
        <v>215</v>
      </c>
      <c r="I648" s="39"/>
      <c r="J648" s="40"/>
      <c r="K648" s="37" t="s">
        <v>194</v>
      </c>
      <c r="L648" s="37" t="s">
        <v>194</v>
      </c>
      <c r="M648" s="37" t="s">
        <v>194</v>
      </c>
      <c r="N648" s="37" t="s">
        <v>194</v>
      </c>
      <c r="O648" s="37" t="s">
        <v>2398</v>
      </c>
      <c r="P648" s="37" t="s">
        <v>2399</v>
      </c>
      <c r="Q648" s="41">
        <v>46160.0</v>
      </c>
      <c r="R648" s="42">
        <v>1.0</v>
      </c>
      <c r="S648" s="55"/>
      <c r="T648" s="37" t="s">
        <v>2448</v>
      </c>
      <c r="U648" s="45" t="str">
        <f>IF(records_2[Type]="Room",records_2[roomNo],records_2[roomNo]&amp;"-"&amp;SUBSTITUTE(RIGHT(records_2[roomNo]&amp;records_2[Type],2),"-",""))</f>
        <v>10-1-106</v>
      </c>
      <c r="V648" s="47" t="str">
        <f t="array" ref="V648">_xlfn.XLOOKUP(records_2[ID], dAir[roomNo], dAir[roomName])</f>
        <v>PPM STAGING</v>
      </c>
      <c r="W648" s="47" t="str">
        <f t="array" ref="W648">_xlfn.XLOOKUP(records_2[ID], dAir[roomNo], dAir[building])</f>
        <v>Building 10</v>
      </c>
      <c r="X648" s="47" t="str">
        <f t="array" ref="X648">_xlfn.XLOOKUP(records_2[ID], dAir[roomNo], dAir[floor])</f>
        <v>Floor 1</v>
      </c>
      <c r="Y648" s="45" t="str">
        <f t="array" ref="Y648">_xlfn.XLOOKUP(records_2[ID], dAir[roomNo], dAir[Class])</f>
        <v>D</v>
      </c>
      <c r="Z648" s="45">
        <f t="array" ref="Z648">_xlfn.XLOOKUP(records_2[Method]&amp;"-"&amp;records_2[Class], dAirSpec[ID], dAirSpec[Spec])</f>
        <v>100</v>
      </c>
      <c r="AA648" s="45" t="str">
        <f t="array" ref="AA648">_xlfn.XLOOKUP(records_2[Method]&amp;"-"&amp;records_2[Class], dAirSpec[ID], dAirSpec[Unit])</f>
        <v>cfu/plate</v>
      </c>
      <c r="AB648" s="58">
        <f t="array" ref="AB648">if(R648="","", if(records_2[Method]="Active Air",_xlfn.xlookup(records_2[ColonyCount]&amp;records_2[AirSampler],feller[code],feller[Vc]),records_2[ColonyCount]))</f>
        <v>1</v>
      </c>
      <c r="AC648" s="60" t="b">
        <f t="shared" si="1"/>
        <v>1</v>
      </c>
      <c r="AD648" s="61" t="b">
        <v>0</v>
      </c>
      <c r="AE648" s="32" t="s">
        <v>280</v>
      </c>
      <c r="AF648" s="46"/>
      <c r="AG648" s="46"/>
      <c r="AH648" s="46"/>
      <c r="AI648" s="46"/>
      <c r="AJ648" s="46"/>
    </row>
    <row r="649" ht="22.5" customHeight="1">
      <c r="A649" s="27">
        <v>46136.0</v>
      </c>
      <c r="B649" s="34" t="str">
        <f t="array" ref="B649">TEXT(A649, "MM-YYYY")</f>
        <v>04-2026</v>
      </c>
      <c r="C649" s="32" t="s">
        <v>394</v>
      </c>
      <c r="D649" s="36" t="s">
        <v>210</v>
      </c>
      <c r="E649" s="36" t="s">
        <v>213</v>
      </c>
      <c r="F649" s="29" t="b">
        <v>1</v>
      </c>
      <c r="G649" s="36" t="s">
        <v>214</v>
      </c>
      <c r="H649" s="36" t="s">
        <v>215</v>
      </c>
      <c r="I649" s="39"/>
      <c r="J649" s="40"/>
      <c r="K649" s="37" t="s">
        <v>194</v>
      </c>
      <c r="L649" s="37" t="s">
        <v>194</v>
      </c>
      <c r="M649" s="37" t="s">
        <v>194</v>
      </c>
      <c r="N649" s="37" t="s">
        <v>194</v>
      </c>
      <c r="O649" s="37" t="s">
        <v>2398</v>
      </c>
      <c r="P649" s="37" t="s">
        <v>2399</v>
      </c>
      <c r="Q649" s="41">
        <v>46160.0</v>
      </c>
      <c r="R649" s="42">
        <v>0.0</v>
      </c>
      <c r="S649" s="55"/>
      <c r="T649" s="37" t="s">
        <v>2448</v>
      </c>
      <c r="U649" s="45" t="str">
        <f>IF(records_2[Type]="Room",records_2[roomNo],records_2[roomNo]&amp;"-"&amp;SUBSTITUTE(RIGHT(records_2[roomNo]&amp;records_2[Type],2),"-",""))</f>
        <v>10-1-107</v>
      </c>
      <c r="V649" s="47" t="str">
        <f t="array" ref="V649">_xlfn.XLOOKUP(records_2[ID], dAir[roomNo], dAir[roomName])</f>
        <v>STRIP PACKING 1 (LOW RH) (DRUM TIPPER) &amp; (STRIP PACKING MACHINE)</v>
      </c>
      <c r="W649" s="47" t="str">
        <f t="array" ref="W649">_xlfn.XLOOKUP(records_2[ID], dAir[roomNo], dAir[building])</f>
        <v>Building 10</v>
      </c>
      <c r="X649" s="47" t="str">
        <f t="array" ref="X649">_xlfn.XLOOKUP(records_2[ID], dAir[roomNo], dAir[floor])</f>
        <v>Floor 1</v>
      </c>
      <c r="Y649" s="45" t="str">
        <f t="array" ref="Y649">_xlfn.XLOOKUP(records_2[ID], dAir[roomNo], dAir[Class])</f>
        <v>D</v>
      </c>
      <c r="Z649" s="45">
        <f t="array" ref="Z649">_xlfn.XLOOKUP(records_2[Method]&amp;"-"&amp;records_2[Class], dAirSpec[ID], dAirSpec[Spec])</f>
        <v>100</v>
      </c>
      <c r="AA649" s="45" t="str">
        <f t="array" ref="AA649">_xlfn.XLOOKUP(records_2[Method]&amp;"-"&amp;records_2[Class], dAirSpec[ID], dAirSpec[Unit])</f>
        <v>cfu/plate</v>
      </c>
      <c r="AB649" s="58">
        <f t="array" ref="AB649">if(R649="","", if(records_2[Method]="Active Air",_xlfn.xlookup(records_2[ColonyCount]&amp;records_2[AirSampler],feller[code],feller[Vc]),records_2[ColonyCount]))</f>
        <v>0</v>
      </c>
      <c r="AC649" s="60" t="b">
        <f t="shared" si="1"/>
        <v>1</v>
      </c>
      <c r="AD649" s="61" t="b">
        <v>0</v>
      </c>
      <c r="AE649" s="32" t="s">
        <v>280</v>
      </c>
      <c r="AF649" s="46"/>
      <c r="AG649" s="46"/>
      <c r="AH649" s="46"/>
      <c r="AI649" s="46"/>
      <c r="AJ649" s="46"/>
    </row>
    <row r="650" ht="22.5" customHeight="1">
      <c r="A650" s="27">
        <v>46136.0</v>
      </c>
      <c r="B650" s="34" t="str">
        <f t="array" ref="B650">TEXT(A650, "MM-YYYY")</f>
        <v>04-2026</v>
      </c>
      <c r="C650" s="32" t="s">
        <v>413</v>
      </c>
      <c r="D650" s="36" t="s">
        <v>210</v>
      </c>
      <c r="E650" s="36" t="s">
        <v>213</v>
      </c>
      <c r="F650" s="29" t="b">
        <v>1</v>
      </c>
      <c r="G650" s="36" t="s">
        <v>214</v>
      </c>
      <c r="H650" s="36" t="s">
        <v>215</v>
      </c>
      <c r="I650" s="39"/>
      <c r="J650" s="40"/>
      <c r="K650" s="37" t="s">
        <v>194</v>
      </c>
      <c r="L650" s="37" t="s">
        <v>194</v>
      </c>
      <c r="M650" s="37" t="s">
        <v>194</v>
      </c>
      <c r="N650" s="37" t="s">
        <v>194</v>
      </c>
      <c r="O650" s="37" t="s">
        <v>2398</v>
      </c>
      <c r="P650" s="37" t="s">
        <v>2399</v>
      </c>
      <c r="Q650" s="41">
        <v>46160.0</v>
      </c>
      <c r="R650" s="42">
        <v>0.0</v>
      </c>
      <c r="S650" s="55"/>
      <c r="T650" s="37" t="s">
        <v>2448</v>
      </c>
      <c r="U650" s="45" t="str">
        <f>IF(records_2[Type]="Room",records_2[roomNo],records_2[roomNo]&amp;"-"&amp;SUBSTITUTE(RIGHT(records_2[roomNo]&amp;records_2[Type],2),"-",""))</f>
        <v>10-1-108</v>
      </c>
      <c r="V650" s="47" t="str">
        <f t="array" ref="V650">_xlfn.XLOOKUP(records_2[ID], dAir[roomNo], dAir[roomName])</f>
        <v>SACHET PACKING (LOW RH) (STRIP PACKING MACHINE)</v>
      </c>
      <c r="W650" s="47" t="str">
        <f t="array" ref="W650">_xlfn.XLOOKUP(records_2[ID], dAir[roomNo], dAir[building])</f>
        <v>Building 10</v>
      </c>
      <c r="X650" s="47" t="str">
        <f t="array" ref="X650">_xlfn.XLOOKUP(records_2[ID], dAir[roomNo], dAir[floor])</f>
        <v>Floor 1</v>
      </c>
      <c r="Y650" s="45" t="str">
        <f t="array" ref="Y650">_xlfn.XLOOKUP(records_2[ID], dAir[roomNo], dAir[Class])</f>
        <v>D</v>
      </c>
      <c r="Z650" s="45">
        <f t="array" ref="Z650">_xlfn.XLOOKUP(records_2[Method]&amp;"-"&amp;records_2[Class], dAirSpec[ID], dAirSpec[Spec])</f>
        <v>100</v>
      </c>
      <c r="AA650" s="45" t="str">
        <f t="array" ref="AA650">_xlfn.XLOOKUP(records_2[Method]&amp;"-"&amp;records_2[Class], dAirSpec[ID], dAirSpec[Unit])</f>
        <v>cfu/plate</v>
      </c>
      <c r="AB650" s="58">
        <f t="array" ref="AB650">if(R650="","", if(records_2[Method]="Active Air",_xlfn.xlookup(records_2[ColonyCount]&amp;records_2[AirSampler],feller[code],feller[Vc]),records_2[ColonyCount]))</f>
        <v>0</v>
      </c>
      <c r="AC650" s="60" t="b">
        <f t="shared" si="1"/>
        <v>1</v>
      </c>
      <c r="AD650" s="61" t="b">
        <v>0</v>
      </c>
      <c r="AE650" s="32" t="s">
        <v>280</v>
      </c>
      <c r="AF650" s="46"/>
      <c r="AG650" s="46"/>
      <c r="AH650" s="46"/>
      <c r="AI650" s="46"/>
      <c r="AJ650" s="46"/>
    </row>
    <row r="651" ht="22.5" customHeight="1">
      <c r="A651" s="27">
        <v>46136.0</v>
      </c>
      <c r="B651" s="34" t="str">
        <f t="array" ref="B651">TEXT(A651, "MM-YYYY")</f>
        <v>04-2026</v>
      </c>
      <c r="C651" s="32" t="s">
        <v>705</v>
      </c>
      <c r="D651" s="36" t="s">
        <v>210</v>
      </c>
      <c r="E651" s="36" t="s">
        <v>213</v>
      </c>
      <c r="F651" s="29" t="b">
        <v>1</v>
      </c>
      <c r="G651" s="36" t="s">
        <v>214</v>
      </c>
      <c r="H651" s="36" t="s">
        <v>215</v>
      </c>
      <c r="I651" s="39"/>
      <c r="J651" s="40"/>
      <c r="K651" s="37" t="s">
        <v>194</v>
      </c>
      <c r="L651" s="37" t="s">
        <v>194</v>
      </c>
      <c r="M651" s="37" t="s">
        <v>194</v>
      </c>
      <c r="N651" s="37" t="s">
        <v>194</v>
      </c>
      <c r="O651" s="37" t="s">
        <v>2398</v>
      </c>
      <c r="P651" s="37" t="s">
        <v>2399</v>
      </c>
      <c r="Q651" s="41">
        <v>46160.0</v>
      </c>
      <c r="R651" s="42">
        <v>0.0</v>
      </c>
      <c r="S651" s="55"/>
      <c r="T651" s="37" t="s">
        <v>2448</v>
      </c>
      <c r="U651" s="45" t="str">
        <f>IF(records_2[Type]="Room",records_2[roomNo],records_2[roomNo]&amp;"-"&amp;SUBSTITUTE(RIGHT(records_2[roomNo]&amp;records_2[Type],2),"-",""))</f>
        <v>10-1-109</v>
      </c>
      <c r="V651" s="47" t="str">
        <f t="array" ref="V651">_xlfn.XLOOKUP(records_2[ID], dAir[roomNo], dAir[roomName])</f>
        <v>STRIP PACKING 2 (DRUM TIPPER) &amp; (STRIP PACKING MACHINE)</v>
      </c>
      <c r="W651" s="47" t="str">
        <f t="array" ref="W651">_xlfn.XLOOKUP(records_2[ID], dAir[roomNo], dAir[building])</f>
        <v>Building 10</v>
      </c>
      <c r="X651" s="47" t="str">
        <f t="array" ref="X651">_xlfn.XLOOKUP(records_2[ID], dAir[roomNo], dAir[floor])</f>
        <v>Floor 1</v>
      </c>
      <c r="Y651" s="45" t="str">
        <f t="array" ref="Y651">_xlfn.XLOOKUP(records_2[ID], dAir[roomNo], dAir[Class])</f>
        <v>D</v>
      </c>
      <c r="Z651" s="45">
        <f t="array" ref="Z651">_xlfn.XLOOKUP(records_2[Method]&amp;"-"&amp;records_2[Class], dAirSpec[ID], dAirSpec[Spec])</f>
        <v>100</v>
      </c>
      <c r="AA651" s="45" t="str">
        <f t="array" ref="AA651">_xlfn.XLOOKUP(records_2[Method]&amp;"-"&amp;records_2[Class], dAirSpec[ID], dAirSpec[Unit])</f>
        <v>cfu/plate</v>
      </c>
      <c r="AB651" s="58">
        <f t="array" ref="AB651">if(R651="","", if(records_2[Method]="Active Air",_xlfn.xlookup(records_2[ColonyCount]&amp;records_2[AirSampler],feller[code],feller[Vc]),records_2[ColonyCount]))</f>
        <v>0</v>
      </c>
      <c r="AC651" s="60" t="b">
        <f t="shared" si="1"/>
        <v>1</v>
      </c>
      <c r="AD651" s="61" t="b">
        <v>0</v>
      </c>
      <c r="AE651" s="32" t="s">
        <v>280</v>
      </c>
      <c r="AF651" s="46"/>
      <c r="AG651" s="46"/>
      <c r="AH651" s="46"/>
      <c r="AI651" s="46"/>
      <c r="AJ651" s="46"/>
    </row>
    <row r="652" ht="22.5" customHeight="1">
      <c r="A652" s="27">
        <v>46136.0</v>
      </c>
      <c r="B652" s="34" t="str">
        <f t="array" ref="B652">TEXT(A652, "MM-YYYY")</f>
        <v>04-2026</v>
      </c>
      <c r="C652" s="32" t="s">
        <v>443</v>
      </c>
      <c r="D652" s="36" t="s">
        <v>210</v>
      </c>
      <c r="E652" s="36" t="s">
        <v>213</v>
      </c>
      <c r="F652" s="29" t="b">
        <v>1</v>
      </c>
      <c r="G652" s="36" t="s">
        <v>214</v>
      </c>
      <c r="H652" s="36" t="s">
        <v>215</v>
      </c>
      <c r="I652" s="39"/>
      <c r="J652" s="40"/>
      <c r="K652" s="37" t="s">
        <v>194</v>
      </c>
      <c r="L652" s="37" t="s">
        <v>194</v>
      </c>
      <c r="M652" s="37" t="s">
        <v>194</v>
      </c>
      <c r="N652" s="37" t="s">
        <v>194</v>
      </c>
      <c r="O652" s="37" t="s">
        <v>2398</v>
      </c>
      <c r="P652" s="37" t="s">
        <v>2399</v>
      </c>
      <c r="Q652" s="41">
        <v>46160.0</v>
      </c>
      <c r="R652" s="42">
        <v>0.0</v>
      </c>
      <c r="S652" s="55"/>
      <c r="T652" s="37" t="s">
        <v>2448</v>
      </c>
      <c r="U652" s="45" t="str">
        <f>IF(records_2[Type]="Room",records_2[roomNo],records_2[roomNo]&amp;"-"&amp;SUBSTITUTE(RIGHT(records_2[roomNo]&amp;records_2[Type],2),"-",""))</f>
        <v>10-1-110</v>
      </c>
      <c r="V652" s="47" t="str">
        <f t="array" ref="V652">_xlfn.XLOOKUP(records_2[ID], dAir[roomNo], dAir[roomName])</f>
        <v>STRIP PACKING 3 (DRUM TIPPER) &amp; (STRIP PACKING MACHINE)</v>
      </c>
      <c r="W652" s="47" t="str">
        <f t="array" ref="W652">_xlfn.XLOOKUP(records_2[ID], dAir[roomNo], dAir[building])</f>
        <v>Building 10</v>
      </c>
      <c r="X652" s="47" t="str">
        <f t="array" ref="X652">_xlfn.XLOOKUP(records_2[ID], dAir[roomNo], dAir[floor])</f>
        <v>Floor 1</v>
      </c>
      <c r="Y652" s="45" t="str">
        <f t="array" ref="Y652">_xlfn.XLOOKUP(records_2[ID], dAir[roomNo], dAir[Class])</f>
        <v>D</v>
      </c>
      <c r="Z652" s="45">
        <f t="array" ref="Z652">_xlfn.XLOOKUP(records_2[Method]&amp;"-"&amp;records_2[Class], dAirSpec[ID], dAirSpec[Spec])</f>
        <v>100</v>
      </c>
      <c r="AA652" s="45" t="str">
        <f t="array" ref="AA652">_xlfn.XLOOKUP(records_2[Method]&amp;"-"&amp;records_2[Class], dAirSpec[ID], dAirSpec[Unit])</f>
        <v>cfu/plate</v>
      </c>
      <c r="AB652" s="58">
        <f t="array" ref="AB652">if(R652="","", if(records_2[Method]="Active Air",_xlfn.xlookup(records_2[ColonyCount]&amp;records_2[AirSampler],feller[code],feller[Vc]),records_2[ColonyCount]))</f>
        <v>0</v>
      </c>
      <c r="AC652" s="60" t="b">
        <f t="shared" si="1"/>
        <v>1</v>
      </c>
      <c r="AD652" s="61" t="b">
        <v>0</v>
      </c>
      <c r="AE652" s="32" t="s">
        <v>280</v>
      </c>
      <c r="AF652" s="46"/>
      <c r="AG652" s="46"/>
      <c r="AH652" s="46"/>
      <c r="AI652" s="46"/>
      <c r="AJ652" s="46"/>
    </row>
    <row r="653" ht="22.5" customHeight="1">
      <c r="A653" s="27">
        <v>46136.0</v>
      </c>
      <c r="B653" s="34" t="str">
        <f t="array" ref="B653">TEXT(A653, "MM-YYYY")</f>
        <v>04-2026</v>
      </c>
      <c r="C653" s="32" t="s">
        <v>717</v>
      </c>
      <c r="D653" s="36" t="s">
        <v>210</v>
      </c>
      <c r="E653" s="36" t="s">
        <v>213</v>
      </c>
      <c r="F653" s="29" t="b">
        <v>1</v>
      </c>
      <c r="G653" s="36" t="s">
        <v>214</v>
      </c>
      <c r="H653" s="36" t="s">
        <v>215</v>
      </c>
      <c r="I653" s="39"/>
      <c r="J653" s="40"/>
      <c r="K653" s="37" t="s">
        <v>194</v>
      </c>
      <c r="L653" s="37" t="s">
        <v>194</v>
      </c>
      <c r="M653" s="37" t="s">
        <v>194</v>
      </c>
      <c r="N653" s="37" t="s">
        <v>194</v>
      </c>
      <c r="O653" s="37" t="s">
        <v>2398</v>
      </c>
      <c r="P653" s="37" t="s">
        <v>2399</v>
      </c>
      <c r="Q653" s="41">
        <v>46160.0</v>
      </c>
      <c r="R653" s="42">
        <v>0.0</v>
      </c>
      <c r="S653" s="55"/>
      <c r="T653" s="37" t="s">
        <v>2448</v>
      </c>
      <c r="U653" s="45" t="str">
        <f>IF(records_2[Type]="Room",records_2[roomNo],records_2[roomNo]&amp;"-"&amp;SUBSTITUTE(RIGHT(records_2[roomNo]&amp;records_2[Type],2),"-",""))</f>
        <v>10-1-111</v>
      </c>
      <c r="V653" s="47" t="str">
        <f t="array" ref="V653">_xlfn.XLOOKUP(records_2[ID], dAir[roomNo], dAir[roomName])</f>
        <v>CORRIDOR</v>
      </c>
      <c r="W653" s="47" t="str">
        <f t="array" ref="W653">_xlfn.XLOOKUP(records_2[ID], dAir[roomNo], dAir[building])</f>
        <v>Building 10</v>
      </c>
      <c r="X653" s="47" t="str">
        <f t="array" ref="X653">_xlfn.XLOOKUP(records_2[ID], dAir[roomNo], dAir[floor])</f>
        <v>Floor 1</v>
      </c>
      <c r="Y653" s="45" t="str">
        <f t="array" ref="Y653">_xlfn.XLOOKUP(records_2[ID], dAir[roomNo], dAir[Class])</f>
        <v>D</v>
      </c>
      <c r="Z653" s="45">
        <f t="array" ref="Z653">_xlfn.XLOOKUP(records_2[Method]&amp;"-"&amp;records_2[Class], dAirSpec[ID], dAirSpec[Spec])</f>
        <v>100</v>
      </c>
      <c r="AA653" s="45" t="str">
        <f t="array" ref="AA653">_xlfn.XLOOKUP(records_2[Method]&amp;"-"&amp;records_2[Class], dAirSpec[ID], dAirSpec[Unit])</f>
        <v>cfu/plate</v>
      </c>
      <c r="AB653" s="58">
        <f t="array" ref="AB653">if(R653="","", if(records_2[Method]="Active Air",_xlfn.xlookup(records_2[ColonyCount]&amp;records_2[AirSampler],feller[code],feller[Vc]),records_2[ColonyCount]))</f>
        <v>0</v>
      </c>
      <c r="AC653" s="60" t="b">
        <f t="shared" si="1"/>
        <v>1</v>
      </c>
      <c r="AD653" s="61" t="b">
        <v>0</v>
      </c>
      <c r="AE653" s="32" t="s">
        <v>280</v>
      </c>
      <c r="AF653" s="46"/>
      <c r="AG653" s="46"/>
      <c r="AH653" s="46"/>
      <c r="AI653" s="46"/>
      <c r="AJ653" s="46"/>
    </row>
    <row r="654" ht="22.5" customHeight="1">
      <c r="A654" s="27">
        <v>46136.0</v>
      </c>
      <c r="B654" s="34" t="str">
        <f t="array" ref="B654">TEXT(A654, "MM-YYYY")</f>
        <v>04-2026</v>
      </c>
      <c r="C654" s="32" t="s">
        <v>721</v>
      </c>
      <c r="D654" s="36" t="s">
        <v>210</v>
      </c>
      <c r="E654" s="36" t="s">
        <v>213</v>
      </c>
      <c r="F654" s="29" t="b">
        <v>1</v>
      </c>
      <c r="G654" s="36" t="s">
        <v>214</v>
      </c>
      <c r="H654" s="36" t="s">
        <v>215</v>
      </c>
      <c r="I654" s="39"/>
      <c r="J654" s="40"/>
      <c r="K654" s="37" t="s">
        <v>194</v>
      </c>
      <c r="L654" s="37" t="s">
        <v>194</v>
      </c>
      <c r="M654" s="37" t="s">
        <v>194</v>
      </c>
      <c r="N654" s="37" t="s">
        <v>194</v>
      </c>
      <c r="O654" s="37" t="s">
        <v>2398</v>
      </c>
      <c r="P654" s="37" t="s">
        <v>2399</v>
      </c>
      <c r="Q654" s="41">
        <v>46160.0</v>
      </c>
      <c r="R654" s="42">
        <v>0.0</v>
      </c>
      <c r="S654" s="55"/>
      <c r="T654" s="37" t="s">
        <v>2448</v>
      </c>
      <c r="U654" s="45" t="str">
        <f>IF(records_2[Type]="Room",records_2[roomNo],records_2[roomNo]&amp;"-"&amp;SUBSTITUTE(RIGHT(records_2[roomNo]&amp;records_2[Type],2),"-",""))</f>
        <v>10-1-112</v>
      </c>
      <c r="V654" s="47" t="str">
        <f t="array" ref="V654">_xlfn.XLOOKUP(records_2[ID], dAir[roomNo], dAir[roomName])</f>
        <v>CHANGE PARTS STORAGE</v>
      </c>
      <c r="W654" s="47" t="str">
        <f t="array" ref="W654">_xlfn.XLOOKUP(records_2[ID], dAir[roomNo], dAir[building])</f>
        <v>Building 10</v>
      </c>
      <c r="X654" s="47" t="str">
        <f t="array" ref="X654">_xlfn.XLOOKUP(records_2[ID], dAir[roomNo], dAir[floor])</f>
        <v>Floor 1</v>
      </c>
      <c r="Y654" s="45" t="str">
        <f t="array" ref="Y654">_xlfn.XLOOKUP(records_2[ID], dAir[roomNo], dAir[Class])</f>
        <v>D</v>
      </c>
      <c r="Z654" s="45">
        <f t="array" ref="Z654">_xlfn.XLOOKUP(records_2[Method]&amp;"-"&amp;records_2[Class], dAirSpec[ID], dAirSpec[Spec])</f>
        <v>100</v>
      </c>
      <c r="AA654" s="45" t="str">
        <f t="array" ref="AA654">_xlfn.XLOOKUP(records_2[Method]&amp;"-"&amp;records_2[Class], dAirSpec[ID], dAirSpec[Unit])</f>
        <v>cfu/plate</v>
      </c>
      <c r="AB654" s="58">
        <f t="array" ref="AB654">if(R654="","", if(records_2[Method]="Active Air",_xlfn.xlookup(records_2[ColonyCount]&amp;records_2[AirSampler],feller[code],feller[Vc]),records_2[ColonyCount]))</f>
        <v>0</v>
      </c>
      <c r="AC654" s="60" t="b">
        <f t="shared" si="1"/>
        <v>1</v>
      </c>
      <c r="AD654" s="61" t="b">
        <v>0</v>
      </c>
      <c r="AE654" s="32" t="s">
        <v>280</v>
      </c>
      <c r="AF654" s="46"/>
      <c r="AG654" s="46"/>
      <c r="AH654" s="46"/>
      <c r="AI654" s="46"/>
      <c r="AJ654" s="46"/>
    </row>
    <row r="655" ht="22.5" customHeight="1">
      <c r="A655" s="27">
        <v>46136.0</v>
      </c>
      <c r="B655" s="34" t="str">
        <f t="array" ref="B655">TEXT(A655, "MM-YYYY")</f>
        <v>04-2026</v>
      </c>
      <c r="C655" s="32" t="s">
        <v>726</v>
      </c>
      <c r="D655" s="36" t="s">
        <v>210</v>
      </c>
      <c r="E655" s="36" t="s">
        <v>213</v>
      </c>
      <c r="F655" s="29" t="b">
        <v>1</v>
      </c>
      <c r="G655" s="36" t="s">
        <v>214</v>
      </c>
      <c r="H655" s="36" t="s">
        <v>215</v>
      </c>
      <c r="I655" s="39"/>
      <c r="J655" s="40"/>
      <c r="K655" s="37" t="s">
        <v>194</v>
      </c>
      <c r="L655" s="37" t="s">
        <v>194</v>
      </c>
      <c r="M655" s="37" t="s">
        <v>194</v>
      </c>
      <c r="N655" s="37" t="s">
        <v>194</v>
      </c>
      <c r="O655" s="37" t="s">
        <v>2398</v>
      </c>
      <c r="P655" s="37" t="s">
        <v>2399</v>
      </c>
      <c r="Q655" s="41">
        <v>46160.0</v>
      </c>
      <c r="R655" s="42">
        <v>0.0</v>
      </c>
      <c r="S655" s="55"/>
      <c r="T655" s="37" t="s">
        <v>2448</v>
      </c>
      <c r="U655" s="45" t="str">
        <f>IF(records_2[Type]="Room",records_2[roomNo],records_2[roomNo]&amp;"-"&amp;SUBSTITUTE(RIGHT(records_2[roomNo]&amp;records_2[Type],2),"-",""))</f>
        <v>10-1-113</v>
      </c>
      <c r="V655" s="47" t="str">
        <f t="array" ref="V655">_xlfn.XLOOKUP(records_2[ID], dAir[roomNo], dAir[roomName])</f>
        <v>CLEANED EQUIPMENT</v>
      </c>
      <c r="W655" s="47" t="str">
        <f t="array" ref="W655">_xlfn.XLOOKUP(records_2[ID], dAir[roomNo], dAir[building])</f>
        <v>Building 10</v>
      </c>
      <c r="X655" s="47" t="str">
        <f t="array" ref="X655">_xlfn.XLOOKUP(records_2[ID], dAir[roomNo], dAir[floor])</f>
        <v>Floor 1</v>
      </c>
      <c r="Y655" s="45" t="str">
        <f t="array" ref="Y655">_xlfn.XLOOKUP(records_2[ID], dAir[roomNo], dAir[Class])</f>
        <v>D</v>
      </c>
      <c r="Z655" s="45">
        <f t="array" ref="Z655">_xlfn.XLOOKUP(records_2[Method]&amp;"-"&amp;records_2[Class], dAirSpec[ID], dAirSpec[Spec])</f>
        <v>100</v>
      </c>
      <c r="AA655" s="45" t="str">
        <f t="array" ref="AA655">_xlfn.XLOOKUP(records_2[Method]&amp;"-"&amp;records_2[Class], dAirSpec[ID], dAirSpec[Unit])</f>
        <v>cfu/plate</v>
      </c>
      <c r="AB655" s="58">
        <f t="array" ref="AB655">if(R655="","", if(records_2[Method]="Active Air",_xlfn.xlookup(records_2[ColonyCount]&amp;records_2[AirSampler],feller[code],feller[Vc]),records_2[ColonyCount]))</f>
        <v>0</v>
      </c>
      <c r="AC655" s="60" t="b">
        <f t="shared" si="1"/>
        <v>1</v>
      </c>
      <c r="AD655" s="61" t="b">
        <v>0</v>
      </c>
      <c r="AE655" s="32" t="s">
        <v>280</v>
      </c>
      <c r="AF655" s="46"/>
      <c r="AG655" s="46"/>
      <c r="AH655" s="46"/>
      <c r="AI655" s="46"/>
      <c r="AJ655" s="46"/>
    </row>
    <row r="656" ht="22.5" customHeight="1">
      <c r="A656" s="27">
        <v>46136.0</v>
      </c>
      <c r="B656" s="34" t="str">
        <f t="array" ref="B656">TEXT(A656, "MM-YYYY")</f>
        <v>04-2026</v>
      </c>
      <c r="C656" s="32" t="s">
        <v>732</v>
      </c>
      <c r="D656" s="36" t="s">
        <v>210</v>
      </c>
      <c r="E656" s="36" t="s">
        <v>213</v>
      </c>
      <c r="F656" s="29" t="b">
        <v>1</v>
      </c>
      <c r="G656" s="36" t="s">
        <v>214</v>
      </c>
      <c r="H656" s="36" t="s">
        <v>215</v>
      </c>
      <c r="I656" s="39"/>
      <c r="J656" s="40"/>
      <c r="K656" s="37" t="s">
        <v>194</v>
      </c>
      <c r="L656" s="37" t="s">
        <v>194</v>
      </c>
      <c r="M656" s="37" t="s">
        <v>194</v>
      </c>
      <c r="N656" s="37" t="s">
        <v>194</v>
      </c>
      <c r="O656" s="37" t="s">
        <v>2398</v>
      </c>
      <c r="P656" s="37" t="s">
        <v>2399</v>
      </c>
      <c r="Q656" s="41">
        <v>46160.0</v>
      </c>
      <c r="R656" s="42">
        <v>0.0</v>
      </c>
      <c r="S656" s="55"/>
      <c r="T656" s="37" t="s">
        <v>2448</v>
      </c>
      <c r="U656" s="45" t="str">
        <f>IF(records_2[Type]="Room",records_2[roomNo],records_2[roomNo]&amp;"-"&amp;SUBSTITUTE(RIGHT(records_2[roomNo]&amp;records_2[Type],2),"-",""))</f>
        <v>10-1-114</v>
      </c>
      <c r="V656" s="47" t="str">
        <f t="array" ref="V656">_xlfn.XLOOKUP(records_2[ID], dAir[roomNo], dAir[roomName])</f>
        <v>JANITOR</v>
      </c>
      <c r="W656" s="47" t="str">
        <f t="array" ref="W656">_xlfn.XLOOKUP(records_2[ID], dAir[roomNo], dAir[building])</f>
        <v>Building 10</v>
      </c>
      <c r="X656" s="47" t="str">
        <f t="array" ref="X656">_xlfn.XLOOKUP(records_2[ID], dAir[roomNo], dAir[floor])</f>
        <v>Floor 1</v>
      </c>
      <c r="Y656" s="45" t="str">
        <f t="array" ref="Y656">_xlfn.XLOOKUP(records_2[ID], dAir[roomNo], dAir[Class])</f>
        <v>D</v>
      </c>
      <c r="Z656" s="45">
        <f t="array" ref="Z656">_xlfn.XLOOKUP(records_2[Method]&amp;"-"&amp;records_2[Class], dAirSpec[ID], dAirSpec[Spec])</f>
        <v>100</v>
      </c>
      <c r="AA656" s="45" t="str">
        <f t="array" ref="AA656">_xlfn.XLOOKUP(records_2[Method]&amp;"-"&amp;records_2[Class], dAirSpec[ID], dAirSpec[Unit])</f>
        <v>cfu/plate</v>
      </c>
      <c r="AB656" s="58">
        <f t="array" ref="AB656">if(R656="","", if(records_2[Method]="Active Air",_xlfn.xlookup(records_2[ColonyCount]&amp;records_2[AirSampler],feller[code],feller[Vc]),records_2[ColonyCount]))</f>
        <v>0</v>
      </c>
      <c r="AC656" s="60" t="b">
        <f t="shared" si="1"/>
        <v>1</v>
      </c>
      <c r="AD656" s="61" t="b">
        <v>0</v>
      </c>
      <c r="AE656" s="32" t="s">
        <v>280</v>
      </c>
      <c r="AF656" s="46"/>
      <c r="AG656" s="46"/>
      <c r="AH656" s="46"/>
      <c r="AI656" s="46"/>
      <c r="AJ656" s="46"/>
    </row>
    <row r="657" ht="22.5" customHeight="1">
      <c r="A657" s="27">
        <v>46136.0</v>
      </c>
      <c r="B657" s="34" t="str">
        <f t="array" ref="B657">TEXT(A657, "MM-YYYY")</f>
        <v>04-2026</v>
      </c>
      <c r="C657" s="32" t="s">
        <v>739</v>
      </c>
      <c r="D657" s="36" t="s">
        <v>210</v>
      </c>
      <c r="E657" s="36" t="s">
        <v>213</v>
      </c>
      <c r="F657" s="29" t="b">
        <v>1</v>
      </c>
      <c r="G657" s="36" t="s">
        <v>214</v>
      </c>
      <c r="H657" s="36" t="s">
        <v>215</v>
      </c>
      <c r="I657" s="39"/>
      <c r="J657" s="40"/>
      <c r="K657" s="37" t="s">
        <v>194</v>
      </c>
      <c r="L657" s="37" t="s">
        <v>194</v>
      </c>
      <c r="M657" s="37" t="s">
        <v>194</v>
      </c>
      <c r="N657" s="37" t="s">
        <v>194</v>
      </c>
      <c r="O657" s="37" t="s">
        <v>2398</v>
      </c>
      <c r="P657" s="37" t="s">
        <v>2399</v>
      </c>
      <c r="Q657" s="41">
        <v>46160.0</v>
      </c>
      <c r="R657" s="42">
        <v>0.0</v>
      </c>
      <c r="S657" s="55"/>
      <c r="T657" s="37" t="s">
        <v>2448</v>
      </c>
      <c r="U657" s="45" t="str">
        <f>IF(records_2[Type]="Room",records_2[roomNo],records_2[roomNo]&amp;"-"&amp;SUBSTITUTE(RIGHT(records_2[roomNo]&amp;records_2[Type],2),"-",""))</f>
        <v>10-1-115</v>
      </c>
      <c r="V657" s="47" t="str">
        <f t="array" ref="V657">_xlfn.XLOOKUP(records_2[ID], dAir[roomNo], dAir[roomName])</f>
        <v>WASHING</v>
      </c>
      <c r="W657" s="47" t="str">
        <f t="array" ref="W657">_xlfn.XLOOKUP(records_2[ID], dAir[roomNo], dAir[building])</f>
        <v>Building 10</v>
      </c>
      <c r="X657" s="47" t="str">
        <f t="array" ref="X657">_xlfn.XLOOKUP(records_2[ID], dAir[roomNo], dAir[floor])</f>
        <v>Floor 1</v>
      </c>
      <c r="Y657" s="45" t="str">
        <f t="array" ref="Y657">_xlfn.XLOOKUP(records_2[ID], dAir[roomNo], dAir[Class])</f>
        <v>D</v>
      </c>
      <c r="Z657" s="45">
        <f t="array" ref="Z657">_xlfn.XLOOKUP(records_2[Method]&amp;"-"&amp;records_2[Class], dAirSpec[ID], dAirSpec[Spec])</f>
        <v>100</v>
      </c>
      <c r="AA657" s="45" t="str">
        <f t="array" ref="AA657">_xlfn.XLOOKUP(records_2[Method]&amp;"-"&amp;records_2[Class], dAirSpec[ID], dAirSpec[Unit])</f>
        <v>cfu/plate</v>
      </c>
      <c r="AB657" s="58">
        <f t="array" ref="AB657">if(R657="","", if(records_2[Method]="Active Air",_xlfn.xlookup(records_2[ColonyCount]&amp;records_2[AirSampler],feller[code],feller[Vc]),records_2[ColonyCount]))</f>
        <v>0</v>
      </c>
      <c r="AC657" s="60" t="b">
        <f t="shared" si="1"/>
        <v>1</v>
      </c>
      <c r="AD657" s="61" t="b">
        <v>0</v>
      </c>
      <c r="AE657" s="32" t="s">
        <v>280</v>
      </c>
      <c r="AF657" s="46"/>
      <c r="AG657" s="46"/>
      <c r="AH657" s="46"/>
      <c r="AI657" s="46"/>
      <c r="AJ657" s="46"/>
    </row>
    <row r="658" ht="22.5" customHeight="1">
      <c r="A658" s="27">
        <v>46136.0</v>
      </c>
      <c r="B658" s="34" t="str">
        <f t="array" ref="B658">TEXT(A658, "MM-YYYY")</f>
        <v>04-2026</v>
      </c>
      <c r="C658" s="32" t="s">
        <v>747</v>
      </c>
      <c r="D658" s="36" t="s">
        <v>210</v>
      </c>
      <c r="E658" s="36" t="s">
        <v>213</v>
      </c>
      <c r="F658" s="29" t="b">
        <v>1</v>
      </c>
      <c r="G658" s="36" t="s">
        <v>214</v>
      </c>
      <c r="H658" s="36" t="s">
        <v>215</v>
      </c>
      <c r="I658" s="39"/>
      <c r="J658" s="40"/>
      <c r="K658" s="37" t="s">
        <v>194</v>
      </c>
      <c r="L658" s="37" t="s">
        <v>194</v>
      </c>
      <c r="M658" s="37" t="s">
        <v>194</v>
      </c>
      <c r="N658" s="37" t="s">
        <v>194</v>
      </c>
      <c r="O658" s="37" t="s">
        <v>2398</v>
      </c>
      <c r="P658" s="37" t="s">
        <v>2399</v>
      </c>
      <c r="Q658" s="41">
        <v>46160.0</v>
      </c>
      <c r="R658" s="42">
        <v>1.0</v>
      </c>
      <c r="S658" s="55"/>
      <c r="T658" s="37" t="s">
        <v>2448</v>
      </c>
      <c r="U658" s="45" t="str">
        <f>IF(records_2[Type]="Room",records_2[roomNo],records_2[roomNo]&amp;"-"&amp;SUBSTITUTE(RIGHT(records_2[roomNo]&amp;records_2[Type],2),"-",""))</f>
        <v>10-1-116</v>
      </c>
      <c r="V658" s="47" t="str">
        <f t="array" ref="V658">_xlfn.XLOOKUP(records_2[ID], dAir[roomNo], dAir[roomName])</f>
        <v>AIRLOCK</v>
      </c>
      <c r="W658" s="47" t="str">
        <f t="array" ref="W658">_xlfn.XLOOKUP(records_2[ID], dAir[roomNo], dAir[building])</f>
        <v>Building 10</v>
      </c>
      <c r="X658" s="47" t="str">
        <f t="array" ref="X658">_xlfn.XLOOKUP(records_2[ID], dAir[roomNo], dAir[floor])</f>
        <v>Floor 1</v>
      </c>
      <c r="Y658" s="45" t="str">
        <f t="array" ref="Y658">_xlfn.XLOOKUP(records_2[ID], dAir[roomNo], dAir[Class])</f>
        <v>D</v>
      </c>
      <c r="Z658" s="45">
        <f t="array" ref="Z658">_xlfn.XLOOKUP(records_2[Method]&amp;"-"&amp;records_2[Class], dAirSpec[ID], dAirSpec[Spec])</f>
        <v>100</v>
      </c>
      <c r="AA658" s="45" t="str">
        <f t="array" ref="AA658">_xlfn.XLOOKUP(records_2[Method]&amp;"-"&amp;records_2[Class], dAirSpec[ID], dAirSpec[Unit])</f>
        <v>cfu/plate</v>
      </c>
      <c r="AB658" s="58">
        <f t="array" ref="AB658">if(R658="","", if(records_2[Method]="Active Air",_xlfn.xlookup(records_2[ColonyCount]&amp;records_2[AirSampler],feller[code],feller[Vc]),records_2[ColonyCount]))</f>
        <v>1</v>
      </c>
      <c r="AC658" s="60" t="b">
        <f t="shared" si="1"/>
        <v>1</v>
      </c>
      <c r="AD658" s="61" t="b">
        <v>0</v>
      </c>
      <c r="AE658" s="32" t="s">
        <v>280</v>
      </c>
      <c r="AF658" s="46"/>
      <c r="AG658" s="46"/>
      <c r="AH658" s="46"/>
      <c r="AI658" s="46"/>
      <c r="AJ658" s="46"/>
    </row>
    <row r="659" ht="22.5" customHeight="1">
      <c r="A659" s="27">
        <v>46136.0</v>
      </c>
      <c r="B659" s="34" t="str">
        <f t="array" ref="B659">TEXT(A659, "MM-YYYY")</f>
        <v>04-2026</v>
      </c>
      <c r="C659" s="32" t="s">
        <v>698</v>
      </c>
      <c r="D659" s="36" t="s">
        <v>210</v>
      </c>
      <c r="E659" s="36" t="s">
        <v>213</v>
      </c>
      <c r="F659" s="29" t="b">
        <v>1</v>
      </c>
      <c r="G659" s="36" t="s">
        <v>214</v>
      </c>
      <c r="H659" s="36" t="s">
        <v>215</v>
      </c>
      <c r="I659" s="39"/>
      <c r="J659" s="40"/>
      <c r="K659" s="37" t="s">
        <v>194</v>
      </c>
      <c r="L659" s="37" t="s">
        <v>194</v>
      </c>
      <c r="M659" s="37" t="s">
        <v>194</v>
      </c>
      <c r="N659" s="37" t="s">
        <v>194</v>
      </c>
      <c r="O659" s="37" t="s">
        <v>2398</v>
      </c>
      <c r="P659" s="37" t="s">
        <v>2399</v>
      </c>
      <c r="Q659" s="41">
        <v>46160.0</v>
      </c>
      <c r="R659" s="42">
        <v>1.0</v>
      </c>
      <c r="S659" s="55"/>
      <c r="T659" s="37" t="s">
        <v>2448</v>
      </c>
      <c r="U659" s="45" t="str">
        <f>IF(records_2[Type]="Room",records_2[roomNo],records_2[roomNo]&amp;"-"&amp;SUBSTITUTE(RIGHT(records_2[roomNo]&amp;records_2[Type],2),"-",""))</f>
        <v>10-1-117</v>
      </c>
      <c r="V659" s="47" t="str">
        <f t="array" ref="V659">_xlfn.XLOOKUP(records_2[ID], dAir[roomNo], dAir[roomName])</f>
        <v>USED EQUIPMENT</v>
      </c>
      <c r="W659" s="47" t="str">
        <f t="array" ref="W659">_xlfn.XLOOKUP(records_2[ID], dAir[roomNo], dAir[building])</f>
        <v>Building 10</v>
      </c>
      <c r="X659" s="47" t="str">
        <f t="array" ref="X659">_xlfn.XLOOKUP(records_2[ID], dAir[roomNo], dAir[floor])</f>
        <v>Floor 1</v>
      </c>
      <c r="Y659" s="45" t="str">
        <f t="array" ref="Y659">_xlfn.XLOOKUP(records_2[ID], dAir[roomNo], dAir[Class])</f>
        <v>D</v>
      </c>
      <c r="Z659" s="45">
        <f t="array" ref="Z659">_xlfn.XLOOKUP(records_2[Method]&amp;"-"&amp;records_2[Class], dAirSpec[ID], dAirSpec[Spec])</f>
        <v>100</v>
      </c>
      <c r="AA659" s="45" t="str">
        <f t="array" ref="AA659">_xlfn.XLOOKUP(records_2[Method]&amp;"-"&amp;records_2[Class], dAirSpec[ID], dAirSpec[Unit])</f>
        <v>cfu/plate</v>
      </c>
      <c r="AB659" s="58">
        <f t="array" ref="AB659">if(R659="","", if(records_2[Method]="Active Air",_xlfn.xlookup(records_2[ColonyCount]&amp;records_2[AirSampler],feller[code],feller[Vc]),records_2[ColonyCount]))</f>
        <v>1</v>
      </c>
      <c r="AC659" s="60" t="b">
        <f t="shared" si="1"/>
        <v>1</v>
      </c>
      <c r="AD659" s="61" t="b">
        <v>0</v>
      </c>
      <c r="AE659" s="32" t="s">
        <v>280</v>
      </c>
      <c r="AF659" s="46"/>
      <c r="AG659" s="46"/>
      <c r="AH659" s="46"/>
      <c r="AI659" s="46"/>
      <c r="AJ659" s="46"/>
    </row>
    <row r="660" ht="22.5" customHeight="1">
      <c r="A660" s="27">
        <v>46136.0</v>
      </c>
      <c r="B660" s="34" t="str">
        <f t="array" ref="B660">TEXT(A660, "MM-YYYY")</f>
        <v>04-2026</v>
      </c>
      <c r="C660" s="32" t="s">
        <v>761</v>
      </c>
      <c r="D660" s="36" t="s">
        <v>210</v>
      </c>
      <c r="E660" s="36" t="s">
        <v>213</v>
      </c>
      <c r="F660" s="29" t="b">
        <v>1</v>
      </c>
      <c r="G660" s="36" t="s">
        <v>214</v>
      </c>
      <c r="H660" s="36" t="s">
        <v>215</v>
      </c>
      <c r="I660" s="39"/>
      <c r="J660" s="40"/>
      <c r="K660" s="37" t="s">
        <v>194</v>
      </c>
      <c r="L660" s="37" t="s">
        <v>194</v>
      </c>
      <c r="M660" s="37" t="s">
        <v>194</v>
      </c>
      <c r="N660" s="37" t="s">
        <v>194</v>
      </c>
      <c r="O660" s="37" t="s">
        <v>2398</v>
      </c>
      <c r="P660" s="37" t="s">
        <v>2399</v>
      </c>
      <c r="Q660" s="41">
        <v>46160.0</v>
      </c>
      <c r="R660" s="42">
        <v>0.0</v>
      </c>
      <c r="S660" s="55"/>
      <c r="T660" s="37" t="s">
        <v>2448</v>
      </c>
      <c r="U660" s="45" t="str">
        <f>IF(records_2[Type]="Room",records_2[roomNo],records_2[roomNo]&amp;"-"&amp;SUBSTITUTE(RIGHT(records_2[roomNo]&amp;records_2[Type],2),"-",""))</f>
        <v>10-1-119</v>
      </c>
      <c r="V660" s="47" t="str">
        <f t="array" ref="V660">_xlfn.XLOOKUP(records_2[ID], dAir[roomNo], dAir[roomName])</f>
        <v>CORRIDOR</v>
      </c>
      <c r="W660" s="47" t="str">
        <f t="array" ref="W660">_xlfn.XLOOKUP(records_2[ID], dAir[roomNo], dAir[building])</f>
        <v>Building 10</v>
      </c>
      <c r="X660" s="47" t="str">
        <f t="array" ref="X660">_xlfn.XLOOKUP(records_2[ID], dAir[roomNo], dAir[floor])</f>
        <v>Floor 1</v>
      </c>
      <c r="Y660" s="45" t="str">
        <f t="array" ref="Y660">_xlfn.XLOOKUP(records_2[ID], dAir[roomNo], dAir[Class])</f>
        <v>D</v>
      </c>
      <c r="Z660" s="45">
        <f t="array" ref="Z660">_xlfn.XLOOKUP(records_2[Method]&amp;"-"&amp;records_2[Class], dAirSpec[ID], dAirSpec[Spec])</f>
        <v>100</v>
      </c>
      <c r="AA660" s="45" t="str">
        <f t="array" ref="AA660">_xlfn.XLOOKUP(records_2[Method]&amp;"-"&amp;records_2[Class], dAirSpec[ID], dAirSpec[Unit])</f>
        <v>cfu/plate</v>
      </c>
      <c r="AB660" s="58">
        <f t="array" ref="AB660">if(R660="","", if(records_2[Method]="Active Air",_xlfn.xlookup(records_2[ColonyCount]&amp;records_2[AirSampler],feller[code],feller[Vc]),records_2[ColonyCount]))</f>
        <v>0</v>
      </c>
      <c r="AC660" s="60" t="b">
        <f t="shared" si="1"/>
        <v>1</v>
      </c>
      <c r="AD660" s="61" t="b">
        <v>0</v>
      </c>
      <c r="AE660" s="32" t="s">
        <v>280</v>
      </c>
      <c r="AF660" s="46"/>
      <c r="AG660" s="46"/>
      <c r="AH660" s="46"/>
      <c r="AI660" s="46"/>
      <c r="AJ660" s="46"/>
    </row>
    <row r="661" ht="22.5" customHeight="1">
      <c r="A661" s="27">
        <v>46136.0</v>
      </c>
      <c r="B661" s="34" t="str">
        <f t="array" ref="B661">TEXT(A661, "MM-YYYY")</f>
        <v>04-2026</v>
      </c>
      <c r="C661" s="32" t="s">
        <v>768</v>
      </c>
      <c r="D661" s="36" t="s">
        <v>210</v>
      </c>
      <c r="E661" s="36" t="s">
        <v>213</v>
      </c>
      <c r="F661" s="29" t="b">
        <v>1</v>
      </c>
      <c r="G661" s="36" t="s">
        <v>214</v>
      </c>
      <c r="H661" s="36" t="s">
        <v>215</v>
      </c>
      <c r="I661" s="39"/>
      <c r="J661" s="40"/>
      <c r="K661" s="37" t="s">
        <v>194</v>
      </c>
      <c r="L661" s="37" t="s">
        <v>194</v>
      </c>
      <c r="M661" s="37" t="s">
        <v>194</v>
      </c>
      <c r="N661" s="37" t="s">
        <v>194</v>
      </c>
      <c r="O661" s="37" t="s">
        <v>2398</v>
      </c>
      <c r="P661" s="37" t="s">
        <v>2399</v>
      </c>
      <c r="Q661" s="41">
        <v>46160.0</v>
      </c>
      <c r="R661" s="42">
        <v>0.0</v>
      </c>
      <c r="S661" s="55"/>
      <c r="T661" s="37" t="s">
        <v>2448</v>
      </c>
      <c r="U661" s="45" t="str">
        <f>IF(records_2[Type]="Room",records_2[roomNo],records_2[roomNo]&amp;"-"&amp;SUBSTITUTE(RIGHT(records_2[roomNo]&amp;records_2[Type],2),"-",""))</f>
        <v>10-1-120</v>
      </c>
      <c r="V661" s="47" t="str">
        <f t="array" ref="V661">_xlfn.XLOOKUP(records_2[ID], dAir[roomNo], dAir[roomName])</f>
        <v>BULK STAGING 3</v>
      </c>
      <c r="W661" s="47" t="str">
        <f t="array" ref="W661">_xlfn.XLOOKUP(records_2[ID], dAir[roomNo], dAir[building])</f>
        <v>Building 10</v>
      </c>
      <c r="X661" s="47" t="str">
        <f t="array" ref="X661">_xlfn.XLOOKUP(records_2[ID], dAir[roomNo], dAir[floor])</f>
        <v>Floor 1</v>
      </c>
      <c r="Y661" s="45" t="str">
        <f t="array" ref="Y661">_xlfn.XLOOKUP(records_2[ID], dAir[roomNo], dAir[Class])</f>
        <v>D</v>
      </c>
      <c r="Z661" s="45">
        <f t="array" ref="Z661">_xlfn.XLOOKUP(records_2[Method]&amp;"-"&amp;records_2[Class], dAirSpec[ID], dAirSpec[Spec])</f>
        <v>100</v>
      </c>
      <c r="AA661" s="45" t="str">
        <f t="array" ref="AA661">_xlfn.XLOOKUP(records_2[Method]&amp;"-"&amp;records_2[Class], dAirSpec[ID], dAirSpec[Unit])</f>
        <v>cfu/plate</v>
      </c>
      <c r="AB661" s="58">
        <f t="array" ref="AB661">if(R661="","", if(records_2[Method]="Active Air",_xlfn.xlookup(records_2[ColonyCount]&amp;records_2[AirSampler],feller[code],feller[Vc]),records_2[ColonyCount]))</f>
        <v>0</v>
      </c>
      <c r="AC661" s="60" t="b">
        <f t="shared" si="1"/>
        <v>1</v>
      </c>
      <c r="AD661" s="61" t="b">
        <v>0</v>
      </c>
      <c r="AE661" s="32" t="s">
        <v>280</v>
      </c>
      <c r="AF661" s="46"/>
      <c r="AG661" s="46"/>
      <c r="AH661" s="46"/>
      <c r="AI661" s="46"/>
      <c r="AJ661" s="46"/>
    </row>
    <row r="662" ht="22.5" customHeight="1">
      <c r="A662" s="27">
        <v>46136.0</v>
      </c>
      <c r="B662" s="34" t="str">
        <f t="array" ref="B662">TEXT(A662, "MM-YYYY")</f>
        <v>04-2026</v>
      </c>
      <c r="C662" s="32" t="s">
        <v>433</v>
      </c>
      <c r="D662" s="36" t="s">
        <v>210</v>
      </c>
      <c r="E662" s="36" t="s">
        <v>213</v>
      </c>
      <c r="F662" s="29" t="b">
        <v>1</v>
      </c>
      <c r="G662" s="36" t="s">
        <v>214</v>
      </c>
      <c r="H662" s="36" t="s">
        <v>215</v>
      </c>
      <c r="I662" s="39"/>
      <c r="J662" s="40"/>
      <c r="K662" s="37" t="s">
        <v>194</v>
      </c>
      <c r="L662" s="37" t="s">
        <v>194</v>
      </c>
      <c r="M662" s="37" t="s">
        <v>194</v>
      </c>
      <c r="N662" s="37" t="s">
        <v>194</v>
      </c>
      <c r="O662" s="37" t="s">
        <v>2398</v>
      </c>
      <c r="P662" s="37" t="s">
        <v>2399</v>
      </c>
      <c r="Q662" s="41">
        <v>46160.0</v>
      </c>
      <c r="R662" s="42">
        <v>0.0</v>
      </c>
      <c r="S662" s="55"/>
      <c r="T662" s="37" t="s">
        <v>2448</v>
      </c>
      <c r="U662" s="45" t="str">
        <f>IF(records_2[Type]="Room",records_2[roomNo],records_2[roomNo]&amp;"-"&amp;SUBSTITUTE(RIGHT(records_2[roomNo]&amp;records_2[Type],2),"-",""))</f>
        <v>10-1-121</v>
      </c>
      <c r="V662" s="47" t="str">
        <f t="array" ref="V662">_xlfn.XLOOKUP(records_2[ID], dAir[roomNo], dAir[roomName])</f>
        <v>TABLETS INSPECTION 1 (LOW RH) (TABLET INSPECTIONMACHINE)</v>
      </c>
      <c r="W662" s="47" t="str">
        <f t="array" ref="W662">_xlfn.XLOOKUP(records_2[ID], dAir[roomNo], dAir[building])</f>
        <v>Building 10</v>
      </c>
      <c r="X662" s="47" t="str">
        <f t="array" ref="X662">_xlfn.XLOOKUP(records_2[ID], dAir[roomNo], dAir[floor])</f>
        <v>Floor 1</v>
      </c>
      <c r="Y662" s="45" t="str">
        <f t="array" ref="Y662">_xlfn.XLOOKUP(records_2[ID], dAir[roomNo], dAir[Class])</f>
        <v>D</v>
      </c>
      <c r="Z662" s="45">
        <f t="array" ref="Z662">_xlfn.XLOOKUP(records_2[Method]&amp;"-"&amp;records_2[Class], dAirSpec[ID], dAirSpec[Spec])</f>
        <v>100</v>
      </c>
      <c r="AA662" s="45" t="str">
        <f t="array" ref="AA662">_xlfn.XLOOKUP(records_2[Method]&amp;"-"&amp;records_2[Class], dAirSpec[ID], dAirSpec[Unit])</f>
        <v>cfu/plate</v>
      </c>
      <c r="AB662" s="58">
        <f t="array" ref="AB662">if(R662="","", if(records_2[Method]="Active Air",_xlfn.xlookup(records_2[ColonyCount]&amp;records_2[AirSampler],feller[code],feller[Vc]),records_2[ColonyCount]))</f>
        <v>0</v>
      </c>
      <c r="AC662" s="60" t="b">
        <f t="shared" si="1"/>
        <v>1</v>
      </c>
      <c r="AD662" s="61" t="b">
        <v>0</v>
      </c>
      <c r="AE662" s="32" t="s">
        <v>280</v>
      </c>
      <c r="AF662" s="46"/>
      <c r="AG662" s="46"/>
      <c r="AH662" s="46"/>
      <c r="AI662" s="46"/>
      <c r="AJ662" s="46"/>
    </row>
    <row r="663" ht="22.5" customHeight="1">
      <c r="A663" s="27">
        <v>46136.0</v>
      </c>
      <c r="B663" s="34" t="str">
        <f t="array" ref="B663">TEXT(A663, "MM-YYYY")</f>
        <v>04-2026</v>
      </c>
      <c r="C663" s="32" t="s">
        <v>422</v>
      </c>
      <c r="D663" s="36" t="s">
        <v>210</v>
      </c>
      <c r="E663" s="36" t="s">
        <v>213</v>
      </c>
      <c r="F663" s="29" t="b">
        <v>1</v>
      </c>
      <c r="G663" s="36" t="s">
        <v>214</v>
      </c>
      <c r="H663" s="36" t="s">
        <v>215</v>
      </c>
      <c r="I663" s="39"/>
      <c r="J663" s="40"/>
      <c r="K663" s="37" t="s">
        <v>194</v>
      </c>
      <c r="L663" s="37" t="s">
        <v>194</v>
      </c>
      <c r="M663" s="37" t="s">
        <v>194</v>
      </c>
      <c r="N663" s="37" t="s">
        <v>194</v>
      </c>
      <c r="O663" s="37" t="s">
        <v>2398</v>
      </c>
      <c r="P663" s="37" t="s">
        <v>2399</v>
      </c>
      <c r="Q663" s="41">
        <v>46160.0</v>
      </c>
      <c r="R663" s="42">
        <v>0.0</v>
      </c>
      <c r="S663" s="55"/>
      <c r="T663" s="37" t="s">
        <v>2448</v>
      </c>
      <c r="U663" s="45" t="str">
        <f>IF(records_2[Type]="Room",records_2[roomNo],records_2[roomNo]&amp;"-"&amp;SUBSTITUTE(RIGHT(records_2[roomNo]&amp;records_2[Type],2),"-",""))</f>
        <v>10-1-122</v>
      </c>
      <c r="V663" s="47" t="str">
        <f t="array" ref="V663">_xlfn.XLOOKUP(records_2[ID], dAir[roomNo], dAir[roomName])</f>
        <v>TABLETS INSPECTION 2 (TABLET INSPECTION MACHINE)</v>
      </c>
      <c r="W663" s="47" t="str">
        <f t="array" ref="W663">_xlfn.XLOOKUP(records_2[ID], dAir[roomNo], dAir[building])</f>
        <v>Building 10</v>
      </c>
      <c r="X663" s="47" t="str">
        <f t="array" ref="X663">_xlfn.XLOOKUP(records_2[ID], dAir[roomNo], dAir[floor])</f>
        <v>Floor 1</v>
      </c>
      <c r="Y663" s="45" t="str">
        <f t="array" ref="Y663">_xlfn.XLOOKUP(records_2[ID], dAir[roomNo], dAir[Class])</f>
        <v>D</v>
      </c>
      <c r="Z663" s="45">
        <f t="array" ref="Z663">_xlfn.XLOOKUP(records_2[Method]&amp;"-"&amp;records_2[Class], dAirSpec[ID], dAirSpec[Spec])</f>
        <v>100</v>
      </c>
      <c r="AA663" s="45" t="str">
        <f t="array" ref="AA663">_xlfn.XLOOKUP(records_2[Method]&amp;"-"&amp;records_2[Class], dAirSpec[ID], dAirSpec[Unit])</f>
        <v>cfu/plate</v>
      </c>
      <c r="AB663" s="58">
        <f t="array" ref="AB663">if(R663="","", if(records_2[Method]="Active Air",_xlfn.xlookup(records_2[ColonyCount]&amp;records_2[AirSampler],feller[code],feller[Vc]),records_2[ColonyCount]))</f>
        <v>0</v>
      </c>
      <c r="AC663" s="60" t="b">
        <f t="shared" si="1"/>
        <v>1</v>
      </c>
      <c r="AD663" s="61" t="b">
        <v>0</v>
      </c>
      <c r="AE663" s="32" t="s">
        <v>280</v>
      </c>
      <c r="AF663" s="46"/>
      <c r="AG663" s="46"/>
      <c r="AH663" s="46"/>
      <c r="AI663" s="46"/>
      <c r="AJ663" s="46"/>
    </row>
    <row r="664" ht="22.5" customHeight="1">
      <c r="A664" s="27">
        <v>46136.0</v>
      </c>
      <c r="B664" s="34" t="str">
        <f t="array" ref="B664">TEXT(A664, "MM-YYYY")</f>
        <v>04-2026</v>
      </c>
      <c r="C664" s="32" t="s">
        <v>794</v>
      </c>
      <c r="D664" s="36" t="s">
        <v>210</v>
      </c>
      <c r="E664" s="36" t="s">
        <v>213</v>
      </c>
      <c r="F664" s="29" t="b">
        <v>1</v>
      </c>
      <c r="G664" s="36" t="s">
        <v>214</v>
      </c>
      <c r="H664" s="36" t="s">
        <v>215</v>
      </c>
      <c r="I664" s="39"/>
      <c r="J664" s="40"/>
      <c r="K664" s="37" t="s">
        <v>194</v>
      </c>
      <c r="L664" s="37" t="s">
        <v>194</v>
      </c>
      <c r="M664" s="37" t="s">
        <v>194</v>
      </c>
      <c r="N664" s="37" t="s">
        <v>194</v>
      </c>
      <c r="O664" s="37" t="s">
        <v>2398</v>
      </c>
      <c r="P664" s="37" t="s">
        <v>2399</v>
      </c>
      <c r="Q664" s="41">
        <v>46160.0</v>
      </c>
      <c r="R664" s="42">
        <v>0.0</v>
      </c>
      <c r="S664" s="55"/>
      <c r="T664" s="37" t="s">
        <v>2448</v>
      </c>
      <c r="U664" s="45" t="str">
        <f>IF(records_2[Type]="Room",records_2[roomNo],records_2[roomNo]&amp;"-"&amp;SUBSTITUTE(RIGHT(records_2[roomNo]&amp;records_2[Type],2),"-",""))</f>
        <v>10-1-123</v>
      </c>
      <c r="V664" s="47" t="str">
        <f t="array" ref="V664">_xlfn.XLOOKUP(records_2[ID], dAir[roomNo], dAir[roomName])</f>
        <v>AIR LOCK</v>
      </c>
      <c r="W664" s="47" t="str">
        <f t="array" ref="W664">_xlfn.XLOOKUP(records_2[ID], dAir[roomNo], dAir[building])</f>
        <v>Building 10</v>
      </c>
      <c r="X664" s="47" t="str">
        <f t="array" ref="X664">_xlfn.XLOOKUP(records_2[ID], dAir[roomNo], dAir[floor])</f>
        <v>Floor 1</v>
      </c>
      <c r="Y664" s="45" t="str">
        <f t="array" ref="Y664">_xlfn.XLOOKUP(records_2[ID], dAir[roomNo], dAir[Class])</f>
        <v>D</v>
      </c>
      <c r="Z664" s="45">
        <f t="array" ref="Z664">_xlfn.XLOOKUP(records_2[Method]&amp;"-"&amp;records_2[Class], dAirSpec[ID], dAirSpec[Spec])</f>
        <v>100</v>
      </c>
      <c r="AA664" s="45" t="str">
        <f t="array" ref="AA664">_xlfn.XLOOKUP(records_2[Method]&amp;"-"&amp;records_2[Class], dAirSpec[ID], dAirSpec[Unit])</f>
        <v>cfu/plate</v>
      </c>
      <c r="AB664" s="58">
        <f t="array" ref="AB664">if(R664="","", if(records_2[Method]="Active Air",_xlfn.xlookup(records_2[ColonyCount]&amp;records_2[AirSampler],feller[code],feller[Vc]),records_2[ColonyCount]))</f>
        <v>0</v>
      </c>
      <c r="AC664" s="60" t="b">
        <f t="shared" si="1"/>
        <v>1</v>
      </c>
      <c r="AD664" s="61" t="b">
        <v>0</v>
      </c>
      <c r="AE664" s="32" t="s">
        <v>280</v>
      </c>
      <c r="AF664" s="46"/>
      <c r="AG664" s="46"/>
      <c r="AH664" s="46"/>
      <c r="AI664" s="46"/>
      <c r="AJ664" s="46"/>
    </row>
    <row r="665" ht="22.5" customHeight="1">
      <c r="A665" s="27">
        <v>46136.0</v>
      </c>
      <c r="B665" s="34" t="str">
        <f t="array" ref="B665">TEXT(A665, "MM-YYYY")</f>
        <v>04-2026</v>
      </c>
      <c r="C665" s="32" t="s">
        <v>801</v>
      </c>
      <c r="D665" s="36" t="s">
        <v>210</v>
      </c>
      <c r="E665" s="36" t="s">
        <v>213</v>
      </c>
      <c r="F665" s="29" t="b">
        <v>1</v>
      </c>
      <c r="G665" s="36" t="s">
        <v>214</v>
      </c>
      <c r="H665" s="36" t="s">
        <v>215</v>
      </c>
      <c r="I665" s="39"/>
      <c r="J665" s="40"/>
      <c r="K665" s="37" t="s">
        <v>194</v>
      </c>
      <c r="L665" s="37" t="s">
        <v>194</v>
      </c>
      <c r="M665" s="37" t="s">
        <v>194</v>
      </c>
      <c r="N665" s="37" t="s">
        <v>194</v>
      </c>
      <c r="O665" s="37" t="s">
        <v>2398</v>
      </c>
      <c r="P665" s="37" t="s">
        <v>2399</v>
      </c>
      <c r="Q665" s="41">
        <v>46160.0</v>
      </c>
      <c r="R665" s="42">
        <v>0.0</v>
      </c>
      <c r="S665" s="55"/>
      <c r="T665" s="37" t="s">
        <v>2448</v>
      </c>
      <c r="U665" s="45" t="str">
        <f>IF(records_2[Type]="Room",records_2[roomNo],records_2[roomNo]&amp;"-"&amp;SUBSTITUTE(RIGHT(records_2[roomNo]&amp;records_2[Type],2),"-",""))</f>
        <v>10-1-124</v>
      </c>
      <c r="V665" s="47" t="str">
        <f t="array" ref="V665">_xlfn.XLOOKUP(records_2[ID], dAir[roomNo], dAir[roomName])</f>
        <v>AIR LOCK</v>
      </c>
      <c r="W665" s="47" t="str">
        <f t="array" ref="W665">_xlfn.XLOOKUP(records_2[ID], dAir[roomNo], dAir[building])</f>
        <v>Building 10</v>
      </c>
      <c r="X665" s="47" t="str">
        <f t="array" ref="X665">_xlfn.XLOOKUP(records_2[ID], dAir[roomNo], dAir[floor])</f>
        <v>Floor 1</v>
      </c>
      <c r="Y665" s="45" t="str">
        <f t="array" ref="Y665">_xlfn.XLOOKUP(records_2[ID], dAir[roomNo], dAir[Class])</f>
        <v>D</v>
      </c>
      <c r="Z665" s="45">
        <f t="array" ref="Z665">_xlfn.XLOOKUP(records_2[Method]&amp;"-"&amp;records_2[Class], dAirSpec[ID], dAirSpec[Spec])</f>
        <v>100</v>
      </c>
      <c r="AA665" s="45" t="str">
        <f t="array" ref="AA665">_xlfn.XLOOKUP(records_2[Method]&amp;"-"&amp;records_2[Class], dAirSpec[ID], dAirSpec[Unit])</f>
        <v>cfu/plate</v>
      </c>
      <c r="AB665" s="58">
        <f t="array" ref="AB665">if(R665="","", if(records_2[Method]="Active Air",_xlfn.xlookup(records_2[ColonyCount]&amp;records_2[AirSampler],feller[code],feller[Vc]),records_2[ColonyCount]))</f>
        <v>0</v>
      </c>
      <c r="AC665" s="60" t="b">
        <f t="shared" si="1"/>
        <v>1</v>
      </c>
      <c r="AD665" s="61" t="b">
        <v>0</v>
      </c>
      <c r="AE665" s="32" t="s">
        <v>280</v>
      </c>
      <c r="AF665" s="46"/>
      <c r="AG665" s="46"/>
      <c r="AH665" s="46"/>
      <c r="AI665" s="46"/>
      <c r="AJ665" s="46"/>
    </row>
    <row r="666" ht="22.5" customHeight="1">
      <c r="A666" s="27">
        <v>46136.0</v>
      </c>
      <c r="B666" s="34" t="str">
        <f t="array" ref="B666">TEXT(A666, "MM-YYYY")</f>
        <v>04-2026</v>
      </c>
      <c r="C666" s="32" t="s">
        <v>808</v>
      </c>
      <c r="D666" s="36" t="s">
        <v>210</v>
      </c>
      <c r="E666" s="36" t="s">
        <v>213</v>
      </c>
      <c r="F666" s="29" t="b">
        <v>1</v>
      </c>
      <c r="G666" s="36" t="s">
        <v>214</v>
      </c>
      <c r="H666" s="36" t="s">
        <v>215</v>
      </c>
      <c r="I666" s="39"/>
      <c r="J666" s="40"/>
      <c r="K666" s="37" t="s">
        <v>194</v>
      </c>
      <c r="L666" s="37" t="s">
        <v>194</v>
      </c>
      <c r="M666" s="37" t="s">
        <v>194</v>
      </c>
      <c r="N666" s="37" t="s">
        <v>194</v>
      </c>
      <c r="O666" s="37" t="s">
        <v>2398</v>
      </c>
      <c r="P666" s="37" t="s">
        <v>2399</v>
      </c>
      <c r="Q666" s="41">
        <v>46160.0</v>
      </c>
      <c r="R666" s="42">
        <v>0.0</v>
      </c>
      <c r="S666" s="55"/>
      <c r="T666" s="37" t="s">
        <v>2448</v>
      </c>
      <c r="U666" s="45" t="str">
        <f>IF(records_2[Type]="Room",records_2[roomNo],records_2[roomNo]&amp;"-"&amp;SUBSTITUTE(RIGHT(records_2[roomNo]&amp;records_2[Type],2),"-",""))</f>
        <v>10-1-125</v>
      </c>
      <c r="V666" s="47" t="str">
        <f t="array" ref="V666">_xlfn.XLOOKUP(records_2[ID], dAir[roomNo], dAir[roomName])</f>
        <v>PPM STAGNG</v>
      </c>
      <c r="W666" s="47" t="str">
        <f t="array" ref="W666">_xlfn.XLOOKUP(records_2[ID], dAir[roomNo], dAir[building])</f>
        <v>Building 10</v>
      </c>
      <c r="X666" s="47" t="str">
        <f t="array" ref="X666">_xlfn.XLOOKUP(records_2[ID], dAir[roomNo], dAir[floor])</f>
        <v>Floor 1</v>
      </c>
      <c r="Y666" s="45" t="str">
        <f t="array" ref="Y666">_xlfn.XLOOKUP(records_2[ID], dAir[roomNo], dAir[Class])</f>
        <v>D</v>
      </c>
      <c r="Z666" s="45">
        <f t="array" ref="Z666">_xlfn.XLOOKUP(records_2[Method]&amp;"-"&amp;records_2[Class], dAirSpec[ID], dAirSpec[Spec])</f>
        <v>100</v>
      </c>
      <c r="AA666" s="45" t="str">
        <f t="array" ref="AA666">_xlfn.XLOOKUP(records_2[Method]&amp;"-"&amp;records_2[Class], dAirSpec[ID], dAirSpec[Unit])</f>
        <v>cfu/plate</v>
      </c>
      <c r="AB666" s="58">
        <f t="array" ref="AB666">if(R666="","", if(records_2[Method]="Active Air",_xlfn.xlookup(records_2[ColonyCount]&amp;records_2[AirSampler],feller[code],feller[Vc]),records_2[ColonyCount]))</f>
        <v>0</v>
      </c>
      <c r="AC666" s="60" t="b">
        <f t="shared" si="1"/>
        <v>1</v>
      </c>
      <c r="AD666" s="61" t="b">
        <v>0</v>
      </c>
      <c r="AE666" s="32" t="s">
        <v>280</v>
      </c>
      <c r="AF666" s="46"/>
      <c r="AG666" s="46"/>
      <c r="AH666" s="46"/>
      <c r="AI666" s="46"/>
      <c r="AJ666" s="46"/>
    </row>
    <row r="667" ht="22.5" customHeight="1">
      <c r="A667" s="27">
        <v>46136.0</v>
      </c>
      <c r="B667" s="34" t="str">
        <f t="array" ref="B667">TEXT(A667, "MM-YYYY")</f>
        <v>04-2026</v>
      </c>
      <c r="C667" s="32" t="s">
        <v>720</v>
      </c>
      <c r="D667" s="36" t="s">
        <v>210</v>
      </c>
      <c r="E667" s="36" t="s">
        <v>213</v>
      </c>
      <c r="F667" s="29" t="b">
        <v>1</v>
      </c>
      <c r="G667" s="36" t="s">
        <v>214</v>
      </c>
      <c r="H667" s="36" t="s">
        <v>215</v>
      </c>
      <c r="I667" s="39"/>
      <c r="J667" s="40"/>
      <c r="K667" s="37" t="s">
        <v>194</v>
      </c>
      <c r="L667" s="37" t="s">
        <v>194</v>
      </c>
      <c r="M667" s="37" t="s">
        <v>194</v>
      </c>
      <c r="N667" s="37" t="s">
        <v>194</v>
      </c>
      <c r="O667" s="37" t="s">
        <v>2398</v>
      </c>
      <c r="P667" s="37" t="s">
        <v>2399</v>
      </c>
      <c r="Q667" s="41">
        <v>46160.0</v>
      </c>
      <c r="R667" s="42">
        <v>1.0</v>
      </c>
      <c r="S667" s="55"/>
      <c r="T667" s="37" t="s">
        <v>2448</v>
      </c>
      <c r="U667" s="45" t="str">
        <f>IF(records_2[Type]="Room",records_2[roomNo],records_2[roomNo]&amp;"-"&amp;SUBSTITUTE(RIGHT(records_2[roomNo]&amp;records_2[Type],2),"-",""))</f>
        <v>10-1-126</v>
      </c>
      <c r="V667" s="47" t="str">
        <f t="array" ref="V667">_xlfn.XLOOKUP(records_2[ID], dAir[roomNo], dAir[roomName])</f>
        <v>BOTTLE CLEANING (BOTTLE CLEANING MACHINE)</v>
      </c>
      <c r="W667" s="47" t="str">
        <f t="array" ref="W667">_xlfn.XLOOKUP(records_2[ID], dAir[roomNo], dAir[building])</f>
        <v>Building 10</v>
      </c>
      <c r="X667" s="47" t="str">
        <f t="array" ref="X667">_xlfn.XLOOKUP(records_2[ID], dAir[roomNo], dAir[floor])</f>
        <v>Floor 1</v>
      </c>
      <c r="Y667" s="45" t="str">
        <f t="array" ref="Y667">_xlfn.XLOOKUP(records_2[ID], dAir[roomNo], dAir[Class])</f>
        <v>D</v>
      </c>
      <c r="Z667" s="45">
        <f t="array" ref="Z667">_xlfn.XLOOKUP(records_2[Method]&amp;"-"&amp;records_2[Class], dAirSpec[ID], dAirSpec[Spec])</f>
        <v>100</v>
      </c>
      <c r="AA667" s="45" t="str">
        <f t="array" ref="AA667">_xlfn.XLOOKUP(records_2[Method]&amp;"-"&amp;records_2[Class], dAirSpec[ID], dAirSpec[Unit])</f>
        <v>cfu/plate</v>
      </c>
      <c r="AB667" s="58">
        <f t="array" ref="AB667">if(R667="","", if(records_2[Method]="Active Air",_xlfn.xlookup(records_2[ColonyCount]&amp;records_2[AirSampler],feller[code],feller[Vc]),records_2[ColonyCount]))</f>
        <v>1</v>
      </c>
      <c r="AC667" s="60" t="b">
        <f t="shared" si="1"/>
        <v>1</v>
      </c>
      <c r="AD667" s="61" t="b">
        <v>0</v>
      </c>
      <c r="AE667" s="32" t="s">
        <v>280</v>
      </c>
      <c r="AF667" s="46"/>
      <c r="AG667" s="46"/>
      <c r="AH667" s="46"/>
      <c r="AI667" s="46"/>
      <c r="AJ667" s="46"/>
    </row>
    <row r="668" ht="22.5" customHeight="1">
      <c r="A668" s="27">
        <v>46136.0</v>
      </c>
      <c r="B668" s="34" t="str">
        <f t="array" ref="B668">TEXT(A668, "MM-YYYY")</f>
        <v>04-2026</v>
      </c>
      <c r="C668" s="32" t="s">
        <v>824</v>
      </c>
      <c r="D668" s="36" t="s">
        <v>210</v>
      </c>
      <c r="E668" s="36" t="s">
        <v>213</v>
      </c>
      <c r="F668" s="29" t="b">
        <v>1</v>
      </c>
      <c r="G668" s="36" t="s">
        <v>214</v>
      </c>
      <c r="H668" s="36" t="s">
        <v>215</v>
      </c>
      <c r="I668" s="39"/>
      <c r="J668" s="40"/>
      <c r="K668" s="37" t="s">
        <v>194</v>
      </c>
      <c r="L668" s="37" t="s">
        <v>194</v>
      </c>
      <c r="M668" s="37" t="s">
        <v>194</v>
      </c>
      <c r="N668" s="37" t="s">
        <v>194</v>
      </c>
      <c r="O668" s="37" t="s">
        <v>2398</v>
      </c>
      <c r="P668" s="37" t="s">
        <v>2399</v>
      </c>
      <c r="Q668" s="41">
        <v>46160.0</v>
      </c>
      <c r="R668" s="42">
        <v>2.0</v>
      </c>
      <c r="S668" s="55"/>
      <c r="T668" s="37" t="s">
        <v>2448</v>
      </c>
      <c r="U668" s="45" t="str">
        <f>IF(records_2[Type]="Room",records_2[roomNo],records_2[roomNo]&amp;"-"&amp;SUBSTITUTE(RIGHT(records_2[roomNo]&amp;records_2[Type],2),"-",""))</f>
        <v>10-1-128</v>
      </c>
      <c r="V668" s="47" t="str">
        <f t="array" ref="V668">_xlfn.XLOOKUP(records_2[ID], dAir[roomNo], dAir[roomName])</f>
        <v>MAL</v>
      </c>
      <c r="W668" s="47" t="str">
        <f t="array" ref="W668">_xlfn.XLOOKUP(records_2[ID], dAir[roomNo], dAir[building])</f>
        <v>Building 10</v>
      </c>
      <c r="X668" s="47" t="str">
        <f t="array" ref="X668">_xlfn.XLOOKUP(records_2[ID], dAir[roomNo], dAir[floor])</f>
        <v>Floor 1</v>
      </c>
      <c r="Y668" s="45" t="str">
        <f t="array" ref="Y668">_xlfn.XLOOKUP(records_2[ID], dAir[roomNo], dAir[Class])</f>
        <v>D</v>
      </c>
      <c r="Z668" s="45">
        <f t="array" ref="Z668">_xlfn.XLOOKUP(records_2[Method]&amp;"-"&amp;records_2[Class], dAirSpec[ID], dAirSpec[Spec])</f>
        <v>100</v>
      </c>
      <c r="AA668" s="45" t="str">
        <f t="array" ref="AA668">_xlfn.XLOOKUP(records_2[Method]&amp;"-"&amp;records_2[Class], dAirSpec[ID], dAirSpec[Unit])</f>
        <v>cfu/plate</v>
      </c>
      <c r="AB668" s="58">
        <f t="array" ref="AB668">if(R668="","", if(records_2[Method]="Active Air",_xlfn.xlookup(records_2[ColonyCount]&amp;records_2[AirSampler],feller[code],feller[Vc]),records_2[ColonyCount]))</f>
        <v>2</v>
      </c>
      <c r="AC668" s="60" t="b">
        <f t="shared" si="1"/>
        <v>1</v>
      </c>
      <c r="AD668" s="61" t="b">
        <v>0</v>
      </c>
      <c r="AE668" s="32" t="s">
        <v>280</v>
      </c>
      <c r="AF668" s="46"/>
      <c r="AG668" s="46"/>
      <c r="AH668" s="46"/>
      <c r="AI668" s="46"/>
      <c r="AJ668" s="46"/>
    </row>
    <row r="669" ht="22.5" customHeight="1">
      <c r="A669" s="27">
        <v>46136.0</v>
      </c>
      <c r="B669" s="34" t="str">
        <f t="array" ref="B669">TEXT(A669, "MM-YYYY")</f>
        <v>04-2026</v>
      </c>
      <c r="C669" s="32" t="s">
        <v>828</v>
      </c>
      <c r="D669" s="36" t="s">
        <v>210</v>
      </c>
      <c r="E669" s="36" t="s">
        <v>213</v>
      </c>
      <c r="F669" s="29" t="b">
        <v>1</v>
      </c>
      <c r="G669" s="36" t="s">
        <v>214</v>
      </c>
      <c r="H669" s="36" t="s">
        <v>215</v>
      </c>
      <c r="I669" s="39"/>
      <c r="J669" s="40"/>
      <c r="K669" s="37" t="s">
        <v>194</v>
      </c>
      <c r="L669" s="37" t="s">
        <v>194</v>
      </c>
      <c r="M669" s="37" t="s">
        <v>194</v>
      </c>
      <c r="N669" s="37" t="s">
        <v>194</v>
      </c>
      <c r="O669" s="37" t="s">
        <v>2398</v>
      </c>
      <c r="P669" s="37" t="s">
        <v>2399</v>
      </c>
      <c r="Q669" s="41">
        <v>46160.0</v>
      </c>
      <c r="R669" s="42">
        <v>0.0</v>
      </c>
      <c r="S669" s="55"/>
      <c r="T669" s="37" t="s">
        <v>2448</v>
      </c>
      <c r="U669" s="45" t="str">
        <f>IF(records_2[Type]="Room",records_2[roomNo],records_2[roomNo]&amp;"-"&amp;SUBSTITUTE(RIGHT(records_2[roomNo]&amp;records_2[Type],2),"-",""))</f>
        <v>10-1-129</v>
      </c>
      <c r="V669" s="47" t="str">
        <f t="array" ref="V669">_xlfn.XLOOKUP(records_2[ID], dAir[roomNo], dAir[roomName])</f>
        <v>CORRIDOR</v>
      </c>
      <c r="W669" s="47" t="str">
        <f t="array" ref="W669">_xlfn.XLOOKUP(records_2[ID], dAir[roomNo], dAir[building])</f>
        <v>Building 10</v>
      </c>
      <c r="X669" s="47" t="str">
        <f t="array" ref="X669">_xlfn.XLOOKUP(records_2[ID], dAir[roomNo], dAir[floor])</f>
        <v>Floor 1</v>
      </c>
      <c r="Y669" s="45" t="str">
        <f t="array" ref="Y669">_xlfn.XLOOKUP(records_2[ID], dAir[roomNo], dAir[Class])</f>
        <v>D</v>
      </c>
      <c r="Z669" s="45">
        <f t="array" ref="Z669">_xlfn.XLOOKUP(records_2[Method]&amp;"-"&amp;records_2[Class], dAirSpec[ID], dAirSpec[Spec])</f>
        <v>100</v>
      </c>
      <c r="AA669" s="45" t="str">
        <f t="array" ref="AA669">_xlfn.XLOOKUP(records_2[Method]&amp;"-"&amp;records_2[Class], dAirSpec[ID], dAirSpec[Unit])</f>
        <v>cfu/plate</v>
      </c>
      <c r="AB669" s="58">
        <f t="array" ref="AB669">if(R669="","", if(records_2[Method]="Active Air",_xlfn.xlookup(records_2[ColonyCount]&amp;records_2[AirSampler],feller[code],feller[Vc]),records_2[ColonyCount]))</f>
        <v>0</v>
      </c>
      <c r="AC669" s="60" t="b">
        <f t="shared" si="1"/>
        <v>1</v>
      </c>
      <c r="AD669" s="61" t="b">
        <v>0</v>
      </c>
      <c r="AE669" s="32" t="s">
        <v>280</v>
      </c>
      <c r="AF669" s="46"/>
      <c r="AG669" s="46"/>
      <c r="AH669" s="46"/>
      <c r="AI669" s="46"/>
      <c r="AJ669" s="46"/>
    </row>
    <row r="670" ht="22.5" customHeight="1">
      <c r="A670" s="27">
        <v>46139.0</v>
      </c>
      <c r="B670" s="34" t="str">
        <f t="array" ref="B670">TEXT(A670, "MM-YYYY")</f>
        <v>04-2026</v>
      </c>
      <c r="C670" s="39" t="s">
        <v>753</v>
      </c>
      <c r="D670" s="36" t="s">
        <v>755</v>
      </c>
      <c r="E670" s="36" t="s">
        <v>531</v>
      </c>
      <c r="F670" s="29" t="b">
        <v>1</v>
      </c>
      <c r="G670" s="36" t="s">
        <v>214</v>
      </c>
      <c r="H670" s="36" t="s">
        <v>757</v>
      </c>
      <c r="I670" s="39">
        <v>3.1101125E8</v>
      </c>
      <c r="J670" s="40">
        <v>46240.0</v>
      </c>
      <c r="K670" s="37" t="s">
        <v>2457</v>
      </c>
      <c r="L670" s="37" t="s">
        <v>2458</v>
      </c>
      <c r="M670" s="37" t="s">
        <v>2347</v>
      </c>
      <c r="N670" s="37" t="s">
        <v>261</v>
      </c>
      <c r="O670" s="37" t="s">
        <v>2398</v>
      </c>
      <c r="P670" s="37" t="s">
        <v>2399</v>
      </c>
      <c r="Q670" s="41">
        <v>46160.0</v>
      </c>
      <c r="R670" s="42">
        <v>0.0</v>
      </c>
      <c r="S670" s="55"/>
      <c r="T670" s="37" t="s">
        <v>2459</v>
      </c>
      <c r="U670" s="45" t="str">
        <f>IF(records_2[Type]="Room",records_2[roomNo],records_2[roomNo]&amp;"-"&amp;SUBSTITUTE(RIGHT(records_2[roomNo]&amp;records_2[Type],2),"-",""))</f>
        <v>16-1-075-M</v>
      </c>
      <c r="V670" s="47" t="str">
        <f t="array" ref="V670">_xlfn.XLOOKUP(records_2[ID], dAir[roomNo], dAir[roomName])</f>
        <v>VIALS CAPPING (Machine)</v>
      </c>
      <c r="W670" s="47" t="str">
        <f t="array" ref="W670">_xlfn.XLOOKUP(records_2[ID], dAir[roomNo], dAir[building])</f>
        <v>Building 16</v>
      </c>
      <c r="X670" s="47" t="str">
        <f t="array" ref="X670">_xlfn.XLOOKUP(records_2[ID], dAir[roomNo], dAir[floor])</f>
        <v>Floor 1</v>
      </c>
      <c r="Y670" s="45" t="str">
        <f t="array" ref="Y670">_xlfn.XLOOKUP(records_2[ID], dAir[roomNo], dAir[Class])</f>
        <v>A</v>
      </c>
      <c r="Z670" s="45">
        <f t="array" ref="Z670">_xlfn.XLOOKUP(records_2[Method]&amp;"-"&amp;records_2[Class], dAirSpec[ID], dAirSpec[Spec])</f>
        <v>0</v>
      </c>
      <c r="AA670" s="45" t="str">
        <f t="array" ref="AA670">_xlfn.XLOOKUP(records_2[Method]&amp;"-"&amp;records_2[Class], dAirSpec[ID], dAirSpec[Unit])</f>
        <v>cfu/m3</v>
      </c>
      <c r="AB670" s="45">
        <f t="array" ref="AB670">if(R670="","", if(records_2[Method]="Active Air",_xlfn.xlookup(records_2[ColonyCount]&amp;records_2[AirSampler],feller[code],feller[Vc]),records_2[ColonyCount]))</f>
        <v>0</v>
      </c>
      <c r="AC670" s="60" t="b">
        <f t="shared" si="1"/>
        <v>1</v>
      </c>
      <c r="AD670" s="61" t="b">
        <v>0</v>
      </c>
      <c r="AE670" s="32" t="s">
        <v>280</v>
      </c>
      <c r="AF670" s="46"/>
      <c r="AG670" s="46"/>
      <c r="AH670" s="46"/>
      <c r="AI670" s="46"/>
      <c r="AJ670" s="46"/>
    </row>
    <row r="671" ht="22.5" customHeight="1">
      <c r="A671" s="27">
        <v>46139.0</v>
      </c>
      <c r="B671" s="34" t="str">
        <f t="array" ref="B671">TEXT(A671, "MM-YYYY")</f>
        <v>04-2026</v>
      </c>
      <c r="C671" s="39" t="s">
        <v>765</v>
      </c>
      <c r="D671" s="36" t="s">
        <v>755</v>
      </c>
      <c r="E671" s="36" t="s">
        <v>531</v>
      </c>
      <c r="F671" s="29" t="b">
        <v>1</v>
      </c>
      <c r="G671" s="36" t="s">
        <v>214</v>
      </c>
      <c r="H671" s="36" t="s">
        <v>757</v>
      </c>
      <c r="I671" s="39">
        <v>3.1101125E8</v>
      </c>
      <c r="J671" s="40">
        <v>46240.0</v>
      </c>
      <c r="K671" s="37" t="s">
        <v>891</v>
      </c>
      <c r="L671" s="37" t="s">
        <v>2460</v>
      </c>
      <c r="M671" s="37" t="s">
        <v>2320</v>
      </c>
      <c r="N671" s="37" t="s">
        <v>2384</v>
      </c>
      <c r="O671" s="37" t="s">
        <v>2398</v>
      </c>
      <c r="P671" s="37" t="s">
        <v>2399</v>
      </c>
      <c r="Q671" s="41">
        <v>46160.0</v>
      </c>
      <c r="R671" s="42">
        <v>0.0</v>
      </c>
      <c r="S671" s="55"/>
      <c r="T671" s="37" t="s">
        <v>2459</v>
      </c>
      <c r="U671" s="45" t="str">
        <f>IF(records_2[Type]="Room",records_2[roomNo],records_2[roomNo]&amp;"-"&amp;SUBSTITUTE(RIGHT(records_2[roomNo]&amp;records_2[Type],2),"-",""))</f>
        <v>16-1-076-M</v>
      </c>
      <c r="V671" s="47" t="str">
        <f t="array" ref="V671">_xlfn.XLOOKUP(records_2[ID], dAir[roomNo], dAir[roomName])</f>
        <v>FILLING 2 (Machine)</v>
      </c>
      <c r="W671" s="47" t="str">
        <f t="array" ref="W671">_xlfn.XLOOKUP(records_2[ID], dAir[roomNo], dAir[building])</f>
        <v>Building 16</v>
      </c>
      <c r="X671" s="47" t="str">
        <f t="array" ref="X671">_xlfn.XLOOKUP(records_2[ID], dAir[roomNo], dAir[floor])</f>
        <v>Floor 1</v>
      </c>
      <c r="Y671" s="45" t="str">
        <f t="array" ref="Y671">_xlfn.XLOOKUP(records_2[ID], dAir[roomNo], dAir[Class])</f>
        <v>A</v>
      </c>
      <c r="Z671" s="45">
        <f t="array" ref="Z671">_xlfn.XLOOKUP(records_2[Method]&amp;"-"&amp;records_2[Class], dAirSpec[ID], dAirSpec[Spec])</f>
        <v>0</v>
      </c>
      <c r="AA671" s="45" t="str">
        <f t="array" ref="AA671">_xlfn.XLOOKUP(records_2[Method]&amp;"-"&amp;records_2[Class], dAirSpec[ID], dAirSpec[Unit])</f>
        <v>cfu/m3</v>
      </c>
      <c r="AB671" s="45">
        <f t="array" ref="AB671">if(R671="","", if(records_2[Method]="Active Air",_xlfn.xlookup(records_2[ColonyCount]&amp;records_2[AirSampler],feller[code],feller[Vc]),records_2[ColonyCount]))</f>
        <v>0</v>
      </c>
      <c r="AC671" s="60" t="b">
        <f t="shared" si="1"/>
        <v>1</v>
      </c>
      <c r="AD671" s="61" t="b">
        <v>0</v>
      </c>
      <c r="AE671" s="32" t="s">
        <v>280</v>
      </c>
      <c r="AF671" s="46"/>
      <c r="AG671" s="46"/>
      <c r="AH671" s="46"/>
      <c r="AI671" s="46"/>
      <c r="AJ671" s="46"/>
    </row>
    <row r="672" ht="22.5" customHeight="1">
      <c r="A672" s="27">
        <v>46139.0</v>
      </c>
      <c r="B672" s="34" t="str">
        <f t="array" ref="B672">TEXT(A672, "MM-YYYY")</f>
        <v>04-2026</v>
      </c>
      <c r="C672" s="39" t="s">
        <v>765</v>
      </c>
      <c r="D672" s="36" t="s">
        <v>770</v>
      </c>
      <c r="E672" s="36" t="s">
        <v>531</v>
      </c>
      <c r="F672" s="29" t="b">
        <v>1</v>
      </c>
      <c r="G672" s="36" t="s">
        <v>214</v>
      </c>
      <c r="H672" s="36" t="s">
        <v>757</v>
      </c>
      <c r="I672" s="39">
        <v>3.1101125E8</v>
      </c>
      <c r="J672" s="40">
        <v>46240.0</v>
      </c>
      <c r="K672" s="37" t="s">
        <v>891</v>
      </c>
      <c r="L672" s="37" t="s">
        <v>2460</v>
      </c>
      <c r="M672" s="37" t="s">
        <v>2381</v>
      </c>
      <c r="N672" s="37" t="s">
        <v>430</v>
      </c>
      <c r="O672" s="37" t="s">
        <v>2398</v>
      </c>
      <c r="P672" s="37" t="s">
        <v>2399</v>
      </c>
      <c r="Q672" s="41">
        <v>46160.0</v>
      </c>
      <c r="R672" s="42">
        <v>0.0</v>
      </c>
      <c r="S672" s="55"/>
      <c r="T672" s="37" t="s">
        <v>2459</v>
      </c>
      <c r="U672" s="45" t="str">
        <f>IF(records_2[Type]="Room",records_2[roomNo],records_2[roomNo]&amp;"-"&amp;SUBSTITUTE(RIGHT(records_2[roomNo]&amp;records_2[Type],2),"-",""))</f>
        <v>16-1-076-L</v>
      </c>
      <c r="V672" s="47" t="str">
        <f t="array" ref="V672">_xlfn.XLOOKUP(records_2[ID], dAir[roomNo], dAir[roomName])</f>
        <v>FILLING 2 (Laminar)</v>
      </c>
      <c r="W672" s="47" t="str">
        <f t="array" ref="W672">_xlfn.XLOOKUP(records_2[ID], dAir[roomNo], dAir[building])</f>
        <v>Building 16</v>
      </c>
      <c r="X672" s="47" t="str">
        <f t="array" ref="X672">_xlfn.XLOOKUP(records_2[ID], dAir[roomNo], dAir[floor])</f>
        <v>Floor 1</v>
      </c>
      <c r="Y672" s="45" t="str">
        <f t="array" ref="Y672">_xlfn.XLOOKUP(records_2[ID], dAir[roomNo], dAir[Class])</f>
        <v>A</v>
      </c>
      <c r="Z672" s="45">
        <f t="array" ref="Z672">_xlfn.XLOOKUP(records_2[Method]&amp;"-"&amp;records_2[Class], dAirSpec[ID], dAirSpec[Spec])</f>
        <v>0</v>
      </c>
      <c r="AA672" s="45" t="str">
        <f t="array" ref="AA672">_xlfn.XLOOKUP(records_2[Method]&amp;"-"&amp;records_2[Class], dAirSpec[ID], dAirSpec[Unit])</f>
        <v>cfu/m3</v>
      </c>
      <c r="AB672" s="45">
        <f t="array" ref="AB672">if(R672="","", if(records_2[Method]="Active Air",_xlfn.xlookup(records_2[ColonyCount]&amp;records_2[AirSampler],feller[code],feller[Vc]),records_2[ColonyCount]))</f>
        <v>0</v>
      </c>
      <c r="AC672" s="60" t="b">
        <f t="shared" si="1"/>
        <v>1</v>
      </c>
      <c r="AD672" s="61" t="b">
        <v>0</v>
      </c>
      <c r="AE672" s="32" t="s">
        <v>280</v>
      </c>
      <c r="AF672" s="46"/>
      <c r="AG672" s="46"/>
      <c r="AH672" s="46"/>
      <c r="AI672" s="46"/>
      <c r="AJ672" s="46"/>
    </row>
    <row r="673" ht="22.5" customHeight="1">
      <c r="A673" s="27">
        <v>46139.0</v>
      </c>
      <c r="B673" s="34" t="str">
        <f t="array" ref="B673">TEXT(A673, "MM-YYYY")</f>
        <v>04-2026</v>
      </c>
      <c r="C673" s="39" t="s">
        <v>774</v>
      </c>
      <c r="D673" s="36" t="s">
        <v>755</v>
      </c>
      <c r="E673" s="36" t="s">
        <v>531</v>
      </c>
      <c r="F673" s="29" t="b">
        <v>1</v>
      </c>
      <c r="G673" s="36" t="s">
        <v>214</v>
      </c>
      <c r="H673" s="36" t="s">
        <v>757</v>
      </c>
      <c r="I673" s="39">
        <v>3.1101125E8</v>
      </c>
      <c r="J673" s="40">
        <v>46240.0</v>
      </c>
      <c r="K673" s="37" t="s">
        <v>592</v>
      </c>
      <c r="L673" s="37" t="s">
        <v>2461</v>
      </c>
      <c r="M673" s="37" t="s">
        <v>785</v>
      </c>
      <c r="N673" s="37" t="s">
        <v>2153</v>
      </c>
      <c r="O673" s="37" t="s">
        <v>2398</v>
      </c>
      <c r="P673" s="37" t="s">
        <v>2399</v>
      </c>
      <c r="Q673" s="41">
        <v>46160.0</v>
      </c>
      <c r="R673" s="42">
        <v>0.0</v>
      </c>
      <c r="S673" s="55"/>
      <c r="T673" s="37" t="s">
        <v>2459</v>
      </c>
      <c r="U673" s="45" t="str">
        <f>IF(records_2[Type]="Room",records_2[roomNo],records_2[roomNo]&amp;"-"&amp;SUBSTITUTE(RIGHT(records_2[roomNo]&amp;records_2[Type],2),"-",""))</f>
        <v>16-1-084-M</v>
      </c>
      <c r="V673" s="47" t="str">
        <f t="array" ref="V673">_xlfn.XLOOKUP(records_2[ID], dAir[roomNo], dAir[roomName])</f>
        <v>FILLING 1 (Machine)</v>
      </c>
      <c r="W673" s="47" t="str">
        <f t="array" ref="W673">_xlfn.XLOOKUP(records_2[ID], dAir[roomNo], dAir[building])</f>
        <v>Building 16</v>
      </c>
      <c r="X673" s="47" t="str">
        <f t="array" ref="X673">_xlfn.XLOOKUP(records_2[ID], dAir[roomNo], dAir[floor])</f>
        <v>Floor 1</v>
      </c>
      <c r="Y673" s="45" t="str">
        <f t="array" ref="Y673">_xlfn.XLOOKUP(records_2[ID], dAir[roomNo], dAir[Class])</f>
        <v>A</v>
      </c>
      <c r="Z673" s="45">
        <f t="array" ref="Z673">_xlfn.XLOOKUP(records_2[Method]&amp;"-"&amp;records_2[Class], dAirSpec[ID], dAirSpec[Spec])</f>
        <v>0</v>
      </c>
      <c r="AA673" s="45" t="str">
        <f t="array" ref="AA673">_xlfn.XLOOKUP(records_2[Method]&amp;"-"&amp;records_2[Class], dAirSpec[ID], dAirSpec[Unit])</f>
        <v>cfu/m3</v>
      </c>
      <c r="AB673" s="45">
        <f t="array" ref="AB673">if(R673="","", if(records_2[Method]="Active Air",_xlfn.xlookup(records_2[ColonyCount]&amp;records_2[AirSampler],feller[code],feller[Vc]),records_2[ColonyCount]))</f>
        <v>0</v>
      </c>
      <c r="AC673" s="60" t="b">
        <f t="shared" si="1"/>
        <v>1</v>
      </c>
      <c r="AD673" s="61" t="b">
        <v>0</v>
      </c>
      <c r="AE673" s="32" t="s">
        <v>280</v>
      </c>
      <c r="AF673" s="46"/>
      <c r="AG673" s="46"/>
      <c r="AH673" s="46"/>
      <c r="AI673" s="46"/>
      <c r="AJ673" s="46"/>
    </row>
    <row r="674" ht="22.5" customHeight="1">
      <c r="A674" s="27">
        <v>46139.0</v>
      </c>
      <c r="B674" s="34" t="str">
        <f t="array" ref="B674">TEXT(A674, "MM-YYYY")</f>
        <v>04-2026</v>
      </c>
      <c r="C674" s="39" t="s">
        <v>774</v>
      </c>
      <c r="D674" s="36" t="s">
        <v>770</v>
      </c>
      <c r="E674" s="36" t="s">
        <v>531</v>
      </c>
      <c r="F674" s="29" t="b">
        <v>1</v>
      </c>
      <c r="G674" s="36" t="s">
        <v>214</v>
      </c>
      <c r="H674" s="36" t="s">
        <v>757</v>
      </c>
      <c r="I674" s="39">
        <v>3.1101125E8</v>
      </c>
      <c r="J674" s="40">
        <v>46240.0</v>
      </c>
      <c r="K674" s="37" t="s">
        <v>592</v>
      </c>
      <c r="L674" s="37" t="s">
        <v>2461</v>
      </c>
      <c r="M674" s="37" t="s">
        <v>2154</v>
      </c>
      <c r="N674" s="37" t="s">
        <v>2462</v>
      </c>
      <c r="O674" s="37" t="s">
        <v>2398</v>
      </c>
      <c r="P674" s="37" t="s">
        <v>2399</v>
      </c>
      <c r="Q674" s="41">
        <v>46160.0</v>
      </c>
      <c r="R674" s="42">
        <v>0.0</v>
      </c>
      <c r="S674" s="55"/>
      <c r="T674" s="37" t="s">
        <v>2459</v>
      </c>
      <c r="U674" s="45" t="str">
        <f>IF(records_2[Type]="Room",records_2[roomNo],records_2[roomNo]&amp;"-"&amp;SUBSTITUTE(RIGHT(records_2[roomNo]&amp;records_2[Type],2),"-",""))</f>
        <v>16-1-084-L</v>
      </c>
      <c r="V674" s="47" t="str">
        <f t="array" ref="V674">_xlfn.XLOOKUP(records_2[ID], dAir[roomNo], dAir[roomName])</f>
        <v>FILLING 1 (Laminar)</v>
      </c>
      <c r="W674" s="47" t="str">
        <f t="array" ref="W674">_xlfn.XLOOKUP(records_2[ID], dAir[roomNo], dAir[building])</f>
        <v>Building 16</v>
      </c>
      <c r="X674" s="47" t="str">
        <f t="array" ref="X674">_xlfn.XLOOKUP(records_2[ID], dAir[roomNo], dAir[floor])</f>
        <v>Floor 1</v>
      </c>
      <c r="Y674" s="45" t="str">
        <f t="array" ref="Y674">_xlfn.XLOOKUP(records_2[ID], dAir[roomNo], dAir[Class])</f>
        <v>A</v>
      </c>
      <c r="Z674" s="45">
        <f t="array" ref="Z674">_xlfn.XLOOKUP(records_2[Method]&amp;"-"&amp;records_2[Class], dAirSpec[ID], dAirSpec[Spec])</f>
        <v>0</v>
      </c>
      <c r="AA674" s="45" t="str">
        <f t="array" ref="AA674">_xlfn.XLOOKUP(records_2[Method]&amp;"-"&amp;records_2[Class], dAirSpec[ID], dAirSpec[Unit])</f>
        <v>cfu/m3</v>
      </c>
      <c r="AB674" s="45">
        <f t="array" ref="AB674">if(R674="","", if(records_2[Method]="Active Air",_xlfn.xlookup(records_2[ColonyCount]&amp;records_2[AirSampler],feller[code],feller[Vc]),records_2[ColonyCount]))</f>
        <v>0</v>
      </c>
      <c r="AC674" s="60" t="b">
        <f t="shared" si="1"/>
        <v>1</v>
      </c>
      <c r="AD674" s="61" t="b">
        <v>0</v>
      </c>
      <c r="AE674" s="32" t="s">
        <v>280</v>
      </c>
      <c r="AF674" s="46"/>
      <c r="AG674" s="46"/>
      <c r="AH674" s="46"/>
      <c r="AI674" s="46"/>
      <c r="AJ674" s="46"/>
    </row>
    <row r="675" ht="22.5" customHeight="1">
      <c r="A675" s="27">
        <v>46139.0</v>
      </c>
      <c r="B675" s="34" t="str">
        <f t="array" ref="B675">TEXT(A675, "MM-YYYY")</f>
        <v>04-2026</v>
      </c>
      <c r="C675" s="32" t="s">
        <v>786</v>
      </c>
      <c r="D675" s="21" t="s">
        <v>680</v>
      </c>
      <c r="E675" s="36" t="s">
        <v>531</v>
      </c>
      <c r="F675" s="29" t="b">
        <v>1</v>
      </c>
      <c r="G675" s="36" t="s">
        <v>214</v>
      </c>
      <c r="H675" s="36" t="s">
        <v>757</v>
      </c>
      <c r="I675" s="39">
        <v>3.1101125E8</v>
      </c>
      <c r="J675" s="40">
        <v>46240.0</v>
      </c>
      <c r="K675" s="37" t="s">
        <v>2463</v>
      </c>
      <c r="L675" s="37" t="s">
        <v>2429</v>
      </c>
      <c r="M675" s="37" t="s">
        <v>1910</v>
      </c>
      <c r="N675" s="37" t="s">
        <v>2464</v>
      </c>
      <c r="O675" s="37" t="s">
        <v>2398</v>
      </c>
      <c r="P675" s="37" t="s">
        <v>2399</v>
      </c>
      <c r="Q675" s="41">
        <v>46160.0</v>
      </c>
      <c r="R675" s="42">
        <v>0.0</v>
      </c>
      <c r="S675" s="55"/>
      <c r="T675" s="37" t="s">
        <v>2459</v>
      </c>
      <c r="U675" s="45" t="str">
        <f>IF(records_2[Type]="Room",records_2[roomNo],records_2[roomNo]&amp;"-"&amp;SUBSTITUTE(RIGHT(records_2[roomNo]&amp;records_2[Type],2),"-",""))</f>
        <v>16-1-102-B</v>
      </c>
      <c r="V675" s="47" t="str">
        <f t="array" ref="V675">_xlfn.XLOOKUP(records_2[ID], dAir[roomNo], dAir[roomName])</f>
        <v>DISPENSING (Booth)</v>
      </c>
      <c r="W675" s="47" t="str">
        <f t="array" ref="W675">_xlfn.XLOOKUP(records_2[ID], dAir[roomNo], dAir[building])</f>
        <v>Building 16</v>
      </c>
      <c r="X675" s="47" t="str">
        <f t="array" ref="X675">_xlfn.XLOOKUP(records_2[ID], dAir[roomNo], dAir[floor])</f>
        <v>Floor 1</v>
      </c>
      <c r="Y675" s="45" t="str">
        <f t="array" ref="Y675">_xlfn.XLOOKUP(records_2[ID], dAir[roomNo], dAir[Class])</f>
        <v>A</v>
      </c>
      <c r="Z675" s="45">
        <f t="array" ref="Z675">_xlfn.XLOOKUP(records_2[Method]&amp;"-"&amp;records_2[Class], dAirSpec[ID], dAirSpec[Spec])</f>
        <v>0</v>
      </c>
      <c r="AA675" s="45" t="str">
        <f t="array" ref="AA675">_xlfn.XLOOKUP(records_2[Method]&amp;"-"&amp;records_2[Class], dAirSpec[ID], dAirSpec[Unit])</f>
        <v>cfu/m3</v>
      </c>
      <c r="AB675" s="45">
        <f t="array" ref="AB675">if(R675="","", if(records_2[Method]="Active Air",_xlfn.xlookup(records_2[ColonyCount]&amp;records_2[AirSampler],feller[code],feller[Vc]),records_2[ColonyCount]))</f>
        <v>0</v>
      </c>
      <c r="AC675" s="60" t="b">
        <f t="shared" si="1"/>
        <v>1</v>
      </c>
      <c r="AD675" s="61" t="b">
        <v>0</v>
      </c>
      <c r="AE675" s="32" t="s">
        <v>280</v>
      </c>
      <c r="AF675" s="46"/>
      <c r="AG675" s="46"/>
      <c r="AH675" s="46"/>
      <c r="AI675" s="46"/>
      <c r="AJ675" s="46"/>
    </row>
    <row r="676" ht="22.5" customHeight="1">
      <c r="A676" s="27">
        <v>46152.0</v>
      </c>
      <c r="B676" s="34" t="str">
        <f t="array" ref="B676">TEXT(A676, "MM-YYYY")</f>
        <v>05-2026</v>
      </c>
      <c r="C676" s="20" t="s">
        <v>840</v>
      </c>
      <c r="D676" s="21" t="s">
        <v>210</v>
      </c>
      <c r="E676" s="36" t="s">
        <v>213</v>
      </c>
      <c r="F676" s="29" t="b">
        <v>1</v>
      </c>
      <c r="G676" s="36" t="s">
        <v>214</v>
      </c>
      <c r="H676" s="36" t="s">
        <v>215</v>
      </c>
      <c r="I676" s="39"/>
      <c r="J676" s="40"/>
      <c r="K676" s="37" t="s">
        <v>596</v>
      </c>
      <c r="L676" s="37" t="s">
        <v>354</v>
      </c>
      <c r="M676" s="37" t="s">
        <v>2154</v>
      </c>
      <c r="N676" s="37" t="s">
        <v>1744</v>
      </c>
      <c r="O676" s="37" t="s">
        <v>759</v>
      </c>
      <c r="P676" s="37" t="s">
        <v>760</v>
      </c>
      <c r="Q676" s="41">
        <v>46195.0</v>
      </c>
      <c r="R676" s="42">
        <v>0.0</v>
      </c>
      <c r="S676" s="44" t="s">
        <v>194</v>
      </c>
      <c r="T676" s="37" t="s">
        <v>2465</v>
      </c>
      <c r="U676" s="47" t="str">
        <f>IF(records_2[Type]="Room",records_2[roomNo],records_2[roomNo]&amp;"-"&amp;SUBSTITUTE(RIGHT(records_2[roomNo]&amp;records_2[Type],2),"-",""))</f>
        <v>16-1-069</v>
      </c>
      <c r="V676" s="47" t="str">
        <f t="array" ref="V676">_xlfn.XLOOKUP(records_2[ID], dAir[roomNo], dAir[roomName])</f>
        <v>MEN PAL</v>
      </c>
      <c r="W676" s="47" t="str">
        <f t="array" ref="W676">_xlfn.XLOOKUP(records_2[ID], dAir[roomNo], dAir[building])</f>
        <v>Building 16</v>
      </c>
      <c r="X676" s="47" t="str">
        <f t="array" ref="X676">_xlfn.XLOOKUP(records_2[ID], dAir[roomNo], dAir[floor])</f>
        <v>Floor 1</v>
      </c>
      <c r="Y676" s="45" t="str">
        <f t="array" ref="Y676">_xlfn.XLOOKUP(records_2[ID], dAir[roomNo], dAir[Class])</f>
        <v>D</v>
      </c>
      <c r="Z676" s="45">
        <f t="array" ref="Z676">_xlfn.XLOOKUP(records_2[Method]&amp;"-"&amp;records_2[Class], dAirSpec[ID], dAirSpec[Spec])</f>
        <v>100</v>
      </c>
      <c r="AA676" s="45" t="str">
        <f t="array" ref="AA676">_xlfn.XLOOKUP(records_2[Method]&amp;"-"&amp;records_2[Class], dAirSpec[ID], dAirSpec[Unit])</f>
        <v>cfu/plate</v>
      </c>
      <c r="AB676" s="58">
        <f t="array" ref="AB676">if(R676="","", if(records_2[Method]="Active Air",_xlfn.xlookup(records_2[ColonyCount]&amp;records_2[AirSampler],feller[code],feller[Vc]),records_2[ColonyCount]))</f>
        <v>0</v>
      </c>
      <c r="AC676" s="60" t="b">
        <f t="shared" si="1"/>
        <v>1</v>
      </c>
      <c r="AD676" s="61" t="b">
        <v>0</v>
      </c>
      <c r="AE676" s="32" t="s">
        <v>280</v>
      </c>
      <c r="AF676" s="46"/>
      <c r="AG676" s="46"/>
      <c r="AH676" s="46"/>
      <c r="AI676" s="46"/>
      <c r="AJ676" s="46"/>
    </row>
    <row r="677" ht="22.5" customHeight="1">
      <c r="A677" s="27">
        <v>46152.0</v>
      </c>
      <c r="B677" s="34" t="str">
        <f t="array" ref="B677">TEXT(A677, "MM-YYYY")</f>
        <v>05-2026</v>
      </c>
      <c r="C677" s="39" t="s">
        <v>845</v>
      </c>
      <c r="D677" s="36" t="s">
        <v>210</v>
      </c>
      <c r="E677" s="36" t="s">
        <v>213</v>
      </c>
      <c r="F677" s="29" t="b">
        <v>1</v>
      </c>
      <c r="G677" s="36" t="s">
        <v>214</v>
      </c>
      <c r="H677" s="36" t="s">
        <v>215</v>
      </c>
      <c r="I677" s="39"/>
      <c r="J677" s="40"/>
      <c r="K677" s="37" t="s">
        <v>484</v>
      </c>
      <c r="L677" s="37" t="s">
        <v>2466</v>
      </c>
      <c r="M677" s="37" t="s">
        <v>2153</v>
      </c>
      <c r="N677" s="37" t="s">
        <v>1744</v>
      </c>
      <c r="O677" s="37" t="s">
        <v>759</v>
      </c>
      <c r="P677" s="37" t="s">
        <v>760</v>
      </c>
      <c r="Q677" s="41">
        <v>46195.0</v>
      </c>
      <c r="R677" s="42">
        <v>0.0</v>
      </c>
      <c r="S677" s="44" t="s">
        <v>194</v>
      </c>
      <c r="T677" s="37" t="s">
        <v>2465</v>
      </c>
      <c r="U677" s="45" t="str">
        <f>IF(records_2[Type]="Room",records_2[roomNo],records_2[roomNo]&amp;"-"&amp;SUBSTITUTE(RIGHT(records_2[roomNo]&amp;records_2[Type],2),"-",""))</f>
        <v>16-1-070</v>
      </c>
      <c r="V677" s="47" t="str">
        <f t="array" ref="V677">_xlfn.XLOOKUP(records_2[ID], dAir[roomNo], dAir[roomName])</f>
        <v>MEN PROCESS CHANGE</v>
      </c>
      <c r="W677" s="47" t="str">
        <f t="array" ref="W677">_xlfn.XLOOKUP(records_2[ID], dAir[roomNo], dAir[building])</f>
        <v>Building 16</v>
      </c>
      <c r="X677" s="47" t="str">
        <f t="array" ref="X677">_xlfn.XLOOKUP(records_2[ID], dAir[roomNo], dAir[floor])</f>
        <v>Floor 1</v>
      </c>
      <c r="Y677" s="45" t="str">
        <f t="array" ref="Y677">_xlfn.XLOOKUP(records_2[ID], dAir[roomNo], dAir[Class])</f>
        <v>C</v>
      </c>
      <c r="Z677" s="45">
        <f t="array" ref="Z677">_xlfn.XLOOKUP(records_2[Method]&amp;"-"&amp;records_2[Class], dAirSpec[ID], dAirSpec[Spec])</f>
        <v>50</v>
      </c>
      <c r="AA677" s="45" t="str">
        <f t="array" ref="AA677">_xlfn.XLOOKUP(records_2[Method]&amp;"-"&amp;records_2[Class], dAirSpec[ID], dAirSpec[Unit])</f>
        <v>cfu/plate</v>
      </c>
      <c r="AB677" s="58">
        <f t="array" ref="AB677">if(R677="","", if(records_2[Method]="Active Air",_xlfn.xlookup(records_2[ColonyCount]&amp;records_2[AirSampler],feller[code],feller[Vc]),records_2[ColonyCount]))</f>
        <v>0</v>
      </c>
      <c r="AC677" s="60" t="b">
        <f t="shared" si="1"/>
        <v>1</v>
      </c>
      <c r="AD677" s="61" t="b">
        <v>0</v>
      </c>
      <c r="AE677" s="32" t="s">
        <v>280</v>
      </c>
      <c r="AF677" s="46"/>
      <c r="AG677" s="46"/>
      <c r="AH677" s="46"/>
      <c r="AI677" s="46"/>
      <c r="AJ677" s="46"/>
    </row>
    <row r="678" ht="22.5" customHeight="1">
      <c r="A678" s="27">
        <v>46152.0</v>
      </c>
      <c r="B678" s="34" t="str">
        <f t="array" ref="B678">TEXT(A678, "MM-YYYY")</f>
        <v>05-2026</v>
      </c>
      <c r="C678" s="39" t="s">
        <v>857</v>
      </c>
      <c r="D678" s="36" t="s">
        <v>210</v>
      </c>
      <c r="E678" s="36" t="s">
        <v>213</v>
      </c>
      <c r="F678" s="29" t="b">
        <v>1</v>
      </c>
      <c r="G678" s="36" t="s">
        <v>214</v>
      </c>
      <c r="H678" s="36" t="s">
        <v>215</v>
      </c>
      <c r="I678" s="39"/>
      <c r="J678" s="40"/>
      <c r="K678" s="37" t="s">
        <v>681</v>
      </c>
      <c r="L678" s="37" t="s">
        <v>490</v>
      </c>
      <c r="M678" s="37" t="s">
        <v>1809</v>
      </c>
      <c r="N678" s="37" t="s">
        <v>1744</v>
      </c>
      <c r="O678" s="37" t="s">
        <v>759</v>
      </c>
      <c r="P678" s="37" t="s">
        <v>760</v>
      </c>
      <c r="Q678" s="41">
        <v>46195.0</v>
      </c>
      <c r="R678" s="42">
        <v>1.0</v>
      </c>
      <c r="S678" s="44" t="s">
        <v>194</v>
      </c>
      <c r="T678" s="37" t="s">
        <v>2465</v>
      </c>
      <c r="U678" s="45" t="str">
        <f>IF(records_2[Type]="Room",records_2[roomNo],records_2[roomNo]&amp;"-"&amp;SUBSTITUTE(RIGHT(records_2[roomNo]&amp;records_2[Type],2),"-",""))</f>
        <v>16-1-071</v>
      </c>
      <c r="V678" s="47" t="str">
        <f t="array" ref="V678">_xlfn.XLOOKUP(records_2[ID], dAir[roomNo], dAir[roomName])</f>
        <v>WOMEN PAL</v>
      </c>
      <c r="W678" s="47" t="str">
        <f t="array" ref="W678">_xlfn.XLOOKUP(records_2[ID], dAir[roomNo], dAir[building])</f>
        <v>Building 16</v>
      </c>
      <c r="X678" s="47" t="str">
        <f t="array" ref="X678">_xlfn.XLOOKUP(records_2[ID], dAir[roomNo], dAir[floor])</f>
        <v>Floor 1</v>
      </c>
      <c r="Y678" s="45" t="str">
        <f t="array" ref="Y678">_xlfn.XLOOKUP(records_2[ID], dAir[roomNo], dAir[Class])</f>
        <v>D</v>
      </c>
      <c r="Z678" s="45">
        <f t="array" ref="Z678">_xlfn.XLOOKUP(records_2[Method]&amp;"-"&amp;records_2[Class], dAirSpec[ID], dAirSpec[Spec])</f>
        <v>100</v>
      </c>
      <c r="AA678" s="45" t="str">
        <f t="array" ref="AA678">_xlfn.XLOOKUP(records_2[Method]&amp;"-"&amp;records_2[Class], dAirSpec[ID], dAirSpec[Unit])</f>
        <v>cfu/plate</v>
      </c>
      <c r="AB678" s="58">
        <f t="array" ref="AB678">if(R678="","", if(records_2[Method]="Active Air",_xlfn.xlookup(records_2[ColonyCount]&amp;records_2[AirSampler],feller[code],feller[Vc]),records_2[ColonyCount]))</f>
        <v>1</v>
      </c>
      <c r="AC678" s="60" t="b">
        <f t="shared" si="1"/>
        <v>1</v>
      </c>
      <c r="AD678" s="61" t="b">
        <v>0</v>
      </c>
      <c r="AE678" s="32" t="s">
        <v>280</v>
      </c>
      <c r="AF678" s="46"/>
      <c r="AG678" s="46"/>
      <c r="AH678" s="46"/>
      <c r="AI678" s="46"/>
      <c r="AJ678" s="46"/>
    </row>
    <row r="679" ht="22.5" customHeight="1">
      <c r="A679" s="27">
        <v>46152.0</v>
      </c>
      <c r="B679" s="34" t="str">
        <f t="array" ref="B679">TEXT(A679, "MM-YYYY")</f>
        <v>05-2026</v>
      </c>
      <c r="C679" s="39" t="s">
        <v>878</v>
      </c>
      <c r="D679" s="36" t="s">
        <v>210</v>
      </c>
      <c r="E679" s="36" t="s">
        <v>213</v>
      </c>
      <c r="F679" s="29" t="b">
        <v>1</v>
      </c>
      <c r="G679" s="36" t="s">
        <v>214</v>
      </c>
      <c r="H679" s="36" t="s">
        <v>215</v>
      </c>
      <c r="I679" s="39"/>
      <c r="J679" s="40"/>
      <c r="K679" s="37" t="s">
        <v>596</v>
      </c>
      <c r="L679" s="37" t="s">
        <v>775</v>
      </c>
      <c r="M679" s="37" t="s">
        <v>1809</v>
      </c>
      <c r="N679" s="37" t="s">
        <v>1744</v>
      </c>
      <c r="O679" s="37" t="s">
        <v>759</v>
      </c>
      <c r="P679" s="37" t="s">
        <v>760</v>
      </c>
      <c r="Q679" s="41">
        <v>46195.0</v>
      </c>
      <c r="R679" s="42">
        <v>0.0</v>
      </c>
      <c r="S679" s="44" t="s">
        <v>194</v>
      </c>
      <c r="T679" s="37" t="s">
        <v>2465</v>
      </c>
      <c r="U679" s="45" t="str">
        <f>IF(records_2[Type]="Room",records_2[roomNo],records_2[roomNo]&amp;"-"&amp;SUBSTITUTE(RIGHT(records_2[roomNo]&amp;records_2[Type],2),"-",""))</f>
        <v>16-1-072</v>
      </c>
      <c r="V679" s="47" t="str">
        <f t="array" ref="V679">_xlfn.XLOOKUP(records_2[ID], dAir[roomNo], dAir[roomName])</f>
        <v>WOMEN PROCESS CHANGE</v>
      </c>
      <c r="W679" s="47" t="str">
        <f t="array" ref="W679">_xlfn.XLOOKUP(records_2[ID], dAir[roomNo], dAir[building])</f>
        <v>Building 16</v>
      </c>
      <c r="X679" s="47" t="str">
        <f t="array" ref="X679">_xlfn.XLOOKUP(records_2[ID], dAir[roomNo], dAir[floor])</f>
        <v>Floor 1</v>
      </c>
      <c r="Y679" s="45" t="str">
        <f t="array" ref="Y679">_xlfn.XLOOKUP(records_2[ID], dAir[roomNo], dAir[Class])</f>
        <v>C</v>
      </c>
      <c r="Z679" s="45">
        <f t="array" ref="Z679">_xlfn.XLOOKUP(records_2[Method]&amp;"-"&amp;records_2[Class], dAirSpec[ID], dAirSpec[Spec])</f>
        <v>50</v>
      </c>
      <c r="AA679" s="45" t="str">
        <f t="array" ref="AA679">_xlfn.XLOOKUP(records_2[Method]&amp;"-"&amp;records_2[Class], dAirSpec[ID], dAirSpec[Unit])</f>
        <v>cfu/plate</v>
      </c>
      <c r="AB679" s="58">
        <f t="array" ref="AB679">if(R679="","", if(records_2[Method]="Active Air",_xlfn.xlookup(records_2[ColonyCount]&amp;records_2[AirSampler],feller[code],feller[Vc]),records_2[ColonyCount]))</f>
        <v>0</v>
      </c>
      <c r="AC679" s="60" t="b">
        <f t="shared" si="1"/>
        <v>1</v>
      </c>
      <c r="AD679" s="61" t="b">
        <v>0</v>
      </c>
      <c r="AE679" s="32" t="s">
        <v>280</v>
      </c>
      <c r="AF679" s="46"/>
      <c r="AG679" s="46"/>
      <c r="AH679" s="46"/>
      <c r="AI679" s="46"/>
      <c r="AJ679" s="46"/>
    </row>
    <row r="680" ht="22.5" customHeight="1">
      <c r="A680" s="27">
        <v>46152.0</v>
      </c>
      <c r="B680" s="34" t="str">
        <f t="array" ref="B680">TEXT(A680, "MM-YYYY")</f>
        <v>05-2026</v>
      </c>
      <c r="C680" s="39" t="s">
        <v>898</v>
      </c>
      <c r="D680" s="36" t="s">
        <v>210</v>
      </c>
      <c r="E680" s="36" t="s">
        <v>213</v>
      </c>
      <c r="F680" s="29" t="b">
        <v>1</v>
      </c>
      <c r="G680" s="36" t="s">
        <v>214</v>
      </c>
      <c r="H680" s="36" t="s">
        <v>215</v>
      </c>
      <c r="I680" s="39"/>
      <c r="J680" s="40"/>
      <c r="K680" s="37" t="s">
        <v>2100</v>
      </c>
      <c r="L680" s="37" t="s">
        <v>2461</v>
      </c>
      <c r="M680" s="37" t="s">
        <v>2152</v>
      </c>
      <c r="N680" s="37" t="s">
        <v>1755</v>
      </c>
      <c r="O680" s="37" t="s">
        <v>759</v>
      </c>
      <c r="P680" s="37" t="s">
        <v>760</v>
      </c>
      <c r="Q680" s="41">
        <v>46195.0</v>
      </c>
      <c r="R680" s="42">
        <v>0.0</v>
      </c>
      <c r="S680" s="29" t="s">
        <v>902</v>
      </c>
      <c r="T680" s="37" t="s">
        <v>2465</v>
      </c>
      <c r="U680" s="45" t="str">
        <f>IF(records_2[Type]="Room",records_2[roomNo],records_2[roomNo]&amp;"-"&amp;SUBSTITUTE(RIGHT(records_2[roomNo]&amp;records_2[Type],2),"-",""))</f>
        <v>16-1-073</v>
      </c>
      <c r="V680" s="47" t="str">
        <f t="array" ref="V680">_xlfn.XLOOKUP(records_2[ID], dAir[roomNo], dAir[roomName])</f>
        <v>CORRIDOR</v>
      </c>
      <c r="W680" s="47" t="str">
        <f t="array" ref="W680">_xlfn.XLOOKUP(records_2[ID], dAir[roomNo], dAir[building])</f>
        <v>Building 16</v>
      </c>
      <c r="X680" s="47" t="str">
        <f t="array" ref="X680">_xlfn.XLOOKUP(records_2[ID], dAir[roomNo], dAir[floor])</f>
        <v>Floor 1</v>
      </c>
      <c r="Y680" s="45" t="str">
        <f t="array" ref="Y680">_xlfn.XLOOKUP(records_2[ID], dAir[roomNo], dAir[Class])</f>
        <v>C</v>
      </c>
      <c r="Z680" s="45">
        <f t="array" ref="Z680">_xlfn.XLOOKUP(records_2[Method]&amp;"-"&amp;records_2[Class], dAirSpec[ID], dAirSpec[Spec])</f>
        <v>50</v>
      </c>
      <c r="AA680" s="45" t="str">
        <f t="array" ref="AA680">_xlfn.XLOOKUP(records_2[Method]&amp;"-"&amp;records_2[Class], dAirSpec[ID], dAirSpec[Unit])</f>
        <v>cfu/plate</v>
      </c>
      <c r="AB680" s="58">
        <f t="array" ref="AB680">if(R680="","", if(records_2[Method]="Active Air",_xlfn.xlookup(records_2[ColonyCount]&amp;records_2[AirSampler],feller[code],feller[Vc]),records_2[ColonyCount]))</f>
        <v>0</v>
      </c>
      <c r="AC680" s="60" t="b">
        <f t="shared" si="1"/>
        <v>1</v>
      </c>
      <c r="AD680" s="61" t="b">
        <v>0</v>
      </c>
      <c r="AE680" s="32" t="s">
        <v>280</v>
      </c>
      <c r="AF680" s="46"/>
      <c r="AG680" s="46"/>
      <c r="AH680" s="46"/>
      <c r="AI680" s="46"/>
      <c r="AJ680" s="46"/>
    </row>
    <row r="681" ht="22.5" customHeight="1">
      <c r="A681" s="27">
        <v>46152.0</v>
      </c>
      <c r="B681" s="34" t="str">
        <f t="array" ref="B681">TEXT(A681, "MM-YYYY")</f>
        <v>05-2026</v>
      </c>
      <c r="C681" s="39" t="s">
        <v>919</v>
      </c>
      <c r="D681" s="36" t="s">
        <v>210</v>
      </c>
      <c r="E681" s="36" t="s">
        <v>213</v>
      </c>
      <c r="F681" s="29" t="b">
        <v>1</v>
      </c>
      <c r="G681" s="36" t="s">
        <v>214</v>
      </c>
      <c r="H681" s="36" t="s">
        <v>215</v>
      </c>
      <c r="I681" s="39"/>
      <c r="J681" s="40"/>
      <c r="K681" s="37" t="s">
        <v>638</v>
      </c>
      <c r="L681" s="37" t="s">
        <v>2333</v>
      </c>
      <c r="M681" s="37" t="s">
        <v>2154</v>
      </c>
      <c r="N681" s="37" t="s">
        <v>1755</v>
      </c>
      <c r="O681" s="37" t="s">
        <v>759</v>
      </c>
      <c r="P681" s="37" t="s">
        <v>760</v>
      </c>
      <c r="Q681" s="41">
        <v>46195.0</v>
      </c>
      <c r="R681" s="42">
        <v>0.0</v>
      </c>
      <c r="S681" s="44" t="s">
        <v>194</v>
      </c>
      <c r="T681" s="37" t="s">
        <v>2465</v>
      </c>
      <c r="U681" s="45" t="str">
        <f>IF(records_2[Type]="Room",records_2[roomNo],records_2[roomNo]&amp;"-"&amp;SUBSTITUTE(RIGHT(records_2[roomNo]&amp;records_2[Type],2),"-",""))</f>
        <v>16-1-074</v>
      </c>
      <c r="V681" s="47" t="str">
        <f t="array" ref="V681">_xlfn.XLOOKUP(records_2[ID], dAir[roomNo], dAir[roomName])</f>
        <v>AIRLOCK</v>
      </c>
      <c r="W681" s="47" t="str">
        <f t="array" ref="W681">_xlfn.XLOOKUP(records_2[ID], dAir[roomNo], dAir[building])</f>
        <v>Building 16</v>
      </c>
      <c r="X681" s="47" t="str">
        <f t="array" ref="X681">_xlfn.XLOOKUP(records_2[ID], dAir[roomNo], dAir[floor])</f>
        <v>Floor 1</v>
      </c>
      <c r="Y681" s="45" t="str">
        <f t="array" ref="Y681">_xlfn.XLOOKUP(records_2[ID], dAir[roomNo], dAir[Class])</f>
        <v>C</v>
      </c>
      <c r="Z681" s="45">
        <f t="array" ref="Z681">_xlfn.XLOOKUP(records_2[Method]&amp;"-"&amp;records_2[Class], dAirSpec[ID], dAirSpec[Spec])</f>
        <v>50</v>
      </c>
      <c r="AA681" s="45" t="str">
        <f t="array" ref="AA681">_xlfn.XLOOKUP(records_2[Method]&amp;"-"&amp;records_2[Class], dAirSpec[ID], dAirSpec[Unit])</f>
        <v>cfu/plate</v>
      </c>
      <c r="AB681" s="58">
        <f t="array" ref="AB681">if(R681="","", if(records_2[Method]="Active Air",_xlfn.xlookup(records_2[ColonyCount]&amp;records_2[AirSampler],feller[code],feller[Vc]),records_2[ColonyCount]))</f>
        <v>0</v>
      </c>
      <c r="AC681" s="60" t="b">
        <f t="shared" si="1"/>
        <v>1</v>
      </c>
      <c r="AD681" s="61" t="b">
        <v>0</v>
      </c>
      <c r="AE681" s="32" t="s">
        <v>280</v>
      </c>
      <c r="AF681" s="46"/>
      <c r="AG681" s="46"/>
      <c r="AH681" s="46"/>
      <c r="AI681" s="46"/>
      <c r="AJ681" s="46"/>
    </row>
    <row r="682" ht="22.5" customHeight="1">
      <c r="A682" s="27">
        <v>46152.0</v>
      </c>
      <c r="B682" s="34" t="str">
        <f t="array" ref="B682">TEXT(A682, "MM-YYYY")</f>
        <v>05-2026</v>
      </c>
      <c r="C682" s="39" t="s">
        <v>753</v>
      </c>
      <c r="D682" s="36" t="s">
        <v>210</v>
      </c>
      <c r="E682" s="36" t="s">
        <v>213</v>
      </c>
      <c r="F682" s="29" t="b">
        <v>1</v>
      </c>
      <c r="G682" s="36" t="s">
        <v>214</v>
      </c>
      <c r="H682" s="36" t="s">
        <v>215</v>
      </c>
      <c r="I682" s="39"/>
      <c r="J682" s="40"/>
      <c r="K682" s="37" t="s">
        <v>687</v>
      </c>
      <c r="L682" s="37" t="s">
        <v>449</v>
      </c>
      <c r="M682" s="37" t="s">
        <v>2154</v>
      </c>
      <c r="N682" s="37" t="s">
        <v>1755</v>
      </c>
      <c r="O682" s="37" t="s">
        <v>759</v>
      </c>
      <c r="P682" s="37" t="s">
        <v>760</v>
      </c>
      <c r="Q682" s="41">
        <v>46195.0</v>
      </c>
      <c r="R682" s="42">
        <v>1.0</v>
      </c>
      <c r="S682" s="44" t="s">
        <v>194</v>
      </c>
      <c r="T682" s="37" t="s">
        <v>2465</v>
      </c>
      <c r="U682" s="45" t="str">
        <f>IF(records_2[Type]="Room",records_2[roomNo],records_2[roomNo]&amp;"-"&amp;SUBSTITUTE(RIGHT(records_2[roomNo]&amp;records_2[Type],2),"-",""))</f>
        <v>16-1-075</v>
      </c>
      <c r="V682" s="47" t="str">
        <f t="array" ref="V682">_xlfn.XLOOKUP(records_2[ID], dAir[roomNo], dAir[roomName])</f>
        <v>VIALS CAPPING</v>
      </c>
      <c r="W682" s="47" t="str">
        <f t="array" ref="W682">_xlfn.XLOOKUP(records_2[ID], dAir[roomNo], dAir[building])</f>
        <v>Building 16</v>
      </c>
      <c r="X682" s="47" t="str">
        <f t="array" ref="X682">_xlfn.XLOOKUP(records_2[ID], dAir[roomNo], dAir[floor])</f>
        <v>Floor 1</v>
      </c>
      <c r="Y682" s="45" t="str">
        <f t="array" ref="Y682">_xlfn.XLOOKUP(records_2[ID], dAir[roomNo], dAir[Class])</f>
        <v>C</v>
      </c>
      <c r="Z682" s="45">
        <f t="array" ref="Z682">_xlfn.XLOOKUP(records_2[Method]&amp;"-"&amp;records_2[Class], dAirSpec[ID], dAirSpec[Spec])</f>
        <v>50</v>
      </c>
      <c r="AA682" s="45" t="str">
        <f t="array" ref="AA682">_xlfn.XLOOKUP(records_2[Method]&amp;"-"&amp;records_2[Class], dAirSpec[ID], dAirSpec[Unit])</f>
        <v>cfu/plate</v>
      </c>
      <c r="AB682" s="58">
        <f t="array" ref="AB682">if(R682="","", if(records_2[Method]="Active Air",_xlfn.xlookup(records_2[ColonyCount]&amp;records_2[AirSampler],feller[code],feller[Vc]),records_2[ColonyCount]))</f>
        <v>1</v>
      </c>
      <c r="AC682" s="60" t="b">
        <f t="shared" si="1"/>
        <v>1</v>
      </c>
      <c r="AD682" s="61" t="b">
        <v>0</v>
      </c>
      <c r="AE682" s="32" t="s">
        <v>280</v>
      </c>
      <c r="AF682" s="46"/>
      <c r="AG682" s="46"/>
      <c r="AH682" s="46"/>
      <c r="AI682" s="46"/>
      <c r="AJ682" s="46"/>
    </row>
    <row r="683" ht="22.5" customHeight="1">
      <c r="A683" s="27">
        <v>46152.0</v>
      </c>
      <c r="B683" s="34" t="str">
        <f t="array" ref="B683">TEXT(A683, "MM-YYYY")</f>
        <v>05-2026</v>
      </c>
      <c r="C683" s="39" t="s">
        <v>753</v>
      </c>
      <c r="D683" s="36" t="s">
        <v>755</v>
      </c>
      <c r="E683" s="36" t="s">
        <v>531</v>
      </c>
      <c r="F683" s="29" t="b">
        <v>1</v>
      </c>
      <c r="G683" s="36" t="s">
        <v>214</v>
      </c>
      <c r="H683" s="36" t="s">
        <v>534</v>
      </c>
      <c r="I683" s="39"/>
      <c r="J683" s="40"/>
      <c r="K683" s="37" t="s">
        <v>687</v>
      </c>
      <c r="L683" s="37" t="s">
        <v>449</v>
      </c>
      <c r="M683" s="37" t="s">
        <v>727</v>
      </c>
      <c r="N683" s="37" t="s">
        <v>820</v>
      </c>
      <c r="O683" s="37" t="s">
        <v>759</v>
      </c>
      <c r="P683" s="37" t="s">
        <v>760</v>
      </c>
      <c r="Q683" s="41">
        <v>46195.0</v>
      </c>
      <c r="R683" s="42">
        <v>0.0</v>
      </c>
      <c r="S683" s="44" t="s">
        <v>194</v>
      </c>
      <c r="T683" s="37" t="s">
        <v>2465</v>
      </c>
      <c r="U683" s="45" t="str">
        <f>IF(records_2[Type]="Room",records_2[roomNo],records_2[roomNo]&amp;"-"&amp;SUBSTITUTE(RIGHT(records_2[roomNo]&amp;records_2[Type],2),"-",""))</f>
        <v>16-1-075-M</v>
      </c>
      <c r="V683" s="47" t="str">
        <f t="array" ref="V683">_xlfn.XLOOKUP(records_2[ID], dAir[roomNo], dAir[roomName])</f>
        <v>VIALS CAPPING (Machine)</v>
      </c>
      <c r="W683" s="47" t="str">
        <f t="array" ref="W683">_xlfn.XLOOKUP(records_2[ID], dAir[roomNo], dAir[building])</f>
        <v>Building 16</v>
      </c>
      <c r="X683" s="47" t="str">
        <f t="array" ref="X683">_xlfn.XLOOKUP(records_2[ID], dAir[roomNo], dAir[floor])</f>
        <v>Floor 1</v>
      </c>
      <c r="Y683" s="45" t="str">
        <f t="array" ref="Y683">_xlfn.XLOOKUP(records_2[ID], dAir[roomNo], dAir[Class])</f>
        <v>A</v>
      </c>
      <c r="Z683" s="45">
        <f t="array" ref="Z683">_xlfn.XLOOKUP(records_2[Method]&amp;"-"&amp;records_2[Class], dAirSpec[ID], dAirSpec[Spec])</f>
        <v>0</v>
      </c>
      <c r="AA683" s="45" t="str">
        <f t="array" ref="AA683">_xlfn.XLOOKUP(records_2[Method]&amp;"-"&amp;records_2[Class], dAirSpec[ID], dAirSpec[Unit])</f>
        <v>cfu/m3</v>
      </c>
      <c r="AB683" s="45">
        <f t="array" ref="AB683">if(R683="","", if(records_2[Method]="Active Air",_xlfn.xlookup(records_2[ColonyCount]&amp;records_2[AirSampler],feller[code],feller[Vc]),records_2[ColonyCount]))</f>
        <v>0</v>
      </c>
      <c r="AC683" s="60" t="b">
        <f t="shared" si="1"/>
        <v>1</v>
      </c>
      <c r="AD683" s="61" t="b">
        <v>0</v>
      </c>
      <c r="AE683" s="32" t="s">
        <v>280</v>
      </c>
      <c r="AF683" s="46"/>
      <c r="AG683" s="46"/>
      <c r="AH683" s="46"/>
      <c r="AI683" s="46"/>
      <c r="AJ683" s="46"/>
    </row>
    <row r="684" ht="22.5" customHeight="1">
      <c r="A684" s="27">
        <v>46152.0</v>
      </c>
      <c r="B684" s="34" t="str">
        <f t="array" ref="B684">TEXT(A684, "MM-YYYY")</f>
        <v>05-2026</v>
      </c>
      <c r="C684" s="39" t="s">
        <v>765</v>
      </c>
      <c r="D684" s="36" t="s">
        <v>755</v>
      </c>
      <c r="E684" s="36" t="s">
        <v>531</v>
      </c>
      <c r="F684" s="29" t="b">
        <v>1</v>
      </c>
      <c r="G684" s="36" t="s">
        <v>214</v>
      </c>
      <c r="H684" s="36" t="s">
        <v>757</v>
      </c>
      <c r="I684" s="39"/>
      <c r="J684" s="40"/>
      <c r="K684" s="37" t="s">
        <v>310</v>
      </c>
      <c r="L684" s="37" t="s">
        <v>2467</v>
      </c>
      <c r="M684" s="37" t="s">
        <v>2320</v>
      </c>
      <c r="N684" s="37" t="s">
        <v>2386</v>
      </c>
      <c r="O684" s="37" t="s">
        <v>759</v>
      </c>
      <c r="P684" s="37" t="s">
        <v>760</v>
      </c>
      <c r="Q684" s="41">
        <v>46195.0</v>
      </c>
      <c r="R684" s="42">
        <v>0.0</v>
      </c>
      <c r="S684" s="44" t="s">
        <v>194</v>
      </c>
      <c r="T684" s="37" t="s">
        <v>2465</v>
      </c>
      <c r="U684" s="45" t="str">
        <f>IF(records_2[Type]="Room",records_2[roomNo],records_2[roomNo]&amp;"-"&amp;SUBSTITUTE(RIGHT(records_2[roomNo]&amp;records_2[Type],2),"-",""))</f>
        <v>16-1-076-M</v>
      </c>
      <c r="V684" s="47" t="str">
        <f t="array" ref="V684">_xlfn.XLOOKUP(records_2[ID], dAir[roomNo], dAir[roomName])</f>
        <v>FILLING 2 (Machine)</v>
      </c>
      <c r="W684" s="47" t="str">
        <f t="array" ref="W684">_xlfn.XLOOKUP(records_2[ID], dAir[roomNo], dAir[building])</f>
        <v>Building 16</v>
      </c>
      <c r="X684" s="47" t="str">
        <f t="array" ref="X684">_xlfn.XLOOKUP(records_2[ID], dAir[roomNo], dAir[floor])</f>
        <v>Floor 1</v>
      </c>
      <c r="Y684" s="45" t="str">
        <f t="array" ref="Y684">_xlfn.XLOOKUP(records_2[ID], dAir[roomNo], dAir[Class])</f>
        <v>A</v>
      </c>
      <c r="Z684" s="45">
        <f t="array" ref="Z684">_xlfn.XLOOKUP(records_2[Method]&amp;"-"&amp;records_2[Class], dAirSpec[ID], dAirSpec[Spec])</f>
        <v>0</v>
      </c>
      <c r="AA684" s="45" t="str">
        <f t="array" ref="AA684">_xlfn.XLOOKUP(records_2[Method]&amp;"-"&amp;records_2[Class], dAirSpec[ID], dAirSpec[Unit])</f>
        <v>cfu/m3</v>
      </c>
      <c r="AB684" s="45">
        <f t="array" ref="AB684">if(R684="","", if(records_2[Method]="Active Air",_xlfn.xlookup(records_2[ColonyCount]&amp;records_2[AirSampler],feller[code],feller[Vc]),records_2[ColonyCount]))</f>
        <v>0</v>
      </c>
      <c r="AC684" s="60" t="b">
        <f t="shared" si="1"/>
        <v>1</v>
      </c>
      <c r="AD684" s="61" t="b">
        <v>0</v>
      </c>
      <c r="AE684" s="32" t="s">
        <v>280</v>
      </c>
      <c r="AF684" s="46"/>
      <c r="AG684" s="46"/>
      <c r="AH684" s="46"/>
      <c r="AI684" s="46"/>
      <c r="AJ684" s="46"/>
    </row>
    <row r="685" ht="22.5" customHeight="1">
      <c r="A685" s="27">
        <v>46152.0</v>
      </c>
      <c r="B685" s="34" t="str">
        <f t="array" ref="B685">TEXT(A685, "MM-YYYY")</f>
        <v>05-2026</v>
      </c>
      <c r="C685" s="39" t="s">
        <v>765</v>
      </c>
      <c r="D685" s="36" t="s">
        <v>770</v>
      </c>
      <c r="E685" s="36" t="s">
        <v>531</v>
      </c>
      <c r="F685" s="29" t="b">
        <v>1</v>
      </c>
      <c r="G685" s="36" t="s">
        <v>214</v>
      </c>
      <c r="H685" s="36" t="s">
        <v>757</v>
      </c>
      <c r="I685" s="39"/>
      <c r="J685" s="40"/>
      <c r="K685" s="37" t="s">
        <v>310</v>
      </c>
      <c r="L685" s="37" t="s">
        <v>2467</v>
      </c>
      <c r="M685" s="37" t="s">
        <v>2320</v>
      </c>
      <c r="N685" s="37" t="s">
        <v>2386</v>
      </c>
      <c r="O685" s="37" t="s">
        <v>759</v>
      </c>
      <c r="P685" s="37" t="s">
        <v>760</v>
      </c>
      <c r="Q685" s="41">
        <v>46195.0</v>
      </c>
      <c r="R685" s="42">
        <v>0.0</v>
      </c>
      <c r="S685" s="44" t="s">
        <v>194</v>
      </c>
      <c r="T685" s="37" t="s">
        <v>2465</v>
      </c>
      <c r="U685" s="45" t="str">
        <f>IF(records_2[Type]="Room",records_2[roomNo],records_2[roomNo]&amp;"-"&amp;SUBSTITUTE(RIGHT(records_2[roomNo]&amp;records_2[Type],2),"-",""))</f>
        <v>16-1-076-L</v>
      </c>
      <c r="V685" s="47" t="str">
        <f t="array" ref="V685">_xlfn.XLOOKUP(records_2[ID], dAir[roomNo], dAir[roomName])</f>
        <v>FILLING 2 (Laminar)</v>
      </c>
      <c r="W685" s="47" t="str">
        <f t="array" ref="W685">_xlfn.XLOOKUP(records_2[ID], dAir[roomNo], dAir[building])</f>
        <v>Building 16</v>
      </c>
      <c r="X685" s="47" t="str">
        <f t="array" ref="X685">_xlfn.XLOOKUP(records_2[ID], dAir[roomNo], dAir[floor])</f>
        <v>Floor 1</v>
      </c>
      <c r="Y685" s="45" t="str">
        <f t="array" ref="Y685">_xlfn.XLOOKUP(records_2[ID], dAir[roomNo], dAir[Class])</f>
        <v>A</v>
      </c>
      <c r="Z685" s="45">
        <f t="array" ref="Z685">_xlfn.XLOOKUP(records_2[Method]&amp;"-"&amp;records_2[Class], dAirSpec[ID], dAirSpec[Spec])</f>
        <v>0</v>
      </c>
      <c r="AA685" s="45" t="str">
        <f t="array" ref="AA685">_xlfn.XLOOKUP(records_2[Method]&amp;"-"&amp;records_2[Class], dAirSpec[ID], dAirSpec[Unit])</f>
        <v>cfu/m3</v>
      </c>
      <c r="AB685" s="45">
        <f t="array" ref="AB685">if(R685="","", if(records_2[Method]="Active Air",_xlfn.xlookup(records_2[ColonyCount]&amp;records_2[AirSampler],feller[code],feller[Vc]),records_2[ColonyCount]))</f>
        <v>0</v>
      </c>
      <c r="AC685" s="60" t="b">
        <f t="shared" si="1"/>
        <v>1</v>
      </c>
      <c r="AD685" s="61" t="b">
        <v>0</v>
      </c>
      <c r="AE685" s="32" t="s">
        <v>280</v>
      </c>
      <c r="AF685" s="46"/>
      <c r="AG685" s="46"/>
      <c r="AH685" s="46"/>
      <c r="AI685" s="46"/>
      <c r="AJ685" s="46"/>
    </row>
    <row r="686" ht="22.5" customHeight="1">
      <c r="A686" s="27">
        <v>46152.0</v>
      </c>
      <c r="B686" s="34" t="str">
        <f t="array" ref="B686">TEXT(A686, "MM-YYYY")</f>
        <v>05-2026</v>
      </c>
      <c r="C686" s="39" t="s">
        <v>765</v>
      </c>
      <c r="D686" s="36" t="s">
        <v>210</v>
      </c>
      <c r="E686" s="36" t="s">
        <v>213</v>
      </c>
      <c r="F686" s="29" t="b">
        <v>1</v>
      </c>
      <c r="G686" s="36" t="s">
        <v>214</v>
      </c>
      <c r="H686" s="36" t="s">
        <v>215</v>
      </c>
      <c r="I686" s="39"/>
      <c r="J686" s="40"/>
      <c r="K686" s="37" t="s">
        <v>310</v>
      </c>
      <c r="L686" s="37" t="s">
        <v>2467</v>
      </c>
      <c r="M686" s="37" t="s">
        <v>2152</v>
      </c>
      <c r="N686" s="37" t="s">
        <v>2468</v>
      </c>
      <c r="O686" s="37" t="s">
        <v>759</v>
      </c>
      <c r="P686" s="37" t="s">
        <v>760</v>
      </c>
      <c r="Q686" s="41">
        <v>46195.0</v>
      </c>
      <c r="R686" s="42">
        <v>0.0</v>
      </c>
      <c r="S686" s="44" t="s">
        <v>194</v>
      </c>
      <c r="T686" s="37" t="s">
        <v>2465</v>
      </c>
      <c r="U686" s="45" t="str">
        <f>IF(records_2[Type]="Room",records_2[roomNo],records_2[roomNo]&amp;"-"&amp;SUBSTITUTE(RIGHT(records_2[roomNo]&amp;records_2[Type],2),"-",""))</f>
        <v>16-1-076</v>
      </c>
      <c r="V686" s="47" t="str">
        <f t="array" ref="V686">_xlfn.XLOOKUP(records_2[ID], dAir[roomNo], dAir[roomName])</f>
        <v>FILLING 2</v>
      </c>
      <c r="W686" s="47" t="str">
        <f t="array" ref="W686">_xlfn.XLOOKUP(records_2[ID], dAir[roomNo], dAir[building])</f>
        <v>Building 16</v>
      </c>
      <c r="X686" s="47" t="str">
        <f t="array" ref="X686">_xlfn.XLOOKUP(records_2[ID], dAir[roomNo], dAir[floor])</f>
        <v>Floor 1</v>
      </c>
      <c r="Y686" s="45" t="str">
        <f t="array" ref="Y686">_xlfn.XLOOKUP(records_2[ID], dAir[roomNo], dAir[Class])</f>
        <v>C</v>
      </c>
      <c r="Z686" s="45">
        <f t="array" ref="Z686">_xlfn.XLOOKUP(records_2[Method]&amp;"-"&amp;records_2[Class], dAirSpec[ID], dAirSpec[Spec])</f>
        <v>50</v>
      </c>
      <c r="AA686" s="45" t="str">
        <f t="array" ref="AA686">_xlfn.XLOOKUP(records_2[Method]&amp;"-"&amp;records_2[Class], dAirSpec[ID], dAirSpec[Unit])</f>
        <v>cfu/plate</v>
      </c>
      <c r="AB686" s="58">
        <f t="array" ref="AB686">if(R686="","", if(records_2[Method]="Active Air",_xlfn.xlookup(records_2[ColonyCount]&amp;records_2[AirSampler],feller[code],feller[Vc]),records_2[ColonyCount]))</f>
        <v>0</v>
      </c>
      <c r="AC686" s="60" t="b">
        <f t="shared" si="1"/>
        <v>1</v>
      </c>
      <c r="AD686" s="61" t="b">
        <v>0</v>
      </c>
      <c r="AE686" s="32" t="s">
        <v>280</v>
      </c>
      <c r="AF686" s="46"/>
      <c r="AG686" s="46"/>
      <c r="AH686" s="46"/>
      <c r="AI686" s="46"/>
      <c r="AJ686" s="46"/>
    </row>
    <row r="687" ht="22.5" customHeight="1">
      <c r="A687" s="27">
        <v>46152.0</v>
      </c>
      <c r="B687" s="34" t="str">
        <f t="array" ref="B687">TEXT(A687, "MM-YYYY")</f>
        <v>05-2026</v>
      </c>
      <c r="C687" s="39" t="s">
        <v>729</v>
      </c>
      <c r="D687" s="36" t="s">
        <v>210</v>
      </c>
      <c r="E687" s="36" t="s">
        <v>213</v>
      </c>
      <c r="F687" s="29" t="b">
        <v>1</v>
      </c>
      <c r="G687" s="36" t="s">
        <v>214</v>
      </c>
      <c r="H687" s="36" t="s">
        <v>215</v>
      </c>
      <c r="I687" s="39"/>
      <c r="J687" s="40"/>
      <c r="K687" s="37" t="s">
        <v>292</v>
      </c>
      <c r="L687" s="37" t="s">
        <v>2359</v>
      </c>
      <c r="M687" s="37" t="s">
        <v>2154</v>
      </c>
      <c r="N687" s="37" t="s">
        <v>2468</v>
      </c>
      <c r="O687" s="37" t="s">
        <v>759</v>
      </c>
      <c r="P687" s="37" t="s">
        <v>760</v>
      </c>
      <c r="Q687" s="41">
        <v>46195.0</v>
      </c>
      <c r="R687" s="42">
        <v>0.0</v>
      </c>
      <c r="S687" s="44" t="s">
        <v>194</v>
      </c>
      <c r="T687" s="37" t="s">
        <v>2465</v>
      </c>
      <c r="U687" s="45" t="str">
        <f>IF(records_2[Type]="Room",records_2[roomNo],records_2[roomNo]&amp;"-"&amp;SUBSTITUTE(RIGHT(records_2[roomNo]&amp;records_2[Type],2),"-",""))</f>
        <v>16-1-077</v>
      </c>
      <c r="V687" s="47" t="str">
        <f t="array" ref="V687">_xlfn.XLOOKUP(records_2[ID], dAir[roomNo], dAir[roomName])</f>
        <v>FILTRATION 2</v>
      </c>
      <c r="W687" s="47" t="str">
        <f t="array" ref="W687">_xlfn.XLOOKUP(records_2[ID], dAir[roomNo], dAir[building])</f>
        <v>Building 16</v>
      </c>
      <c r="X687" s="47" t="str">
        <f t="array" ref="X687">_xlfn.XLOOKUP(records_2[ID], dAir[roomNo], dAir[floor])</f>
        <v>Floor 1</v>
      </c>
      <c r="Y687" s="45" t="str">
        <f t="array" ref="Y687">_xlfn.XLOOKUP(records_2[ID], dAir[roomNo], dAir[Class])</f>
        <v>C</v>
      </c>
      <c r="Z687" s="45">
        <f t="array" ref="Z687">_xlfn.XLOOKUP(records_2[Method]&amp;"-"&amp;records_2[Class], dAirSpec[ID], dAirSpec[Spec])</f>
        <v>50</v>
      </c>
      <c r="AA687" s="45" t="str">
        <f t="array" ref="AA687">_xlfn.XLOOKUP(records_2[Method]&amp;"-"&amp;records_2[Class], dAirSpec[ID], dAirSpec[Unit])</f>
        <v>cfu/plate</v>
      </c>
      <c r="AB687" s="58">
        <f t="array" ref="AB687">if(R687="","", if(records_2[Method]="Active Air",_xlfn.xlookup(records_2[ColonyCount]&amp;records_2[AirSampler],feller[code],feller[Vc]),records_2[ColonyCount]))</f>
        <v>0</v>
      </c>
      <c r="AC687" s="60" t="b">
        <f t="shared" si="1"/>
        <v>1</v>
      </c>
      <c r="AD687" s="61" t="b">
        <v>0</v>
      </c>
      <c r="AE687" s="32" t="s">
        <v>280</v>
      </c>
      <c r="AF687" s="46"/>
      <c r="AG687" s="46"/>
      <c r="AH687" s="46"/>
      <c r="AI687" s="46"/>
      <c r="AJ687" s="46"/>
    </row>
    <row r="688" ht="22.5" customHeight="1">
      <c r="A688" s="27">
        <v>46152.0</v>
      </c>
      <c r="B688" s="34" t="str">
        <f t="array" ref="B688">TEXT(A688, "MM-YYYY")</f>
        <v>05-2026</v>
      </c>
      <c r="C688" s="39" t="s">
        <v>1041</v>
      </c>
      <c r="D688" s="36" t="s">
        <v>210</v>
      </c>
      <c r="E688" s="36" t="s">
        <v>213</v>
      </c>
      <c r="F688" s="29" t="b">
        <v>1</v>
      </c>
      <c r="G688" s="36" t="s">
        <v>214</v>
      </c>
      <c r="H688" s="36" t="s">
        <v>215</v>
      </c>
      <c r="I688" s="39"/>
      <c r="J688" s="40"/>
      <c r="K688" s="37" t="s">
        <v>2100</v>
      </c>
      <c r="L688" s="37" t="s">
        <v>2461</v>
      </c>
      <c r="M688" s="37" t="s">
        <v>2152</v>
      </c>
      <c r="N688" s="37" t="s">
        <v>2468</v>
      </c>
      <c r="O688" s="37" t="s">
        <v>759</v>
      </c>
      <c r="P688" s="37" t="s">
        <v>760</v>
      </c>
      <c r="Q688" s="41">
        <v>46195.0</v>
      </c>
      <c r="R688" s="42">
        <v>1.0</v>
      </c>
      <c r="S688" s="29" t="s">
        <v>1043</v>
      </c>
      <c r="T688" s="37" t="s">
        <v>2465</v>
      </c>
      <c r="U688" s="45" t="str">
        <f>IF(records_2[Type]="Room",records_2[roomNo],records_2[roomNo]&amp;"-"&amp;SUBSTITUTE(RIGHT(records_2[roomNo]&amp;records_2[Type],2),"-",""))</f>
        <v>16-1-078</v>
      </c>
      <c r="V688" s="47" t="str">
        <f t="array" ref="V688">_xlfn.XLOOKUP(records_2[ID], dAir[roomNo], dAir[roomName])</f>
        <v>PASSAGE</v>
      </c>
      <c r="W688" s="47" t="str">
        <f t="array" ref="W688">_xlfn.XLOOKUP(records_2[ID], dAir[roomNo], dAir[building])</f>
        <v>Building 16</v>
      </c>
      <c r="X688" s="47" t="str">
        <f t="array" ref="X688">_xlfn.XLOOKUP(records_2[ID], dAir[roomNo], dAir[floor])</f>
        <v>Floor 1</v>
      </c>
      <c r="Y688" s="45" t="str">
        <f t="array" ref="Y688">_xlfn.XLOOKUP(records_2[ID], dAir[roomNo], dAir[Class])</f>
        <v>C</v>
      </c>
      <c r="Z688" s="45">
        <f t="array" ref="Z688">_xlfn.XLOOKUP(records_2[Method]&amp;"-"&amp;records_2[Class], dAirSpec[ID], dAirSpec[Spec])</f>
        <v>50</v>
      </c>
      <c r="AA688" s="45" t="str">
        <f t="array" ref="AA688">_xlfn.XLOOKUP(records_2[Method]&amp;"-"&amp;records_2[Class], dAirSpec[ID], dAirSpec[Unit])</f>
        <v>cfu/plate</v>
      </c>
      <c r="AB688" s="58">
        <f t="array" ref="AB688">if(R688="","", if(records_2[Method]="Active Air",_xlfn.xlookup(records_2[ColonyCount]&amp;records_2[AirSampler],feller[code],feller[Vc]),records_2[ColonyCount]))</f>
        <v>1</v>
      </c>
      <c r="AC688" s="60" t="b">
        <f t="shared" si="1"/>
        <v>1</v>
      </c>
      <c r="AD688" s="61" t="b">
        <v>0</v>
      </c>
      <c r="AE688" s="32" t="s">
        <v>280</v>
      </c>
      <c r="AF688" s="46"/>
      <c r="AG688" s="46"/>
      <c r="AH688" s="46"/>
      <c r="AI688" s="46"/>
      <c r="AJ688" s="46"/>
    </row>
    <row r="689" ht="22.5" customHeight="1">
      <c r="A689" s="27">
        <v>46152.0</v>
      </c>
      <c r="B689" s="34" t="str">
        <f t="array" ref="B689">TEXT(A689, "MM-YYYY")</f>
        <v>05-2026</v>
      </c>
      <c r="C689" s="39" t="s">
        <v>1047</v>
      </c>
      <c r="D689" s="36" t="s">
        <v>210</v>
      </c>
      <c r="E689" s="36" t="s">
        <v>213</v>
      </c>
      <c r="F689" s="29" t="b">
        <v>1</v>
      </c>
      <c r="G689" s="36" t="s">
        <v>214</v>
      </c>
      <c r="H689" s="36" t="s">
        <v>215</v>
      </c>
      <c r="I689" s="39"/>
      <c r="J689" s="40"/>
      <c r="K689" s="37" t="s">
        <v>645</v>
      </c>
      <c r="L689" s="37" t="s">
        <v>407</v>
      </c>
      <c r="M689" s="37" t="s">
        <v>2153</v>
      </c>
      <c r="N689" s="37" t="s">
        <v>2468</v>
      </c>
      <c r="O689" s="37" t="s">
        <v>759</v>
      </c>
      <c r="P689" s="37" t="s">
        <v>760</v>
      </c>
      <c r="Q689" s="41">
        <v>46195.0</v>
      </c>
      <c r="R689" s="42">
        <v>0.0</v>
      </c>
      <c r="S689" s="44" t="s">
        <v>194</v>
      </c>
      <c r="T689" s="37" t="s">
        <v>2465</v>
      </c>
      <c r="U689" s="45" t="str">
        <f>IF(records_2[Type]="Room",records_2[roomNo],records_2[roomNo]&amp;"-"&amp;SUBSTITUTE(RIGHT(records_2[roomNo]&amp;records_2[Type],2),"-",""))</f>
        <v>16-1-079</v>
      </c>
      <c r="V689" s="47" t="str">
        <f t="array" ref="V689">_xlfn.XLOOKUP(records_2[ID], dAir[roomNo], dAir[roomName])</f>
        <v>COOLING ZONE</v>
      </c>
      <c r="W689" s="47" t="str">
        <f t="array" ref="W689">_xlfn.XLOOKUP(records_2[ID], dAir[roomNo], dAir[building])</f>
        <v>Building 16</v>
      </c>
      <c r="X689" s="47" t="str">
        <f t="array" ref="X689">_xlfn.XLOOKUP(records_2[ID], dAir[roomNo], dAir[floor])</f>
        <v>Floor 1</v>
      </c>
      <c r="Y689" s="45" t="str">
        <f t="array" ref="Y689">_xlfn.XLOOKUP(records_2[ID], dAir[roomNo], dAir[Class])</f>
        <v>C</v>
      </c>
      <c r="Z689" s="45">
        <f t="array" ref="Z689">_xlfn.XLOOKUP(records_2[Method]&amp;"-"&amp;records_2[Class], dAirSpec[ID], dAirSpec[Spec])</f>
        <v>50</v>
      </c>
      <c r="AA689" s="45" t="str">
        <f t="array" ref="AA689">_xlfn.XLOOKUP(records_2[Method]&amp;"-"&amp;records_2[Class], dAirSpec[ID], dAirSpec[Unit])</f>
        <v>cfu/plate</v>
      </c>
      <c r="AB689" s="58">
        <f t="array" ref="AB689">if(R689="","", if(records_2[Method]="Active Air",_xlfn.xlookup(records_2[ColonyCount]&amp;records_2[AirSampler],feller[code],feller[Vc]),records_2[ColonyCount]))</f>
        <v>0</v>
      </c>
      <c r="AC689" s="60" t="b">
        <f t="shared" si="1"/>
        <v>1</v>
      </c>
      <c r="AD689" s="61" t="b">
        <v>0</v>
      </c>
      <c r="AE689" s="32" t="s">
        <v>280</v>
      </c>
      <c r="AF689" s="46"/>
      <c r="AG689" s="46"/>
      <c r="AH689" s="46"/>
      <c r="AI689" s="46"/>
      <c r="AJ689" s="46"/>
    </row>
    <row r="690" ht="22.5" customHeight="1">
      <c r="A690" s="27">
        <v>46152.0</v>
      </c>
      <c r="B690" s="34" t="str">
        <f t="array" ref="B690">TEXT(A690, "MM-YYYY")</f>
        <v>05-2026</v>
      </c>
      <c r="C690" s="39" t="s">
        <v>1052</v>
      </c>
      <c r="D690" s="36" t="s">
        <v>210</v>
      </c>
      <c r="E690" s="36" t="s">
        <v>213</v>
      </c>
      <c r="F690" s="29" t="b">
        <v>1</v>
      </c>
      <c r="G690" s="36" t="s">
        <v>214</v>
      </c>
      <c r="H690" s="36" t="s">
        <v>215</v>
      </c>
      <c r="I690" s="39"/>
      <c r="J690" s="40"/>
      <c r="K690" s="37" t="s">
        <v>645</v>
      </c>
      <c r="L690" s="37" t="s">
        <v>1660</v>
      </c>
      <c r="M690" s="37" t="s">
        <v>1809</v>
      </c>
      <c r="N690" s="37" t="s">
        <v>2468</v>
      </c>
      <c r="O690" s="37" t="s">
        <v>759</v>
      </c>
      <c r="P690" s="37" t="s">
        <v>760</v>
      </c>
      <c r="Q690" s="41">
        <v>46195.0</v>
      </c>
      <c r="R690" s="42">
        <v>0.0</v>
      </c>
      <c r="S690" s="44" t="s">
        <v>194</v>
      </c>
      <c r="T690" s="37" t="s">
        <v>2465</v>
      </c>
      <c r="U690" s="45" t="str">
        <f>IF(records_2[Type]="Room",records_2[roomNo],records_2[roomNo]&amp;"-"&amp;SUBSTITUTE(RIGHT(records_2[roomNo]&amp;records_2[Type],2),"-",""))</f>
        <v>16-1-080</v>
      </c>
      <c r="V690" s="47" t="str">
        <f t="array" ref="V690">_xlfn.XLOOKUP(records_2[ID], dAir[roomNo], dAir[roomName])</f>
        <v>TOOL STORAGE</v>
      </c>
      <c r="W690" s="47" t="str">
        <f t="array" ref="W690">_xlfn.XLOOKUP(records_2[ID], dAir[roomNo], dAir[building])</f>
        <v>Building 16</v>
      </c>
      <c r="X690" s="47" t="str">
        <f t="array" ref="X690">_xlfn.XLOOKUP(records_2[ID], dAir[roomNo], dAir[floor])</f>
        <v>Floor 1</v>
      </c>
      <c r="Y690" s="45" t="str">
        <f t="array" ref="Y690">_xlfn.XLOOKUP(records_2[ID], dAir[roomNo], dAir[Class])</f>
        <v>C</v>
      </c>
      <c r="Z690" s="45">
        <f t="array" ref="Z690">_xlfn.XLOOKUP(records_2[Method]&amp;"-"&amp;records_2[Class], dAirSpec[ID], dAirSpec[Spec])</f>
        <v>50</v>
      </c>
      <c r="AA690" s="45" t="str">
        <f t="array" ref="AA690">_xlfn.XLOOKUP(records_2[Method]&amp;"-"&amp;records_2[Class], dAirSpec[ID], dAirSpec[Unit])</f>
        <v>cfu/plate</v>
      </c>
      <c r="AB690" s="58">
        <f t="array" ref="AB690">if(R690="","", if(records_2[Method]="Active Air",_xlfn.xlookup(records_2[ColonyCount]&amp;records_2[AirSampler],feller[code],feller[Vc]),records_2[ColonyCount]))</f>
        <v>0</v>
      </c>
      <c r="AC690" s="60" t="b">
        <f t="shared" si="1"/>
        <v>1</v>
      </c>
      <c r="AD690" s="61" t="b">
        <v>0</v>
      </c>
      <c r="AE690" s="32" t="s">
        <v>280</v>
      </c>
      <c r="AF690" s="46"/>
      <c r="AG690" s="46"/>
      <c r="AH690" s="46"/>
      <c r="AI690" s="46"/>
      <c r="AJ690" s="46"/>
    </row>
    <row r="691" ht="22.5" customHeight="1">
      <c r="A691" s="27">
        <v>46152.0</v>
      </c>
      <c r="B691" s="34" t="str">
        <f t="array" ref="B691">TEXT(A691, "MM-YYYY")</f>
        <v>05-2026</v>
      </c>
      <c r="C691" s="39" t="s">
        <v>1068</v>
      </c>
      <c r="D691" s="36" t="s">
        <v>210</v>
      </c>
      <c r="E691" s="36" t="s">
        <v>213</v>
      </c>
      <c r="F691" s="29" t="b">
        <v>1</v>
      </c>
      <c r="G691" s="36" t="s">
        <v>214</v>
      </c>
      <c r="H691" s="36" t="s">
        <v>215</v>
      </c>
      <c r="I691" s="39"/>
      <c r="J691" s="40"/>
      <c r="K691" s="37" t="s">
        <v>596</v>
      </c>
      <c r="L691" s="37" t="s">
        <v>354</v>
      </c>
      <c r="M691" s="37" t="s">
        <v>972</v>
      </c>
      <c r="N691" s="37" t="s">
        <v>2469</v>
      </c>
      <c r="O691" s="37" t="s">
        <v>759</v>
      </c>
      <c r="P691" s="37" t="s">
        <v>760</v>
      </c>
      <c r="Q691" s="41">
        <v>46195.0</v>
      </c>
      <c r="R691" s="42">
        <v>2.0</v>
      </c>
      <c r="S691" s="44" t="s">
        <v>194</v>
      </c>
      <c r="T691" s="37" t="s">
        <v>2465</v>
      </c>
      <c r="U691" s="45" t="str">
        <f>IF(records_2[Type]="Room",records_2[roomNo],records_2[roomNo]&amp;"-"&amp;SUBSTITUTE(RIGHT(records_2[roomNo]&amp;records_2[Type],2),"-",""))</f>
        <v>16-1-081</v>
      </c>
      <c r="V691" s="47" t="str">
        <f t="array" ref="V691">_xlfn.XLOOKUP(records_2[ID], dAir[roomNo], dAir[roomName])</f>
        <v>AIRLOCK</v>
      </c>
      <c r="W691" s="47" t="str">
        <f t="array" ref="W691">_xlfn.XLOOKUP(records_2[ID], dAir[roomNo], dAir[building])</f>
        <v>Building 16</v>
      </c>
      <c r="X691" s="47" t="str">
        <f t="array" ref="X691">_xlfn.XLOOKUP(records_2[ID], dAir[roomNo], dAir[floor])</f>
        <v>Floor 1</v>
      </c>
      <c r="Y691" s="45" t="str">
        <f t="array" ref="Y691">_xlfn.XLOOKUP(records_2[ID], dAir[roomNo], dAir[Class])</f>
        <v>C</v>
      </c>
      <c r="Z691" s="45">
        <f t="array" ref="Z691">_xlfn.XLOOKUP(records_2[Method]&amp;"-"&amp;records_2[Class], dAirSpec[ID], dAirSpec[Spec])</f>
        <v>50</v>
      </c>
      <c r="AA691" s="45" t="str">
        <f t="array" ref="AA691">_xlfn.XLOOKUP(records_2[Method]&amp;"-"&amp;records_2[Class], dAirSpec[ID], dAirSpec[Unit])</f>
        <v>cfu/plate</v>
      </c>
      <c r="AB691" s="58">
        <f t="array" ref="AB691">if(R691="","", if(records_2[Method]="Active Air",_xlfn.xlookup(records_2[ColonyCount]&amp;records_2[AirSampler],feller[code],feller[Vc]),records_2[ColonyCount]))</f>
        <v>2</v>
      </c>
      <c r="AC691" s="60" t="b">
        <f t="shared" si="1"/>
        <v>1</v>
      </c>
      <c r="AD691" s="61" t="b">
        <v>0</v>
      </c>
      <c r="AE691" s="32" t="s">
        <v>280</v>
      </c>
      <c r="AF691" s="46"/>
      <c r="AG691" s="46"/>
      <c r="AH691" s="46"/>
      <c r="AI691" s="46"/>
      <c r="AJ691" s="46"/>
    </row>
    <row r="692" ht="22.5" customHeight="1">
      <c r="A692" s="27">
        <v>46152.0</v>
      </c>
      <c r="B692" s="34" t="str">
        <f t="array" ref="B692">TEXT(A692, "MM-YYYY")</f>
        <v>05-2026</v>
      </c>
      <c r="C692" s="39" t="s">
        <v>736</v>
      </c>
      <c r="D692" s="36" t="s">
        <v>210</v>
      </c>
      <c r="E692" s="36" t="s">
        <v>213</v>
      </c>
      <c r="F692" s="29" t="b">
        <v>1</v>
      </c>
      <c r="G692" s="36" t="s">
        <v>214</v>
      </c>
      <c r="H692" s="36" t="s">
        <v>215</v>
      </c>
      <c r="I692" s="39"/>
      <c r="J692" s="40"/>
      <c r="K692" s="37" t="s">
        <v>2470</v>
      </c>
      <c r="L692" s="37" t="s">
        <v>474</v>
      </c>
      <c r="M692" s="37" t="s">
        <v>972</v>
      </c>
      <c r="N692" s="37" t="s">
        <v>2469</v>
      </c>
      <c r="O692" s="37" t="s">
        <v>759</v>
      </c>
      <c r="P692" s="37" t="s">
        <v>760</v>
      </c>
      <c r="Q692" s="41">
        <v>46195.0</v>
      </c>
      <c r="R692" s="42">
        <v>1.0</v>
      </c>
      <c r="S692" s="44" t="s">
        <v>194</v>
      </c>
      <c r="T692" s="37" t="s">
        <v>2465</v>
      </c>
      <c r="U692" s="45" t="str">
        <f>IF(records_2[Type]="Room",records_2[roomNo],records_2[roomNo]&amp;"-"&amp;SUBSTITUTE(RIGHT(records_2[roomNo]&amp;records_2[Type],2),"-",""))</f>
        <v>16-1-082</v>
      </c>
      <c r="V692" s="47" t="str">
        <f t="array" ref="V692">_xlfn.XLOOKUP(records_2[ID], dAir[roomNo], dAir[roomName])</f>
        <v>WASHING</v>
      </c>
      <c r="W692" s="47" t="str">
        <f t="array" ref="W692">_xlfn.XLOOKUP(records_2[ID], dAir[roomNo], dAir[building])</f>
        <v>Building 16</v>
      </c>
      <c r="X692" s="47" t="str">
        <f t="array" ref="X692">_xlfn.XLOOKUP(records_2[ID], dAir[roomNo], dAir[floor])</f>
        <v>Floor 1</v>
      </c>
      <c r="Y692" s="45" t="str">
        <f t="array" ref="Y692">_xlfn.XLOOKUP(records_2[ID], dAir[roomNo], dAir[Class])</f>
        <v>C</v>
      </c>
      <c r="Z692" s="45">
        <f t="array" ref="Z692">_xlfn.XLOOKUP(records_2[Method]&amp;"-"&amp;records_2[Class], dAirSpec[ID], dAirSpec[Spec])</f>
        <v>50</v>
      </c>
      <c r="AA692" s="45" t="str">
        <f t="array" ref="AA692">_xlfn.XLOOKUP(records_2[Method]&amp;"-"&amp;records_2[Class], dAirSpec[ID], dAirSpec[Unit])</f>
        <v>cfu/plate</v>
      </c>
      <c r="AB692" s="58">
        <f t="array" ref="AB692">if(R692="","", if(records_2[Method]="Active Air",_xlfn.xlookup(records_2[ColonyCount]&amp;records_2[AirSampler],feller[code],feller[Vc]),records_2[ColonyCount]))</f>
        <v>1</v>
      </c>
      <c r="AC692" s="60" t="b">
        <f t="shared" si="1"/>
        <v>1</v>
      </c>
      <c r="AD692" s="61" t="b">
        <v>0</v>
      </c>
      <c r="AE692" s="32" t="s">
        <v>280</v>
      </c>
      <c r="AF692" s="46"/>
      <c r="AG692" s="46"/>
      <c r="AH692" s="46"/>
      <c r="AI692" s="46"/>
      <c r="AJ692" s="46"/>
    </row>
    <row r="693" ht="22.5" customHeight="1">
      <c r="A693" s="27">
        <v>46152.0</v>
      </c>
      <c r="B693" s="34" t="str">
        <f t="array" ref="B693">TEXT(A693, "MM-YYYY")</f>
        <v>05-2026</v>
      </c>
      <c r="C693" s="39" t="s">
        <v>740</v>
      </c>
      <c r="D693" s="36" t="s">
        <v>210</v>
      </c>
      <c r="E693" s="36" t="s">
        <v>213</v>
      </c>
      <c r="F693" s="29" t="b">
        <v>1</v>
      </c>
      <c r="G693" s="36" t="s">
        <v>214</v>
      </c>
      <c r="H693" s="36" t="s">
        <v>215</v>
      </c>
      <c r="I693" s="39"/>
      <c r="J693" s="40"/>
      <c r="K693" s="37" t="s">
        <v>292</v>
      </c>
      <c r="L693" s="37" t="s">
        <v>418</v>
      </c>
      <c r="M693" s="37" t="s">
        <v>2087</v>
      </c>
      <c r="N693" s="37" t="s">
        <v>2469</v>
      </c>
      <c r="O693" s="37" t="s">
        <v>759</v>
      </c>
      <c r="P693" s="37" t="s">
        <v>760</v>
      </c>
      <c r="Q693" s="41">
        <v>46195.0</v>
      </c>
      <c r="R693" s="42">
        <v>3.0</v>
      </c>
      <c r="S693" s="44" t="s">
        <v>194</v>
      </c>
      <c r="T693" s="37" t="s">
        <v>2465</v>
      </c>
      <c r="U693" s="45" t="str">
        <f>IF(records_2[Type]="Room",records_2[roomNo],records_2[roomNo]&amp;"-"&amp;SUBSTITUTE(RIGHT(records_2[roomNo]&amp;records_2[Type],2),"-",""))</f>
        <v>16-1-083</v>
      </c>
      <c r="V693" s="47" t="str">
        <f t="array" ref="V693">_xlfn.XLOOKUP(records_2[ID], dAir[roomNo], dAir[roomName])</f>
        <v>FILTRATION 1</v>
      </c>
      <c r="W693" s="47" t="str">
        <f t="array" ref="W693">_xlfn.XLOOKUP(records_2[ID], dAir[roomNo], dAir[building])</f>
        <v>Building 16</v>
      </c>
      <c r="X693" s="47" t="str">
        <f t="array" ref="X693">_xlfn.XLOOKUP(records_2[ID], dAir[roomNo], dAir[floor])</f>
        <v>Floor 1</v>
      </c>
      <c r="Y693" s="45" t="str">
        <f t="array" ref="Y693">_xlfn.XLOOKUP(records_2[ID], dAir[roomNo], dAir[Class])</f>
        <v>C</v>
      </c>
      <c r="Z693" s="45">
        <f t="array" ref="Z693">_xlfn.XLOOKUP(records_2[Method]&amp;"-"&amp;records_2[Class], dAirSpec[ID], dAirSpec[Spec])</f>
        <v>50</v>
      </c>
      <c r="AA693" s="45" t="str">
        <f t="array" ref="AA693">_xlfn.XLOOKUP(records_2[Method]&amp;"-"&amp;records_2[Class], dAirSpec[ID], dAirSpec[Unit])</f>
        <v>cfu/plate</v>
      </c>
      <c r="AB693" s="58">
        <f t="array" ref="AB693">if(R693="","", if(records_2[Method]="Active Air",_xlfn.xlookup(records_2[ColonyCount]&amp;records_2[AirSampler],feller[code],feller[Vc]),records_2[ColonyCount]))</f>
        <v>3</v>
      </c>
      <c r="AC693" s="60" t="b">
        <f t="shared" si="1"/>
        <v>1</v>
      </c>
      <c r="AD693" s="61" t="b">
        <v>0</v>
      </c>
      <c r="AE693" s="32" t="s">
        <v>280</v>
      </c>
      <c r="AF693" s="46"/>
      <c r="AG693" s="46"/>
      <c r="AH693" s="46"/>
      <c r="AI693" s="46"/>
      <c r="AJ693" s="46"/>
    </row>
    <row r="694" ht="22.5" customHeight="1">
      <c r="A694" s="27">
        <v>46152.0</v>
      </c>
      <c r="B694" s="34" t="str">
        <f t="array" ref="B694">TEXT(A694, "MM-YYYY")</f>
        <v>05-2026</v>
      </c>
      <c r="C694" s="39" t="s">
        <v>774</v>
      </c>
      <c r="D694" s="36" t="s">
        <v>755</v>
      </c>
      <c r="E694" s="36" t="s">
        <v>531</v>
      </c>
      <c r="F694" s="29" t="b">
        <v>1</v>
      </c>
      <c r="G694" s="36" t="s">
        <v>214</v>
      </c>
      <c r="H694" s="36" t="s">
        <v>757</v>
      </c>
      <c r="I694" s="39"/>
      <c r="J694" s="40"/>
      <c r="K694" s="37" t="s">
        <v>508</v>
      </c>
      <c r="L694" s="37" t="s">
        <v>449</v>
      </c>
      <c r="M694" s="37" t="s">
        <v>515</v>
      </c>
      <c r="N694" s="37" t="s">
        <v>723</v>
      </c>
      <c r="O694" s="37" t="s">
        <v>759</v>
      </c>
      <c r="P694" s="37" t="s">
        <v>760</v>
      </c>
      <c r="Q694" s="41">
        <v>46195.0</v>
      </c>
      <c r="R694" s="42">
        <v>0.0</v>
      </c>
      <c r="S694" s="44" t="s">
        <v>194</v>
      </c>
      <c r="T694" s="37" t="s">
        <v>2465</v>
      </c>
      <c r="U694" s="45" t="str">
        <f>IF(records_2[Type]="Room",records_2[roomNo],records_2[roomNo]&amp;"-"&amp;SUBSTITUTE(RIGHT(records_2[roomNo]&amp;records_2[Type],2),"-",""))</f>
        <v>16-1-084-M</v>
      </c>
      <c r="V694" s="47" t="str">
        <f t="array" ref="V694">_xlfn.XLOOKUP(records_2[ID], dAir[roomNo], dAir[roomName])</f>
        <v>FILLING 1 (Machine)</v>
      </c>
      <c r="W694" s="47" t="str">
        <f t="array" ref="W694">_xlfn.XLOOKUP(records_2[ID], dAir[roomNo], dAir[building])</f>
        <v>Building 16</v>
      </c>
      <c r="X694" s="47" t="str">
        <f t="array" ref="X694">_xlfn.XLOOKUP(records_2[ID], dAir[roomNo], dAir[floor])</f>
        <v>Floor 1</v>
      </c>
      <c r="Y694" s="45" t="str">
        <f t="array" ref="Y694">_xlfn.XLOOKUP(records_2[ID], dAir[roomNo], dAir[Class])</f>
        <v>A</v>
      </c>
      <c r="Z694" s="45">
        <f t="array" ref="Z694">_xlfn.XLOOKUP(records_2[Method]&amp;"-"&amp;records_2[Class], dAirSpec[ID], dAirSpec[Spec])</f>
        <v>0</v>
      </c>
      <c r="AA694" s="45" t="str">
        <f t="array" ref="AA694">_xlfn.XLOOKUP(records_2[Method]&amp;"-"&amp;records_2[Class], dAirSpec[ID], dAirSpec[Unit])</f>
        <v>cfu/m3</v>
      </c>
      <c r="AB694" s="45">
        <f t="array" ref="AB694">if(R694="","", if(records_2[Method]="Active Air",_xlfn.xlookup(records_2[ColonyCount]&amp;records_2[AirSampler],feller[code],feller[Vc]),records_2[ColonyCount]))</f>
        <v>0</v>
      </c>
      <c r="AC694" s="60" t="b">
        <f t="shared" si="1"/>
        <v>1</v>
      </c>
      <c r="AD694" s="61" t="b">
        <v>0</v>
      </c>
      <c r="AE694" s="32" t="s">
        <v>280</v>
      </c>
      <c r="AF694" s="46"/>
      <c r="AG694" s="46"/>
      <c r="AH694" s="46"/>
      <c r="AI694" s="46"/>
      <c r="AJ694" s="46"/>
    </row>
    <row r="695" ht="22.5" customHeight="1">
      <c r="A695" s="27">
        <v>46152.0</v>
      </c>
      <c r="B695" s="34" t="str">
        <f t="array" ref="B695">TEXT(A695, "MM-YYYY")</f>
        <v>05-2026</v>
      </c>
      <c r="C695" s="39" t="s">
        <v>774</v>
      </c>
      <c r="D695" s="36" t="s">
        <v>770</v>
      </c>
      <c r="E695" s="36" t="s">
        <v>531</v>
      </c>
      <c r="F695" s="29" t="b">
        <v>1</v>
      </c>
      <c r="G695" s="36" t="s">
        <v>214</v>
      </c>
      <c r="H695" s="36" t="s">
        <v>534</v>
      </c>
      <c r="I695" s="39"/>
      <c r="J695" s="40"/>
      <c r="K695" s="37" t="s">
        <v>508</v>
      </c>
      <c r="L695" s="37" t="s">
        <v>449</v>
      </c>
      <c r="M695" s="37" t="s">
        <v>515</v>
      </c>
      <c r="N695" s="37" t="s">
        <v>723</v>
      </c>
      <c r="O695" s="37" t="s">
        <v>759</v>
      </c>
      <c r="P695" s="37" t="s">
        <v>760</v>
      </c>
      <c r="Q695" s="41">
        <v>46195.0</v>
      </c>
      <c r="R695" s="42">
        <v>0.0</v>
      </c>
      <c r="S695" s="44" t="s">
        <v>194</v>
      </c>
      <c r="T695" s="37" t="s">
        <v>2465</v>
      </c>
      <c r="U695" s="45" t="str">
        <f>IF(records_2[Type]="Room",records_2[roomNo],records_2[roomNo]&amp;"-"&amp;SUBSTITUTE(RIGHT(records_2[roomNo]&amp;records_2[Type],2),"-",""))</f>
        <v>16-1-084-L</v>
      </c>
      <c r="V695" s="47" t="str">
        <f t="array" ref="V695">_xlfn.XLOOKUP(records_2[ID], dAir[roomNo], dAir[roomName])</f>
        <v>FILLING 1 (Laminar)</v>
      </c>
      <c r="W695" s="47" t="str">
        <f t="array" ref="W695">_xlfn.XLOOKUP(records_2[ID], dAir[roomNo], dAir[building])</f>
        <v>Building 16</v>
      </c>
      <c r="X695" s="47" t="str">
        <f t="array" ref="X695">_xlfn.XLOOKUP(records_2[ID], dAir[roomNo], dAir[floor])</f>
        <v>Floor 1</v>
      </c>
      <c r="Y695" s="45" t="str">
        <f t="array" ref="Y695">_xlfn.XLOOKUP(records_2[ID], dAir[roomNo], dAir[Class])</f>
        <v>A</v>
      </c>
      <c r="Z695" s="45">
        <f t="array" ref="Z695">_xlfn.XLOOKUP(records_2[Method]&amp;"-"&amp;records_2[Class], dAirSpec[ID], dAirSpec[Spec])</f>
        <v>0</v>
      </c>
      <c r="AA695" s="45" t="str">
        <f t="array" ref="AA695">_xlfn.XLOOKUP(records_2[Method]&amp;"-"&amp;records_2[Class], dAirSpec[ID], dAirSpec[Unit])</f>
        <v>cfu/m3</v>
      </c>
      <c r="AB695" s="45">
        <f t="array" ref="AB695">if(R695="","", if(records_2[Method]="Active Air",_xlfn.xlookup(records_2[ColonyCount]&amp;records_2[AirSampler],feller[code],feller[Vc]),records_2[ColonyCount]))</f>
        <v>0</v>
      </c>
      <c r="AC695" s="60" t="b">
        <f t="shared" si="1"/>
        <v>1</v>
      </c>
      <c r="AD695" s="61" t="b">
        <v>0</v>
      </c>
      <c r="AE695" s="32" t="s">
        <v>280</v>
      </c>
      <c r="AF695" s="46"/>
      <c r="AG695" s="46"/>
      <c r="AH695" s="46"/>
      <c r="AI695" s="46"/>
      <c r="AJ695" s="46"/>
    </row>
    <row r="696" ht="22.5" customHeight="1">
      <c r="A696" s="27">
        <v>46152.0</v>
      </c>
      <c r="B696" s="34" t="str">
        <f t="array" ref="B696">TEXT(A696, "MM-YYYY")</f>
        <v>05-2026</v>
      </c>
      <c r="C696" s="39" t="s">
        <v>774</v>
      </c>
      <c r="D696" s="36" t="s">
        <v>210</v>
      </c>
      <c r="E696" s="36" t="s">
        <v>213</v>
      </c>
      <c r="F696" s="29" t="b">
        <v>1</v>
      </c>
      <c r="G696" s="36" t="s">
        <v>214</v>
      </c>
      <c r="H696" s="36" t="s">
        <v>215</v>
      </c>
      <c r="I696" s="39"/>
      <c r="J696" s="40"/>
      <c r="K696" s="37" t="s">
        <v>508</v>
      </c>
      <c r="L696" s="37" t="s">
        <v>449</v>
      </c>
      <c r="M696" s="37" t="s">
        <v>2087</v>
      </c>
      <c r="N696" s="37" t="s">
        <v>1722</v>
      </c>
      <c r="O696" s="37" t="s">
        <v>759</v>
      </c>
      <c r="P696" s="37" t="s">
        <v>760</v>
      </c>
      <c r="Q696" s="41">
        <v>46195.0</v>
      </c>
      <c r="R696" s="42">
        <v>1.0</v>
      </c>
      <c r="S696" s="44" t="s">
        <v>194</v>
      </c>
      <c r="T696" s="37" t="s">
        <v>2465</v>
      </c>
      <c r="U696" s="45" t="str">
        <f>IF(records_2[Type]="Room",records_2[roomNo],records_2[roomNo]&amp;"-"&amp;SUBSTITUTE(RIGHT(records_2[roomNo]&amp;records_2[Type],2),"-",""))</f>
        <v>16-1-084</v>
      </c>
      <c r="V696" s="47" t="str">
        <f t="array" ref="V696">_xlfn.XLOOKUP(records_2[ID], dAir[roomNo], dAir[roomName])</f>
        <v>FILLING 1</v>
      </c>
      <c r="W696" s="47" t="str">
        <f t="array" ref="W696">_xlfn.XLOOKUP(records_2[ID], dAir[roomNo], dAir[building])</f>
        <v>Building 16</v>
      </c>
      <c r="X696" s="47" t="str">
        <f t="array" ref="X696">_xlfn.XLOOKUP(records_2[ID], dAir[roomNo], dAir[floor])</f>
        <v>Floor 1</v>
      </c>
      <c r="Y696" s="45" t="str">
        <f t="array" ref="Y696">_xlfn.XLOOKUP(records_2[ID], dAir[roomNo], dAir[Class])</f>
        <v>C</v>
      </c>
      <c r="Z696" s="45">
        <f t="array" ref="Z696">_xlfn.XLOOKUP(records_2[Method]&amp;"-"&amp;records_2[Class], dAirSpec[ID], dAirSpec[Spec])</f>
        <v>50</v>
      </c>
      <c r="AA696" s="45" t="str">
        <f t="array" ref="AA696">_xlfn.XLOOKUP(records_2[Method]&amp;"-"&amp;records_2[Class], dAirSpec[ID], dAirSpec[Unit])</f>
        <v>cfu/plate</v>
      </c>
      <c r="AB696" s="58">
        <f t="array" ref="AB696">if(R696="","", if(records_2[Method]="Active Air",_xlfn.xlookup(records_2[ColonyCount]&amp;records_2[AirSampler],feller[code],feller[Vc]),records_2[ColonyCount]))</f>
        <v>1</v>
      </c>
      <c r="AC696" s="60" t="b">
        <f t="shared" si="1"/>
        <v>1</v>
      </c>
      <c r="AD696" s="61" t="b">
        <v>0</v>
      </c>
      <c r="AE696" s="32" t="s">
        <v>280</v>
      </c>
      <c r="AF696" s="46"/>
      <c r="AG696" s="46"/>
      <c r="AH696" s="46"/>
      <c r="AI696" s="46"/>
      <c r="AJ696" s="46"/>
    </row>
    <row r="697" ht="22.5" customHeight="1">
      <c r="A697" s="27">
        <v>46152.0</v>
      </c>
      <c r="B697" s="34" t="str">
        <f t="array" ref="B697">TEXT(A697, "MM-YYYY")</f>
        <v>05-2026</v>
      </c>
      <c r="C697" s="39" t="s">
        <v>1162</v>
      </c>
      <c r="D697" s="36" t="s">
        <v>210</v>
      </c>
      <c r="E697" s="36" t="s">
        <v>213</v>
      </c>
      <c r="F697" s="29" t="b">
        <v>1</v>
      </c>
      <c r="G697" s="36" t="s">
        <v>214</v>
      </c>
      <c r="H697" s="36" t="s">
        <v>215</v>
      </c>
      <c r="I697" s="39"/>
      <c r="J697" s="40"/>
      <c r="K697" s="37" t="s">
        <v>428</v>
      </c>
      <c r="L697" s="37" t="s">
        <v>2475</v>
      </c>
      <c r="M697" s="37" t="s">
        <v>2087</v>
      </c>
      <c r="N697" s="37" t="s">
        <v>2308</v>
      </c>
      <c r="O697" s="37" t="s">
        <v>759</v>
      </c>
      <c r="P697" s="37" t="s">
        <v>760</v>
      </c>
      <c r="Q697" s="41">
        <v>46195.0</v>
      </c>
      <c r="R697" s="42">
        <v>1.0</v>
      </c>
      <c r="S697" s="44" t="s">
        <v>194</v>
      </c>
      <c r="T697" s="37" t="s">
        <v>2465</v>
      </c>
      <c r="U697" s="45" t="str">
        <f>IF(records_2[Type]="Room",records_2[roomNo],records_2[roomNo]&amp;"-"&amp;SUBSTITUTE(RIGHT(records_2[roomNo]&amp;records_2[Type],2),"-",""))</f>
        <v>16-1-085</v>
      </c>
      <c r="V697" s="47" t="str">
        <f t="array" ref="V697">_xlfn.XLOOKUP(records_2[ID], dAir[roomNo], dAir[roomName])</f>
        <v>IPQC</v>
      </c>
      <c r="W697" s="47" t="str">
        <f t="array" ref="W697">_xlfn.XLOOKUP(records_2[ID], dAir[roomNo], dAir[building])</f>
        <v>Building 16</v>
      </c>
      <c r="X697" s="47" t="str">
        <f t="array" ref="X697">_xlfn.XLOOKUP(records_2[ID], dAir[roomNo], dAir[floor])</f>
        <v>Floor 1</v>
      </c>
      <c r="Y697" s="45" t="str">
        <f t="array" ref="Y697">_xlfn.XLOOKUP(records_2[ID], dAir[roomNo], dAir[Class])</f>
        <v>C</v>
      </c>
      <c r="Z697" s="45">
        <f t="array" ref="Z697">_xlfn.XLOOKUP(records_2[Method]&amp;"-"&amp;records_2[Class], dAirSpec[ID], dAirSpec[Spec])</f>
        <v>50</v>
      </c>
      <c r="AA697" s="45" t="str">
        <f t="array" ref="AA697">_xlfn.XLOOKUP(records_2[Method]&amp;"-"&amp;records_2[Class], dAirSpec[ID], dAirSpec[Unit])</f>
        <v>cfu/plate</v>
      </c>
      <c r="AB697" s="58">
        <f t="array" ref="AB697">if(R697="","", if(records_2[Method]="Active Air",_xlfn.xlookup(records_2[ColonyCount]&amp;records_2[AirSampler],feller[code],feller[Vc]),records_2[ColonyCount]))</f>
        <v>1</v>
      </c>
      <c r="AC697" s="60" t="b">
        <f t="shared" si="1"/>
        <v>1</v>
      </c>
      <c r="AD697" s="61" t="b">
        <v>0</v>
      </c>
      <c r="AE697" s="32" t="s">
        <v>280</v>
      </c>
      <c r="AF697" s="46"/>
      <c r="AG697" s="46"/>
      <c r="AH697" s="46"/>
      <c r="AI697" s="46"/>
      <c r="AJ697" s="46"/>
    </row>
    <row r="698" ht="22.5" customHeight="1">
      <c r="A698" s="27">
        <v>46152.0</v>
      </c>
      <c r="B698" s="34" t="str">
        <f t="array" ref="B698">TEXT(A698, "MM-YYYY")</f>
        <v>05-2026</v>
      </c>
      <c r="C698" s="39" t="s">
        <v>1174</v>
      </c>
      <c r="D698" s="36" t="s">
        <v>210</v>
      </c>
      <c r="E698" s="36" t="s">
        <v>213</v>
      </c>
      <c r="F698" s="29" t="b">
        <v>1</v>
      </c>
      <c r="G698" s="36" t="s">
        <v>214</v>
      </c>
      <c r="H698" s="36" t="s">
        <v>215</v>
      </c>
      <c r="I698" s="39"/>
      <c r="J698" s="40"/>
      <c r="K698" s="37" t="s">
        <v>596</v>
      </c>
      <c r="L698" s="37" t="s">
        <v>503</v>
      </c>
      <c r="M698" s="37" t="s">
        <v>2087</v>
      </c>
      <c r="N698" s="37" t="s">
        <v>1661</v>
      </c>
      <c r="O698" s="37" t="s">
        <v>759</v>
      </c>
      <c r="P698" s="37" t="s">
        <v>760</v>
      </c>
      <c r="Q698" s="41">
        <v>46195.0</v>
      </c>
      <c r="R698" s="42">
        <v>0.0</v>
      </c>
      <c r="S698" s="44" t="s">
        <v>194</v>
      </c>
      <c r="T698" s="37" t="s">
        <v>2465</v>
      </c>
      <c r="U698" s="45" t="str">
        <f>IF(records_2[Type]="Room",records_2[roomNo],records_2[roomNo]&amp;"-"&amp;SUBSTITUTE(RIGHT(records_2[roomNo]&amp;records_2[Type],2),"-",""))</f>
        <v>16-1-086</v>
      </c>
      <c r="V698" s="47" t="str">
        <f t="array" ref="V698">_xlfn.XLOOKUP(records_2[ID], dAir[roomNo], dAir[roomName])</f>
        <v>CLEANED EQUIPMENT</v>
      </c>
      <c r="W698" s="47" t="str">
        <f t="array" ref="W698">_xlfn.XLOOKUP(records_2[ID], dAir[roomNo], dAir[building])</f>
        <v>Building 16</v>
      </c>
      <c r="X698" s="47" t="str">
        <f t="array" ref="X698">_xlfn.XLOOKUP(records_2[ID], dAir[roomNo], dAir[floor])</f>
        <v>Floor 1</v>
      </c>
      <c r="Y698" s="45" t="str">
        <f t="array" ref="Y698">_xlfn.XLOOKUP(records_2[ID], dAir[roomNo], dAir[Class])</f>
        <v>C</v>
      </c>
      <c r="Z698" s="45">
        <f t="array" ref="Z698">_xlfn.XLOOKUP(records_2[Method]&amp;"-"&amp;records_2[Class], dAirSpec[ID], dAirSpec[Spec])</f>
        <v>50</v>
      </c>
      <c r="AA698" s="45" t="str">
        <f t="array" ref="AA698">_xlfn.XLOOKUP(records_2[Method]&amp;"-"&amp;records_2[Class], dAirSpec[ID], dAirSpec[Unit])</f>
        <v>cfu/plate</v>
      </c>
      <c r="AB698" s="58">
        <f t="array" ref="AB698">if(R698="","", if(records_2[Method]="Active Air",_xlfn.xlookup(records_2[ColonyCount]&amp;records_2[AirSampler],feller[code],feller[Vc]),records_2[ColonyCount]))</f>
        <v>0</v>
      </c>
      <c r="AC698" s="60" t="b">
        <f t="shared" si="1"/>
        <v>1</v>
      </c>
      <c r="AD698" s="61" t="b">
        <v>0</v>
      </c>
      <c r="AE698" s="32" t="s">
        <v>280</v>
      </c>
      <c r="AF698" s="46"/>
      <c r="AG698" s="46"/>
      <c r="AH698" s="46"/>
      <c r="AI698" s="46"/>
      <c r="AJ698" s="46"/>
    </row>
    <row r="699" ht="22.5" customHeight="1">
      <c r="A699" s="27">
        <v>46152.0</v>
      </c>
      <c r="B699" s="34" t="str">
        <f t="array" ref="B699">TEXT(A699, "MM-YYYY")</f>
        <v>05-2026</v>
      </c>
      <c r="C699" s="39" t="s">
        <v>1194</v>
      </c>
      <c r="D699" s="36" t="s">
        <v>210</v>
      </c>
      <c r="E699" s="36" t="s">
        <v>213</v>
      </c>
      <c r="F699" s="29" t="b">
        <v>1</v>
      </c>
      <c r="G699" s="36" t="s">
        <v>214</v>
      </c>
      <c r="H699" s="36" t="s">
        <v>215</v>
      </c>
      <c r="I699" s="39"/>
      <c r="J699" s="40"/>
      <c r="K699" s="37" t="s">
        <v>500</v>
      </c>
      <c r="L699" s="37" t="s">
        <v>315</v>
      </c>
      <c r="M699" s="37" t="s">
        <v>829</v>
      </c>
      <c r="N699" s="37" t="s">
        <v>1672</v>
      </c>
      <c r="O699" s="37" t="s">
        <v>759</v>
      </c>
      <c r="P699" s="37" t="s">
        <v>760</v>
      </c>
      <c r="Q699" s="41">
        <v>46195.0</v>
      </c>
      <c r="R699" s="42">
        <v>5.0</v>
      </c>
      <c r="S699" s="44" t="s">
        <v>194</v>
      </c>
      <c r="T699" s="37" t="s">
        <v>2465</v>
      </c>
      <c r="U699" s="45" t="str">
        <f>IF(records_2[Type]="Room",records_2[roomNo],records_2[roomNo]&amp;"-"&amp;SUBSTITUTE(RIGHT(records_2[roomNo]&amp;records_2[Type],2),"-",""))</f>
        <v>16-1-087</v>
      </c>
      <c r="V699" s="47" t="str">
        <f t="array" ref="V699">_xlfn.XLOOKUP(records_2[ID], dAir[roomNo], dAir[roomName])</f>
        <v>MEN PAL</v>
      </c>
      <c r="W699" s="47" t="str">
        <f t="array" ref="W699">_xlfn.XLOOKUP(records_2[ID], dAir[roomNo], dAir[building])</f>
        <v>Building 16</v>
      </c>
      <c r="X699" s="47" t="str">
        <f t="array" ref="X699">_xlfn.XLOOKUP(records_2[ID], dAir[roomNo], dAir[floor])</f>
        <v>Floor 1</v>
      </c>
      <c r="Y699" s="45" t="str">
        <f t="array" ref="Y699">_xlfn.XLOOKUP(records_2[ID], dAir[roomNo], dAir[Class])</f>
        <v>D</v>
      </c>
      <c r="Z699" s="45">
        <f t="array" ref="Z699">_xlfn.XLOOKUP(records_2[Method]&amp;"-"&amp;records_2[Class], dAirSpec[ID], dAirSpec[Spec])</f>
        <v>100</v>
      </c>
      <c r="AA699" s="45" t="str">
        <f t="array" ref="AA699">_xlfn.XLOOKUP(records_2[Method]&amp;"-"&amp;records_2[Class], dAirSpec[ID], dAirSpec[Unit])</f>
        <v>cfu/plate</v>
      </c>
      <c r="AB699" s="58">
        <f t="array" ref="AB699">if(R699="","", if(records_2[Method]="Active Air",_xlfn.xlookup(records_2[ColonyCount]&amp;records_2[AirSampler],feller[code],feller[Vc]),records_2[ColonyCount]))</f>
        <v>5</v>
      </c>
      <c r="AC699" s="60" t="b">
        <f t="shared" si="1"/>
        <v>1</v>
      </c>
      <c r="AD699" s="61" t="b">
        <v>0</v>
      </c>
      <c r="AE699" s="32" t="s">
        <v>280</v>
      </c>
      <c r="AF699" s="46"/>
      <c r="AG699" s="46"/>
      <c r="AH699" s="46"/>
      <c r="AI699" s="46"/>
      <c r="AJ699" s="46"/>
    </row>
    <row r="700" ht="22.5" customHeight="1">
      <c r="A700" s="27">
        <v>46152.0</v>
      </c>
      <c r="B700" s="34" t="str">
        <f t="array" ref="B700">TEXT(A700, "MM-YYYY")</f>
        <v>05-2026</v>
      </c>
      <c r="C700" s="39" t="s">
        <v>1226</v>
      </c>
      <c r="D700" s="36" t="s">
        <v>210</v>
      </c>
      <c r="E700" s="36" t="s">
        <v>213</v>
      </c>
      <c r="F700" s="29" t="b">
        <v>1</v>
      </c>
      <c r="G700" s="36" t="s">
        <v>214</v>
      </c>
      <c r="H700" s="36" t="s">
        <v>215</v>
      </c>
      <c r="I700" s="39"/>
      <c r="J700" s="40"/>
      <c r="K700" s="37" t="s">
        <v>2479</v>
      </c>
      <c r="L700" s="37" t="s">
        <v>315</v>
      </c>
      <c r="M700" s="37" t="s">
        <v>829</v>
      </c>
      <c r="N700" s="37" t="s">
        <v>1672</v>
      </c>
      <c r="O700" s="37" t="s">
        <v>759</v>
      </c>
      <c r="P700" s="37" t="s">
        <v>760</v>
      </c>
      <c r="Q700" s="41">
        <v>46195.0</v>
      </c>
      <c r="R700" s="42">
        <v>5.0</v>
      </c>
      <c r="S700" s="44" t="s">
        <v>194</v>
      </c>
      <c r="T700" s="37" t="s">
        <v>2465</v>
      </c>
      <c r="U700" s="45" t="str">
        <f>IF(records_2[Type]="Room",records_2[roomNo],records_2[roomNo]&amp;"-"&amp;SUBSTITUTE(RIGHT(records_2[roomNo]&amp;records_2[Type],2),"-",""))</f>
        <v>16-1-088</v>
      </c>
      <c r="V700" s="47" t="str">
        <f t="array" ref="V700">_xlfn.XLOOKUP(records_2[ID], dAir[roomNo], dAir[roomName])</f>
        <v>MEN PROCESS CHANGE</v>
      </c>
      <c r="W700" s="47" t="str">
        <f t="array" ref="W700">_xlfn.XLOOKUP(records_2[ID], dAir[roomNo], dAir[building])</f>
        <v>Building 16</v>
      </c>
      <c r="X700" s="47" t="str">
        <f t="array" ref="X700">_xlfn.XLOOKUP(records_2[ID], dAir[roomNo], dAir[floor])</f>
        <v>Floor 1</v>
      </c>
      <c r="Y700" s="45" t="str">
        <f t="array" ref="Y700">_xlfn.XLOOKUP(records_2[ID], dAir[roomNo], dAir[Class])</f>
        <v>C</v>
      </c>
      <c r="Z700" s="45">
        <f t="array" ref="Z700">_xlfn.XLOOKUP(records_2[Method]&amp;"-"&amp;records_2[Class], dAirSpec[ID], dAirSpec[Spec])</f>
        <v>50</v>
      </c>
      <c r="AA700" s="45" t="str">
        <f t="array" ref="AA700">_xlfn.XLOOKUP(records_2[Method]&amp;"-"&amp;records_2[Class], dAirSpec[ID], dAirSpec[Unit])</f>
        <v>cfu/plate</v>
      </c>
      <c r="AB700" s="58">
        <f t="array" ref="AB700">if(R700="","", if(records_2[Method]="Active Air",_xlfn.xlookup(records_2[ColonyCount]&amp;records_2[AirSampler],feller[code],feller[Vc]),records_2[ColonyCount]))</f>
        <v>5</v>
      </c>
      <c r="AC700" s="60" t="b">
        <f t="shared" si="1"/>
        <v>1</v>
      </c>
      <c r="AD700" s="61" t="b">
        <v>0</v>
      </c>
      <c r="AE700" s="32" t="s">
        <v>280</v>
      </c>
      <c r="AF700" s="46"/>
      <c r="AG700" s="46"/>
      <c r="AH700" s="46"/>
      <c r="AI700" s="46"/>
      <c r="AJ700" s="46"/>
    </row>
    <row r="701" ht="22.5" customHeight="1">
      <c r="A701" s="27">
        <v>46152.0</v>
      </c>
      <c r="B701" s="34" t="str">
        <f t="array" ref="B701">TEXT(A701, "MM-YYYY")</f>
        <v>05-2026</v>
      </c>
      <c r="C701" s="39" t="s">
        <v>1250</v>
      </c>
      <c r="D701" s="36" t="s">
        <v>210</v>
      </c>
      <c r="E701" s="36" t="s">
        <v>213</v>
      </c>
      <c r="F701" s="29" t="b">
        <v>1</v>
      </c>
      <c r="G701" s="36" t="s">
        <v>214</v>
      </c>
      <c r="H701" s="36" t="s">
        <v>215</v>
      </c>
      <c r="I701" s="39"/>
      <c r="J701" s="40"/>
      <c r="K701" s="37" t="s">
        <v>2470</v>
      </c>
      <c r="L701" s="37" t="s">
        <v>350</v>
      </c>
      <c r="M701" s="37" t="s">
        <v>1812</v>
      </c>
      <c r="N701" s="37" t="s">
        <v>2306</v>
      </c>
      <c r="O701" s="37" t="s">
        <v>759</v>
      </c>
      <c r="P701" s="37" t="s">
        <v>760</v>
      </c>
      <c r="Q701" s="41">
        <v>46195.0</v>
      </c>
      <c r="R701" s="42">
        <v>10.0</v>
      </c>
      <c r="S701" s="44" t="s">
        <v>194</v>
      </c>
      <c r="T701" s="37" t="s">
        <v>2465</v>
      </c>
      <c r="U701" s="45" t="str">
        <f>IF(records_2[Type]="Room",records_2[roomNo],records_2[roomNo]&amp;"-"&amp;SUBSTITUTE(RIGHT(records_2[roomNo]&amp;records_2[Type],2),"-",""))</f>
        <v>16-1-089</v>
      </c>
      <c r="V701" s="47" t="str">
        <f t="array" ref="V701">_xlfn.XLOOKUP(records_2[ID], dAir[roomNo], dAir[roomName])</f>
        <v>WOMEN PAL</v>
      </c>
      <c r="W701" s="47" t="str">
        <f t="array" ref="W701">_xlfn.XLOOKUP(records_2[ID], dAir[roomNo], dAir[building])</f>
        <v>Building 16</v>
      </c>
      <c r="X701" s="47" t="str">
        <f t="array" ref="X701">_xlfn.XLOOKUP(records_2[ID], dAir[roomNo], dAir[floor])</f>
        <v>Floor 1</v>
      </c>
      <c r="Y701" s="45" t="str">
        <f t="array" ref="Y701">_xlfn.XLOOKUP(records_2[ID], dAir[roomNo], dAir[Class])</f>
        <v>D</v>
      </c>
      <c r="Z701" s="45">
        <f t="array" ref="Z701">_xlfn.XLOOKUP(records_2[Method]&amp;"-"&amp;records_2[Class], dAirSpec[ID], dAirSpec[Spec])</f>
        <v>100</v>
      </c>
      <c r="AA701" s="45" t="str">
        <f t="array" ref="AA701">_xlfn.XLOOKUP(records_2[Method]&amp;"-"&amp;records_2[Class], dAirSpec[ID], dAirSpec[Unit])</f>
        <v>cfu/plate</v>
      </c>
      <c r="AB701" s="58">
        <f t="array" ref="AB701">if(R701="","", if(records_2[Method]="Active Air",_xlfn.xlookup(records_2[ColonyCount]&amp;records_2[AirSampler],feller[code],feller[Vc]),records_2[ColonyCount]))</f>
        <v>10</v>
      </c>
      <c r="AC701" s="60" t="b">
        <f t="shared" si="1"/>
        <v>1</v>
      </c>
      <c r="AD701" s="61" t="b">
        <v>0</v>
      </c>
      <c r="AE701" s="32" t="s">
        <v>280</v>
      </c>
      <c r="AF701" s="46"/>
      <c r="AG701" s="46"/>
      <c r="AH701" s="46"/>
      <c r="AI701" s="46"/>
      <c r="AJ701" s="46"/>
    </row>
    <row r="702" ht="22.5" customHeight="1">
      <c r="A702" s="27">
        <v>46152.0</v>
      </c>
      <c r="B702" s="34" t="str">
        <f t="array" ref="B702">TEXT(A702, "MM-YYYY")</f>
        <v>05-2026</v>
      </c>
      <c r="C702" s="39" t="s">
        <v>1273</v>
      </c>
      <c r="D702" s="36" t="s">
        <v>210</v>
      </c>
      <c r="E702" s="36" t="s">
        <v>213</v>
      </c>
      <c r="F702" s="29" t="b">
        <v>1</v>
      </c>
      <c r="G702" s="36" t="s">
        <v>214</v>
      </c>
      <c r="H702" s="36" t="s">
        <v>215</v>
      </c>
      <c r="I702" s="39"/>
      <c r="J702" s="40"/>
      <c r="K702" s="37" t="s">
        <v>2470</v>
      </c>
      <c r="L702" s="37" t="s">
        <v>1577</v>
      </c>
      <c r="M702" s="37" t="s">
        <v>1812</v>
      </c>
      <c r="N702" s="37" t="s">
        <v>2306</v>
      </c>
      <c r="O702" s="37" t="s">
        <v>759</v>
      </c>
      <c r="P702" s="37" t="s">
        <v>760</v>
      </c>
      <c r="Q702" s="41">
        <v>46195.0</v>
      </c>
      <c r="R702" s="42">
        <v>15.0</v>
      </c>
      <c r="S702" s="44" t="s">
        <v>194</v>
      </c>
      <c r="T702" s="37" t="s">
        <v>2465</v>
      </c>
      <c r="U702" s="45" t="str">
        <f>IF(records_2[Type]="Room",records_2[roomNo],records_2[roomNo]&amp;"-"&amp;SUBSTITUTE(RIGHT(records_2[roomNo]&amp;records_2[Type],2),"-",""))</f>
        <v>16-1-090</v>
      </c>
      <c r="V702" s="47" t="str">
        <f t="array" ref="V702">_xlfn.XLOOKUP(records_2[ID], dAir[roomNo], dAir[roomName])</f>
        <v>WOMEN PROCESS CHANGE</v>
      </c>
      <c r="W702" s="47" t="str">
        <f t="array" ref="W702">_xlfn.XLOOKUP(records_2[ID], dAir[roomNo], dAir[building])</f>
        <v>Building 16</v>
      </c>
      <c r="X702" s="47" t="str">
        <f t="array" ref="X702">_xlfn.XLOOKUP(records_2[ID], dAir[roomNo], dAir[floor])</f>
        <v>Floor 1</v>
      </c>
      <c r="Y702" s="45" t="str">
        <f t="array" ref="Y702">_xlfn.XLOOKUP(records_2[ID], dAir[roomNo], dAir[Class])</f>
        <v>C</v>
      </c>
      <c r="Z702" s="45">
        <f t="array" ref="Z702">_xlfn.XLOOKUP(records_2[Method]&amp;"-"&amp;records_2[Class], dAirSpec[ID], dAirSpec[Spec])</f>
        <v>50</v>
      </c>
      <c r="AA702" s="45" t="str">
        <f t="array" ref="AA702">_xlfn.XLOOKUP(records_2[Method]&amp;"-"&amp;records_2[Class], dAirSpec[ID], dAirSpec[Unit])</f>
        <v>cfu/plate</v>
      </c>
      <c r="AB702" s="58">
        <f t="array" ref="AB702">if(R702="","", if(records_2[Method]="Active Air",_xlfn.xlookup(records_2[ColonyCount]&amp;records_2[AirSampler],feller[code],feller[Vc]),records_2[ColonyCount]))</f>
        <v>15</v>
      </c>
      <c r="AC702" s="60" t="b">
        <f t="shared" si="1"/>
        <v>1</v>
      </c>
      <c r="AD702" s="61" t="b">
        <v>0</v>
      </c>
      <c r="AE702" s="32" t="s">
        <v>280</v>
      </c>
      <c r="AF702" s="46"/>
      <c r="AG702" s="46"/>
      <c r="AH702" s="46"/>
      <c r="AI702" s="46"/>
      <c r="AJ702" s="46"/>
    </row>
    <row r="703" ht="22.5" customHeight="1">
      <c r="A703" s="27">
        <v>46152.0</v>
      </c>
      <c r="B703" s="34" t="str">
        <f t="array" ref="B703">TEXT(A703, "MM-YYYY")</f>
        <v>05-2026</v>
      </c>
      <c r="C703" s="39" t="s">
        <v>1311</v>
      </c>
      <c r="D703" s="36" t="s">
        <v>210</v>
      </c>
      <c r="E703" s="36" t="s">
        <v>213</v>
      </c>
      <c r="F703" s="29" t="b">
        <v>1</v>
      </c>
      <c r="G703" s="36" t="s">
        <v>214</v>
      </c>
      <c r="H703" s="36" t="s">
        <v>215</v>
      </c>
      <c r="I703" s="39"/>
      <c r="J703" s="40"/>
      <c r="K703" s="37" t="s">
        <v>2421</v>
      </c>
      <c r="L703" s="37" t="s">
        <v>1604</v>
      </c>
      <c r="M703" s="37" t="s">
        <v>332</v>
      </c>
      <c r="N703" s="37" t="s">
        <v>1588</v>
      </c>
      <c r="O703" s="37" t="s">
        <v>759</v>
      </c>
      <c r="P703" s="37" t="s">
        <v>760</v>
      </c>
      <c r="Q703" s="41">
        <v>46195.0</v>
      </c>
      <c r="R703" s="42">
        <v>1.0</v>
      </c>
      <c r="S703" s="29" t="s">
        <v>1318</v>
      </c>
      <c r="T703" s="37" t="s">
        <v>2465</v>
      </c>
      <c r="U703" s="45" t="str">
        <f>IF(records_2[Type]="Room",records_2[roomNo],records_2[roomNo]&amp;"-"&amp;SUBSTITUTE(RIGHT(records_2[roomNo]&amp;records_2[Type],2),"-",""))</f>
        <v>16-1-091</v>
      </c>
      <c r="V703" s="47" t="str">
        <f t="array" ref="V703">_xlfn.XLOOKUP(records_2[ID], dAir[roomNo], dAir[roomName])</f>
        <v>CORRIDOR</v>
      </c>
      <c r="W703" s="47" t="str">
        <f t="array" ref="W703">_xlfn.XLOOKUP(records_2[ID], dAir[roomNo], dAir[building])</f>
        <v>Building 16</v>
      </c>
      <c r="X703" s="47" t="str">
        <f t="array" ref="X703">_xlfn.XLOOKUP(records_2[ID], dAir[roomNo], dAir[floor])</f>
        <v>Floor 1</v>
      </c>
      <c r="Y703" s="45" t="str">
        <f t="array" ref="Y703">_xlfn.XLOOKUP(records_2[ID], dAir[roomNo], dAir[Class])</f>
        <v>C</v>
      </c>
      <c r="Z703" s="45">
        <f t="array" ref="Z703">_xlfn.XLOOKUP(records_2[Method]&amp;"-"&amp;records_2[Class], dAirSpec[ID], dAirSpec[Spec])</f>
        <v>50</v>
      </c>
      <c r="AA703" s="45" t="str">
        <f t="array" ref="AA703">_xlfn.XLOOKUP(records_2[Method]&amp;"-"&amp;records_2[Class], dAirSpec[ID], dAirSpec[Unit])</f>
        <v>cfu/plate</v>
      </c>
      <c r="AB703" s="58">
        <f t="array" ref="AB703">if(R703="","", if(records_2[Method]="Active Air",_xlfn.xlookup(records_2[ColonyCount]&amp;records_2[AirSampler],feller[code],feller[Vc]),records_2[ColonyCount]))</f>
        <v>1</v>
      </c>
      <c r="AC703" s="60" t="b">
        <f t="shared" si="1"/>
        <v>1</v>
      </c>
      <c r="AD703" s="61" t="b">
        <v>0</v>
      </c>
      <c r="AE703" s="32" t="s">
        <v>280</v>
      </c>
      <c r="AF703" s="46"/>
      <c r="AG703" s="46"/>
      <c r="AH703" s="46"/>
      <c r="AI703" s="46"/>
      <c r="AJ703" s="46"/>
    </row>
    <row r="704" ht="22.5" customHeight="1">
      <c r="A704" s="27">
        <v>46152.0</v>
      </c>
      <c r="B704" s="34" t="str">
        <f t="array" ref="B704">TEXT(A704, "MM-YYYY")</f>
        <v>05-2026</v>
      </c>
      <c r="C704" s="39" t="s">
        <v>1311</v>
      </c>
      <c r="D704" s="36" t="s">
        <v>1350</v>
      </c>
      <c r="E704" s="36" t="s">
        <v>213</v>
      </c>
      <c r="F704" s="29" t="b">
        <v>1</v>
      </c>
      <c r="G704" s="36" t="s">
        <v>214</v>
      </c>
      <c r="H704" s="36" t="s">
        <v>215</v>
      </c>
      <c r="I704" s="39"/>
      <c r="J704" s="40"/>
      <c r="K704" s="37" t="s">
        <v>2421</v>
      </c>
      <c r="L704" s="37" t="s">
        <v>1604</v>
      </c>
      <c r="M704" s="37" t="s">
        <v>332</v>
      </c>
      <c r="N704" s="37" t="s">
        <v>1588</v>
      </c>
      <c r="O704" s="37" t="s">
        <v>759</v>
      </c>
      <c r="P704" s="37" t="s">
        <v>760</v>
      </c>
      <c r="Q704" s="41">
        <v>46195.0</v>
      </c>
      <c r="R704" s="42">
        <v>0.0</v>
      </c>
      <c r="S704" s="29" t="s">
        <v>2267</v>
      </c>
      <c r="T704" s="37" t="s">
        <v>2465</v>
      </c>
      <c r="U704" s="45" t="str">
        <f>IF(records_2[Type]="Room",records_2[roomNo],records_2[roomNo]&amp;"-"&amp;SUBSTITUTE(RIGHT(records_2[roomNo]&amp;records_2[Type],2),"-",""))</f>
        <v>16-1-091-PB</v>
      </c>
      <c r="V704" s="47" t="str">
        <f t="array" ref="V704">_xlfn.XLOOKUP(records_2[ID], dAir[roomNo], dAir[roomName])</f>
        <v>CORRIDOR (Passbox)</v>
      </c>
      <c r="W704" s="47" t="str">
        <f t="array" ref="W704">_xlfn.XLOOKUP(records_2[ID], dAir[roomNo], dAir[building])</f>
        <v>Building 16</v>
      </c>
      <c r="X704" s="47" t="str">
        <f t="array" ref="X704">_xlfn.XLOOKUP(records_2[ID], dAir[roomNo], dAir[floor])</f>
        <v>Floor 1</v>
      </c>
      <c r="Y704" s="45" t="str">
        <f t="array" ref="Y704">_xlfn.XLOOKUP(records_2[ID], dAir[roomNo], dAir[Class])</f>
        <v>C</v>
      </c>
      <c r="Z704" s="45">
        <f t="array" ref="Z704">_xlfn.XLOOKUP(records_2[Method]&amp;"-"&amp;records_2[Class], dAirSpec[ID], dAirSpec[Spec])</f>
        <v>50</v>
      </c>
      <c r="AA704" s="45" t="str">
        <f t="array" ref="AA704">_xlfn.XLOOKUP(records_2[Method]&amp;"-"&amp;records_2[Class], dAirSpec[ID], dAirSpec[Unit])</f>
        <v>cfu/plate</v>
      </c>
      <c r="AB704" s="58">
        <f t="array" ref="AB704">if(R704="","", if(records_2[Method]="Active Air",_xlfn.xlookup(records_2[ColonyCount]&amp;records_2[AirSampler],feller[code],feller[Vc]),records_2[ColonyCount]))</f>
        <v>0</v>
      </c>
      <c r="AC704" s="60" t="b">
        <f t="shared" si="1"/>
        <v>1</v>
      </c>
      <c r="AD704" s="61" t="b">
        <v>0</v>
      </c>
      <c r="AE704" s="32" t="s">
        <v>280</v>
      </c>
      <c r="AF704" s="46"/>
      <c r="AG704" s="46"/>
      <c r="AH704" s="46"/>
      <c r="AI704" s="46"/>
      <c r="AJ704" s="46"/>
    </row>
    <row r="705" ht="22.5" customHeight="1">
      <c r="A705" s="27">
        <v>46152.0</v>
      </c>
      <c r="B705" s="34" t="str">
        <f t="array" ref="B705">TEXT(A705, "MM-YYYY")</f>
        <v>05-2026</v>
      </c>
      <c r="C705" s="39" t="s">
        <v>1041</v>
      </c>
      <c r="D705" s="36" t="s">
        <v>1350</v>
      </c>
      <c r="E705" s="36" t="s">
        <v>213</v>
      </c>
      <c r="F705" s="29" t="b">
        <v>1</v>
      </c>
      <c r="G705" s="36" t="s">
        <v>214</v>
      </c>
      <c r="H705" s="36" t="s">
        <v>215</v>
      </c>
      <c r="I705" s="39"/>
      <c r="J705" s="40"/>
      <c r="K705" s="37" t="s">
        <v>2421</v>
      </c>
      <c r="L705" s="37" t="s">
        <v>1604</v>
      </c>
      <c r="M705" s="37" t="s">
        <v>332</v>
      </c>
      <c r="N705" s="37" t="s">
        <v>1588</v>
      </c>
      <c r="O705" s="37" t="s">
        <v>759</v>
      </c>
      <c r="P705" s="37" t="s">
        <v>760</v>
      </c>
      <c r="Q705" s="41">
        <v>46195.0</v>
      </c>
      <c r="R705" s="42">
        <v>0.0</v>
      </c>
      <c r="S705" s="29" t="s">
        <v>2258</v>
      </c>
      <c r="T705" s="37" t="s">
        <v>2465</v>
      </c>
      <c r="U705" s="45" t="str">
        <f>IF(records_2[Type]="Room",records_2[roomNo],records_2[roomNo]&amp;"-"&amp;SUBSTITUTE(RIGHT(records_2[roomNo]&amp;records_2[Type],2),"-",""))</f>
        <v>16-1-078-PB</v>
      </c>
      <c r="V705" s="47" t="str">
        <f t="array" ref="V705">_xlfn.XLOOKUP(records_2[ID], dAir[roomNo], dAir[roomName])</f>
        <v>PASSAGE (Passbox)</v>
      </c>
      <c r="W705" s="47" t="str">
        <f t="array" ref="W705">_xlfn.XLOOKUP(records_2[ID], dAir[roomNo], dAir[building])</f>
        <v>Building 16</v>
      </c>
      <c r="X705" s="47" t="str">
        <f t="array" ref="X705">_xlfn.XLOOKUP(records_2[ID], dAir[roomNo], dAir[floor])</f>
        <v>Floor 1</v>
      </c>
      <c r="Y705" s="45" t="str">
        <f t="array" ref="Y705">_xlfn.XLOOKUP(records_2[ID], dAir[roomNo], dAir[Class])</f>
        <v>C</v>
      </c>
      <c r="Z705" s="45">
        <f t="array" ref="Z705">_xlfn.XLOOKUP(records_2[Method]&amp;"-"&amp;records_2[Class], dAirSpec[ID], dAirSpec[Spec])</f>
        <v>50</v>
      </c>
      <c r="AA705" s="45" t="str">
        <f t="array" ref="AA705">_xlfn.XLOOKUP(records_2[Method]&amp;"-"&amp;records_2[Class], dAirSpec[ID], dAirSpec[Unit])</f>
        <v>cfu/plate</v>
      </c>
      <c r="AB705" s="58">
        <f t="array" ref="AB705">if(R705="","", if(records_2[Method]="Active Air",_xlfn.xlookup(records_2[ColonyCount]&amp;records_2[AirSampler],feller[code],feller[Vc]),records_2[ColonyCount]))</f>
        <v>0</v>
      </c>
      <c r="AC705" s="60" t="b">
        <f t="shared" si="1"/>
        <v>1</v>
      </c>
      <c r="AD705" s="61" t="b">
        <v>0</v>
      </c>
      <c r="AE705" s="32" t="s">
        <v>280</v>
      </c>
      <c r="AF705" s="46"/>
      <c r="AG705" s="46"/>
      <c r="AH705" s="46"/>
      <c r="AI705" s="46"/>
      <c r="AJ705" s="46"/>
    </row>
    <row r="706" ht="22.5" customHeight="1">
      <c r="A706" s="27">
        <v>46152.0</v>
      </c>
      <c r="B706" s="34" t="str">
        <f t="array" ref="B706">TEXT(A706, "MM-YYYY")</f>
        <v>05-2026</v>
      </c>
      <c r="C706" s="39" t="s">
        <v>1311</v>
      </c>
      <c r="D706" s="36" t="s">
        <v>210</v>
      </c>
      <c r="E706" s="36" t="s">
        <v>213</v>
      </c>
      <c r="F706" s="29" t="b">
        <v>1</v>
      </c>
      <c r="G706" s="36" t="s">
        <v>214</v>
      </c>
      <c r="H706" s="36" t="s">
        <v>215</v>
      </c>
      <c r="I706" s="39"/>
      <c r="J706" s="40"/>
      <c r="K706" s="37" t="s">
        <v>2421</v>
      </c>
      <c r="L706" s="37" t="s">
        <v>1604</v>
      </c>
      <c r="M706" s="37" t="s">
        <v>332</v>
      </c>
      <c r="N706" s="37" t="s">
        <v>1588</v>
      </c>
      <c r="O706" s="37" t="s">
        <v>759</v>
      </c>
      <c r="P706" s="37" t="s">
        <v>760</v>
      </c>
      <c r="Q706" s="41">
        <v>46195.0</v>
      </c>
      <c r="R706" s="42">
        <v>0.0</v>
      </c>
      <c r="S706" s="29" t="s">
        <v>1403</v>
      </c>
      <c r="T706" s="37" t="s">
        <v>2465</v>
      </c>
      <c r="U706" s="45" t="str">
        <f>IF(records_2[Type]="Room",records_2[roomNo],records_2[roomNo]&amp;"-"&amp;SUBSTITUTE(RIGHT(records_2[roomNo]&amp;records_2[Type],2),"-",""))</f>
        <v>16-1-091</v>
      </c>
      <c r="V706" s="47" t="str">
        <f t="array" ref="V706">_xlfn.XLOOKUP(records_2[ID], dAir[roomNo], dAir[roomName])</f>
        <v>CORRIDOR</v>
      </c>
      <c r="W706" s="47" t="str">
        <f t="array" ref="W706">_xlfn.XLOOKUP(records_2[ID], dAir[roomNo], dAir[building])</f>
        <v>Building 16</v>
      </c>
      <c r="X706" s="47" t="str">
        <f t="array" ref="X706">_xlfn.XLOOKUP(records_2[ID], dAir[roomNo], dAir[floor])</f>
        <v>Floor 1</v>
      </c>
      <c r="Y706" s="45" t="str">
        <f t="array" ref="Y706">_xlfn.XLOOKUP(records_2[ID], dAir[roomNo], dAir[Class])</f>
        <v>C</v>
      </c>
      <c r="Z706" s="45">
        <f t="array" ref="Z706">_xlfn.XLOOKUP(records_2[Method]&amp;"-"&amp;records_2[Class], dAirSpec[ID], dAirSpec[Spec])</f>
        <v>50</v>
      </c>
      <c r="AA706" s="45" t="str">
        <f t="array" ref="AA706">_xlfn.XLOOKUP(records_2[Method]&amp;"-"&amp;records_2[Class], dAirSpec[ID], dAirSpec[Unit])</f>
        <v>cfu/plate</v>
      </c>
      <c r="AB706" s="58">
        <f t="array" ref="AB706">if(R706="","", if(records_2[Method]="Active Air",_xlfn.xlookup(records_2[ColonyCount]&amp;records_2[AirSampler],feller[code],feller[Vc]),records_2[ColonyCount]))</f>
        <v>0</v>
      </c>
      <c r="AC706" s="60" t="b">
        <f t="shared" si="1"/>
        <v>1</v>
      </c>
      <c r="AD706" s="61" t="b">
        <v>0</v>
      </c>
      <c r="AE706" s="32" t="s">
        <v>280</v>
      </c>
      <c r="AF706" s="46"/>
      <c r="AG706" s="46"/>
      <c r="AH706" s="46"/>
      <c r="AI706" s="46"/>
      <c r="AJ706" s="46"/>
    </row>
    <row r="707" ht="22.5" customHeight="1">
      <c r="A707" s="27">
        <v>46152.0</v>
      </c>
      <c r="B707" s="34" t="str">
        <f t="array" ref="B707">TEXT(A707, "MM-YYYY")</f>
        <v>05-2026</v>
      </c>
      <c r="C707" s="39" t="s">
        <v>1412</v>
      </c>
      <c r="D707" s="36" t="s">
        <v>210</v>
      </c>
      <c r="E707" s="36" t="s">
        <v>213</v>
      </c>
      <c r="F707" s="29" t="b">
        <v>1</v>
      </c>
      <c r="G707" s="36" t="s">
        <v>214</v>
      </c>
      <c r="H707" s="36" t="s">
        <v>215</v>
      </c>
      <c r="I707" s="39"/>
      <c r="J707" s="40"/>
      <c r="K707" s="37" t="s">
        <v>2470</v>
      </c>
      <c r="L707" s="37" t="s">
        <v>1622</v>
      </c>
      <c r="M707" s="37" t="s">
        <v>1812</v>
      </c>
      <c r="N707" s="37" t="s">
        <v>2306</v>
      </c>
      <c r="O707" s="37" t="s">
        <v>759</v>
      </c>
      <c r="P707" s="37" t="s">
        <v>760</v>
      </c>
      <c r="Q707" s="41">
        <v>46195.0</v>
      </c>
      <c r="R707" s="42">
        <v>10.0</v>
      </c>
      <c r="S707" s="44" t="s">
        <v>194</v>
      </c>
      <c r="T707" s="37" t="s">
        <v>2465</v>
      </c>
      <c r="U707" s="45" t="str">
        <f>IF(records_2[Type]="Room",records_2[roomNo],records_2[roomNo]&amp;"-"&amp;SUBSTITUTE(RIGHT(records_2[roomNo]&amp;records_2[Type],2),"-",""))</f>
        <v>16-1-092</v>
      </c>
      <c r="V707" s="47" t="str">
        <f t="array" ref="V707">_xlfn.XLOOKUP(records_2[ID], dAir[roomNo], dAir[roomName])</f>
        <v>LINEN WASHING</v>
      </c>
      <c r="W707" s="47" t="str">
        <f t="array" ref="W707">_xlfn.XLOOKUP(records_2[ID], dAir[roomNo], dAir[building])</f>
        <v>Building 16</v>
      </c>
      <c r="X707" s="47" t="str">
        <f t="array" ref="X707">_xlfn.XLOOKUP(records_2[ID], dAir[roomNo], dAir[floor])</f>
        <v>Floor 1</v>
      </c>
      <c r="Y707" s="45" t="str">
        <f t="array" ref="Y707">_xlfn.XLOOKUP(records_2[ID], dAir[roomNo], dAir[Class])</f>
        <v>C</v>
      </c>
      <c r="Z707" s="45">
        <f t="array" ref="Z707">_xlfn.XLOOKUP(records_2[Method]&amp;"-"&amp;records_2[Class], dAirSpec[ID], dAirSpec[Spec])</f>
        <v>50</v>
      </c>
      <c r="AA707" s="45" t="str">
        <f t="array" ref="AA707">_xlfn.XLOOKUP(records_2[Method]&amp;"-"&amp;records_2[Class], dAirSpec[ID], dAirSpec[Unit])</f>
        <v>cfu/plate</v>
      </c>
      <c r="AB707" s="58">
        <f t="array" ref="AB707">if(R707="","", if(records_2[Method]="Active Air",_xlfn.xlookup(records_2[ColonyCount]&amp;records_2[AirSampler],feller[code],feller[Vc]),records_2[ColonyCount]))</f>
        <v>10</v>
      </c>
      <c r="AC707" s="60" t="b">
        <f t="shared" si="1"/>
        <v>1</v>
      </c>
      <c r="AD707" s="61" t="b">
        <v>0</v>
      </c>
      <c r="AE707" s="32" t="s">
        <v>280</v>
      </c>
      <c r="AF707" s="46"/>
      <c r="AG707" s="46"/>
      <c r="AH707" s="46"/>
      <c r="AI707" s="46"/>
      <c r="AJ707" s="46"/>
    </row>
    <row r="708" ht="22.5" customHeight="1">
      <c r="A708" s="27">
        <v>46152.0</v>
      </c>
      <c r="B708" s="34" t="str">
        <f t="array" ref="B708">TEXT(A708, "MM-YYYY")</f>
        <v>05-2026</v>
      </c>
      <c r="C708" s="39" t="s">
        <v>1417</v>
      </c>
      <c r="D708" s="36" t="s">
        <v>210</v>
      </c>
      <c r="E708" s="36" t="s">
        <v>213</v>
      </c>
      <c r="F708" s="29" t="b">
        <v>1</v>
      </c>
      <c r="G708" s="36" t="s">
        <v>214</v>
      </c>
      <c r="H708" s="36" t="s">
        <v>215</v>
      </c>
      <c r="I708" s="39"/>
      <c r="J708" s="40"/>
      <c r="K708" s="37" t="s">
        <v>2488</v>
      </c>
      <c r="L708" s="37" t="s">
        <v>518</v>
      </c>
      <c r="M708" s="37" t="s">
        <v>2093</v>
      </c>
      <c r="N708" s="37" t="s">
        <v>2306</v>
      </c>
      <c r="O708" s="37" t="s">
        <v>759</v>
      </c>
      <c r="P708" s="37" t="s">
        <v>760</v>
      </c>
      <c r="Q708" s="41">
        <v>46195.0</v>
      </c>
      <c r="R708" s="42">
        <v>0.0</v>
      </c>
      <c r="S708" s="44" t="s">
        <v>194</v>
      </c>
      <c r="T708" s="37" t="s">
        <v>2465</v>
      </c>
      <c r="U708" s="45" t="str">
        <f>IF(records_2[Type]="Room",records_2[roomNo],records_2[roomNo]&amp;"-"&amp;SUBSTITUTE(RIGHT(records_2[roomNo]&amp;records_2[Type],2),"-",""))</f>
        <v>16-1-093</v>
      </c>
      <c r="V708" s="47" t="str">
        <f t="array" ref="V708">_xlfn.XLOOKUP(records_2[ID], dAir[roomNo], dAir[roomName])</f>
        <v>LINEN DRY</v>
      </c>
      <c r="W708" s="47" t="str">
        <f t="array" ref="W708">_xlfn.XLOOKUP(records_2[ID], dAir[roomNo], dAir[building])</f>
        <v>Building 16</v>
      </c>
      <c r="X708" s="47" t="str">
        <f t="array" ref="X708">_xlfn.XLOOKUP(records_2[ID], dAir[roomNo], dAir[floor])</f>
        <v>Floor 1</v>
      </c>
      <c r="Y708" s="45" t="str">
        <f t="array" ref="Y708">_xlfn.XLOOKUP(records_2[ID], dAir[roomNo], dAir[Class])</f>
        <v>C</v>
      </c>
      <c r="Z708" s="45">
        <f t="array" ref="Z708">_xlfn.XLOOKUP(records_2[Method]&amp;"-"&amp;records_2[Class], dAirSpec[ID], dAirSpec[Spec])</f>
        <v>50</v>
      </c>
      <c r="AA708" s="45" t="str">
        <f t="array" ref="AA708">_xlfn.XLOOKUP(records_2[Method]&amp;"-"&amp;records_2[Class], dAirSpec[ID], dAirSpec[Unit])</f>
        <v>cfu/plate</v>
      </c>
      <c r="AB708" s="58">
        <f t="array" ref="AB708">if(R708="","", if(records_2[Method]="Active Air",_xlfn.xlookup(records_2[ColonyCount]&amp;records_2[AirSampler],feller[code],feller[Vc]),records_2[ColonyCount]))</f>
        <v>0</v>
      </c>
      <c r="AC708" s="60" t="b">
        <f t="shared" si="1"/>
        <v>1</v>
      </c>
      <c r="AD708" s="61" t="b">
        <v>0</v>
      </c>
      <c r="AE708" s="32" t="s">
        <v>280</v>
      </c>
      <c r="AF708" s="46"/>
      <c r="AG708" s="46"/>
      <c r="AH708" s="46"/>
      <c r="AI708" s="46"/>
      <c r="AJ708" s="46"/>
    </row>
    <row r="709" ht="22.5" customHeight="1">
      <c r="A709" s="27">
        <v>46152.0</v>
      </c>
      <c r="B709" s="34" t="str">
        <f t="array" ref="B709">TEXT(A709, "MM-YYYY")</f>
        <v>05-2026</v>
      </c>
      <c r="C709" s="39" t="s">
        <v>1421</v>
      </c>
      <c r="D709" s="36" t="s">
        <v>210</v>
      </c>
      <c r="E709" s="36" t="s">
        <v>213</v>
      </c>
      <c r="F709" s="29" t="b">
        <v>1</v>
      </c>
      <c r="G709" s="36" t="s">
        <v>214</v>
      </c>
      <c r="H709" s="36" t="s">
        <v>215</v>
      </c>
      <c r="I709" s="39"/>
      <c r="J709" s="40"/>
      <c r="K709" s="37" t="s">
        <v>687</v>
      </c>
      <c r="L709" s="37" t="s">
        <v>418</v>
      </c>
      <c r="M709" s="37" t="s">
        <v>2093</v>
      </c>
      <c r="N709" s="37" t="s">
        <v>2308</v>
      </c>
      <c r="O709" s="37" t="s">
        <v>759</v>
      </c>
      <c r="P709" s="37" t="s">
        <v>760</v>
      </c>
      <c r="Q709" s="41">
        <v>46195.0</v>
      </c>
      <c r="R709" s="42">
        <v>0.0</v>
      </c>
      <c r="S709" s="44" t="s">
        <v>194</v>
      </c>
      <c r="T709" s="37" t="s">
        <v>2465</v>
      </c>
      <c r="U709" s="45" t="str">
        <f>IF(records_2[Type]="Room",records_2[roomNo],records_2[roomNo]&amp;"-"&amp;SUBSTITUTE(RIGHT(records_2[roomNo]&amp;records_2[Type],2),"-",""))</f>
        <v>16-1-094</v>
      </c>
      <c r="V709" s="47" t="str">
        <f t="array" ref="V709">_xlfn.XLOOKUP(records_2[ID], dAir[roomNo], dAir[roomName])</f>
        <v>LINEN STORAGE</v>
      </c>
      <c r="W709" s="47" t="str">
        <f t="array" ref="W709">_xlfn.XLOOKUP(records_2[ID], dAir[roomNo], dAir[building])</f>
        <v>Building 16</v>
      </c>
      <c r="X709" s="47" t="str">
        <f t="array" ref="X709">_xlfn.XLOOKUP(records_2[ID], dAir[roomNo], dAir[floor])</f>
        <v>Floor 1</v>
      </c>
      <c r="Y709" s="45" t="str">
        <f t="array" ref="Y709">_xlfn.XLOOKUP(records_2[ID], dAir[roomNo], dAir[Class])</f>
        <v>C</v>
      </c>
      <c r="Z709" s="45">
        <f t="array" ref="Z709">_xlfn.XLOOKUP(records_2[Method]&amp;"-"&amp;records_2[Class], dAirSpec[ID], dAirSpec[Spec])</f>
        <v>50</v>
      </c>
      <c r="AA709" s="45" t="str">
        <f t="array" ref="AA709">_xlfn.XLOOKUP(records_2[Method]&amp;"-"&amp;records_2[Class], dAirSpec[ID], dAirSpec[Unit])</f>
        <v>cfu/plate</v>
      </c>
      <c r="AB709" s="58">
        <f t="array" ref="AB709">if(R709="","", if(records_2[Method]="Active Air",_xlfn.xlookup(records_2[ColonyCount]&amp;records_2[AirSampler],feller[code],feller[Vc]),records_2[ColonyCount]))</f>
        <v>0</v>
      </c>
      <c r="AC709" s="60" t="b">
        <f t="shared" si="1"/>
        <v>1</v>
      </c>
      <c r="AD709" s="61" t="b">
        <v>0</v>
      </c>
      <c r="AE709" s="32" t="s">
        <v>280</v>
      </c>
      <c r="AF709" s="46"/>
      <c r="AG709" s="46"/>
      <c r="AH709" s="46"/>
      <c r="AI709" s="46"/>
      <c r="AJ709" s="46"/>
    </row>
    <row r="710" ht="22.5" customHeight="1">
      <c r="A710" s="27">
        <v>46152.0</v>
      </c>
      <c r="B710" s="34" t="str">
        <f t="array" ref="B710">TEXT(A710, "MM-YYYY")</f>
        <v>05-2026</v>
      </c>
      <c r="C710" s="39" t="s">
        <v>1431</v>
      </c>
      <c r="D710" s="36" t="s">
        <v>210</v>
      </c>
      <c r="E710" s="36" t="s">
        <v>213</v>
      </c>
      <c r="F710" s="29" t="b">
        <v>1</v>
      </c>
      <c r="G710" s="36" t="s">
        <v>214</v>
      </c>
      <c r="H710" s="36" t="s">
        <v>215</v>
      </c>
      <c r="I710" s="39"/>
      <c r="J710" s="40"/>
      <c r="K710" s="37" t="s">
        <v>687</v>
      </c>
      <c r="L710" s="37" t="s">
        <v>1577</v>
      </c>
      <c r="M710" s="37" t="s">
        <v>2093</v>
      </c>
      <c r="N710" s="37" t="s">
        <v>1722</v>
      </c>
      <c r="O710" s="37" t="s">
        <v>759</v>
      </c>
      <c r="P710" s="37" t="s">
        <v>760</v>
      </c>
      <c r="Q710" s="41">
        <v>46195.0</v>
      </c>
      <c r="R710" s="42">
        <v>0.0</v>
      </c>
      <c r="S710" s="44" t="s">
        <v>194</v>
      </c>
      <c r="T710" s="37" t="s">
        <v>2465</v>
      </c>
      <c r="U710" s="45" t="str">
        <f>IF(records_2[Type]="Room",records_2[roomNo],records_2[roomNo]&amp;"-"&amp;SUBSTITUTE(RIGHT(records_2[roomNo]&amp;records_2[Type],2),"-",""))</f>
        <v>16-1-095</v>
      </c>
      <c r="V710" s="47" t="str">
        <f t="array" ref="V710">_xlfn.XLOOKUP(records_2[ID], dAir[roomNo], dAir[roomName])</f>
        <v>JANITOR</v>
      </c>
      <c r="W710" s="47" t="str">
        <f t="array" ref="W710">_xlfn.XLOOKUP(records_2[ID], dAir[roomNo], dAir[building])</f>
        <v>Building 16</v>
      </c>
      <c r="X710" s="47" t="str">
        <f t="array" ref="X710">_xlfn.XLOOKUP(records_2[ID], dAir[roomNo], dAir[floor])</f>
        <v>Floor 1</v>
      </c>
      <c r="Y710" s="45" t="str">
        <f t="array" ref="Y710">_xlfn.XLOOKUP(records_2[ID], dAir[roomNo], dAir[Class])</f>
        <v>C</v>
      </c>
      <c r="Z710" s="45">
        <f t="array" ref="Z710">_xlfn.XLOOKUP(records_2[Method]&amp;"-"&amp;records_2[Class], dAirSpec[ID], dAirSpec[Spec])</f>
        <v>50</v>
      </c>
      <c r="AA710" s="45" t="str">
        <f t="array" ref="AA710">_xlfn.XLOOKUP(records_2[Method]&amp;"-"&amp;records_2[Class], dAirSpec[ID], dAirSpec[Unit])</f>
        <v>cfu/plate</v>
      </c>
      <c r="AB710" s="58">
        <f t="array" ref="AB710">if(R710="","", if(records_2[Method]="Active Air",_xlfn.xlookup(records_2[ColonyCount]&amp;records_2[AirSampler],feller[code],feller[Vc]),records_2[ColonyCount]))</f>
        <v>0</v>
      </c>
      <c r="AC710" s="60" t="b">
        <f t="shared" si="1"/>
        <v>1</v>
      </c>
      <c r="AD710" s="61" t="b">
        <v>0</v>
      </c>
      <c r="AE710" s="32" t="s">
        <v>280</v>
      </c>
      <c r="AF710" s="46"/>
      <c r="AG710" s="46"/>
      <c r="AH710" s="46"/>
      <c r="AI710" s="46"/>
      <c r="AJ710" s="46"/>
    </row>
    <row r="711" ht="22.5" customHeight="1">
      <c r="A711" s="27">
        <v>46152.0</v>
      </c>
      <c r="B711" s="34" t="str">
        <f t="array" ref="B711">TEXT(A711, "MM-YYYY")</f>
        <v>05-2026</v>
      </c>
      <c r="C711" s="39" t="s">
        <v>745</v>
      </c>
      <c r="D711" s="36" t="s">
        <v>210</v>
      </c>
      <c r="E711" s="36" t="s">
        <v>213</v>
      </c>
      <c r="F711" s="29" t="b">
        <v>1</v>
      </c>
      <c r="G711" s="36" t="s">
        <v>214</v>
      </c>
      <c r="H711" s="36" t="s">
        <v>215</v>
      </c>
      <c r="I711" s="39"/>
      <c r="J711" s="40"/>
      <c r="K711" s="37" t="s">
        <v>681</v>
      </c>
      <c r="L711" s="37" t="s">
        <v>495</v>
      </c>
      <c r="M711" s="37" t="s">
        <v>2239</v>
      </c>
      <c r="N711" s="37" t="s">
        <v>1722</v>
      </c>
      <c r="O711" s="37" t="s">
        <v>759</v>
      </c>
      <c r="P711" s="37" t="s">
        <v>760</v>
      </c>
      <c r="Q711" s="41">
        <v>46195.0</v>
      </c>
      <c r="R711" s="42">
        <v>0.0</v>
      </c>
      <c r="S711" s="44" t="s">
        <v>194</v>
      </c>
      <c r="T711" s="37" t="s">
        <v>2465</v>
      </c>
      <c r="U711" s="45" t="str">
        <f>IF(records_2[Type]="Room",records_2[roomNo],records_2[roomNo]&amp;"-"&amp;SUBSTITUTE(RIGHT(records_2[roomNo]&amp;records_2[Type],2),"-",""))</f>
        <v>16-1-096</v>
      </c>
      <c r="V711" s="47" t="str">
        <f t="array" ref="V711">_xlfn.XLOOKUP(records_2[ID], dAir[roomNo], dAir[roomName])</f>
        <v>WASHING / TUNNEL 2</v>
      </c>
      <c r="W711" s="47" t="str">
        <f t="array" ref="W711">_xlfn.XLOOKUP(records_2[ID], dAir[roomNo], dAir[building])</f>
        <v>Building 16</v>
      </c>
      <c r="X711" s="47" t="str">
        <f t="array" ref="X711">_xlfn.XLOOKUP(records_2[ID], dAir[roomNo], dAir[floor])</f>
        <v>Floor 1</v>
      </c>
      <c r="Y711" s="45" t="str">
        <f t="array" ref="Y711">_xlfn.XLOOKUP(records_2[ID], dAir[roomNo], dAir[Class])</f>
        <v>C</v>
      </c>
      <c r="Z711" s="45">
        <f t="array" ref="Z711">_xlfn.XLOOKUP(records_2[Method]&amp;"-"&amp;records_2[Class], dAirSpec[ID], dAirSpec[Spec])</f>
        <v>50</v>
      </c>
      <c r="AA711" s="45" t="str">
        <f t="array" ref="AA711">_xlfn.XLOOKUP(records_2[Method]&amp;"-"&amp;records_2[Class], dAirSpec[ID], dAirSpec[Unit])</f>
        <v>cfu/plate</v>
      </c>
      <c r="AB711" s="58">
        <f t="array" ref="AB711">if(R711="","", if(records_2[Method]="Active Air",_xlfn.xlookup(records_2[ColonyCount]&amp;records_2[AirSampler],feller[code],feller[Vc]),records_2[ColonyCount]))</f>
        <v>0</v>
      </c>
      <c r="AC711" s="60" t="b">
        <f t="shared" si="1"/>
        <v>1</v>
      </c>
      <c r="AD711" s="61" t="b">
        <v>0</v>
      </c>
      <c r="AE711" s="32" t="s">
        <v>280</v>
      </c>
      <c r="AF711" s="46"/>
      <c r="AG711" s="46"/>
      <c r="AH711" s="46"/>
      <c r="AI711" s="46"/>
      <c r="AJ711" s="46"/>
    </row>
    <row r="712" ht="22.5" customHeight="1">
      <c r="A712" s="27">
        <v>46152.0</v>
      </c>
      <c r="B712" s="34" t="str">
        <f t="array" ref="B712">TEXT(A712, "MM-YYYY")</f>
        <v>05-2026</v>
      </c>
      <c r="C712" s="39" t="s">
        <v>1471</v>
      </c>
      <c r="D712" s="36" t="s">
        <v>210</v>
      </c>
      <c r="E712" s="36" t="s">
        <v>213</v>
      </c>
      <c r="F712" s="29" t="b">
        <v>1</v>
      </c>
      <c r="G712" s="36" t="s">
        <v>214</v>
      </c>
      <c r="H712" s="36" t="s">
        <v>215</v>
      </c>
      <c r="I712" s="39"/>
      <c r="J712" s="40"/>
      <c r="K712" s="37" t="s">
        <v>596</v>
      </c>
      <c r="L712" s="37" t="s">
        <v>362</v>
      </c>
      <c r="M712" s="37" t="s">
        <v>2239</v>
      </c>
      <c r="N712" s="37" t="s">
        <v>1722</v>
      </c>
      <c r="O712" s="37" t="s">
        <v>759</v>
      </c>
      <c r="P712" s="37" t="s">
        <v>760</v>
      </c>
      <c r="Q712" s="41">
        <v>46195.0</v>
      </c>
      <c r="R712" s="42">
        <v>0.0</v>
      </c>
      <c r="S712" s="44" t="s">
        <v>194</v>
      </c>
      <c r="T712" s="37" t="s">
        <v>2465</v>
      </c>
      <c r="U712" s="45" t="str">
        <f>IF(records_2[Type]="Room",records_2[roomNo],records_2[roomNo]&amp;"-"&amp;SUBSTITUTE(RIGHT(records_2[roomNo]&amp;records_2[Type],2),"-",""))</f>
        <v>16-1-097</v>
      </c>
      <c r="V712" s="47" t="str">
        <f t="array" ref="V712">_xlfn.XLOOKUP(records_2[ID], dAir[roomNo], dAir[roomName])</f>
        <v>VIALS INTERNAL STAGING</v>
      </c>
      <c r="W712" s="47" t="str">
        <f t="array" ref="W712">_xlfn.XLOOKUP(records_2[ID], dAir[roomNo], dAir[building])</f>
        <v>Building 16</v>
      </c>
      <c r="X712" s="47" t="str">
        <f t="array" ref="X712">_xlfn.XLOOKUP(records_2[ID], dAir[roomNo], dAir[floor])</f>
        <v>Floor 1</v>
      </c>
      <c r="Y712" s="45" t="str">
        <f t="array" ref="Y712">_xlfn.XLOOKUP(records_2[ID], dAir[roomNo], dAir[Class])</f>
        <v>C</v>
      </c>
      <c r="Z712" s="45">
        <f t="array" ref="Z712">_xlfn.XLOOKUP(records_2[Method]&amp;"-"&amp;records_2[Class], dAirSpec[ID], dAirSpec[Spec])</f>
        <v>50</v>
      </c>
      <c r="AA712" s="45" t="str">
        <f t="array" ref="AA712">_xlfn.XLOOKUP(records_2[Method]&amp;"-"&amp;records_2[Class], dAirSpec[ID], dAirSpec[Unit])</f>
        <v>cfu/plate</v>
      </c>
      <c r="AB712" s="58">
        <f t="array" ref="AB712">if(R712="","", if(records_2[Method]="Active Air",_xlfn.xlookup(records_2[ColonyCount]&amp;records_2[AirSampler],feller[code],feller[Vc]),records_2[ColonyCount]))</f>
        <v>0</v>
      </c>
      <c r="AC712" s="60" t="b">
        <f t="shared" si="1"/>
        <v>1</v>
      </c>
      <c r="AD712" s="61" t="b">
        <v>0</v>
      </c>
      <c r="AE712" s="32" t="s">
        <v>280</v>
      </c>
      <c r="AF712" s="46"/>
      <c r="AG712" s="46"/>
      <c r="AH712" s="46"/>
      <c r="AI712" s="46"/>
      <c r="AJ712" s="46"/>
    </row>
    <row r="713" ht="22.5" customHeight="1">
      <c r="A713" s="27">
        <v>46152.0</v>
      </c>
      <c r="B713" s="34" t="str">
        <f t="array" ref="B713">TEXT(A713, "MM-YYYY")</f>
        <v>05-2026</v>
      </c>
      <c r="C713" s="39" t="s">
        <v>1471</v>
      </c>
      <c r="D713" s="36" t="s">
        <v>1350</v>
      </c>
      <c r="E713" s="36" t="s">
        <v>213</v>
      </c>
      <c r="F713" s="29" t="b">
        <v>1</v>
      </c>
      <c r="G713" s="36" t="s">
        <v>214</v>
      </c>
      <c r="H713" s="36" t="s">
        <v>215</v>
      </c>
      <c r="I713" s="39"/>
      <c r="J713" s="40"/>
      <c r="K713" s="37" t="s">
        <v>596</v>
      </c>
      <c r="L713" s="37" t="s">
        <v>362</v>
      </c>
      <c r="M713" s="37" t="s">
        <v>2239</v>
      </c>
      <c r="N713" s="37" t="s">
        <v>1722</v>
      </c>
      <c r="O713" s="37" t="s">
        <v>759</v>
      </c>
      <c r="P713" s="37" t="s">
        <v>760</v>
      </c>
      <c r="Q713" s="41">
        <v>46195.0</v>
      </c>
      <c r="R713" s="42">
        <v>0.0</v>
      </c>
      <c r="S713" s="44" t="s">
        <v>194</v>
      </c>
      <c r="T713" s="37" t="s">
        <v>2465</v>
      </c>
      <c r="U713" s="45" t="str">
        <f>IF(records_2[Type]="Room",records_2[roomNo],records_2[roomNo]&amp;"-"&amp;SUBSTITUTE(RIGHT(records_2[roomNo]&amp;records_2[Type],2),"-",""))</f>
        <v>16-1-097-PB</v>
      </c>
      <c r="V713" s="47" t="str">
        <f t="array" ref="V713">_xlfn.XLOOKUP(records_2[ID], dAir[roomNo], dAir[roomName])</f>
        <v>VIALS INTERNAL STAGING (Passbox)</v>
      </c>
      <c r="W713" s="47" t="str">
        <f t="array" ref="W713">_xlfn.XLOOKUP(records_2[ID], dAir[roomNo], dAir[building])</f>
        <v>Building 16</v>
      </c>
      <c r="X713" s="47" t="str">
        <f t="array" ref="X713">_xlfn.XLOOKUP(records_2[ID], dAir[roomNo], dAir[floor])</f>
        <v>Floor 1</v>
      </c>
      <c r="Y713" s="45" t="str">
        <f t="array" ref="Y713">_xlfn.XLOOKUP(records_2[ID], dAir[roomNo], dAir[Class])</f>
        <v>C</v>
      </c>
      <c r="Z713" s="45">
        <f t="array" ref="Z713">_xlfn.XLOOKUP(records_2[Method]&amp;"-"&amp;records_2[Class], dAirSpec[ID], dAirSpec[Spec])</f>
        <v>50</v>
      </c>
      <c r="AA713" s="45" t="str">
        <f t="array" ref="AA713">_xlfn.XLOOKUP(records_2[Method]&amp;"-"&amp;records_2[Class], dAirSpec[ID], dAirSpec[Unit])</f>
        <v>cfu/plate</v>
      </c>
      <c r="AB713" s="58">
        <f t="array" ref="AB713">if(R713="","", if(records_2[Method]="Active Air",_xlfn.xlookup(records_2[ColonyCount]&amp;records_2[AirSampler],feller[code],feller[Vc]),records_2[ColonyCount]))</f>
        <v>0</v>
      </c>
      <c r="AC713" s="60" t="b">
        <f t="shared" si="1"/>
        <v>1</v>
      </c>
      <c r="AD713" s="61" t="b">
        <v>0</v>
      </c>
      <c r="AE713" s="32" t="s">
        <v>280</v>
      </c>
      <c r="AF713" s="46"/>
      <c r="AG713" s="46"/>
      <c r="AH713" s="46"/>
      <c r="AI713" s="46"/>
      <c r="AJ713" s="46"/>
    </row>
    <row r="714" ht="22.5" customHeight="1">
      <c r="A714" s="27">
        <v>46152.0</v>
      </c>
      <c r="B714" s="34" t="str">
        <f t="array" ref="B714">TEXT(A714, "MM-YYYY")</f>
        <v>05-2026</v>
      </c>
      <c r="C714" s="39" t="s">
        <v>749</v>
      </c>
      <c r="D714" s="36" t="s">
        <v>210</v>
      </c>
      <c r="E714" s="36" t="s">
        <v>213</v>
      </c>
      <c r="F714" s="29" t="b">
        <v>1</v>
      </c>
      <c r="G714" s="36" t="s">
        <v>214</v>
      </c>
      <c r="H714" s="36" t="s">
        <v>215</v>
      </c>
      <c r="I714" s="39"/>
      <c r="J714" s="40"/>
      <c r="K714" s="37" t="s">
        <v>508</v>
      </c>
      <c r="L714" s="37" t="s">
        <v>311</v>
      </c>
      <c r="M714" s="37" t="s">
        <v>2195</v>
      </c>
      <c r="N714" s="37" t="s">
        <v>1661</v>
      </c>
      <c r="O714" s="37" t="s">
        <v>759</v>
      </c>
      <c r="P714" s="37" t="s">
        <v>760</v>
      </c>
      <c r="Q714" s="41">
        <v>46195.0</v>
      </c>
      <c r="R714" s="42">
        <v>0.0</v>
      </c>
      <c r="S714" s="44" t="s">
        <v>194</v>
      </c>
      <c r="T714" s="37" t="s">
        <v>2465</v>
      </c>
      <c r="U714" s="45" t="str">
        <f>IF(records_2[Type]="Room",records_2[roomNo],records_2[roomNo]&amp;"-"&amp;SUBSTITUTE(RIGHT(records_2[roomNo]&amp;records_2[Type],2),"-",""))</f>
        <v>16-1-098</v>
      </c>
      <c r="V714" s="47" t="str">
        <f t="array" ref="V714">_xlfn.XLOOKUP(records_2[ID], dAir[roomNo], dAir[roomName])</f>
        <v>CIP/SIP</v>
      </c>
      <c r="W714" s="47" t="str">
        <f t="array" ref="W714">_xlfn.XLOOKUP(records_2[ID], dAir[roomNo], dAir[building])</f>
        <v>Building 16</v>
      </c>
      <c r="X714" s="47" t="str">
        <f t="array" ref="X714">_xlfn.XLOOKUP(records_2[ID], dAir[roomNo], dAir[floor])</f>
        <v>Floor 1</v>
      </c>
      <c r="Y714" s="45" t="str">
        <f t="array" ref="Y714">_xlfn.XLOOKUP(records_2[ID], dAir[roomNo], dAir[Class])</f>
        <v>C</v>
      </c>
      <c r="Z714" s="45">
        <f t="array" ref="Z714">_xlfn.XLOOKUP(records_2[Method]&amp;"-"&amp;records_2[Class], dAirSpec[ID], dAirSpec[Spec])</f>
        <v>50</v>
      </c>
      <c r="AA714" s="45" t="str">
        <f t="array" ref="AA714">_xlfn.XLOOKUP(records_2[Method]&amp;"-"&amp;records_2[Class], dAirSpec[ID], dAirSpec[Unit])</f>
        <v>cfu/plate</v>
      </c>
      <c r="AB714" s="58">
        <f t="array" ref="AB714">if(R714="","", if(records_2[Method]="Active Air",_xlfn.xlookup(records_2[ColonyCount]&amp;records_2[AirSampler],feller[code],feller[Vc]),records_2[ColonyCount]))</f>
        <v>0</v>
      </c>
      <c r="AC714" s="60" t="b">
        <f t="shared" si="1"/>
        <v>1</v>
      </c>
      <c r="AD714" s="61" t="b">
        <v>0</v>
      </c>
      <c r="AE714" s="32" t="s">
        <v>280</v>
      </c>
      <c r="AF714" s="46"/>
      <c r="AG714" s="46"/>
      <c r="AH714" s="46"/>
      <c r="AI714" s="46"/>
      <c r="AJ714" s="46"/>
    </row>
    <row r="715" ht="22.5" customHeight="1">
      <c r="A715" s="27">
        <v>46152.0</v>
      </c>
      <c r="B715" s="34" t="str">
        <f t="array" ref="B715">TEXT(A715, "MM-YYYY")</f>
        <v>05-2026</v>
      </c>
      <c r="C715" s="39" t="s">
        <v>1484</v>
      </c>
      <c r="D715" s="36" t="s">
        <v>210</v>
      </c>
      <c r="E715" s="36" t="s">
        <v>213</v>
      </c>
      <c r="F715" s="29" t="b">
        <v>1</v>
      </c>
      <c r="G715" s="36" t="s">
        <v>214</v>
      </c>
      <c r="H715" s="36" t="s">
        <v>215</v>
      </c>
      <c r="I715" s="39"/>
      <c r="J715" s="40"/>
      <c r="K715" s="37" t="s">
        <v>687</v>
      </c>
      <c r="L715" s="37" t="s">
        <v>495</v>
      </c>
      <c r="M715" s="37" t="s">
        <v>2195</v>
      </c>
      <c r="N715" s="37" t="s">
        <v>1672</v>
      </c>
      <c r="O715" s="37" t="s">
        <v>759</v>
      </c>
      <c r="P715" s="37" t="s">
        <v>760</v>
      </c>
      <c r="Q715" s="41">
        <v>46195.0</v>
      </c>
      <c r="R715" s="42">
        <v>0.0</v>
      </c>
      <c r="S715" s="44" t="s">
        <v>194</v>
      </c>
      <c r="T715" s="37" t="s">
        <v>2465</v>
      </c>
      <c r="U715" s="45" t="str">
        <f>IF(records_2[Type]="Room",records_2[roomNo],records_2[roomNo]&amp;"-"&amp;SUBSTITUTE(RIGHT(records_2[roomNo]&amp;records_2[Type],2),"-",""))</f>
        <v>16-1-099</v>
      </c>
      <c r="V715" s="47" t="str">
        <f t="array" ref="V715">_xlfn.XLOOKUP(records_2[ID], dAir[roomNo], dAir[roomName])</f>
        <v>MAL</v>
      </c>
      <c r="W715" s="47" t="str">
        <f t="array" ref="W715">_xlfn.XLOOKUP(records_2[ID], dAir[roomNo], dAir[building])</f>
        <v>Building 16</v>
      </c>
      <c r="X715" s="47" t="str">
        <f t="array" ref="X715">_xlfn.XLOOKUP(records_2[ID], dAir[roomNo], dAir[floor])</f>
        <v>Floor 1</v>
      </c>
      <c r="Y715" s="45" t="str">
        <f t="array" ref="Y715">_xlfn.XLOOKUP(records_2[ID], dAir[roomNo], dAir[Class])</f>
        <v>C</v>
      </c>
      <c r="Z715" s="45">
        <f t="array" ref="Z715">_xlfn.XLOOKUP(records_2[Method]&amp;"-"&amp;records_2[Class], dAirSpec[ID], dAirSpec[Spec])</f>
        <v>50</v>
      </c>
      <c r="AA715" s="45" t="str">
        <f t="array" ref="AA715">_xlfn.XLOOKUP(records_2[Method]&amp;"-"&amp;records_2[Class], dAirSpec[ID], dAirSpec[Unit])</f>
        <v>cfu/plate</v>
      </c>
      <c r="AB715" s="58">
        <f t="array" ref="AB715">if(R715="","", if(records_2[Method]="Active Air",_xlfn.xlookup(records_2[ColonyCount]&amp;records_2[AirSampler],feller[code],feller[Vc]),records_2[ColonyCount]))</f>
        <v>0</v>
      </c>
      <c r="AC715" s="60" t="b">
        <f t="shared" si="1"/>
        <v>1</v>
      </c>
      <c r="AD715" s="61" t="b">
        <v>0</v>
      </c>
      <c r="AE715" s="32" t="s">
        <v>280</v>
      </c>
      <c r="AF715" s="46"/>
      <c r="AG715" s="46"/>
      <c r="AH715" s="46"/>
      <c r="AI715" s="46"/>
      <c r="AJ715" s="46"/>
    </row>
    <row r="716" ht="22.5" customHeight="1">
      <c r="A716" s="27">
        <v>46152.0</v>
      </c>
      <c r="B716" s="34" t="str">
        <f t="array" ref="B716">TEXT(A716, "MM-YYYY")</f>
        <v>05-2026</v>
      </c>
      <c r="C716" s="39" t="s">
        <v>1485</v>
      </c>
      <c r="D716" s="36" t="s">
        <v>210</v>
      </c>
      <c r="E716" s="36" t="s">
        <v>213</v>
      </c>
      <c r="F716" s="29" t="b">
        <v>1</v>
      </c>
      <c r="G716" s="36" t="s">
        <v>214</v>
      </c>
      <c r="H716" s="36" t="s">
        <v>215</v>
      </c>
      <c r="I716" s="39"/>
      <c r="J716" s="40"/>
      <c r="K716" s="37" t="s">
        <v>500</v>
      </c>
      <c r="L716" s="37" t="s">
        <v>418</v>
      </c>
      <c r="M716" s="37" t="s">
        <v>2195</v>
      </c>
      <c r="N716" s="37" t="s">
        <v>1672</v>
      </c>
      <c r="O716" s="37" t="s">
        <v>759</v>
      </c>
      <c r="P716" s="37" t="s">
        <v>760</v>
      </c>
      <c r="Q716" s="41">
        <v>46195.0</v>
      </c>
      <c r="R716" s="42">
        <v>0.0</v>
      </c>
      <c r="S716" s="44" t="s">
        <v>194</v>
      </c>
      <c r="T716" s="37" t="s">
        <v>2465</v>
      </c>
      <c r="U716" s="45" t="str">
        <f>IF(records_2[Type]="Room",records_2[roomNo],records_2[roomNo]&amp;"-"&amp;SUBSTITUTE(RIGHT(records_2[roomNo]&amp;records_2[Type],2),"-",""))</f>
        <v>16-1-100</v>
      </c>
      <c r="V716" s="47" t="str">
        <f t="array" ref="V716">_xlfn.XLOOKUP(records_2[ID], dAir[roomNo], dAir[roomName])</f>
        <v>MAL</v>
      </c>
      <c r="W716" s="47" t="str">
        <f t="array" ref="W716">_xlfn.XLOOKUP(records_2[ID], dAir[roomNo], dAir[building])</f>
        <v>Building 16</v>
      </c>
      <c r="X716" s="47" t="str">
        <f t="array" ref="X716">_xlfn.XLOOKUP(records_2[ID], dAir[roomNo], dAir[floor])</f>
        <v>Floor 1</v>
      </c>
      <c r="Y716" s="45" t="str">
        <f t="array" ref="Y716">_xlfn.XLOOKUP(records_2[ID], dAir[roomNo], dAir[Class])</f>
        <v>D</v>
      </c>
      <c r="Z716" s="45">
        <f t="array" ref="Z716">_xlfn.XLOOKUP(records_2[Method]&amp;"-"&amp;records_2[Class], dAirSpec[ID], dAirSpec[Spec])</f>
        <v>100</v>
      </c>
      <c r="AA716" s="45" t="str">
        <f t="array" ref="AA716">_xlfn.XLOOKUP(records_2[Method]&amp;"-"&amp;records_2[Class], dAirSpec[ID], dAirSpec[Unit])</f>
        <v>cfu/plate</v>
      </c>
      <c r="AB716" s="58">
        <f t="array" ref="AB716">if(R716="","", if(records_2[Method]="Active Air",_xlfn.xlookup(records_2[ColonyCount]&amp;records_2[AirSampler],feller[code],feller[Vc]),records_2[ColonyCount]))</f>
        <v>0</v>
      </c>
      <c r="AC716" s="60" t="b">
        <f t="shared" si="1"/>
        <v>1</v>
      </c>
      <c r="AD716" s="61" t="b">
        <v>0</v>
      </c>
      <c r="AE716" s="32" t="s">
        <v>280</v>
      </c>
      <c r="AF716" s="46"/>
      <c r="AG716" s="46"/>
      <c r="AH716" s="46"/>
      <c r="AI716" s="46"/>
      <c r="AJ716" s="46"/>
    </row>
    <row r="717" ht="22.5" customHeight="1">
      <c r="A717" s="27">
        <v>46152.0</v>
      </c>
      <c r="B717" s="34" t="str">
        <f t="array" ref="B717">TEXT(A717, "MM-YYYY")</f>
        <v>05-2026</v>
      </c>
      <c r="C717" s="39" t="s">
        <v>1486</v>
      </c>
      <c r="D717" s="36" t="s">
        <v>210</v>
      </c>
      <c r="E717" s="36" t="s">
        <v>213</v>
      </c>
      <c r="F717" s="29" t="b">
        <v>1</v>
      </c>
      <c r="G717" s="36" t="s">
        <v>214</v>
      </c>
      <c r="H717" s="36" t="s">
        <v>215</v>
      </c>
      <c r="I717" s="39"/>
      <c r="J717" s="40"/>
      <c r="K717" s="37" t="s">
        <v>2470</v>
      </c>
      <c r="L717" s="37" t="s">
        <v>2490</v>
      </c>
      <c r="M717" s="37" t="s">
        <v>378</v>
      </c>
      <c r="N717" s="37" t="s">
        <v>1722</v>
      </c>
      <c r="O717" s="37" t="s">
        <v>759</v>
      </c>
      <c r="P717" s="37" t="s">
        <v>760</v>
      </c>
      <c r="Q717" s="41">
        <v>46195.0</v>
      </c>
      <c r="R717" s="42">
        <v>0.0</v>
      </c>
      <c r="S717" s="44" t="s">
        <v>194</v>
      </c>
      <c r="T717" s="37" t="s">
        <v>2465</v>
      </c>
      <c r="U717" s="45" t="str">
        <f>IF(records_2[Type]="Room",records_2[roomNo],records_2[roomNo]&amp;"-"&amp;SUBSTITUTE(RIGHT(records_2[roomNo]&amp;records_2[Type],2),"-",""))</f>
        <v>16-1-101</v>
      </c>
      <c r="V717" s="47" t="str">
        <f t="array" ref="V717">_xlfn.XLOOKUP(records_2[ID], dAir[roomNo], dAir[roomName])</f>
        <v>AIRLOCK</v>
      </c>
      <c r="W717" s="47" t="str">
        <f t="array" ref="W717">_xlfn.XLOOKUP(records_2[ID], dAir[roomNo], dAir[building])</f>
        <v>Building 16</v>
      </c>
      <c r="X717" s="47" t="str">
        <f t="array" ref="X717">_xlfn.XLOOKUP(records_2[ID], dAir[roomNo], dAir[floor])</f>
        <v>Floor 1</v>
      </c>
      <c r="Y717" s="45" t="str">
        <f t="array" ref="Y717">_xlfn.XLOOKUP(records_2[ID], dAir[roomNo], dAir[Class])</f>
        <v>C</v>
      </c>
      <c r="Z717" s="45">
        <f t="array" ref="Z717">_xlfn.XLOOKUP(records_2[Method]&amp;"-"&amp;records_2[Class], dAirSpec[ID], dAirSpec[Spec])</f>
        <v>50</v>
      </c>
      <c r="AA717" s="45" t="str">
        <f t="array" ref="AA717">_xlfn.XLOOKUP(records_2[Method]&amp;"-"&amp;records_2[Class], dAirSpec[ID], dAirSpec[Unit])</f>
        <v>cfu/plate</v>
      </c>
      <c r="AB717" s="58">
        <f t="array" ref="AB717">if(R717="","", if(records_2[Method]="Active Air",_xlfn.xlookup(records_2[ColonyCount]&amp;records_2[AirSampler],feller[code],feller[Vc]),records_2[ColonyCount]))</f>
        <v>0</v>
      </c>
      <c r="AC717" s="60" t="b">
        <f t="shared" si="1"/>
        <v>1</v>
      </c>
      <c r="AD717" s="61" t="b">
        <v>0</v>
      </c>
      <c r="AE717" s="32" t="s">
        <v>280</v>
      </c>
      <c r="AF717" s="46"/>
      <c r="AG717" s="46"/>
      <c r="AH717" s="46"/>
      <c r="AI717" s="46"/>
      <c r="AJ717" s="46"/>
    </row>
    <row r="718" ht="22.5" customHeight="1">
      <c r="A718" s="27">
        <v>46152.0</v>
      </c>
      <c r="B718" s="34" t="str">
        <f t="array" ref="B718">TEXT(A718, "MM-YYYY")</f>
        <v>05-2026</v>
      </c>
      <c r="C718" s="39" t="s">
        <v>1486</v>
      </c>
      <c r="D718" s="36" t="s">
        <v>1350</v>
      </c>
      <c r="E718" s="36" t="s">
        <v>213</v>
      </c>
      <c r="F718" s="29" t="b">
        <v>1</v>
      </c>
      <c r="G718" s="36" t="s">
        <v>214</v>
      </c>
      <c r="H718" s="36" t="s">
        <v>215</v>
      </c>
      <c r="I718" s="39"/>
      <c r="J718" s="40"/>
      <c r="K718" s="37" t="s">
        <v>2470</v>
      </c>
      <c r="L718" s="37" t="s">
        <v>2490</v>
      </c>
      <c r="M718" s="37" t="s">
        <v>378</v>
      </c>
      <c r="N718" s="37" t="s">
        <v>1722</v>
      </c>
      <c r="O718" s="37" t="s">
        <v>759</v>
      </c>
      <c r="P718" s="37" t="s">
        <v>760</v>
      </c>
      <c r="Q718" s="41">
        <v>46195.0</v>
      </c>
      <c r="R718" s="42">
        <v>0.0</v>
      </c>
      <c r="S718" s="44" t="s">
        <v>194</v>
      </c>
      <c r="T718" s="37" t="s">
        <v>2465</v>
      </c>
      <c r="U718" s="45" t="str">
        <f>IF(records_2[Type]="Room",records_2[roomNo],records_2[roomNo]&amp;"-"&amp;SUBSTITUTE(RIGHT(records_2[roomNo]&amp;records_2[Type],2),"-",""))</f>
        <v>16-1-101-PB</v>
      </c>
      <c r="V718" s="47" t="str">
        <f t="array" ref="V718">_xlfn.XLOOKUP(records_2[ID], dAir[roomNo], dAir[roomName])</f>
        <v>AIRLOCK (Passbox)</v>
      </c>
      <c r="W718" s="47" t="str">
        <f t="array" ref="W718">_xlfn.XLOOKUP(records_2[ID], dAir[roomNo], dAir[building])</f>
        <v>Building 16</v>
      </c>
      <c r="X718" s="47" t="str">
        <f t="array" ref="X718">_xlfn.XLOOKUP(records_2[ID], dAir[roomNo], dAir[floor])</f>
        <v>Floor 1</v>
      </c>
      <c r="Y718" s="45" t="str">
        <f t="array" ref="Y718">_xlfn.XLOOKUP(records_2[ID], dAir[roomNo], dAir[Class])</f>
        <v>C</v>
      </c>
      <c r="Z718" s="45">
        <f t="array" ref="Z718">_xlfn.XLOOKUP(records_2[Method]&amp;"-"&amp;records_2[Class], dAirSpec[ID], dAirSpec[Spec])</f>
        <v>50</v>
      </c>
      <c r="AA718" s="45" t="str">
        <f t="array" ref="AA718">_xlfn.XLOOKUP(records_2[Method]&amp;"-"&amp;records_2[Class], dAirSpec[ID], dAirSpec[Unit])</f>
        <v>cfu/plate</v>
      </c>
      <c r="AB718" s="58">
        <f t="array" ref="AB718">if(R718="","", if(records_2[Method]="Active Air",_xlfn.xlookup(records_2[ColonyCount]&amp;records_2[AirSampler],feller[code],feller[Vc]),records_2[ColonyCount]))</f>
        <v>0</v>
      </c>
      <c r="AC718" s="60" t="b">
        <f t="shared" si="1"/>
        <v>1</v>
      </c>
      <c r="AD718" s="61" t="b">
        <v>0</v>
      </c>
      <c r="AE718" s="32" t="s">
        <v>280</v>
      </c>
      <c r="AF718" s="46"/>
      <c r="AG718" s="46"/>
      <c r="AH718" s="46"/>
      <c r="AI718" s="46"/>
      <c r="AJ718" s="46"/>
    </row>
    <row r="719" ht="22.5" customHeight="1">
      <c r="A719" s="27">
        <v>46152.0</v>
      </c>
      <c r="B719" s="34" t="str">
        <f t="array" ref="B719">TEXT(A719, "MM-YYYY")</f>
        <v>05-2026</v>
      </c>
      <c r="C719" s="32" t="s">
        <v>786</v>
      </c>
      <c r="D719" s="21" t="s">
        <v>680</v>
      </c>
      <c r="E719" s="36" t="s">
        <v>531</v>
      </c>
      <c r="F719" s="29" t="b">
        <v>1</v>
      </c>
      <c r="G719" s="36" t="s">
        <v>214</v>
      </c>
      <c r="H719" s="36" t="s">
        <v>757</v>
      </c>
      <c r="I719" s="39"/>
      <c r="J719" s="40"/>
      <c r="K719" s="37" t="s">
        <v>2491</v>
      </c>
      <c r="L719" s="37" t="s">
        <v>331</v>
      </c>
      <c r="M719" s="37" t="s">
        <v>2492</v>
      </c>
      <c r="N719" s="37" t="s">
        <v>2322</v>
      </c>
      <c r="O719" s="37" t="s">
        <v>759</v>
      </c>
      <c r="P719" s="37" t="s">
        <v>760</v>
      </c>
      <c r="Q719" s="41">
        <v>46195.0</v>
      </c>
      <c r="R719" s="42">
        <v>2.0</v>
      </c>
      <c r="S719" s="44" t="s">
        <v>194</v>
      </c>
      <c r="T719" s="37" t="s">
        <v>2465</v>
      </c>
      <c r="U719" s="45" t="str">
        <f>IF(records_2[Type]="Room",records_2[roomNo],records_2[roomNo]&amp;"-"&amp;SUBSTITUTE(RIGHT(records_2[roomNo]&amp;records_2[Type],2),"-",""))</f>
        <v>16-1-102-B</v>
      </c>
      <c r="V719" s="47" t="str">
        <f t="array" ref="V719">_xlfn.XLOOKUP(records_2[ID], dAir[roomNo], dAir[roomName])</f>
        <v>DISPENSING (Booth)</v>
      </c>
      <c r="W719" s="47" t="str">
        <f t="array" ref="W719">_xlfn.XLOOKUP(records_2[ID], dAir[roomNo], dAir[building])</f>
        <v>Building 16</v>
      </c>
      <c r="X719" s="47" t="str">
        <f t="array" ref="X719">_xlfn.XLOOKUP(records_2[ID], dAir[roomNo], dAir[floor])</f>
        <v>Floor 1</v>
      </c>
      <c r="Y719" s="45" t="str">
        <f t="array" ref="Y719">_xlfn.XLOOKUP(records_2[ID], dAir[roomNo], dAir[Class])</f>
        <v>A</v>
      </c>
      <c r="Z719" s="45">
        <f t="array" ref="Z719">_xlfn.XLOOKUP(records_2[Method]&amp;"-"&amp;records_2[Class], dAirSpec[ID], dAirSpec[Spec])</f>
        <v>0</v>
      </c>
      <c r="AA719" s="45" t="str">
        <f t="array" ref="AA719">_xlfn.XLOOKUP(records_2[Method]&amp;"-"&amp;records_2[Class], dAirSpec[ID], dAirSpec[Unit])</f>
        <v>cfu/m3</v>
      </c>
      <c r="AB719" s="45">
        <f t="array" ref="AB719">if(R719="","", if(records_2[Method]="Active Air",_xlfn.xlookup(records_2[ColonyCount]&amp;records_2[AirSampler],feller[code],feller[Vc]),records_2[ColonyCount]))</f>
        <v>2</v>
      </c>
      <c r="AC719" s="60" t="b">
        <f t="shared" si="1"/>
        <v>0</v>
      </c>
      <c r="AD719" s="61" t="b">
        <v>0</v>
      </c>
      <c r="AE719" s="32" t="s">
        <v>280</v>
      </c>
      <c r="AF719" s="46"/>
      <c r="AG719" s="46"/>
      <c r="AH719" s="46"/>
      <c r="AI719" s="46"/>
      <c r="AJ719" s="46"/>
    </row>
    <row r="720" ht="22.5" customHeight="1">
      <c r="A720" s="27">
        <v>46152.0</v>
      </c>
      <c r="B720" s="34" t="str">
        <f t="array" ref="B720">TEXT(A720, "MM-YYYY")</f>
        <v>05-2026</v>
      </c>
      <c r="C720" s="39" t="s">
        <v>786</v>
      </c>
      <c r="D720" s="36" t="s">
        <v>210</v>
      </c>
      <c r="E720" s="36" t="s">
        <v>213</v>
      </c>
      <c r="F720" s="29" t="b">
        <v>1</v>
      </c>
      <c r="G720" s="36" t="s">
        <v>214</v>
      </c>
      <c r="H720" s="36" t="s">
        <v>215</v>
      </c>
      <c r="I720" s="39"/>
      <c r="J720" s="40"/>
      <c r="K720" s="37" t="s">
        <v>2491</v>
      </c>
      <c r="L720" s="37" t="s">
        <v>331</v>
      </c>
      <c r="M720" s="37" t="s">
        <v>319</v>
      </c>
      <c r="N720" s="37" t="s">
        <v>1672</v>
      </c>
      <c r="O720" s="37" t="s">
        <v>759</v>
      </c>
      <c r="P720" s="37" t="s">
        <v>760</v>
      </c>
      <c r="Q720" s="41">
        <v>46195.0</v>
      </c>
      <c r="R720" s="42">
        <v>1.0</v>
      </c>
      <c r="S720" s="44" t="s">
        <v>194</v>
      </c>
      <c r="T720" s="37" t="s">
        <v>2465</v>
      </c>
      <c r="U720" s="45" t="str">
        <f>IF(records_2[Type]="Room",records_2[roomNo],records_2[roomNo]&amp;"-"&amp;SUBSTITUTE(RIGHT(records_2[roomNo]&amp;records_2[Type],2),"-",""))</f>
        <v>16-1-102</v>
      </c>
      <c r="V720" s="47" t="str">
        <f t="array" ref="V720">_xlfn.XLOOKUP(records_2[ID], dAir[roomNo], dAir[roomName])</f>
        <v>DISPENSING</v>
      </c>
      <c r="W720" s="47" t="str">
        <f t="array" ref="W720">_xlfn.XLOOKUP(records_2[ID], dAir[roomNo], dAir[building])</f>
        <v>Building 16</v>
      </c>
      <c r="X720" s="47" t="str">
        <f t="array" ref="X720">_xlfn.XLOOKUP(records_2[ID], dAir[roomNo], dAir[floor])</f>
        <v>Floor 1</v>
      </c>
      <c r="Y720" s="45" t="str">
        <f t="array" ref="Y720">_xlfn.XLOOKUP(records_2[ID], dAir[roomNo], dAir[Class])</f>
        <v>C</v>
      </c>
      <c r="Z720" s="45">
        <f t="array" ref="Z720">_xlfn.XLOOKUP(records_2[Method]&amp;"-"&amp;records_2[Class], dAirSpec[ID], dAirSpec[Spec])</f>
        <v>50</v>
      </c>
      <c r="AA720" s="45" t="str">
        <f t="array" ref="AA720">_xlfn.XLOOKUP(records_2[Method]&amp;"-"&amp;records_2[Class], dAirSpec[ID], dAirSpec[Unit])</f>
        <v>cfu/plate</v>
      </c>
      <c r="AB720" s="58">
        <f t="array" ref="AB720">if(R720="","", if(records_2[Method]="Active Air",_xlfn.xlookup(records_2[ColonyCount]&amp;records_2[AirSampler],feller[code],feller[Vc]),records_2[ColonyCount]))</f>
        <v>1</v>
      </c>
      <c r="AC720" s="60" t="b">
        <f t="shared" si="1"/>
        <v>1</v>
      </c>
      <c r="AD720" s="61" t="b">
        <v>0</v>
      </c>
      <c r="AE720" s="32" t="s">
        <v>280</v>
      </c>
      <c r="AF720" s="46"/>
      <c r="AG720" s="46"/>
      <c r="AH720" s="46"/>
      <c r="AI720" s="46"/>
      <c r="AJ720" s="46"/>
    </row>
    <row r="721" ht="22.5" customHeight="1">
      <c r="A721" s="27">
        <v>46152.0</v>
      </c>
      <c r="B721" s="34" t="str">
        <f t="array" ref="B721">TEXT(A721, "MM-YYYY")</f>
        <v>05-2026</v>
      </c>
      <c r="C721" s="39" t="s">
        <v>1492</v>
      </c>
      <c r="D721" s="36" t="s">
        <v>210</v>
      </c>
      <c r="E721" s="36" t="s">
        <v>213</v>
      </c>
      <c r="F721" s="29" t="b">
        <v>1</v>
      </c>
      <c r="G721" s="36" t="s">
        <v>214</v>
      </c>
      <c r="H721" s="36" t="s">
        <v>215</v>
      </c>
      <c r="I721" s="39"/>
      <c r="J721" s="40"/>
      <c r="K721" s="37" t="s">
        <v>687</v>
      </c>
      <c r="L721" s="37" t="s">
        <v>1577</v>
      </c>
      <c r="M721" s="37" t="s">
        <v>319</v>
      </c>
      <c r="N721" s="37" t="s">
        <v>1672</v>
      </c>
      <c r="O721" s="37" t="s">
        <v>759</v>
      </c>
      <c r="P721" s="37" t="s">
        <v>760</v>
      </c>
      <c r="Q721" s="41">
        <v>46195.0</v>
      </c>
      <c r="R721" s="42">
        <v>1.0</v>
      </c>
      <c r="S721" s="44" t="s">
        <v>194</v>
      </c>
      <c r="T721" s="37" t="s">
        <v>2465</v>
      </c>
      <c r="U721" s="45" t="str">
        <f>IF(records_2[Type]="Room",records_2[roomNo],records_2[roomNo]&amp;"-"&amp;SUBSTITUTE(RIGHT(records_2[roomNo]&amp;records_2[Type],2),"-",""))</f>
        <v>16-1-103</v>
      </c>
      <c r="V721" s="47" t="str">
        <f t="array" ref="V721">_xlfn.XLOOKUP(records_2[ID], dAir[roomNo], dAir[roomName])</f>
        <v>DISPENSED MATERIAL STAGING</v>
      </c>
      <c r="W721" s="47" t="str">
        <f t="array" ref="W721">_xlfn.XLOOKUP(records_2[ID], dAir[roomNo], dAir[building])</f>
        <v>Building 16</v>
      </c>
      <c r="X721" s="47" t="str">
        <f t="array" ref="X721">_xlfn.XLOOKUP(records_2[ID], dAir[roomNo], dAir[floor])</f>
        <v>Floor 1</v>
      </c>
      <c r="Y721" s="45" t="str">
        <f t="array" ref="Y721">_xlfn.XLOOKUP(records_2[ID], dAir[roomNo], dAir[Class])</f>
        <v>C</v>
      </c>
      <c r="Z721" s="45">
        <f t="array" ref="Z721">_xlfn.XLOOKUP(records_2[Method]&amp;"-"&amp;records_2[Class], dAirSpec[ID], dAirSpec[Spec])</f>
        <v>50</v>
      </c>
      <c r="AA721" s="45" t="str">
        <f t="array" ref="AA721">_xlfn.XLOOKUP(records_2[Method]&amp;"-"&amp;records_2[Class], dAirSpec[ID], dAirSpec[Unit])</f>
        <v>cfu/plate</v>
      </c>
      <c r="AB721" s="58">
        <f t="array" ref="AB721">if(R721="","", if(records_2[Method]="Active Air",_xlfn.xlookup(records_2[ColonyCount]&amp;records_2[AirSampler],feller[code],feller[Vc]),records_2[ColonyCount]))</f>
        <v>1</v>
      </c>
      <c r="AC721" s="60" t="b">
        <f t="shared" si="1"/>
        <v>1</v>
      </c>
      <c r="AD721" s="61" t="b">
        <v>0</v>
      </c>
      <c r="AE721" s="32" t="s">
        <v>280</v>
      </c>
      <c r="AF721" s="46"/>
      <c r="AG721" s="46"/>
      <c r="AH721" s="46"/>
      <c r="AI721" s="46"/>
      <c r="AJ721" s="46"/>
    </row>
    <row r="722" ht="22.5" customHeight="1">
      <c r="A722" s="27">
        <v>46152.0</v>
      </c>
      <c r="B722" s="34" t="str">
        <f t="array" ref="B722">TEXT(A722, "MM-YYYY")</f>
        <v>05-2026</v>
      </c>
      <c r="C722" s="39" t="s">
        <v>1493</v>
      </c>
      <c r="D722" s="36" t="s">
        <v>210</v>
      </c>
      <c r="E722" s="36" t="s">
        <v>213</v>
      </c>
      <c r="F722" s="29" t="b">
        <v>1</v>
      </c>
      <c r="G722" s="36" t="s">
        <v>214</v>
      </c>
      <c r="H722" s="36" t="s">
        <v>215</v>
      </c>
      <c r="I722" s="39"/>
      <c r="J722" s="40"/>
      <c r="K722" s="37" t="s">
        <v>344</v>
      </c>
      <c r="L722" s="37" t="s">
        <v>834</v>
      </c>
      <c r="M722" s="37" t="s">
        <v>319</v>
      </c>
      <c r="N722" s="37" t="s">
        <v>1584</v>
      </c>
      <c r="O722" s="37" t="s">
        <v>759</v>
      </c>
      <c r="P722" s="37" t="s">
        <v>760</v>
      </c>
      <c r="Q722" s="41">
        <v>46195.0</v>
      </c>
      <c r="R722" s="42">
        <v>5.0</v>
      </c>
      <c r="S722" s="44" t="s">
        <v>194</v>
      </c>
      <c r="T722" s="37" t="s">
        <v>2465</v>
      </c>
      <c r="U722" s="45" t="str">
        <f>IF(records_2[Type]="Room",records_2[roomNo],records_2[roomNo]&amp;"-"&amp;SUBSTITUTE(RIGHT(records_2[roomNo]&amp;records_2[Type],2),"-",""))</f>
        <v>16-1-104</v>
      </c>
      <c r="V722" s="47" t="str">
        <f t="array" ref="V722">_xlfn.XLOOKUP(records_2[ID], dAir[roomNo], dAir[roomName])</f>
        <v>AMPOULES INTERNAL STAGING</v>
      </c>
      <c r="W722" s="47" t="str">
        <f t="array" ref="W722">_xlfn.XLOOKUP(records_2[ID], dAir[roomNo], dAir[building])</f>
        <v>Building 16</v>
      </c>
      <c r="X722" s="47" t="str">
        <f t="array" ref="X722">_xlfn.XLOOKUP(records_2[ID], dAir[roomNo], dAir[floor])</f>
        <v>Floor 1</v>
      </c>
      <c r="Y722" s="45" t="str">
        <f t="array" ref="Y722">_xlfn.XLOOKUP(records_2[ID], dAir[roomNo], dAir[Class])</f>
        <v>C</v>
      </c>
      <c r="Z722" s="45">
        <f t="array" ref="Z722">_xlfn.XLOOKUP(records_2[Method]&amp;"-"&amp;records_2[Class], dAirSpec[ID], dAirSpec[Spec])</f>
        <v>50</v>
      </c>
      <c r="AA722" s="45" t="str">
        <f t="array" ref="AA722">_xlfn.XLOOKUP(records_2[Method]&amp;"-"&amp;records_2[Class], dAirSpec[ID], dAirSpec[Unit])</f>
        <v>cfu/plate</v>
      </c>
      <c r="AB722" s="58">
        <f t="array" ref="AB722">if(R722="","", if(records_2[Method]="Active Air",_xlfn.xlookup(records_2[ColonyCount]&amp;records_2[AirSampler],feller[code],feller[Vc]),records_2[ColonyCount]))</f>
        <v>5</v>
      </c>
      <c r="AC722" s="60" t="b">
        <f t="shared" si="1"/>
        <v>1</v>
      </c>
      <c r="AD722" s="61" t="b">
        <v>0</v>
      </c>
      <c r="AE722" s="32" t="s">
        <v>280</v>
      </c>
      <c r="AF722" s="46"/>
      <c r="AG722" s="46"/>
      <c r="AH722" s="46"/>
      <c r="AI722" s="46"/>
      <c r="AJ722" s="46"/>
    </row>
    <row r="723" ht="22.5" customHeight="1">
      <c r="A723" s="27">
        <v>46152.0</v>
      </c>
      <c r="B723" s="34" t="str">
        <f t="array" ref="B723">TEXT(A723, "MM-YYYY")</f>
        <v>05-2026</v>
      </c>
      <c r="C723" s="39" t="s">
        <v>1493</v>
      </c>
      <c r="D723" s="36" t="s">
        <v>1350</v>
      </c>
      <c r="E723" s="36" t="s">
        <v>213</v>
      </c>
      <c r="F723" s="29" t="b">
        <v>1</v>
      </c>
      <c r="G723" s="36" t="s">
        <v>214</v>
      </c>
      <c r="H723" s="36" t="s">
        <v>215</v>
      </c>
      <c r="I723" s="39"/>
      <c r="J723" s="40"/>
      <c r="K723" s="37" t="s">
        <v>344</v>
      </c>
      <c r="L723" s="37" t="s">
        <v>834</v>
      </c>
      <c r="M723" s="37" t="s">
        <v>319</v>
      </c>
      <c r="N723" s="37" t="s">
        <v>1584</v>
      </c>
      <c r="O723" s="37" t="s">
        <v>759</v>
      </c>
      <c r="P723" s="37" t="s">
        <v>760</v>
      </c>
      <c r="Q723" s="41">
        <v>46195.0</v>
      </c>
      <c r="R723" s="42">
        <v>0.0</v>
      </c>
      <c r="S723" s="44" t="s">
        <v>194</v>
      </c>
      <c r="T723" s="37" t="s">
        <v>2465</v>
      </c>
      <c r="U723" s="45" t="str">
        <f>IF(records_2[Type]="Room",records_2[roomNo],records_2[roomNo]&amp;"-"&amp;SUBSTITUTE(RIGHT(records_2[roomNo]&amp;records_2[Type],2),"-",""))</f>
        <v>16-1-104-PB</v>
      </c>
      <c r="V723" s="47" t="str">
        <f t="array" ref="V723">_xlfn.XLOOKUP(records_2[ID], dAir[roomNo], dAir[roomName])</f>
        <v>AMPOULES INTERNAL STAGING (Passbox)</v>
      </c>
      <c r="W723" s="47" t="str">
        <f t="array" ref="W723">_xlfn.XLOOKUP(records_2[ID], dAir[roomNo], dAir[building])</f>
        <v>Building 16</v>
      </c>
      <c r="X723" s="47" t="str">
        <f t="array" ref="X723">_xlfn.XLOOKUP(records_2[ID], dAir[roomNo], dAir[floor])</f>
        <v>Floor 1</v>
      </c>
      <c r="Y723" s="45" t="str">
        <f t="array" ref="Y723">_xlfn.XLOOKUP(records_2[ID], dAir[roomNo], dAir[Class])</f>
        <v>C</v>
      </c>
      <c r="Z723" s="45">
        <f t="array" ref="Z723">_xlfn.XLOOKUP(records_2[Method]&amp;"-"&amp;records_2[Class], dAirSpec[ID], dAirSpec[Spec])</f>
        <v>50</v>
      </c>
      <c r="AA723" s="45" t="str">
        <f t="array" ref="AA723">_xlfn.XLOOKUP(records_2[Method]&amp;"-"&amp;records_2[Class], dAirSpec[ID], dAirSpec[Unit])</f>
        <v>cfu/plate</v>
      </c>
      <c r="AB723" s="58">
        <f t="array" ref="AB723">if(R723="","", if(records_2[Method]="Active Air",_xlfn.xlookup(records_2[ColonyCount]&amp;records_2[AirSampler],feller[code],feller[Vc]),records_2[ColonyCount]))</f>
        <v>0</v>
      </c>
      <c r="AC723" s="60" t="b">
        <f t="shared" si="1"/>
        <v>1</v>
      </c>
      <c r="AD723" s="61" t="b">
        <v>0</v>
      </c>
      <c r="AE723" s="32" t="s">
        <v>280</v>
      </c>
      <c r="AF723" s="46"/>
      <c r="AG723" s="46"/>
      <c r="AH723" s="46"/>
      <c r="AI723" s="46"/>
      <c r="AJ723" s="46"/>
    </row>
    <row r="724" ht="22.5" customHeight="1">
      <c r="A724" s="27">
        <v>46152.0</v>
      </c>
      <c r="B724" s="34" t="str">
        <f t="array" ref="B724">TEXT(A724, "MM-YYYY")</f>
        <v>05-2026</v>
      </c>
      <c r="C724" s="39" t="s">
        <v>754</v>
      </c>
      <c r="D724" s="36" t="s">
        <v>210</v>
      </c>
      <c r="E724" s="36" t="s">
        <v>213</v>
      </c>
      <c r="F724" s="29" t="b">
        <v>1</v>
      </c>
      <c r="G724" s="36" t="s">
        <v>214</v>
      </c>
      <c r="H724" s="36" t="s">
        <v>215</v>
      </c>
      <c r="I724" s="39"/>
      <c r="J724" s="40"/>
      <c r="K724" s="37" t="s">
        <v>377</v>
      </c>
      <c r="L724" s="37" t="s">
        <v>540</v>
      </c>
      <c r="M724" s="37" t="s">
        <v>319</v>
      </c>
      <c r="N724" s="37" t="s">
        <v>1584</v>
      </c>
      <c r="O724" s="37" t="s">
        <v>759</v>
      </c>
      <c r="P724" s="37" t="s">
        <v>760</v>
      </c>
      <c r="Q724" s="41">
        <v>46195.0</v>
      </c>
      <c r="R724" s="42">
        <v>0.0</v>
      </c>
      <c r="S724" s="44" t="s">
        <v>194</v>
      </c>
      <c r="T724" s="37" t="s">
        <v>2465</v>
      </c>
      <c r="U724" s="45" t="str">
        <f>IF(records_2[Type]="Room",records_2[roomNo],records_2[roomNo]&amp;"-"&amp;SUBSTITUTE(RIGHT(records_2[roomNo]&amp;records_2[Type],2),"-",""))</f>
        <v>16-1-105</v>
      </c>
      <c r="V724" s="47" t="str">
        <f t="array" ref="V724">_xlfn.XLOOKUP(records_2[ID], dAir[roomNo], dAir[roomName])</f>
        <v>WASHING / TUNNEL 1</v>
      </c>
      <c r="W724" s="47" t="str">
        <f t="array" ref="W724">_xlfn.XLOOKUP(records_2[ID], dAir[roomNo], dAir[building])</f>
        <v>Building 16</v>
      </c>
      <c r="X724" s="47" t="str">
        <f t="array" ref="X724">_xlfn.XLOOKUP(records_2[ID], dAir[roomNo], dAir[floor])</f>
        <v>Floor 1</v>
      </c>
      <c r="Y724" s="45" t="str">
        <f t="array" ref="Y724">_xlfn.XLOOKUP(records_2[ID], dAir[roomNo], dAir[Class])</f>
        <v>C</v>
      </c>
      <c r="Z724" s="45">
        <f t="array" ref="Z724">_xlfn.XLOOKUP(records_2[Method]&amp;"-"&amp;records_2[Class], dAirSpec[ID], dAirSpec[Spec])</f>
        <v>50</v>
      </c>
      <c r="AA724" s="45" t="str">
        <f t="array" ref="AA724">_xlfn.XLOOKUP(records_2[Method]&amp;"-"&amp;records_2[Class], dAirSpec[ID], dAirSpec[Unit])</f>
        <v>cfu/plate</v>
      </c>
      <c r="AB724" s="58">
        <f t="array" ref="AB724">if(R724="","", if(records_2[Method]="Active Air",_xlfn.xlookup(records_2[ColonyCount]&amp;records_2[AirSampler],feller[code],feller[Vc]),records_2[ColonyCount]))</f>
        <v>0</v>
      </c>
      <c r="AC724" s="60" t="b">
        <f t="shared" si="1"/>
        <v>1</v>
      </c>
      <c r="AD724" s="61" t="b">
        <v>0</v>
      </c>
      <c r="AE724" s="32" t="s">
        <v>280</v>
      </c>
      <c r="AF724" s="46"/>
      <c r="AG724" s="46"/>
      <c r="AH724" s="46"/>
      <c r="AI724" s="46"/>
      <c r="AJ724" s="46"/>
    </row>
    <row r="725" ht="22.5" customHeight="1">
      <c r="A725" s="27">
        <v>46152.0</v>
      </c>
      <c r="B725" s="34" t="str">
        <f t="array" ref="B725">TEXT(A725, "MM-YYYY")</f>
        <v>05-2026</v>
      </c>
      <c r="C725" s="39" t="s">
        <v>1498</v>
      </c>
      <c r="D725" s="36" t="s">
        <v>210</v>
      </c>
      <c r="E725" s="36" t="s">
        <v>213</v>
      </c>
      <c r="F725" s="29" t="b">
        <v>1</v>
      </c>
      <c r="G725" s="36" t="s">
        <v>214</v>
      </c>
      <c r="H725" s="36" t="s">
        <v>215</v>
      </c>
      <c r="I725" s="39"/>
      <c r="J725" s="40"/>
      <c r="K725" s="37" t="s">
        <v>787</v>
      </c>
      <c r="L725" s="37" t="s">
        <v>1452</v>
      </c>
      <c r="M725" s="37" t="s">
        <v>378</v>
      </c>
      <c r="N725" s="37" t="s">
        <v>1584</v>
      </c>
      <c r="O725" s="37" t="s">
        <v>759</v>
      </c>
      <c r="P725" s="37" t="s">
        <v>760</v>
      </c>
      <c r="Q725" s="41">
        <v>46195.0</v>
      </c>
      <c r="R725" s="42">
        <v>1.0</v>
      </c>
      <c r="S725" s="44" t="s">
        <v>194</v>
      </c>
      <c r="T725" s="37" t="s">
        <v>2465</v>
      </c>
      <c r="U725" s="45" t="str">
        <f>IF(records_2[Type]="Room",records_2[roomNo],records_2[roomNo]&amp;"-"&amp;SUBSTITUTE(RIGHT(records_2[roomNo]&amp;records_2[Type],2),"-",""))</f>
        <v>16-1-106</v>
      </c>
      <c r="V725" s="47" t="str">
        <f t="array" ref="V725">_xlfn.XLOOKUP(records_2[ID], dAir[roomNo], dAir[roomName])</f>
        <v>AIRLOCK</v>
      </c>
      <c r="W725" s="47" t="str">
        <f t="array" ref="W725">_xlfn.XLOOKUP(records_2[ID], dAir[roomNo], dAir[building])</f>
        <v>Building 16</v>
      </c>
      <c r="X725" s="47" t="str">
        <f t="array" ref="X725">_xlfn.XLOOKUP(records_2[ID], dAir[roomNo], dAir[floor])</f>
        <v>Floor 1</v>
      </c>
      <c r="Y725" s="45" t="str">
        <f t="array" ref="Y725">_xlfn.XLOOKUP(records_2[ID], dAir[roomNo], dAir[Class])</f>
        <v>C</v>
      </c>
      <c r="Z725" s="45">
        <f t="array" ref="Z725">_xlfn.XLOOKUP(records_2[Method]&amp;"-"&amp;records_2[Class], dAirSpec[ID], dAirSpec[Spec])</f>
        <v>50</v>
      </c>
      <c r="AA725" s="45" t="str">
        <f t="array" ref="AA725">_xlfn.XLOOKUP(records_2[Method]&amp;"-"&amp;records_2[Class], dAirSpec[ID], dAirSpec[Unit])</f>
        <v>cfu/plate</v>
      </c>
      <c r="AB725" s="58">
        <f t="array" ref="AB725">if(R725="","", if(records_2[Method]="Active Air",_xlfn.xlookup(records_2[ColonyCount]&amp;records_2[AirSampler],feller[code],feller[Vc]),records_2[ColonyCount]))</f>
        <v>1</v>
      </c>
      <c r="AC725" s="60" t="b">
        <f t="shared" si="1"/>
        <v>1</v>
      </c>
      <c r="AD725" s="61" t="b">
        <v>0</v>
      </c>
      <c r="AE725" s="32" t="s">
        <v>280</v>
      </c>
      <c r="AF725" s="46"/>
      <c r="AG725" s="46"/>
      <c r="AH725" s="46"/>
      <c r="AI725" s="46"/>
      <c r="AJ725" s="46"/>
    </row>
    <row r="726" ht="22.5" customHeight="1">
      <c r="A726" s="27">
        <v>46152.0</v>
      </c>
      <c r="B726" s="34" t="str">
        <f t="array" ref="B726">TEXT(A726, "MM-YYYY")</f>
        <v>05-2026</v>
      </c>
      <c r="C726" s="39" t="s">
        <v>763</v>
      </c>
      <c r="D726" s="36" t="s">
        <v>210</v>
      </c>
      <c r="E726" s="36" t="s">
        <v>213</v>
      </c>
      <c r="F726" s="29" t="b">
        <v>1</v>
      </c>
      <c r="G726" s="36" t="s">
        <v>214</v>
      </c>
      <c r="H726" s="36" t="s">
        <v>215</v>
      </c>
      <c r="I726" s="39"/>
      <c r="J726" s="40"/>
      <c r="K726" s="37" t="s">
        <v>671</v>
      </c>
      <c r="L726" s="37" t="s">
        <v>2493</v>
      </c>
      <c r="M726" s="37" t="s">
        <v>378</v>
      </c>
      <c r="N726" s="37" t="s">
        <v>1584</v>
      </c>
      <c r="O726" s="37" t="s">
        <v>759</v>
      </c>
      <c r="P726" s="37" t="s">
        <v>760</v>
      </c>
      <c r="Q726" s="41">
        <v>46195.0</v>
      </c>
      <c r="R726" s="42">
        <v>2.0</v>
      </c>
      <c r="S726" s="44" t="s">
        <v>194</v>
      </c>
      <c r="T726" s="37" t="s">
        <v>2465</v>
      </c>
      <c r="U726" s="45" t="str">
        <f>IF(records_2[Type]="Room",records_2[roomNo],records_2[roomNo]&amp;"-"&amp;SUBSTITUTE(RIGHT(records_2[roomNo]&amp;records_2[Type],2),"-",""))</f>
        <v>16-1-107</v>
      </c>
      <c r="V726" s="47" t="str">
        <f t="array" ref="V726">_xlfn.XLOOKUP(records_2[ID], dAir[roomNo], dAir[roomName])</f>
        <v>COMPOUNDING 1</v>
      </c>
      <c r="W726" s="47" t="str">
        <f t="array" ref="W726">_xlfn.XLOOKUP(records_2[ID], dAir[roomNo], dAir[building])</f>
        <v>Building 16</v>
      </c>
      <c r="X726" s="47" t="str">
        <f t="array" ref="X726">_xlfn.XLOOKUP(records_2[ID], dAir[roomNo], dAir[floor])</f>
        <v>Floor 1</v>
      </c>
      <c r="Y726" s="45" t="str">
        <f t="array" ref="Y726">_xlfn.XLOOKUP(records_2[ID], dAir[roomNo], dAir[Class])</f>
        <v>C</v>
      </c>
      <c r="Z726" s="45">
        <f t="array" ref="Z726">_xlfn.XLOOKUP(records_2[Method]&amp;"-"&amp;records_2[Class], dAirSpec[ID], dAirSpec[Spec])</f>
        <v>50</v>
      </c>
      <c r="AA726" s="45" t="str">
        <f t="array" ref="AA726">_xlfn.XLOOKUP(records_2[Method]&amp;"-"&amp;records_2[Class], dAirSpec[ID], dAirSpec[Unit])</f>
        <v>cfu/plate</v>
      </c>
      <c r="AB726" s="58">
        <f t="array" ref="AB726">if(R726="","", if(records_2[Method]="Active Air",_xlfn.xlookup(records_2[ColonyCount]&amp;records_2[AirSampler],feller[code],feller[Vc]),records_2[ColonyCount]))</f>
        <v>2</v>
      </c>
      <c r="AC726" s="60" t="b">
        <f t="shared" si="1"/>
        <v>1</v>
      </c>
      <c r="AD726" s="61" t="b">
        <v>0</v>
      </c>
      <c r="AE726" s="32" t="s">
        <v>280</v>
      </c>
      <c r="AF726" s="46"/>
      <c r="AG726" s="46"/>
      <c r="AH726" s="46"/>
      <c r="AI726" s="46"/>
      <c r="AJ726" s="46"/>
    </row>
    <row r="727" ht="22.5" customHeight="1">
      <c r="A727" s="27">
        <v>46152.0</v>
      </c>
      <c r="B727" s="34" t="str">
        <f t="array" ref="B727">TEXT(A727, "MM-YYYY")</f>
        <v>05-2026</v>
      </c>
      <c r="C727" s="39" t="s">
        <v>1499</v>
      </c>
      <c r="D727" s="36" t="s">
        <v>210</v>
      </c>
      <c r="E727" s="36" t="s">
        <v>213</v>
      </c>
      <c r="F727" s="29" t="b">
        <v>1</v>
      </c>
      <c r="G727" s="36" t="s">
        <v>214</v>
      </c>
      <c r="H727" s="36" t="s">
        <v>215</v>
      </c>
      <c r="I727" s="39"/>
      <c r="J727" s="40"/>
      <c r="K727" s="37" t="s">
        <v>330</v>
      </c>
      <c r="L727" s="37" t="s">
        <v>294</v>
      </c>
      <c r="M727" s="37" t="s">
        <v>972</v>
      </c>
      <c r="N727" s="37" t="s">
        <v>1637</v>
      </c>
      <c r="O727" s="37" t="s">
        <v>759</v>
      </c>
      <c r="P727" s="37" t="s">
        <v>760</v>
      </c>
      <c r="Q727" s="41">
        <v>46195.0</v>
      </c>
      <c r="R727" s="42">
        <v>3.0</v>
      </c>
      <c r="S727" s="44" t="s">
        <v>194</v>
      </c>
      <c r="T727" s="37" t="s">
        <v>2465</v>
      </c>
      <c r="U727" s="45" t="str">
        <f>IF(records_2[Type]="Room",records_2[roomNo],records_2[roomNo]&amp;"-"&amp;SUBSTITUTE(RIGHT(records_2[roomNo]&amp;records_2[Type],2),"-",""))</f>
        <v>16-1-108</v>
      </c>
      <c r="V727" s="47" t="str">
        <f t="array" ref="V727">_xlfn.XLOOKUP(records_2[ID], dAir[roomNo], dAir[roomName])</f>
        <v>CLEANED EQUIPMENT</v>
      </c>
      <c r="W727" s="47" t="str">
        <f t="array" ref="W727">_xlfn.XLOOKUP(records_2[ID], dAir[roomNo], dAir[building])</f>
        <v>Building 16</v>
      </c>
      <c r="X727" s="47" t="str">
        <f t="array" ref="X727">_xlfn.XLOOKUP(records_2[ID], dAir[roomNo], dAir[floor])</f>
        <v>Floor 1</v>
      </c>
      <c r="Y727" s="45" t="str">
        <f t="array" ref="Y727">_xlfn.XLOOKUP(records_2[ID], dAir[roomNo], dAir[Class])</f>
        <v>C</v>
      </c>
      <c r="Z727" s="45">
        <f t="array" ref="Z727">_xlfn.XLOOKUP(records_2[Method]&amp;"-"&amp;records_2[Class], dAirSpec[ID], dAirSpec[Spec])</f>
        <v>50</v>
      </c>
      <c r="AA727" s="45" t="str">
        <f t="array" ref="AA727">_xlfn.XLOOKUP(records_2[Method]&amp;"-"&amp;records_2[Class], dAirSpec[ID], dAirSpec[Unit])</f>
        <v>cfu/plate</v>
      </c>
      <c r="AB727" s="58">
        <f t="array" ref="AB727">if(R727="","", if(records_2[Method]="Active Air",_xlfn.xlookup(records_2[ColonyCount]&amp;records_2[AirSampler],feller[code],feller[Vc]),records_2[ColonyCount]))</f>
        <v>3</v>
      </c>
      <c r="AC727" s="60" t="b">
        <f t="shared" si="1"/>
        <v>1</v>
      </c>
      <c r="AD727" s="61" t="b">
        <v>0</v>
      </c>
      <c r="AE727" s="32" t="s">
        <v>280</v>
      </c>
      <c r="AF727" s="46"/>
      <c r="AG727" s="46"/>
      <c r="AH727" s="46"/>
      <c r="AI727" s="46"/>
      <c r="AJ727" s="46"/>
    </row>
    <row r="728" ht="22.5" customHeight="1">
      <c r="A728" s="27">
        <v>46152.0</v>
      </c>
      <c r="B728" s="34" t="str">
        <f t="array" ref="B728">TEXT(A728, "MM-YYYY")</f>
        <v>05-2026</v>
      </c>
      <c r="C728" s="39" t="s">
        <v>769</v>
      </c>
      <c r="D728" s="36" t="s">
        <v>210</v>
      </c>
      <c r="E728" s="36" t="s">
        <v>213</v>
      </c>
      <c r="F728" s="29" t="b">
        <v>1</v>
      </c>
      <c r="G728" s="36" t="s">
        <v>214</v>
      </c>
      <c r="H728" s="36" t="s">
        <v>215</v>
      </c>
      <c r="I728" s="39"/>
      <c r="J728" s="40"/>
      <c r="K728" s="37" t="s">
        <v>687</v>
      </c>
      <c r="L728" s="37" t="s">
        <v>1622</v>
      </c>
      <c r="M728" s="37" t="s">
        <v>972</v>
      </c>
      <c r="N728" s="37" t="s">
        <v>1637</v>
      </c>
      <c r="O728" s="37" t="s">
        <v>759</v>
      </c>
      <c r="P728" s="37" t="s">
        <v>760</v>
      </c>
      <c r="Q728" s="41">
        <v>46195.0</v>
      </c>
      <c r="R728" s="42">
        <v>2.0</v>
      </c>
      <c r="S728" s="44" t="s">
        <v>194</v>
      </c>
      <c r="T728" s="37" t="s">
        <v>2465</v>
      </c>
      <c r="U728" s="45" t="str">
        <f>IF(records_2[Type]="Room",records_2[roomNo],records_2[roomNo]&amp;"-"&amp;SUBSTITUTE(RIGHT(records_2[roomNo]&amp;records_2[Type],2),"-",""))</f>
        <v>16-1-109</v>
      </c>
      <c r="V728" s="47" t="str">
        <f t="array" ref="V728">_xlfn.XLOOKUP(records_2[ID], dAir[roomNo], dAir[roomName])</f>
        <v>DRYING</v>
      </c>
      <c r="W728" s="47" t="str">
        <f t="array" ref="W728">_xlfn.XLOOKUP(records_2[ID], dAir[roomNo], dAir[building])</f>
        <v>Building 16</v>
      </c>
      <c r="X728" s="47" t="str">
        <f t="array" ref="X728">_xlfn.XLOOKUP(records_2[ID], dAir[roomNo], dAir[floor])</f>
        <v>Floor 1</v>
      </c>
      <c r="Y728" s="45" t="str">
        <f t="array" ref="Y728">_xlfn.XLOOKUP(records_2[ID], dAir[roomNo], dAir[Class])</f>
        <v>C</v>
      </c>
      <c r="Z728" s="45">
        <f t="array" ref="Z728">_xlfn.XLOOKUP(records_2[Method]&amp;"-"&amp;records_2[Class], dAirSpec[ID], dAirSpec[Spec])</f>
        <v>50</v>
      </c>
      <c r="AA728" s="45" t="str">
        <f t="array" ref="AA728">_xlfn.XLOOKUP(records_2[Method]&amp;"-"&amp;records_2[Class], dAirSpec[ID], dAirSpec[Unit])</f>
        <v>cfu/plate</v>
      </c>
      <c r="AB728" s="58">
        <f t="array" ref="AB728">if(R728="","", if(records_2[Method]="Active Air",_xlfn.xlookup(records_2[ColonyCount]&amp;records_2[AirSampler],feller[code],feller[Vc]),records_2[ColonyCount]))</f>
        <v>2</v>
      </c>
      <c r="AC728" s="60" t="b">
        <f t="shared" si="1"/>
        <v>1</v>
      </c>
      <c r="AD728" s="61" t="b">
        <v>0</v>
      </c>
      <c r="AE728" s="32" t="s">
        <v>280</v>
      </c>
      <c r="AF728" s="46"/>
      <c r="AG728" s="46"/>
      <c r="AH728" s="46"/>
      <c r="AI728" s="46"/>
      <c r="AJ728" s="46"/>
    </row>
    <row r="729" ht="22.5" customHeight="1">
      <c r="A729" s="27">
        <v>46152.0</v>
      </c>
      <c r="B729" s="34" t="str">
        <f t="array" ref="B729">TEXT(A729, "MM-YYYY")</f>
        <v>05-2026</v>
      </c>
      <c r="C729" s="39" t="s">
        <v>1024</v>
      </c>
      <c r="D729" s="36" t="s">
        <v>210</v>
      </c>
      <c r="E729" s="36" t="s">
        <v>213</v>
      </c>
      <c r="F729" s="29" t="b">
        <v>1</v>
      </c>
      <c r="G729" s="36" t="s">
        <v>214</v>
      </c>
      <c r="H729" s="36" t="s">
        <v>215</v>
      </c>
      <c r="I729" s="39"/>
      <c r="J729" s="40"/>
      <c r="K729" s="37" t="s">
        <v>2470</v>
      </c>
      <c r="L729" s="37" t="s">
        <v>1604</v>
      </c>
      <c r="M729" s="37" t="s">
        <v>2195</v>
      </c>
      <c r="N729" s="37" t="s">
        <v>1661</v>
      </c>
      <c r="O729" s="37" t="s">
        <v>759</v>
      </c>
      <c r="P729" s="37" t="s">
        <v>760</v>
      </c>
      <c r="Q729" s="41">
        <v>46195.0</v>
      </c>
      <c r="R729" s="42">
        <v>1.0</v>
      </c>
      <c r="S729" s="44" t="s">
        <v>194</v>
      </c>
      <c r="T729" s="37" t="s">
        <v>2465</v>
      </c>
      <c r="U729" s="45" t="str">
        <f>IF(records_2[Type]="Room",records_2[roomNo],records_2[roomNo]&amp;"-"&amp;SUBSTITUTE(RIGHT(records_2[roomNo]&amp;records_2[Type],2),"-",""))</f>
        <v>16-1-110</v>
      </c>
      <c r="V729" s="47" t="str">
        <f t="array" ref="V729">_xlfn.XLOOKUP(records_2[ID], dAir[roomNo], dAir[roomName])</f>
        <v>DISINFECTANT PREPARATION</v>
      </c>
      <c r="W729" s="47" t="str">
        <f t="array" ref="W729">_xlfn.XLOOKUP(records_2[ID], dAir[roomNo], dAir[building])</f>
        <v>Building 16</v>
      </c>
      <c r="X729" s="47" t="str">
        <f t="array" ref="X729">_xlfn.XLOOKUP(records_2[ID], dAir[roomNo], dAir[floor])</f>
        <v>Floor 1</v>
      </c>
      <c r="Y729" s="45" t="str">
        <f t="array" ref="Y729">_xlfn.XLOOKUP(records_2[ID], dAir[roomNo], dAir[Class])</f>
        <v>C</v>
      </c>
      <c r="Z729" s="45">
        <f t="array" ref="Z729">_xlfn.XLOOKUP(records_2[Method]&amp;"-"&amp;records_2[Class], dAirSpec[ID], dAirSpec[Spec])</f>
        <v>50</v>
      </c>
      <c r="AA729" s="45" t="str">
        <f t="array" ref="AA729">_xlfn.XLOOKUP(records_2[Method]&amp;"-"&amp;records_2[Class], dAirSpec[ID], dAirSpec[Unit])</f>
        <v>cfu/plate</v>
      </c>
      <c r="AB729" s="58">
        <f t="array" ref="AB729">if(R729="","", if(records_2[Method]="Active Air",_xlfn.xlookup(records_2[ColonyCount]&amp;records_2[AirSampler],feller[code],feller[Vc]),records_2[ColonyCount]))</f>
        <v>1</v>
      </c>
      <c r="AC729" s="60" t="b">
        <f t="shared" si="1"/>
        <v>1</v>
      </c>
      <c r="AD729" s="61" t="b">
        <v>0</v>
      </c>
      <c r="AE729" s="32" t="s">
        <v>280</v>
      </c>
      <c r="AF729" s="46"/>
      <c r="AG729" s="46"/>
      <c r="AH729" s="46"/>
      <c r="AI729" s="46"/>
      <c r="AJ729" s="46"/>
    </row>
    <row r="730" ht="22.5" customHeight="1">
      <c r="A730" s="27">
        <v>46152.0</v>
      </c>
      <c r="B730" s="34" t="str">
        <f t="array" ref="B730">TEXT(A730, "MM-YYYY")</f>
        <v>05-2026</v>
      </c>
      <c r="C730" s="39" t="s">
        <v>1500</v>
      </c>
      <c r="D730" s="36" t="s">
        <v>210</v>
      </c>
      <c r="E730" s="36" t="s">
        <v>213</v>
      </c>
      <c r="F730" s="29" t="b">
        <v>1</v>
      </c>
      <c r="G730" s="36" t="s">
        <v>214</v>
      </c>
      <c r="H730" s="36" t="s">
        <v>215</v>
      </c>
      <c r="I730" s="39"/>
      <c r="J730" s="40"/>
      <c r="K730" s="37" t="s">
        <v>2494</v>
      </c>
      <c r="L730" s="37" t="s">
        <v>2333</v>
      </c>
      <c r="M730" s="37" t="s">
        <v>2185</v>
      </c>
      <c r="N730" s="37" t="s">
        <v>1661</v>
      </c>
      <c r="O730" s="37" t="s">
        <v>759</v>
      </c>
      <c r="P730" s="37" t="s">
        <v>760</v>
      </c>
      <c r="Q730" s="41">
        <v>46195.0</v>
      </c>
      <c r="R730" s="42">
        <v>1.0</v>
      </c>
      <c r="S730" s="44" t="s">
        <v>194</v>
      </c>
      <c r="T730" s="37" t="s">
        <v>2465</v>
      </c>
      <c r="U730" s="45" t="str">
        <f>IF(records_2[Type]="Room",records_2[roomNo],records_2[roomNo]&amp;"-"&amp;SUBSTITUTE(RIGHT(records_2[roomNo]&amp;records_2[Type],2),"-",""))</f>
        <v>16-1-111</v>
      </c>
      <c r="V730" s="47" t="str">
        <f t="array" ref="V730">_xlfn.XLOOKUP(records_2[ID], dAir[roomNo], dAir[roomName])</f>
        <v>COMPONENT PREPARATION</v>
      </c>
      <c r="W730" s="47" t="str">
        <f t="array" ref="W730">_xlfn.XLOOKUP(records_2[ID], dAir[roomNo], dAir[building])</f>
        <v>Building 16</v>
      </c>
      <c r="X730" s="47" t="str">
        <f t="array" ref="X730">_xlfn.XLOOKUP(records_2[ID], dAir[roomNo], dAir[floor])</f>
        <v>Floor 1</v>
      </c>
      <c r="Y730" s="45" t="str">
        <f t="array" ref="Y730">_xlfn.XLOOKUP(records_2[ID], dAir[roomNo], dAir[Class])</f>
        <v>C</v>
      </c>
      <c r="Z730" s="45">
        <f t="array" ref="Z730">_xlfn.XLOOKUP(records_2[Method]&amp;"-"&amp;records_2[Class], dAirSpec[ID], dAirSpec[Spec])</f>
        <v>50</v>
      </c>
      <c r="AA730" s="45" t="str">
        <f t="array" ref="AA730">_xlfn.XLOOKUP(records_2[Method]&amp;"-"&amp;records_2[Class], dAirSpec[ID], dAirSpec[Unit])</f>
        <v>cfu/plate</v>
      </c>
      <c r="AB730" s="58">
        <f t="array" ref="AB730">if(R730="","", if(records_2[Method]="Active Air",_xlfn.xlookup(records_2[ColonyCount]&amp;records_2[AirSampler],feller[code],feller[Vc]),records_2[ColonyCount]))</f>
        <v>1</v>
      </c>
      <c r="AC730" s="60" t="b">
        <f t="shared" si="1"/>
        <v>1</v>
      </c>
      <c r="AD730" s="61" t="b">
        <v>0</v>
      </c>
      <c r="AE730" s="32" t="s">
        <v>280</v>
      </c>
      <c r="AF730" s="46"/>
      <c r="AG730" s="46"/>
      <c r="AH730" s="46"/>
      <c r="AI730" s="46"/>
      <c r="AJ730" s="46"/>
    </row>
    <row r="731" ht="22.5" customHeight="1">
      <c r="A731" s="27">
        <v>46152.0</v>
      </c>
      <c r="B731" s="34" t="str">
        <f t="array" ref="B731">TEXT(A731, "MM-YYYY")</f>
        <v>05-2026</v>
      </c>
      <c r="C731" s="39" t="s">
        <v>1502</v>
      </c>
      <c r="D731" s="36" t="s">
        <v>210</v>
      </c>
      <c r="E731" s="36" t="s">
        <v>213</v>
      </c>
      <c r="F731" s="29" t="b">
        <v>1</v>
      </c>
      <c r="G731" s="36" t="s">
        <v>214</v>
      </c>
      <c r="H731" s="36" t="s">
        <v>215</v>
      </c>
      <c r="I731" s="39"/>
      <c r="J731" s="40"/>
      <c r="K731" s="37" t="s">
        <v>2100</v>
      </c>
      <c r="L731" s="37" t="s">
        <v>2461</v>
      </c>
      <c r="M731" s="37" t="s">
        <v>972</v>
      </c>
      <c r="N731" s="37" t="s">
        <v>1637</v>
      </c>
      <c r="O731" s="37" t="s">
        <v>759</v>
      </c>
      <c r="P731" s="37" t="s">
        <v>760</v>
      </c>
      <c r="Q731" s="41">
        <v>46195.0</v>
      </c>
      <c r="R731" s="42">
        <v>1.0</v>
      </c>
      <c r="S731" s="29" t="s">
        <v>1043</v>
      </c>
      <c r="T731" s="37" t="s">
        <v>2465</v>
      </c>
      <c r="U731" s="45" t="str">
        <f>IF(records_2[Type]="Room",records_2[roomNo],records_2[roomNo]&amp;"-"&amp;SUBSTITUTE(RIGHT(records_2[roomNo]&amp;records_2[Type],2),"-",""))</f>
        <v>16-1-112</v>
      </c>
      <c r="V731" s="47" t="str">
        <f t="array" ref="V731">_xlfn.XLOOKUP(records_2[ID], dAir[roomNo], dAir[roomName])</f>
        <v>PASSAGE</v>
      </c>
      <c r="W731" s="47" t="str">
        <f t="array" ref="W731">_xlfn.XLOOKUP(records_2[ID], dAir[roomNo], dAir[building])</f>
        <v>Building 16</v>
      </c>
      <c r="X731" s="47" t="str">
        <f t="array" ref="X731">_xlfn.XLOOKUP(records_2[ID], dAir[roomNo], dAir[floor])</f>
        <v>Floor 1</v>
      </c>
      <c r="Y731" s="45" t="str">
        <f t="array" ref="Y731">_xlfn.XLOOKUP(records_2[ID], dAir[roomNo], dAir[Class])</f>
        <v>C</v>
      </c>
      <c r="Z731" s="45">
        <f t="array" ref="Z731">_xlfn.XLOOKUP(records_2[Method]&amp;"-"&amp;records_2[Class], dAirSpec[ID], dAirSpec[Spec])</f>
        <v>50</v>
      </c>
      <c r="AA731" s="45" t="str">
        <f t="array" ref="AA731">_xlfn.XLOOKUP(records_2[Method]&amp;"-"&amp;records_2[Class], dAirSpec[ID], dAirSpec[Unit])</f>
        <v>cfu/plate</v>
      </c>
      <c r="AB731" s="58">
        <f t="array" ref="AB731">if(R731="","", if(records_2[Method]="Active Air",_xlfn.xlookup(records_2[ColonyCount]&amp;records_2[AirSampler],feller[code],feller[Vc]),records_2[ColonyCount]))</f>
        <v>1</v>
      </c>
      <c r="AC731" s="60" t="b">
        <f t="shared" si="1"/>
        <v>1</v>
      </c>
      <c r="AD731" s="61" t="b">
        <v>0</v>
      </c>
      <c r="AE731" s="32" t="s">
        <v>280</v>
      </c>
      <c r="AF731" s="46"/>
      <c r="AG731" s="46"/>
      <c r="AH731" s="46"/>
      <c r="AI731" s="46"/>
      <c r="AJ731" s="46"/>
    </row>
    <row r="732" ht="22.5" customHeight="1">
      <c r="A732" s="27">
        <v>46152.0</v>
      </c>
      <c r="B732" s="34" t="str">
        <f t="array" ref="B732">TEXT(A732, "MM-YYYY")</f>
        <v>05-2026</v>
      </c>
      <c r="C732" s="39" t="s">
        <v>1503</v>
      </c>
      <c r="D732" s="36" t="s">
        <v>210</v>
      </c>
      <c r="E732" s="36" t="s">
        <v>213</v>
      </c>
      <c r="F732" s="29" t="b">
        <v>1</v>
      </c>
      <c r="G732" s="36" t="s">
        <v>214</v>
      </c>
      <c r="H732" s="36" t="s">
        <v>215</v>
      </c>
      <c r="I732" s="39"/>
      <c r="J732" s="40"/>
      <c r="K732" s="37" t="s">
        <v>2027</v>
      </c>
      <c r="L732" s="37" t="s">
        <v>612</v>
      </c>
      <c r="M732" s="37" t="s">
        <v>2095</v>
      </c>
      <c r="N732" s="37" t="s">
        <v>2468</v>
      </c>
      <c r="O732" s="37" t="s">
        <v>759</v>
      </c>
      <c r="P732" s="37" t="s">
        <v>760</v>
      </c>
      <c r="Q732" s="41">
        <v>46195.0</v>
      </c>
      <c r="R732" s="42">
        <v>0.0</v>
      </c>
      <c r="S732" s="44" t="s">
        <v>194</v>
      </c>
      <c r="T732" s="37" t="s">
        <v>2465</v>
      </c>
      <c r="U732" s="45" t="str">
        <f>IF(records_2[Type]="Room",records_2[roomNo],records_2[roomNo]&amp;"-"&amp;SUBSTITUTE(RIGHT(records_2[roomNo]&amp;records_2[Type],2),"-",""))</f>
        <v>16-1-113</v>
      </c>
      <c r="V732" s="47" t="str">
        <f t="array" ref="V732">_xlfn.XLOOKUP(records_2[ID], dAir[roomNo], dAir[roomName])</f>
        <v>AIRLOCK</v>
      </c>
      <c r="W732" s="47" t="str">
        <f t="array" ref="W732">_xlfn.XLOOKUP(records_2[ID], dAir[roomNo], dAir[building])</f>
        <v>Building 16</v>
      </c>
      <c r="X732" s="47" t="str">
        <f t="array" ref="X732">_xlfn.XLOOKUP(records_2[ID], dAir[roomNo], dAir[floor])</f>
        <v>Floor 1</v>
      </c>
      <c r="Y732" s="45" t="str">
        <f t="array" ref="Y732">_xlfn.XLOOKUP(records_2[ID], dAir[roomNo], dAir[Class])</f>
        <v>C</v>
      </c>
      <c r="Z732" s="45">
        <f t="array" ref="Z732">_xlfn.XLOOKUP(records_2[Method]&amp;"-"&amp;records_2[Class], dAirSpec[ID], dAirSpec[Spec])</f>
        <v>50</v>
      </c>
      <c r="AA732" s="45" t="str">
        <f t="array" ref="AA732">_xlfn.XLOOKUP(records_2[Method]&amp;"-"&amp;records_2[Class], dAirSpec[ID], dAirSpec[Unit])</f>
        <v>cfu/plate</v>
      </c>
      <c r="AB732" s="58">
        <f t="array" ref="AB732">if(R732="","", if(records_2[Method]="Active Air",_xlfn.xlookup(records_2[ColonyCount]&amp;records_2[AirSampler],feller[code],feller[Vc]),records_2[ColonyCount]))</f>
        <v>0</v>
      </c>
      <c r="AC732" s="60" t="b">
        <f t="shared" si="1"/>
        <v>1</v>
      </c>
      <c r="AD732" s="61" t="b">
        <v>0</v>
      </c>
      <c r="AE732" s="32" t="s">
        <v>280</v>
      </c>
      <c r="AF732" s="46"/>
      <c r="AG732" s="46"/>
      <c r="AH732" s="46"/>
      <c r="AI732" s="46"/>
      <c r="AJ732" s="46"/>
    </row>
    <row r="733" ht="22.5" customHeight="1">
      <c r="A733" s="27">
        <v>46152.0</v>
      </c>
      <c r="B733" s="34" t="str">
        <f t="array" ref="B733">TEXT(A733, "MM-YYYY")</f>
        <v>05-2026</v>
      </c>
      <c r="C733" s="39" t="s">
        <v>776</v>
      </c>
      <c r="D733" s="36" t="s">
        <v>210</v>
      </c>
      <c r="E733" s="36" t="s">
        <v>213</v>
      </c>
      <c r="F733" s="29" t="b">
        <v>1</v>
      </c>
      <c r="G733" s="36" t="s">
        <v>214</v>
      </c>
      <c r="H733" s="36" t="s">
        <v>215</v>
      </c>
      <c r="I733" s="39"/>
      <c r="J733" s="40"/>
      <c r="K733" s="37" t="s">
        <v>681</v>
      </c>
      <c r="L733" s="37" t="s">
        <v>2495</v>
      </c>
      <c r="M733" s="37" t="s">
        <v>2239</v>
      </c>
      <c r="N733" s="37" t="s">
        <v>1722</v>
      </c>
      <c r="O733" s="37" t="s">
        <v>759</v>
      </c>
      <c r="P733" s="37" t="s">
        <v>760</v>
      </c>
      <c r="Q733" s="41">
        <v>46195.0</v>
      </c>
      <c r="R733" s="42">
        <v>0.0</v>
      </c>
      <c r="S733" s="44" t="s">
        <v>194</v>
      </c>
      <c r="T733" s="37" t="s">
        <v>2465</v>
      </c>
      <c r="U733" s="45" t="str">
        <f>IF(records_2[Type]="Room",records_2[roomNo],records_2[roomNo]&amp;"-"&amp;SUBSTITUTE(RIGHT(records_2[roomNo]&amp;records_2[Type],2),"-",""))</f>
        <v>16-1-114</v>
      </c>
      <c r="V733" s="47" t="str">
        <f t="array" ref="V733">_xlfn.XLOOKUP(records_2[ID], dAir[roomNo], dAir[roomName])</f>
        <v>COMPOUNDING 2</v>
      </c>
      <c r="W733" s="47" t="str">
        <f t="array" ref="W733">_xlfn.XLOOKUP(records_2[ID], dAir[roomNo], dAir[building])</f>
        <v>Building 16</v>
      </c>
      <c r="X733" s="47" t="str">
        <f t="array" ref="X733">_xlfn.XLOOKUP(records_2[ID], dAir[roomNo], dAir[floor])</f>
        <v>Floor 1</v>
      </c>
      <c r="Y733" s="45" t="str">
        <f t="array" ref="Y733">_xlfn.XLOOKUP(records_2[ID], dAir[roomNo], dAir[Class])</f>
        <v>C</v>
      </c>
      <c r="Z733" s="45">
        <f t="array" ref="Z733">_xlfn.XLOOKUP(records_2[Method]&amp;"-"&amp;records_2[Class], dAirSpec[ID], dAirSpec[Spec])</f>
        <v>50</v>
      </c>
      <c r="AA733" s="45" t="str">
        <f t="array" ref="AA733">_xlfn.XLOOKUP(records_2[Method]&amp;"-"&amp;records_2[Class], dAirSpec[ID], dAirSpec[Unit])</f>
        <v>cfu/plate</v>
      </c>
      <c r="AB733" s="58">
        <f t="array" ref="AB733">if(R733="","", if(records_2[Method]="Active Air",_xlfn.xlookup(records_2[ColonyCount]&amp;records_2[AirSampler],feller[code],feller[Vc]),records_2[ColonyCount]))</f>
        <v>0</v>
      </c>
      <c r="AC733" s="60" t="b">
        <f t="shared" si="1"/>
        <v>1</v>
      </c>
      <c r="AD733" s="61" t="b">
        <v>0</v>
      </c>
      <c r="AE733" s="32" t="s">
        <v>280</v>
      </c>
      <c r="AF733" s="46"/>
      <c r="AG733" s="46"/>
      <c r="AH733" s="46"/>
      <c r="AI733" s="46"/>
      <c r="AJ733" s="46"/>
    </row>
    <row r="734" ht="22.5" customHeight="1">
      <c r="A734" s="27">
        <v>46152.0</v>
      </c>
      <c r="B734" s="34" t="str">
        <f t="array" ref="B734">TEXT(A734, "MM-YYYY")</f>
        <v>05-2026</v>
      </c>
      <c r="C734" s="39" t="s">
        <v>1504</v>
      </c>
      <c r="D734" s="36" t="s">
        <v>210</v>
      </c>
      <c r="E734" s="36" t="s">
        <v>213</v>
      </c>
      <c r="F734" s="29" t="b">
        <v>1</v>
      </c>
      <c r="G734" s="36" t="s">
        <v>214</v>
      </c>
      <c r="H734" s="36" t="s">
        <v>215</v>
      </c>
      <c r="I734" s="39"/>
      <c r="J734" s="40"/>
      <c r="K734" s="37" t="s">
        <v>2494</v>
      </c>
      <c r="L734" s="37" t="s">
        <v>495</v>
      </c>
      <c r="M734" s="37" t="s">
        <v>2093</v>
      </c>
      <c r="N734" s="37" t="s">
        <v>2306</v>
      </c>
      <c r="O734" s="37" t="s">
        <v>759</v>
      </c>
      <c r="P734" s="37" t="s">
        <v>760</v>
      </c>
      <c r="Q734" s="41">
        <v>46195.0</v>
      </c>
      <c r="R734" s="42">
        <v>2.0</v>
      </c>
      <c r="S734" s="44" t="s">
        <v>194</v>
      </c>
      <c r="T734" s="37" t="s">
        <v>2465</v>
      </c>
      <c r="U734" s="45" t="str">
        <f>IF(records_2[Type]="Room",records_2[roomNo],records_2[roomNo]&amp;"-"&amp;SUBSTITUTE(RIGHT(records_2[roomNo]&amp;records_2[Type],2),"-",""))</f>
        <v>16-1-124</v>
      </c>
      <c r="V734" s="47" t="str">
        <f t="array" ref="V734">_xlfn.XLOOKUP(records_2[ID], dAir[roomNo], dAir[roomName])</f>
        <v>CORRIDOR</v>
      </c>
      <c r="W734" s="47" t="str">
        <f t="array" ref="W734">_xlfn.XLOOKUP(records_2[ID], dAir[roomNo], dAir[building])</f>
        <v>Building 16</v>
      </c>
      <c r="X734" s="47" t="str">
        <f t="array" ref="X734">_xlfn.XLOOKUP(records_2[ID], dAir[roomNo], dAir[floor])</f>
        <v>Floor 1</v>
      </c>
      <c r="Y734" s="45" t="str">
        <f t="array" ref="Y734">_xlfn.XLOOKUP(records_2[ID], dAir[roomNo], dAir[Class])</f>
        <v>C</v>
      </c>
      <c r="Z734" s="45">
        <f t="array" ref="Z734">_xlfn.XLOOKUP(records_2[Method]&amp;"-"&amp;records_2[Class], dAirSpec[ID], dAirSpec[Spec])</f>
        <v>50</v>
      </c>
      <c r="AA734" s="45" t="str">
        <f t="array" ref="AA734">_xlfn.XLOOKUP(records_2[Method]&amp;"-"&amp;records_2[Class], dAirSpec[ID], dAirSpec[Unit])</f>
        <v>cfu/plate</v>
      </c>
      <c r="AB734" s="58">
        <f t="array" ref="AB734">if(R734="","", if(records_2[Method]="Active Air",_xlfn.xlookup(records_2[ColonyCount]&amp;records_2[AirSampler],feller[code],feller[Vc]),records_2[ColonyCount]))</f>
        <v>2</v>
      </c>
      <c r="AC734" s="60" t="b">
        <f t="shared" si="1"/>
        <v>1</v>
      </c>
      <c r="AD734" s="61" t="b">
        <v>0</v>
      </c>
      <c r="AE734" s="32" t="s">
        <v>280</v>
      </c>
      <c r="AF734" s="46"/>
      <c r="AG734" s="46"/>
      <c r="AH734" s="46"/>
      <c r="AI734" s="46"/>
      <c r="AJ734" s="46"/>
    </row>
    <row r="735" ht="22.5" customHeight="1">
      <c r="A735" s="27">
        <v>46152.0</v>
      </c>
      <c r="B735" s="34" t="str">
        <f t="array" ref="B735">TEXT(A735, "MM-YYYY")</f>
        <v>05-2026</v>
      </c>
      <c r="C735" s="39" t="s">
        <v>1505</v>
      </c>
      <c r="D735" s="36" t="s">
        <v>210</v>
      </c>
      <c r="E735" s="36" t="s">
        <v>213</v>
      </c>
      <c r="F735" s="29" t="b">
        <v>1</v>
      </c>
      <c r="G735" s="36" t="s">
        <v>214</v>
      </c>
      <c r="H735" s="36" t="s">
        <v>215</v>
      </c>
      <c r="I735" s="39"/>
      <c r="J735" s="40"/>
      <c r="K735" s="37" t="s">
        <v>2470</v>
      </c>
      <c r="L735" s="37" t="s">
        <v>362</v>
      </c>
      <c r="M735" s="37" t="s">
        <v>2093</v>
      </c>
      <c r="N735" s="37" t="s">
        <v>2308</v>
      </c>
      <c r="O735" s="37" t="s">
        <v>759</v>
      </c>
      <c r="P735" s="37" t="s">
        <v>760</v>
      </c>
      <c r="Q735" s="41">
        <v>46195.0</v>
      </c>
      <c r="R735" s="42">
        <v>1.0</v>
      </c>
      <c r="S735" s="44" t="s">
        <v>194</v>
      </c>
      <c r="T735" s="37" t="s">
        <v>2465</v>
      </c>
      <c r="U735" s="45" t="str">
        <f>IF(records_2[Type]="Room",records_2[roomNo],records_2[roomNo]&amp;"-"&amp;SUBSTITUTE(RIGHT(records_2[roomNo]&amp;records_2[Type],2),"-",""))</f>
        <v>16-1-125</v>
      </c>
      <c r="V735" s="47" t="str">
        <f t="array" ref="V735">_xlfn.XLOOKUP(records_2[ID], dAir[roomNo], dAir[roomName])</f>
        <v>CORRIDOR</v>
      </c>
      <c r="W735" s="47" t="str">
        <f t="array" ref="W735">_xlfn.XLOOKUP(records_2[ID], dAir[roomNo], dAir[building])</f>
        <v>Building 16</v>
      </c>
      <c r="X735" s="47" t="str">
        <f t="array" ref="X735">_xlfn.XLOOKUP(records_2[ID], dAir[roomNo], dAir[floor])</f>
        <v>Floor 1</v>
      </c>
      <c r="Y735" s="45" t="str">
        <f t="array" ref="Y735">_xlfn.XLOOKUP(records_2[ID], dAir[roomNo], dAir[Class])</f>
        <v>C</v>
      </c>
      <c r="Z735" s="45">
        <f t="array" ref="Z735">_xlfn.XLOOKUP(records_2[Method]&amp;"-"&amp;records_2[Class], dAirSpec[ID], dAirSpec[Spec])</f>
        <v>50</v>
      </c>
      <c r="AA735" s="45" t="str">
        <f t="array" ref="AA735">_xlfn.XLOOKUP(records_2[Method]&amp;"-"&amp;records_2[Class], dAirSpec[ID], dAirSpec[Unit])</f>
        <v>cfu/plate</v>
      </c>
      <c r="AB735" s="58">
        <f t="array" ref="AB735">if(R735="","", if(records_2[Method]="Active Air",_xlfn.xlookup(records_2[ColonyCount]&amp;records_2[AirSampler],feller[code],feller[Vc]),records_2[ColonyCount]))</f>
        <v>1</v>
      </c>
      <c r="AC735" s="60" t="b">
        <f t="shared" si="1"/>
        <v>1</v>
      </c>
      <c r="AD735" s="61" t="b">
        <v>0</v>
      </c>
      <c r="AE735" s="32" t="s">
        <v>280</v>
      </c>
      <c r="AF735" s="46"/>
      <c r="AG735" s="46"/>
      <c r="AH735" s="46"/>
      <c r="AI735" s="46"/>
      <c r="AJ735" s="46"/>
    </row>
    <row r="736" ht="22.5" customHeight="1">
      <c r="A736" s="27">
        <v>46153.0</v>
      </c>
      <c r="B736" s="34" t="str">
        <f t="array" ref="B736">TEXT(A736, "MM-YYYY")</f>
        <v>05-2026</v>
      </c>
      <c r="C736" s="264" t="s">
        <v>1360</v>
      </c>
      <c r="D736" s="36" t="s">
        <v>210</v>
      </c>
      <c r="E736" s="36" t="s">
        <v>213</v>
      </c>
      <c r="F736" s="29" t="b">
        <v>1</v>
      </c>
      <c r="G736" s="36" t="s">
        <v>214</v>
      </c>
      <c r="H736" s="36" t="s">
        <v>215</v>
      </c>
      <c r="I736" s="39"/>
      <c r="J736" s="40"/>
      <c r="K736" s="37" t="s">
        <v>2494</v>
      </c>
      <c r="L736" s="37" t="s">
        <v>952</v>
      </c>
      <c r="M736" s="37" t="s">
        <v>194</v>
      </c>
      <c r="N736" s="37" t="s">
        <v>194</v>
      </c>
      <c r="O736" s="37" t="s">
        <v>759</v>
      </c>
      <c r="P736" s="37" t="s">
        <v>760</v>
      </c>
      <c r="Q736" s="41">
        <v>46195.0</v>
      </c>
      <c r="R736" s="42">
        <v>3.0</v>
      </c>
      <c r="S736" s="44"/>
      <c r="T736" s="37" t="s">
        <v>2496</v>
      </c>
      <c r="U736" s="45" t="str">
        <f>IF(records_2[Type]="Room",records_2[roomNo],records_2[roomNo]&amp;"-"&amp;SUBSTITUTE(RIGHT(records_2[roomNo]&amp;records_2[Type],2),"-",""))</f>
        <v>12-1-034</v>
      </c>
      <c r="V736" s="47" t="str">
        <f t="array" ref="V736">_xlfn.XLOOKUP(records_2[ID], dAir[roomNo], dAir[roomName])</f>
        <v>CHANGING ROOM</v>
      </c>
      <c r="W736" s="47" t="str">
        <f t="array" ref="W736">_xlfn.XLOOKUP(records_2[ID], dAir[roomNo], dAir[building])</f>
        <v>Building 12</v>
      </c>
      <c r="X736" s="47" t="str">
        <f t="array" ref="X736">_xlfn.XLOOKUP(records_2[ID], dAir[roomNo], dAir[floor])</f>
        <v>Floor 1</v>
      </c>
      <c r="Y736" s="45" t="str">
        <f t="array" ref="Y736">_xlfn.XLOOKUP(records_2[ID], dAir[roomNo], dAir[Class])</f>
        <v>D</v>
      </c>
      <c r="Z736" s="45">
        <f t="array" ref="Z736">_xlfn.XLOOKUP(records_2[Method]&amp;"-"&amp;records_2[Class], dAirSpec[ID], dAirSpec[Spec])</f>
        <v>100</v>
      </c>
      <c r="AA736" s="45" t="str">
        <f t="array" ref="AA736">_xlfn.XLOOKUP(records_2[Method]&amp;"-"&amp;records_2[Class], dAirSpec[ID], dAirSpec[Unit])</f>
        <v>cfu/plate</v>
      </c>
      <c r="AB736" s="58">
        <f t="array" ref="AB736">if(R736="","", if(records_2[Method]="Active Air",_xlfn.xlookup(records_2[ColonyCount]&amp;records_2[AirSampler],feller[code],feller[Vc]),records_2[ColonyCount]))</f>
        <v>3</v>
      </c>
      <c r="AC736" s="60" t="b">
        <f t="shared" si="1"/>
        <v>1</v>
      </c>
      <c r="AD736" s="61" t="b">
        <v>0</v>
      </c>
      <c r="AE736" s="32" t="s">
        <v>280</v>
      </c>
      <c r="AF736" s="46"/>
      <c r="AG736" s="46"/>
      <c r="AH736" s="46"/>
      <c r="AI736" s="46"/>
      <c r="AJ736" s="46"/>
    </row>
    <row r="737" ht="22.5" customHeight="1">
      <c r="A737" s="27">
        <v>46153.0</v>
      </c>
      <c r="B737" s="34" t="str">
        <f t="array" ref="B737">TEXT(A737, "MM-YYYY")</f>
        <v>05-2026</v>
      </c>
      <c r="C737" s="265" t="s">
        <v>1362</v>
      </c>
      <c r="D737" s="36" t="s">
        <v>210</v>
      </c>
      <c r="E737" s="36" t="s">
        <v>213</v>
      </c>
      <c r="F737" s="29" t="b">
        <v>1</v>
      </c>
      <c r="G737" s="36" t="s">
        <v>214</v>
      </c>
      <c r="H737" s="36" t="s">
        <v>215</v>
      </c>
      <c r="I737" s="39"/>
      <c r="J737" s="40"/>
      <c r="K737" s="37" t="s">
        <v>298</v>
      </c>
      <c r="L737" s="37" t="s">
        <v>331</v>
      </c>
      <c r="M737" s="37" t="s">
        <v>194</v>
      </c>
      <c r="N737" s="37" t="s">
        <v>194</v>
      </c>
      <c r="O737" s="37" t="s">
        <v>759</v>
      </c>
      <c r="P737" s="37" t="s">
        <v>760</v>
      </c>
      <c r="Q737" s="41">
        <v>46195.0</v>
      </c>
      <c r="R737" s="42">
        <v>9.0</v>
      </c>
      <c r="S737" s="44"/>
      <c r="T737" s="37" t="s">
        <v>2496</v>
      </c>
      <c r="U737" s="45" t="str">
        <f>IF(records_2[Type]="Room",records_2[roomNo],records_2[roomNo]&amp;"-"&amp;SUBSTITUTE(RIGHT(records_2[roomNo]&amp;records_2[Type],2),"-",""))</f>
        <v>12-1-035</v>
      </c>
      <c r="V737" s="47" t="str">
        <f t="array" ref="V737">_xlfn.XLOOKUP(records_2[ID], dAir[roomNo], dAir[roomName])</f>
        <v>SUGAR TRANSFERRING</v>
      </c>
      <c r="W737" s="47" t="str">
        <f t="array" ref="W737">_xlfn.XLOOKUP(records_2[ID], dAir[roomNo], dAir[building])</f>
        <v>Building 12</v>
      </c>
      <c r="X737" s="47" t="str">
        <f t="array" ref="X737">_xlfn.XLOOKUP(records_2[ID], dAir[roomNo], dAir[floor])</f>
        <v>Floor 1</v>
      </c>
      <c r="Y737" s="45" t="str">
        <f t="array" ref="Y737">_xlfn.XLOOKUP(records_2[ID], dAir[roomNo], dAir[Class])</f>
        <v>D</v>
      </c>
      <c r="Z737" s="45">
        <f t="array" ref="Z737">_xlfn.XLOOKUP(records_2[Method]&amp;"-"&amp;records_2[Class], dAirSpec[ID], dAirSpec[Spec])</f>
        <v>100</v>
      </c>
      <c r="AA737" s="45" t="str">
        <f t="array" ref="AA737">_xlfn.XLOOKUP(records_2[Method]&amp;"-"&amp;records_2[Class], dAirSpec[ID], dAirSpec[Unit])</f>
        <v>cfu/plate</v>
      </c>
      <c r="AB737" s="58">
        <f t="array" ref="AB737">if(R737="","", if(records_2[Method]="Active Air",_xlfn.xlookup(records_2[ColonyCount]&amp;records_2[AirSampler],feller[code],feller[Vc]),records_2[ColonyCount]))</f>
        <v>9</v>
      </c>
      <c r="AC737" s="60" t="b">
        <f t="shared" si="1"/>
        <v>1</v>
      </c>
      <c r="AD737" s="61" t="b">
        <v>0</v>
      </c>
      <c r="AE737" s="32" t="s">
        <v>280</v>
      </c>
      <c r="AF737" s="46"/>
      <c r="AG737" s="46"/>
      <c r="AH737" s="46"/>
      <c r="AI737" s="46"/>
      <c r="AJ737" s="46"/>
    </row>
    <row r="738" ht="22.5" customHeight="1">
      <c r="A738" s="27">
        <v>46153.0</v>
      </c>
      <c r="B738" s="34" t="str">
        <f t="array" ref="B738">TEXT(A738, "MM-YYYY")</f>
        <v>05-2026</v>
      </c>
      <c r="C738" s="264" t="s">
        <v>1365</v>
      </c>
      <c r="D738" s="36" t="s">
        <v>210</v>
      </c>
      <c r="E738" s="36" t="s">
        <v>213</v>
      </c>
      <c r="F738" s="29" t="b">
        <v>1</v>
      </c>
      <c r="G738" s="36" t="s">
        <v>214</v>
      </c>
      <c r="H738" s="36" t="s">
        <v>215</v>
      </c>
      <c r="I738" s="39"/>
      <c r="J738" s="40"/>
      <c r="K738" s="37" t="s">
        <v>452</v>
      </c>
      <c r="L738" s="37" t="s">
        <v>1577</v>
      </c>
      <c r="M738" s="37" t="s">
        <v>194</v>
      </c>
      <c r="N738" s="37" t="s">
        <v>194</v>
      </c>
      <c r="O738" s="37" t="s">
        <v>759</v>
      </c>
      <c r="P738" s="37" t="s">
        <v>760</v>
      </c>
      <c r="Q738" s="41">
        <v>46195.0</v>
      </c>
      <c r="R738" s="42">
        <v>2.0</v>
      </c>
      <c r="S738" s="44"/>
      <c r="T738" s="37" t="s">
        <v>2496</v>
      </c>
      <c r="U738" s="45" t="str">
        <f>IF(records_2[Type]="Room",records_2[roomNo],records_2[roomNo]&amp;"-"&amp;SUBSTITUTE(RIGHT(records_2[roomNo]&amp;records_2[Type],2),"-",""))</f>
        <v>12-1-049</v>
      </c>
      <c r="V738" s="47" t="str">
        <f t="array" ref="V738">_xlfn.XLOOKUP(records_2[ID], dAir[roomNo], dAir[roomName])</f>
        <v>PROCESS CHANGE</v>
      </c>
      <c r="W738" s="47" t="str">
        <f t="array" ref="W738">_xlfn.XLOOKUP(records_2[ID], dAir[roomNo], dAir[building])</f>
        <v>Building 12</v>
      </c>
      <c r="X738" s="47" t="str">
        <f t="array" ref="X738">_xlfn.XLOOKUP(records_2[ID], dAir[roomNo], dAir[floor])</f>
        <v>Floor 1</v>
      </c>
      <c r="Y738" s="45" t="str">
        <f t="array" ref="Y738">_xlfn.XLOOKUP(records_2[ID], dAir[roomNo], dAir[Class])</f>
        <v>D</v>
      </c>
      <c r="Z738" s="45">
        <f t="array" ref="Z738">_xlfn.XLOOKUP(records_2[Method]&amp;"-"&amp;records_2[Class], dAirSpec[ID], dAirSpec[Spec])</f>
        <v>100</v>
      </c>
      <c r="AA738" s="45" t="str">
        <f t="array" ref="AA738">_xlfn.XLOOKUP(records_2[Method]&amp;"-"&amp;records_2[Class], dAirSpec[ID], dAirSpec[Unit])</f>
        <v>cfu/plate</v>
      </c>
      <c r="AB738" s="58">
        <f t="array" ref="AB738">if(R738="","", if(records_2[Method]="Active Air",_xlfn.xlookup(records_2[ColonyCount]&amp;records_2[AirSampler],feller[code],feller[Vc]),records_2[ColonyCount]))</f>
        <v>2</v>
      </c>
      <c r="AC738" s="60" t="b">
        <f t="shared" si="1"/>
        <v>1</v>
      </c>
      <c r="AD738" s="61" t="b">
        <v>0</v>
      </c>
      <c r="AE738" s="32" t="s">
        <v>280</v>
      </c>
      <c r="AF738" s="46"/>
      <c r="AG738" s="46"/>
      <c r="AH738" s="46"/>
      <c r="AI738" s="46"/>
      <c r="AJ738" s="46"/>
    </row>
    <row r="739" ht="22.5" customHeight="1">
      <c r="A739" s="27">
        <v>46153.0</v>
      </c>
      <c r="B739" s="34" t="str">
        <f t="array" ref="B739">TEXT(A739, "MM-YYYY")</f>
        <v>05-2026</v>
      </c>
      <c r="C739" s="265" t="s">
        <v>1366</v>
      </c>
      <c r="D739" s="36" t="s">
        <v>210</v>
      </c>
      <c r="E739" s="36" t="s">
        <v>213</v>
      </c>
      <c r="F739" s="29" t="b">
        <v>1</v>
      </c>
      <c r="G739" s="36" t="s">
        <v>214</v>
      </c>
      <c r="H739" s="36" t="s">
        <v>215</v>
      </c>
      <c r="I739" s="39"/>
      <c r="J739" s="40"/>
      <c r="K739" s="37" t="s">
        <v>2421</v>
      </c>
      <c r="L739" s="37" t="s">
        <v>752</v>
      </c>
      <c r="M739" s="37" t="s">
        <v>194</v>
      </c>
      <c r="N739" s="37" t="s">
        <v>194</v>
      </c>
      <c r="O739" s="37" t="s">
        <v>759</v>
      </c>
      <c r="P739" s="37" t="s">
        <v>760</v>
      </c>
      <c r="Q739" s="41">
        <v>46195.0</v>
      </c>
      <c r="R739" s="42">
        <v>0.0</v>
      </c>
      <c r="S739" s="44"/>
      <c r="T739" s="37" t="s">
        <v>2496</v>
      </c>
      <c r="U739" s="45" t="str">
        <f>IF(records_2[Type]="Room",records_2[roomNo],records_2[roomNo]&amp;"-"&amp;SUBSTITUTE(RIGHT(records_2[roomNo]&amp;records_2[Type],2),"-",""))</f>
        <v>12-1-050</v>
      </c>
      <c r="V739" s="47" t="str">
        <f t="array" ref="V739">_xlfn.XLOOKUP(records_2[ID], dAir[roomNo], dAir[roomName])</f>
        <v>CORRIDOR</v>
      </c>
      <c r="W739" s="47" t="str">
        <f t="array" ref="W739">_xlfn.XLOOKUP(records_2[ID], dAir[roomNo], dAir[building])</f>
        <v>Building 12</v>
      </c>
      <c r="X739" s="47" t="str">
        <f t="array" ref="X739">_xlfn.XLOOKUP(records_2[ID], dAir[roomNo], dAir[floor])</f>
        <v>Floor 1</v>
      </c>
      <c r="Y739" s="45" t="str">
        <f t="array" ref="Y739">_xlfn.XLOOKUP(records_2[ID], dAir[roomNo], dAir[Class])</f>
        <v>D</v>
      </c>
      <c r="Z739" s="45">
        <f t="array" ref="Z739">_xlfn.XLOOKUP(records_2[Method]&amp;"-"&amp;records_2[Class], dAirSpec[ID], dAirSpec[Spec])</f>
        <v>100</v>
      </c>
      <c r="AA739" s="45" t="str">
        <f t="array" ref="AA739">_xlfn.XLOOKUP(records_2[Method]&amp;"-"&amp;records_2[Class], dAirSpec[ID], dAirSpec[Unit])</f>
        <v>cfu/plate</v>
      </c>
      <c r="AB739" s="58">
        <f t="array" ref="AB739">if(R739="","", if(records_2[Method]="Active Air",_xlfn.xlookup(records_2[ColonyCount]&amp;records_2[AirSampler],feller[code],feller[Vc]),records_2[ColonyCount]))</f>
        <v>0</v>
      </c>
      <c r="AC739" s="60" t="b">
        <f t="shared" si="1"/>
        <v>1</v>
      </c>
      <c r="AD739" s="61" t="b">
        <v>0</v>
      </c>
      <c r="AE739" s="32" t="s">
        <v>280</v>
      </c>
      <c r="AF739" s="46"/>
      <c r="AG739" s="46"/>
      <c r="AH739" s="46"/>
      <c r="AI739" s="46"/>
      <c r="AJ739" s="46"/>
    </row>
    <row r="740" ht="22.5" customHeight="1">
      <c r="A740" s="27">
        <v>46153.0</v>
      </c>
      <c r="B740" s="34" t="str">
        <f t="array" ref="B740">TEXT(A740, "MM-YYYY")</f>
        <v>05-2026</v>
      </c>
      <c r="C740" s="264" t="s">
        <v>1367</v>
      </c>
      <c r="D740" s="36" t="s">
        <v>210</v>
      </c>
      <c r="E740" s="36" t="s">
        <v>213</v>
      </c>
      <c r="F740" s="29" t="b">
        <v>1</v>
      </c>
      <c r="G740" s="36" t="s">
        <v>214</v>
      </c>
      <c r="H740" s="36" t="s">
        <v>215</v>
      </c>
      <c r="I740" s="39"/>
      <c r="J740" s="40"/>
      <c r="K740" s="37" t="s">
        <v>1790</v>
      </c>
      <c r="L740" s="37" t="s">
        <v>327</v>
      </c>
      <c r="M740" s="37" t="s">
        <v>194</v>
      </c>
      <c r="N740" s="37" t="s">
        <v>194</v>
      </c>
      <c r="O740" s="37" t="s">
        <v>759</v>
      </c>
      <c r="P740" s="37" t="s">
        <v>760</v>
      </c>
      <c r="Q740" s="41">
        <v>46195.0</v>
      </c>
      <c r="R740" s="42">
        <v>0.0</v>
      </c>
      <c r="S740" s="44"/>
      <c r="T740" s="37" t="s">
        <v>2496</v>
      </c>
      <c r="U740" s="45" t="str">
        <f>IF(records_2[Type]="Room",records_2[roomNo],records_2[roomNo]&amp;"-"&amp;SUBSTITUTE(RIGHT(records_2[roomNo]&amp;records_2[Type],2),"-",""))</f>
        <v>12-1-051</v>
      </c>
      <c r="V740" s="47" t="str">
        <f t="array" ref="V740">_xlfn.XLOOKUP(records_2[ID], dAir[roomNo], dAir[roomName])</f>
        <v>CORRIDOR</v>
      </c>
      <c r="W740" s="47" t="str">
        <f t="array" ref="W740">_xlfn.XLOOKUP(records_2[ID], dAir[roomNo], dAir[building])</f>
        <v>Building 12</v>
      </c>
      <c r="X740" s="47" t="str">
        <f t="array" ref="X740">_xlfn.XLOOKUP(records_2[ID], dAir[roomNo], dAir[floor])</f>
        <v>Floor 1</v>
      </c>
      <c r="Y740" s="45" t="str">
        <f t="array" ref="Y740">_xlfn.XLOOKUP(records_2[ID], dAir[roomNo], dAir[Class])</f>
        <v>D</v>
      </c>
      <c r="Z740" s="45">
        <f t="array" ref="Z740">_xlfn.XLOOKUP(records_2[Method]&amp;"-"&amp;records_2[Class], dAirSpec[ID], dAirSpec[Spec])</f>
        <v>100</v>
      </c>
      <c r="AA740" s="45" t="str">
        <f t="array" ref="AA740">_xlfn.XLOOKUP(records_2[Method]&amp;"-"&amp;records_2[Class], dAirSpec[ID], dAirSpec[Unit])</f>
        <v>cfu/plate</v>
      </c>
      <c r="AB740" s="58">
        <f t="array" ref="AB740">if(R740="","", if(records_2[Method]="Active Air",_xlfn.xlookup(records_2[ColonyCount]&amp;records_2[AirSampler],feller[code],feller[Vc]),records_2[ColonyCount]))</f>
        <v>0</v>
      </c>
      <c r="AC740" s="60" t="b">
        <f t="shared" si="1"/>
        <v>1</v>
      </c>
      <c r="AD740" s="61" t="b">
        <v>0</v>
      </c>
      <c r="AE740" s="32" t="s">
        <v>280</v>
      </c>
      <c r="AF740" s="46"/>
      <c r="AG740" s="46"/>
      <c r="AH740" s="46"/>
      <c r="AI740" s="46"/>
      <c r="AJ740" s="46"/>
    </row>
    <row r="741" ht="22.5" customHeight="1">
      <c r="A741" s="27">
        <v>46153.0</v>
      </c>
      <c r="B741" s="34" t="str">
        <f t="array" ref="B741">TEXT(A741, "MM-YYYY")</f>
        <v>05-2026</v>
      </c>
      <c r="C741" s="265" t="s">
        <v>1368</v>
      </c>
      <c r="D741" s="36" t="s">
        <v>210</v>
      </c>
      <c r="E741" s="36" t="s">
        <v>213</v>
      </c>
      <c r="F741" s="29" t="b">
        <v>1</v>
      </c>
      <c r="G741" s="36" t="s">
        <v>214</v>
      </c>
      <c r="H741" s="36" t="s">
        <v>215</v>
      </c>
      <c r="I741" s="39"/>
      <c r="J741" s="40"/>
      <c r="K741" s="37" t="s">
        <v>381</v>
      </c>
      <c r="L741" s="37" t="s">
        <v>2339</v>
      </c>
      <c r="M741" s="37" t="s">
        <v>194</v>
      </c>
      <c r="N741" s="37" t="s">
        <v>194</v>
      </c>
      <c r="O741" s="37" t="s">
        <v>759</v>
      </c>
      <c r="P741" s="37" t="s">
        <v>760</v>
      </c>
      <c r="Q741" s="41">
        <v>46195.0</v>
      </c>
      <c r="R741" s="42">
        <v>0.0</v>
      </c>
      <c r="S741" s="44"/>
      <c r="T741" s="37" t="s">
        <v>2496</v>
      </c>
      <c r="U741" s="45" t="str">
        <f>IF(records_2[Type]="Room",records_2[roomNo],records_2[roomNo]&amp;"-"&amp;SUBSTITUTE(RIGHT(records_2[roomNo]&amp;records_2[Type],2),"-",""))</f>
        <v>12-1-052</v>
      </c>
      <c r="V741" s="47" t="str">
        <f t="array" ref="V741">_xlfn.XLOOKUP(records_2[ID], dAir[roomNo], dAir[roomName])</f>
        <v>LINEN WASHING</v>
      </c>
      <c r="W741" s="47" t="str">
        <f t="array" ref="W741">_xlfn.XLOOKUP(records_2[ID], dAir[roomNo], dAir[building])</f>
        <v>Building 12</v>
      </c>
      <c r="X741" s="47" t="str">
        <f t="array" ref="X741">_xlfn.XLOOKUP(records_2[ID], dAir[roomNo], dAir[floor])</f>
        <v>Floor 1</v>
      </c>
      <c r="Y741" s="45" t="str">
        <f t="array" ref="Y741">_xlfn.XLOOKUP(records_2[ID], dAir[roomNo], dAir[Class])</f>
        <v>D</v>
      </c>
      <c r="Z741" s="45">
        <f t="array" ref="Z741">_xlfn.XLOOKUP(records_2[Method]&amp;"-"&amp;records_2[Class], dAirSpec[ID], dAirSpec[Spec])</f>
        <v>100</v>
      </c>
      <c r="AA741" s="45" t="str">
        <f t="array" ref="AA741">_xlfn.XLOOKUP(records_2[Method]&amp;"-"&amp;records_2[Class], dAirSpec[ID], dAirSpec[Unit])</f>
        <v>cfu/plate</v>
      </c>
      <c r="AB741" s="58">
        <f t="array" ref="AB741">if(R741="","", if(records_2[Method]="Active Air",_xlfn.xlookup(records_2[ColonyCount]&amp;records_2[AirSampler],feller[code],feller[Vc]),records_2[ColonyCount]))</f>
        <v>0</v>
      </c>
      <c r="AC741" s="60" t="b">
        <f t="shared" si="1"/>
        <v>1</v>
      </c>
      <c r="AD741" s="61" t="b">
        <v>0</v>
      </c>
      <c r="AE741" s="32" t="s">
        <v>280</v>
      </c>
      <c r="AF741" s="46"/>
      <c r="AG741" s="46"/>
      <c r="AH741" s="46"/>
      <c r="AI741" s="46"/>
      <c r="AJ741" s="46"/>
    </row>
    <row r="742" ht="22.5" customHeight="1">
      <c r="A742" s="27">
        <v>46153.0</v>
      </c>
      <c r="B742" s="34" t="str">
        <f t="array" ref="B742">TEXT(A742, "MM-YYYY")</f>
        <v>05-2026</v>
      </c>
      <c r="C742" s="264" t="s">
        <v>1369</v>
      </c>
      <c r="D742" s="36" t="s">
        <v>210</v>
      </c>
      <c r="E742" s="36" t="s">
        <v>213</v>
      </c>
      <c r="F742" s="29" t="b">
        <v>1</v>
      </c>
      <c r="G742" s="36" t="s">
        <v>214</v>
      </c>
      <c r="H742" s="36" t="s">
        <v>215</v>
      </c>
      <c r="I742" s="39"/>
      <c r="J742" s="40"/>
      <c r="K742" s="37" t="s">
        <v>638</v>
      </c>
      <c r="L742" s="37" t="s">
        <v>495</v>
      </c>
      <c r="M742" s="37" t="s">
        <v>194</v>
      </c>
      <c r="N742" s="37" t="s">
        <v>194</v>
      </c>
      <c r="O742" s="37" t="s">
        <v>759</v>
      </c>
      <c r="P742" s="37" t="s">
        <v>760</v>
      </c>
      <c r="Q742" s="41">
        <v>46195.0</v>
      </c>
      <c r="R742" s="42">
        <v>0.0</v>
      </c>
      <c r="S742" s="44"/>
      <c r="T742" s="37" t="s">
        <v>2496</v>
      </c>
      <c r="U742" s="45" t="str">
        <f>IF(records_2[Type]="Room",records_2[roomNo],records_2[roomNo]&amp;"-"&amp;SUBSTITUTE(RIGHT(records_2[roomNo]&amp;records_2[Type],2),"-",""))</f>
        <v>12-1-053</v>
      </c>
      <c r="V742" s="47" t="str">
        <f t="array" ref="V742">_xlfn.XLOOKUP(records_2[ID], dAir[roomNo], dAir[roomName])</f>
        <v>LINEN DRY</v>
      </c>
      <c r="W742" s="47" t="str">
        <f t="array" ref="W742">_xlfn.XLOOKUP(records_2[ID], dAir[roomNo], dAir[building])</f>
        <v>Building 12</v>
      </c>
      <c r="X742" s="47" t="str">
        <f t="array" ref="X742">_xlfn.XLOOKUP(records_2[ID], dAir[roomNo], dAir[floor])</f>
        <v>Floor 1</v>
      </c>
      <c r="Y742" s="45" t="str">
        <f t="array" ref="Y742">_xlfn.XLOOKUP(records_2[ID], dAir[roomNo], dAir[Class])</f>
        <v>D</v>
      </c>
      <c r="Z742" s="45">
        <f t="array" ref="Z742">_xlfn.XLOOKUP(records_2[Method]&amp;"-"&amp;records_2[Class], dAirSpec[ID], dAirSpec[Spec])</f>
        <v>100</v>
      </c>
      <c r="AA742" s="45" t="str">
        <f t="array" ref="AA742">_xlfn.XLOOKUP(records_2[Method]&amp;"-"&amp;records_2[Class], dAirSpec[ID], dAirSpec[Unit])</f>
        <v>cfu/plate</v>
      </c>
      <c r="AB742" s="58">
        <f t="array" ref="AB742">if(R742="","", if(records_2[Method]="Active Air",_xlfn.xlookup(records_2[ColonyCount]&amp;records_2[AirSampler],feller[code],feller[Vc]),records_2[ColonyCount]))</f>
        <v>0</v>
      </c>
      <c r="AC742" s="60" t="b">
        <f t="shared" si="1"/>
        <v>1</v>
      </c>
      <c r="AD742" s="61" t="b">
        <v>0</v>
      </c>
      <c r="AE742" s="32" t="s">
        <v>280</v>
      </c>
      <c r="AF742" s="46"/>
      <c r="AG742" s="46"/>
      <c r="AH742" s="46"/>
      <c r="AI742" s="46"/>
      <c r="AJ742" s="46"/>
    </row>
    <row r="743" ht="22.5" customHeight="1">
      <c r="A743" s="27">
        <v>46153.0</v>
      </c>
      <c r="B743" s="34" t="str">
        <f t="array" ref="B743">TEXT(A743, "MM-YYYY")</f>
        <v>05-2026</v>
      </c>
      <c r="C743" s="265" t="s">
        <v>1370</v>
      </c>
      <c r="D743" s="36" t="s">
        <v>210</v>
      </c>
      <c r="E743" s="36" t="s">
        <v>213</v>
      </c>
      <c r="F743" s="29" t="b">
        <v>1</v>
      </c>
      <c r="G743" s="36" t="s">
        <v>214</v>
      </c>
      <c r="H743" s="36" t="s">
        <v>215</v>
      </c>
      <c r="I743" s="39"/>
      <c r="J743" s="40"/>
      <c r="K743" s="37" t="s">
        <v>298</v>
      </c>
      <c r="L743" s="37" t="s">
        <v>2334</v>
      </c>
      <c r="M743" s="37" t="s">
        <v>194</v>
      </c>
      <c r="N743" s="37" t="s">
        <v>194</v>
      </c>
      <c r="O743" s="37" t="s">
        <v>759</v>
      </c>
      <c r="P743" s="37" t="s">
        <v>760</v>
      </c>
      <c r="Q743" s="41">
        <v>46195.0</v>
      </c>
      <c r="R743" s="42">
        <v>0.0</v>
      </c>
      <c r="S743" s="44"/>
      <c r="T743" s="37" t="s">
        <v>2496</v>
      </c>
      <c r="U743" s="45" t="str">
        <f>IF(records_2[Type]="Room",records_2[roomNo],records_2[roomNo]&amp;"-"&amp;SUBSTITUTE(RIGHT(records_2[roomNo]&amp;records_2[Type],2),"-",""))</f>
        <v>12-1-054</v>
      </c>
      <c r="V743" s="47" t="str">
        <f t="array" ref="V743">_xlfn.XLOOKUP(records_2[ID], dAir[roomNo], dAir[roomName])</f>
        <v>PALLET TRUCK ROOM</v>
      </c>
      <c r="W743" s="47" t="str">
        <f t="array" ref="W743">_xlfn.XLOOKUP(records_2[ID], dAir[roomNo], dAir[building])</f>
        <v>Building 12</v>
      </c>
      <c r="X743" s="47" t="str">
        <f t="array" ref="X743">_xlfn.XLOOKUP(records_2[ID], dAir[roomNo], dAir[floor])</f>
        <v>Floor 1</v>
      </c>
      <c r="Y743" s="45" t="str">
        <f t="array" ref="Y743">_xlfn.XLOOKUP(records_2[ID], dAir[roomNo], dAir[Class])</f>
        <v>D</v>
      </c>
      <c r="Z743" s="45">
        <f t="array" ref="Z743">_xlfn.XLOOKUP(records_2[Method]&amp;"-"&amp;records_2[Class], dAirSpec[ID], dAirSpec[Spec])</f>
        <v>100</v>
      </c>
      <c r="AA743" s="45" t="str">
        <f t="array" ref="AA743">_xlfn.XLOOKUP(records_2[Method]&amp;"-"&amp;records_2[Class], dAirSpec[ID], dAirSpec[Unit])</f>
        <v>cfu/plate</v>
      </c>
      <c r="AB743" s="58">
        <f t="array" ref="AB743">if(R743="","", if(records_2[Method]="Active Air",_xlfn.xlookup(records_2[ColonyCount]&amp;records_2[AirSampler],feller[code],feller[Vc]),records_2[ColonyCount]))</f>
        <v>0</v>
      </c>
      <c r="AC743" s="60" t="b">
        <f t="shared" si="1"/>
        <v>1</v>
      </c>
      <c r="AD743" s="61" t="b">
        <v>0</v>
      </c>
      <c r="AE743" s="32" t="s">
        <v>280</v>
      </c>
      <c r="AF743" s="46"/>
      <c r="AG743" s="46"/>
      <c r="AH743" s="46"/>
      <c r="AI743" s="46"/>
      <c r="AJ743" s="46"/>
    </row>
    <row r="744" ht="22.5" customHeight="1">
      <c r="A744" s="27">
        <v>46153.0</v>
      </c>
      <c r="B744" s="34" t="str">
        <f t="array" ref="B744">TEXT(A744, "MM-YYYY")</f>
        <v>05-2026</v>
      </c>
      <c r="C744" s="264" t="s">
        <v>1372</v>
      </c>
      <c r="D744" s="36" t="s">
        <v>210</v>
      </c>
      <c r="E744" s="36" t="s">
        <v>213</v>
      </c>
      <c r="F744" s="29" t="b">
        <v>1</v>
      </c>
      <c r="G744" s="36" t="s">
        <v>214</v>
      </c>
      <c r="H744" s="36" t="s">
        <v>215</v>
      </c>
      <c r="I744" s="39"/>
      <c r="J744" s="40"/>
      <c r="K744" s="37" t="s">
        <v>791</v>
      </c>
      <c r="L744" s="37" t="s">
        <v>682</v>
      </c>
      <c r="M744" s="37" t="s">
        <v>194</v>
      </c>
      <c r="N744" s="37" t="s">
        <v>194</v>
      </c>
      <c r="O744" s="37" t="s">
        <v>759</v>
      </c>
      <c r="P744" s="37" t="s">
        <v>760</v>
      </c>
      <c r="Q744" s="41">
        <v>46195.0</v>
      </c>
      <c r="R744" s="42">
        <v>0.0</v>
      </c>
      <c r="S744" s="44"/>
      <c r="T744" s="37" t="s">
        <v>2496</v>
      </c>
      <c r="U744" s="45" t="str">
        <f>IF(records_2[Type]="Room",records_2[roomNo],records_2[roomNo]&amp;"-"&amp;SUBSTITUTE(RIGHT(records_2[roomNo]&amp;records_2[Type],2),"-",""))</f>
        <v>12-1-055</v>
      </c>
      <c r="V744" s="47" t="str">
        <f t="array" ref="V744">_xlfn.XLOOKUP(records_2[ID], dAir[roomNo], dAir[roomName])</f>
        <v>AIRLOCK</v>
      </c>
      <c r="W744" s="47" t="str">
        <f t="array" ref="W744">_xlfn.XLOOKUP(records_2[ID], dAir[roomNo], dAir[building])</f>
        <v>Building 12</v>
      </c>
      <c r="X744" s="47" t="str">
        <f t="array" ref="X744">_xlfn.XLOOKUP(records_2[ID], dAir[roomNo], dAir[floor])</f>
        <v>Floor 1</v>
      </c>
      <c r="Y744" s="45" t="str">
        <f t="array" ref="Y744">_xlfn.XLOOKUP(records_2[ID], dAir[roomNo], dAir[Class])</f>
        <v>D</v>
      </c>
      <c r="Z744" s="45">
        <f t="array" ref="Z744">_xlfn.XLOOKUP(records_2[Method]&amp;"-"&amp;records_2[Class], dAirSpec[ID], dAirSpec[Spec])</f>
        <v>100</v>
      </c>
      <c r="AA744" s="45" t="str">
        <f t="array" ref="AA744">_xlfn.XLOOKUP(records_2[Method]&amp;"-"&amp;records_2[Class], dAirSpec[ID], dAirSpec[Unit])</f>
        <v>cfu/plate</v>
      </c>
      <c r="AB744" s="58">
        <f t="array" ref="AB744">if(R744="","", if(records_2[Method]="Active Air",_xlfn.xlookup(records_2[ColonyCount]&amp;records_2[AirSampler],feller[code],feller[Vc]),records_2[ColonyCount]))</f>
        <v>0</v>
      </c>
      <c r="AC744" s="60" t="b">
        <f t="shared" si="1"/>
        <v>1</v>
      </c>
      <c r="AD744" s="61" t="b">
        <v>0</v>
      </c>
      <c r="AE744" s="32" t="s">
        <v>280</v>
      </c>
      <c r="AF744" s="46"/>
      <c r="AG744" s="46"/>
      <c r="AH744" s="46"/>
      <c r="AI744" s="46"/>
      <c r="AJ744" s="46"/>
    </row>
    <row r="745" ht="22.5" customHeight="1">
      <c r="A745" s="27">
        <v>46153.0</v>
      </c>
      <c r="B745" s="34" t="str">
        <f t="array" ref="B745">TEXT(A745, "MM-YYYY")</f>
        <v>05-2026</v>
      </c>
      <c r="C745" s="265" t="s">
        <v>1373</v>
      </c>
      <c r="D745" s="36" t="s">
        <v>210</v>
      </c>
      <c r="E745" s="36" t="s">
        <v>213</v>
      </c>
      <c r="F745" s="29" t="b">
        <v>1</v>
      </c>
      <c r="G745" s="36" t="s">
        <v>214</v>
      </c>
      <c r="H745" s="36" t="s">
        <v>215</v>
      </c>
      <c r="I745" s="39"/>
      <c r="J745" s="40"/>
      <c r="K745" s="37" t="s">
        <v>791</v>
      </c>
      <c r="L745" s="37" t="s">
        <v>682</v>
      </c>
      <c r="M745" s="37" t="s">
        <v>194</v>
      </c>
      <c r="N745" s="37" t="s">
        <v>194</v>
      </c>
      <c r="O745" s="37" t="s">
        <v>759</v>
      </c>
      <c r="P745" s="37" t="s">
        <v>760</v>
      </c>
      <c r="Q745" s="41">
        <v>46195.0</v>
      </c>
      <c r="R745" s="42">
        <v>0.0</v>
      </c>
      <c r="S745" s="44"/>
      <c r="T745" s="37" t="s">
        <v>2496</v>
      </c>
      <c r="U745" s="45" t="str">
        <f>IF(records_2[Type]="Room",records_2[roomNo],records_2[roomNo]&amp;"-"&amp;SUBSTITUTE(RIGHT(records_2[roomNo]&amp;records_2[Type],2),"-",""))</f>
        <v>12-1-056</v>
      </c>
      <c r="V745" s="47" t="str">
        <f t="array" ref="V745">_xlfn.XLOOKUP(records_2[ID], dAir[roomNo], dAir[roomName])</f>
        <v>AIRLOCK</v>
      </c>
      <c r="W745" s="47" t="str">
        <f t="array" ref="W745">_xlfn.XLOOKUP(records_2[ID], dAir[roomNo], dAir[building])</f>
        <v>Building 12</v>
      </c>
      <c r="X745" s="47" t="str">
        <f t="array" ref="X745">_xlfn.XLOOKUP(records_2[ID], dAir[roomNo], dAir[floor])</f>
        <v>Floor 1</v>
      </c>
      <c r="Y745" s="45" t="str">
        <f t="array" ref="Y745">_xlfn.XLOOKUP(records_2[ID], dAir[roomNo], dAir[Class])</f>
        <v>D</v>
      </c>
      <c r="Z745" s="45">
        <f t="array" ref="Z745">_xlfn.XLOOKUP(records_2[Method]&amp;"-"&amp;records_2[Class], dAirSpec[ID], dAirSpec[Spec])</f>
        <v>100</v>
      </c>
      <c r="AA745" s="45" t="str">
        <f t="array" ref="AA745">_xlfn.XLOOKUP(records_2[Method]&amp;"-"&amp;records_2[Class], dAirSpec[ID], dAirSpec[Unit])</f>
        <v>cfu/plate</v>
      </c>
      <c r="AB745" s="58">
        <f t="array" ref="AB745">if(R745="","", if(records_2[Method]="Active Air",_xlfn.xlookup(records_2[ColonyCount]&amp;records_2[AirSampler],feller[code],feller[Vc]),records_2[ColonyCount]))</f>
        <v>0</v>
      </c>
      <c r="AC745" s="60" t="b">
        <f t="shared" si="1"/>
        <v>1</v>
      </c>
      <c r="AD745" s="61" t="b">
        <v>0</v>
      </c>
      <c r="AE745" s="32" t="s">
        <v>280</v>
      </c>
      <c r="AF745" s="46"/>
      <c r="AG745" s="46"/>
      <c r="AH745" s="46"/>
      <c r="AI745" s="46"/>
      <c r="AJ745" s="46"/>
    </row>
    <row r="746" ht="22.5" hidden="1" customHeight="1">
      <c r="A746" s="266">
        <v>46153.0</v>
      </c>
      <c r="B746" s="181" t="str">
        <f t="array" ref="B746">TEXT(A746, "MM-YYYY")</f>
        <v>05-2026</v>
      </c>
      <c r="C746" s="267" t="s">
        <v>1374</v>
      </c>
      <c r="D746" s="268" t="s">
        <v>210</v>
      </c>
      <c r="E746" s="268" t="s">
        <v>213</v>
      </c>
      <c r="F746" s="29" t="b">
        <v>1</v>
      </c>
      <c r="G746" s="268" t="s">
        <v>214</v>
      </c>
      <c r="H746" s="268" t="s">
        <v>215</v>
      </c>
      <c r="I746" s="269"/>
      <c r="J746" s="270"/>
      <c r="K746" s="271"/>
      <c r="L746" s="271"/>
      <c r="M746" s="271"/>
      <c r="N746" s="271"/>
      <c r="O746" s="271"/>
      <c r="P746" s="271"/>
      <c r="Q746" s="272"/>
      <c r="R746" s="273"/>
      <c r="S746" s="274" t="s">
        <v>2497</v>
      </c>
      <c r="T746" s="37" t="s">
        <v>2496</v>
      </c>
      <c r="U746" s="275" t="str">
        <f>IF(records_2[Type]="Room",records_2[roomNo],records_2[roomNo]&amp;"-"&amp;SUBSTITUTE(RIGHT(records_2[roomNo]&amp;records_2[Type],2),"-",""))</f>
        <v>12-1-057</v>
      </c>
      <c r="V746" s="276" t="str">
        <f t="array" ref="V746">_xlfn.XLOOKUP(records_2[ID], dAir[roomNo], dAir[roomName])</f>
        <v>IPQC</v>
      </c>
      <c r="W746" s="276" t="str">
        <f t="array" ref="W746">_xlfn.XLOOKUP(records_2[ID], dAir[roomNo], dAir[building])</f>
        <v>Building 12</v>
      </c>
      <c r="X746" s="276" t="str">
        <f t="array" ref="X746">_xlfn.XLOOKUP(records_2[ID], dAir[roomNo], dAir[floor])</f>
        <v>Floor 1</v>
      </c>
      <c r="Y746" s="275" t="str">
        <f t="array" ref="Y746">_xlfn.XLOOKUP(records_2[ID], dAir[roomNo], dAir[Class])</f>
        <v>D</v>
      </c>
      <c r="Z746" s="275">
        <f t="array" ref="Z746">_xlfn.XLOOKUP(records_2[Method]&amp;"-"&amp;records_2[Class], dAirSpec[ID], dAirSpec[Spec])</f>
        <v>100</v>
      </c>
      <c r="AA746" s="275" t="str">
        <f t="array" ref="AA746">_xlfn.XLOOKUP(records_2[Method]&amp;"-"&amp;records_2[Class], dAirSpec[ID], dAirSpec[Unit])</f>
        <v>cfu/plate</v>
      </c>
      <c r="AB746" s="45" t="str">
        <f t="array" ref="AB746">if(R746="","", if(records_2[Method]="Active Air",_xlfn.xlookup(records_2[ColonyCount]&amp;records_2[AirSampler],feller[code],feller[Vc]),records_2[ColonyCount]))</f>
        <v/>
      </c>
      <c r="AC746" s="277" t="b">
        <f t="shared" si="1"/>
        <v>0</v>
      </c>
      <c r="AD746" s="44" t="b">
        <v>0</v>
      </c>
      <c r="AE746" s="32" t="s">
        <v>280</v>
      </c>
      <c r="AF746" s="46"/>
      <c r="AG746" s="46"/>
      <c r="AH746" s="46"/>
      <c r="AI746" s="46"/>
      <c r="AJ746" s="46"/>
    </row>
    <row r="747" ht="22.5" customHeight="1">
      <c r="A747" s="27">
        <v>46153.0</v>
      </c>
      <c r="B747" s="34" t="str">
        <f t="array" ref="B747">TEXT(A747, "MM-YYYY")</f>
        <v>05-2026</v>
      </c>
      <c r="C747" s="265" t="s">
        <v>1375</v>
      </c>
      <c r="D747" s="36" t="s">
        <v>210</v>
      </c>
      <c r="E747" s="36" t="s">
        <v>213</v>
      </c>
      <c r="F747" s="29" t="b">
        <v>1</v>
      </c>
      <c r="G747" s="36" t="s">
        <v>214</v>
      </c>
      <c r="H747" s="36" t="s">
        <v>215</v>
      </c>
      <c r="I747" s="39"/>
      <c r="J747" s="40"/>
      <c r="K747" s="37" t="s">
        <v>1790</v>
      </c>
      <c r="L747" s="37" t="s">
        <v>315</v>
      </c>
      <c r="M747" s="37" t="s">
        <v>194</v>
      </c>
      <c r="N747" s="37" t="s">
        <v>194</v>
      </c>
      <c r="O747" s="37" t="s">
        <v>759</v>
      </c>
      <c r="P747" s="37" t="s">
        <v>760</v>
      </c>
      <c r="Q747" s="41">
        <v>46195.0</v>
      </c>
      <c r="R747" s="42">
        <v>0.0</v>
      </c>
      <c r="S747" s="44"/>
      <c r="T747" s="37" t="s">
        <v>2496</v>
      </c>
      <c r="U747" s="45" t="str">
        <f>IF(records_2[Type]="Room",records_2[roomNo],records_2[roomNo]&amp;"-"&amp;SUBSTITUTE(RIGHT(records_2[roomNo]&amp;records_2[Type],2),"-",""))</f>
        <v>12-1-058</v>
      </c>
      <c r="V747" s="47" t="str">
        <f t="array" ref="V747">_xlfn.XLOOKUP(records_2[ID], dAir[roomNo], dAir[roomName])</f>
        <v>CHANGE PART STORAGE</v>
      </c>
      <c r="W747" s="47" t="str">
        <f t="array" ref="W747">_xlfn.XLOOKUP(records_2[ID], dAir[roomNo], dAir[building])</f>
        <v>Building 12</v>
      </c>
      <c r="X747" s="47" t="str">
        <f t="array" ref="X747">_xlfn.XLOOKUP(records_2[ID], dAir[roomNo], dAir[floor])</f>
        <v>Floor 1</v>
      </c>
      <c r="Y747" s="45" t="str">
        <f t="array" ref="Y747">_xlfn.XLOOKUP(records_2[ID], dAir[roomNo], dAir[Class])</f>
        <v>D</v>
      </c>
      <c r="Z747" s="45">
        <f t="array" ref="Z747">_xlfn.XLOOKUP(records_2[Method]&amp;"-"&amp;records_2[Class], dAirSpec[ID], dAirSpec[Spec])</f>
        <v>100</v>
      </c>
      <c r="AA747" s="45" t="str">
        <f t="array" ref="AA747">_xlfn.XLOOKUP(records_2[Method]&amp;"-"&amp;records_2[Class], dAirSpec[ID], dAirSpec[Unit])</f>
        <v>cfu/plate</v>
      </c>
      <c r="AB747" s="58">
        <f t="array" ref="AB747">if(R747="","", if(records_2[Method]="Active Air",_xlfn.xlookup(records_2[ColonyCount]&amp;records_2[AirSampler],feller[code],feller[Vc]),records_2[ColonyCount]))</f>
        <v>0</v>
      </c>
      <c r="AC747" s="60" t="b">
        <f t="shared" si="1"/>
        <v>1</v>
      </c>
      <c r="AD747" s="61" t="b">
        <v>0</v>
      </c>
      <c r="AE747" s="32" t="s">
        <v>280</v>
      </c>
      <c r="AF747" s="46"/>
      <c r="AG747" s="46"/>
      <c r="AH747" s="46"/>
      <c r="AI747" s="46"/>
      <c r="AJ747" s="46"/>
    </row>
    <row r="748" ht="22.5" customHeight="1">
      <c r="A748" s="27">
        <v>46153.0</v>
      </c>
      <c r="B748" s="34" t="str">
        <f t="array" ref="B748">TEXT(A748, "MM-YYYY")</f>
        <v>05-2026</v>
      </c>
      <c r="C748" s="264" t="s">
        <v>1377</v>
      </c>
      <c r="D748" s="36" t="s">
        <v>210</v>
      </c>
      <c r="E748" s="36" t="s">
        <v>213</v>
      </c>
      <c r="F748" s="29" t="b">
        <v>1</v>
      </c>
      <c r="G748" s="36" t="s">
        <v>214</v>
      </c>
      <c r="H748" s="36" t="s">
        <v>215</v>
      </c>
      <c r="I748" s="39"/>
      <c r="J748" s="40"/>
      <c r="K748" s="37" t="s">
        <v>458</v>
      </c>
      <c r="L748" s="37" t="s">
        <v>350</v>
      </c>
      <c r="M748" s="37" t="s">
        <v>194</v>
      </c>
      <c r="N748" s="37" t="s">
        <v>194</v>
      </c>
      <c r="O748" s="37" t="s">
        <v>759</v>
      </c>
      <c r="P748" s="37" t="s">
        <v>760</v>
      </c>
      <c r="Q748" s="41">
        <v>46195.0</v>
      </c>
      <c r="R748" s="42">
        <v>1.0</v>
      </c>
      <c r="S748" s="44"/>
      <c r="T748" s="37" t="s">
        <v>2496</v>
      </c>
      <c r="U748" s="45" t="str">
        <f>IF(records_2[Type]="Room",records_2[roomNo],records_2[roomNo]&amp;"-"&amp;SUBSTITUTE(RIGHT(records_2[roomNo]&amp;records_2[Type],2),"-",""))</f>
        <v>12-1-059</v>
      </c>
      <c r="V748" s="47" t="str">
        <f t="array" ref="V748">_xlfn.XLOOKUP(records_2[ID], dAir[roomNo], dAir[roomName])</f>
        <v>AIRLOCK</v>
      </c>
      <c r="W748" s="47" t="str">
        <f t="array" ref="W748">_xlfn.XLOOKUP(records_2[ID], dAir[roomNo], dAir[building])</f>
        <v>Building 12</v>
      </c>
      <c r="X748" s="47" t="str">
        <f t="array" ref="X748">_xlfn.XLOOKUP(records_2[ID], dAir[roomNo], dAir[floor])</f>
        <v>Floor 1</v>
      </c>
      <c r="Y748" s="45" t="str">
        <f t="array" ref="Y748">_xlfn.XLOOKUP(records_2[ID], dAir[roomNo], dAir[Class])</f>
        <v>D</v>
      </c>
      <c r="Z748" s="45">
        <f t="array" ref="Z748">_xlfn.XLOOKUP(records_2[Method]&amp;"-"&amp;records_2[Class], dAirSpec[ID], dAirSpec[Spec])</f>
        <v>100</v>
      </c>
      <c r="AA748" s="45" t="str">
        <f t="array" ref="AA748">_xlfn.XLOOKUP(records_2[Method]&amp;"-"&amp;records_2[Class], dAirSpec[ID], dAirSpec[Unit])</f>
        <v>cfu/plate</v>
      </c>
      <c r="AB748" s="58">
        <f t="array" ref="AB748">if(R748="","", if(records_2[Method]="Active Air",_xlfn.xlookup(records_2[ColonyCount]&amp;records_2[AirSampler],feller[code],feller[Vc]),records_2[ColonyCount]))</f>
        <v>1</v>
      </c>
      <c r="AC748" s="60" t="b">
        <f t="shared" si="1"/>
        <v>1</v>
      </c>
      <c r="AD748" s="61" t="b">
        <v>0</v>
      </c>
      <c r="AE748" s="32" t="s">
        <v>280</v>
      </c>
      <c r="AF748" s="46"/>
      <c r="AG748" s="46"/>
      <c r="AH748" s="46"/>
      <c r="AI748" s="46"/>
      <c r="AJ748" s="46"/>
    </row>
    <row r="749" ht="22.5" customHeight="1">
      <c r="A749" s="27">
        <v>46153.0</v>
      </c>
      <c r="B749" s="34" t="str">
        <f t="array" ref="B749">TEXT(A749, "MM-YYYY")</f>
        <v>05-2026</v>
      </c>
      <c r="C749" s="265" t="s">
        <v>1378</v>
      </c>
      <c r="D749" s="36" t="s">
        <v>210</v>
      </c>
      <c r="E749" s="36" t="s">
        <v>213</v>
      </c>
      <c r="F749" s="29" t="b">
        <v>1</v>
      </c>
      <c r="G749" s="36" t="s">
        <v>214</v>
      </c>
      <c r="H749" s="36" t="s">
        <v>215</v>
      </c>
      <c r="I749" s="39"/>
      <c r="J749" s="40"/>
      <c r="K749" s="37" t="s">
        <v>891</v>
      </c>
      <c r="L749" s="37" t="s">
        <v>551</v>
      </c>
      <c r="M749" s="37" t="s">
        <v>194</v>
      </c>
      <c r="N749" s="37" t="s">
        <v>194</v>
      </c>
      <c r="O749" s="37" t="s">
        <v>759</v>
      </c>
      <c r="P749" s="37" t="s">
        <v>760</v>
      </c>
      <c r="Q749" s="41">
        <v>46195.0</v>
      </c>
      <c r="R749" s="42">
        <v>1.0</v>
      </c>
      <c r="S749" s="44"/>
      <c r="T749" s="37" t="s">
        <v>2496</v>
      </c>
      <c r="U749" s="45" t="str">
        <f>IF(records_2[Type]="Room",records_2[roomNo],records_2[roomNo]&amp;"-"&amp;SUBSTITUTE(RIGHT(records_2[roomNo]&amp;records_2[Type],2),"-",""))</f>
        <v>12-1-060</v>
      </c>
      <c r="V749" s="47" t="str">
        <f t="array" ref="V749">_xlfn.XLOOKUP(records_2[ID], dAir[roomNo], dAir[roomName])</f>
        <v>CORRIDOR</v>
      </c>
      <c r="W749" s="47" t="str">
        <f t="array" ref="W749">_xlfn.XLOOKUP(records_2[ID], dAir[roomNo], dAir[building])</f>
        <v>Building 12</v>
      </c>
      <c r="X749" s="47" t="str">
        <f t="array" ref="X749">_xlfn.XLOOKUP(records_2[ID], dAir[roomNo], dAir[floor])</f>
        <v>Floor 1</v>
      </c>
      <c r="Y749" s="45" t="str">
        <f t="array" ref="Y749">_xlfn.XLOOKUP(records_2[ID], dAir[roomNo], dAir[Class])</f>
        <v>D</v>
      </c>
      <c r="Z749" s="45">
        <f t="array" ref="Z749">_xlfn.XLOOKUP(records_2[Method]&amp;"-"&amp;records_2[Class], dAirSpec[ID], dAirSpec[Spec])</f>
        <v>100</v>
      </c>
      <c r="AA749" s="45" t="str">
        <f t="array" ref="AA749">_xlfn.XLOOKUP(records_2[Method]&amp;"-"&amp;records_2[Class], dAirSpec[ID], dAirSpec[Unit])</f>
        <v>cfu/plate</v>
      </c>
      <c r="AB749" s="58">
        <f t="array" ref="AB749">if(R749="","", if(records_2[Method]="Active Air",_xlfn.xlookup(records_2[ColonyCount]&amp;records_2[AirSampler],feller[code],feller[Vc]),records_2[ColonyCount]))</f>
        <v>1</v>
      </c>
      <c r="AC749" s="60" t="b">
        <f t="shared" si="1"/>
        <v>1</v>
      </c>
      <c r="AD749" s="61" t="b">
        <v>0</v>
      </c>
      <c r="AE749" s="32" t="s">
        <v>280</v>
      </c>
      <c r="AF749" s="46"/>
      <c r="AG749" s="46"/>
      <c r="AH749" s="46"/>
      <c r="AI749" s="46"/>
      <c r="AJ749" s="46"/>
    </row>
    <row r="750" ht="22.5" customHeight="1">
      <c r="A750" s="27">
        <v>46153.0</v>
      </c>
      <c r="B750" s="34" t="str">
        <f t="array" ref="B750">TEXT(A750, "MM-YYYY")</f>
        <v>05-2026</v>
      </c>
      <c r="C750" s="264" t="s">
        <v>1379</v>
      </c>
      <c r="D750" s="36" t="s">
        <v>210</v>
      </c>
      <c r="E750" s="36" t="s">
        <v>213</v>
      </c>
      <c r="F750" s="29" t="b">
        <v>1</v>
      </c>
      <c r="G750" s="36" t="s">
        <v>214</v>
      </c>
      <c r="H750" s="36" t="s">
        <v>215</v>
      </c>
      <c r="I750" s="39"/>
      <c r="J750" s="40"/>
      <c r="K750" s="37" t="s">
        <v>2470</v>
      </c>
      <c r="L750" s="37" t="s">
        <v>803</v>
      </c>
      <c r="M750" s="37" t="s">
        <v>194</v>
      </c>
      <c r="N750" s="37" t="s">
        <v>194</v>
      </c>
      <c r="O750" s="37" t="s">
        <v>759</v>
      </c>
      <c r="P750" s="37" t="s">
        <v>760</v>
      </c>
      <c r="Q750" s="41">
        <v>46195.0</v>
      </c>
      <c r="R750" s="42">
        <v>0.0</v>
      </c>
      <c r="S750" s="44"/>
      <c r="T750" s="37" t="s">
        <v>2496</v>
      </c>
      <c r="U750" s="45" t="str">
        <f>IF(records_2[Type]="Room",records_2[roomNo],records_2[roomNo]&amp;"-"&amp;SUBSTITUTE(RIGHT(records_2[roomNo]&amp;records_2[Type],2),"-",""))</f>
        <v>12-1-061</v>
      </c>
      <c r="V750" s="47" t="str">
        <f t="array" ref="V750">_xlfn.XLOOKUP(records_2[ID], dAir[roomNo], dAir[roomName])</f>
        <v>JANITOR</v>
      </c>
      <c r="W750" s="47" t="str">
        <f t="array" ref="W750">_xlfn.XLOOKUP(records_2[ID], dAir[roomNo], dAir[building])</f>
        <v>Building 12</v>
      </c>
      <c r="X750" s="47" t="str">
        <f t="array" ref="X750">_xlfn.XLOOKUP(records_2[ID], dAir[roomNo], dAir[floor])</f>
        <v>Floor 1</v>
      </c>
      <c r="Y750" s="45" t="str">
        <f t="array" ref="Y750">_xlfn.XLOOKUP(records_2[ID], dAir[roomNo], dAir[Class])</f>
        <v>D</v>
      </c>
      <c r="Z750" s="45">
        <f t="array" ref="Z750">_xlfn.XLOOKUP(records_2[Method]&amp;"-"&amp;records_2[Class], dAirSpec[ID], dAirSpec[Spec])</f>
        <v>100</v>
      </c>
      <c r="AA750" s="45" t="str">
        <f t="array" ref="AA750">_xlfn.XLOOKUP(records_2[Method]&amp;"-"&amp;records_2[Class], dAirSpec[ID], dAirSpec[Unit])</f>
        <v>cfu/plate</v>
      </c>
      <c r="AB750" s="58">
        <f t="array" ref="AB750">if(R750="","", if(records_2[Method]="Active Air",_xlfn.xlookup(records_2[ColonyCount]&amp;records_2[AirSampler],feller[code],feller[Vc]),records_2[ColonyCount]))</f>
        <v>0</v>
      </c>
      <c r="AC750" s="60" t="b">
        <f t="shared" si="1"/>
        <v>1</v>
      </c>
      <c r="AD750" s="61" t="b">
        <v>0</v>
      </c>
      <c r="AE750" s="32" t="s">
        <v>280</v>
      </c>
      <c r="AF750" s="46"/>
      <c r="AG750" s="46"/>
      <c r="AH750" s="46"/>
      <c r="AI750" s="46"/>
      <c r="AJ750" s="46"/>
    </row>
    <row r="751" ht="22.5" customHeight="1">
      <c r="A751" s="27">
        <v>46153.0</v>
      </c>
      <c r="B751" s="34" t="str">
        <f t="array" ref="B751">TEXT(A751, "MM-YYYY")</f>
        <v>05-2026</v>
      </c>
      <c r="C751" s="265" t="s">
        <v>1383</v>
      </c>
      <c r="D751" s="36" t="s">
        <v>210</v>
      </c>
      <c r="E751" s="36" t="s">
        <v>213</v>
      </c>
      <c r="F751" s="29" t="b">
        <v>1</v>
      </c>
      <c r="G751" s="36" t="s">
        <v>214</v>
      </c>
      <c r="H751" s="36" t="s">
        <v>215</v>
      </c>
      <c r="I751" s="39"/>
      <c r="J751" s="40"/>
      <c r="K751" s="37" t="s">
        <v>500</v>
      </c>
      <c r="L751" s="37" t="s">
        <v>1495</v>
      </c>
      <c r="M751" s="37" t="s">
        <v>194</v>
      </c>
      <c r="N751" s="37" t="s">
        <v>194</v>
      </c>
      <c r="O751" s="37" t="s">
        <v>759</v>
      </c>
      <c r="P751" s="37" t="s">
        <v>760</v>
      </c>
      <c r="Q751" s="41">
        <v>46195.0</v>
      </c>
      <c r="R751" s="42">
        <v>0.0</v>
      </c>
      <c r="S751" s="44"/>
      <c r="T751" s="37" t="s">
        <v>2496</v>
      </c>
      <c r="U751" s="45" t="str">
        <f>IF(records_2[Type]="Room",records_2[roomNo],records_2[roomNo]&amp;"-"&amp;SUBSTITUTE(RIGHT(records_2[roomNo]&amp;records_2[Type],2),"-",""))</f>
        <v>12-1-062</v>
      </c>
      <c r="V751" s="47" t="str">
        <f t="array" ref="V751">_xlfn.XLOOKUP(records_2[ID], dAir[roomNo], dAir[roomName])</f>
        <v>CLEANED EQUIPMENT</v>
      </c>
      <c r="W751" s="47" t="str">
        <f t="array" ref="W751">_xlfn.XLOOKUP(records_2[ID], dAir[roomNo], dAir[building])</f>
        <v>Building 12</v>
      </c>
      <c r="X751" s="47" t="str">
        <f t="array" ref="X751">_xlfn.XLOOKUP(records_2[ID], dAir[roomNo], dAir[floor])</f>
        <v>Floor 1</v>
      </c>
      <c r="Y751" s="45" t="str">
        <f t="array" ref="Y751">_xlfn.XLOOKUP(records_2[ID], dAir[roomNo], dAir[Class])</f>
        <v>D</v>
      </c>
      <c r="Z751" s="45">
        <f t="array" ref="Z751">_xlfn.XLOOKUP(records_2[Method]&amp;"-"&amp;records_2[Class], dAirSpec[ID], dAirSpec[Spec])</f>
        <v>100</v>
      </c>
      <c r="AA751" s="45" t="str">
        <f t="array" ref="AA751">_xlfn.XLOOKUP(records_2[Method]&amp;"-"&amp;records_2[Class], dAirSpec[ID], dAirSpec[Unit])</f>
        <v>cfu/plate</v>
      </c>
      <c r="AB751" s="58">
        <f t="array" ref="AB751">if(R751="","", if(records_2[Method]="Active Air",_xlfn.xlookup(records_2[ColonyCount]&amp;records_2[AirSampler],feller[code],feller[Vc]),records_2[ColonyCount]))</f>
        <v>0</v>
      </c>
      <c r="AC751" s="60" t="b">
        <f t="shared" si="1"/>
        <v>1</v>
      </c>
      <c r="AD751" s="61" t="b">
        <v>0</v>
      </c>
      <c r="AE751" s="32" t="s">
        <v>280</v>
      </c>
      <c r="AF751" s="46"/>
      <c r="AG751" s="46"/>
      <c r="AH751" s="46"/>
      <c r="AI751" s="46"/>
      <c r="AJ751" s="46"/>
    </row>
    <row r="752" ht="22.5" customHeight="1">
      <c r="A752" s="27">
        <v>46153.0</v>
      </c>
      <c r="B752" s="34" t="str">
        <f t="array" ref="B752">TEXT(A752, "MM-YYYY")</f>
        <v>05-2026</v>
      </c>
      <c r="C752" s="264" t="s">
        <v>779</v>
      </c>
      <c r="D752" s="36" t="s">
        <v>210</v>
      </c>
      <c r="E752" s="36" t="s">
        <v>213</v>
      </c>
      <c r="F752" s="29" t="b">
        <v>1</v>
      </c>
      <c r="G752" s="36" t="s">
        <v>214</v>
      </c>
      <c r="H752" s="36" t="s">
        <v>215</v>
      </c>
      <c r="I752" s="39"/>
      <c r="J752" s="40"/>
      <c r="K752" s="37" t="s">
        <v>500</v>
      </c>
      <c r="L752" s="37" t="s">
        <v>2499</v>
      </c>
      <c r="M752" s="37" t="s">
        <v>194</v>
      </c>
      <c r="N752" s="37" t="s">
        <v>194</v>
      </c>
      <c r="O752" s="37" t="s">
        <v>759</v>
      </c>
      <c r="P752" s="37" t="s">
        <v>760</v>
      </c>
      <c r="Q752" s="41">
        <v>46195.0</v>
      </c>
      <c r="R752" s="42">
        <v>0.0</v>
      </c>
      <c r="S752" s="44"/>
      <c r="T752" s="37" t="s">
        <v>2496</v>
      </c>
      <c r="U752" s="45" t="str">
        <f>IF(records_2[Type]="Room",records_2[roomNo],records_2[roomNo]&amp;"-"&amp;SUBSTITUTE(RIGHT(records_2[roomNo]&amp;records_2[Type],2),"-",""))</f>
        <v>12-1-063</v>
      </c>
      <c r="V752" s="47" t="str">
        <f t="array" ref="V752">_xlfn.XLOOKUP(records_2[ID], dAir[roomNo], dAir[roomName])</f>
        <v>DRYING</v>
      </c>
      <c r="W752" s="47" t="str">
        <f t="array" ref="W752">_xlfn.XLOOKUP(records_2[ID], dAir[roomNo], dAir[building])</f>
        <v>Building 12</v>
      </c>
      <c r="X752" s="47" t="str">
        <f t="array" ref="X752">_xlfn.XLOOKUP(records_2[ID], dAir[roomNo], dAir[floor])</f>
        <v>Floor 1</v>
      </c>
      <c r="Y752" s="45" t="str">
        <f t="array" ref="Y752">_xlfn.XLOOKUP(records_2[ID], dAir[roomNo], dAir[Class])</f>
        <v>D</v>
      </c>
      <c r="Z752" s="45">
        <f t="array" ref="Z752">_xlfn.XLOOKUP(records_2[Method]&amp;"-"&amp;records_2[Class], dAirSpec[ID], dAirSpec[Spec])</f>
        <v>100</v>
      </c>
      <c r="AA752" s="45" t="str">
        <f t="array" ref="AA752">_xlfn.XLOOKUP(records_2[Method]&amp;"-"&amp;records_2[Class], dAirSpec[ID], dAirSpec[Unit])</f>
        <v>cfu/plate</v>
      </c>
      <c r="AB752" s="58">
        <f t="array" ref="AB752">if(R752="","", if(records_2[Method]="Active Air",_xlfn.xlookup(records_2[ColonyCount]&amp;records_2[AirSampler],feller[code],feller[Vc]),records_2[ColonyCount]))</f>
        <v>0</v>
      </c>
      <c r="AC752" s="60" t="b">
        <f t="shared" si="1"/>
        <v>1</v>
      </c>
      <c r="AD752" s="61" t="b">
        <v>0</v>
      </c>
      <c r="AE752" s="32" t="s">
        <v>280</v>
      </c>
      <c r="AF752" s="46"/>
      <c r="AG752" s="46"/>
      <c r="AH752" s="46"/>
      <c r="AI752" s="46"/>
      <c r="AJ752" s="46"/>
    </row>
    <row r="753" ht="22.5" customHeight="1">
      <c r="A753" s="27">
        <v>46153.0</v>
      </c>
      <c r="B753" s="34" t="str">
        <f t="array" ref="B753">TEXT(A753, "MM-YYYY")</f>
        <v>05-2026</v>
      </c>
      <c r="C753" s="265" t="s">
        <v>789</v>
      </c>
      <c r="D753" s="36" t="s">
        <v>210</v>
      </c>
      <c r="E753" s="36" t="s">
        <v>213</v>
      </c>
      <c r="F753" s="29" t="b">
        <v>1</v>
      </c>
      <c r="G753" s="36" t="s">
        <v>214</v>
      </c>
      <c r="H753" s="36" t="s">
        <v>215</v>
      </c>
      <c r="I753" s="39"/>
      <c r="J753" s="40"/>
      <c r="K753" s="37" t="s">
        <v>500</v>
      </c>
      <c r="L753" s="37" t="s">
        <v>425</v>
      </c>
      <c r="M753" s="37" t="s">
        <v>194</v>
      </c>
      <c r="N753" s="37" t="s">
        <v>194</v>
      </c>
      <c r="O753" s="37" t="s">
        <v>759</v>
      </c>
      <c r="P753" s="37" t="s">
        <v>760</v>
      </c>
      <c r="Q753" s="41">
        <v>46195.0</v>
      </c>
      <c r="R753" s="42">
        <v>1.0</v>
      </c>
      <c r="S753" s="44"/>
      <c r="T753" s="37" t="s">
        <v>2496</v>
      </c>
      <c r="U753" s="45" t="str">
        <f>IF(records_2[Type]="Room",records_2[roomNo],records_2[roomNo]&amp;"-"&amp;SUBSTITUTE(RIGHT(records_2[roomNo]&amp;records_2[Type],2),"-",""))</f>
        <v>12-1-064</v>
      </c>
      <c r="V753" s="47" t="str">
        <f t="array" ref="V753">_xlfn.XLOOKUP(records_2[ID], dAir[roomNo], dAir[roomName])</f>
        <v>WASHING</v>
      </c>
      <c r="W753" s="47" t="str">
        <f t="array" ref="W753">_xlfn.XLOOKUP(records_2[ID], dAir[roomNo], dAir[building])</f>
        <v>Building 12</v>
      </c>
      <c r="X753" s="47" t="str">
        <f t="array" ref="X753">_xlfn.XLOOKUP(records_2[ID], dAir[roomNo], dAir[floor])</f>
        <v>Floor 1</v>
      </c>
      <c r="Y753" s="45" t="str">
        <f t="array" ref="Y753">_xlfn.XLOOKUP(records_2[ID], dAir[roomNo], dAir[Class])</f>
        <v>D</v>
      </c>
      <c r="Z753" s="45">
        <f t="array" ref="Z753">_xlfn.XLOOKUP(records_2[Method]&amp;"-"&amp;records_2[Class], dAirSpec[ID], dAirSpec[Spec])</f>
        <v>100</v>
      </c>
      <c r="AA753" s="45" t="str">
        <f t="array" ref="AA753">_xlfn.XLOOKUP(records_2[Method]&amp;"-"&amp;records_2[Class], dAirSpec[ID], dAirSpec[Unit])</f>
        <v>cfu/plate</v>
      </c>
      <c r="AB753" s="58">
        <f t="array" ref="AB753">if(R753="","", if(records_2[Method]="Active Air",_xlfn.xlookup(records_2[ColonyCount]&amp;records_2[AirSampler],feller[code],feller[Vc]),records_2[ColonyCount]))</f>
        <v>1</v>
      </c>
      <c r="AC753" s="60" t="b">
        <f t="shared" si="1"/>
        <v>1</v>
      </c>
      <c r="AD753" s="61" t="b">
        <v>0</v>
      </c>
      <c r="AE753" s="32" t="s">
        <v>280</v>
      </c>
      <c r="AF753" s="46"/>
      <c r="AG753" s="46"/>
      <c r="AH753" s="46"/>
      <c r="AI753" s="46"/>
      <c r="AJ753" s="46"/>
    </row>
    <row r="754" ht="22.5" customHeight="1">
      <c r="A754" s="27">
        <v>46153.0</v>
      </c>
      <c r="B754" s="34" t="str">
        <f t="array" ref="B754">TEXT(A754, "MM-YYYY")</f>
        <v>05-2026</v>
      </c>
      <c r="C754" s="264" t="s">
        <v>796</v>
      </c>
      <c r="D754" s="36" t="s">
        <v>210</v>
      </c>
      <c r="E754" s="36" t="s">
        <v>213</v>
      </c>
      <c r="F754" s="29" t="b">
        <v>1</v>
      </c>
      <c r="G754" s="36" t="s">
        <v>214</v>
      </c>
      <c r="H754" s="36" t="s">
        <v>215</v>
      </c>
      <c r="I754" s="39"/>
      <c r="J754" s="40"/>
      <c r="K754" s="37" t="s">
        <v>1087</v>
      </c>
      <c r="L754" s="37" t="s">
        <v>306</v>
      </c>
      <c r="M754" s="37" t="s">
        <v>194</v>
      </c>
      <c r="N754" s="37" t="s">
        <v>194</v>
      </c>
      <c r="O754" s="37" t="s">
        <v>759</v>
      </c>
      <c r="P754" s="37" t="s">
        <v>760</v>
      </c>
      <c r="Q754" s="41">
        <v>46195.0</v>
      </c>
      <c r="R754" s="42">
        <v>0.0</v>
      </c>
      <c r="S754" s="44"/>
      <c r="T754" s="37" t="s">
        <v>2496</v>
      </c>
      <c r="U754" s="45" t="str">
        <f>IF(records_2[Type]="Room",records_2[roomNo],records_2[roomNo]&amp;"-"&amp;SUBSTITUTE(RIGHT(records_2[roomNo]&amp;records_2[Type],2),"-",""))</f>
        <v>12-1-065</v>
      </c>
      <c r="V754" s="47" t="str">
        <f t="array" ref="V754">_xlfn.XLOOKUP(records_2[ID], dAir[roomNo], dAir[roomName])</f>
        <v>BOTTLE CLEANING 1</v>
      </c>
      <c r="W754" s="47" t="str">
        <f t="array" ref="W754">_xlfn.XLOOKUP(records_2[ID], dAir[roomNo], dAir[building])</f>
        <v>Building 12</v>
      </c>
      <c r="X754" s="47" t="str">
        <f t="array" ref="X754">_xlfn.XLOOKUP(records_2[ID], dAir[roomNo], dAir[floor])</f>
        <v>Floor 1</v>
      </c>
      <c r="Y754" s="45" t="str">
        <f t="array" ref="Y754">_xlfn.XLOOKUP(records_2[ID], dAir[roomNo], dAir[Class])</f>
        <v>D</v>
      </c>
      <c r="Z754" s="45">
        <f t="array" ref="Z754">_xlfn.XLOOKUP(records_2[Method]&amp;"-"&amp;records_2[Class], dAirSpec[ID], dAirSpec[Spec])</f>
        <v>100</v>
      </c>
      <c r="AA754" s="45" t="str">
        <f t="array" ref="AA754">_xlfn.XLOOKUP(records_2[Method]&amp;"-"&amp;records_2[Class], dAirSpec[ID], dAirSpec[Unit])</f>
        <v>cfu/plate</v>
      </c>
      <c r="AB754" s="58">
        <f t="array" ref="AB754">if(R754="","", if(records_2[Method]="Active Air",_xlfn.xlookup(records_2[ColonyCount]&amp;records_2[AirSampler],feller[code],feller[Vc]),records_2[ColonyCount]))</f>
        <v>0</v>
      </c>
      <c r="AC754" s="60" t="b">
        <f t="shared" si="1"/>
        <v>1</v>
      </c>
      <c r="AD754" s="61" t="b">
        <v>0</v>
      </c>
      <c r="AE754" s="32" t="s">
        <v>280</v>
      </c>
      <c r="AF754" s="46"/>
      <c r="AG754" s="46"/>
      <c r="AH754" s="46"/>
      <c r="AI754" s="46"/>
      <c r="AJ754" s="46"/>
    </row>
    <row r="755" ht="22.5" customHeight="1">
      <c r="A755" s="27">
        <v>46153.0</v>
      </c>
      <c r="B755" s="34" t="str">
        <f t="array" ref="B755">TEXT(A755, "MM-YYYY")</f>
        <v>05-2026</v>
      </c>
      <c r="C755" s="265" t="s">
        <v>1385</v>
      </c>
      <c r="D755" s="36" t="s">
        <v>210</v>
      </c>
      <c r="E755" s="36" t="s">
        <v>213</v>
      </c>
      <c r="F755" s="29" t="b">
        <v>1</v>
      </c>
      <c r="G755" s="36" t="s">
        <v>214</v>
      </c>
      <c r="H755" s="36" t="s">
        <v>215</v>
      </c>
      <c r="I755" s="39"/>
      <c r="J755" s="40"/>
      <c r="K755" s="37" t="s">
        <v>2421</v>
      </c>
      <c r="L755" s="37" t="s">
        <v>551</v>
      </c>
      <c r="M755" s="37" t="s">
        <v>194</v>
      </c>
      <c r="N755" s="37" t="s">
        <v>194</v>
      </c>
      <c r="O755" s="37" t="s">
        <v>759</v>
      </c>
      <c r="P755" s="37" t="s">
        <v>760</v>
      </c>
      <c r="Q755" s="41">
        <v>46195.0</v>
      </c>
      <c r="R755" s="42">
        <v>0.0</v>
      </c>
      <c r="S755" s="44"/>
      <c r="T755" s="37" t="s">
        <v>2496</v>
      </c>
      <c r="U755" s="45" t="str">
        <f>IF(records_2[Type]="Room",records_2[roomNo],records_2[roomNo]&amp;"-"&amp;SUBSTITUTE(RIGHT(records_2[roomNo]&amp;records_2[Type],2),"-",""))</f>
        <v>12-1-066</v>
      </c>
      <c r="V755" s="47" t="str">
        <f t="array" ref="V755">_xlfn.XLOOKUP(records_2[ID], dAir[roomNo], dAir[roomName])</f>
        <v>CORRIDOR</v>
      </c>
      <c r="W755" s="47" t="str">
        <f t="array" ref="W755">_xlfn.XLOOKUP(records_2[ID], dAir[roomNo], dAir[building])</f>
        <v>Building 12</v>
      </c>
      <c r="X755" s="47" t="str">
        <f t="array" ref="X755">_xlfn.XLOOKUP(records_2[ID], dAir[roomNo], dAir[floor])</f>
        <v>Floor 1</v>
      </c>
      <c r="Y755" s="45" t="str">
        <f t="array" ref="Y755">_xlfn.XLOOKUP(records_2[ID], dAir[roomNo], dAir[Class])</f>
        <v>D</v>
      </c>
      <c r="Z755" s="45">
        <f t="array" ref="Z755">_xlfn.XLOOKUP(records_2[Method]&amp;"-"&amp;records_2[Class], dAirSpec[ID], dAirSpec[Spec])</f>
        <v>100</v>
      </c>
      <c r="AA755" s="45" t="str">
        <f t="array" ref="AA755">_xlfn.XLOOKUP(records_2[Method]&amp;"-"&amp;records_2[Class], dAirSpec[ID], dAirSpec[Unit])</f>
        <v>cfu/plate</v>
      </c>
      <c r="AB755" s="58">
        <f t="array" ref="AB755">if(R755="","", if(records_2[Method]="Active Air",_xlfn.xlookup(records_2[ColonyCount]&amp;records_2[AirSampler],feller[code],feller[Vc]),records_2[ColonyCount]))</f>
        <v>0</v>
      </c>
      <c r="AC755" s="60" t="b">
        <f t="shared" si="1"/>
        <v>1</v>
      </c>
      <c r="AD755" s="61" t="b">
        <v>0</v>
      </c>
      <c r="AE755" s="32" t="s">
        <v>280</v>
      </c>
      <c r="AF755" s="46"/>
      <c r="AG755" s="46"/>
      <c r="AH755" s="46"/>
      <c r="AI755" s="46"/>
      <c r="AJ755" s="46"/>
    </row>
    <row r="756" ht="22.5" customHeight="1">
      <c r="A756" s="27">
        <v>46153.0</v>
      </c>
      <c r="B756" s="34" t="str">
        <f t="array" ref="B756">TEXT(A756, "MM-YYYY")</f>
        <v>05-2026</v>
      </c>
      <c r="C756" s="264" t="s">
        <v>1386</v>
      </c>
      <c r="D756" s="36" t="s">
        <v>210</v>
      </c>
      <c r="E756" s="36" t="s">
        <v>213</v>
      </c>
      <c r="F756" s="29" t="b">
        <v>1</v>
      </c>
      <c r="G756" s="36" t="s">
        <v>214</v>
      </c>
      <c r="H756" s="36" t="s">
        <v>215</v>
      </c>
      <c r="I756" s="39"/>
      <c r="J756" s="40"/>
      <c r="K756" s="37" t="s">
        <v>2421</v>
      </c>
      <c r="L756" s="37" t="s">
        <v>403</v>
      </c>
      <c r="M756" s="37" t="s">
        <v>194</v>
      </c>
      <c r="N756" s="37" t="s">
        <v>194</v>
      </c>
      <c r="O756" s="37" t="s">
        <v>759</v>
      </c>
      <c r="P756" s="37" t="s">
        <v>760</v>
      </c>
      <c r="Q756" s="41">
        <v>46195.0</v>
      </c>
      <c r="R756" s="42">
        <v>0.0</v>
      </c>
      <c r="S756" s="44"/>
      <c r="T756" s="37" t="s">
        <v>2496</v>
      </c>
      <c r="U756" s="45" t="str">
        <f>IF(records_2[Type]="Room",records_2[roomNo],records_2[roomNo]&amp;"-"&amp;SUBSTITUTE(RIGHT(records_2[roomNo]&amp;records_2[Type],2),"-",""))</f>
        <v>12-1-067</v>
      </c>
      <c r="V756" s="47" t="str">
        <f t="array" ref="V756">_xlfn.XLOOKUP(records_2[ID], dAir[roomNo], dAir[roomName])</f>
        <v>FILLING LINE 1</v>
      </c>
      <c r="W756" s="47" t="str">
        <f t="array" ref="W756">_xlfn.XLOOKUP(records_2[ID], dAir[roomNo], dAir[building])</f>
        <v>Building 12</v>
      </c>
      <c r="X756" s="47" t="str">
        <f t="array" ref="X756">_xlfn.XLOOKUP(records_2[ID], dAir[roomNo], dAir[floor])</f>
        <v>Floor 1</v>
      </c>
      <c r="Y756" s="45" t="str">
        <f t="array" ref="Y756">_xlfn.XLOOKUP(records_2[ID], dAir[roomNo], dAir[Class])</f>
        <v>D</v>
      </c>
      <c r="Z756" s="45">
        <f t="array" ref="Z756">_xlfn.XLOOKUP(records_2[Method]&amp;"-"&amp;records_2[Class], dAirSpec[ID], dAirSpec[Spec])</f>
        <v>100</v>
      </c>
      <c r="AA756" s="45" t="str">
        <f t="array" ref="AA756">_xlfn.XLOOKUP(records_2[Method]&amp;"-"&amp;records_2[Class], dAirSpec[ID], dAirSpec[Unit])</f>
        <v>cfu/plate</v>
      </c>
      <c r="AB756" s="58">
        <f t="array" ref="AB756">if(R756="","", if(records_2[Method]="Active Air",_xlfn.xlookup(records_2[ColonyCount]&amp;records_2[AirSampler],feller[code],feller[Vc]),records_2[ColonyCount]))</f>
        <v>0</v>
      </c>
      <c r="AC756" s="60" t="b">
        <f t="shared" si="1"/>
        <v>1</v>
      </c>
      <c r="AD756" s="61" t="b">
        <v>0</v>
      </c>
      <c r="AE756" s="32" t="s">
        <v>280</v>
      </c>
      <c r="AF756" s="46"/>
      <c r="AG756" s="46"/>
      <c r="AH756" s="46"/>
      <c r="AI756" s="46"/>
      <c r="AJ756" s="46"/>
    </row>
    <row r="757" ht="22.5" customHeight="1">
      <c r="A757" s="27">
        <v>46153.0</v>
      </c>
      <c r="B757" s="34" t="str">
        <f t="array" ref="B757">TEXT(A757, "MM-YYYY")</f>
        <v>05-2026</v>
      </c>
      <c r="C757" s="265" t="s">
        <v>1388</v>
      </c>
      <c r="D757" s="36" t="s">
        <v>210</v>
      </c>
      <c r="E757" s="36" t="s">
        <v>213</v>
      </c>
      <c r="F757" s="29" t="b">
        <v>1</v>
      </c>
      <c r="G757" s="36" t="s">
        <v>214</v>
      </c>
      <c r="H757" s="36" t="s">
        <v>215</v>
      </c>
      <c r="I757" s="39"/>
      <c r="J757" s="40"/>
      <c r="K757" s="37" t="s">
        <v>2500</v>
      </c>
      <c r="L757" s="37" t="s">
        <v>817</v>
      </c>
      <c r="M757" s="37" t="s">
        <v>194</v>
      </c>
      <c r="N757" s="37" t="s">
        <v>194</v>
      </c>
      <c r="O757" s="37" t="s">
        <v>759</v>
      </c>
      <c r="P757" s="37" t="s">
        <v>760</v>
      </c>
      <c r="Q757" s="41">
        <v>46195.0</v>
      </c>
      <c r="R757" s="42">
        <v>1.0</v>
      </c>
      <c r="S757" s="44"/>
      <c r="T757" s="37" t="s">
        <v>2496</v>
      </c>
      <c r="U757" s="45" t="str">
        <f>IF(records_2[Type]="Room",records_2[roomNo],records_2[roomNo]&amp;"-"&amp;SUBSTITUTE(RIGHT(records_2[roomNo]&amp;records_2[Type],2),"-",""))</f>
        <v>12-1-068</v>
      </c>
      <c r="V757" s="47" t="str">
        <f t="array" ref="V757">_xlfn.XLOOKUP(records_2[ID], dAir[roomNo], dAir[roomName])</f>
        <v>FILLING LINE 2</v>
      </c>
      <c r="W757" s="47" t="str">
        <f t="array" ref="W757">_xlfn.XLOOKUP(records_2[ID], dAir[roomNo], dAir[building])</f>
        <v>Building 12</v>
      </c>
      <c r="X757" s="47" t="str">
        <f t="array" ref="X757">_xlfn.XLOOKUP(records_2[ID], dAir[roomNo], dAir[floor])</f>
        <v>Floor 1</v>
      </c>
      <c r="Y757" s="45" t="str">
        <f t="array" ref="Y757">_xlfn.XLOOKUP(records_2[ID], dAir[roomNo], dAir[Class])</f>
        <v>D</v>
      </c>
      <c r="Z757" s="45">
        <f t="array" ref="Z757">_xlfn.XLOOKUP(records_2[Method]&amp;"-"&amp;records_2[Class], dAirSpec[ID], dAirSpec[Spec])</f>
        <v>100</v>
      </c>
      <c r="AA757" s="45" t="str">
        <f t="array" ref="AA757">_xlfn.XLOOKUP(records_2[Method]&amp;"-"&amp;records_2[Class], dAirSpec[ID], dAirSpec[Unit])</f>
        <v>cfu/plate</v>
      </c>
      <c r="AB757" s="58">
        <f t="array" ref="AB757">if(R757="","", if(records_2[Method]="Active Air",_xlfn.xlookup(records_2[ColonyCount]&amp;records_2[AirSampler],feller[code],feller[Vc]),records_2[ColonyCount]))</f>
        <v>1</v>
      </c>
      <c r="AC757" s="60" t="b">
        <f t="shared" si="1"/>
        <v>1</v>
      </c>
      <c r="AD757" s="61" t="b">
        <v>0</v>
      </c>
      <c r="AE757" s="32" t="s">
        <v>280</v>
      </c>
      <c r="AF757" s="46"/>
      <c r="AG757" s="46"/>
      <c r="AH757" s="46"/>
      <c r="AI757" s="46"/>
      <c r="AJ757" s="46"/>
    </row>
    <row r="758" ht="22.5" customHeight="1">
      <c r="A758" s="27">
        <v>46153.0</v>
      </c>
      <c r="B758" s="34" t="str">
        <f t="array" ref="B758">TEXT(A758, "MM-YYYY")</f>
        <v>05-2026</v>
      </c>
      <c r="C758" s="264" t="s">
        <v>804</v>
      </c>
      <c r="D758" s="36" t="s">
        <v>210</v>
      </c>
      <c r="E758" s="36" t="s">
        <v>213</v>
      </c>
      <c r="F758" s="29" t="b">
        <v>1</v>
      </c>
      <c r="G758" s="36" t="s">
        <v>214</v>
      </c>
      <c r="H758" s="36" t="s">
        <v>215</v>
      </c>
      <c r="I758" s="39"/>
      <c r="J758" s="40"/>
      <c r="K758" s="37" t="s">
        <v>317</v>
      </c>
      <c r="L758" s="37" t="s">
        <v>2443</v>
      </c>
      <c r="M758" s="37" t="s">
        <v>194</v>
      </c>
      <c r="N758" s="37" t="s">
        <v>194</v>
      </c>
      <c r="O758" s="37" t="s">
        <v>759</v>
      </c>
      <c r="P758" s="37" t="s">
        <v>760</v>
      </c>
      <c r="Q758" s="41">
        <v>46195.0</v>
      </c>
      <c r="R758" s="42">
        <v>1.0</v>
      </c>
      <c r="S758" s="44"/>
      <c r="T758" s="37" t="s">
        <v>2496</v>
      </c>
      <c r="U758" s="45" t="str">
        <f>IF(records_2[Type]="Room",records_2[roomNo],records_2[roomNo]&amp;"-"&amp;SUBSTITUTE(RIGHT(records_2[roomNo]&amp;records_2[Type],2),"-",""))</f>
        <v>12-1-069</v>
      </c>
      <c r="V758" s="47" t="str">
        <f t="array" ref="V758">_xlfn.XLOOKUP(records_2[ID], dAir[roomNo], dAir[roomName])</f>
        <v>BOTTLE CLEANING 2</v>
      </c>
      <c r="W758" s="47" t="str">
        <f t="array" ref="W758">_xlfn.XLOOKUP(records_2[ID], dAir[roomNo], dAir[building])</f>
        <v>Building 12</v>
      </c>
      <c r="X758" s="47" t="str">
        <f t="array" ref="X758">_xlfn.XLOOKUP(records_2[ID], dAir[roomNo], dAir[floor])</f>
        <v>Floor 1</v>
      </c>
      <c r="Y758" s="45" t="str">
        <f t="array" ref="Y758">_xlfn.XLOOKUP(records_2[ID], dAir[roomNo], dAir[Class])</f>
        <v>D</v>
      </c>
      <c r="Z758" s="45">
        <f t="array" ref="Z758">_xlfn.XLOOKUP(records_2[Method]&amp;"-"&amp;records_2[Class], dAirSpec[ID], dAirSpec[Spec])</f>
        <v>100</v>
      </c>
      <c r="AA758" s="45" t="str">
        <f t="array" ref="AA758">_xlfn.XLOOKUP(records_2[Method]&amp;"-"&amp;records_2[Class], dAirSpec[ID], dAirSpec[Unit])</f>
        <v>cfu/plate</v>
      </c>
      <c r="AB758" s="58">
        <f t="array" ref="AB758">if(R758="","", if(records_2[Method]="Active Air",_xlfn.xlookup(records_2[ColonyCount]&amp;records_2[AirSampler],feller[code],feller[Vc]),records_2[ColonyCount]))</f>
        <v>1</v>
      </c>
      <c r="AC758" s="60" t="b">
        <f t="shared" si="1"/>
        <v>1</v>
      </c>
      <c r="AD758" s="61" t="b">
        <v>0</v>
      </c>
      <c r="AE758" s="32" t="s">
        <v>280</v>
      </c>
      <c r="AF758" s="46"/>
      <c r="AG758" s="46"/>
      <c r="AH758" s="46"/>
      <c r="AI758" s="46"/>
      <c r="AJ758" s="46"/>
    </row>
    <row r="759" ht="22.5" customHeight="1">
      <c r="A759" s="27">
        <v>46153.0</v>
      </c>
      <c r="B759" s="34" t="str">
        <f t="array" ref="B759">TEXT(A759, "MM-YYYY")</f>
        <v>05-2026</v>
      </c>
      <c r="C759" s="265" t="s">
        <v>812</v>
      </c>
      <c r="D759" s="36" t="s">
        <v>210</v>
      </c>
      <c r="E759" s="36" t="s">
        <v>213</v>
      </c>
      <c r="F759" s="29" t="b">
        <v>1</v>
      </c>
      <c r="G759" s="36" t="s">
        <v>214</v>
      </c>
      <c r="H759" s="36" t="s">
        <v>215</v>
      </c>
      <c r="I759" s="39"/>
      <c r="J759" s="40"/>
      <c r="K759" s="37" t="s">
        <v>252</v>
      </c>
      <c r="L759" s="37" t="s">
        <v>557</v>
      </c>
      <c r="M759" s="37" t="s">
        <v>194</v>
      </c>
      <c r="N759" s="37" t="s">
        <v>194</v>
      </c>
      <c r="O759" s="37" t="s">
        <v>759</v>
      </c>
      <c r="P759" s="37" t="s">
        <v>760</v>
      </c>
      <c r="Q759" s="41">
        <v>46195.0</v>
      </c>
      <c r="R759" s="42">
        <v>2.0</v>
      </c>
      <c r="S759" s="44"/>
      <c r="T759" s="37" t="s">
        <v>2496</v>
      </c>
      <c r="U759" s="45" t="str">
        <f>IF(records_2[Type]="Room",records_2[roomNo],records_2[roomNo]&amp;"-"&amp;SUBSTITUTE(RIGHT(records_2[roomNo]&amp;records_2[Type],2),"-",""))</f>
        <v>12-1-070</v>
      </c>
      <c r="V759" s="47" t="str">
        <f t="array" ref="V759">_xlfn.XLOOKUP(records_2[ID], dAir[roomNo], dAir[roomName])</f>
        <v>BOTTLE CLEANING 3</v>
      </c>
      <c r="W759" s="47" t="str">
        <f t="array" ref="W759">_xlfn.XLOOKUP(records_2[ID], dAir[roomNo], dAir[building])</f>
        <v>Building 12</v>
      </c>
      <c r="X759" s="47" t="str">
        <f t="array" ref="X759">_xlfn.XLOOKUP(records_2[ID], dAir[roomNo], dAir[floor])</f>
        <v>Floor 1</v>
      </c>
      <c r="Y759" s="45" t="str">
        <f t="array" ref="Y759">_xlfn.XLOOKUP(records_2[ID], dAir[roomNo], dAir[Class])</f>
        <v>D</v>
      </c>
      <c r="Z759" s="45">
        <f t="array" ref="Z759">_xlfn.XLOOKUP(records_2[Method]&amp;"-"&amp;records_2[Class], dAirSpec[ID], dAirSpec[Spec])</f>
        <v>100</v>
      </c>
      <c r="AA759" s="45" t="str">
        <f t="array" ref="AA759">_xlfn.XLOOKUP(records_2[Method]&amp;"-"&amp;records_2[Class], dAirSpec[ID], dAirSpec[Unit])</f>
        <v>cfu/plate</v>
      </c>
      <c r="AB759" s="58">
        <f t="array" ref="AB759">if(R759="","", if(records_2[Method]="Active Air",_xlfn.xlookup(records_2[ColonyCount]&amp;records_2[AirSampler],feller[code],feller[Vc]),records_2[ColonyCount]))</f>
        <v>2</v>
      </c>
      <c r="AC759" s="60" t="b">
        <f t="shared" si="1"/>
        <v>1</v>
      </c>
      <c r="AD759" s="61" t="b">
        <v>0</v>
      </c>
      <c r="AE759" s="32" t="s">
        <v>280</v>
      </c>
      <c r="AF759" s="46"/>
      <c r="AG759" s="46"/>
      <c r="AH759" s="46"/>
      <c r="AI759" s="46"/>
      <c r="AJ759" s="46"/>
    </row>
    <row r="760" ht="22.5" customHeight="1">
      <c r="A760" s="27">
        <v>46153.0</v>
      </c>
      <c r="B760" s="34" t="str">
        <f t="array" ref="B760">TEXT(A760, "MM-YYYY")</f>
        <v>05-2026</v>
      </c>
      <c r="C760" s="264" t="s">
        <v>1390</v>
      </c>
      <c r="D760" s="36" t="s">
        <v>210</v>
      </c>
      <c r="E760" s="36" t="s">
        <v>213</v>
      </c>
      <c r="F760" s="29" t="b">
        <v>1</v>
      </c>
      <c r="G760" s="36" t="s">
        <v>214</v>
      </c>
      <c r="H760" s="36" t="s">
        <v>215</v>
      </c>
      <c r="I760" s="39"/>
      <c r="J760" s="40"/>
      <c r="K760" s="37" t="s">
        <v>2421</v>
      </c>
      <c r="L760" s="37" t="s">
        <v>752</v>
      </c>
      <c r="M760" s="37" t="s">
        <v>194</v>
      </c>
      <c r="N760" s="37" t="s">
        <v>194</v>
      </c>
      <c r="O760" s="37" t="s">
        <v>759</v>
      </c>
      <c r="P760" s="37" t="s">
        <v>760</v>
      </c>
      <c r="Q760" s="41">
        <v>46195.0</v>
      </c>
      <c r="R760" s="42">
        <v>0.0</v>
      </c>
      <c r="S760" s="44"/>
      <c r="T760" s="37" t="s">
        <v>2496</v>
      </c>
      <c r="U760" s="45" t="str">
        <f>IF(records_2[Type]="Room",records_2[roomNo],records_2[roomNo]&amp;"-"&amp;SUBSTITUTE(RIGHT(records_2[roomNo]&amp;records_2[Type],2),"-",""))</f>
        <v>12-1-071</v>
      </c>
      <c r="V760" s="47" t="str">
        <f t="array" ref="V760">_xlfn.XLOOKUP(records_2[ID], dAir[roomNo], dAir[roomName])</f>
        <v>CORRIDOR</v>
      </c>
      <c r="W760" s="47" t="str">
        <f t="array" ref="W760">_xlfn.XLOOKUP(records_2[ID], dAir[roomNo], dAir[building])</f>
        <v>Building 12</v>
      </c>
      <c r="X760" s="47" t="str">
        <f t="array" ref="X760">_xlfn.XLOOKUP(records_2[ID], dAir[roomNo], dAir[floor])</f>
        <v>Floor 1</v>
      </c>
      <c r="Y760" s="45" t="str">
        <f t="array" ref="Y760">_xlfn.XLOOKUP(records_2[ID], dAir[roomNo], dAir[Class])</f>
        <v>D</v>
      </c>
      <c r="Z760" s="45">
        <f t="array" ref="Z760">_xlfn.XLOOKUP(records_2[Method]&amp;"-"&amp;records_2[Class], dAirSpec[ID], dAirSpec[Spec])</f>
        <v>100</v>
      </c>
      <c r="AA760" s="45" t="str">
        <f t="array" ref="AA760">_xlfn.XLOOKUP(records_2[Method]&amp;"-"&amp;records_2[Class], dAirSpec[ID], dAirSpec[Unit])</f>
        <v>cfu/plate</v>
      </c>
      <c r="AB760" s="58">
        <f t="array" ref="AB760">if(R760="","", if(records_2[Method]="Active Air",_xlfn.xlookup(records_2[ColonyCount]&amp;records_2[AirSampler],feller[code],feller[Vc]),records_2[ColonyCount]))</f>
        <v>0</v>
      </c>
      <c r="AC760" s="60" t="b">
        <f t="shared" si="1"/>
        <v>1</v>
      </c>
      <c r="AD760" s="61" t="b">
        <v>0</v>
      </c>
      <c r="AE760" s="32" t="s">
        <v>280</v>
      </c>
      <c r="AF760" s="46"/>
      <c r="AG760" s="46"/>
      <c r="AH760" s="46"/>
      <c r="AI760" s="46"/>
      <c r="AJ760" s="46"/>
    </row>
    <row r="761" ht="22.5" customHeight="1">
      <c r="A761" s="27">
        <v>46153.0</v>
      </c>
      <c r="B761" s="34" t="str">
        <f t="array" ref="B761">TEXT(A761, "MM-YYYY")</f>
        <v>05-2026</v>
      </c>
      <c r="C761" s="265" t="s">
        <v>1391</v>
      </c>
      <c r="D761" s="36" t="s">
        <v>210</v>
      </c>
      <c r="E761" s="36" t="s">
        <v>213</v>
      </c>
      <c r="F761" s="29" t="b">
        <v>1</v>
      </c>
      <c r="G761" s="36" t="s">
        <v>214</v>
      </c>
      <c r="H761" s="36" t="s">
        <v>215</v>
      </c>
      <c r="I761" s="39"/>
      <c r="J761" s="40"/>
      <c r="K761" s="37" t="s">
        <v>2470</v>
      </c>
      <c r="L761" s="37" t="s">
        <v>481</v>
      </c>
      <c r="M761" s="37" t="s">
        <v>194</v>
      </c>
      <c r="N761" s="37" t="s">
        <v>194</v>
      </c>
      <c r="O761" s="37" t="s">
        <v>759</v>
      </c>
      <c r="P761" s="37" t="s">
        <v>760</v>
      </c>
      <c r="Q761" s="41">
        <v>46195.0</v>
      </c>
      <c r="R761" s="42">
        <v>1.0</v>
      </c>
      <c r="S761" s="44"/>
      <c r="T761" s="37" t="s">
        <v>2496</v>
      </c>
      <c r="U761" s="45" t="str">
        <f>IF(records_2[Type]="Room",records_2[roomNo],records_2[roomNo]&amp;"-"&amp;SUBSTITUTE(RIGHT(records_2[roomNo]&amp;records_2[Type],2),"-",""))</f>
        <v>12-1-072</v>
      </c>
      <c r="V761" s="47" t="str">
        <f t="array" ref="V761">_xlfn.XLOOKUP(records_2[ID], dAir[roomNo], dAir[roomName])</f>
        <v>FILLING LINE 3</v>
      </c>
      <c r="W761" s="47" t="str">
        <f t="array" ref="W761">_xlfn.XLOOKUP(records_2[ID], dAir[roomNo], dAir[building])</f>
        <v>Building 12</v>
      </c>
      <c r="X761" s="47" t="str">
        <f t="array" ref="X761">_xlfn.XLOOKUP(records_2[ID], dAir[roomNo], dAir[floor])</f>
        <v>Floor 1</v>
      </c>
      <c r="Y761" s="45" t="str">
        <f t="array" ref="Y761">_xlfn.XLOOKUP(records_2[ID], dAir[roomNo], dAir[Class])</f>
        <v>D</v>
      </c>
      <c r="Z761" s="45">
        <f t="array" ref="Z761">_xlfn.XLOOKUP(records_2[Method]&amp;"-"&amp;records_2[Class], dAirSpec[ID], dAirSpec[Spec])</f>
        <v>100</v>
      </c>
      <c r="AA761" s="45" t="str">
        <f t="array" ref="AA761">_xlfn.XLOOKUP(records_2[Method]&amp;"-"&amp;records_2[Class], dAirSpec[ID], dAirSpec[Unit])</f>
        <v>cfu/plate</v>
      </c>
      <c r="AB761" s="58">
        <f t="array" ref="AB761">if(R761="","", if(records_2[Method]="Active Air",_xlfn.xlookup(records_2[ColonyCount]&amp;records_2[AirSampler],feller[code],feller[Vc]),records_2[ColonyCount]))</f>
        <v>1</v>
      </c>
      <c r="AC761" s="60" t="b">
        <f t="shared" si="1"/>
        <v>1</v>
      </c>
      <c r="AD761" s="61" t="b">
        <v>0</v>
      </c>
      <c r="AE761" s="32" t="s">
        <v>280</v>
      </c>
      <c r="AF761" s="46"/>
      <c r="AG761" s="46"/>
      <c r="AH761" s="46"/>
      <c r="AI761" s="46"/>
      <c r="AJ761" s="46"/>
    </row>
    <row r="762" ht="22.5" customHeight="1">
      <c r="A762" s="27">
        <v>46153.0</v>
      </c>
      <c r="B762" s="34" t="str">
        <f t="array" ref="B762">TEXT(A762, "MM-YYYY")</f>
        <v>05-2026</v>
      </c>
      <c r="C762" s="264" t="s">
        <v>1393</v>
      </c>
      <c r="D762" s="36" t="s">
        <v>210</v>
      </c>
      <c r="E762" s="36" t="s">
        <v>213</v>
      </c>
      <c r="F762" s="29" t="b">
        <v>1</v>
      </c>
      <c r="G762" s="36" t="s">
        <v>214</v>
      </c>
      <c r="H762" s="36" t="s">
        <v>215</v>
      </c>
      <c r="I762" s="39"/>
      <c r="J762" s="40"/>
      <c r="K762" s="37" t="s">
        <v>500</v>
      </c>
      <c r="L762" s="37" t="s">
        <v>1332</v>
      </c>
      <c r="M762" s="37" t="s">
        <v>194</v>
      </c>
      <c r="N762" s="37" t="s">
        <v>194</v>
      </c>
      <c r="O762" s="37" t="s">
        <v>759</v>
      </c>
      <c r="P762" s="37" t="s">
        <v>760</v>
      </c>
      <c r="Q762" s="41">
        <v>46195.0</v>
      </c>
      <c r="R762" s="42">
        <v>0.0</v>
      </c>
      <c r="S762" s="44"/>
      <c r="T762" s="37" t="s">
        <v>2496</v>
      </c>
      <c r="U762" s="45" t="str">
        <f>IF(records_2[Type]="Room",records_2[roomNo],records_2[roomNo]&amp;"-"&amp;SUBSTITUTE(RIGHT(records_2[roomNo]&amp;records_2[Type],2),"-",""))</f>
        <v>12-1-073</v>
      </c>
      <c r="V762" s="47" t="str">
        <f t="array" ref="V762">_xlfn.XLOOKUP(records_2[ID], dAir[roomNo], dAir[roomName])</f>
        <v>FILLING LINE 4</v>
      </c>
      <c r="W762" s="47" t="str">
        <f t="array" ref="W762">_xlfn.XLOOKUP(records_2[ID], dAir[roomNo], dAir[building])</f>
        <v>Building 12</v>
      </c>
      <c r="X762" s="47" t="str">
        <f t="array" ref="X762">_xlfn.XLOOKUP(records_2[ID], dAir[roomNo], dAir[floor])</f>
        <v>Floor 1</v>
      </c>
      <c r="Y762" s="45" t="str">
        <f t="array" ref="Y762">_xlfn.XLOOKUP(records_2[ID], dAir[roomNo], dAir[Class])</f>
        <v>D</v>
      </c>
      <c r="Z762" s="45">
        <f t="array" ref="Z762">_xlfn.XLOOKUP(records_2[Method]&amp;"-"&amp;records_2[Class], dAirSpec[ID], dAirSpec[Spec])</f>
        <v>100</v>
      </c>
      <c r="AA762" s="45" t="str">
        <f t="array" ref="AA762">_xlfn.XLOOKUP(records_2[Method]&amp;"-"&amp;records_2[Class], dAirSpec[ID], dAirSpec[Unit])</f>
        <v>cfu/plate</v>
      </c>
      <c r="AB762" s="58">
        <f t="array" ref="AB762">if(R762="","", if(records_2[Method]="Active Air",_xlfn.xlookup(records_2[ColonyCount]&amp;records_2[AirSampler],feller[code],feller[Vc]),records_2[ColonyCount]))</f>
        <v>0</v>
      </c>
      <c r="AC762" s="60" t="b">
        <f t="shared" si="1"/>
        <v>1</v>
      </c>
      <c r="AD762" s="61" t="b">
        <v>0</v>
      </c>
      <c r="AE762" s="32" t="s">
        <v>280</v>
      </c>
      <c r="AF762" s="46"/>
      <c r="AG762" s="46"/>
      <c r="AH762" s="46"/>
      <c r="AI762" s="46"/>
      <c r="AJ762" s="46"/>
    </row>
    <row r="763" ht="22.5" customHeight="1">
      <c r="A763" s="27">
        <v>46153.0</v>
      </c>
      <c r="B763" s="34" t="str">
        <f t="array" ref="B763">TEXT(A763, "MM-YYYY")</f>
        <v>05-2026</v>
      </c>
      <c r="C763" s="265" t="s">
        <v>815</v>
      </c>
      <c r="D763" s="36" t="s">
        <v>210</v>
      </c>
      <c r="E763" s="36" t="s">
        <v>213</v>
      </c>
      <c r="F763" s="29" t="b">
        <v>1</v>
      </c>
      <c r="G763" s="36" t="s">
        <v>214</v>
      </c>
      <c r="H763" s="36" t="s">
        <v>215</v>
      </c>
      <c r="I763" s="39"/>
      <c r="J763" s="40"/>
      <c r="K763" s="37" t="s">
        <v>500</v>
      </c>
      <c r="L763" s="37" t="s">
        <v>1189</v>
      </c>
      <c r="M763" s="37" t="s">
        <v>194</v>
      </c>
      <c r="N763" s="37" t="s">
        <v>194</v>
      </c>
      <c r="O763" s="37" t="s">
        <v>759</v>
      </c>
      <c r="P763" s="37" t="s">
        <v>760</v>
      </c>
      <c r="Q763" s="41">
        <v>46195.0</v>
      </c>
      <c r="R763" s="42">
        <v>0.0</v>
      </c>
      <c r="S763" s="44"/>
      <c r="T763" s="37" t="s">
        <v>2496</v>
      </c>
      <c r="U763" s="45" t="str">
        <f>IF(records_2[Type]="Room",records_2[roomNo],records_2[roomNo]&amp;"-"&amp;SUBSTITUTE(RIGHT(records_2[roomNo]&amp;records_2[Type],2),"-",""))</f>
        <v>12-1-074</v>
      </c>
      <c r="V763" s="47" t="str">
        <f t="array" ref="V763">_xlfn.XLOOKUP(records_2[ID], dAir[roomNo], dAir[roomName])</f>
        <v>BOTTLE CLEANING 4</v>
      </c>
      <c r="W763" s="47" t="str">
        <f t="array" ref="W763">_xlfn.XLOOKUP(records_2[ID], dAir[roomNo], dAir[building])</f>
        <v>Building 12</v>
      </c>
      <c r="X763" s="47" t="str">
        <f t="array" ref="X763">_xlfn.XLOOKUP(records_2[ID], dAir[roomNo], dAir[floor])</f>
        <v>Floor 1</v>
      </c>
      <c r="Y763" s="45" t="str">
        <f t="array" ref="Y763">_xlfn.XLOOKUP(records_2[ID], dAir[roomNo], dAir[Class])</f>
        <v>D</v>
      </c>
      <c r="Z763" s="45">
        <f t="array" ref="Z763">_xlfn.XLOOKUP(records_2[Method]&amp;"-"&amp;records_2[Class], dAirSpec[ID], dAirSpec[Spec])</f>
        <v>100</v>
      </c>
      <c r="AA763" s="45" t="str">
        <f t="array" ref="AA763">_xlfn.XLOOKUP(records_2[Method]&amp;"-"&amp;records_2[Class], dAirSpec[ID], dAirSpec[Unit])</f>
        <v>cfu/plate</v>
      </c>
      <c r="AB763" s="58">
        <f t="array" ref="AB763">if(R763="","", if(records_2[Method]="Active Air",_xlfn.xlookup(records_2[ColonyCount]&amp;records_2[AirSampler],feller[code],feller[Vc]),records_2[ColonyCount]))</f>
        <v>0</v>
      </c>
      <c r="AC763" s="60" t="b">
        <f t="shared" si="1"/>
        <v>1</v>
      </c>
      <c r="AD763" s="61" t="b">
        <v>0</v>
      </c>
      <c r="AE763" s="32" t="s">
        <v>280</v>
      </c>
      <c r="AF763" s="46"/>
      <c r="AG763" s="46"/>
      <c r="AH763" s="46"/>
      <c r="AI763" s="46"/>
      <c r="AJ763" s="46"/>
    </row>
    <row r="764" ht="22.5" customHeight="1">
      <c r="A764" s="27">
        <v>46153.0</v>
      </c>
      <c r="B764" s="34" t="str">
        <f t="array" ref="B764">TEXT(A764, "MM-YYYY")</f>
        <v>05-2026</v>
      </c>
      <c r="C764" s="264" t="s">
        <v>1395</v>
      </c>
      <c r="D764" s="36" t="s">
        <v>210</v>
      </c>
      <c r="E764" s="36" t="s">
        <v>213</v>
      </c>
      <c r="F764" s="29" t="b">
        <v>1</v>
      </c>
      <c r="G764" s="36" t="s">
        <v>214</v>
      </c>
      <c r="H764" s="36" t="s">
        <v>215</v>
      </c>
      <c r="I764" s="39"/>
      <c r="J764" s="40"/>
      <c r="K764" s="37" t="s">
        <v>2501</v>
      </c>
      <c r="L764" s="37" t="s">
        <v>570</v>
      </c>
      <c r="M764" s="37" t="s">
        <v>194</v>
      </c>
      <c r="N764" s="37" t="s">
        <v>194</v>
      </c>
      <c r="O764" s="37" t="s">
        <v>759</v>
      </c>
      <c r="P764" s="37" t="s">
        <v>760</v>
      </c>
      <c r="Q764" s="41">
        <v>46195.0</v>
      </c>
      <c r="R764" s="42">
        <v>5.0</v>
      </c>
      <c r="S764" s="44"/>
      <c r="T764" s="37" t="s">
        <v>2496</v>
      </c>
      <c r="U764" s="45" t="str">
        <f>IF(records_2[Type]="Room",records_2[roomNo],records_2[roomNo]&amp;"-"&amp;SUBSTITUTE(RIGHT(records_2[roomNo]&amp;records_2[Type],2),"-",""))</f>
        <v>12-1-076</v>
      </c>
      <c r="V764" s="47" t="str">
        <f t="array" ref="V764">_xlfn.XLOOKUP(records_2[ID], dAir[roomNo], dAir[roomName])</f>
        <v>PAL</v>
      </c>
      <c r="W764" s="47" t="str">
        <f t="array" ref="W764">_xlfn.XLOOKUP(records_2[ID], dAir[roomNo], dAir[building])</f>
        <v>Building 12</v>
      </c>
      <c r="X764" s="47" t="str">
        <f t="array" ref="X764">_xlfn.XLOOKUP(records_2[ID], dAir[roomNo], dAir[floor])</f>
        <v>Floor 1</v>
      </c>
      <c r="Y764" s="45" t="str">
        <f t="array" ref="Y764">_xlfn.XLOOKUP(records_2[ID], dAir[roomNo], dAir[Class])</f>
        <v>D</v>
      </c>
      <c r="Z764" s="45">
        <f t="array" ref="Z764">_xlfn.XLOOKUP(records_2[Method]&amp;"-"&amp;records_2[Class], dAirSpec[ID], dAirSpec[Spec])</f>
        <v>100</v>
      </c>
      <c r="AA764" s="45" t="str">
        <f t="array" ref="AA764">_xlfn.XLOOKUP(records_2[Method]&amp;"-"&amp;records_2[Class], dAirSpec[ID], dAirSpec[Unit])</f>
        <v>cfu/plate</v>
      </c>
      <c r="AB764" s="58">
        <f t="array" ref="AB764">if(R764="","", if(records_2[Method]="Active Air",_xlfn.xlookup(records_2[ColonyCount]&amp;records_2[AirSampler],feller[code],feller[Vc]),records_2[ColonyCount]))</f>
        <v>5</v>
      </c>
      <c r="AC764" s="60" t="b">
        <f t="shared" si="1"/>
        <v>1</v>
      </c>
      <c r="AD764" s="61" t="b">
        <v>0</v>
      </c>
      <c r="AE764" s="32" t="s">
        <v>280</v>
      </c>
      <c r="AF764" s="46"/>
      <c r="AG764" s="46"/>
      <c r="AH764" s="46"/>
      <c r="AI764" s="46"/>
      <c r="AJ764" s="46"/>
    </row>
    <row r="765" ht="22.5" customHeight="1">
      <c r="A765" s="27">
        <v>46153.0</v>
      </c>
      <c r="B765" s="34" t="str">
        <f t="array" ref="B765">TEXT(A765, "MM-YYYY")</f>
        <v>05-2026</v>
      </c>
      <c r="C765" s="265" t="s">
        <v>1397</v>
      </c>
      <c r="D765" s="36" t="s">
        <v>210</v>
      </c>
      <c r="E765" s="36" t="s">
        <v>213</v>
      </c>
      <c r="F765" s="29" t="b">
        <v>1</v>
      </c>
      <c r="G765" s="36" t="s">
        <v>214</v>
      </c>
      <c r="H765" s="36" t="s">
        <v>215</v>
      </c>
      <c r="I765" s="39"/>
      <c r="J765" s="40"/>
      <c r="K765" s="37" t="s">
        <v>2502</v>
      </c>
      <c r="L765" s="37" t="s">
        <v>1583</v>
      </c>
      <c r="M765" s="37" t="s">
        <v>194</v>
      </c>
      <c r="N765" s="37" t="s">
        <v>194</v>
      </c>
      <c r="O765" s="37" t="s">
        <v>759</v>
      </c>
      <c r="P765" s="37" t="s">
        <v>760</v>
      </c>
      <c r="Q765" s="41">
        <v>46195.0</v>
      </c>
      <c r="R765" s="42">
        <v>5.0</v>
      </c>
      <c r="S765" s="44"/>
      <c r="T765" s="37" t="s">
        <v>2496</v>
      </c>
      <c r="U765" s="45" t="str">
        <f>IF(records_2[Type]="Room",records_2[roomNo],records_2[roomNo]&amp;"-"&amp;SUBSTITUTE(RIGHT(records_2[roomNo]&amp;records_2[Type],2),"-",""))</f>
        <v>12-1-077</v>
      </c>
      <c r="V765" s="47" t="str">
        <f t="array" ref="V765">_xlfn.XLOOKUP(records_2[ID], dAir[roomNo], dAir[roomName])</f>
        <v>MAL</v>
      </c>
      <c r="W765" s="47" t="str">
        <f t="array" ref="W765">_xlfn.XLOOKUP(records_2[ID], dAir[roomNo], dAir[building])</f>
        <v>Building 12</v>
      </c>
      <c r="X765" s="47" t="str">
        <f t="array" ref="X765">_xlfn.XLOOKUP(records_2[ID], dAir[roomNo], dAir[floor])</f>
        <v>Floor 1</v>
      </c>
      <c r="Y765" s="45" t="str">
        <f t="array" ref="Y765">_xlfn.XLOOKUP(records_2[ID], dAir[roomNo], dAir[Class])</f>
        <v>D</v>
      </c>
      <c r="Z765" s="45">
        <f t="array" ref="Z765">_xlfn.XLOOKUP(records_2[Method]&amp;"-"&amp;records_2[Class], dAirSpec[ID], dAirSpec[Spec])</f>
        <v>100</v>
      </c>
      <c r="AA765" s="45" t="str">
        <f t="array" ref="AA765">_xlfn.XLOOKUP(records_2[Method]&amp;"-"&amp;records_2[Class], dAirSpec[ID], dAirSpec[Unit])</f>
        <v>cfu/plate</v>
      </c>
      <c r="AB765" s="58">
        <f t="array" ref="AB765">if(R765="","", if(records_2[Method]="Active Air",_xlfn.xlookup(records_2[ColonyCount]&amp;records_2[AirSampler],feller[code],feller[Vc]),records_2[ColonyCount]))</f>
        <v>5</v>
      </c>
      <c r="AC765" s="60" t="b">
        <f t="shared" si="1"/>
        <v>1</v>
      </c>
      <c r="AD765" s="61" t="b">
        <v>0</v>
      </c>
      <c r="AE765" s="32" t="s">
        <v>280</v>
      </c>
      <c r="AF765" s="46"/>
      <c r="AG765" s="46"/>
      <c r="AH765" s="46"/>
      <c r="AI765" s="46"/>
      <c r="AJ765" s="46"/>
    </row>
    <row r="766" ht="22.5" customHeight="1">
      <c r="A766" s="27">
        <v>46153.0</v>
      </c>
      <c r="B766" s="34" t="str">
        <f t="array" ref="B766">TEXT(A766, "MM-YYYY")</f>
        <v>05-2026</v>
      </c>
      <c r="C766" s="264" t="s">
        <v>945</v>
      </c>
      <c r="D766" s="36" t="s">
        <v>210</v>
      </c>
      <c r="E766" s="36" t="s">
        <v>213</v>
      </c>
      <c r="F766" s="29" t="b">
        <v>1</v>
      </c>
      <c r="G766" s="36" t="s">
        <v>214</v>
      </c>
      <c r="H766" s="36" t="s">
        <v>215</v>
      </c>
      <c r="I766" s="39"/>
      <c r="J766" s="40"/>
      <c r="K766" s="37" t="s">
        <v>2503</v>
      </c>
      <c r="L766" s="37" t="s">
        <v>2236</v>
      </c>
      <c r="M766" s="37" t="s">
        <v>194</v>
      </c>
      <c r="N766" s="37" t="s">
        <v>194</v>
      </c>
      <c r="O766" s="37" t="s">
        <v>759</v>
      </c>
      <c r="P766" s="37" t="s">
        <v>760</v>
      </c>
      <c r="Q766" s="41">
        <v>46195.0</v>
      </c>
      <c r="R766" s="42">
        <v>3.0</v>
      </c>
      <c r="S766" s="44"/>
      <c r="T766" s="37" t="s">
        <v>2496</v>
      </c>
      <c r="U766" s="45" t="str">
        <f>IF(records_2[Type]="Room",records_2[roomNo],records_2[roomNo]&amp;"-"&amp;SUBSTITUTE(RIGHT(records_2[roomNo]&amp;records_2[Type],2),"-",""))</f>
        <v>12-1-078</v>
      </c>
      <c r="V766" s="47" t="str">
        <f t="array" ref="V766">_xlfn.XLOOKUP(records_2[ID], dAir[roomNo], dAir[roomName])</f>
        <v>SOLVENTS UNLOADING</v>
      </c>
      <c r="W766" s="47" t="str">
        <f t="array" ref="W766">_xlfn.XLOOKUP(records_2[ID], dAir[roomNo], dAir[building])</f>
        <v>Building 12</v>
      </c>
      <c r="X766" s="47" t="str">
        <f t="array" ref="X766">_xlfn.XLOOKUP(records_2[ID], dAir[roomNo], dAir[floor])</f>
        <v>Floor 1</v>
      </c>
      <c r="Y766" s="45" t="str">
        <f t="array" ref="Y766">_xlfn.XLOOKUP(records_2[ID], dAir[roomNo], dAir[Class])</f>
        <v>D</v>
      </c>
      <c r="Z766" s="45">
        <f t="array" ref="Z766">_xlfn.XLOOKUP(records_2[Method]&amp;"-"&amp;records_2[Class], dAirSpec[ID], dAirSpec[Spec])</f>
        <v>100</v>
      </c>
      <c r="AA766" s="45" t="str">
        <f t="array" ref="AA766">_xlfn.XLOOKUP(records_2[Method]&amp;"-"&amp;records_2[Class], dAirSpec[ID], dAirSpec[Unit])</f>
        <v>cfu/plate</v>
      </c>
      <c r="AB766" s="58">
        <f t="array" ref="AB766">if(R766="","", if(records_2[Method]="Active Air",_xlfn.xlookup(records_2[ColonyCount]&amp;records_2[AirSampler],feller[code],feller[Vc]),records_2[ColonyCount]))</f>
        <v>3</v>
      </c>
      <c r="AC766" s="60" t="b">
        <f t="shared" si="1"/>
        <v>1</v>
      </c>
      <c r="AD766" s="61" t="b">
        <v>0</v>
      </c>
      <c r="AE766" s="32" t="s">
        <v>280</v>
      </c>
      <c r="AF766" s="46"/>
      <c r="AG766" s="46"/>
      <c r="AH766" s="46"/>
      <c r="AI766" s="46"/>
      <c r="AJ766" s="46"/>
    </row>
    <row r="767" ht="22.5" customHeight="1">
      <c r="A767" s="27">
        <v>46153.0</v>
      </c>
      <c r="B767" s="34" t="str">
        <f t="array" ref="B767">TEXT(A767, "MM-YYYY")</f>
        <v>05-2026</v>
      </c>
      <c r="C767" s="265" t="s">
        <v>1399</v>
      </c>
      <c r="D767" s="36" t="s">
        <v>210</v>
      </c>
      <c r="E767" s="36" t="s">
        <v>213</v>
      </c>
      <c r="F767" s="29" t="b">
        <v>1</v>
      </c>
      <c r="G767" s="36" t="s">
        <v>214</v>
      </c>
      <c r="H767" s="36" t="s">
        <v>215</v>
      </c>
      <c r="I767" s="39"/>
      <c r="J767" s="40"/>
      <c r="K767" s="37" t="s">
        <v>252</v>
      </c>
      <c r="L767" s="37" t="s">
        <v>682</v>
      </c>
      <c r="M767" s="37" t="s">
        <v>194</v>
      </c>
      <c r="N767" s="37" t="s">
        <v>194</v>
      </c>
      <c r="O767" s="37" t="s">
        <v>759</v>
      </c>
      <c r="P767" s="37" t="s">
        <v>760</v>
      </c>
      <c r="Q767" s="41">
        <v>46195.0</v>
      </c>
      <c r="R767" s="42">
        <v>0.0</v>
      </c>
      <c r="S767" s="44"/>
      <c r="T767" s="37" t="s">
        <v>2496</v>
      </c>
      <c r="U767" s="45" t="str">
        <f>IF(records_2[Type]="Room",records_2[roomNo],records_2[roomNo]&amp;"-"&amp;SUBSTITUTE(RIGHT(records_2[roomNo]&amp;records_2[Type],2),"-",""))</f>
        <v>12-1-086</v>
      </c>
      <c r="V767" s="47" t="str">
        <f t="array" ref="V767">_xlfn.XLOOKUP(records_2[ID], dAir[roomNo], dAir[roomName])</f>
        <v>LINEN STORAGE</v>
      </c>
      <c r="W767" s="47" t="str">
        <f t="array" ref="W767">_xlfn.XLOOKUP(records_2[ID], dAir[roomNo], dAir[building])</f>
        <v>Building 12</v>
      </c>
      <c r="X767" s="47" t="str">
        <f t="array" ref="X767">_xlfn.XLOOKUP(records_2[ID], dAir[roomNo], dAir[floor])</f>
        <v>Floor 1</v>
      </c>
      <c r="Y767" s="45" t="str">
        <f t="array" ref="Y767">_xlfn.XLOOKUP(records_2[ID], dAir[roomNo], dAir[Class])</f>
        <v>D</v>
      </c>
      <c r="Z767" s="45">
        <f t="array" ref="Z767">_xlfn.XLOOKUP(records_2[Method]&amp;"-"&amp;records_2[Class], dAirSpec[ID], dAirSpec[Spec])</f>
        <v>100</v>
      </c>
      <c r="AA767" s="45" t="str">
        <f t="array" ref="AA767">_xlfn.XLOOKUP(records_2[Method]&amp;"-"&amp;records_2[Class], dAirSpec[ID], dAirSpec[Unit])</f>
        <v>cfu/plate</v>
      </c>
      <c r="AB767" s="58">
        <f t="array" ref="AB767">if(R767="","", if(records_2[Method]="Active Air",_xlfn.xlookup(records_2[ColonyCount]&amp;records_2[AirSampler],feller[code],feller[Vc]),records_2[ColonyCount]))</f>
        <v>0</v>
      </c>
      <c r="AC767" s="60" t="b">
        <f t="shared" si="1"/>
        <v>1</v>
      </c>
      <c r="AD767" s="61" t="b">
        <v>0</v>
      </c>
      <c r="AE767" s="32" t="s">
        <v>280</v>
      </c>
      <c r="AF767" s="46"/>
      <c r="AG767" s="46"/>
      <c r="AH767" s="46"/>
      <c r="AI767" s="46"/>
      <c r="AJ767" s="46"/>
    </row>
    <row r="768" ht="22.5" customHeight="1">
      <c r="A768" s="27">
        <v>46153.0</v>
      </c>
      <c r="B768" s="34" t="str">
        <f t="array" ref="B768">TEXT(A768, "MM-YYYY")</f>
        <v>05-2026</v>
      </c>
      <c r="C768" s="264" t="s">
        <v>1400</v>
      </c>
      <c r="D768" s="36" t="s">
        <v>210</v>
      </c>
      <c r="E768" s="36" t="s">
        <v>213</v>
      </c>
      <c r="F768" s="29" t="b">
        <v>1</v>
      </c>
      <c r="G768" s="36" t="s">
        <v>214</v>
      </c>
      <c r="H768" s="36" t="s">
        <v>215</v>
      </c>
      <c r="I768" s="39"/>
      <c r="J768" s="40"/>
      <c r="K768" s="37" t="s">
        <v>298</v>
      </c>
      <c r="L768" s="37" t="s">
        <v>495</v>
      </c>
      <c r="M768" s="37" t="s">
        <v>194</v>
      </c>
      <c r="N768" s="37" t="s">
        <v>194</v>
      </c>
      <c r="O768" s="37" t="s">
        <v>759</v>
      </c>
      <c r="P768" s="37" t="s">
        <v>760</v>
      </c>
      <c r="Q768" s="41">
        <v>46195.0</v>
      </c>
      <c r="R768" s="42">
        <v>0.0</v>
      </c>
      <c r="S768" s="44"/>
      <c r="T768" s="37" t="s">
        <v>2496</v>
      </c>
      <c r="U768" s="45" t="str">
        <f>IF(records_2[Type]="Room",records_2[roomNo],records_2[roomNo]&amp;"-"&amp;SUBSTITUTE(RIGHT(records_2[roomNo]&amp;records_2[Type],2),"-",""))</f>
        <v>12-1-087</v>
      </c>
      <c r="V768" s="47" t="str">
        <f t="array" ref="V768">_xlfn.XLOOKUP(records_2[ID], dAir[roomNo], dAir[roomName])</f>
        <v>CORRIDOR</v>
      </c>
      <c r="W768" s="47" t="str">
        <f t="array" ref="W768">_xlfn.XLOOKUP(records_2[ID], dAir[roomNo], dAir[building])</f>
        <v>Building 12</v>
      </c>
      <c r="X768" s="47" t="str">
        <f t="array" ref="X768">_xlfn.XLOOKUP(records_2[ID], dAir[roomNo], dAir[floor])</f>
        <v>Floor 1</v>
      </c>
      <c r="Y768" s="45" t="str">
        <f t="array" ref="Y768">_xlfn.XLOOKUP(records_2[ID], dAir[roomNo], dAir[Class])</f>
        <v>D</v>
      </c>
      <c r="Z768" s="45">
        <f t="array" ref="Z768">_xlfn.XLOOKUP(records_2[Method]&amp;"-"&amp;records_2[Class], dAirSpec[ID], dAirSpec[Spec])</f>
        <v>100</v>
      </c>
      <c r="AA768" s="45" t="str">
        <f t="array" ref="AA768">_xlfn.XLOOKUP(records_2[Method]&amp;"-"&amp;records_2[Class], dAirSpec[ID], dAirSpec[Unit])</f>
        <v>cfu/plate</v>
      </c>
      <c r="AB768" s="58">
        <f t="array" ref="AB768">if(R768="","", if(records_2[Method]="Active Air",_xlfn.xlookup(records_2[ColonyCount]&amp;records_2[AirSampler],feller[code],feller[Vc]),records_2[ColonyCount]))</f>
        <v>0</v>
      </c>
      <c r="AC768" s="60" t="b">
        <f t="shared" si="1"/>
        <v>1</v>
      </c>
      <c r="AD768" s="61" t="b">
        <v>0</v>
      </c>
      <c r="AE768" s="32" t="s">
        <v>280</v>
      </c>
      <c r="AF768" s="46"/>
      <c r="AG768" s="46"/>
      <c r="AH768" s="46"/>
      <c r="AI768" s="46"/>
      <c r="AJ768" s="46"/>
    </row>
    <row r="769" ht="22.5" customHeight="1">
      <c r="A769" s="27">
        <v>46154.0</v>
      </c>
      <c r="B769" s="34" t="str">
        <f t="array" ref="B769">TEXT(A769, "MM-YYYY")</f>
        <v>05-2026</v>
      </c>
      <c r="C769" s="278" t="s">
        <v>1364</v>
      </c>
      <c r="D769" s="36" t="s">
        <v>210</v>
      </c>
      <c r="E769" s="36" t="s">
        <v>531</v>
      </c>
      <c r="F769" s="29" t="b">
        <v>1</v>
      </c>
      <c r="G769" s="36" t="s">
        <v>214</v>
      </c>
      <c r="H769" s="36" t="s">
        <v>757</v>
      </c>
      <c r="I769" s="39">
        <v>3.1101125E8</v>
      </c>
      <c r="J769" s="40">
        <v>46240.0</v>
      </c>
      <c r="K769" s="37" t="s">
        <v>596</v>
      </c>
      <c r="L769" s="37" t="s">
        <v>324</v>
      </c>
      <c r="M769" s="37" t="s">
        <v>194</v>
      </c>
      <c r="N769" s="37" t="s">
        <v>194</v>
      </c>
      <c r="O769" s="37" t="s">
        <v>759</v>
      </c>
      <c r="P769" s="37" t="s">
        <v>760</v>
      </c>
      <c r="Q769" s="41">
        <v>46195.0</v>
      </c>
      <c r="R769" s="42">
        <v>45.0</v>
      </c>
      <c r="S769" s="44"/>
      <c r="T769" s="37" t="s">
        <v>2504</v>
      </c>
      <c r="U769" s="45" t="str">
        <f>IF(records_2[Type]="Room",records_2[roomNo],records_2[roomNo]&amp;"-"&amp;SUBSTITUTE(RIGHT(records_2[roomNo]&amp;records_2[Type],2),"-",""))</f>
        <v>11-1-049</v>
      </c>
      <c r="V769" s="47" t="str">
        <f t="array" ref="V769">_xlfn.XLOOKUP(records_2[ID], dAir[roomNo], dAir[roomName])</f>
        <v>MAL</v>
      </c>
      <c r="W769" s="47" t="str">
        <f t="array" ref="W769">_xlfn.XLOOKUP(records_2[ID], dAir[roomNo], dAir[building])</f>
        <v>Building 11</v>
      </c>
      <c r="X769" s="47" t="str">
        <f t="array" ref="X769">_xlfn.XLOOKUP(records_2[ID], dAir[roomNo], dAir[floor])</f>
        <v>Floor 1</v>
      </c>
      <c r="Y769" s="45" t="str">
        <f t="array" ref="Y769">_xlfn.XLOOKUP(records_2[ID], dAir[roomNo], dAir[Class])</f>
        <v>D</v>
      </c>
      <c r="Z769" s="45">
        <f t="array" ref="Z769">_xlfn.XLOOKUP(records_2[Method]&amp;"-"&amp;records_2[Class], dAirSpec[ID], dAirSpec[Spec])</f>
        <v>200</v>
      </c>
      <c r="AA769" s="45" t="str">
        <f t="array" ref="AA769">_xlfn.XLOOKUP(records_2[Method]&amp;"-"&amp;records_2[Class], dAirSpec[ID], dAirSpec[Unit])</f>
        <v>cfu/m3</v>
      </c>
      <c r="AB769" s="45">
        <f t="array" ref="AB769">if(R769="","", if(records_2[Method]="Active Air",_xlfn.xlookup(records_2[ColonyCount]&amp;records_2[AirSampler],feller[code],feller[Vc]),records_2[ColonyCount]))</f>
        <v>49</v>
      </c>
      <c r="AC769" s="60" t="b">
        <f t="shared" si="1"/>
        <v>1</v>
      </c>
      <c r="AD769" s="61" t="b">
        <v>0</v>
      </c>
      <c r="AE769" s="32" t="s">
        <v>280</v>
      </c>
      <c r="AF769" s="46"/>
      <c r="AG769" s="46"/>
      <c r="AH769" s="46"/>
      <c r="AI769" s="46"/>
      <c r="AJ769" s="46"/>
    </row>
    <row r="770" ht="22.5" customHeight="1">
      <c r="A770" s="27">
        <v>46159.0</v>
      </c>
      <c r="B770" s="34" t="str">
        <f t="array" ref="B770">TEXT(A770, "MM-YYYY")</f>
        <v>05-2026</v>
      </c>
      <c r="C770" s="39" t="s">
        <v>753</v>
      </c>
      <c r="D770" s="36" t="s">
        <v>755</v>
      </c>
      <c r="E770" s="36" t="s">
        <v>531</v>
      </c>
      <c r="F770" s="29" t="b">
        <v>1</v>
      </c>
      <c r="G770" s="36" t="s">
        <v>214</v>
      </c>
      <c r="H770" s="36" t="s">
        <v>534</v>
      </c>
      <c r="I770" s="39"/>
      <c r="J770" s="40"/>
      <c r="K770" s="37" t="s">
        <v>645</v>
      </c>
      <c r="L770" s="37" t="s">
        <v>971</v>
      </c>
      <c r="M770" s="37" t="s">
        <v>194</v>
      </c>
      <c r="N770" s="37" t="s">
        <v>194</v>
      </c>
      <c r="O770" s="37" t="s">
        <v>759</v>
      </c>
      <c r="P770" s="37" t="s">
        <v>760</v>
      </c>
      <c r="Q770" s="41">
        <v>46195.0</v>
      </c>
      <c r="R770" s="42">
        <v>0.0</v>
      </c>
      <c r="S770" s="44"/>
      <c r="T770" s="37" t="s">
        <v>2505</v>
      </c>
      <c r="U770" s="45" t="str">
        <f>IF(records_2[Type]="Room",records_2[roomNo],records_2[roomNo]&amp;"-"&amp;SUBSTITUTE(RIGHT(records_2[roomNo]&amp;records_2[Type],2),"-",""))</f>
        <v>16-1-075-M</v>
      </c>
      <c r="V770" s="47" t="str">
        <f t="array" ref="V770">_xlfn.XLOOKUP(records_2[ID], dAir[roomNo], dAir[roomName])</f>
        <v>VIALS CAPPING (Machine)</v>
      </c>
      <c r="W770" s="47" t="str">
        <f t="array" ref="W770">_xlfn.XLOOKUP(records_2[ID], dAir[roomNo], dAir[building])</f>
        <v>Building 16</v>
      </c>
      <c r="X770" s="47" t="str">
        <f t="array" ref="X770">_xlfn.XLOOKUP(records_2[ID], dAir[roomNo], dAir[floor])</f>
        <v>Floor 1</v>
      </c>
      <c r="Y770" s="45" t="str">
        <f t="array" ref="Y770">_xlfn.XLOOKUP(records_2[ID], dAir[roomNo], dAir[Class])</f>
        <v>A</v>
      </c>
      <c r="Z770" s="45">
        <f t="array" ref="Z770">_xlfn.XLOOKUP(records_2[Method]&amp;"-"&amp;records_2[Class], dAirSpec[ID], dAirSpec[Spec])</f>
        <v>0</v>
      </c>
      <c r="AA770" s="45" t="str">
        <f t="array" ref="AA770">_xlfn.XLOOKUP(records_2[Method]&amp;"-"&amp;records_2[Class], dAirSpec[ID], dAirSpec[Unit])</f>
        <v>cfu/m3</v>
      </c>
      <c r="AB770" s="45">
        <f t="array" ref="AB770">if(R770="","", if(records_2[Method]="Active Air",_xlfn.xlookup(records_2[ColonyCount]&amp;records_2[AirSampler],feller[code],feller[Vc]),records_2[ColonyCount]))</f>
        <v>0</v>
      </c>
      <c r="AC770" s="60" t="b">
        <f t="shared" si="1"/>
        <v>1</v>
      </c>
      <c r="AD770" s="61" t="b">
        <v>0</v>
      </c>
      <c r="AE770" s="32" t="s">
        <v>280</v>
      </c>
      <c r="AF770" s="46"/>
      <c r="AG770" s="46"/>
      <c r="AH770" s="46"/>
      <c r="AI770" s="46"/>
      <c r="AJ770" s="46"/>
    </row>
    <row r="771" ht="22.5" customHeight="1">
      <c r="A771" s="27">
        <v>46159.0</v>
      </c>
      <c r="B771" s="34" t="str">
        <f t="array" ref="B771">TEXT(A771, "MM-YYYY")</f>
        <v>05-2026</v>
      </c>
      <c r="C771" s="39" t="s">
        <v>765</v>
      </c>
      <c r="D771" s="36" t="s">
        <v>755</v>
      </c>
      <c r="E771" s="36" t="s">
        <v>531</v>
      </c>
      <c r="F771" s="29" t="b">
        <v>1</v>
      </c>
      <c r="G771" s="36" t="s">
        <v>214</v>
      </c>
      <c r="H771" s="36" t="s">
        <v>534</v>
      </c>
      <c r="I771" s="39"/>
      <c r="J771" s="40"/>
      <c r="K771" s="37" t="s">
        <v>539</v>
      </c>
      <c r="L771" s="37" t="s">
        <v>387</v>
      </c>
      <c r="M771" s="37" t="s">
        <v>194</v>
      </c>
      <c r="N771" s="37" t="s">
        <v>194</v>
      </c>
      <c r="O771" s="37" t="s">
        <v>759</v>
      </c>
      <c r="P771" s="37" t="s">
        <v>760</v>
      </c>
      <c r="Q771" s="41">
        <v>46195.0</v>
      </c>
      <c r="R771" s="42">
        <v>0.0</v>
      </c>
      <c r="S771" s="44"/>
      <c r="T771" s="37" t="s">
        <v>2505</v>
      </c>
      <c r="U771" s="45" t="str">
        <f>IF(records_2[Type]="Room",records_2[roomNo],records_2[roomNo]&amp;"-"&amp;SUBSTITUTE(RIGHT(records_2[roomNo]&amp;records_2[Type],2),"-",""))</f>
        <v>16-1-076-M</v>
      </c>
      <c r="V771" s="47" t="str">
        <f t="array" ref="V771">_xlfn.XLOOKUP(records_2[ID], dAir[roomNo], dAir[roomName])</f>
        <v>FILLING 2 (Machine)</v>
      </c>
      <c r="W771" s="47" t="str">
        <f t="array" ref="W771">_xlfn.XLOOKUP(records_2[ID], dAir[roomNo], dAir[building])</f>
        <v>Building 16</v>
      </c>
      <c r="X771" s="47" t="str">
        <f t="array" ref="X771">_xlfn.XLOOKUP(records_2[ID], dAir[roomNo], dAir[floor])</f>
        <v>Floor 1</v>
      </c>
      <c r="Y771" s="45" t="str">
        <f t="array" ref="Y771">_xlfn.XLOOKUP(records_2[ID], dAir[roomNo], dAir[Class])</f>
        <v>A</v>
      </c>
      <c r="Z771" s="45">
        <f t="array" ref="Z771">_xlfn.XLOOKUP(records_2[Method]&amp;"-"&amp;records_2[Class], dAirSpec[ID], dAirSpec[Spec])</f>
        <v>0</v>
      </c>
      <c r="AA771" s="45" t="str">
        <f t="array" ref="AA771">_xlfn.XLOOKUP(records_2[Method]&amp;"-"&amp;records_2[Class], dAirSpec[ID], dAirSpec[Unit])</f>
        <v>cfu/m3</v>
      </c>
      <c r="AB771" s="45">
        <f t="array" ref="AB771">if(R771="","", if(records_2[Method]="Active Air",_xlfn.xlookup(records_2[ColonyCount]&amp;records_2[AirSampler],feller[code],feller[Vc]),records_2[ColonyCount]))</f>
        <v>0</v>
      </c>
      <c r="AC771" s="60" t="b">
        <f t="shared" si="1"/>
        <v>1</v>
      </c>
      <c r="AD771" s="61" t="b">
        <v>0</v>
      </c>
      <c r="AE771" s="32" t="s">
        <v>280</v>
      </c>
      <c r="AF771" s="46"/>
      <c r="AG771" s="46"/>
      <c r="AH771" s="46"/>
      <c r="AI771" s="46"/>
      <c r="AJ771" s="46"/>
    </row>
    <row r="772" ht="22.5" customHeight="1">
      <c r="A772" s="27">
        <v>46159.0</v>
      </c>
      <c r="B772" s="34" t="str">
        <f t="array" ref="B772">TEXT(A772, "MM-YYYY")</f>
        <v>05-2026</v>
      </c>
      <c r="C772" s="39" t="s">
        <v>765</v>
      </c>
      <c r="D772" s="36" t="s">
        <v>770</v>
      </c>
      <c r="E772" s="36" t="s">
        <v>531</v>
      </c>
      <c r="F772" s="29" t="b">
        <v>1</v>
      </c>
      <c r="G772" s="36" t="s">
        <v>214</v>
      </c>
      <c r="H772" s="36" t="s">
        <v>757</v>
      </c>
      <c r="I772" s="279">
        <v>3.1101125E8</v>
      </c>
      <c r="J772" s="280">
        <v>46240.0</v>
      </c>
      <c r="K772" s="37" t="s">
        <v>469</v>
      </c>
      <c r="L772" s="37" t="s">
        <v>551</v>
      </c>
      <c r="M772" s="37" t="s">
        <v>194</v>
      </c>
      <c r="N772" s="37" t="s">
        <v>194</v>
      </c>
      <c r="O772" s="37" t="s">
        <v>759</v>
      </c>
      <c r="P772" s="37" t="s">
        <v>760</v>
      </c>
      <c r="Q772" s="41">
        <v>46195.0</v>
      </c>
      <c r="R772" s="42">
        <v>0.0</v>
      </c>
      <c r="S772" s="44"/>
      <c r="T772" s="37" t="s">
        <v>2505</v>
      </c>
      <c r="U772" s="45" t="str">
        <f>IF(records_2[Type]="Room",records_2[roomNo],records_2[roomNo]&amp;"-"&amp;SUBSTITUTE(RIGHT(records_2[roomNo]&amp;records_2[Type],2),"-",""))</f>
        <v>16-1-076-L</v>
      </c>
      <c r="V772" s="47" t="str">
        <f t="array" ref="V772">_xlfn.XLOOKUP(records_2[ID], dAir[roomNo], dAir[roomName])</f>
        <v>FILLING 2 (Laminar)</v>
      </c>
      <c r="W772" s="47" t="str">
        <f t="array" ref="W772">_xlfn.XLOOKUP(records_2[ID], dAir[roomNo], dAir[building])</f>
        <v>Building 16</v>
      </c>
      <c r="X772" s="47" t="str">
        <f t="array" ref="X772">_xlfn.XLOOKUP(records_2[ID], dAir[roomNo], dAir[floor])</f>
        <v>Floor 1</v>
      </c>
      <c r="Y772" s="45" t="str">
        <f t="array" ref="Y772">_xlfn.XLOOKUP(records_2[ID], dAir[roomNo], dAir[Class])</f>
        <v>A</v>
      </c>
      <c r="Z772" s="45">
        <f t="array" ref="Z772">_xlfn.XLOOKUP(records_2[Method]&amp;"-"&amp;records_2[Class], dAirSpec[ID], dAirSpec[Spec])</f>
        <v>0</v>
      </c>
      <c r="AA772" s="45" t="str">
        <f t="array" ref="AA772">_xlfn.XLOOKUP(records_2[Method]&amp;"-"&amp;records_2[Class], dAirSpec[ID], dAirSpec[Unit])</f>
        <v>cfu/m3</v>
      </c>
      <c r="AB772" s="45">
        <f t="array" ref="AB772">if(R772="","", if(records_2[Method]="Active Air",_xlfn.xlookup(records_2[ColonyCount]&amp;records_2[AirSampler],feller[code],feller[Vc]),records_2[ColonyCount]))</f>
        <v>0</v>
      </c>
      <c r="AC772" s="60" t="b">
        <f t="shared" si="1"/>
        <v>1</v>
      </c>
      <c r="AD772" s="61" t="b">
        <v>0</v>
      </c>
      <c r="AE772" s="32" t="s">
        <v>280</v>
      </c>
      <c r="AF772" s="46"/>
      <c r="AG772" s="46"/>
      <c r="AH772" s="46"/>
      <c r="AI772" s="46"/>
      <c r="AJ772" s="46"/>
    </row>
    <row r="773" ht="22.5" customHeight="1">
      <c r="A773" s="27">
        <v>46159.0</v>
      </c>
      <c r="B773" s="34" t="str">
        <f t="array" ref="B773">TEXT(A773, "MM-YYYY")</f>
        <v>05-2026</v>
      </c>
      <c r="C773" s="39" t="s">
        <v>774</v>
      </c>
      <c r="D773" s="36" t="s">
        <v>755</v>
      </c>
      <c r="E773" s="36" t="s">
        <v>531</v>
      </c>
      <c r="F773" s="29" t="b">
        <v>1</v>
      </c>
      <c r="G773" s="36" t="s">
        <v>214</v>
      </c>
      <c r="H773" s="36" t="s">
        <v>757</v>
      </c>
      <c r="I773" s="39"/>
      <c r="J773" s="40"/>
      <c r="K773" s="37" t="s">
        <v>469</v>
      </c>
      <c r="L773" s="37" t="s">
        <v>551</v>
      </c>
      <c r="M773" s="37" t="s">
        <v>194</v>
      </c>
      <c r="N773" s="37" t="s">
        <v>194</v>
      </c>
      <c r="O773" s="37" t="s">
        <v>759</v>
      </c>
      <c r="P773" s="37" t="s">
        <v>760</v>
      </c>
      <c r="Q773" s="41">
        <v>46195.0</v>
      </c>
      <c r="R773" s="42">
        <v>0.0</v>
      </c>
      <c r="S773" s="44"/>
      <c r="T773" s="37" t="s">
        <v>2505</v>
      </c>
      <c r="U773" s="45" t="str">
        <f>IF(records_2[Type]="Room",records_2[roomNo],records_2[roomNo]&amp;"-"&amp;SUBSTITUTE(RIGHT(records_2[roomNo]&amp;records_2[Type],2),"-",""))</f>
        <v>16-1-084-M</v>
      </c>
      <c r="V773" s="47" t="str">
        <f t="array" ref="V773">_xlfn.XLOOKUP(records_2[ID], dAir[roomNo], dAir[roomName])</f>
        <v>FILLING 1 (Machine)</v>
      </c>
      <c r="W773" s="47" t="str">
        <f t="array" ref="W773">_xlfn.XLOOKUP(records_2[ID], dAir[roomNo], dAir[building])</f>
        <v>Building 16</v>
      </c>
      <c r="X773" s="47" t="str">
        <f t="array" ref="X773">_xlfn.XLOOKUP(records_2[ID], dAir[roomNo], dAir[floor])</f>
        <v>Floor 1</v>
      </c>
      <c r="Y773" s="45" t="str">
        <f t="array" ref="Y773">_xlfn.XLOOKUP(records_2[ID], dAir[roomNo], dAir[Class])</f>
        <v>A</v>
      </c>
      <c r="Z773" s="45">
        <f t="array" ref="Z773">_xlfn.XLOOKUP(records_2[Method]&amp;"-"&amp;records_2[Class], dAirSpec[ID], dAirSpec[Spec])</f>
        <v>0</v>
      </c>
      <c r="AA773" s="45" t="str">
        <f t="array" ref="AA773">_xlfn.XLOOKUP(records_2[Method]&amp;"-"&amp;records_2[Class], dAirSpec[ID], dAirSpec[Unit])</f>
        <v>cfu/m3</v>
      </c>
      <c r="AB773" s="45">
        <f t="array" ref="AB773">if(R773="","", if(records_2[Method]="Active Air",_xlfn.xlookup(records_2[ColonyCount]&amp;records_2[AirSampler],feller[code],feller[Vc]),records_2[ColonyCount]))</f>
        <v>0</v>
      </c>
      <c r="AC773" s="60" t="b">
        <f t="shared" si="1"/>
        <v>1</v>
      </c>
      <c r="AD773" s="61" t="b">
        <v>0</v>
      </c>
      <c r="AE773" s="32" t="s">
        <v>280</v>
      </c>
      <c r="AF773" s="46"/>
      <c r="AG773" s="46"/>
      <c r="AH773" s="46"/>
      <c r="AI773" s="46"/>
      <c r="AJ773" s="46"/>
    </row>
    <row r="774" ht="22.5" customHeight="1">
      <c r="A774" s="27">
        <v>46159.0</v>
      </c>
      <c r="B774" s="34" t="str">
        <f t="array" ref="B774">TEXT(A774, "MM-YYYY")</f>
        <v>05-2026</v>
      </c>
      <c r="C774" s="39" t="s">
        <v>774</v>
      </c>
      <c r="D774" s="36" t="s">
        <v>770</v>
      </c>
      <c r="E774" s="36" t="s">
        <v>531</v>
      </c>
      <c r="F774" s="29" t="b">
        <v>1</v>
      </c>
      <c r="G774" s="36" t="s">
        <v>214</v>
      </c>
      <c r="H774" s="36" t="s">
        <v>534</v>
      </c>
      <c r="I774" s="39"/>
      <c r="J774" s="40"/>
      <c r="K774" s="37" t="s">
        <v>339</v>
      </c>
      <c r="L774" s="37" t="s">
        <v>2333</v>
      </c>
      <c r="M774" s="37" t="s">
        <v>194</v>
      </c>
      <c r="N774" s="37" t="s">
        <v>194</v>
      </c>
      <c r="O774" s="37" t="s">
        <v>759</v>
      </c>
      <c r="P774" s="37" t="s">
        <v>760</v>
      </c>
      <c r="Q774" s="41">
        <v>46195.0</v>
      </c>
      <c r="R774" s="42">
        <v>0.0</v>
      </c>
      <c r="S774" s="44"/>
      <c r="T774" s="37" t="s">
        <v>2505</v>
      </c>
      <c r="U774" s="45" t="str">
        <f>IF(records_2[Type]="Room",records_2[roomNo],records_2[roomNo]&amp;"-"&amp;SUBSTITUTE(RIGHT(records_2[roomNo]&amp;records_2[Type],2),"-",""))</f>
        <v>16-1-084-L</v>
      </c>
      <c r="V774" s="47" t="str">
        <f t="array" ref="V774">_xlfn.XLOOKUP(records_2[ID], dAir[roomNo], dAir[roomName])</f>
        <v>FILLING 1 (Laminar)</v>
      </c>
      <c r="W774" s="47" t="str">
        <f t="array" ref="W774">_xlfn.XLOOKUP(records_2[ID], dAir[roomNo], dAir[building])</f>
        <v>Building 16</v>
      </c>
      <c r="X774" s="47" t="str">
        <f t="array" ref="X774">_xlfn.XLOOKUP(records_2[ID], dAir[roomNo], dAir[floor])</f>
        <v>Floor 1</v>
      </c>
      <c r="Y774" s="45" t="str">
        <f t="array" ref="Y774">_xlfn.XLOOKUP(records_2[ID], dAir[roomNo], dAir[Class])</f>
        <v>A</v>
      </c>
      <c r="Z774" s="45">
        <f t="array" ref="Z774">_xlfn.XLOOKUP(records_2[Method]&amp;"-"&amp;records_2[Class], dAirSpec[ID], dAirSpec[Spec])</f>
        <v>0</v>
      </c>
      <c r="AA774" s="45" t="str">
        <f t="array" ref="AA774">_xlfn.XLOOKUP(records_2[Method]&amp;"-"&amp;records_2[Class], dAirSpec[ID], dAirSpec[Unit])</f>
        <v>cfu/m3</v>
      </c>
      <c r="AB774" s="45">
        <f t="array" ref="AB774">if(R774="","", if(records_2[Method]="Active Air",_xlfn.xlookup(records_2[ColonyCount]&amp;records_2[AirSampler],feller[code],feller[Vc]),records_2[ColonyCount]))</f>
        <v>0</v>
      </c>
      <c r="AC774" s="60" t="b">
        <f t="shared" si="1"/>
        <v>1</v>
      </c>
      <c r="AD774" s="61" t="b">
        <v>0</v>
      </c>
      <c r="AE774" s="32" t="s">
        <v>280</v>
      </c>
      <c r="AF774" s="46"/>
      <c r="AG774" s="46"/>
      <c r="AH774" s="46"/>
      <c r="AI774" s="46"/>
      <c r="AJ774" s="46"/>
    </row>
    <row r="775" ht="22.5" customHeight="1">
      <c r="A775" s="27">
        <v>46159.0</v>
      </c>
      <c r="B775" s="34" t="str">
        <f t="array" ref="B775">TEXT(A775, "MM-YYYY")</f>
        <v>05-2026</v>
      </c>
      <c r="C775" s="32" t="s">
        <v>786</v>
      </c>
      <c r="D775" s="21" t="s">
        <v>680</v>
      </c>
      <c r="E775" s="36" t="s">
        <v>531</v>
      </c>
      <c r="F775" s="29" t="b">
        <v>1</v>
      </c>
      <c r="G775" s="36" t="s">
        <v>214</v>
      </c>
      <c r="H775" s="36" t="s">
        <v>757</v>
      </c>
      <c r="I775" s="279">
        <v>3.1101125E8</v>
      </c>
      <c r="J775" s="280">
        <v>46240.0</v>
      </c>
      <c r="K775" s="37" t="s">
        <v>339</v>
      </c>
      <c r="L775" s="37" t="s">
        <v>2333</v>
      </c>
      <c r="M775" s="37" t="s">
        <v>194</v>
      </c>
      <c r="N775" s="37" t="s">
        <v>194</v>
      </c>
      <c r="O775" s="37" t="s">
        <v>759</v>
      </c>
      <c r="P775" s="37" t="s">
        <v>760</v>
      </c>
      <c r="Q775" s="41">
        <v>46195.0</v>
      </c>
      <c r="R775" s="42">
        <v>3.0</v>
      </c>
      <c r="S775" s="44"/>
      <c r="T775" s="37" t="s">
        <v>2505</v>
      </c>
      <c r="U775" s="45" t="str">
        <f>IF(records_2[Type]="Room",records_2[roomNo],records_2[roomNo]&amp;"-"&amp;SUBSTITUTE(RIGHT(records_2[roomNo]&amp;records_2[Type],2),"-",""))</f>
        <v>16-1-102-B</v>
      </c>
      <c r="V775" s="47" t="str">
        <f t="array" ref="V775">_xlfn.XLOOKUP(records_2[ID], dAir[roomNo], dAir[roomName])</f>
        <v>DISPENSING (Booth)</v>
      </c>
      <c r="W775" s="47" t="str">
        <f t="array" ref="W775">_xlfn.XLOOKUP(records_2[ID], dAir[roomNo], dAir[building])</f>
        <v>Building 16</v>
      </c>
      <c r="X775" s="47" t="str">
        <f t="array" ref="X775">_xlfn.XLOOKUP(records_2[ID], dAir[roomNo], dAir[floor])</f>
        <v>Floor 1</v>
      </c>
      <c r="Y775" s="45" t="str">
        <f t="array" ref="Y775">_xlfn.XLOOKUP(records_2[ID], dAir[roomNo], dAir[Class])</f>
        <v>A</v>
      </c>
      <c r="Z775" s="45">
        <f t="array" ref="Z775">_xlfn.XLOOKUP(records_2[Method]&amp;"-"&amp;records_2[Class], dAirSpec[ID], dAirSpec[Spec])</f>
        <v>0</v>
      </c>
      <c r="AA775" s="45" t="str">
        <f t="array" ref="AA775">_xlfn.XLOOKUP(records_2[Method]&amp;"-"&amp;records_2[Class], dAirSpec[ID], dAirSpec[Unit])</f>
        <v>cfu/m3</v>
      </c>
      <c r="AB775" s="45">
        <f t="array" ref="AB775">if(R775="","", if(records_2[Method]="Active Air",_xlfn.xlookup(records_2[ColonyCount]&amp;records_2[AirSampler],feller[code],feller[Vc]),records_2[ColonyCount]))</f>
        <v>3</v>
      </c>
      <c r="AC775" s="60" t="b">
        <f t="shared" si="1"/>
        <v>0</v>
      </c>
      <c r="AD775" s="61" t="b">
        <v>0</v>
      </c>
      <c r="AE775" s="32" t="s">
        <v>280</v>
      </c>
      <c r="AF775" s="46"/>
      <c r="AG775" s="46"/>
      <c r="AH775" s="46"/>
      <c r="AI775" s="46"/>
      <c r="AJ775" s="46"/>
    </row>
    <row r="776" ht="22.5" customHeight="1">
      <c r="A776" s="27">
        <v>46165.0</v>
      </c>
      <c r="B776" s="34" t="str">
        <f t="array" ref="B776">TEXT(A776, "MM-YYYY")</f>
        <v>05-2026</v>
      </c>
      <c r="C776" s="20" t="s">
        <v>1506</v>
      </c>
      <c r="D776" s="21" t="s">
        <v>210</v>
      </c>
      <c r="E776" s="36" t="s">
        <v>213</v>
      </c>
      <c r="F776" s="29" t="b">
        <v>1</v>
      </c>
      <c r="G776" s="36" t="s">
        <v>214</v>
      </c>
      <c r="H776" s="36" t="s">
        <v>215</v>
      </c>
      <c r="I776" s="281"/>
      <c r="J776" s="282"/>
      <c r="K776" s="37" t="s">
        <v>194</v>
      </c>
      <c r="L776" s="37" t="s">
        <v>194</v>
      </c>
      <c r="M776" s="37" t="s">
        <v>194</v>
      </c>
      <c r="N776" s="37" t="s">
        <v>194</v>
      </c>
      <c r="O776" s="37" t="s">
        <v>223</v>
      </c>
      <c r="P776" s="37" t="s">
        <v>224</v>
      </c>
      <c r="Q776" s="41">
        <v>46157.0</v>
      </c>
      <c r="R776" s="42">
        <v>1.0</v>
      </c>
      <c r="S776" s="44"/>
      <c r="T776" s="37" t="s">
        <v>2506</v>
      </c>
      <c r="U776" s="47" t="str">
        <f>IF(records_2[Type]="Room",records_2[roomNo],records_2[roomNo]&amp;"-"&amp;SUBSTITUTE(RIGHT(records_2[roomNo]&amp;records_2[Type],2),"-",""))</f>
        <v>16-3-047</v>
      </c>
      <c r="V776" s="47" t="str">
        <f t="array" ref="V776">_xlfn.XLOOKUP(records_2[ID], dAir[roomNo], dAir[roomName])</f>
        <v>PROCESS CHANGE</v>
      </c>
      <c r="W776" s="47" t="str">
        <f t="array" ref="W776">_xlfn.XLOOKUP(records_2[ID], dAir[roomNo], dAir[building])</f>
        <v>Building 16</v>
      </c>
      <c r="X776" s="47" t="str">
        <f t="array" ref="X776">_xlfn.XLOOKUP(records_2[ID], dAir[roomNo], dAir[floor])</f>
        <v>Floor 3</v>
      </c>
      <c r="Y776" s="45" t="str">
        <f t="array" ref="Y776">_xlfn.XLOOKUP(records_2[ID], dAir[roomNo], dAir[Class])</f>
        <v>D</v>
      </c>
      <c r="Z776" s="45">
        <f t="array" ref="Z776">_xlfn.XLOOKUP(records_2[Method]&amp;"-"&amp;records_2[Class], dAirSpec[ID], dAirSpec[Spec])</f>
        <v>100</v>
      </c>
      <c r="AA776" s="45" t="str">
        <f t="array" ref="AA776">_xlfn.XLOOKUP(records_2[Method]&amp;"-"&amp;records_2[Class], dAirSpec[ID], dAirSpec[Unit])</f>
        <v>cfu/plate</v>
      </c>
      <c r="AB776" s="58">
        <f t="array" ref="AB776">if(R776="","", if(records_2[Method]="Active Air",_xlfn.xlookup(records_2[ColonyCount]&amp;records_2[AirSampler],feller[code],feller[Vc]),records_2[ColonyCount]))</f>
        <v>1</v>
      </c>
      <c r="AC776" s="60" t="b">
        <f t="shared" si="1"/>
        <v>1</v>
      </c>
      <c r="AD776" s="61" t="b">
        <v>0</v>
      </c>
      <c r="AE776" s="32" t="s">
        <v>280</v>
      </c>
      <c r="AF776" s="46"/>
      <c r="AG776" s="46"/>
      <c r="AH776" s="46"/>
      <c r="AI776" s="46"/>
      <c r="AJ776" s="46"/>
    </row>
    <row r="777" ht="22.5" customHeight="1">
      <c r="A777" s="27">
        <v>46165.0</v>
      </c>
      <c r="B777" s="34" t="str">
        <f t="array" ref="B777">TEXT(A777, "MM-YYYY")</f>
        <v>05-2026</v>
      </c>
      <c r="C777" s="39" t="s">
        <v>1507</v>
      </c>
      <c r="D777" s="36" t="s">
        <v>210</v>
      </c>
      <c r="E777" s="36" t="s">
        <v>213</v>
      </c>
      <c r="F777" s="29" t="b">
        <v>1</v>
      </c>
      <c r="G777" s="36" t="s">
        <v>214</v>
      </c>
      <c r="H777" s="36" t="s">
        <v>215</v>
      </c>
      <c r="I777" s="281"/>
      <c r="J777" s="282"/>
      <c r="K777" s="37" t="s">
        <v>194</v>
      </c>
      <c r="L777" s="37" t="s">
        <v>194</v>
      </c>
      <c r="M777" s="37" t="s">
        <v>194</v>
      </c>
      <c r="N777" s="37" t="s">
        <v>194</v>
      </c>
      <c r="O777" s="37" t="s">
        <v>223</v>
      </c>
      <c r="P777" s="37" t="s">
        <v>224</v>
      </c>
      <c r="Q777" s="41">
        <v>46157.0</v>
      </c>
      <c r="R777" s="42">
        <v>2.0</v>
      </c>
      <c r="S777" s="44"/>
      <c r="T777" s="37" t="s">
        <v>2506</v>
      </c>
      <c r="U777" s="45" t="str">
        <f>IF(records_2[Type]="Room",records_2[roomNo],records_2[roomNo]&amp;"-"&amp;SUBSTITUTE(RIGHT(records_2[roomNo]&amp;records_2[Type],2),"-",""))</f>
        <v>16-3-048</v>
      </c>
      <c r="V777" s="47" t="str">
        <f t="array" ref="V777">_xlfn.XLOOKUP(records_2[ID], dAir[roomNo], dAir[roomName])</f>
        <v>CORRIDOR</v>
      </c>
      <c r="W777" s="47" t="str">
        <f t="array" ref="W777">_xlfn.XLOOKUP(records_2[ID], dAir[roomNo], dAir[building])</f>
        <v>Building 16</v>
      </c>
      <c r="X777" s="47" t="str">
        <f t="array" ref="X777">_xlfn.XLOOKUP(records_2[ID], dAir[roomNo], dAir[floor])</f>
        <v>Floor 3</v>
      </c>
      <c r="Y777" s="45" t="str">
        <f t="array" ref="Y777">_xlfn.XLOOKUP(records_2[ID], dAir[roomNo], dAir[Class])</f>
        <v>D</v>
      </c>
      <c r="Z777" s="45">
        <f t="array" ref="Z777">_xlfn.XLOOKUP(records_2[Method]&amp;"-"&amp;records_2[Class], dAirSpec[ID], dAirSpec[Spec])</f>
        <v>100</v>
      </c>
      <c r="AA777" s="45" t="str">
        <f t="array" ref="AA777">_xlfn.XLOOKUP(records_2[Method]&amp;"-"&amp;records_2[Class], dAirSpec[ID], dAirSpec[Unit])</f>
        <v>cfu/plate</v>
      </c>
      <c r="AB777" s="58">
        <f t="array" ref="AB777">if(R777="","", if(records_2[Method]="Active Air",_xlfn.xlookup(records_2[ColonyCount]&amp;records_2[AirSampler],feller[code],feller[Vc]),records_2[ColonyCount]))</f>
        <v>2</v>
      </c>
      <c r="AC777" s="60" t="b">
        <f t="shared" si="1"/>
        <v>1</v>
      </c>
      <c r="AD777" s="61" t="b">
        <v>0</v>
      </c>
      <c r="AE777" s="32" t="s">
        <v>280</v>
      </c>
      <c r="AF777" s="46"/>
      <c r="AG777" s="46"/>
      <c r="AH777" s="46"/>
      <c r="AI777" s="46"/>
      <c r="AJ777" s="46"/>
    </row>
    <row r="778" ht="22.5" customHeight="1">
      <c r="A778" s="27">
        <v>46165.0</v>
      </c>
      <c r="B778" s="34" t="str">
        <f t="array" ref="B778">TEXT(A778, "MM-YYYY")</f>
        <v>05-2026</v>
      </c>
      <c r="C778" s="39" t="s">
        <v>1508</v>
      </c>
      <c r="D778" s="36" t="s">
        <v>210</v>
      </c>
      <c r="E778" s="36" t="s">
        <v>213</v>
      </c>
      <c r="F778" s="29" t="b">
        <v>1</v>
      </c>
      <c r="G778" s="36" t="s">
        <v>214</v>
      </c>
      <c r="H778" s="36" t="s">
        <v>215</v>
      </c>
      <c r="I778" s="281"/>
      <c r="J778" s="282"/>
      <c r="K778" s="37" t="s">
        <v>194</v>
      </c>
      <c r="L778" s="37" t="s">
        <v>194</v>
      </c>
      <c r="M778" s="37" t="s">
        <v>194</v>
      </c>
      <c r="N778" s="37" t="s">
        <v>194</v>
      </c>
      <c r="O778" s="37" t="s">
        <v>223</v>
      </c>
      <c r="P778" s="37" t="s">
        <v>224</v>
      </c>
      <c r="Q778" s="41">
        <v>46157.0</v>
      </c>
      <c r="R778" s="42">
        <v>0.0</v>
      </c>
      <c r="S778" s="44"/>
      <c r="T778" s="37" t="s">
        <v>2506</v>
      </c>
      <c r="U778" s="45" t="str">
        <f>IF(records_2[Type]="Room",records_2[roomNo],records_2[roomNo]&amp;"-"&amp;SUBSTITUTE(RIGHT(records_2[roomNo]&amp;records_2[Type],2),"-",""))</f>
        <v>16-3-049</v>
      </c>
      <c r="V778" s="47" t="str">
        <f t="array" ref="V778">_xlfn.XLOOKUP(records_2[ID], dAir[roomNo], dAir[roomName])</f>
        <v>LINEN WASHING</v>
      </c>
      <c r="W778" s="47" t="str">
        <f t="array" ref="W778">_xlfn.XLOOKUP(records_2[ID], dAir[roomNo], dAir[building])</f>
        <v>Building 16</v>
      </c>
      <c r="X778" s="47" t="str">
        <f t="array" ref="X778">_xlfn.XLOOKUP(records_2[ID], dAir[roomNo], dAir[floor])</f>
        <v>Floor 3</v>
      </c>
      <c r="Y778" s="45" t="str">
        <f t="array" ref="Y778">_xlfn.XLOOKUP(records_2[ID], dAir[roomNo], dAir[Class])</f>
        <v>D</v>
      </c>
      <c r="Z778" s="45">
        <f t="array" ref="Z778">_xlfn.XLOOKUP(records_2[Method]&amp;"-"&amp;records_2[Class], dAirSpec[ID], dAirSpec[Spec])</f>
        <v>100</v>
      </c>
      <c r="AA778" s="45" t="str">
        <f t="array" ref="AA778">_xlfn.XLOOKUP(records_2[Method]&amp;"-"&amp;records_2[Class], dAirSpec[ID], dAirSpec[Unit])</f>
        <v>cfu/plate</v>
      </c>
      <c r="AB778" s="58">
        <f t="array" ref="AB778">if(R778="","", if(records_2[Method]="Active Air",_xlfn.xlookup(records_2[ColonyCount]&amp;records_2[AirSampler],feller[code],feller[Vc]),records_2[ColonyCount]))</f>
        <v>0</v>
      </c>
      <c r="AC778" s="60" t="b">
        <f t="shared" si="1"/>
        <v>1</v>
      </c>
      <c r="AD778" s="61" t="b">
        <v>0</v>
      </c>
      <c r="AE778" s="32" t="s">
        <v>280</v>
      </c>
      <c r="AF778" s="46"/>
      <c r="AG778" s="46"/>
      <c r="AH778" s="46"/>
      <c r="AI778" s="46"/>
      <c r="AJ778" s="46"/>
    </row>
    <row r="779" ht="22.5" customHeight="1">
      <c r="A779" s="27">
        <v>46165.0</v>
      </c>
      <c r="B779" s="34" t="str">
        <f t="array" ref="B779">TEXT(A779, "MM-YYYY")</f>
        <v>05-2026</v>
      </c>
      <c r="C779" s="39" t="s">
        <v>1509</v>
      </c>
      <c r="D779" s="36" t="s">
        <v>210</v>
      </c>
      <c r="E779" s="36" t="s">
        <v>213</v>
      </c>
      <c r="F779" s="29" t="b">
        <v>1</v>
      </c>
      <c r="G779" s="36" t="s">
        <v>214</v>
      </c>
      <c r="H779" s="36" t="s">
        <v>215</v>
      </c>
      <c r="I779" s="281"/>
      <c r="J779" s="282"/>
      <c r="K779" s="37" t="s">
        <v>194</v>
      </c>
      <c r="L779" s="37" t="s">
        <v>194</v>
      </c>
      <c r="M779" s="37" t="s">
        <v>194</v>
      </c>
      <c r="N779" s="37" t="s">
        <v>194</v>
      </c>
      <c r="O779" s="37" t="s">
        <v>223</v>
      </c>
      <c r="P779" s="37" t="s">
        <v>224</v>
      </c>
      <c r="Q779" s="41">
        <v>46157.0</v>
      </c>
      <c r="R779" s="42">
        <v>0.0</v>
      </c>
      <c r="S779" s="44"/>
      <c r="T779" s="37" t="s">
        <v>2506</v>
      </c>
      <c r="U779" s="45" t="str">
        <f>IF(records_2[Type]="Room",records_2[roomNo],records_2[roomNo]&amp;"-"&amp;SUBSTITUTE(RIGHT(records_2[roomNo]&amp;records_2[Type],2),"-",""))</f>
        <v>16-3-050</v>
      </c>
      <c r="V779" s="47" t="str">
        <f t="array" ref="V779">_xlfn.XLOOKUP(records_2[ID], dAir[roomNo], dAir[roomName])</f>
        <v>LINEN DRY</v>
      </c>
      <c r="W779" s="47" t="str">
        <f t="array" ref="W779">_xlfn.XLOOKUP(records_2[ID], dAir[roomNo], dAir[building])</f>
        <v>Building 16</v>
      </c>
      <c r="X779" s="47" t="str">
        <f t="array" ref="X779">_xlfn.XLOOKUP(records_2[ID], dAir[roomNo], dAir[floor])</f>
        <v>Floor 3</v>
      </c>
      <c r="Y779" s="45" t="str">
        <f t="array" ref="Y779">_xlfn.XLOOKUP(records_2[ID], dAir[roomNo], dAir[Class])</f>
        <v>D</v>
      </c>
      <c r="Z779" s="45">
        <f t="array" ref="Z779">_xlfn.XLOOKUP(records_2[Method]&amp;"-"&amp;records_2[Class], dAirSpec[ID], dAirSpec[Spec])</f>
        <v>100</v>
      </c>
      <c r="AA779" s="45" t="str">
        <f t="array" ref="AA779">_xlfn.XLOOKUP(records_2[Method]&amp;"-"&amp;records_2[Class], dAirSpec[ID], dAirSpec[Unit])</f>
        <v>cfu/plate</v>
      </c>
      <c r="AB779" s="58">
        <f t="array" ref="AB779">if(R779="","", if(records_2[Method]="Active Air",_xlfn.xlookup(records_2[ColonyCount]&amp;records_2[AirSampler],feller[code],feller[Vc]),records_2[ColonyCount]))</f>
        <v>0</v>
      </c>
      <c r="AC779" s="60" t="b">
        <f t="shared" si="1"/>
        <v>1</v>
      </c>
      <c r="AD779" s="61" t="b">
        <v>0</v>
      </c>
      <c r="AE779" s="32" t="s">
        <v>280</v>
      </c>
      <c r="AF779" s="46"/>
      <c r="AG779" s="46"/>
      <c r="AH779" s="46"/>
      <c r="AI779" s="46"/>
      <c r="AJ779" s="46"/>
    </row>
    <row r="780" ht="22.5" customHeight="1">
      <c r="A780" s="27">
        <v>46165.0</v>
      </c>
      <c r="B780" s="34" t="str">
        <f t="array" ref="B780">TEXT(A780, "MM-YYYY")</f>
        <v>05-2026</v>
      </c>
      <c r="C780" s="39" t="s">
        <v>1510</v>
      </c>
      <c r="D780" s="36" t="s">
        <v>210</v>
      </c>
      <c r="E780" s="36" t="s">
        <v>213</v>
      </c>
      <c r="F780" s="29" t="b">
        <v>1</v>
      </c>
      <c r="G780" s="36" t="s">
        <v>214</v>
      </c>
      <c r="H780" s="36" t="s">
        <v>215</v>
      </c>
      <c r="I780" s="281"/>
      <c r="J780" s="282"/>
      <c r="K780" s="37" t="s">
        <v>194</v>
      </c>
      <c r="L780" s="37" t="s">
        <v>194</v>
      </c>
      <c r="M780" s="37" t="s">
        <v>194</v>
      </c>
      <c r="N780" s="37" t="s">
        <v>194</v>
      </c>
      <c r="O780" s="37" t="s">
        <v>223</v>
      </c>
      <c r="P780" s="37" t="s">
        <v>224</v>
      </c>
      <c r="Q780" s="41">
        <v>46157.0</v>
      </c>
      <c r="R780" s="42">
        <v>0.0</v>
      </c>
      <c r="S780" s="44"/>
      <c r="T780" s="37" t="s">
        <v>2506</v>
      </c>
      <c r="U780" s="45" t="str">
        <f>IF(records_2[Type]="Room",records_2[roomNo],records_2[roomNo]&amp;"-"&amp;SUBSTITUTE(RIGHT(records_2[roomNo]&amp;records_2[Type],2),"-",""))</f>
        <v>16-3-051</v>
      </c>
      <c r="V780" s="47" t="str">
        <f t="array" ref="V780">_xlfn.XLOOKUP(records_2[ID], dAir[roomNo], dAir[roomName])</f>
        <v>LINEN STORAGE</v>
      </c>
      <c r="W780" s="47" t="str">
        <f t="array" ref="W780">_xlfn.XLOOKUP(records_2[ID], dAir[roomNo], dAir[building])</f>
        <v>Building 16</v>
      </c>
      <c r="X780" s="47" t="str">
        <f t="array" ref="X780">_xlfn.XLOOKUP(records_2[ID], dAir[roomNo], dAir[floor])</f>
        <v>Floor 3</v>
      </c>
      <c r="Y780" s="45" t="str">
        <f t="array" ref="Y780">_xlfn.XLOOKUP(records_2[ID], dAir[roomNo], dAir[Class])</f>
        <v>D</v>
      </c>
      <c r="Z780" s="45">
        <f t="array" ref="Z780">_xlfn.XLOOKUP(records_2[Method]&amp;"-"&amp;records_2[Class], dAirSpec[ID], dAirSpec[Spec])</f>
        <v>100</v>
      </c>
      <c r="AA780" s="45" t="str">
        <f t="array" ref="AA780">_xlfn.XLOOKUP(records_2[Method]&amp;"-"&amp;records_2[Class], dAirSpec[ID], dAirSpec[Unit])</f>
        <v>cfu/plate</v>
      </c>
      <c r="AB780" s="58">
        <f t="array" ref="AB780">if(R780="","", if(records_2[Method]="Active Air",_xlfn.xlookup(records_2[ColonyCount]&amp;records_2[AirSampler],feller[code],feller[Vc]),records_2[ColonyCount]))</f>
        <v>0</v>
      </c>
      <c r="AC780" s="60" t="b">
        <f t="shared" si="1"/>
        <v>1</v>
      </c>
      <c r="AD780" s="61" t="b">
        <v>0</v>
      </c>
      <c r="AE780" s="32" t="s">
        <v>280</v>
      </c>
      <c r="AF780" s="46"/>
      <c r="AG780" s="46"/>
      <c r="AH780" s="46"/>
      <c r="AI780" s="46"/>
      <c r="AJ780" s="46"/>
    </row>
    <row r="781" ht="22.5" customHeight="1">
      <c r="A781" s="27">
        <v>46165.0</v>
      </c>
      <c r="B781" s="34" t="str">
        <f t="array" ref="B781">TEXT(A781, "MM-YYYY")</f>
        <v>05-2026</v>
      </c>
      <c r="C781" s="39" t="s">
        <v>1511</v>
      </c>
      <c r="D781" s="36" t="s">
        <v>210</v>
      </c>
      <c r="E781" s="36" t="s">
        <v>213</v>
      </c>
      <c r="F781" s="29" t="b">
        <v>1</v>
      </c>
      <c r="G781" s="36" t="s">
        <v>214</v>
      </c>
      <c r="H781" s="36" t="s">
        <v>215</v>
      </c>
      <c r="I781" s="281"/>
      <c r="J781" s="282"/>
      <c r="K781" s="37" t="s">
        <v>194</v>
      </c>
      <c r="L781" s="37" t="s">
        <v>194</v>
      </c>
      <c r="M781" s="37" t="s">
        <v>194</v>
      </c>
      <c r="N781" s="37" t="s">
        <v>194</v>
      </c>
      <c r="O781" s="37" t="s">
        <v>223</v>
      </c>
      <c r="P781" s="37" t="s">
        <v>224</v>
      </c>
      <c r="Q781" s="41">
        <v>46157.0</v>
      </c>
      <c r="R781" s="42">
        <v>0.0</v>
      </c>
      <c r="S781" s="44"/>
      <c r="T781" s="37" t="s">
        <v>2506</v>
      </c>
      <c r="U781" s="45" t="str">
        <f>IF(records_2[Type]="Room",records_2[roomNo],records_2[roomNo]&amp;"-"&amp;SUBSTITUTE(RIGHT(records_2[roomNo]&amp;records_2[Type],2),"-",""))</f>
        <v>16-3-052</v>
      </c>
      <c r="V781" s="47" t="str">
        <f t="array" ref="V781">_xlfn.XLOOKUP(records_2[ID], dAir[roomNo], dAir[roomName])</f>
        <v>CLEANED EQUIPMENT</v>
      </c>
      <c r="W781" s="47" t="str">
        <f t="array" ref="W781">_xlfn.XLOOKUP(records_2[ID], dAir[roomNo], dAir[building])</f>
        <v>Building 16</v>
      </c>
      <c r="X781" s="47" t="str">
        <f t="array" ref="X781">_xlfn.XLOOKUP(records_2[ID], dAir[roomNo], dAir[floor])</f>
        <v>Floor 3</v>
      </c>
      <c r="Y781" s="45" t="str">
        <f t="array" ref="Y781">_xlfn.XLOOKUP(records_2[ID], dAir[roomNo], dAir[Class])</f>
        <v>D</v>
      </c>
      <c r="Z781" s="45">
        <f t="array" ref="Z781">_xlfn.XLOOKUP(records_2[Method]&amp;"-"&amp;records_2[Class], dAirSpec[ID], dAirSpec[Spec])</f>
        <v>100</v>
      </c>
      <c r="AA781" s="45" t="str">
        <f t="array" ref="AA781">_xlfn.XLOOKUP(records_2[Method]&amp;"-"&amp;records_2[Class], dAirSpec[ID], dAirSpec[Unit])</f>
        <v>cfu/plate</v>
      </c>
      <c r="AB781" s="58">
        <f t="array" ref="AB781">if(R781="","", if(records_2[Method]="Active Air",_xlfn.xlookup(records_2[ColonyCount]&amp;records_2[AirSampler],feller[code],feller[Vc]),records_2[ColonyCount]))</f>
        <v>0</v>
      </c>
      <c r="AC781" s="60" t="b">
        <f t="shared" si="1"/>
        <v>1</v>
      </c>
      <c r="AD781" s="61" t="b">
        <v>0</v>
      </c>
      <c r="AE781" s="32" t="s">
        <v>280</v>
      </c>
      <c r="AF781" s="46"/>
      <c r="AG781" s="46"/>
      <c r="AH781" s="46"/>
      <c r="AI781" s="46"/>
      <c r="AJ781" s="46"/>
    </row>
    <row r="782" ht="22.5" customHeight="1">
      <c r="A782" s="27">
        <v>46165.0</v>
      </c>
      <c r="B782" s="34" t="str">
        <f t="array" ref="B782">TEXT(A782, "MM-YYYY")</f>
        <v>05-2026</v>
      </c>
      <c r="C782" s="39" t="s">
        <v>1512</v>
      </c>
      <c r="D782" s="36" t="s">
        <v>210</v>
      </c>
      <c r="E782" s="36" t="s">
        <v>213</v>
      </c>
      <c r="F782" s="29" t="b">
        <v>1</v>
      </c>
      <c r="G782" s="36" t="s">
        <v>214</v>
      </c>
      <c r="H782" s="36" t="s">
        <v>215</v>
      </c>
      <c r="I782" s="281"/>
      <c r="J782" s="282"/>
      <c r="K782" s="37" t="s">
        <v>194</v>
      </c>
      <c r="L782" s="37" t="s">
        <v>194</v>
      </c>
      <c r="M782" s="37" t="s">
        <v>194</v>
      </c>
      <c r="N782" s="37" t="s">
        <v>194</v>
      </c>
      <c r="O782" s="37" t="s">
        <v>223</v>
      </c>
      <c r="P782" s="37" t="s">
        <v>224</v>
      </c>
      <c r="Q782" s="41">
        <v>46157.0</v>
      </c>
      <c r="R782" s="42">
        <v>0.0</v>
      </c>
      <c r="S782" s="44"/>
      <c r="T782" s="37" t="s">
        <v>2506</v>
      </c>
      <c r="U782" s="45" t="str">
        <f>IF(records_2[Type]="Room",records_2[roomNo],records_2[roomNo]&amp;"-"&amp;SUBSTITUTE(RIGHT(records_2[roomNo]&amp;records_2[Type],2),"-",""))</f>
        <v>16-3-053</v>
      </c>
      <c r="V782" s="47" t="str">
        <f t="array" ref="V782">_xlfn.XLOOKUP(records_2[ID], dAir[roomNo], dAir[roomName])</f>
        <v>DRYING</v>
      </c>
      <c r="W782" s="47" t="str">
        <f t="array" ref="W782">_xlfn.XLOOKUP(records_2[ID], dAir[roomNo], dAir[building])</f>
        <v>Building 16</v>
      </c>
      <c r="X782" s="47" t="str">
        <f t="array" ref="X782">_xlfn.XLOOKUP(records_2[ID], dAir[roomNo], dAir[floor])</f>
        <v>Floor 3</v>
      </c>
      <c r="Y782" s="45" t="str">
        <f t="array" ref="Y782">_xlfn.XLOOKUP(records_2[ID], dAir[roomNo], dAir[Class])</f>
        <v>D</v>
      </c>
      <c r="Z782" s="45">
        <f t="array" ref="Z782">_xlfn.XLOOKUP(records_2[Method]&amp;"-"&amp;records_2[Class], dAirSpec[ID], dAirSpec[Spec])</f>
        <v>100</v>
      </c>
      <c r="AA782" s="45" t="str">
        <f t="array" ref="AA782">_xlfn.XLOOKUP(records_2[Method]&amp;"-"&amp;records_2[Class], dAirSpec[ID], dAirSpec[Unit])</f>
        <v>cfu/plate</v>
      </c>
      <c r="AB782" s="58">
        <f t="array" ref="AB782">if(R782="","", if(records_2[Method]="Active Air",_xlfn.xlookup(records_2[ColonyCount]&amp;records_2[AirSampler],feller[code],feller[Vc]),records_2[ColonyCount]))</f>
        <v>0</v>
      </c>
      <c r="AC782" s="60" t="b">
        <f t="shared" si="1"/>
        <v>1</v>
      </c>
      <c r="AD782" s="61" t="b">
        <v>0</v>
      </c>
      <c r="AE782" s="32" t="s">
        <v>280</v>
      </c>
      <c r="AF782" s="46"/>
      <c r="AG782" s="46"/>
      <c r="AH782" s="46"/>
      <c r="AI782" s="46"/>
      <c r="AJ782" s="46"/>
    </row>
    <row r="783" ht="22.5" customHeight="1">
      <c r="A783" s="27">
        <v>46165.0</v>
      </c>
      <c r="B783" s="34" t="str">
        <f t="array" ref="B783">TEXT(A783, "MM-YYYY")</f>
        <v>05-2026</v>
      </c>
      <c r="C783" s="39" t="s">
        <v>1513</v>
      </c>
      <c r="D783" s="36" t="s">
        <v>210</v>
      </c>
      <c r="E783" s="36" t="s">
        <v>213</v>
      </c>
      <c r="F783" s="29" t="b">
        <v>1</v>
      </c>
      <c r="G783" s="36" t="s">
        <v>214</v>
      </c>
      <c r="H783" s="36" t="s">
        <v>215</v>
      </c>
      <c r="I783" s="281"/>
      <c r="J783" s="282"/>
      <c r="K783" s="37" t="s">
        <v>194</v>
      </c>
      <c r="L783" s="37" t="s">
        <v>194</v>
      </c>
      <c r="M783" s="37" t="s">
        <v>194</v>
      </c>
      <c r="N783" s="37" t="s">
        <v>194</v>
      </c>
      <c r="O783" s="37" t="s">
        <v>223</v>
      </c>
      <c r="P783" s="37" t="s">
        <v>224</v>
      </c>
      <c r="Q783" s="41">
        <v>46157.0</v>
      </c>
      <c r="R783" s="42">
        <v>0.0</v>
      </c>
      <c r="S783" s="44"/>
      <c r="T783" s="37" t="s">
        <v>2506</v>
      </c>
      <c r="U783" s="45" t="str">
        <f>IF(records_2[Type]="Room",records_2[roomNo],records_2[roomNo]&amp;"-"&amp;SUBSTITUTE(RIGHT(records_2[roomNo]&amp;records_2[Type],2),"-",""))</f>
        <v>16-3-054</v>
      </c>
      <c r="V783" s="47" t="str">
        <f t="array" ref="V783">_xlfn.XLOOKUP(records_2[ID], dAir[roomNo], dAir[roomName])</f>
        <v>WASHING</v>
      </c>
      <c r="W783" s="47" t="str">
        <f t="array" ref="W783">_xlfn.XLOOKUP(records_2[ID], dAir[roomNo], dAir[building])</f>
        <v>Building 16</v>
      </c>
      <c r="X783" s="47" t="str">
        <f t="array" ref="X783">_xlfn.XLOOKUP(records_2[ID], dAir[roomNo], dAir[floor])</f>
        <v>Floor 3</v>
      </c>
      <c r="Y783" s="45" t="str">
        <f t="array" ref="Y783">_xlfn.XLOOKUP(records_2[ID], dAir[roomNo], dAir[Class])</f>
        <v>D</v>
      </c>
      <c r="Z783" s="45">
        <f t="array" ref="Z783">_xlfn.XLOOKUP(records_2[Method]&amp;"-"&amp;records_2[Class], dAirSpec[ID], dAirSpec[Spec])</f>
        <v>100</v>
      </c>
      <c r="AA783" s="45" t="str">
        <f t="array" ref="AA783">_xlfn.XLOOKUP(records_2[Method]&amp;"-"&amp;records_2[Class], dAirSpec[ID], dAirSpec[Unit])</f>
        <v>cfu/plate</v>
      </c>
      <c r="AB783" s="58">
        <f t="array" ref="AB783">if(R783="","", if(records_2[Method]="Active Air",_xlfn.xlookup(records_2[ColonyCount]&amp;records_2[AirSampler],feller[code],feller[Vc]),records_2[ColonyCount]))</f>
        <v>0</v>
      </c>
      <c r="AC783" s="60" t="b">
        <f t="shared" si="1"/>
        <v>1</v>
      </c>
      <c r="AD783" s="61" t="b">
        <v>0</v>
      </c>
      <c r="AE783" s="32" t="s">
        <v>280</v>
      </c>
      <c r="AF783" s="46"/>
      <c r="AG783" s="46"/>
      <c r="AH783" s="46"/>
      <c r="AI783" s="46"/>
      <c r="AJ783" s="46"/>
    </row>
    <row r="784" ht="22.5" customHeight="1">
      <c r="A784" s="27">
        <v>46165.0</v>
      </c>
      <c r="B784" s="34" t="str">
        <f t="array" ref="B784">TEXT(A784, "MM-YYYY")</f>
        <v>05-2026</v>
      </c>
      <c r="C784" s="39" t="s">
        <v>1514</v>
      </c>
      <c r="D784" s="36" t="s">
        <v>210</v>
      </c>
      <c r="E784" s="36" t="s">
        <v>213</v>
      </c>
      <c r="F784" s="29" t="b">
        <v>1</v>
      </c>
      <c r="G784" s="36" t="s">
        <v>214</v>
      </c>
      <c r="H784" s="36" t="s">
        <v>215</v>
      </c>
      <c r="I784" s="281"/>
      <c r="J784" s="282"/>
      <c r="K784" s="37" t="s">
        <v>194</v>
      </c>
      <c r="L784" s="37" t="s">
        <v>194</v>
      </c>
      <c r="M784" s="37" t="s">
        <v>194</v>
      </c>
      <c r="N784" s="37" t="s">
        <v>194</v>
      </c>
      <c r="O784" s="37" t="s">
        <v>223</v>
      </c>
      <c r="P784" s="37" t="s">
        <v>224</v>
      </c>
      <c r="Q784" s="41">
        <v>46157.0</v>
      </c>
      <c r="R784" s="42">
        <v>0.0</v>
      </c>
      <c r="S784" s="44"/>
      <c r="T784" s="37" t="s">
        <v>2506</v>
      </c>
      <c r="U784" s="45" t="str">
        <f>IF(records_2[Type]="Room",records_2[roomNo],records_2[roomNo]&amp;"-"&amp;SUBSTITUTE(RIGHT(records_2[roomNo]&amp;records_2[Type],2),"-",""))</f>
        <v>16-3-055</v>
      </c>
      <c r="V784" s="47" t="str">
        <f t="array" ref="V784">_xlfn.XLOOKUP(records_2[ID], dAir[roomNo], dAir[roomName])</f>
        <v>AIRLOCK</v>
      </c>
      <c r="W784" s="47" t="str">
        <f t="array" ref="W784">_xlfn.XLOOKUP(records_2[ID], dAir[roomNo], dAir[building])</f>
        <v>Building 16</v>
      </c>
      <c r="X784" s="47" t="str">
        <f t="array" ref="X784">_xlfn.XLOOKUP(records_2[ID], dAir[roomNo], dAir[floor])</f>
        <v>Floor 3</v>
      </c>
      <c r="Y784" s="45" t="str">
        <f t="array" ref="Y784">_xlfn.XLOOKUP(records_2[ID], dAir[roomNo], dAir[Class])</f>
        <v>D</v>
      </c>
      <c r="Z784" s="45">
        <f t="array" ref="Z784">_xlfn.XLOOKUP(records_2[Method]&amp;"-"&amp;records_2[Class], dAirSpec[ID], dAirSpec[Spec])</f>
        <v>100</v>
      </c>
      <c r="AA784" s="45" t="str">
        <f t="array" ref="AA784">_xlfn.XLOOKUP(records_2[Method]&amp;"-"&amp;records_2[Class], dAirSpec[ID], dAirSpec[Unit])</f>
        <v>cfu/plate</v>
      </c>
      <c r="AB784" s="58">
        <f t="array" ref="AB784">if(R784="","", if(records_2[Method]="Active Air",_xlfn.xlookup(records_2[ColonyCount]&amp;records_2[AirSampler],feller[code],feller[Vc]),records_2[ColonyCount]))</f>
        <v>0</v>
      </c>
      <c r="AC784" s="60" t="b">
        <f t="shared" si="1"/>
        <v>1</v>
      </c>
      <c r="AD784" s="61" t="b">
        <v>0</v>
      </c>
      <c r="AE784" s="32" t="s">
        <v>280</v>
      </c>
      <c r="AF784" s="46"/>
      <c r="AG784" s="46"/>
      <c r="AH784" s="46"/>
      <c r="AI784" s="46"/>
      <c r="AJ784" s="46"/>
    </row>
    <row r="785" ht="22.5" customHeight="1">
      <c r="A785" s="27">
        <v>46165.0</v>
      </c>
      <c r="B785" s="34" t="str">
        <f t="array" ref="B785">TEXT(A785, "MM-YYYY")</f>
        <v>05-2026</v>
      </c>
      <c r="C785" s="39" t="s">
        <v>1515</v>
      </c>
      <c r="D785" s="36" t="s">
        <v>210</v>
      </c>
      <c r="E785" s="36" t="s">
        <v>213</v>
      </c>
      <c r="F785" s="29" t="b">
        <v>1</v>
      </c>
      <c r="G785" s="36" t="s">
        <v>214</v>
      </c>
      <c r="H785" s="36" t="s">
        <v>215</v>
      </c>
      <c r="I785" s="281"/>
      <c r="J785" s="282"/>
      <c r="K785" s="37" t="s">
        <v>194</v>
      </c>
      <c r="L785" s="37" t="s">
        <v>194</v>
      </c>
      <c r="M785" s="37" t="s">
        <v>194</v>
      </c>
      <c r="N785" s="37" t="s">
        <v>194</v>
      </c>
      <c r="O785" s="37" t="s">
        <v>223</v>
      </c>
      <c r="P785" s="37" t="s">
        <v>224</v>
      </c>
      <c r="Q785" s="41">
        <v>46157.0</v>
      </c>
      <c r="R785" s="42">
        <v>1.0</v>
      </c>
      <c r="S785" s="44"/>
      <c r="T785" s="37" t="s">
        <v>2506</v>
      </c>
      <c r="U785" s="45" t="str">
        <f>IF(records_2[Type]="Room",records_2[roomNo],records_2[roomNo]&amp;"-"&amp;SUBSTITUTE(RIGHT(records_2[roomNo]&amp;records_2[Type],2),"-",""))</f>
        <v>16-3-056</v>
      </c>
      <c r="V785" s="47" t="str">
        <f t="array" ref="V785">_xlfn.XLOOKUP(records_2[ID], dAir[roomNo], dAir[roomName])</f>
        <v>JANITOR</v>
      </c>
      <c r="W785" s="47" t="str">
        <f t="array" ref="W785">_xlfn.XLOOKUP(records_2[ID], dAir[roomNo], dAir[building])</f>
        <v>Building 16</v>
      </c>
      <c r="X785" s="47" t="str">
        <f t="array" ref="X785">_xlfn.XLOOKUP(records_2[ID], dAir[roomNo], dAir[floor])</f>
        <v>Floor 3</v>
      </c>
      <c r="Y785" s="45" t="str">
        <f t="array" ref="Y785">_xlfn.XLOOKUP(records_2[ID], dAir[roomNo], dAir[Class])</f>
        <v>D</v>
      </c>
      <c r="Z785" s="45">
        <f t="array" ref="Z785">_xlfn.XLOOKUP(records_2[Method]&amp;"-"&amp;records_2[Class], dAirSpec[ID], dAirSpec[Spec])</f>
        <v>100</v>
      </c>
      <c r="AA785" s="45" t="str">
        <f t="array" ref="AA785">_xlfn.XLOOKUP(records_2[Method]&amp;"-"&amp;records_2[Class], dAirSpec[ID], dAirSpec[Unit])</f>
        <v>cfu/plate</v>
      </c>
      <c r="AB785" s="58">
        <f t="array" ref="AB785">if(R785="","", if(records_2[Method]="Active Air",_xlfn.xlookup(records_2[ColonyCount]&amp;records_2[AirSampler],feller[code],feller[Vc]),records_2[ColonyCount]))</f>
        <v>1</v>
      </c>
      <c r="AC785" s="60" t="b">
        <f t="shared" si="1"/>
        <v>1</v>
      </c>
      <c r="AD785" s="61" t="b">
        <v>0</v>
      </c>
      <c r="AE785" s="32" t="s">
        <v>280</v>
      </c>
      <c r="AF785" s="46"/>
      <c r="AG785" s="46"/>
      <c r="AH785" s="46"/>
      <c r="AI785" s="46"/>
      <c r="AJ785" s="46"/>
    </row>
    <row r="786" ht="22.5" customHeight="1">
      <c r="A786" s="27">
        <v>46165.0</v>
      </c>
      <c r="B786" s="34" t="str">
        <f t="array" ref="B786">TEXT(A786, "MM-YYYY")</f>
        <v>05-2026</v>
      </c>
      <c r="C786" s="39" t="s">
        <v>1516</v>
      </c>
      <c r="D786" s="36" t="s">
        <v>210</v>
      </c>
      <c r="E786" s="36" t="s">
        <v>213</v>
      </c>
      <c r="F786" s="29" t="b">
        <v>1</v>
      </c>
      <c r="G786" s="36" t="s">
        <v>214</v>
      </c>
      <c r="H786" s="36" t="s">
        <v>215</v>
      </c>
      <c r="I786" s="281"/>
      <c r="J786" s="282"/>
      <c r="K786" s="37" t="s">
        <v>194</v>
      </c>
      <c r="L786" s="37" t="s">
        <v>194</v>
      </c>
      <c r="M786" s="37" t="s">
        <v>194</v>
      </c>
      <c r="N786" s="37" t="s">
        <v>194</v>
      </c>
      <c r="O786" s="37" t="s">
        <v>223</v>
      </c>
      <c r="P786" s="37" t="s">
        <v>224</v>
      </c>
      <c r="Q786" s="41">
        <v>46157.0</v>
      </c>
      <c r="R786" s="42">
        <v>0.0</v>
      </c>
      <c r="S786" s="44"/>
      <c r="T786" s="37" t="s">
        <v>2506</v>
      </c>
      <c r="U786" s="45" t="str">
        <f>IF(records_2[Type]="Room",records_2[roomNo],records_2[roomNo]&amp;"-"&amp;SUBSTITUTE(RIGHT(records_2[roomNo]&amp;records_2[Type],2),"-",""))</f>
        <v>16-3-057</v>
      </c>
      <c r="V786" s="47" t="str">
        <f t="array" ref="V786">_xlfn.XLOOKUP(records_2[ID], dAir[roomNo], dAir[roomName])</f>
        <v>WAX MELTING</v>
      </c>
      <c r="W786" s="47" t="str">
        <f t="array" ref="W786">_xlfn.XLOOKUP(records_2[ID], dAir[roomNo], dAir[building])</f>
        <v>Building 16</v>
      </c>
      <c r="X786" s="47" t="str">
        <f t="array" ref="X786">_xlfn.XLOOKUP(records_2[ID], dAir[roomNo], dAir[floor])</f>
        <v>Floor 3</v>
      </c>
      <c r="Y786" s="45" t="str">
        <f t="array" ref="Y786">_xlfn.XLOOKUP(records_2[ID], dAir[roomNo], dAir[Class])</f>
        <v>D</v>
      </c>
      <c r="Z786" s="45">
        <f t="array" ref="Z786">_xlfn.XLOOKUP(records_2[Method]&amp;"-"&amp;records_2[Class], dAirSpec[ID], dAirSpec[Spec])</f>
        <v>100</v>
      </c>
      <c r="AA786" s="45" t="str">
        <f t="array" ref="AA786">_xlfn.XLOOKUP(records_2[Method]&amp;"-"&amp;records_2[Class], dAirSpec[ID], dAirSpec[Unit])</f>
        <v>cfu/plate</v>
      </c>
      <c r="AB786" s="58">
        <f t="array" ref="AB786">if(R786="","", if(records_2[Method]="Active Air",_xlfn.xlookup(records_2[ColonyCount]&amp;records_2[AirSampler],feller[code],feller[Vc]),records_2[ColonyCount]))</f>
        <v>0</v>
      </c>
      <c r="AC786" s="60" t="b">
        <f t="shared" si="1"/>
        <v>1</v>
      </c>
      <c r="AD786" s="61" t="b">
        <v>0</v>
      </c>
      <c r="AE786" s="32" t="s">
        <v>280</v>
      </c>
      <c r="AF786" s="46"/>
      <c r="AG786" s="46"/>
      <c r="AH786" s="46"/>
      <c r="AI786" s="46"/>
      <c r="AJ786" s="46"/>
    </row>
    <row r="787" ht="22.5" customHeight="1">
      <c r="A787" s="27">
        <v>46165.0</v>
      </c>
      <c r="B787" s="34" t="str">
        <f t="array" ref="B787">TEXT(A787, "MM-YYYY")</f>
        <v>05-2026</v>
      </c>
      <c r="C787" s="39" t="s">
        <v>1518</v>
      </c>
      <c r="D787" s="36" t="s">
        <v>210</v>
      </c>
      <c r="E787" s="36" t="s">
        <v>213</v>
      </c>
      <c r="F787" s="29" t="b">
        <v>1</v>
      </c>
      <c r="G787" s="36" t="s">
        <v>214</v>
      </c>
      <c r="H787" s="36" t="s">
        <v>215</v>
      </c>
      <c r="I787" s="281"/>
      <c r="J787" s="282"/>
      <c r="K787" s="37" t="s">
        <v>194</v>
      </c>
      <c r="L787" s="37" t="s">
        <v>194</v>
      </c>
      <c r="M787" s="37" t="s">
        <v>194</v>
      </c>
      <c r="N787" s="37" t="s">
        <v>194</v>
      </c>
      <c r="O787" s="37" t="s">
        <v>223</v>
      </c>
      <c r="P787" s="37" t="s">
        <v>224</v>
      </c>
      <c r="Q787" s="41">
        <v>46157.0</v>
      </c>
      <c r="R787" s="42">
        <v>0.0</v>
      </c>
      <c r="S787" s="44"/>
      <c r="T787" s="37" t="s">
        <v>2506</v>
      </c>
      <c r="U787" s="45" t="str">
        <f>IF(records_2[Type]="Room",records_2[roomNo],records_2[roomNo]&amp;"-"&amp;SUBSTITUTE(RIGHT(records_2[roomNo]&amp;records_2[Type],2),"-",""))</f>
        <v>16-3-058</v>
      </c>
      <c r="V787" s="47" t="str">
        <f t="array" ref="V787">_xlfn.XLOOKUP(records_2[ID], dAir[roomNo], dAir[roomName])</f>
        <v>IPQC</v>
      </c>
      <c r="W787" s="47" t="str">
        <f t="array" ref="W787">_xlfn.XLOOKUP(records_2[ID], dAir[roomNo], dAir[building])</f>
        <v>Building 16</v>
      </c>
      <c r="X787" s="47" t="str">
        <f t="array" ref="X787">_xlfn.XLOOKUP(records_2[ID], dAir[roomNo], dAir[floor])</f>
        <v>Floor 3</v>
      </c>
      <c r="Y787" s="45" t="str">
        <f t="array" ref="Y787">_xlfn.XLOOKUP(records_2[ID], dAir[roomNo], dAir[Class])</f>
        <v>D</v>
      </c>
      <c r="Z787" s="45">
        <f t="array" ref="Z787">_xlfn.XLOOKUP(records_2[Method]&amp;"-"&amp;records_2[Class], dAirSpec[ID], dAirSpec[Spec])</f>
        <v>100</v>
      </c>
      <c r="AA787" s="45" t="str">
        <f t="array" ref="AA787">_xlfn.XLOOKUP(records_2[Method]&amp;"-"&amp;records_2[Class], dAirSpec[ID], dAirSpec[Unit])</f>
        <v>cfu/plate</v>
      </c>
      <c r="AB787" s="58">
        <f t="array" ref="AB787">if(R787="","", if(records_2[Method]="Active Air",_xlfn.xlookup(records_2[ColonyCount]&amp;records_2[AirSampler],feller[code],feller[Vc]),records_2[ColonyCount]))</f>
        <v>0</v>
      </c>
      <c r="AC787" s="60" t="b">
        <f t="shared" si="1"/>
        <v>1</v>
      </c>
      <c r="AD787" s="61" t="b">
        <v>0</v>
      </c>
      <c r="AE787" s="32" t="s">
        <v>280</v>
      </c>
      <c r="AF787" s="46"/>
      <c r="AG787" s="46"/>
      <c r="AH787" s="46"/>
      <c r="AI787" s="46"/>
      <c r="AJ787" s="46"/>
    </row>
    <row r="788" ht="22.5" customHeight="1">
      <c r="A788" s="27">
        <v>46165.0</v>
      </c>
      <c r="B788" s="34" t="str">
        <f t="array" ref="B788">TEXT(A788, "MM-YYYY")</f>
        <v>05-2026</v>
      </c>
      <c r="C788" s="39" t="s">
        <v>1519</v>
      </c>
      <c r="D788" s="36" t="s">
        <v>210</v>
      </c>
      <c r="E788" s="36" t="s">
        <v>213</v>
      </c>
      <c r="F788" s="29" t="b">
        <v>1</v>
      </c>
      <c r="G788" s="36" t="s">
        <v>214</v>
      </c>
      <c r="H788" s="36" t="s">
        <v>215</v>
      </c>
      <c r="I788" s="281"/>
      <c r="J788" s="282"/>
      <c r="K788" s="37" t="s">
        <v>194</v>
      </c>
      <c r="L788" s="37" t="s">
        <v>194</v>
      </c>
      <c r="M788" s="37" t="s">
        <v>194</v>
      </c>
      <c r="N788" s="37" t="s">
        <v>194</v>
      </c>
      <c r="O788" s="37" t="s">
        <v>223</v>
      </c>
      <c r="P788" s="37" t="s">
        <v>224</v>
      </c>
      <c r="Q788" s="41">
        <v>46157.0</v>
      </c>
      <c r="R788" s="42">
        <v>1.0</v>
      </c>
      <c r="S788" s="44"/>
      <c r="T788" s="37" t="s">
        <v>2506</v>
      </c>
      <c r="U788" s="45" t="str">
        <f>IF(records_2[Type]="Room",records_2[roomNo],records_2[roomNo]&amp;"-"&amp;SUBSTITUTE(RIGHT(records_2[roomNo]&amp;records_2[Type],2),"-",""))</f>
        <v>16-3-059</v>
      </c>
      <c r="V788" s="47" t="str">
        <f t="array" ref="V788">_xlfn.XLOOKUP(records_2[ID], dAir[roomNo], dAir[roomName])</f>
        <v>DISPENSED MATERIAL STAGING</v>
      </c>
      <c r="W788" s="47" t="str">
        <f t="array" ref="W788">_xlfn.XLOOKUP(records_2[ID], dAir[roomNo], dAir[building])</f>
        <v>Building 16</v>
      </c>
      <c r="X788" s="47" t="str">
        <f t="array" ref="X788">_xlfn.XLOOKUP(records_2[ID], dAir[roomNo], dAir[floor])</f>
        <v>Floor 3</v>
      </c>
      <c r="Y788" s="45" t="str">
        <f t="array" ref="Y788">_xlfn.XLOOKUP(records_2[ID], dAir[roomNo], dAir[Class])</f>
        <v>D</v>
      </c>
      <c r="Z788" s="45">
        <f t="array" ref="Z788">_xlfn.XLOOKUP(records_2[Method]&amp;"-"&amp;records_2[Class], dAirSpec[ID], dAirSpec[Spec])</f>
        <v>100</v>
      </c>
      <c r="AA788" s="45" t="str">
        <f t="array" ref="AA788">_xlfn.XLOOKUP(records_2[Method]&amp;"-"&amp;records_2[Class], dAirSpec[ID], dAirSpec[Unit])</f>
        <v>cfu/plate</v>
      </c>
      <c r="AB788" s="58">
        <f t="array" ref="AB788">if(R788="","", if(records_2[Method]="Active Air",_xlfn.xlookup(records_2[ColonyCount]&amp;records_2[AirSampler],feller[code],feller[Vc]),records_2[ColonyCount]))</f>
        <v>1</v>
      </c>
      <c r="AC788" s="60" t="b">
        <f t="shared" si="1"/>
        <v>1</v>
      </c>
      <c r="AD788" s="61" t="b">
        <v>0</v>
      </c>
      <c r="AE788" s="32" t="s">
        <v>280</v>
      </c>
      <c r="AF788" s="46"/>
      <c r="AG788" s="46"/>
      <c r="AH788" s="46"/>
      <c r="AI788" s="46"/>
      <c r="AJ788" s="46"/>
    </row>
    <row r="789" ht="22.5" customHeight="1">
      <c r="A789" s="27">
        <v>46165.0</v>
      </c>
      <c r="B789" s="34" t="str">
        <f t="array" ref="B789">TEXT(A789, "MM-YYYY")</f>
        <v>05-2026</v>
      </c>
      <c r="C789" s="39" t="s">
        <v>1520</v>
      </c>
      <c r="D789" s="36" t="s">
        <v>210</v>
      </c>
      <c r="E789" s="36" t="s">
        <v>213</v>
      </c>
      <c r="F789" s="29" t="b">
        <v>1</v>
      </c>
      <c r="G789" s="36" t="s">
        <v>214</v>
      </c>
      <c r="H789" s="36" t="s">
        <v>215</v>
      </c>
      <c r="I789" s="281"/>
      <c r="J789" s="282"/>
      <c r="K789" s="37" t="s">
        <v>194</v>
      </c>
      <c r="L789" s="37" t="s">
        <v>194</v>
      </c>
      <c r="M789" s="37" t="s">
        <v>194</v>
      </c>
      <c r="N789" s="37" t="s">
        <v>194</v>
      </c>
      <c r="O789" s="37" t="s">
        <v>223</v>
      </c>
      <c r="P789" s="37" t="s">
        <v>224</v>
      </c>
      <c r="Q789" s="41">
        <v>46157.0</v>
      </c>
      <c r="R789" s="42">
        <v>1.0</v>
      </c>
      <c r="S789" s="44"/>
      <c r="T789" s="37" t="s">
        <v>2506</v>
      </c>
      <c r="U789" s="45" t="str">
        <f>IF(records_2[Type]="Room",records_2[roomNo],records_2[roomNo]&amp;"-"&amp;SUBSTITUTE(RIGHT(records_2[roomNo]&amp;records_2[Type],2),"-",""))</f>
        <v>16-3-060</v>
      </c>
      <c r="V789" s="47" t="str">
        <f t="array" ref="V789">_xlfn.XLOOKUP(records_2[ID], dAir[roomNo], dAir[roomName])</f>
        <v>AIRLOCK</v>
      </c>
      <c r="W789" s="47" t="str">
        <f t="array" ref="W789">_xlfn.XLOOKUP(records_2[ID], dAir[roomNo], dAir[building])</f>
        <v>Building 16</v>
      </c>
      <c r="X789" s="47" t="str">
        <f t="array" ref="X789">_xlfn.XLOOKUP(records_2[ID], dAir[roomNo], dAir[floor])</f>
        <v>Floor 3</v>
      </c>
      <c r="Y789" s="45" t="str">
        <f t="array" ref="Y789">_xlfn.XLOOKUP(records_2[ID], dAir[roomNo], dAir[Class])</f>
        <v>D</v>
      </c>
      <c r="Z789" s="45">
        <f t="array" ref="Z789">_xlfn.XLOOKUP(records_2[Method]&amp;"-"&amp;records_2[Class], dAirSpec[ID], dAirSpec[Spec])</f>
        <v>100</v>
      </c>
      <c r="AA789" s="45" t="str">
        <f t="array" ref="AA789">_xlfn.XLOOKUP(records_2[Method]&amp;"-"&amp;records_2[Class], dAirSpec[ID], dAirSpec[Unit])</f>
        <v>cfu/plate</v>
      </c>
      <c r="AB789" s="58">
        <f t="array" ref="AB789">if(R789="","", if(records_2[Method]="Active Air",_xlfn.xlookup(records_2[ColonyCount]&amp;records_2[AirSampler],feller[code],feller[Vc]),records_2[ColonyCount]))</f>
        <v>1</v>
      </c>
      <c r="AC789" s="60" t="b">
        <f t="shared" si="1"/>
        <v>1</v>
      </c>
      <c r="AD789" s="61" t="b">
        <v>0</v>
      </c>
      <c r="AE789" s="32" t="s">
        <v>280</v>
      </c>
      <c r="AF789" s="46"/>
      <c r="AG789" s="46"/>
      <c r="AH789" s="46"/>
      <c r="AI789" s="46"/>
      <c r="AJ789" s="46"/>
    </row>
    <row r="790" ht="22.5" customHeight="1">
      <c r="A790" s="27">
        <v>46165.0</v>
      </c>
      <c r="B790" s="34" t="str">
        <f t="array" ref="B790">TEXT(A790, "MM-YYYY")</f>
        <v>05-2026</v>
      </c>
      <c r="C790" s="39" t="s">
        <v>1523</v>
      </c>
      <c r="D790" s="36" t="s">
        <v>680</v>
      </c>
      <c r="E790" s="36" t="s">
        <v>213</v>
      </c>
      <c r="F790" s="29" t="b">
        <v>1</v>
      </c>
      <c r="G790" s="36" t="s">
        <v>214</v>
      </c>
      <c r="H790" s="36" t="s">
        <v>215</v>
      </c>
      <c r="I790" s="281"/>
      <c r="J790" s="282"/>
      <c r="K790" s="37" t="s">
        <v>194</v>
      </c>
      <c r="L790" s="37" t="s">
        <v>194</v>
      </c>
      <c r="M790" s="37" t="s">
        <v>194</v>
      </c>
      <c r="N790" s="37" t="s">
        <v>194</v>
      </c>
      <c r="O790" s="37" t="s">
        <v>223</v>
      </c>
      <c r="P790" s="37" t="s">
        <v>224</v>
      </c>
      <c r="Q790" s="41">
        <v>46157.0</v>
      </c>
      <c r="R790" s="42">
        <v>0.0</v>
      </c>
      <c r="S790" s="44"/>
      <c r="T790" s="37" t="s">
        <v>2506</v>
      </c>
      <c r="U790" s="45" t="str">
        <f>IF(records_2[Type]="Room",records_2[roomNo],records_2[roomNo]&amp;"-"&amp;SUBSTITUTE(RIGHT(records_2[roomNo]&amp;records_2[Type],2),"-",""))</f>
        <v>16-3-061-B</v>
      </c>
      <c r="V790" s="47" t="str">
        <f t="array" ref="V790">_xlfn.XLOOKUP(records_2[ID], dAir[roomNo], dAir[roomName])</f>
        <v>DISPENSING 1 (Booth)</v>
      </c>
      <c r="W790" s="47" t="str">
        <f t="array" ref="W790">_xlfn.XLOOKUP(records_2[ID], dAir[roomNo], dAir[building])</f>
        <v>Building 16</v>
      </c>
      <c r="X790" s="47" t="str">
        <f t="array" ref="X790">_xlfn.XLOOKUP(records_2[ID], dAir[roomNo], dAir[floor])</f>
        <v>Floor 3</v>
      </c>
      <c r="Y790" s="45" t="str">
        <f t="array" ref="Y790">_xlfn.XLOOKUP(records_2[ID], dAir[roomNo], dAir[Class])</f>
        <v>D</v>
      </c>
      <c r="Z790" s="45">
        <f t="array" ref="Z790">_xlfn.XLOOKUP(records_2[Method]&amp;"-"&amp;records_2[Class], dAirSpec[ID], dAirSpec[Spec])</f>
        <v>100</v>
      </c>
      <c r="AA790" s="45" t="str">
        <f t="array" ref="AA790">_xlfn.XLOOKUP(records_2[Method]&amp;"-"&amp;records_2[Class], dAirSpec[ID], dAirSpec[Unit])</f>
        <v>cfu/plate</v>
      </c>
      <c r="AB790" s="58">
        <f t="array" ref="AB790">if(R790="","", if(records_2[Method]="Active Air",_xlfn.xlookup(records_2[ColonyCount]&amp;records_2[AirSampler],feller[code],feller[Vc]),records_2[ColonyCount]))</f>
        <v>0</v>
      </c>
      <c r="AC790" s="60" t="b">
        <f t="shared" si="1"/>
        <v>1</v>
      </c>
      <c r="AD790" s="61" t="b">
        <v>0</v>
      </c>
      <c r="AE790" s="32" t="s">
        <v>280</v>
      </c>
      <c r="AF790" s="46"/>
      <c r="AG790" s="46"/>
      <c r="AH790" s="46"/>
      <c r="AI790" s="46"/>
      <c r="AJ790" s="46"/>
    </row>
    <row r="791" ht="22.5" customHeight="1">
      <c r="A791" s="27">
        <v>46165.0</v>
      </c>
      <c r="B791" s="34" t="str">
        <f t="array" ref="B791">TEXT(A791, "MM-YYYY")</f>
        <v>05-2026</v>
      </c>
      <c r="C791" s="39" t="s">
        <v>1523</v>
      </c>
      <c r="D791" s="36" t="s">
        <v>210</v>
      </c>
      <c r="E791" s="36" t="s">
        <v>213</v>
      </c>
      <c r="F791" s="29" t="b">
        <v>1</v>
      </c>
      <c r="G791" s="36" t="s">
        <v>214</v>
      </c>
      <c r="H791" s="36" t="s">
        <v>215</v>
      </c>
      <c r="I791" s="281"/>
      <c r="J791" s="282"/>
      <c r="K791" s="37" t="s">
        <v>194</v>
      </c>
      <c r="L791" s="37" t="s">
        <v>194</v>
      </c>
      <c r="M791" s="37" t="s">
        <v>194</v>
      </c>
      <c r="N791" s="37" t="s">
        <v>194</v>
      </c>
      <c r="O791" s="37" t="s">
        <v>223</v>
      </c>
      <c r="P791" s="37" t="s">
        <v>224</v>
      </c>
      <c r="Q791" s="41">
        <v>46157.0</v>
      </c>
      <c r="R791" s="42">
        <v>0.0</v>
      </c>
      <c r="S791" s="44"/>
      <c r="T791" s="37" t="s">
        <v>2506</v>
      </c>
      <c r="U791" s="45" t="str">
        <f>IF(records_2[Type]="Room",records_2[roomNo],records_2[roomNo]&amp;"-"&amp;SUBSTITUTE(RIGHT(records_2[roomNo]&amp;records_2[Type],2),"-",""))</f>
        <v>16-3-061</v>
      </c>
      <c r="V791" s="47" t="str">
        <f t="array" ref="V791">_xlfn.XLOOKUP(records_2[ID], dAir[roomNo], dAir[roomName])</f>
        <v>DISPENSING 1</v>
      </c>
      <c r="W791" s="47" t="str">
        <f t="array" ref="W791">_xlfn.XLOOKUP(records_2[ID], dAir[roomNo], dAir[building])</f>
        <v>Building 16</v>
      </c>
      <c r="X791" s="47" t="str">
        <f t="array" ref="X791">_xlfn.XLOOKUP(records_2[ID], dAir[roomNo], dAir[floor])</f>
        <v>Floor 3</v>
      </c>
      <c r="Y791" s="45" t="str">
        <f t="array" ref="Y791">_xlfn.XLOOKUP(records_2[ID], dAir[roomNo], dAir[Class])</f>
        <v>D</v>
      </c>
      <c r="Z791" s="45">
        <f t="array" ref="Z791">_xlfn.XLOOKUP(records_2[Method]&amp;"-"&amp;records_2[Class], dAirSpec[ID], dAirSpec[Spec])</f>
        <v>100</v>
      </c>
      <c r="AA791" s="45" t="str">
        <f t="array" ref="AA791">_xlfn.XLOOKUP(records_2[Method]&amp;"-"&amp;records_2[Class], dAirSpec[ID], dAirSpec[Unit])</f>
        <v>cfu/plate</v>
      </c>
      <c r="AB791" s="58">
        <f t="array" ref="AB791">if(R791="","", if(records_2[Method]="Active Air",_xlfn.xlookup(records_2[ColonyCount]&amp;records_2[AirSampler],feller[code],feller[Vc]),records_2[ColonyCount]))</f>
        <v>0</v>
      </c>
      <c r="AC791" s="60" t="b">
        <f t="shared" si="1"/>
        <v>1</v>
      </c>
      <c r="AD791" s="61" t="b">
        <v>0</v>
      </c>
      <c r="AE791" s="32" t="s">
        <v>280</v>
      </c>
      <c r="AF791" s="46"/>
      <c r="AG791" s="46"/>
      <c r="AH791" s="46"/>
      <c r="AI791" s="46"/>
      <c r="AJ791" s="46"/>
    </row>
    <row r="792" ht="22.5" customHeight="1">
      <c r="A792" s="27">
        <v>46165.0</v>
      </c>
      <c r="B792" s="34" t="str">
        <f t="array" ref="B792">TEXT(A792, "MM-YYYY")</f>
        <v>05-2026</v>
      </c>
      <c r="C792" s="39" t="s">
        <v>1525</v>
      </c>
      <c r="D792" s="36" t="s">
        <v>210</v>
      </c>
      <c r="E792" s="36" t="s">
        <v>213</v>
      </c>
      <c r="F792" s="29" t="b">
        <v>1</v>
      </c>
      <c r="G792" s="36" t="s">
        <v>214</v>
      </c>
      <c r="H792" s="36" t="s">
        <v>215</v>
      </c>
      <c r="I792" s="281"/>
      <c r="J792" s="282"/>
      <c r="K792" s="37" t="s">
        <v>194</v>
      </c>
      <c r="L792" s="37" t="s">
        <v>194</v>
      </c>
      <c r="M792" s="37" t="s">
        <v>194</v>
      </c>
      <c r="N792" s="37" t="s">
        <v>194</v>
      </c>
      <c r="O792" s="37" t="s">
        <v>223</v>
      </c>
      <c r="P792" s="37" t="s">
        <v>224</v>
      </c>
      <c r="Q792" s="41">
        <v>46157.0</v>
      </c>
      <c r="R792" s="42">
        <v>8.0</v>
      </c>
      <c r="S792" s="44"/>
      <c r="T792" s="37" t="s">
        <v>2506</v>
      </c>
      <c r="U792" s="45" t="str">
        <f>IF(records_2[Type]="Room",records_2[roomNo],records_2[roomNo]&amp;"-"&amp;SUBSTITUTE(RIGHT(records_2[roomNo]&amp;records_2[Type],2),"-",""))</f>
        <v>16-3-062</v>
      </c>
      <c r="V792" s="47" t="str">
        <f t="array" ref="V792">_xlfn.XLOOKUP(records_2[ID], dAir[roomNo], dAir[roomName])</f>
        <v>MAL</v>
      </c>
      <c r="W792" s="47" t="str">
        <f t="array" ref="W792">_xlfn.XLOOKUP(records_2[ID], dAir[roomNo], dAir[building])</f>
        <v>Building 16</v>
      </c>
      <c r="X792" s="47" t="str">
        <f t="array" ref="X792">_xlfn.XLOOKUP(records_2[ID], dAir[roomNo], dAir[floor])</f>
        <v>Floor 3</v>
      </c>
      <c r="Y792" s="45" t="str">
        <f t="array" ref="Y792">_xlfn.XLOOKUP(records_2[ID], dAir[roomNo], dAir[Class])</f>
        <v>D</v>
      </c>
      <c r="Z792" s="45">
        <f t="array" ref="Z792">_xlfn.XLOOKUP(records_2[Method]&amp;"-"&amp;records_2[Class], dAirSpec[ID], dAirSpec[Spec])</f>
        <v>100</v>
      </c>
      <c r="AA792" s="45" t="str">
        <f t="array" ref="AA792">_xlfn.XLOOKUP(records_2[Method]&amp;"-"&amp;records_2[Class], dAirSpec[ID], dAirSpec[Unit])</f>
        <v>cfu/plate</v>
      </c>
      <c r="AB792" s="58">
        <f t="array" ref="AB792">if(R792="","", if(records_2[Method]="Active Air",_xlfn.xlookup(records_2[ColonyCount]&amp;records_2[AirSampler],feller[code],feller[Vc]),records_2[ColonyCount]))</f>
        <v>8</v>
      </c>
      <c r="AC792" s="60" t="b">
        <f t="shared" si="1"/>
        <v>1</v>
      </c>
      <c r="AD792" s="61" t="b">
        <v>0</v>
      </c>
      <c r="AE792" s="32" t="s">
        <v>280</v>
      </c>
      <c r="AF792" s="46"/>
      <c r="AG792" s="46"/>
      <c r="AH792" s="46"/>
      <c r="AI792" s="46"/>
      <c r="AJ792" s="46"/>
    </row>
    <row r="793" ht="22.5" customHeight="1">
      <c r="A793" s="27">
        <v>46165.0</v>
      </c>
      <c r="B793" s="34" t="str">
        <f t="array" ref="B793">TEXT(A793, "MM-YYYY")</f>
        <v>05-2026</v>
      </c>
      <c r="C793" s="39" t="s">
        <v>1526</v>
      </c>
      <c r="D793" s="36" t="s">
        <v>680</v>
      </c>
      <c r="E793" s="36" t="s">
        <v>213</v>
      </c>
      <c r="F793" s="29" t="b">
        <v>1</v>
      </c>
      <c r="G793" s="36" t="s">
        <v>214</v>
      </c>
      <c r="H793" s="36" t="s">
        <v>215</v>
      </c>
      <c r="I793" s="281"/>
      <c r="J793" s="282"/>
      <c r="K793" s="37" t="s">
        <v>194</v>
      </c>
      <c r="L793" s="37" t="s">
        <v>194</v>
      </c>
      <c r="M793" s="37" t="s">
        <v>194</v>
      </c>
      <c r="N793" s="37" t="s">
        <v>194</v>
      </c>
      <c r="O793" s="37" t="s">
        <v>223</v>
      </c>
      <c r="P793" s="37" t="s">
        <v>224</v>
      </c>
      <c r="Q793" s="41">
        <v>46157.0</v>
      </c>
      <c r="R793" s="42">
        <v>4.0</v>
      </c>
      <c r="S793" s="44"/>
      <c r="T793" s="37" t="s">
        <v>2506</v>
      </c>
      <c r="U793" s="45" t="str">
        <f>IF(records_2[Type]="Room",records_2[roomNo],records_2[roomNo]&amp;"-"&amp;SUBSTITUTE(RIGHT(records_2[roomNo]&amp;records_2[Type],2),"-",""))</f>
        <v>16-3-063-B</v>
      </c>
      <c r="V793" s="47" t="str">
        <f t="array" ref="V793">_xlfn.XLOOKUP(records_2[ID], dAir[roomNo], dAir[roomName])</f>
        <v>DISPENSING 2 (Booth)</v>
      </c>
      <c r="W793" s="47" t="str">
        <f t="array" ref="W793">_xlfn.XLOOKUP(records_2[ID], dAir[roomNo], dAir[building])</f>
        <v>Building 16</v>
      </c>
      <c r="X793" s="47" t="str">
        <f t="array" ref="X793">_xlfn.XLOOKUP(records_2[ID], dAir[roomNo], dAir[floor])</f>
        <v>Floor 3</v>
      </c>
      <c r="Y793" s="45" t="str">
        <f t="array" ref="Y793">_xlfn.XLOOKUP(records_2[ID], dAir[roomNo], dAir[Class])</f>
        <v>D</v>
      </c>
      <c r="Z793" s="45">
        <f t="array" ref="Z793">_xlfn.XLOOKUP(records_2[Method]&amp;"-"&amp;records_2[Class], dAirSpec[ID], dAirSpec[Spec])</f>
        <v>100</v>
      </c>
      <c r="AA793" s="45" t="str">
        <f t="array" ref="AA793">_xlfn.XLOOKUP(records_2[Method]&amp;"-"&amp;records_2[Class], dAirSpec[ID], dAirSpec[Unit])</f>
        <v>cfu/plate</v>
      </c>
      <c r="AB793" s="58">
        <f t="array" ref="AB793">if(R793="","", if(records_2[Method]="Active Air",_xlfn.xlookup(records_2[ColonyCount]&amp;records_2[AirSampler],feller[code],feller[Vc]),records_2[ColonyCount]))</f>
        <v>4</v>
      </c>
      <c r="AC793" s="60" t="b">
        <f t="shared" si="1"/>
        <v>1</v>
      </c>
      <c r="AD793" s="61" t="b">
        <v>0</v>
      </c>
      <c r="AE793" s="32" t="s">
        <v>280</v>
      </c>
      <c r="AF793" s="46"/>
      <c r="AG793" s="46"/>
      <c r="AH793" s="46"/>
      <c r="AI793" s="46"/>
      <c r="AJ793" s="46"/>
    </row>
    <row r="794" ht="22.5" customHeight="1">
      <c r="A794" s="27">
        <v>46165.0</v>
      </c>
      <c r="B794" s="34" t="str">
        <f t="array" ref="B794">TEXT(A794, "MM-YYYY")</f>
        <v>05-2026</v>
      </c>
      <c r="C794" s="39" t="s">
        <v>1526</v>
      </c>
      <c r="D794" s="36" t="s">
        <v>210</v>
      </c>
      <c r="E794" s="36" t="s">
        <v>213</v>
      </c>
      <c r="F794" s="29" t="b">
        <v>1</v>
      </c>
      <c r="G794" s="36" t="s">
        <v>214</v>
      </c>
      <c r="H794" s="36" t="s">
        <v>215</v>
      </c>
      <c r="I794" s="281"/>
      <c r="J794" s="282"/>
      <c r="K794" s="37" t="s">
        <v>194</v>
      </c>
      <c r="L794" s="37" t="s">
        <v>194</v>
      </c>
      <c r="M794" s="37" t="s">
        <v>194</v>
      </c>
      <c r="N794" s="37" t="s">
        <v>194</v>
      </c>
      <c r="O794" s="37" t="s">
        <v>223</v>
      </c>
      <c r="P794" s="37" t="s">
        <v>224</v>
      </c>
      <c r="Q794" s="41">
        <v>46157.0</v>
      </c>
      <c r="R794" s="42">
        <v>1.0</v>
      </c>
      <c r="S794" s="44"/>
      <c r="T794" s="37" t="s">
        <v>2506</v>
      </c>
      <c r="U794" s="45" t="str">
        <f>IF(records_2[Type]="Room",records_2[roomNo],records_2[roomNo]&amp;"-"&amp;SUBSTITUTE(RIGHT(records_2[roomNo]&amp;records_2[Type],2),"-",""))</f>
        <v>16-3-063</v>
      </c>
      <c r="V794" s="47" t="str">
        <f t="array" ref="V794">_xlfn.XLOOKUP(records_2[ID], dAir[roomNo], dAir[roomName])</f>
        <v>DISPENSING 2</v>
      </c>
      <c r="W794" s="47" t="str">
        <f t="array" ref="W794">_xlfn.XLOOKUP(records_2[ID], dAir[roomNo], dAir[building])</f>
        <v>Building 16</v>
      </c>
      <c r="X794" s="47" t="str">
        <f t="array" ref="X794">_xlfn.XLOOKUP(records_2[ID], dAir[roomNo], dAir[floor])</f>
        <v>Floor 3</v>
      </c>
      <c r="Y794" s="45" t="str">
        <f t="array" ref="Y794">_xlfn.XLOOKUP(records_2[ID], dAir[roomNo], dAir[Class])</f>
        <v>D</v>
      </c>
      <c r="Z794" s="45">
        <f t="array" ref="Z794">_xlfn.XLOOKUP(records_2[Method]&amp;"-"&amp;records_2[Class], dAirSpec[ID], dAirSpec[Spec])</f>
        <v>100</v>
      </c>
      <c r="AA794" s="45" t="str">
        <f t="array" ref="AA794">_xlfn.XLOOKUP(records_2[Method]&amp;"-"&amp;records_2[Class], dAirSpec[ID], dAirSpec[Unit])</f>
        <v>cfu/plate</v>
      </c>
      <c r="AB794" s="58">
        <f t="array" ref="AB794">if(R794="","", if(records_2[Method]="Active Air",_xlfn.xlookup(records_2[ColonyCount]&amp;records_2[AirSampler],feller[code],feller[Vc]),records_2[ColonyCount]))</f>
        <v>1</v>
      </c>
      <c r="AC794" s="60" t="b">
        <f t="shared" si="1"/>
        <v>1</v>
      </c>
      <c r="AD794" s="61" t="b">
        <v>0</v>
      </c>
      <c r="AE794" s="32" t="s">
        <v>280</v>
      </c>
      <c r="AF794" s="46"/>
      <c r="AG794" s="46"/>
      <c r="AH794" s="46"/>
      <c r="AI794" s="46"/>
      <c r="AJ794" s="46"/>
    </row>
    <row r="795" ht="22.5" customHeight="1">
      <c r="A795" s="27">
        <v>46165.0</v>
      </c>
      <c r="B795" s="34" t="str">
        <f t="array" ref="B795">TEXT(A795, "MM-YYYY")</f>
        <v>05-2026</v>
      </c>
      <c r="C795" s="39" t="s">
        <v>1528</v>
      </c>
      <c r="D795" s="36" t="s">
        <v>210</v>
      </c>
      <c r="E795" s="36" t="s">
        <v>213</v>
      </c>
      <c r="F795" s="29" t="b">
        <v>1</v>
      </c>
      <c r="G795" s="36" t="s">
        <v>214</v>
      </c>
      <c r="H795" s="36" t="s">
        <v>215</v>
      </c>
      <c r="I795" s="281"/>
      <c r="J795" s="282"/>
      <c r="K795" s="37" t="s">
        <v>194</v>
      </c>
      <c r="L795" s="37" t="s">
        <v>194</v>
      </c>
      <c r="M795" s="37" t="s">
        <v>194</v>
      </c>
      <c r="N795" s="37" t="s">
        <v>194</v>
      </c>
      <c r="O795" s="37" t="s">
        <v>223</v>
      </c>
      <c r="P795" s="37" t="s">
        <v>224</v>
      </c>
      <c r="Q795" s="41">
        <v>46157.0</v>
      </c>
      <c r="R795" s="42">
        <v>0.0</v>
      </c>
      <c r="S795" s="44"/>
      <c r="T795" s="37" t="s">
        <v>2506</v>
      </c>
      <c r="U795" s="45" t="str">
        <f>IF(records_2[Type]="Room",records_2[roomNo],records_2[roomNo]&amp;"-"&amp;SUBSTITUTE(RIGHT(records_2[roomNo]&amp;records_2[Type],2),"-",""))</f>
        <v>16-3-064</v>
      </c>
      <c r="V795" s="47" t="str">
        <f t="array" ref="V795">_xlfn.XLOOKUP(records_2[ID], dAir[roomNo], dAir[roomName])</f>
        <v>AIRLOCK</v>
      </c>
      <c r="W795" s="47" t="str">
        <f t="array" ref="W795">_xlfn.XLOOKUP(records_2[ID], dAir[roomNo], dAir[building])</f>
        <v>Building 16</v>
      </c>
      <c r="X795" s="47" t="str">
        <f t="array" ref="X795">_xlfn.XLOOKUP(records_2[ID], dAir[roomNo], dAir[floor])</f>
        <v>Floor 3</v>
      </c>
      <c r="Y795" s="45" t="str">
        <f t="array" ref="Y795">_xlfn.XLOOKUP(records_2[ID], dAir[roomNo], dAir[Class])</f>
        <v>D</v>
      </c>
      <c r="Z795" s="45">
        <f t="array" ref="Z795">_xlfn.XLOOKUP(records_2[Method]&amp;"-"&amp;records_2[Class], dAirSpec[ID], dAirSpec[Spec])</f>
        <v>100</v>
      </c>
      <c r="AA795" s="45" t="str">
        <f t="array" ref="AA795">_xlfn.XLOOKUP(records_2[Method]&amp;"-"&amp;records_2[Class], dAirSpec[ID], dAirSpec[Unit])</f>
        <v>cfu/plate</v>
      </c>
      <c r="AB795" s="58">
        <f t="array" ref="AB795">if(R795="","", if(records_2[Method]="Active Air",_xlfn.xlookup(records_2[ColonyCount]&amp;records_2[AirSampler],feller[code],feller[Vc]),records_2[ColonyCount]))</f>
        <v>0</v>
      </c>
      <c r="AC795" s="60" t="b">
        <f t="shared" si="1"/>
        <v>1</v>
      </c>
      <c r="AD795" s="61" t="b">
        <v>0</v>
      </c>
      <c r="AE795" s="32" t="s">
        <v>280</v>
      </c>
      <c r="AF795" s="46"/>
      <c r="AG795" s="46"/>
      <c r="AH795" s="46"/>
      <c r="AI795" s="46"/>
      <c r="AJ795" s="46"/>
    </row>
    <row r="796" ht="22.5" customHeight="1">
      <c r="A796" s="27">
        <v>46165.0</v>
      </c>
      <c r="B796" s="34" t="str">
        <f t="array" ref="B796">TEXT(A796, "MM-YYYY")</f>
        <v>05-2026</v>
      </c>
      <c r="C796" s="39" t="s">
        <v>1529</v>
      </c>
      <c r="D796" s="36" t="s">
        <v>210</v>
      </c>
      <c r="E796" s="36" t="s">
        <v>213</v>
      </c>
      <c r="F796" s="29" t="b">
        <v>1</v>
      </c>
      <c r="G796" s="36" t="s">
        <v>214</v>
      </c>
      <c r="H796" s="36" t="s">
        <v>215</v>
      </c>
      <c r="I796" s="281"/>
      <c r="J796" s="282"/>
      <c r="K796" s="37" t="s">
        <v>194</v>
      </c>
      <c r="L796" s="37" t="s">
        <v>194</v>
      </c>
      <c r="M796" s="37" t="s">
        <v>194</v>
      </c>
      <c r="N796" s="37" t="s">
        <v>194</v>
      </c>
      <c r="O796" s="37" t="s">
        <v>223</v>
      </c>
      <c r="P796" s="37" t="s">
        <v>224</v>
      </c>
      <c r="Q796" s="41">
        <v>46157.0</v>
      </c>
      <c r="R796" s="42">
        <v>0.0</v>
      </c>
      <c r="S796" s="44"/>
      <c r="T796" s="37" t="s">
        <v>2506</v>
      </c>
      <c r="U796" s="45" t="str">
        <f>IF(records_2[Type]="Room",records_2[roomNo],records_2[roomNo]&amp;"-"&amp;SUBSTITUTE(RIGHT(records_2[roomNo]&amp;records_2[Type],2),"-",""))</f>
        <v>16-3-065</v>
      </c>
      <c r="V796" s="47" t="str">
        <f t="array" ref="V796">_xlfn.XLOOKUP(records_2[ID], dAir[roomNo], dAir[roomName])</f>
        <v>ETHANOL STORAGE</v>
      </c>
      <c r="W796" s="47" t="str">
        <f t="array" ref="W796">_xlfn.XLOOKUP(records_2[ID], dAir[roomNo], dAir[building])</f>
        <v>Building 16</v>
      </c>
      <c r="X796" s="47" t="str">
        <f t="array" ref="X796">_xlfn.XLOOKUP(records_2[ID], dAir[roomNo], dAir[floor])</f>
        <v>Floor 3</v>
      </c>
      <c r="Y796" s="45" t="str">
        <f t="array" ref="Y796">_xlfn.XLOOKUP(records_2[ID], dAir[roomNo], dAir[Class])</f>
        <v>D</v>
      </c>
      <c r="Z796" s="45">
        <f t="array" ref="Z796">_xlfn.XLOOKUP(records_2[Method]&amp;"-"&amp;records_2[Class], dAirSpec[ID], dAirSpec[Spec])</f>
        <v>100</v>
      </c>
      <c r="AA796" s="45" t="str">
        <f t="array" ref="AA796">_xlfn.XLOOKUP(records_2[Method]&amp;"-"&amp;records_2[Class], dAirSpec[ID], dAirSpec[Unit])</f>
        <v>cfu/plate</v>
      </c>
      <c r="AB796" s="58">
        <f t="array" ref="AB796">if(R796="","", if(records_2[Method]="Active Air",_xlfn.xlookup(records_2[ColonyCount]&amp;records_2[AirSampler],feller[code],feller[Vc]),records_2[ColonyCount]))</f>
        <v>0</v>
      </c>
      <c r="AC796" s="60" t="b">
        <f t="shared" si="1"/>
        <v>1</v>
      </c>
      <c r="AD796" s="61" t="b">
        <v>0</v>
      </c>
      <c r="AE796" s="32" t="s">
        <v>280</v>
      </c>
      <c r="AF796" s="46"/>
      <c r="AG796" s="46"/>
      <c r="AH796" s="46"/>
      <c r="AI796" s="46"/>
      <c r="AJ796" s="46"/>
    </row>
    <row r="797" ht="22.5" customHeight="1">
      <c r="A797" s="27">
        <v>46165.0</v>
      </c>
      <c r="B797" s="34" t="str">
        <f t="array" ref="B797">TEXT(A797, "MM-YYYY")</f>
        <v>05-2026</v>
      </c>
      <c r="C797" s="39" t="s">
        <v>1531</v>
      </c>
      <c r="D797" s="36" t="s">
        <v>210</v>
      </c>
      <c r="E797" s="36" t="s">
        <v>213</v>
      </c>
      <c r="F797" s="29" t="b">
        <v>1</v>
      </c>
      <c r="G797" s="36" t="s">
        <v>214</v>
      </c>
      <c r="H797" s="36" t="s">
        <v>215</v>
      </c>
      <c r="I797" s="281"/>
      <c r="J797" s="282"/>
      <c r="K797" s="37" t="s">
        <v>194</v>
      </c>
      <c r="L797" s="37" t="s">
        <v>194</v>
      </c>
      <c r="M797" s="37" t="s">
        <v>194</v>
      </c>
      <c r="N797" s="37" t="s">
        <v>194</v>
      </c>
      <c r="O797" s="37" t="s">
        <v>223</v>
      </c>
      <c r="P797" s="37" t="s">
        <v>224</v>
      </c>
      <c r="Q797" s="41">
        <v>46157.0</v>
      </c>
      <c r="R797" s="42">
        <v>1.0</v>
      </c>
      <c r="S797" s="44"/>
      <c r="T797" s="37" t="s">
        <v>2506</v>
      </c>
      <c r="U797" s="45" t="str">
        <f>IF(records_2[Type]="Room",records_2[roomNo],records_2[roomNo]&amp;"-"&amp;SUBSTITUTE(RIGHT(records_2[roomNo]&amp;records_2[Type],2),"-",""))</f>
        <v>16-3-066</v>
      </c>
      <c r="V797" s="47" t="str">
        <f t="array" ref="V797">_xlfn.XLOOKUP(records_2[ID], dAir[roomNo], dAir[roomName])</f>
        <v>AIRLOCK</v>
      </c>
      <c r="W797" s="47" t="str">
        <f t="array" ref="W797">_xlfn.XLOOKUP(records_2[ID], dAir[roomNo], dAir[building])</f>
        <v>Building 16</v>
      </c>
      <c r="X797" s="47" t="str">
        <f t="array" ref="X797">_xlfn.XLOOKUP(records_2[ID], dAir[roomNo], dAir[floor])</f>
        <v>Floor 3</v>
      </c>
      <c r="Y797" s="45" t="str">
        <f t="array" ref="Y797">_xlfn.XLOOKUP(records_2[ID], dAir[roomNo], dAir[Class])</f>
        <v>D</v>
      </c>
      <c r="Z797" s="45">
        <f t="array" ref="Z797">_xlfn.XLOOKUP(records_2[Method]&amp;"-"&amp;records_2[Class], dAirSpec[ID], dAirSpec[Spec])</f>
        <v>100</v>
      </c>
      <c r="AA797" s="45" t="str">
        <f t="array" ref="AA797">_xlfn.XLOOKUP(records_2[Method]&amp;"-"&amp;records_2[Class], dAirSpec[ID], dAirSpec[Unit])</f>
        <v>cfu/plate</v>
      </c>
      <c r="AB797" s="58">
        <f t="array" ref="AB797">if(R797="","", if(records_2[Method]="Active Air",_xlfn.xlookup(records_2[ColonyCount]&amp;records_2[AirSampler],feller[code],feller[Vc]),records_2[ColonyCount]))</f>
        <v>1</v>
      </c>
      <c r="AC797" s="60" t="b">
        <f t="shared" si="1"/>
        <v>1</v>
      </c>
      <c r="AD797" s="61" t="b">
        <v>0</v>
      </c>
      <c r="AE797" s="32" t="s">
        <v>280</v>
      </c>
      <c r="AF797" s="46"/>
      <c r="AG797" s="46"/>
      <c r="AH797" s="46"/>
      <c r="AI797" s="46"/>
      <c r="AJ797" s="46"/>
    </row>
    <row r="798" ht="22.5" customHeight="1">
      <c r="A798" s="27">
        <v>46165.0</v>
      </c>
      <c r="B798" s="34" t="str">
        <f t="array" ref="B798">TEXT(A798, "MM-YYYY")</f>
        <v>05-2026</v>
      </c>
      <c r="C798" s="39" t="s">
        <v>987</v>
      </c>
      <c r="D798" s="36" t="s">
        <v>210</v>
      </c>
      <c r="E798" s="36" t="s">
        <v>213</v>
      </c>
      <c r="F798" s="29" t="b">
        <v>1</v>
      </c>
      <c r="G798" s="36" t="s">
        <v>214</v>
      </c>
      <c r="H798" s="36" t="s">
        <v>215</v>
      </c>
      <c r="I798" s="281"/>
      <c r="J798" s="282"/>
      <c r="K798" s="37" t="s">
        <v>194</v>
      </c>
      <c r="L798" s="37" t="s">
        <v>194</v>
      </c>
      <c r="M798" s="37" t="s">
        <v>194</v>
      </c>
      <c r="N798" s="37" t="s">
        <v>194</v>
      </c>
      <c r="O798" s="37" t="s">
        <v>223</v>
      </c>
      <c r="P798" s="37" t="s">
        <v>224</v>
      </c>
      <c r="Q798" s="41">
        <v>46157.0</v>
      </c>
      <c r="R798" s="42">
        <v>1.0</v>
      </c>
      <c r="S798" s="44"/>
      <c r="T798" s="37" t="s">
        <v>2506</v>
      </c>
      <c r="U798" s="45" t="str">
        <f>IF(records_2[Type]="Room",records_2[roomNo],records_2[roomNo]&amp;"-"&amp;SUBSTITUTE(RIGHT(records_2[roomNo]&amp;records_2[Type],2),"-",""))</f>
        <v>16-3-067</v>
      </c>
      <c r="V798" s="47" t="str">
        <f t="array" ref="V798">_xlfn.XLOOKUP(records_2[ID], dAir[roomNo], dAir[roomName])</f>
        <v>MFG 1</v>
      </c>
      <c r="W798" s="47" t="str">
        <f t="array" ref="W798">_xlfn.XLOOKUP(records_2[ID], dAir[roomNo], dAir[building])</f>
        <v>Building 16</v>
      </c>
      <c r="X798" s="47" t="str">
        <f t="array" ref="X798">_xlfn.XLOOKUP(records_2[ID], dAir[roomNo], dAir[floor])</f>
        <v>Floor 3</v>
      </c>
      <c r="Y798" s="45" t="str">
        <f t="array" ref="Y798">_xlfn.XLOOKUP(records_2[ID], dAir[roomNo], dAir[Class])</f>
        <v>D</v>
      </c>
      <c r="Z798" s="45">
        <f t="array" ref="Z798">_xlfn.XLOOKUP(records_2[Method]&amp;"-"&amp;records_2[Class], dAirSpec[ID], dAirSpec[Spec])</f>
        <v>100</v>
      </c>
      <c r="AA798" s="45" t="str">
        <f t="array" ref="AA798">_xlfn.XLOOKUP(records_2[Method]&amp;"-"&amp;records_2[Class], dAirSpec[ID], dAirSpec[Unit])</f>
        <v>cfu/plate</v>
      </c>
      <c r="AB798" s="58">
        <f t="array" ref="AB798">if(R798="","", if(records_2[Method]="Active Air",_xlfn.xlookup(records_2[ColonyCount]&amp;records_2[AirSampler],feller[code],feller[Vc]),records_2[ColonyCount]))</f>
        <v>1</v>
      </c>
      <c r="AC798" s="60" t="b">
        <f t="shared" si="1"/>
        <v>1</v>
      </c>
      <c r="AD798" s="61" t="b">
        <v>0</v>
      </c>
      <c r="AE798" s="32" t="s">
        <v>280</v>
      </c>
      <c r="AF798" s="46"/>
      <c r="AG798" s="46"/>
      <c r="AH798" s="46"/>
      <c r="AI798" s="46"/>
      <c r="AJ798" s="46"/>
    </row>
    <row r="799" ht="22.5" customHeight="1">
      <c r="A799" s="27">
        <v>46165.0</v>
      </c>
      <c r="B799" s="34" t="str">
        <f t="array" ref="B799">TEXT(A799, "MM-YYYY")</f>
        <v>05-2026</v>
      </c>
      <c r="C799" s="39" t="s">
        <v>1532</v>
      </c>
      <c r="D799" s="36" t="s">
        <v>210</v>
      </c>
      <c r="E799" s="36" t="s">
        <v>213</v>
      </c>
      <c r="F799" s="29" t="b">
        <v>1</v>
      </c>
      <c r="G799" s="36" t="s">
        <v>214</v>
      </c>
      <c r="H799" s="36" t="s">
        <v>215</v>
      </c>
      <c r="I799" s="281"/>
      <c r="J799" s="282"/>
      <c r="K799" s="37" t="s">
        <v>194</v>
      </c>
      <c r="L799" s="37" t="s">
        <v>194</v>
      </c>
      <c r="M799" s="37" t="s">
        <v>194</v>
      </c>
      <c r="N799" s="37" t="s">
        <v>194</v>
      </c>
      <c r="O799" s="37" t="s">
        <v>223</v>
      </c>
      <c r="P799" s="37" t="s">
        <v>224</v>
      </c>
      <c r="Q799" s="41">
        <v>46157.0</v>
      </c>
      <c r="R799" s="42">
        <v>0.0</v>
      </c>
      <c r="S799" s="44"/>
      <c r="T799" s="37" t="s">
        <v>2506</v>
      </c>
      <c r="U799" s="45" t="str">
        <f>IF(records_2[Type]="Room",records_2[roomNo],records_2[roomNo]&amp;"-"&amp;SUBSTITUTE(RIGHT(records_2[roomNo]&amp;records_2[Type],2),"-",""))</f>
        <v>16-3-068</v>
      </c>
      <c r="V799" s="47" t="str">
        <f t="array" ref="V799">_xlfn.XLOOKUP(records_2[ID], dAir[roomNo], dAir[roomName])</f>
        <v>AIRLOCK</v>
      </c>
      <c r="W799" s="47" t="str">
        <f t="array" ref="W799">_xlfn.XLOOKUP(records_2[ID], dAir[roomNo], dAir[building])</f>
        <v>Building 16</v>
      </c>
      <c r="X799" s="47" t="str">
        <f t="array" ref="X799">_xlfn.XLOOKUP(records_2[ID], dAir[roomNo], dAir[floor])</f>
        <v>Floor 3</v>
      </c>
      <c r="Y799" s="45" t="str">
        <f t="array" ref="Y799">_xlfn.XLOOKUP(records_2[ID], dAir[roomNo], dAir[Class])</f>
        <v>D</v>
      </c>
      <c r="Z799" s="45">
        <f t="array" ref="Z799">_xlfn.XLOOKUP(records_2[Method]&amp;"-"&amp;records_2[Class], dAirSpec[ID], dAirSpec[Spec])</f>
        <v>100</v>
      </c>
      <c r="AA799" s="45" t="str">
        <f t="array" ref="AA799">_xlfn.XLOOKUP(records_2[Method]&amp;"-"&amp;records_2[Class], dAirSpec[ID], dAirSpec[Unit])</f>
        <v>cfu/plate</v>
      </c>
      <c r="AB799" s="58">
        <f t="array" ref="AB799">if(R799="","", if(records_2[Method]="Active Air",_xlfn.xlookup(records_2[ColonyCount]&amp;records_2[AirSampler],feller[code],feller[Vc]),records_2[ColonyCount]))</f>
        <v>0</v>
      </c>
      <c r="AC799" s="60" t="b">
        <f t="shared" si="1"/>
        <v>1</v>
      </c>
      <c r="AD799" s="61" t="b">
        <v>0</v>
      </c>
      <c r="AE799" s="32" t="s">
        <v>280</v>
      </c>
      <c r="AF799" s="46"/>
      <c r="AG799" s="46"/>
      <c r="AH799" s="46"/>
      <c r="AI799" s="46"/>
      <c r="AJ799" s="46"/>
    </row>
    <row r="800" ht="22.5" customHeight="1">
      <c r="A800" s="27">
        <v>46165.0</v>
      </c>
      <c r="B800" s="34" t="str">
        <f t="array" ref="B800">TEXT(A800, "MM-YYYY")</f>
        <v>05-2026</v>
      </c>
      <c r="C800" s="39" t="s">
        <v>1533</v>
      </c>
      <c r="D800" s="36" t="s">
        <v>210</v>
      </c>
      <c r="E800" s="36" t="s">
        <v>213</v>
      </c>
      <c r="F800" s="29" t="b">
        <v>1</v>
      </c>
      <c r="G800" s="36" t="s">
        <v>214</v>
      </c>
      <c r="H800" s="36" t="s">
        <v>215</v>
      </c>
      <c r="I800" s="281"/>
      <c r="J800" s="282"/>
      <c r="K800" s="37" t="s">
        <v>194</v>
      </c>
      <c r="L800" s="37" t="s">
        <v>194</v>
      </c>
      <c r="M800" s="37" t="s">
        <v>194</v>
      </c>
      <c r="N800" s="37" t="s">
        <v>194</v>
      </c>
      <c r="O800" s="37" t="s">
        <v>223</v>
      </c>
      <c r="P800" s="37" t="s">
        <v>224</v>
      </c>
      <c r="Q800" s="41">
        <v>46157.0</v>
      </c>
      <c r="R800" s="42">
        <v>0.0</v>
      </c>
      <c r="S800" s="44"/>
      <c r="T800" s="37" t="s">
        <v>2506</v>
      </c>
      <c r="U800" s="45" t="str">
        <f>IF(records_2[Type]="Room",records_2[roomNo],records_2[roomNo]&amp;"-"&amp;SUBSTITUTE(RIGHT(records_2[roomNo]&amp;records_2[Type],2),"-",""))</f>
        <v>16-3-069</v>
      </c>
      <c r="V800" s="47" t="str">
        <f t="array" ref="V800">_xlfn.XLOOKUP(records_2[ID], dAir[roomNo], dAir[roomName])</f>
        <v>MFG 2</v>
      </c>
      <c r="W800" s="47" t="str">
        <f t="array" ref="W800">_xlfn.XLOOKUP(records_2[ID], dAir[roomNo], dAir[building])</f>
        <v>Building 16</v>
      </c>
      <c r="X800" s="47" t="str">
        <f t="array" ref="X800">_xlfn.XLOOKUP(records_2[ID], dAir[roomNo], dAir[floor])</f>
        <v>Floor 3</v>
      </c>
      <c r="Y800" s="45" t="str">
        <f t="array" ref="Y800">_xlfn.XLOOKUP(records_2[ID], dAir[roomNo], dAir[Class])</f>
        <v>D</v>
      </c>
      <c r="Z800" s="45">
        <f t="array" ref="Z800">_xlfn.XLOOKUP(records_2[Method]&amp;"-"&amp;records_2[Class], dAirSpec[ID], dAirSpec[Spec])</f>
        <v>100</v>
      </c>
      <c r="AA800" s="45" t="str">
        <f t="array" ref="AA800">_xlfn.XLOOKUP(records_2[Method]&amp;"-"&amp;records_2[Class], dAirSpec[ID], dAirSpec[Unit])</f>
        <v>cfu/plate</v>
      </c>
      <c r="AB800" s="58">
        <f t="array" ref="AB800">if(R800="","", if(records_2[Method]="Active Air",_xlfn.xlookup(records_2[ColonyCount]&amp;records_2[AirSampler],feller[code],feller[Vc]),records_2[ColonyCount]))</f>
        <v>0</v>
      </c>
      <c r="AC800" s="60" t="b">
        <f t="shared" si="1"/>
        <v>1</v>
      </c>
      <c r="AD800" s="61" t="b">
        <v>0</v>
      </c>
      <c r="AE800" s="32" t="s">
        <v>280</v>
      </c>
      <c r="AF800" s="46"/>
      <c r="AG800" s="46"/>
      <c r="AH800" s="46"/>
      <c r="AI800" s="46"/>
      <c r="AJ800" s="46"/>
    </row>
    <row r="801" ht="22.5" customHeight="1">
      <c r="A801" s="27">
        <v>46165.0</v>
      </c>
      <c r="B801" s="34" t="str">
        <f t="array" ref="B801">TEXT(A801, "MM-YYYY")</f>
        <v>05-2026</v>
      </c>
      <c r="C801" s="39" t="s">
        <v>1534</v>
      </c>
      <c r="D801" s="36" t="s">
        <v>210</v>
      </c>
      <c r="E801" s="36" t="s">
        <v>213</v>
      </c>
      <c r="F801" s="29" t="b">
        <v>1</v>
      </c>
      <c r="G801" s="36" t="s">
        <v>214</v>
      </c>
      <c r="H801" s="36" t="s">
        <v>215</v>
      </c>
      <c r="I801" s="281"/>
      <c r="J801" s="282"/>
      <c r="K801" s="37" t="s">
        <v>194</v>
      </c>
      <c r="L801" s="37" t="s">
        <v>194</v>
      </c>
      <c r="M801" s="37" t="s">
        <v>194</v>
      </c>
      <c r="N801" s="37" t="s">
        <v>194</v>
      </c>
      <c r="O801" s="37" t="s">
        <v>223</v>
      </c>
      <c r="P801" s="37" t="s">
        <v>224</v>
      </c>
      <c r="Q801" s="41">
        <v>46157.0</v>
      </c>
      <c r="R801" s="42">
        <v>0.0</v>
      </c>
      <c r="S801" s="44"/>
      <c r="T801" s="37" t="s">
        <v>2506</v>
      </c>
      <c r="U801" s="45" t="str">
        <f>IF(records_2[Type]="Room",records_2[roomNo],records_2[roomNo]&amp;"-"&amp;SUBSTITUTE(RIGHT(records_2[roomNo]&amp;records_2[Type],2),"-",""))</f>
        <v>16-3-070</v>
      </c>
      <c r="V801" s="47" t="str">
        <f t="array" ref="V801">_xlfn.XLOOKUP(records_2[ID], dAir[roomNo], dAir[roomName])</f>
        <v>AIRLOCK</v>
      </c>
      <c r="W801" s="47" t="str">
        <f t="array" ref="W801">_xlfn.XLOOKUP(records_2[ID], dAir[roomNo], dAir[building])</f>
        <v>Building 16</v>
      </c>
      <c r="X801" s="47" t="str">
        <f t="array" ref="X801">_xlfn.XLOOKUP(records_2[ID], dAir[roomNo], dAir[floor])</f>
        <v>Floor 3</v>
      </c>
      <c r="Y801" s="45" t="str">
        <f t="array" ref="Y801">_xlfn.XLOOKUP(records_2[ID], dAir[roomNo], dAir[Class])</f>
        <v>D</v>
      </c>
      <c r="Z801" s="45">
        <f t="array" ref="Z801">_xlfn.XLOOKUP(records_2[Method]&amp;"-"&amp;records_2[Class], dAirSpec[ID], dAirSpec[Spec])</f>
        <v>100</v>
      </c>
      <c r="AA801" s="45" t="str">
        <f t="array" ref="AA801">_xlfn.XLOOKUP(records_2[Method]&amp;"-"&amp;records_2[Class], dAirSpec[ID], dAirSpec[Unit])</f>
        <v>cfu/plate</v>
      </c>
      <c r="AB801" s="58">
        <f t="array" ref="AB801">if(R801="","", if(records_2[Method]="Active Air",_xlfn.xlookup(records_2[ColonyCount]&amp;records_2[AirSampler],feller[code],feller[Vc]),records_2[ColonyCount]))</f>
        <v>0</v>
      </c>
      <c r="AC801" s="60" t="b">
        <f t="shared" si="1"/>
        <v>1</v>
      </c>
      <c r="AD801" s="61" t="b">
        <v>0</v>
      </c>
      <c r="AE801" s="32" t="s">
        <v>280</v>
      </c>
      <c r="AF801" s="46"/>
      <c r="AG801" s="46"/>
      <c r="AH801" s="46"/>
      <c r="AI801" s="46"/>
      <c r="AJ801" s="46"/>
    </row>
    <row r="802" ht="22.5" customHeight="1">
      <c r="A802" s="27">
        <v>46165.0</v>
      </c>
      <c r="B802" s="34" t="str">
        <f t="array" ref="B802">TEXT(A802, "MM-YYYY")</f>
        <v>05-2026</v>
      </c>
      <c r="C802" s="39" t="s">
        <v>989</v>
      </c>
      <c r="D802" s="36" t="s">
        <v>210</v>
      </c>
      <c r="E802" s="36" t="s">
        <v>213</v>
      </c>
      <c r="F802" s="29" t="b">
        <v>1</v>
      </c>
      <c r="G802" s="36" t="s">
        <v>214</v>
      </c>
      <c r="H802" s="36" t="s">
        <v>215</v>
      </c>
      <c r="I802" s="281"/>
      <c r="J802" s="282"/>
      <c r="K802" s="37" t="s">
        <v>194</v>
      </c>
      <c r="L802" s="37" t="s">
        <v>194</v>
      </c>
      <c r="M802" s="37" t="s">
        <v>194</v>
      </c>
      <c r="N802" s="37" t="s">
        <v>194</v>
      </c>
      <c r="O802" s="37" t="s">
        <v>223</v>
      </c>
      <c r="P802" s="37" t="s">
        <v>224</v>
      </c>
      <c r="Q802" s="41">
        <v>46157.0</v>
      </c>
      <c r="R802" s="42">
        <v>1.0</v>
      </c>
      <c r="S802" s="44"/>
      <c r="T802" s="37" t="s">
        <v>2506</v>
      </c>
      <c r="U802" s="45" t="str">
        <f>IF(records_2[Type]="Room",records_2[roomNo],records_2[roomNo]&amp;"-"&amp;SUBSTITUTE(RIGHT(records_2[roomNo]&amp;records_2[Type],2),"-",""))</f>
        <v>16-3-071</v>
      </c>
      <c r="V802" s="47" t="str">
        <f t="array" ref="V802">_xlfn.XLOOKUP(records_2[ID], dAir[roomNo], dAir[roomName])</f>
        <v>MFG 3</v>
      </c>
      <c r="W802" s="47" t="str">
        <f t="array" ref="W802">_xlfn.XLOOKUP(records_2[ID], dAir[roomNo], dAir[building])</f>
        <v>Building 16</v>
      </c>
      <c r="X802" s="47" t="str">
        <f t="array" ref="X802">_xlfn.XLOOKUP(records_2[ID], dAir[roomNo], dAir[floor])</f>
        <v>Floor 3</v>
      </c>
      <c r="Y802" s="45" t="str">
        <f t="array" ref="Y802">_xlfn.XLOOKUP(records_2[ID], dAir[roomNo], dAir[Class])</f>
        <v>D</v>
      </c>
      <c r="Z802" s="45">
        <f t="array" ref="Z802">_xlfn.XLOOKUP(records_2[Method]&amp;"-"&amp;records_2[Class], dAirSpec[ID], dAirSpec[Spec])</f>
        <v>100</v>
      </c>
      <c r="AA802" s="45" t="str">
        <f t="array" ref="AA802">_xlfn.XLOOKUP(records_2[Method]&amp;"-"&amp;records_2[Class], dAirSpec[ID], dAirSpec[Unit])</f>
        <v>cfu/plate</v>
      </c>
      <c r="AB802" s="58">
        <f t="array" ref="AB802">if(R802="","", if(records_2[Method]="Active Air",_xlfn.xlookup(records_2[ColonyCount]&amp;records_2[AirSampler],feller[code],feller[Vc]),records_2[ColonyCount]))</f>
        <v>1</v>
      </c>
      <c r="AC802" s="60" t="b">
        <f t="shared" si="1"/>
        <v>1</v>
      </c>
      <c r="AD802" s="61" t="b">
        <v>0</v>
      </c>
      <c r="AE802" s="32" t="s">
        <v>280</v>
      </c>
      <c r="AF802" s="46"/>
      <c r="AG802" s="46"/>
      <c r="AH802" s="46"/>
      <c r="AI802" s="46"/>
      <c r="AJ802" s="46"/>
    </row>
    <row r="803" ht="22.5" customHeight="1">
      <c r="A803" s="27">
        <v>46165.0</v>
      </c>
      <c r="B803" s="34" t="str">
        <f t="array" ref="B803">TEXT(A803, "MM-YYYY")</f>
        <v>05-2026</v>
      </c>
      <c r="C803" s="39" t="s">
        <v>1535</v>
      </c>
      <c r="D803" s="36" t="s">
        <v>210</v>
      </c>
      <c r="E803" s="36" t="s">
        <v>213</v>
      </c>
      <c r="F803" s="29" t="b">
        <v>1</v>
      </c>
      <c r="G803" s="36" t="s">
        <v>214</v>
      </c>
      <c r="H803" s="36" t="s">
        <v>215</v>
      </c>
      <c r="I803" s="281"/>
      <c r="J803" s="282"/>
      <c r="K803" s="37" t="s">
        <v>194</v>
      </c>
      <c r="L803" s="37" t="s">
        <v>194</v>
      </c>
      <c r="M803" s="37" t="s">
        <v>194</v>
      </c>
      <c r="N803" s="37" t="s">
        <v>194</v>
      </c>
      <c r="O803" s="37" t="s">
        <v>223</v>
      </c>
      <c r="P803" s="37" t="s">
        <v>224</v>
      </c>
      <c r="Q803" s="41">
        <v>46157.0</v>
      </c>
      <c r="R803" s="42">
        <v>0.0</v>
      </c>
      <c r="S803" s="44"/>
      <c r="T803" s="37" t="s">
        <v>2506</v>
      </c>
      <c r="U803" s="45" t="str">
        <f>IF(records_2[Type]="Room",records_2[roomNo],records_2[roomNo]&amp;"-"&amp;SUBSTITUTE(RIGHT(records_2[roomNo]&amp;records_2[Type],2),"-",""))</f>
        <v>16-3-072</v>
      </c>
      <c r="V803" s="47" t="str">
        <f t="array" ref="V803">_xlfn.XLOOKUP(records_2[ID], dAir[roomNo], dAir[roomName])</f>
        <v>AIRLOCK</v>
      </c>
      <c r="W803" s="47" t="str">
        <f t="array" ref="W803">_xlfn.XLOOKUP(records_2[ID], dAir[roomNo], dAir[building])</f>
        <v>Building 16</v>
      </c>
      <c r="X803" s="47" t="str">
        <f t="array" ref="X803">_xlfn.XLOOKUP(records_2[ID], dAir[roomNo], dAir[floor])</f>
        <v>Floor 3</v>
      </c>
      <c r="Y803" s="45" t="str">
        <f t="array" ref="Y803">_xlfn.XLOOKUP(records_2[ID], dAir[roomNo], dAir[Class])</f>
        <v>D</v>
      </c>
      <c r="Z803" s="45">
        <f t="array" ref="Z803">_xlfn.XLOOKUP(records_2[Method]&amp;"-"&amp;records_2[Class], dAirSpec[ID], dAirSpec[Spec])</f>
        <v>100</v>
      </c>
      <c r="AA803" s="45" t="str">
        <f t="array" ref="AA803">_xlfn.XLOOKUP(records_2[Method]&amp;"-"&amp;records_2[Class], dAirSpec[ID], dAirSpec[Unit])</f>
        <v>cfu/plate</v>
      </c>
      <c r="AB803" s="58">
        <f t="array" ref="AB803">if(R803="","", if(records_2[Method]="Active Air",_xlfn.xlookup(records_2[ColonyCount]&amp;records_2[AirSampler],feller[code],feller[Vc]),records_2[ColonyCount]))</f>
        <v>0</v>
      </c>
      <c r="AC803" s="60" t="b">
        <f t="shared" si="1"/>
        <v>1</v>
      </c>
      <c r="AD803" s="61" t="b">
        <v>0</v>
      </c>
      <c r="AE803" s="32" t="s">
        <v>280</v>
      </c>
      <c r="AF803" s="46"/>
      <c r="AG803" s="46"/>
      <c r="AH803" s="46"/>
      <c r="AI803" s="46"/>
      <c r="AJ803" s="46"/>
    </row>
    <row r="804" ht="22.5" customHeight="1">
      <c r="A804" s="27">
        <v>46165.0</v>
      </c>
      <c r="B804" s="34" t="str">
        <f t="array" ref="B804">TEXT(A804, "MM-YYYY")</f>
        <v>05-2026</v>
      </c>
      <c r="C804" s="39" t="s">
        <v>990</v>
      </c>
      <c r="D804" s="36" t="s">
        <v>210</v>
      </c>
      <c r="E804" s="36" t="s">
        <v>213</v>
      </c>
      <c r="F804" s="29" t="b">
        <v>1</v>
      </c>
      <c r="G804" s="36" t="s">
        <v>214</v>
      </c>
      <c r="H804" s="36" t="s">
        <v>215</v>
      </c>
      <c r="I804" s="281"/>
      <c r="J804" s="282"/>
      <c r="K804" s="37" t="s">
        <v>194</v>
      </c>
      <c r="L804" s="37" t="s">
        <v>194</v>
      </c>
      <c r="M804" s="37" t="s">
        <v>194</v>
      </c>
      <c r="N804" s="37" t="s">
        <v>194</v>
      </c>
      <c r="O804" s="37" t="s">
        <v>223</v>
      </c>
      <c r="P804" s="37" t="s">
        <v>224</v>
      </c>
      <c r="Q804" s="41">
        <v>46157.0</v>
      </c>
      <c r="R804" s="42">
        <v>0.0</v>
      </c>
      <c r="S804" s="44"/>
      <c r="T804" s="37" t="s">
        <v>2506</v>
      </c>
      <c r="U804" s="45" t="str">
        <f>IF(records_2[Type]="Room",records_2[roomNo],records_2[roomNo]&amp;"-"&amp;SUBSTITUTE(RIGHT(records_2[roomNo]&amp;records_2[Type],2),"-",""))</f>
        <v>16-3-073</v>
      </c>
      <c r="V804" s="47" t="str">
        <f t="array" ref="V804">_xlfn.XLOOKUP(records_2[ID], dAir[roomNo], dAir[roomName])</f>
        <v>MFG 4</v>
      </c>
      <c r="W804" s="47" t="str">
        <f t="array" ref="W804">_xlfn.XLOOKUP(records_2[ID], dAir[roomNo], dAir[building])</f>
        <v>Building 16</v>
      </c>
      <c r="X804" s="47" t="str">
        <f t="array" ref="X804">_xlfn.XLOOKUP(records_2[ID], dAir[roomNo], dAir[floor])</f>
        <v>Floor 3</v>
      </c>
      <c r="Y804" s="45" t="str">
        <f t="array" ref="Y804">_xlfn.XLOOKUP(records_2[ID], dAir[roomNo], dAir[Class])</f>
        <v>D</v>
      </c>
      <c r="Z804" s="45">
        <f t="array" ref="Z804">_xlfn.XLOOKUP(records_2[Method]&amp;"-"&amp;records_2[Class], dAirSpec[ID], dAirSpec[Spec])</f>
        <v>100</v>
      </c>
      <c r="AA804" s="45" t="str">
        <f t="array" ref="AA804">_xlfn.XLOOKUP(records_2[Method]&amp;"-"&amp;records_2[Class], dAirSpec[ID], dAirSpec[Unit])</f>
        <v>cfu/plate</v>
      </c>
      <c r="AB804" s="58">
        <f t="array" ref="AB804">if(R804="","", if(records_2[Method]="Active Air",_xlfn.xlookup(records_2[ColonyCount]&amp;records_2[AirSampler],feller[code],feller[Vc]),records_2[ColonyCount]))</f>
        <v>0</v>
      </c>
      <c r="AC804" s="60" t="b">
        <f t="shared" si="1"/>
        <v>1</v>
      </c>
      <c r="AD804" s="61" t="b">
        <v>0</v>
      </c>
      <c r="AE804" s="32" t="s">
        <v>280</v>
      </c>
      <c r="AF804" s="46"/>
      <c r="AG804" s="46"/>
      <c r="AH804" s="46"/>
      <c r="AI804" s="46"/>
      <c r="AJ804" s="46"/>
    </row>
    <row r="805" ht="22.5" customHeight="1">
      <c r="A805" s="27">
        <v>46165.0</v>
      </c>
      <c r="B805" s="34" t="str">
        <f t="array" ref="B805">TEXT(A805, "MM-YYYY")</f>
        <v>05-2026</v>
      </c>
      <c r="C805" s="39" t="s">
        <v>1536</v>
      </c>
      <c r="D805" s="36" t="s">
        <v>210</v>
      </c>
      <c r="E805" s="36" t="s">
        <v>213</v>
      </c>
      <c r="F805" s="29" t="b">
        <v>1</v>
      </c>
      <c r="G805" s="36" t="s">
        <v>214</v>
      </c>
      <c r="H805" s="36" t="s">
        <v>215</v>
      </c>
      <c r="I805" s="281"/>
      <c r="J805" s="282"/>
      <c r="K805" s="37" t="s">
        <v>194</v>
      </c>
      <c r="L805" s="37" t="s">
        <v>194</v>
      </c>
      <c r="M805" s="37" t="s">
        <v>194</v>
      </c>
      <c r="N805" s="37" t="s">
        <v>194</v>
      </c>
      <c r="O805" s="37" t="s">
        <v>223</v>
      </c>
      <c r="P805" s="37" t="s">
        <v>224</v>
      </c>
      <c r="Q805" s="41">
        <v>46157.0</v>
      </c>
      <c r="R805" s="42">
        <v>0.0</v>
      </c>
      <c r="S805" s="44"/>
      <c r="T805" s="37" t="s">
        <v>2506</v>
      </c>
      <c r="U805" s="45" t="str">
        <f>IF(records_2[Type]="Room",records_2[roomNo],records_2[roomNo]&amp;"-"&amp;SUBSTITUTE(RIGHT(records_2[roomNo]&amp;records_2[Type],2),"-",""))</f>
        <v>16-3-074</v>
      </c>
      <c r="V805" s="47" t="str">
        <f t="array" ref="V805">_xlfn.XLOOKUP(records_2[ID], dAir[roomNo], dAir[roomName])</f>
        <v>AIRLOCK</v>
      </c>
      <c r="W805" s="47" t="str">
        <f t="array" ref="W805">_xlfn.XLOOKUP(records_2[ID], dAir[roomNo], dAir[building])</f>
        <v>Building 16</v>
      </c>
      <c r="X805" s="47" t="str">
        <f t="array" ref="X805">_xlfn.XLOOKUP(records_2[ID], dAir[roomNo], dAir[floor])</f>
        <v>Floor 3</v>
      </c>
      <c r="Y805" s="45" t="str">
        <f t="array" ref="Y805">_xlfn.XLOOKUP(records_2[ID], dAir[roomNo], dAir[Class])</f>
        <v>D</v>
      </c>
      <c r="Z805" s="45">
        <f t="array" ref="Z805">_xlfn.XLOOKUP(records_2[Method]&amp;"-"&amp;records_2[Class], dAirSpec[ID], dAirSpec[Spec])</f>
        <v>100</v>
      </c>
      <c r="AA805" s="45" t="str">
        <f t="array" ref="AA805">_xlfn.XLOOKUP(records_2[Method]&amp;"-"&amp;records_2[Class], dAirSpec[ID], dAirSpec[Unit])</f>
        <v>cfu/plate</v>
      </c>
      <c r="AB805" s="58">
        <f t="array" ref="AB805">if(R805="","", if(records_2[Method]="Active Air",_xlfn.xlookup(records_2[ColonyCount]&amp;records_2[AirSampler],feller[code],feller[Vc]),records_2[ColonyCount]))</f>
        <v>0</v>
      </c>
      <c r="AC805" s="60" t="b">
        <f t="shared" si="1"/>
        <v>1</v>
      </c>
      <c r="AD805" s="61" t="b">
        <v>0</v>
      </c>
      <c r="AE805" s="32" t="s">
        <v>280</v>
      </c>
      <c r="AF805" s="46"/>
      <c r="AG805" s="46"/>
      <c r="AH805" s="46"/>
      <c r="AI805" s="46"/>
      <c r="AJ805" s="46"/>
    </row>
    <row r="806" ht="22.5" customHeight="1">
      <c r="A806" s="27">
        <v>46165.0</v>
      </c>
      <c r="B806" s="34" t="str">
        <f t="array" ref="B806">TEXT(A806, "MM-YYYY")</f>
        <v>05-2026</v>
      </c>
      <c r="C806" s="39" t="s">
        <v>991</v>
      </c>
      <c r="D806" s="36" t="s">
        <v>210</v>
      </c>
      <c r="E806" s="36" t="s">
        <v>213</v>
      </c>
      <c r="F806" s="29" t="b">
        <v>1</v>
      </c>
      <c r="G806" s="36" t="s">
        <v>214</v>
      </c>
      <c r="H806" s="36" t="s">
        <v>215</v>
      </c>
      <c r="I806" s="281"/>
      <c r="J806" s="282"/>
      <c r="K806" s="37" t="s">
        <v>194</v>
      </c>
      <c r="L806" s="37" t="s">
        <v>194</v>
      </c>
      <c r="M806" s="37" t="s">
        <v>194</v>
      </c>
      <c r="N806" s="37" t="s">
        <v>194</v>
      </c>
      <c r="O806" s="37" t="s">
        <v>223</v>
      </c>
      <c r="P806" s="37" t="s">
        <v>224</v>
      </c>
      <c r="Q806" s="41">
        <v>46157.0</v>
      </c>
      <c r="R806" s="42">
        <v>0.0</v>
      </c>
      <c r="S806" s="44"/>
      <c r="T806" s="37" t="s">
        <v>2506</v>
      </c>
      <c r="U806" s="45" t="str">
        <f>IF(records_2[Type]="Room",records_2[roomNo],records_2[roomNo]&amp;"-"&amp;SUBSTITUTE(RIGHT(records_2[roomNo]&amp;records_2[Type],2),"-",""))</f>
        <v>16-3-075</v>
      </c>
      <c r="V806" s="47" t="str">
        <f t="array" ref="V806">_xlfn.XLOOKUP(records_2[ID], dAir[roomNo], dAir[roomName])</f>
        <v>MFG 5</v>
      </c>
      <c r="W806" s="47" t="str">
        <f t="array" ref="W806">_xlfn.XLOOKUP(records_2[ID], dAir[roomNo], dAir[building])</f>
        <v>Building 16</v>
      </c>
      <c r="X806" s="47" t="str">
        <f t="array" ref="X806">_xlfn.XLOOKUP(records_2[ID], dAir[roomNo], dAir[floor])</f>
        <v>Floor 3</v>
      </c>
      <c r="Y806" s="45" t="str">
        <f t="array" ref="Y806">_xlfn.XLOOKUP(records_2[ID], dAir[roomNo], dAir[Class])</f>
        <v>D</v>
      </c>
      <c r="Z806" s="45">
        <f t="array" ref="Z806">_xlfn.XLOOKUP(records_2[Method]&amp;"-"&amp;records_2[Class], dAirSpec[ID], dAirSpec[Spec])</f>
        <v>100</v>
      </c>
      <c r="AA806" s="45" t="str">
        <f t="array" ref="AA806">_xlfn.XLOOKUP(records_2[Method]&amp;"-"&amp;records_2[Class], dAirSpec[ID], dAirSpec[Unit])</f>
        <v>cfu/plate</v>
      </c>
      <c r="AB806" s="58">
        <f t="array" ref="AB806">if(R806="","", if(records_2[Method]="Active Air",_xlfn.xlookup(records_2[ColonyCount]&amp;records_2[AirSampler],feller[code],feller[Vc]),records_2[ColonyCount]))</f>
        <v>0</v>
      </c>
      <c r="AC806" s="60" t="b">
        <f t="shared" si="1"/>
        <v>1</v>
      </c>
      <c r="AD806" s="61" t="b">
        <v>0</v>
      </c>
      <c r="AE806" s="32" t="s">
        <v>280</v>
      </c>
      <c r="AF806" s="46"/>
      <c r="AG806" s="46"/>
      <c r="AH806" s="46"/>
      <c r="AI806" s="46"/>
      <c r="AJ806" s="46"/>
    </row>
    <row r="807" ht="22.5" customHeight="1">
      <c r="A807" s="27">
        <v>46165.0</v>
      </c>
      <c r="B807" s="34" t="str">
        <f t="array" ref="B807">TEXT(A807, "MM-YYYY")</f>
        <v>05-2026</v>
      </c>
      <c r="C807" s="39" t="s">
        <v>1537</v>
      </c>
      <c r="D807" s="36" t="s">
        <v>210</v>
      </c>
      <c r="E807" s="36" t="s">
        <v>213</v>
      </c>
      <c r="F807" s="29" t="b">
        <v>1</v>
      </c>
      <c r="G807" s="36" t="s">
        <v>214</v>
      </c>
      <c r="H807" s="36" t="s">
        <v>215</v>
      </c>
      <c r="I807" s="281"/>
      <c r="J807" s="282"/>
      <c r="K807" s="37" t="s">
        <v>194</v>
      </c>
      <c r="L807" s="37" t="s">
        <v>194</v>
      </c>
      <c r="M807" s="37" t="s">
        <v>194</v>
      </c>
      <c r="N807" s="37" t="s">
        <v>194</v>
      </c>
      <c r="O807" s="37" t="s">
        <v>223</v>
      </c>
      <c r="P807" s="37" t="s">
        <v>224</v>
      </c>
      <c r="Q807" s="41">
        <v>46157.0</v>
      </c>
      <c r="R807" s="42">
        <v>0.0</v>
      </c>
      <c r="S807" s="44"/>
      <c r="T807" s="37" t="s">
        <v>2506</v>
      </c>
      <c r="U807" s="45" t="str">
        <f>IF(records_2[Type]="Room",records_2[roomNo],records_2[roomNo]&amp;"-"&amp;SUBSTITUTE(RIGHT(records_2[roomNo]&amp;records_2[Type],2),"-",""))</f>
        <v>16-3-076</v>
      </c>
      <c r="V807" s="47" t="str">
        <f t="array" ref="V807">_xlfn.XLOOKUP(records_2[ID], dAir[roomNo], dAir[roomName])</f>
        <v>AIRLOCK</v>
      </c>
      <c r="W807" s="47" t="str">
        <f t="array" ref="W807">_xlfn.XLOOKUP(records_2[ID], dAir[roomNo], dAir[building])</f>
        <v>Building 16</v>
      </c>
      <c r="X807" s="47" t="str">
        <f t="array" ref="X807">_xlfn.XLOOKUP(records_2[ID], dAir[roomNo], dAir[floor])</f>
        <v>Floor 3</v>
      </c>
      <c r="Y807" s="45" t="str">
        <f t="array" ref="Y807">_xlfn.XLOOKUP(records_2[ID], dAir[roomNo], dAir[Class])</f>
        <v>D</v>
      </c>
      <c r="Z807" s="45">
        <f t="array" ref="Z807">_xlfn.XLOOKUP(records_2[Method]&amp;"-"&amp;records_2[Class], dAirSpec[ID], dAirSpec[Spec])</f>
        <v>100</v>
      </c>
      <c r="AA807" s="45" t="str">
        <f t="array" ref="AA807">_xlfn.XLOOKUP(records_2[Method]&amp;"-"&amp;records_2[Class], dAirSpec[ID], dAirSpec[Unit])</f>
        <v>cfu/plate</v>
      </c>
      <c r="AB807" s="58">
        <f t="array" ref="AB807">if(R807="","", if(records_2[Method]="Active Air",_xlfn.xlookup(records_2[ColonyCount]&amp;records_2[AirSampler],feller[code],feller[Vc]),records_2[ColonyCount]))</f>
        <v>0</v>
      </c>
      <c r="AC807" s="60" t="b">
        <f t="shared" si="1"/>
        <v>1</v>
      </c>
      <c r="AD807" s="61" t="b">
        <v>0</v>
      </c>
      <c r="AE807" s="32" t="s">
        <v>280</v>
      </c>
      <c r="AF807" s="46"/>
      <c r="AG807" s="46"/>
      <c r="AH807" s="46"/>
      <c r="AI807" s="46"/>
      <c r="AJ807" s="46"/>
    </row>
    <row r="808" ht="22.5" customHeight="1">
      <c r="A808" s="27">
        <v>46165.0</v>
      </c>
      <c r="B808" s="34" t="str">
        <f t="array" ref="B808">TEXT(A808, "MM-YYYY")</f>
        <v>05-2026</v>
      </c>
      <c r="C808" s="39" t="s">
        <v>1538</v>
      </c>
      <c r="D808" s="36" t="s">
        <v>210</v>
      </c>
      <c r="E808" s="36" t="s">
        <v>213</v>
      </c>
      <c r="F808" s="29" t="b">
        <v>1</v>
      </c>
      <c r="G808" s="36" t="s">
        <v>214</v>
      </c>
      <c r="H808" s="36" t="s">
        <v>215</v>
      </c>
      <c r="I808" s="281"/>
      <c r="J808" s="282"/>
      <c r="K808" s="37" t="s">
        <v>194</v>
      </c>
      <c r="L808" s="37" t="s">
        <v>194</v>
      </c>
      <c r="M808" s="37" t="s">
        <v>194</v>
      </c>
      <c r="N808" s="37" t="s">
        <v>194</v>
      </c>
      <c r="O808" s="37" t="s">
        <v>223</v>
      </c>
      <c r="P808" s="37" t="s">
        <v>224</v>
      </c>
      <c r="Q808" s="41">
        <v>46157.0</v>
      </c>
      <c r="R808" s="42">
        <v>0.0</v>
      </c>
      <c r="S808" s="44"/>
      <c r="T808" s="37" t="s">
        <v>2506</v>
      </c>
      <c r="U808" s="45" t="str">
        <f>IF(records_2[Type]="Room",records_2[roomNo],records_2[roomNo]&amp;"-"&amp;SUBSTITUTE(RIGHT(records_2[roomNo]&amp;records_2[Type],2),"-",""))</f>
        <v>16-3-077</v>
      </c>
      <c r="V808" s="47" t="str">
        <f t="array" ref="V808">_xlfn.XLOOKUP(records_2[ID], dAir[roomNo], dAir[roomName])</f>
        <v>MFG 6</v>
      </c>
      <c r="W808" s="47" t="str">
        <f t="array" ref="W808">_xlfn.XLOOKUP(records_2[ID], dAir[roomNo], dAir[building])</f>
        <v>Building 16</v>
      </c>
      <c r="X808" s="47" t="str">
        <f t="array" ref="X808">_xlfn.XLOOKUP(records_2[ID], dAir[roomNo], dAir[floor])</f>
        <v>Floor 3</v>
      </c>
      <c r="Y808" s="45" t="str">
        <f t="array" ref="Y808">_xlfn.XLOOKUP(records_2[ID], dAir[roomNo], dAir[Class])</f>
        <v>D</v>
      </c>
      <c r="Z808" s="45">
        <f t="array" ref="Z808">_xlfn.XLOOKUP(records_2[Method]&amp;"-"&amp;records_2[Class], dAirSpec[ID], dAirSpec[Spec])</f>
        <v>100</v>
      </c>
      <c r="AA808" s="45" t="str">
        <f t="array" ref="AA808">_xlfn.XLOOKUP(records_2[Method]&amp;"-"&amp;records_2[Class], dAirSpec[ID], dAirSpec[Unit])</f>
        <v>cfu/plate</v>
      </c>
      <c r="AB808" s="58">
        <f t="array" ref="AB808">if(R808="","", if(records_2[Method]="Active Air",_xlfn.xlookup(records_2[ColonyCount]&amp;records_2[AirSampler],feller[code],feller[Vc]),records_2[ColonyCount]))</f>
        <v>0</v>
      </c>
      <c r="AC808" s="60" t="b">
        <f t="shared" si="1"/>
        <v>1</v>
      </c>
      <c r="AD808" s="61" t="b">
        <v>0</v>
      </c>
      <c r="AE808" s="32" t="s">
        <v>280</v>
      </c>
      <c r="AF808" s="46"/>
      <c r="AG808" s="46"/>
      <c r="AH808" s="46"/>
      <c r="AI808" s="46"/>
      <c r="AJ808" s="46"/>
    </row>
    <row r="809" ht="22.5" customHeight="1">
      <c r="A809" s="27">
        <v>46165.0</v>
      </c>
      <c r="B809" s="34" t="str">
        <f t="array" ref="B809">TEXT(A809, "MM-YYYY")</f>
        <v>05-2026</v>
      </c>
      <c r="C809" s="39" t="s">
        <v>1540</v>
      </c>
      <c r="D809" s="36" t="s">
        <v>210</v>
      </c>
      <c r="E809" s="36" t="s">
        <v>213</v>
      </c>
      <c r="F809" s="29" t="b">
        <v>1</v>
      </c>
      <c r="G809" s="36" t="s">
        <v>214</v>
      </c>
      <c r="H809" s="36" t="s">
        <v>215</v>
      </c>
      <c r="I809" s="281"/>
      <c r="J809" s="282"/>
      <c r="K809" s="37" t="s">
        <v>194</v>
      </c>
      <c r="L809" s="37" t="s">
        <v>194</v>
      </c>
      <c r="M809" s="37" t="s">
        <v>194</v>
      </c>
      <c r="N809" s="37" t="s">
        <v>194</v>
      </c>
      <c r="O809" s="37" t="s">
        <v>223</v>
      </c>
      <c r="P809" s="37" t="s">
        <v>224</v>
      </c>
      <c r="Q809" s="41">
        <v>46157.0</v>
      </c>
      <c r="R809" s="42">
        <v>1.0</v>
      </c>
      <c r="S809" s="44"/>
      <c r="T809" s="37" t="s">
        <v>2506</v>
      </c>
      <c r="U809" s="45" t="str">
        <f>IF(records_2[Type]="Room",records_2[roomNo],records_2[roomNo]&amp;"-"&amp;SUBSTITUTE(RIGHT(records_2[roomNo]&amp;records_2[Type],2),"-",""))</f>
        <v>16-3-078</v>
      </c>
      <c r="V809" s="47" t="str">
        <f t="array" ref="V809">_xlfn.XLOOKUP(records_2[ID], dAir[roomNo], dAir[roomName])</f>
        <v>CORRIDOR</v>
      </c>
      <c r="W809" s="47" t="str">
        <f t="array" ref="W809">_xlfn.XLOOKUP(records_2[ID], dAir[roomNo], dAir[building])</f>
        <v>Building 16</v>
      </c>
      <c r="X809" s="47" t="str">
        <f t="array" ref="X809">_xlfn.XLOOKUP(records_2[ID], dAir[roomNo], dAir[floor])</f>
        <v>Floor 3</v>
      </c>
      <c r="Y809" s="45" t="str">
        <f t="array" ref="Y809">_xlfn.XLOOKUP(records_2[ID], dAir[roomNo], dAir[Class])</f>
        <v>D</v>
      </c>
      <c r="Z809" s="45">
        <f t="array" ref="Z809">_xlfn.XLOOKUP(records_2[Method]&amp;"-"&amp;records_2[Class], dAirSpec[ID], dAirSpec[Spec])</f>
        <v>100</v>
      </c>
      <c r="AA809" s="45" t="str">
        <f t="array" ref="AA809">_xlfn.XLOOKUP(records_2[Method]&amp;"-"&amp;records_2[Class], dAirSpec[ID], dAirSpec[Unit])</f>
        <v>cfu/plate</v>
      </c>
      <c r="AB809" s="58">
        <f t="array" ref="AB809">if(R809="","", if(records_2[Method]="Active Air",_xlfn.xlookup(records_2[ColonyCount]&amp;records_2[AirSampler],feller[code],feller[Vc]),records_2[ColonyCount]))</f>
        <v>1</v>
      </c>
      <c r="AC809" s="60" t="b">
        <f t="shared" si="1"/>
        <v>1</v>
      </c>
      <c r="AD809" s="61" t="b">
        <v>0</v>
      </c>
      <c r="AE809" s="32" t="s">
        <v>280</v>
      </c>
      <c r="AF809" s="46"/>
      <c r="AG809" s="46"/>
      <c r="AH809" s="46"/>
      <c r="AI809" s="46"/>
      <c r="AJ809" s="46"/>
    </row>
    <row r="810" ht="22.5" customHeight="1">
      <c r="A810" s="27">
        <v>46165.0</v>
      </c>
      <c r="B810" s="34" t="str">
        <f t="array" ref="B810">TEXT(A810, "MM-YYYY")</f>
        <v>05-2026</v>
      </c>
      <c r="C810" s="39" t="s">
        <v>1541</v>
      </c>
      <c r="D810" s="36" t="s">
        <v>210</v>
      </c>
      <c r="E810" s="36" t="s">
        <v>213</v>
      </c>
      <c r="F810" s="29" t="b">
        <v>1</v>
      </c>
      <c r="G810" s="36" t="s">
        <v>214</v>
      </c>
      <c r="H810" s="36" t="s">
        <v>215</v>
      </c>
      <c r="I810" s="281"/>
      <c r="J810" s="282"/>
      <c r="K810" s="37" t="s">
        <v>194</v>
      </c>
      <c r="L810" s="37" t="s">
        <v>194</v>
      </c>
      <c r="M810" s="37" t="s">
        <v>194</v>
      </c>
      <c r="N810" s="37" t="s">
        <v>194</v>
      </c>
      <c r="O810" s="37" t="s">
        <v>223</v>
      </c>
      <c r="P810" s="37" t="s">
        <v>224</v>
      </c>
      <c r="Q810" s="41">
        <v>46157.0</v>
      </c>
      <c r="R810" s="42">
        <v>0.0</v>
      </c>
      <c r="S810" s="44"/>
      <c r="T810" s="37" t="s">
        <v>2506</v>
      </c>
      <c r="U810" s="45" t="str">
        <f>IF(records_2[Type]="Room",records_2[roomNo],records_2[roomNo]&amp;"-"&amp;SUBSTITUTE(RIGHT(records_2[roomNo]&amp;records_2[Type],2),"-",""))</f>
        <v>16-3-079</v>
      </c>
      <c r="V810" s="47" t="str">
        <f t="array" ref="V810">_xlfn.XLOOKUP(records_2[ID], dAir[roomNo], dAir[roomName])</f>
        <v>CORRIDOR</v>
      </c>
      <c r="W810" s="47" t="str">
        <f t="array" ref="W810">_xlfn.XLOOKUP(records_2[ID], dAir[roomNo], dAir[building])</f>
        <v>Building 16</v>
      </c>
      <c r="X810" s="47" t="str">
        <f t="array" ref="X810">_xlfn.XLOOKUP(records_2[ID], dAir[roomNo], dAir[floor])</f>
        <v>Floor 3</v>
      </c>
      <c r="Y810" s="45" t="str">
        <f t="array" ref="Y810">_xlfn.XLOOKUP(records_2[ID], dAir[roomNo], dAir[Class])</f>
        <v>D</v>
      </c>
      <c r="Z810" s="45">
        <f t="array" ref="Z810">_xlfn.XLOOKUP(records_2[Method]&amp;"-"&amp;records_2[Class], dAirSpec[ID], dAirSpec[Spec])</f>
        <v>100</v>
      </c>
      <c r="AA810" s="45" t="str">
        <f t="array" ref="AA810">_xlfn.XLOOKUP(records_2[Method]&amp;"-"&amp;records_2[Class], dAirSpec[ID], dAirSpec[Unit])</f>
        <v>cfu/plate</v>
      </c>
      <c r="AB810" s="58">
        <f t="array" ref="AB810">if(R810="","", if(records_2[Method]="Active Air",_xlfn.xlookup(records_2[ColonyCount]&amp;records_2[AirSampler],feller[code],feller[Vc]),records_2[ColonyCount]))</f>
        <v>0</v>
      </c>
      <c r="AC810" s="60" t="b">
        <f t="shared" si="1"/>
        <v>1</v>
      </c>
      <c r="AD810" s="61" t="b">
        <v>0</v>
      </c>
      <c r="AE810" s="32" t="s">
        <v>280</v>
      </c>
      <c r="AF810" s="46"/>
      <c r="AG810" s="46"/>
      <c r="AH810" s="46"/>
      <c r="AI810" s="46"/>
      <c r="AJ810" s="46"/>
    </row>
    <row r="811" ht="22.5" customHeight="1">
      <c r="A811" s="27">
        <v>46165.0</v>
      </c>
      <c r="B811" s="34" t="str">
        <f t="array" ref="B811">TEXT(A811, "MM-YYYY")</f>
        <v>05-2026</v>
      </c>
      <c r="C811" s="39" t="s">
        <v>994</v>
      </c>
      <c r="D811" s="36" t="s">
        <v>210</v>
      </c>
      <c r="E811" s="36" t="s">
        <v>213</v>
      </c>
      <c r="F811" s="29" t="b">
        <v>1</v>
      </c>
      <c r="G811" s="36" t="s">
        <v>214</v>
      </c>
      <c r="H811" s="36" t="s">
        <v>215</v>
      </c>
      <c r="I811" s="281"/>
      <c r="J811" s="282"/>
      <c r="K811" s="37" t="s">
        <v>194</v>
      </c>
      <c r="L811" s="37" t="s">
        <v>194</v>
      </c>
      <c r="M811" s="37" t="s">
        <v>194</v>
      </c>
      <c r="N811" s="37" t="s">
        <v>194</v>
      </c>
      <c r="O811" s="37" t="s">
        <v>223</v>
      </c>
      <c r="P811" s="37" t="s">
        <v>224</v>
      </c>
      <c r="Q811" s="41">
        <v>46157.0</v>
      </c>
      <c r="R811" s="42">
        <v>0.0</v>
      </c>
      <c r="S811" s="44"/>
      <c r="T811" s="37" t="s">
        <v>2506</v>
      </c>
      <c r="U811" s="45" t="str">
        <f>IF(records_2[Type]="Room",records_2[roomNo],records_2[roomNo]&amp;"-"&amp;SUBSTITUTE(RIGHT(records_2[roomNo]&amp;records_2[Type],2),"-",""))</f>
        <v>16-3-080</v>
      </c>
      <c r="V811" s="47" t="str">
        <f t="array" ref="V811">_xlfn.XLOOKUP(records_2[ID], dAir[roomNo], dAir[roomName])</f>
        <v>STAGING 6</v>
      </c>
      <c r="W811" s="47" t="str">
        <f t="array" ref="W811">_xlfn.XLOOKUP(records_2[ID], dAir[roomNo], dAir[building])</f>
        <v>Building 16</v>
      </c>
      <c r="X811" s="47" t="str">
        <f t="array" ref="X811">_xlfn.XLOOKUP(records_2[ID], dAir[roomNo], dAir[floor])</f>
        <v>Floor 3</v>
      </c>
      <c r="Y811" s="45" t="str">
        <f t="array" ref="Y811">_xlfn.XLOOKUP(records_2[ID], dAir[roomNo], dAir[Class])</f>
        <v>D</v>
      </c>
      <c r="Z811" s="45">
        <f t="array" ref="Z811">_xlfn.XLOOKUP(records_2[Method]&amp;"-"&amp;records_2[Class], dAirSpec[ID], dAirSpec[Spec])</f>
        <v>100</v>
      </c>
      <c r="AA811" s="45" t="str">
        <f t="array" ref="AA811">_xlfn.XLOOKUP(records_2[Method]&amp;"-"&amp;records_2[Class], dAirSpec[ID], dAirSpec[Unit])</f>
        <v>cfu/plate</v>
      </c>
      <c r="AB811" s="58">
        <f t="array" ref="AB811">if(R811="","", if(records_2[Method]="Active Air",_xlfn.xlookup(records_2[ColonyCount]&amp;records_2[AirSampler],feller[code],feller[Vc]),records_2[ColonyCount]))</f>
        <v>0</v>
      </c>
      <c r="AC811" s="60" t="b">
        <f t="shared" si="1"/>
        <v>1</v>
      </c>
      <c r="AD811" s="61" t="b">
        <v>0</v>
      </c>
      <c r="AE811" s="32" t="s">
        <v>280</v>
      </c>
      <c r="AF811" s="46"/>
      <c r="AG811" s="46"/>
      <c r="AH811" s="46"/>
      <c r="AI811" s="46"/>
      <c r="AJ811" s="46"/>
    </row>
    <row r="812" ht="22.5" customHeight="1">
      <c r="A812" s="27">
        <v>46165.0</v>
      </c>
      <c r="B812" s="34" t="str">
        <f t="array" ref="B812">TEXT(A812, "MM-YYYY")</f>
        <v>05-2026</v>
      </c>
      <c r="C812" s="39" t="s">
        <v>1542</v>
      </c>
      <c r="D812" s="36" t="s">
        <v>210</v>
      </c>
      <c r="E812" s="36" t="s">
        <v>213</v>
      </c>
      <c r="F812" s="29" t="b">
        <v>1</v>
      </c>
      <c r="G812" s="36" t="s">
        <v>214</v>
      </c>
      <c r="H812" s="36" t="s">
        <v>215</v>
      </c>
      <c r="I812" s="281"/>
      <c r="J812" s="282"/>
      <c r="K812" s="37" t="s">
        <v>194</v>
      </c>
      <c r="L812" s="37" t="s">
        <v>194</v>
      </c>
      <c r="M812" s="37" t="s">
        <v>194</v>
      </c>
      <c r="N812" s="37" t="s">
        <v>194</v>
      </c>
      <c r="O812" s="37" t="s">
        <v>223</v>
      </c>
      <c r="P812" s="37" t="s">
        <v>224</v>
      </c>
      <c r="Q812" s="41">
        <v>46157.0</v>
      </c>
      <c r="R812" s="42">
        <v>0.0</v>
      </c>
      <c r="S812" s="44"/>
      <c r="T812" s="37" t="s">
        <v>2506</v>
      </c>
      <c r="U812" s="45" t="str">
        <f>IF(records_2[Type]="Room",records_2[roomNo],records_2[roomNo]&amp;"-"&amp;SUBSTITUTE(RIGHT(records_2[roomNo]&amp;records_2[Type],2),"-",""))</f>
        <v>16-3-081</v>
      </c>
      <c r="V812" s="47" t="str">
        <f t="array" ref="V812">_xlfn.XLOOKUP(records_2[ID], dAir[roomNo], dAir[roomName])</f>
        <v>OFFICE</v>
      </c>
      <c r="W812" s="47" t="str">
        <f t="array" ref="W812">_xlfn.XLOOKUP(records_2[ID], dAir[roomNo], dAir[building])</f>
        <v>Building 16</v>
      </c>
      <c r="X812" s="47" t="str">
        <f t="array" ref="X812">_xlfn.XLOOKUP(records_2[ID], dAir[roomNo], dAir[floor])</f>
        <v>Floor 3</v>
      </c>
      <c r="Y812" s="45" t="str">
        <f t="array" ref="Y812">_xlfn.XLOOKUP(records_2[ID], dAir[roomNo], dAir[Class])</f>
        <v>D</v>
      </c>
      <c r="Z812" s="45">
        <f t="array" ref="Z812">_xlfn.XLOOKUP(records_2[Method]&amp;"-"&amp;records_2[Class], dAirSpec[ID], dAirSpec[Spec])</f>
        <v>100</v>
      </c>
      <c r="AA812" s="45" t="str">
        <f t="array" ref="AA812">_xlfn.XLOOKUP(records_2[Method]&amp;"-"&amp;records_2[Class], dAirSpec[ID], dAirSpec[Unit])</f>
        <v>cfu/plate</v>
      </c>
      <c r="AB812" s="58">
        <f t="array" ref="AB812">if(R812="","", if(records_2[Method]="Active Air",_xlfn.xlookup(records_2[ColonyCount]&amp;records_2[AirSampler],feller[code],feller[Vc]),records_2[ColonyCount]))</f>
        <v>0</v>
      </c>
      <c r="AC812" s="60" t="b">
        <f t="shared" si="1"/>
        <v>1</v>
      </c>
      <c r="AD812" s="61" t="b">
        <v>0</v>
      </c>
      <c r="AE812" s="32" t="s">
        <v>280</v>
      </c>
      <c r="AF812" s="46"/>
      <c r="AG812" s="46"/>
      <c r="AH812" s="46"/>
      <c r="AI812" s="46"/>
      <c r="AJ812" s="46"/>
    </row>
    <row r="813" ht="22.5" customHeight="1">
      <c r="A813" s="27">
        <v>46165.0</v>
      </c>
      <c r="B813" s="34" t="str">
        <f t="array" ref="B813">TEXT(A813, "MM-YYYY")</f>
        <v>05-2026</v>
      </c>
      <c r="C813" s="39" t="s">
        <v>1543</v>
      </c>
      <c r="D813" s="36" t="s">
        <v>210</v>
      </c>
      <c r="E813" s="36" t="s">
        <v>213</v>
      </c>
      <c r="F813" s="29" t="b">
        <v>1</v>
      </c>
      <c r="G813" s="36" t="s">
        <v>214</v>
      </c>
      <c r="H813" s="36" t="s">
        <v>215</v>
      </c>
      <c r="I813" s="281"/>
      <c r="J813" s="282"/>
      <c r="K813" s="37" t="s">
        <v>194</v>
      </c>
      <c r="L813" s="37" t="s">
        <v>194</v>
      </c>
      <c r="M813" s="37" t="s">
        <v>194</v>
      </c>
      <c r="N813" s="37" t="s">
        <v>194</v>
      </c>
      <c r="O813" s="37" t="s">
        <v>223</v>
      </c>
      <c r="P813" s="37" t="s">
        <v>224</v>
      </c>
      <c r="Q813" s="41">
        <v>46157.0</v>
      </c>
      <c r="R813" s="42">
        <v>1.0</v>
      </c>
      <c r="S813" s="44"/>
      <c r="T813" s="37" t="s">
        <v>2506</v>
      </c>
      <c r="U813" s="45" t="str">
        <f>IF(records_2[Type]="Room",records_2[roomNo],records_2[roomNo]&amp;"-"&amp;SUBSTITUTE(RIGHT(records_2[roomNo]&amp;records_2[Type],2),"-",""))</f>
        <v>16-3-082</v>
      </c>
      <c r="V813" s="47" t="str">
        <f t="array" ref="V813">_xlfn.XLOOKUP(records_2[ID], dAir[roomNo], dAir[roomName])</f>
        <v>AIRLOCK</v>
      </c>
      <c r="W813" s="47" t="str">
        <f t="array" ref="W813">_xlfn.XLOOKUP(records_2[ID], dAir[roomNo], dAir[building])</f>
        <v>Building 16</v>
      </c>
      <c r="X813" s="47" t="str">
        <f t="array" ref="X813">_xlfn.XLOOKUP(records_2[ID], dAir[roomNo], dAir[floor])</f>
        <v>Floor 3</v>
      </c>
      <c r="Y813" s="45" t="str">
        <f t="array" ref="Y813">_xlfn.XLOOKUP(records_2[ID], dAir[roomNo], dAir[Class])</f>
        <v>D</v>
      </c>
      <c r="Z813" s="45">
        <f t="array" ref="Z813">_xlfn.XLOOKUP(records_2[Method]&amp;"-"&amp;records_2[Class], dAirSpec[ID], dAirSpec[Spec])</f>
        <v>100</v>
      </c>
      <c r="AA813" s="45" t="str">
        <f t="array" ref="AA813">_xlfn.XLOOKUP(records_2[Method]&amp;"-"&amp;records_2[Class], dAirSpec[ID], dAirSpec[Unit])</f>
        <v>cfu/plate</v>
      </c>
      <c r="AB813" s="58">
        <f t="array" ref="AB813">if(R813="","", if(records_2[Method]="Active Air",_xlfn.xlookup(records_2[ColonyCount]&amp;records_2[AirSampler],feller[code],feller[Vc]),records_2[ColonyCount]))</f>
        <v>1</v>
      </c>
      <c r="AC813" s="60" t="b">
        <f t="shared" si="1"/>
        <v>1</v>
      </c>
      <c r="AD813" s="61" t="b">
        <v>0</v>
      </c>
      <c r="AE813" s="32" t="s">
        <v>280</v>
      </c>
      <c r="AF813" s="46"/>
      <c r="AG813" s="46"/>
      <c r="AH813" s="46"/>
      <c r="AI813" s="46"/>
      <c r="AJ813" s="46"/>
    </row>
    <row r="814" ht="22.5" customHeight="1">
      <c r="A814" s="27">
        <v>46165.0</v>
      </c>
      <c r="B814" s="34" t="str">
        <f t="array" ref="B814">TEXT(A814, "MM-YYYY")</f>
        <v>05-2026</v>
      </c>
      <c r="C814" s="39" t="s">
        <v>996</v>
      </c>
      <c r="D814" s="36" t="s">
        <v>210</v>
      </c>
      <c r="E814" s="36" t="s">
        <v>213</v>
      </c>
      <c r="F814" s="29" t="b">
        <v>1</v>
      </c>
      <c r="G814" s="36" t="s">
        <v>214</v>
      </c>
      <c r="H814" s="36" t="s">
        <v>215</v>
      </c>
      <c r="I814" s="281"/>
      <c r="J814" s="282"/>
      <c r="K814" s="37" t="s">
        <v>194</v>
      </c>
      <c r="L814" s="37" t="s">
        <v>194</v>
      </c>
      <c r="M814" s="37" t="s">
        <v>194</v>
      </c>
      <c r="N814" s="37" t="s">
        <v>194</v>
      </c>
      <c r="O814" s="37" t="s">
        <v>223</v>
      </c>
      <c r="P814" s="37" t="s">
        <v>224</v>
      </c>
      <c r="Q814" s="41">
        <v>46157.0</v>
      </c>
      <c r="R814" s="42">
        <v>0.0</v>
      </c>
      <c r="S814" s="44"/>
      <c r="T814" s="37" t="s">
        <v>2506</v>
      </c>
      <c r="U814" s="45" t="str">
        <f>IF(records_2[Type]="Room",records_2[roomNo],records_2[roomNo]&amp;"-"&amp;SUBSTITUTE(RIGHT(records_2[roomNo]&amp;records_2[Type],2),"-",""))</f>
        <v>16-3-083</v>
      </c>
      <c r="V814" s="47" t="str">
        <f t="array" ref="V814">_xlfn.XLOOKUP(records_2[ID], dAir[roomNo], dAir[roomName])</f>
        <v>STAGING 5</v>
      </c>
      <c r="W814" s="47" t="str">
        <f t="array" ref="W814">_xlfn.XLOOKUP(records_2[ID], dAir[roomNo], dAir[building])</f>
        <v>Building 16</v>
      </c>
      <c r="X814" s="47" t="str">
        <f t="array" ref="X814">_xlfn.XLOOKUP(records_2[ID], dAir[roomNo], dAir[floor])</f>
        <v>Floor 3</v>
      </c>
      <c r="Y814" s="45" t="str">
        <f t="array" ref="Y814">_xlfn.XLOOKUP(records_2[ID], dAir[roomNo], dAir[Class])</f>
        <v>D</v>
      </c>
      <c r="Z814" s="45">
        <f t="array" ref="Z814">_xlfn.XLOOKUP(records_2[Method]&amp;"-"&amp;records_2[Class], dAirSpec[ID], dAirSpec[Spec])</f>
        <v>100</v>
      </c>
      <c r="AA814" s="45" t="str">
        <f t="array" ref="AA814">_xlfn.XLOOKUP(records_2[Method]&amp;"-"&amp;records_2[Class], dAirSpec[ID], dAirSpec[Unit])</f>
        <v>cfu/plate</v>
      </c>
      <c r="AB814" s="58">
        <f t="array" ref="AB814">if(R814="","", if(records_2[Method]="Active Air",_xlfn.xlookup(records_2[ColonyCount]&amp;records_2[AirSampler],feller[code],feller[Vc]),records_2[ColonyCount]))</f>
        <v>0</v>
      </c>
      <c r="AC814" s="60" t="b">
        <f t="shared" si="1"/>
        <v>1</v>
      </c>
      <c r="AD814" s="61" t="b">
        <v>0</v>
      </c>
      <c r="AE814" s="32" t="s">
        <v>280</v>
      </c>
      <c r="AF814" s="46"/>
      <c r="AG814" s="46"/>
      <c r="AH814" s="46"/>
      <c r="AI814" s="46"/>
      <c r="AJ814" s="46"/>
    </row>
    <row r="815" ht="22.5" customHeight="1">
      <c r="A815" s="27">
        <v>46165.0</v>
      </c>
      <c r="B815" s="34" t="str">
        <f t="array" ref="B815">TEXT(A815, "MM-YYYY")</f>
        <v>05-2026</v>
      </c>
      <c r="C815" s="39" t="s">
        <v>1544</v>
      </c>
      <c r="D815" s="36" t="s">
        <v>210</v>
      </c>
      <c r="E815" s="36" t="s">
        <v>213</v>
      </c>
      <c r="F815" s="29" t="b">
        <v>1</v>
      </c>
      <c r="G815" s="36" t="s">
        <v>214</v>
      </c>
      <c r="H815" s="36" t="s">
        <v>215</v>
      </c>
      <c r="I815" s="281"/>
      <c r="J815" s="282"/>
      <c r="K815" s="37" t="s">
        <v>194</v>
      </c>
      <c r="L815" s="37" t="s">
        <v>194</v>
      </c>
      <c r="M815" s="37" t="s">
        <v>194</v>
      </c>
      <c r="N815" s="37" t="s">
        <v>194</v>
      </c>
      <c r="O815" s="37" t="s">
        <v>223</v>
      </c>
      <c r="P815" s="37" t="s">
        <v>224</v>
      </c>
      <c r="Q815" s="41">
        <v>46157.0</v>
      </c>
      <c r="R815" s="42">
        <v>2.0</v>
      </c>
      <c r="S815" s="44"/>
      <c r="T815" s="37" t="s">
        <v>2506</v>
      </c>
      <c r="U815" s="45" t="str">
        <f>IF(records_2[Type]="Room",records_2[roomNo],records_2[roomNo]&amp;"-"&amp;SUBSTITUTE(RIGHT(records_2[roomNo]&amp;records_2[Type],2),"-",""))</f>
        <v>16-3-084</v>
      </c>
      <c r="V815" s="47" t="str">
        <f t="array" ref="V815">_xlfn.XLOOKUP(records_2[ID], dAir[roomNo], dAir[roomName])</f>
        <v>IPQC</v>
      </c>
      <c r="W815" s="47" t="str">
        <f t="array" ref="W815">_xlfn.XLOOKUP(records_2[ID], dAir[roomNo], dAir[building])</f>
        <v>Building 16</v>
      </c>
      <c r="X815" s="47" t="str">
        <f t="array" ref="X815">_xlfn.XLOOKUP(records_2[ID], dAir[roomNo], dAir[floor])</f>
        <v>Floor 3</v>
      </c>
      <c r="Y815" s="45" t="str">
        <f t="array" ref="Y815">_xlfn.XLOOKUP(records_2[ID], dAir[roomNo], dAir[Class])</f>
        <v>D</v>
      </c>
      <c r="Z815" s="45">
        <f t="array" ref="Z815">_xlfn.XLOOKUP(records_2[Method]&amp;"-"&amp;records_2[Class], dAirSpec[ID], dAirSpec[Spec])</f>
        <v>100</v>
      </c>
      <c r="AA815" s="45" t="str">
        <f t="array" ref="AA815">_xlfn.XLOOKUP(records_2[Method]&amp;"-"&amp;records_2[Class], dAirSpec[ID], dAirSpec[Unit])</f>
        <v>cfu/plate</v>
      </c>
      <c r="AB815" s="58">
        <f t="array" ref="AB815">if(R815="","", if(records_2[Method]="Active Air",_xlfn.xlookup(records_2[ColonyCount]&amp;records_2[AirSampler],feller[code],feller[Vc]),records_2[ColonyCount]))</f>
        <v>2</v>
      </c>
      <c r="AC815" s="60" t="b">
        <f t="shared" si="1"/>
        <v>1</v>
      </c>
      <c r="AD815" s="61" t="b">
        <v>0</v>
      </c>
      <c r="AE815" s="32" t="s">
        <v>280</v>
      </c>
      <c r="AF815" s="46"/>
      <c r="AG815" s="46"/>
      <c r="AH815" s="46"/>
      <c r="AI815" s="46"/>
      <c r="AJ815" s="46"/>
    </row>
    <row r="816" ht="22.5" customHeight="1">
      <c r="A816" s="27">
        <v>46165.0</v>
      </c>
      <c r="B816" s="34" t="str">
        <f t="array" ref="B816">TEXT(A816, "MM-YYYY")</f>
        <v>05-2026</v>
      </c>
      <c r="C816" s="39" t="s">
        <v>998</v>
      </c>
      <c r="D816" s="36" t="s">
        <v>210</v>
      </c>
      <c r="E816" s="36" t="s">
        <v>213</v>
      </c>
      <c r="F816" s="29" t="b">
        <v>1</v>
      </c>
      <c r="G816" s="36" t="s">
        <v>214</v>
      </c>
      <c r="H816" s="36" t="s">
        <v>215</v>
      </c>
      <c r="I816" s="281"/>
      <c r="J816" s="282"/>
      <c r="K816" s="37" t="s">
        <v>194</v>
      </c>
      <c r="L816" s="37" t="s">
        <v>194</v>
      </c>
      <c r="M816" s="37" t="s">
        <v>194</v>
      </c>
      <c r="N816" s="37" t="s">
        <v>194</v>
      </c>
      <c r="O816" s="37" t="s">
        <v>223</v>
      </c>
      <c r="P816" s="37" t="s">
        <v>224</v>
      </c>
      <c r="Q816" s="41">
        <v>46157.0</v>
      </c>
      <c r="R816" s="42">
        <v>2.0</v>
      </c>
      <c r="S816" s="44"/>
      <c r="T816" s="37" t="s">
        <v>2506</v>
      </c>
      <c r="U816" s="45" t="str">
        <f>IF(records_2[Type]="Room",records_2[roomNo],records_2[roomNo]&amp;"-"&amp;SUBSTITUTE(RIGHT(records_2[roomNo]&amp;records_2[Type],2),"-",""))</f>
        <v>16-3-085</v>
      </c>
      <c r="V816" s="47" t="str">
        <f t="array" ref="V816">_xlfn.XLOOKUP(records_2[ID], dAir[roomNo], dAir[roomName])</f>
        <v>CIP 3</v>
      </c>
      <c r="W816" s="47" t="str">
        <f t="array" ref="W816">_xlfn.XLOOKUP(records_2[ID], dAir[roomNo], dAir[building])</f>
        <v>Building 16</v>
      </c>
      <c r="X816" s="47" t="str">
        <f t="array" ref="X816">_xlfn.XLOOKUP(records_2[ID], dAir[roomNo], dAir[floor])</f>
        <v>Floor 3</v>
      </c>
      <c r="Y816" s="45" t="str">
        <f t="array" ref="Y816">_xlfn.XLOOKUP(records_2[ID], dAir[roomNo], dAir[Class])</f>
        <v>D</v>
      </c>
      <c r="Z816" s="45">
        <f t="array" ref="Z816">_xlfn.XLOOKUP(records_2[Method]&amp;"-"&amp;records_2[Class], dAirSpec[ID], dAirSpec[Spec])</f>
        <v>100</v>
      </c>
      <c r="AA816" s="45" t="str">
        <f t="array" ref="AA816">_xlfn.XLOOKUP(records_2[Method]&amp;"-"&amp;records_2[Class], dAirSpec[ID], dAirSpec[Unit])</f>
        <v>cfu/plate</v>
      </c>
      <c r="AB816" s="58">
        <f t="array" ref="AB816">if(R816="","", if(records_2[Method]="Active Air",_xlfn.xlookup(records_2[ColonyCount]&amp;records_2[AirSampler],feller[code],feller[Vc]),records_2[ColonyCount]))</f>
        <v>2</v>
      </c>
      <c r="AC816" s="60" t="b">
        <f t="shared" si="1"/>
        <v>1</v>
      </c>
      <c r="AD816" s="61" t="b">
        <v>0</v>
      </c>
      <c r="AE816" s="32" t="s">
        <v>280</v>
      </c>
      <c r="AF816" s="46"/>
      <c r="AG816" s="46"/>
      <c r="AH816" s="46"/>
      <c r="AI816" s="46"/>
      <c r="AJ816" s="46"/>
    </row>
    <row r="817" ht="22.5" customHeight="1">
      <c r="A817" s="27">
        <v>46165.0</v>
      </c>
      <c r="B817" s="34" t="str">
        <f t="array" ref="B817">TEXT(A817, "MM-YYYY")</f>
        <v>05-2026</v>
      </c>
      <c r="C817" s="39" t="s">
        <v>1000</v>
      </c>
      <c r="D817" s="36" t="s">
        <v>210</v>
      </c>
      <c r="E817" s="36" t="s">
        <v>213</v>
      </c>
      <c r="F817" s="29" t="b">
        <v>1</v>
      </c>
      <c r="G817" s="36" t="s">
        <v>214</v>
      </c>
      <c r="H817" s="36" t="s">
        <v>215</v>
      </c>
      <c r="I817" s="281"/>
      <c r="J817" s="282"/>
      <c r="K817" s="37" t="s">
        <v>194</v>
      </c>
      <c r="L817" s="37" t="s">
        <v>194</v>
      </c>
      <c r="M817" s="37" t="s">
        <v>194</v>
      </c>
      <c r="N817" s="37" t="s">
        <v>194</v>
      </c>
      <c r="O817" s="37" t="s">
        <v>223</v>
      </c>
      <c r="P817" s="37" t="s">
        <v>224</v>
      </c>
      <c r="Q817" s="41">
        <v>46157.0</v>
      </c>
      <c r="R817" s="42">
        <v>0.0</v>
      </c>
      <c r="S817" s="44"/>
      <c r="T817" s="37" t="s">
        <v>2506</v>
      </c>
      <c r="U817" s="45" t="str">
        <f>IF(records_2[Type]="Room",records_2[roomNo],records_2[roomNo]&amp;"-"&amp;SUBSTITUTE(RIGHT(records_2[roomNo]&amp;records_2[Type],2),"-",""))</f>
        <v>16-3-086</v>
      </c>
      <c r="V817" s="47" t="str">
        <f t="array" ref="V817">_xlfn.XLOOKUP(records_2[ID], dAir[roomNo], dAir[roomName])</f>
        <v>STAGING 4</v>
      </c>
      <c r="W817" s="47" t="str">
        <f t="array" ref="W817">_xlfn.XLOOKUP(records_2[ID], dAir[roomNo], dAir[building])</f>
        <v>Building 16</v>
      </c>
      <c r="X817" s="47" t="str">
        <f t="array" ref="X817">_xlfn.XLOOKUP(records_2[ID], dAir[roomNo], dAir[floor])</f>
        <v>Floor 3</v>
      </c>
      <c r="Y817" s="45" t="str">
        <f t="array" ref="Y817">_xlfn.XLOOKUP(records_2[ID], dAir[roomNo], dAir[Class])</f>
        <v>D</v>
      </c>
      <c r="Z817" s="45">
        <f t="array" ref="Z817">_xlfn.XLOOKUP(records_2[Method]&amp;"-"&amp;records_2[Class], dAirSpec[ID], dAirSpec[Spec])</f>
        <v>100</v>
      </c>
      <c r="AA817" s="45" t="str">
        <f t="array" ref="AA817">_xlfn.XLOOKUP(records_2[Method]&amp;"-"&amp;records_2[Class], dAirSpec[ID], dAirSpec[Unit])</f>
        <v>cfu/plate</v>
      </c>
      <c r="AB817" s="58">
        <f t="array" ref="AB817">if(R817="","", if(records_2[Method]="Active Air",_xlfn.xlookup(records_2[ColonyCount]&amp;records_2[AirSampler],feller[code],feller[Vc]),records_2[ColonyCount]))</f>
        <v>0</v>
      </c>
      <c r="AC817" s="60" t="b">
        <f t="shared" si="1"/>
        <v>1</v>
      </c>
      <c r="AD817" s="61" t="b">
        <v>0</v>
      </c>
      <c r="AE817" s="32" t="s">
        <v>280</v>
      </c>
      <c r="AF817" s="46"/>
      <c r="AG817" s="46"/>
      <c r="AH817" s="46"/>
      <c r="AI817" s="46"/>
      <c r="AJ817" s="46"/>
    </row>
    <row r="818" ht="22.5" customHeight="1">
      <c r="A818" s="27">
        <v>46165.0</v>
      </c>
      <c r="B818" s="34" t="str">
        <f t="array" ref="B818">TEXT(A818, "MM-YYYY")</f>
        <v>05-2026</v>
      </c>
      <c r="C818" s="39" t="s">
        <v>1002</v>
      </c>
      <c r="D818" s="36" t="s">
        <v>210</v>
      </c>
      <c r="E818" s="36" t="s">
        <v>213</v>
      </c>
      <c r="F818" s="29" t="b">
        <v>1</v>
      </c>
      <c r="G818" s="36" t="s">
        <v>214</v>
      </c>
      <c r="H818" s="36" t="s">
        <v>215</v>
      </c>
      <c r="I818" s="281"/>
      <c r="J818" s="282"/>
      <c r="K818" s="37" t="s">
        <v>194</v>
      </c>
      <c r="L818" s="37" t="s">
        <v>194</v>
      </c>
      <c r="M818" s="37" t="s">
        <v>194</v>
      </c>
      <c r="N818" s="37" t="s">
        <v>194</v>
      </c>
      <c r="O818" s="37" t="s">
        <v>223</v>
      </c>
      <c r="P818" s="37" t="s">
        <v>224</v>
      </c>
      <c r="Q818" s="41">
        <v>46157.0</v>
      </c>
      <c r="R818" s="42">
        <v>0.0</v>
      </c>
      <c r="S818" s="44"/>
      <c r="T818" s="37" t="s">
        <v>2506</v>
      </c>
      <c r="U818" s="45" t="str">
        <f>IF(records_2[Type]="Room",records_2[roomNo],records_2[roomNo]&amp;"-"&amp;SUBSTITUTE(RIGHT(records_2[roomNo]&amp;records_2[Type],2),"-",""))</f>
        <v>16-3-087</v>
      </c>
      <c r="V818" s="47" t="str">
        <f t="array" ref="V818">_xlfn.XLOOKUP(records_2[ID], dAir[roomNo], dAir[roomName])</f>
        <v>CIP 2</v>
      </c>
      <c r="W818" s="47" t="str">
        <f t="array" ref="W818">_xlfn.XLOOKUP(records_2[ID], dAir[roomNo], dAir[building])</f>
        <v>Building 16</v>
      </c>
      <c r="X818" s="47" t="str">
        <f t="array" ref="X818">_xlfn.XLOOKUP(records_2[ID], dAir[roomNo], dAir[floor])</f>
        <v>Floor 3</v>
      </c>
      <c r="Y818" s="45" t="str">
        <f t="array" ref="Y818">_xlfn.XLOOKUP(records_2[ID], dAir[roomNo], dAir[Class])</f>
        <v>D</v>
      </c>
      <c r="Z818" s="45">
        <f t="array" ref="Z818">_xlfn.XLOOKUP(records_2[Method]&amp;"-"&amp;records_2[Class], dAirSpec[ID], dAirSpec[Spec])</f>
        <v>100</v>
      </c>
      <c r="AA818" s="45" t="str">
        <f t="array" ref="AA818">_xlfn.XLOOKUP(records_2[Method]&amp;"-"&amp;records_2[Class], dAirSpec[ID], dAirSpec[Unit])</f>
        <v>cfu/plate</v>
      </c>
      <c r="AB818" s="58">
        <f t="array" ref="AB818">if(R818="","", if(records_2[Method]="Active Air",_xlfn.xlookup(records_2[ColonyCount]&amp;records_2[AirSampler],feller[code],feller[Vc]),records_2[ColonyCount]))</f>
        <v>0</v>
      </c>
      <c r="AC818" s="60" t="b">
        <f t="shared" si="1"/>
        <v>1</v>
      </c>
      <c r="AD818" s="61" t="b">
        <v>0</v>
      </c>
      <c r="AE818" s="32" t="s">
        <v>280</v>
      </c>
      <c r="AF818" s="46"/>
      <c r="AG818" s="46"/>
      <c r="AH818" s="46"/>
      <c r="AI818" s="46"/>
      <c r="AJ818" s="46"/>
    </row>
    <row r="819" ht="22.5" customHeight="1">
      <c r="A819" s="27">
        <v>46165.0</v>
      </c>
      <c r="B819" s="34" t="str">
        <f t="array" ref="B819">TEXT(A819, "MM-YYYY")</f>
        <v>05-2026</v>
      </c>
      <c r="C819" s="39" t="s">
        <v>1003</v>
      </c>
      <c r="D819" s="36" t="s">
        <v>210</v>
      </c>
      <c r="E819" s="36" t="s">
        <v>213</v>
      </c>
      <c r="F819" s="29" t="b">
        <v>1</v>
      </c>
      <c r="G819" s="36" t="s">
        <v>214</v>
      </c>
      <c r="H819" s="36" t="s">
        <v>215</v>
      </c>
      <c r="I819" s="281"/>
      <c r="J819" s="282"/>
      <c r="K819" s="37" t="s">
        <v>194</v>
      </c>
      <c r="L819" s="37" t="s">
        <v>194</v>
      </c>
      <c r="M819" s="37" t="s">
        <v>194</v>
      </c>
      <c r="N819" s="37" t="s">
        <v>194</v>
      </c>
      <c r="O819" s="37" t="s">
        <v>223</v>
      </c>
      <c r="P819" s="37" t="s">
        <v>224</v>
      </c>
      <c r="Q819" s="41">
        <v>46157.0</v>
      </c>
      <c r="R819" s="42">
        <v>0.0</v>
      </c>
      <c r="S819" s="44"/>
      <c r="T819" s="37" t="s">
        <v>2506</v>
      </c>
      <c r="U819" s="45" t="str">
        <f>IF(records_2[Type]="Room",records_2[roomNo],records_2[roomNo]&amp;"-"&amp;SUBSTITUTE(RIGHT(records_2[roomNo]&amp;records_2[Type],2),"-",""))</f>
        <v>16-3-088</v>
      </c>
      <c r="V819" s="47" t="str">
        <f t="array" ref="V819">_xlfn.XLOOKUP(records_2[ID], dAir[roomNo], dAir[roomName])</f>
        <v>STAGING 3</v>
      </c>
      <c r="W819" s="47" t="str">
        <f t="array" ref="W819">_xlfn.XLOOKUP(records_2[ID], dAir[roomNo], dAir[building])</f>
        <v>Building 16</v>
      </c>
      <c r="X819" s="47" t="str">
        <f t="array" ref="X819">_xlfn.XLOOKUP(records_2[ID], dAir[roomNo], dAir[floor])</f>
        <v>Floor 3</v>
      </c>
      <c r="Y819" s="45" t="str">
        <f t="array" ref="Y819">_xlfn.XLOOKUP(records_2[ID], dAir[roomNo], dAir[Class])</f>
        <v>D</v>
      </c>
      <c r="Z819" s="45">
        <f t="array" ref="Z819">_xlfn.XLOOKUP(records_2[Method]&amp;"-"&amp;records_2[Class], dAirSpec[ID], dAirSpec[Spec])</f>
        <v>100</v>
      </c>
      <c r="AA819" s="45" t="str">
        <f t="array" ref="AA819">_xlfn.XLOOKUP(records_2[Method]&amp;"-"&amp;records_2[Class], dAirSpec[ID], dAirSpec[Unit])</f>
        <v>cfu/plate</v>
      </c>
      <c r="AB819" s="58">
        <f t="array" ref="AB819">if(R819="","", if(records_2[Method]="Active Air",_xlfn.xlookup(records_2[ColonyCount]&amp;records_2[AirSampler],feller[code],feller[Vc]),records_2[ColonyCount]))</f>
        <v>0</v>
      </c>
      <c r="AC819" s="60" t="b">
        <f t="shared" si="1"/>
        <v>1</v>
      </c>
      <c r="AD819" s="61" t="b">
        <v>0</v>
      </c>
      <c r="AE819" s="32" t="s">
        <v>280</v>
      </c>
      <c r="AF819" s="46"/>
      <c r="AG819" s="46"/>
      <c r="AH819" s="46"/>
      <c r="AI819" s="46"/>
      <c r="AJ819" s="46"/>
    </row>
    <row r="820" ht="22.5" customHeight="1">
      <c r="A820" s="27">
        <v>46165.0</v>
      </c>
      <c r="B820" s="34" t="str">
        <f t="array" ref="B820">TEXT(A820, "MM-YYYY")</f>
        <v>05-2026</v>
      </c>
      <c r="C820" s="39" t="s">
        <v>1545</v>
      </c>
      <c r="D820" s="36" t="s">
        <v>210</v>
      </c>
      <c r="E820" s="36" t="s">
        <v>213</v>
      </c>
      <c r="F820" s="29" t="b">
        <v>1</v>
      </c>
      <c r="G820" s="36" t="s">
        <v>214</v>
      </c>
      <c r="H820" s="36" t="s">
        <v>215</v>
      </c>
      <c r="I820" s="281"/>
      <c r="J820" s="282"/>
      <c r="K820" s="37" t="s">
        <v>194</v>
      </c>
      <c r="L820" s="37" t="s">
        <v>194</v>
      </c>
      <c r="M820" s="37" t="s">
        <v>194</v>
      </c>
      <c r="N820" s="37" t="s">
        <v>194</v>
      </c>
      <c r="O820" s="37" t="s">
        <v>223</v>
      </c>
      <c r="P820" s="37" t="s">
        <v>224</v>
      </c>
      <c r="Q820" s="41">
        <v>46157.0</v>
      </c>
      <c r="R820" s="42">
        <v>0.0</v>
      </c>
      <c r="S820" s="44"/>
      <c r="T820" s="37" t="s">
        <v>2506</v>
      </c>
      <c r="U820" s="45" t="str">
        <f>IF(records_2[Type]="Room",records_2[roomNo],records_2[roomNo]&amp;"-"&amp;SUBSTITUTE(RIGHT(records_2[roomNo]&amp;records_2[Type],2),"-",""))</f>
        <v>16-3-089</v>
      </c>
      <c r="V820" s="47" t="str">
        <f t="array" ref="V820">_xlfn.XLOOKUP(records_2[ID], dAir[roomNo], dAir[roomName])</f>
        <v>STAGING 2</v>
      </c>
      <c r="W820" s="47" t="str">
        <f t="array" ref="W820">_xlfn.XLOOKUP(records_2[ID], dAir[roomNo], dAir[building])</f>
        <v>Building 16</v>
      </c>
      <c r="X820" s="47" t="str">
        <f t="array" ref="X820">_xlfn.XLOOKUP(records_2[ID], dAir[roomNo], dAir[floor])</f>
        <v>Floor 3</v>
      </c>
      <c r="Y820" s="45" t="str">
        <f t="array" ref="Y820">_xlfn.XLOOKUP(records_2[ID], dAir[roomNo], dAir[Class])</f>
        <v>D</v>
      </c>
      <c r="Z820" s="45">
        <f t="array" ref="Z820">_xlfn.XLOOKUP(records_2[Method]&amp;"-"&amp;records_2[Class], dAirSpec[ID], dAirSpec[Spec])</f>
        <v>100</v>
      </c>
      <c r="AA820" s="45" t="str">
        <f t="array" ref="AA820">_xlfn.XLOOKUP(records_2[Method]&amp;"-"&amp;records_2[Class], dAirSpec[ID], dAirSpec[Unit])</f>
        <v>cfu/plate</v>
      </c>
      <c r="AB820" s="58">
        <f t="array" ref="AB820">if(R820="","", if(records_2[Method]="Active Air",_xlfn.xlookup(records_2[ColonyCount]&amp;records_2[AirSampler],feller[code],feller[Vc]),records_2[ColonyCount]))</f>
        <v>0</v>
      </c>
      <c r="AC820" s="60" t="b">
        <f t="shared" si="1"/>
        <v>1</v>
      </c>
      <c r="AD820" s="61" t="b">
        <v>0</v>
      </c>
      <c r="AE820" s="32" t="s">
        <v>280</v>
      </c>
      <c r="AF820" s="46"/>
      <c r="AG820" s="46"/>
      <c r="AH820" s="46"/>
      <c r="AI820" s="46"/>
      <c r="AJ820" s="46"/>
    </row>
    <row r="821" ht="22.5" customHeight="1">
      <c r="A821" s="27">
        <v>46165.0</v>
      </c>
      <c r="B821" s="34" t="str">
        <f t="array" ref="B821">TEXT(A821, "MM-YYYY")</f>
        <v>05-2026</v>
      </c>
      <c r="C821" s="39" t="s">
        <v>1004</v>
      </c>
      <c r="D821" s="36" t="s">
        <v>210</v>
      </c>
      <c r="E821" s="36" t="s">
        <v>213</v>
      </c>
      <c r="F821" s="29" t="b">
        <v>1</v>
      </c>
      <c r="G821" s="36" t="s">
        <v>214</v>
      </c>
      <c r="H821" s="36" t="s">
        <v>215</v>
      </c>
      <c r="I821" s="281"/>
      <c r="J821" s="282"/>
      <c r="K821" s="37" t="s">
        <v>194</v>
      </c>
      <c r="L821" s="37" t="s">
        <v>194</v>
      </c>
      <c r="M821" s="37" t="s">
        <v>194</v>
      </c>
      <c r="N821" s="37" t="s">
        <v>194</v>
      </c>
      <c r="O821" s="37" t="s">
        <v>223</v>
      </c>
      <c r="P821" s="37" t="s">
        <v>224</v>
      </c>
      <c r="Q821" s="41">
        <v>46157.0</v>
      </c>
      <c r="R821" s="42">
        <v>0.0</v>
      </c>
      <c r="S821" s="44"/>
      <c r="T821" s="37" t="s">
        <v>2506</v>
      </c>
      <c r="U821" s="45" t="str">
        <f>IF(records_2[Type]="Room",records_2[roomNo],records_2[roomNo]&amp;"-"&amp;SUBSTITUTE(RIGHT(records_2[roomNo]&amp;records_2[Type],2),"-",""))</f>
        <v>16-3-090</v>
      </c>
      <c r="V821" s="47" t="str">
        <f t="array" ref="V821">_xlfn.XLOOKUP(records_2[ID], dAir[roomNo], dAir[roomName])</f>
        <v>CIP 1</v>
      </c>
      <c r="W821" s="47" t="str">
        <f t="array" ref="W821">_xlfn.XLOOKUP(records_2[ID], dAir[roomNo], dAir[building])</f>
        <v>Building 16</v>
      </c>
      <c r="X821" s="47" t="str">
        <f t="array" ref="X821">_xlfn.XLOOKUP(records_2[ID], dAir[roomNo], dAir[floor])</f>
        <v>Floor 3</v>
      </c>
      <c r="Y821" s="45" t="str">
        <f t="array" ref="Y821">_xlfn.XLOOKUP(records_2[ID], dAir[roomNo], dAir[Class])</f>
        <v>D</v>
      </c>
      <c r="Z821" s="45">
        <f t="array" ref="Z821">_xlfn.XLOOKUP(records_2[Method]&amp;"-"&amp;records_2[Class], dAirSpec[ID], dAirSpec[Spec])</f>
        <v>100</v>
      </c>
      <c r="AA821" s="45" t="str">
        <f t="array" ref="AA821">_xlfn.XLOOKUP(records_2[Method]&amp;"-"&amp;records_2[Class], dAirSpec[ID], dAirSpec[Unit])</f>
        <v>cfu/plate</v>
      </c>
      <c r="AB821" s="58">
        <f t="array" ref="AB821">if(R821="","", if(records_2[Method]="Active Air",_xlfn.xlookup(records_2[ColonyCount]&amp;records_2[AirSampler],feller[code],feller[Vc]),records_2[ColonyCount]))</f>
        <v>0</v>
      </c>
      <c r="AC821" s="60" t="b">
        <f t="shared" si="1"/>
        <v>1</v>
      </c>
      <c r="AD821" s="61" t="b">
        <v>0</v>
      </c>
      <c r="AE821" s="32" t="s">
        <v>280</v>
      </c>
      <c r="AF821" s="46"/>
      <c r="AG821" s="46"/>
      <c r="AH821" s="46"/>
      <c r="AI821" s="46"/>
      <c r="AJ821" s="46"/>
    </row>
    <row r="822" ht="22.5" customHeight="1">
      <c r="A822" s="27">
        <v>46165.0</v>
      </c>
      <c r="B822" s="34" t="str">
        <f t="array" ref="B822">TEXT(A822, "MM-YYYY")</f>
        <v>05-2026</v>
      </c>
      <c r="C822" s="39" t="s">
        <v>1007</v>
      </c>
      <c r="D822" s="36" t="s">
        <v>210</v>
      </c>
      <c r="E822" s="36" t="s">
        <v>213</v>
      </c>
      <c r="F822" s="29" t="b">
        <v>1</v>
      </c>
      <c r="G822" s="36" t="s">
        <v>214</v>
      </c>
      <c r="H822" s="36" t="s">
        <v>215</v>
      </c>
      <c r="I822" s="281"/>
      <c r="J822" s="282"/>
      <c r="K822" s="37" t="s">
        <v>194</v>
      </c>
      <c r="L822" s="37" t="s">
        <v>194</v>
      </c>
      <c r="M822" s="37" t="s">
        <v>194</v>
      </c>
      <c r="N822" s="37" t="s">
        <v>194</v>
      </c>
      <c r="O822" s="37" t="s">
        <v>223</v>
      </c>
      <c r="P822" s="37" t="s">
        <v>224</v>
      </c>
      <c r="Q822" s="41">
        <v>46157.0</v>
      </c>
      <c r="R822" s="42">
        <v>1.0</v>
      </c>
      <c r="S822" s="44"/>
      <c r="T822" s="37" t="s">
        <v>2506</v>
      </c>
      <c r="U822" s="45" t="str">
        <f>IF(records_2[Type]="Room",records_2[roomNo],records_2[roomNo]&amp;"-"&amp;SUBSTITUTE(RIGHT(records_2[roomNo]&amp;records_2[Type],2),"-",""))</f>
        <v>16-3-091</v>
      </c>
      <c r="V822" s="47" t="str">
        <f t="array" ref="V822">_xlfn.XLOOKUP(records_2[ID], dAir[roomNo], dAir[roomName])</f>
        <v>STAGING 1</v>
      </c>
      <c r="W822" s="47" t="str">
        <f t="array" ref="W822">_xlfn.XLOOKUP(records_2[ID], dAir[roomNo], dAir[building])</f>
        <v>Building 16</v>
      </c>
      <c r="X822" s="47" t="str">
        <f t="array" ref="X822">_xlfn.XLOOKUP(records_2[ID], dAir[roomNo], dAir[floor])</f>
        <v>Floor 3</v>
      </c>
      <c r="Y822" s="45" t="str">
        <f t="array" ref="Y822">_xlfn.XLOOKUP(records_2[ID], dAir[roomNo], dAir[Class])</f>
        <v>D</v>
      </c>
      <c r="Z822" s="45">
        <f t="array" ref="Z822">_xlfn.XLOOKUP(records_2[Method]&amp;"-"&amp;records_2[Class], dAirSpec[ID], dAirSpec[Spec])</f>
        <v>100</v>
      </c>
      <c r="AA822" s="45" t="str">
        <f t="array" ref="AA822">_xlfn.XLOOKUP(records_2[Method]&amp;"-"&amp;records_2[Class], dAirSpec[ID], dAirSpec[Unit])</f>
        <v>cfu/plate</v>
      </c>
      <c r="AB822" s="58">
        <f t="array" ref="AB822">if(R822="","", if(records_2[Method]="Active Air",_xlfn.xlookup(records_2[ColonyCount]&amp;records_2[AirSampler],feller[code],feller[Vc]),records_2[ColonyCount]))</f>
        <v>1</v>
      </c>
      <c r="AC822" s="60" t="b">
        <f t="shared" si="1"/>
        <v>1</v>
      </c>
      <c r="AD822" s="61" t="b">
        <v>0</v>
      </c>
      <c r="AE822" s="32" t="s">
        <v>280</v>
      </c>
      <c r="AF822" s="46"/>
      <c r="AG822" s="46"/>
      <c r="AH822" s="46"/>
      <c r="AI822" s="46"/>
      <c r="AJ822" s="46"/>
    </row>
    <row r="823" ht="22.5" customHeight="1">
      <c r="A823" s="27">
        <v>46165.0</v>
      </c>
      <c r="B823" s="34" t="str">
        <f t="array" ref="B823">TEXT(A823, "MM-YYYY")</f>
        <v>05-2026</v>
      </c>
      <c r="C823" s="39" t="s">
        <v>1547</v>
      </c>
      <c r="D823" s="36" t="s">
        <v>210</v>
      </c>
      <c r="E823" s="36" t="s">
        <v>213</v>
      </c>
      <c r="F823" s="29" t="b">
        <v>1</v>
      </c>
      <c r="G823" s="36" t="s">
        <v>214</v>
      </c>
      <c r="H823" s="36" t="s">
        <v>215</v>
      </c>
      <c r="I823" s="281"/>
      <c r="J823" s="282"/>
      <c r="K823" s="37" t="s">
        <v>194</v>
      </c>
      <c r="L823" s="37" t="s">
        <v>194</v>
      </c>
      <c r="M823" s="37" t="s">
        <v>194</v>
      </c>
      <c r="N823" s="37" t="s">
        <v>194</v>
      </c>
      <c r="O823" s="37" t="s">
        <v>223</v>
      </c>
      <c r="P823" s="37" t="s">
        <v>224</v>
      </c>
      <c r="Q823" s="41">
        <v>46157.0</v>
      </c>
      <c r="R823" s="42">
        <v>1.0</v>
      </c>
      <c r="S823" s="44"/>
      <c r="T823" s="37" t="s">
        <v>2506</v>
      </c>
      <c r="U823" s="45" t="str">
        <f>IF(records_2[Type]="Room",records_2[roomNo],records_2[roomNo]&amp;"-"&amp;SUBSTITUTE(RIGHT(records_2[roomNo]&amp;records_2[Type],2),"-",""))</f>
        <v>16-3-092</v>
      </c>
      <c r="V823" s="47" t="str">
        <f t="array" ref="V823">_xlfn.XLOOKUP(records_2[ID], dAir[roomNo], dAir[roomName])</f>
        <v>AIRLOCK</v>
      </c>
      <c r="W823" s="47" t="str">
        <f t="array" ref="W823">_xlfn.XLOOKUP(records_2[ID], dAir[roomNo], dAir[building])</f>
        <v>Building 16</v>
      </c>
      <c r="X823" s="47" t="str">
        <f t="array" ref="X823">_xlfn.XLOOKUP(records_2[ID], dAir[roomNo], dAir[floor])</f>
        <v>Floor 3</v>
      </c>
      <c r="Y823" s="45" t="str">
        <f t="array" ref="Y823">_xlfn.XLOOKUP(records_2[ID], dAir[roomNo], dAir[Class])</f>
        <v>D</v>
      </c>
      <c r="Z823" s="45">
        <f t="array" ref="Z823">_xlfn.XLOOKUP(records_2[Method]&amp;"-"&amp;records_2[Class], dAirSpec[ID], dAirSpec[Spec])</f>
        <v>100</v>
      </c>
      <c r="AA823" s="45" t="str">
        <f t="array" ref="AA823">_xlfn.XLOOKUP(records_2[Method]&amp;"-"&amp;records_2[Class], dAirSpec[ID], dAirSpec[Unit])</f>
        <v>cfu/plate</v>
      </c>
      <c r="AB823" s="58">
        <f t="array" ref="AB823">if(R823="","", if(records_2[Method]="Active Air",_xlfn.xlookup(records_2[ColonyCount]&amp;records_2[AirSampler],feller[code],feller[Vc]),records_2[ColonyCount]))</f>
        <v>1</v>
      </c>
      <c r="AC823" s="60" t="b">
        <f t="shared" si="1"/>
        <v>1</v>
      </c>
      <c r="AD823" s="61" t="b">
        <v>0</v>
      </c>
      <c r="AE823" s="32" t="s">
        <v>280</v>
      </c>
      <c r="AF823" s="46"/>
      <c r="AG823" s="46"/>
      <c r="AH823" s="46"/>
      <c r="AI823" s="46"/>
      <c r="AJ823" s="46"/>
    </row>
    <row r="824" ht="22.5" customHeight="1">
      <c r="A824" s="27">
        <v>46165.0</v>
      </c>
      <c r="B824" s="34" t="str">
        <f t="array" ref="B824">TEXT(A824, "MM-YYYY")</f>
        <v>05-2026</v>
      </c>
      <c r="C824" s="39" t="s">
        <v>1009</v>
      </c>
      <c r="D824" s="36" t="s">
        <v>210</v>
      </c>
      <c r="E824" s="36" t="s">
        <v>213</v>
      </c>
      <c r="F824" s="29" t="b">
        <v>1</v>
      </c>
      <c r="G824" s="36" t="s">
        <v>214</v>
      </c>
      <c r="H824" s="36" t="s">
        <v>215</v>
      </c>
      <c r="I824" s="281"/>
      <c r="J824" s="282"/>
      <c r="K824" s="37" t="s">
        <v>194</v>
      </c>
      <c r="L824" s="37" t="s">
        <v>194</v>
      </c>
      <c r="M824" s="37" t="s">
        <v>194</v>
      </c>
      <c r="N824" s="37" t="s">
        <v>194</v>
      </c>
      <c r="O824" s="37" t="s">
        <v>223</v>
      </c>
      <c r="P824" s="37" t="s">
        <v>224</v>
      </c>
      <c r="Q824" s="41">
        <v>46157.0</v>
      </c>
      <c r="R824" s="42">
        <v>0.0</v>
      </c>
      <c r="S824" s="44"/>
      <c r="T824" s="37" t="s">
        <v>2506</v>
      </c>
      <c r="U824" s="45" t="str">
        <f>IF(records_2[Type]="Room",records_2[roomNo],records_2[roomNo]&amp;"-"&amp;SUBSTITUTE(RIGHT(records_2[roomNo]&amp;records_2[Type],2),"-",""))</f>
        <v>16-3-093</v>
      </c>
      <c r="V824" s="47" t="str">
        <f t="array" ref="V824">_xlfn.XLOOKUP(records_2[ID], dAir[roomNo], dAir[roomName])</f>
        <v>PPM CLEANING</v>
      </c>
      <c r="W824" s="47" t="str">
        <f t="array" ref="W824">_xlfn.XLOOKUP(records_2[ID], dAir[roomNo], dAir[building])</f>
        <v>Building 16</v>
      </c>
      <c r="X824" s="47" t="str">
        <f t="array" ref="X824">_xlfn.XLOOKUP(records_2[ID], dAir[roomNo], dAir[floor])</f>
        <v>Floor 3</v>
      </c>
      <c r="Y824" s="45" t="str">
        <f t="array" ref="Y824">_xlfn.XLOOKUP(records_2[ID], dAir[roomNo], dAir[Class])</f>
        <v>D</v>
      </c>
      <c r="Z824" s="45">
        <f t="array" ref="Z824">_xlfn.XLOOKUP(records_2[Method]&amp;"-"&amp;records_2[Class], dAirSpec[ID], dAirSpec[Spec])</f>
        <v>100</v>
      </c>
      <c r="AA824" s="45" t="str">
        <f t="array" ref="AA824">_xlfn.XLOOKUP(records_2[Method]&amp;"-"&amp;records_2[Class], dAirSpec[ID], dAirSpec[Unit])</f>
        <v>cfu/plate</v>
      </c>
      <c r="AB824" s="58">
        <f t="array" ref="AB824">if(R824="","", if(records_2[Method]="Active Air",_xlfn.xlookup(records_2[ColonyCount]&amp;records_2[AirSampler],feller[code],feller[Vc]),records_2[ColonyCount]))</f>
        <v>0</v>
      </c>
      <c r="AC824" s="60" t="b">
        <f t="shared" si="1"/>
        <v>1</v>
      </c>
      <c r="AD824" s="61" t="b">
        <v>0</v>
      </c>
      <c r="AE824" s="32" t="s">
        <v>280</v>
      </c>
      <c r="AF824" s="46"/>
      <c r="AG824" s="46"/>
      <c r="AH824" s="46"/>
      <c r="AI824" s="46"/>
      <c r="AJ824" s="46"/>
    </row>
    <row r="825" ht="22.5" customHeight="1">
      <c r="A825" s="27">
        <v>46165.0</v>
      </c>
      <c r="B825" s="34" t="str">
        <f t="array" ref="B825">TEXT(A825, "MM-YYYY")</f>
        <v>05-2026</v>
      </c>
      <c r="C825" s="39" t="s">
        <v>1548</v>
      </c>
      <c r="D825" s="36" t="s">
        <v>210</v>
      </c>
      <c r="E825" s="36" t="s">
        <v>213</v>
      </c>
      <c r="F825" s="29" t="b">
        <v>1</v>
      </c>
      <c r="G825" s="36" t="s">
        <v>214</v>
      </c>
      <c r="H825" s="36" t="s">
        <v>215</v>
      </c>
      <c r="I825" s="281"/>
      <c r="J825" s="282"/>
      <c r="K825" s="37" t="s">
        <v>194</v>
      </c>
      <c r="L825" s="37" t="s">
        <v>194</v>
      </c>
      <c r="M825" s="37" t="s">
        <v>194</v>
      </c>
      <c r="N825" s="37" t="s">
        <v>194</v>
      </c>
      <c r="O825" s="37" t="s">
        <v>223</v>
      </c>
      <c r="P825" s="37" t="s">
        <v>224</v>
      </c>
      <c r="Q825" s="41">
        <v>46157.0</v>
      </c>
      <c r="R825" s="42">
        <v>0.0</v>
      </c>
      <c r="S825" s="44"/>
      <c r="T825" s="37" t="s">
        <v>2506</v>
      </c>
      <c r="U825" s="45" t="str">
        <f>IF(records_2[Type]="Room",records_2[roomNo],records_2[roomNo]&amp;"-"&amp;SUBSTITUTE(RIGHT(records_2[roomNo]&amp;records_2[Type],2),"-",""))</f>
        <v>16-3-094</v>
      </c>
      <c r="V825" s="47" t="str">
        <f t="array" ref="V825">_xlfn.XLOOKUP(records_2[ID], dAir[roomNo], dAir[roomName])</f>
        <v>PPM STORAGE</v>
      </c>
      <c r="W825" s="47" t="str">
        <f t="array" ref="W825">_xlfn.XLOOKUP(records_2[ID], dAir[roomNo], dAir[building])</f>
        <v>Building 16</v>
      </c>
      <c r="X825" s="47" t="str">
        <f t="array" ref="X825">_xlfn.XLOOKUP(records_2[ID], dAir[roomNo], dAir[floor])</f>
        <v>Floor 3</v>
      </c>
      <c r="Y825" s="45" t="str">
        <f t="array" ref="Y825">_xlfn.XLOOKUP(records_2[ID], dAir[roomNo], dAir[Class])</f>
        <v>D</v>
      </c>
      <c r="Z825" s="45">
        <f t="array" ref="Z825">_xlfn.XLOOKUP(records_2[Method]&amp;"-"&amp;records_2[Class], dAirSpec[ID], dAirSpec[Spec])</f>
        <v>100</v>
      </c>
      <c r="AA825" s="45" t="str">
        <f t="array" ref="AA825">_xlfn.XLOOKUP(records_2[Method]&amp;"-"&amp;records_2[Class], dAirSpec[ID], dAirSpec[Unit])</f>
        <v>cfu/plate</v>
      </c>
      <c r="AB825" s="58">
        <f t="array" ref="AB825">if(R825="","", if(records_2[Method]="Active Air",_xlfn.xlookup(records_2[ColonyCount]&amp;records_2[AirSampler],feller[code],feller[Vc]),records_2[ColonyCount]))</f>
        <v>0</v>
      </c>
      <c r="AC825" s="60" t="b">
        <f t="shared" si="1"/>
        <v>1</v>
      </c>
      <c r="AD825" s="61" t="b">
        <v>0</v>
      </c>
      <c r="AE825" s="32" t="s">
        <v>280</v>
      </c>
      <c r="AF825" s="46"/>
      <c r="AG825" s="46"/>
      <c r="AH825" s="46"/>
      <c r="AI825" s="46"/>
      <c r="AJ825" s="46"/>
    </row>
    <row r="826" ht="22.5" customHeight="1">
      <c r="A826" s="27">
        <v>46165.0</v>
      </c>
      <c r="B826" s="34" t="str">
        <f t="array" ref="B826">TEXT(A826, "MM-YYYY")</f>
        <v>05-2026</v>
      </c>
      <c r="C826" s="39" t="s">
        <v>1550</v>
      </c>
      <c r="D826" s="36" t="s">
        <v>210</v>
      </c>
      <c r="E826" s="36" t="s">
        <v>213</v>
      </c>
      <c r="F826" s="29" t="b">
        <v>1</v>
      </c>
      <c r="G826" s="36" t="s">
        <v>214</v>
      </c>
      <c r="H826" s="36" t="s">
        <v>215</v>
      </c>
      <c r="I826" s="281"/>
      <c r="J826" s="282"/>
      <c r="K826" s="37" t="s">
        <v>194</v>
      </c>
      <c r="L826" s="37" t="s">
        <v>194</v>
      </c>
      <c r="M826" s="37" t="s">
        <v>194</v>
      </c>
      <c r="N826" s="37" t="s">
        <v>194</v>
      </c>
      <c r="O826" s="37" t="s">
        <v>223</v>
      </c>
      <c r="P826" s="37" t="s">
        <v>224</v>
      </c>
      <c r="Q826" s="41">
        <v>46157.0</v>
      </c>
      <c r="R826" s="42">
        <v>5.0</v>
      </c>
      <c r="S826" s="44"/>
      <c r="T826" s="37" t="s">
        <v>2506</v>
      </c>
      <c r="U826" s="45" t="str">
        <f>IF(records_2[Type]="Room",records_2[roomNo],records_2[roomNo]&amp;"-"&amp;SUBSTITUTE(RIGHT(records_2[roomNo]&amp;records_2[Type],2),"-",""))</f>
        <v>16-3-095</v>
      </c>
      <c r="V826" s="47" t="str">
        <f t="array" ref="V826">_xlfn.XLOOKUP(records_2[ID], dAir[roomNo], dAir[roomName])</f>
        <v>AIRLOCK</v>
      </c>
      <c r="W826" s="47" t="str">
        <f t="array" ref="W826">_xlfn.XLOOKUP(records_2[ID], dAir[roomNo], dAir[building])</f>
        <v>Building 16</v>
      </c>
      <c r="X826" s="47" t="str">
        <f t="array" ref="X826">_xlfn.XLOOKUP(records_2[ID], dAir[roomNo], dAir[floor])</f>
        <v>Floor 3</v>
      </c>
      <c r="Y826" s="45" t="str">
        <f t="array" ref="Y826">_xlfn.XLOOKUP(records_2[ID], dAir[roomNo], dAir[Class])</f>
        <v>D</v>
      </c>
      <c r="Z826" s="45">
        <f t="array" ref="Z826">_xlfn.XLOOKUP(records_2[Method]&amp;"-"&amp;records_2[Class], dAirSpec[ID], dAirSpec[Spec])</f>
        <v>100</v>
      </c>
      <c r="AA826" s="45" t="str">
        <f t="array" ref="AA826">_xlfn.XLOOKUP(records_2[Method]&amp;"-"&amp;records_2[Class], dAirSpec[ID], dAirSpec[Unit])</f>
        <v>cfu/plate</v>
      </c>
      <c r="AB826" s="58">
        <f t="array" ref="AB826">if(R826="","", if(records_2[Method]="Active Air",_xlfn.xlookup(records_2[ColonyCount]&amp;records_2[AirSampler],feller[code],feller[Vc]),records_2[ColonyCount]))</f>
        <v>5</v>
      </c>
      <c r="AC826" s="60" t="b">
        <f t="shared" si="1"/>
        <v>1</v>
      </c>
      <c r="AD826" s="61" t="b">
        <v>0</v>
      </c>
      <c r="AE826" s="32" t="s">
        <v>280</v>
      </c>
      <c r="AF826" s="46"/>
      <c r="AG826" s="46"/>
      <c r="AH826" s="46"/>
      <c r="AI826" s="46"/>
      <c r="AJ826" s="46"/>
    </row>
    <row r="827" ht="22.5" customHeight="1">
      <c r="A827" s="27">
        <v>46165.0</v>
      </c>
      <c r="B827" s="34" t="str">
        <f t="array" ref="B827">TEXT(A827, "MM-YYYY")</f>
        <v>05-2026</v>
      </c>
      <c r="C827" s="39" t="s">
        <v>1014</v>
      </c>
      <c r="D827" s="36" t="s">
        <v>210</v>
      </c>
      <c r="E827" s="36" t="s">
        <v>213</v>
      </c>
      <c r="F827" s="29" t="b">
        <v>1</v>
      </c>
      <c r="G827" s="36" t="s">
        <v>214</v>
      </c>
      <c r="H827" s="36" t="s">
        <v>215</v>
      </c>
      <c r="I827" s="281"/>
      <c r="J827" s="282"/>
      <c r="K827" s="37" t="s">
        <v>194</v>
      </c>
      <c r="L827" s="37" t="s">
        <v>194</v>
      </c>
      <c r="M827" s="37" t="s">
        <v>194</v>
      </c>
      <c r="N827" s="37" t="s">
        <v>194</v>
      </c>
      <c r="O827" s="37" t="s">
        <v>223</v>
      </c>
      <c r="P827" s="37" t="s">
        <v>224</v>
      </c>
      <c r="Q827" s="41">
        <v>46157.0</v>
      </c>
      <c r="R827" s="42">
        <v>1.0</v>
      </c>
      <c r="S827" s="44"/>
      <c r="T827" s="37" t="s">
        <v>2506</v>
      </c>
      <c r="U827" s="45" t="str">
        <f>IF(records_2[Type]="Room",records_2[roomNo],records_2[roomNo]&amp;"-"&amp;SUBSTITUTE(RIGHT(records_2[roomNo]&amp;records_2[Type],2),"-",""))</f>
        <v>16-3-096</v>
      </c>
      <c r="V827" s="47" t="str">
        <f t="array" ref="V827">_xlfn.XLOOKUP(records_2[ID], dAir[roomNo], dAir[roomName])</f>
        <v>FILLING 1</v>
      </c>
      <c r="W827" s="47" t="str">
        <f t="array" ref="W827">_xlfn.XLOOKUP(records_2[ID], dAir[roomNo], dAir[building])</f>
        <v>Building 16</v>
      </c>
      <c r="X827" s="47" t="str">
        <f t="array" ref="X827">_xlfn.XLOOKUP(records_2[ID], dAir[roomNo], dAir[floor])</f>
        <v>Floor 3</v>
      </c>
      <c r="Y827" s="45" t="str">
        <f t="array" ref="Y827">_xlfn.XLOOKUP(records_2[ID], dAir[roomNo], dAir[Class])</f>
        <v>D</v>
      </c>
      <c r="Z827" s="45">
        <f t="array" ref="Z827">_xlfn.XLOOKUP(records_2[Method]&amp;"-"&amp;records_2[Class], dAirSpec[ID], dAirSpec[Spec])</f>
        <v>100</v>
      </c>
      <c r="AA827" s="45" t="str">
        <f t="array" ref="AA827">_xlfn.XLOOKUP(records_2[Method]&amp;"-"&amp;records_2[Class], dAirSpec[ID], dAirSpec[Unit])</f>
        <v>cfu/plate</v>
      </c>
      <c r="AB827" s="58">
        <f t="array" ref="AB827">if(R827="","", if(records_2[Method]="Active Air",_xlfn.xlookup(records_2[ColonyCount]&amp;records_2[AirSampler],feller[code],feller[Vc]),records_2[ColonyCount]))</f>
        <v>1</v>
      </c>
      <c r="AC827" s="60" t="b">
        <f t="shared" si="1"/>
        <v>1</v>
      </c>
      <c r="AD827" s="61" t="b">
        <v>0</v>
      </c>
      <c r="AE827" s="32" t="s">
        <v>280</v>
      </c>
      <c r="AF827" s="46"/>
      <c r="AG827" s="46"/>
      <c r="AH827" s="46"/>
      <c r="AI827" s="46"/>
      <c r="AJ827" s="46"/>
    </row>
    <row r="828" ht="22.5" customHeight="1">
      <c r="A828" s="27">
        <v>46165.0</v>
      </c>
      <c r="B828" s="34" t="str">
        <f t="array" ref="B828">TEXT(A828, "MM-YYYY")</f>
        <v>05-2026</v>
      </c>
      <c r="C828" s="39" t="s">
        <v>1551</v>
      </c>
      <c r="D828" s="36" t="s">
        <v>210</v>
      </c>
      <c r="E828" s="36" t="s">
        <v>213</v>
      </c>
      <c r="F828" s="29" t="b">
        <v>1</v>
      </c>
      <c r="G828" s="36" t="s">
        <v>214</v>
      </c>
      <c r="H828" s="36" t="s">
        <v>215</v>
      </c>
      <c r="I828" s="281"/>
      <c r="J828" s="282"/>
      <c r="K828" s="37" t="s">
        <v>194</v>
      </c>
      <c r="L828" s="37" t="s">
        <v>194</v>
      </c>
      <c r="M828" s="37" t="s">
        <v>194</v>
      </c>
      <c r="N828" s="37" t="s">
        <v>194</v>
      </c>
      <c r="O828" s="37" t="s">
        <v>223</v>
      </c>
      <c r="P828" s="37" t="s">
        <v>224</v>
      </c>
      <c r="Q828" s="41">
        <v>46157.0</v>
      </c>
      <c r="R828" s="42">
        <v>1.0</v>
      </c>
      <c r="S828" s="44"/>
      <c r="T828" s="37" t="s">
        <v>2506</v>
      </c>
      <c r="U828" s="45" t="str">
        <f>IF(records_2[Type]="Room",records_2[roomNo],records_2[roomNo]&amp;"-"&amp;SUBSTITUTE(RIGHT(records_2[roomNo]&amp;records_2[Type],2),"-",""))</f>
        <v>16-3-097</v>
      </c>
      <c r="V828" s="47" t="str">
        <f t="array" ref="V828">_xlfn.XLOOKUP(records_2[ID], dAir[roomNo], dAir[roomName])</f>
        <v>JANITOR</v>
      </c>
      <c r="W828" s="47" t="str">
        <f t="array" ref="W828">_xlfn.XLOOKUP(records_2[ID], dAir[roomNo], dAir[building])</f>
        <v>Building 16</v>
      </c>
      <c r="X828" s="47" t="str">
        <f t="array" ref="X828">_xlfn.XLOOKUP(records_2[ID], dAir[roomNo], dAir[floor])</f>
        <v>Floor 3</v>
      </c>
      <c r="Y828" s="45" t="str">
        <f t="array" ref="Y828">_xlfn.XLOOKUP(records_2[ID], dAir[roomNo], dAir[Class])</f>
        <v>D</v>
      </c>
      <c r="Z828" s="45">
        <f t="array" ref="Z828">_xlfn.XLOOKUP(records_2[Method]&amp;"-"&amp;records_2[Class], dAirSpec[ID], dAirSpec[Spec])</f>
        <v>100</v>
      </c>
      <c r="AA828" s="45" t="str">
        <f t="array" ref="AA828">_xlfn.XLOOKUP(records_2[Method]&amp;"-"&amp;records_2[Class], dAirSpec[ID], dAirSpec[Unit])</f>
        <v>cfu/plate</v>
      </c>
      <c r="AB828" s="58">
        <f t="array" ref="AB828">if(R828="","", if(records_2[Method]="Active Air",_xlfn.xlookup(records_2[ColonyCount]&amp;records_2[AirSampler],feller[code],feller[Vc]),records_2[ColonyCount]))</f>
        <v>1</v>
      </c>
      <c r="AC828" s="60" t="b">
        <f t="shared" si="1"/>
        <v>1</v>
      </c>
      <c r="AD828" s="61" t="b">
        <v>0</v>
      </c>
      <c r="AE828" s="32" t="s">
        <v>280</v>
      </c>
      <c r="AF828" s="46"/>
      <c r="AG828" s="46"/>
      <c r="AH828" s="46"/>
      <c r="AI828" s="46"/>
      <c r="AJ828" s="46"/>
    </row>
    <row r="829" ht="22.5" customHeight="1">
      <c r="A829" s="27">
        <v>46165.0</v>
      </c>
      <c r="B829" s="34" t="str">
        <f t="array" ref="B829">TEXT(A829, "MM-YYYY")</f>
        <v>05-2026</v>
      </c>
      <c r="C829" s="39" t="s">
        <v>1552</v>
      </c>
      <c r="D829" s="36" t="s">
        <v>210</v>
      </c>
      <c r="E829" s="36" t="s">
        <v>213</v>
      </c>
      <c r="F829" s="29" t="b">
        <v>1</v>
      </c>
      <c r="G829" s="36" t="s">
        <v>214</v>
      </c>
      <c r="H829" s="36" t="s">
        <v>215</v>
      </c>
      <c r="I829" s="281"/>
      <c r="J829" s="282"/>
      <c r="K829" s="37" t="s">
        <v>194</v>
      </c>
      <c r="L829" s="37" t="s">
        <v>194</v>
      </c>
      <c r="M829" s="37" t="s">
        <v>194</v>
      </c>
      <c r="N829" s="37" t="s">
        <v>194</v>
      </c>
      <c r="O829" s="37" t="s">
        <v>223</v>
      </c>
      <c r="P829" s="37" t="s">
        <v>224</v>
      </c>
      <c r="Q829" s="41">
        <v>46157.0</v>
      </c>
      <c r="R829" s="42">
        <v>0.0</v>
      </c>
      <c r="S829" s="44"/>
      <c r="T829" s="37" t="s">
        <v>2506</v>
      </c>
      <c r="U829" s="45" t="str">
        <f>IF(records_2[Type]="Room",records_2[roomNo],records_2[roomNo]&amp;"-"&amp;SUBSTITUTE(RIGHT(records_2[roomNo]&amp;records_2[Type],2),"-",""))</f>
        <v>16-3-098</v>
      </c>
      <c r="V829" s="47" t="str">
        <f t="array" ref="V829">_xlfn.XLOOKUP(records_2[ID], dAir[roomNo], dAir[roomName])</f>
        <v>AIRLOCK</v>
      </c>
      <c r="W829" s="47" t="str">
        <f t="array" ref="W829">_xlfn.XLOOKUP(records_2[ID], dAir[roomNo], dAir[building])</f>
        <v>Building 16</v>
      </c>
      <c r="X829" s="47" t="str">
        <f t="array" ref="X829">_xlfn.XLOOKUP(records_2[ID], dAir[roomNo], dAir[floor])</f>
        <v>Floor 3</v>
      </c>
      <c r="Y829" s="45" t="str">
        <f t="array" ref="Y829">_xlfn.XLOOKUP(records_2[ID], dAir[roomNo], dAir[Class])</f>
        <v>D</v>
      </c>
      <c r="Z829" s="45">
        <f t="array" ref="Z829">_xlfn.XLOOKUP(records_2[Method]&amp;"-"&amp;records_2[Class], dAirSpec[ID], dAirSpec[Spec])</f>
        <v>100</v>
      </c>
      <c r="AA829" s="45" t="str">
        <f t="array" ref="AA829">_xlfn.XLOOKUP(records_2[Method]&amp;"-"&amp;records_2[Class], dAirSpec[ID], dAirSpec[Unit])</f>
        <v>cfu/plate</v>
      </c>
      <c r="AB829" s="58">
        <f t="array" ref="AB829">if(R829="","", if(records_2[Method]="Active Air",_xlfn.xlookup(records_2[ColonyCount]&amp;records_2[AirSampler],feller[code],feller[Vc]),records_2[ColonyCount]))</f>
        <v>0</v>
      </c>
      <c r="AC829" s="60" t="b">
        <f t="shared" si="1"/>
        <v>1</v>
      </c>
      <c r="AD829" s="61" t="b">
        <v>0</v>
      </c>
      <c r="AE829" s="32" t="s">
        <v>280</v>
      </c>
      <c r="AF829" s="46"/>
      <c r="AG829" s="46"/>
      <c r="AH829" s="46"/>
      <c r="AI829" s="46"/>
      <c r="AJ829" s="46"/>
    </row>
    <row r="830" ht="22.5" customHeight="1">
      <c r="A830" s="27">
        <v>46165.0</v>
      </c>
      <c r="B830" s="34" t="str">
        <f t="array" ref="B830">TEXT(A830, "MM-YYYY")</f>
        <v>05-2026</v>
      </c>
      <c r="C830" s="39" t="s">
        <v>1553</v>
      </c>
      <c r="D830" s="36" t="s">
        <v>210</v>
      </c>
      <c r="E830" s="36" t="s">
        <v>213</v>
      </c>
      <c r="F830" s="29" t="b">
        <v>1</v>
      </c>
      <c r="G830" s="36" t="s">
        <v>214</v>
      </c>
      <c r="H830" s="36" t="s">
        <v>215</v>
      </c>
      <c r="I830" s="281"/>
      <c r="J830" s="282"/>
      <c r="K830" s="37" t="s">
        <v>194</v>
      </c>
      <c r="L830" s="37" t="s">
        <v>194</v>
      </c>
      <c r="M830" s="37" t="s">
        <v>194</v>
      </c>
      <c r="N830" s="37" t="s">
        <v>194</v>
      </c>
      <c r="O830" s="37" t="s">
        <v>223</v>
      </c>
      <c r="P830" s="37" t="s">
        <v>224</v>
      </c>
      <c r="Q830" s="41">
        <v>46157.0</v>
      </c>
      <c r="R830" s="42">
        <v>0.0</v>
      </c>
      <c r="S830" s="44"/>
      <c r="T830" s="37" t="s">
        <v>2506</v>
      </c>
      <c r="U830" s="45" t="str">
        <f>IF(records_2[Type]="Room",records_2[roomNo],records_2[roomNo]&amp;"-"&amp;SUBSTITUTE(RIGHT(records_2[roomNo]&amp;records_2[Type],2),"-",""))</f>
        <v>16-3-099</v>
      </c>
      <c r="V830" s="47" t="str">
        <f t="array" ref="V830">_xlfn.XLOOKUP(records_2[ID], dAir[roomNo], dAir[roomName])</f>
        <v>FILLING 2</v>
      </c>
      <c r="W830" s="47" t="str">
        <f t="array" ref="W830">_xlfn.XLOOKUP(records_2[ID], dAir[roomNo], dAir[building])</f>
        <v>Building 16</v>
      </c>
      <c r="X830" s="47" t="str">
        <f t="array" ref="X830">_xlfn.XLOOKUP(records_2[ID], dAir[roomNo], dAir[floor])</f>
        <v>Floor 3</v>
      </c>
      <c r="Y830" s="45" t="str">
        <f t="array" ref="Y830">_xlfn.XLOOKUP(records_2[ID], dAir[roomNo], dAir[Class])</f>
        <v>D</v>
      </c>
      <c r="Z830" s="45">
        <f t="array" ref="Z830">_xlfn.XLOOKUP(records_2[Method]&amp;"-"&amp;records_2[Class], dAirSpec[ID], dAirSpec[Spec])</f>
        <v>100</v>
      </c>
      <c r="AA830" s="45" t="str">
        <f t="array" ref="AA830">_xlfn.XLOOKUP(records_2[Method]&amp;"-"&amp;records_2[Class], dAirSpec[ID], dAirSpec[Unit])</f>
        <v>cfu/plate</v>
      </c>
      <c r="AB830" s="58">
        <f t="array" ref="AB830">if(R830="","", if(records_2[Method]="Active Air",_xlfn.xlookup(records_2[ColonyCount]&amp;records_2[AirSampler],feller[code],feller[Vc]),records_2[ColonyCount]))</f>
        <v>0</v>
      </c>
      <c r="AC830" s="60" t="b">
        <f t="shared" si="1"/>
        <v>1</v>
      </c>
      <c r="AD830" s="61" t="b">
        <v>0</v>
      </c>
      <c r="AE830" s="32" t="s">
        <v>280</v>
      </c>
      <c r="AF830" s="46"/>
      <c r="AG830" s="46"/>
      <c r="AH830" s="46"/>
      <c r="AI830" s="46"/>
      <c r="AJ830" s="46"/>
    </row>
    <row r="831" ht="22.5" customHeight="1">
      <c r="A831" s="27">
        <v>46165.0</v>
      </c>
      <c r="B831" s="34" t="str">
        <f t="array" ref="B831">TEXT(A831, "MM-YYYY")</f>
        <v>05-2026</v>
      </c>
      <c r="C831" s="39" t="s">
        <v>1554</v>
      </c>
      <c r="D831" s="36" t="s">
        <v>210</v>
      </c>
      <c r="E831" s="36" t="s">
        <v>213</v>
      </c>
      <c r="F831" s="29" t="b">
        <v>1</v>
      </c>
      <c r="G831" s="36" t="s">
        <v>214</v>
      </c>
      <c r="H831" s="36" t="s">
        <v>215</v>
      </c>
      <c r="I831" s="281"/>
      <c r="J831" s="282"/>
      <c r="K831" s="37" t="s">
        <v>194</v>
      </c>
      <c r="L831" s="37" t="s">
        <v>194</v>
      </c>
      <c r="M831" s="37" t="s">
        <v>194</v>
      </c>
      <c r="N831" s="37" t="s">
        <v>194</v>
      </c>
      <c r="O831" s="37" t="s">
        <v>223</v>
      </c>
      <c r="P831" s="37" t="s">
        <v>224</v>
      </c>
      <c r="Q831" s="41">
        <v>46157.0</v>
      </c>
      <c r="R831" s="42">
        <v>1.0</v>
      </c>
      <c r="S831" s="44"/>
      <c r="T831" s="37" t="s">
        <v>2506</v>
      </c>
      <c r="U831" s="45" t="str">
        <f>IF(records_2[Type]="Room",records_2[roomNo],records_2[roomNo]&amp;"-"&amp;SUBSTITUTE(RIGHT(records_2[roomNo]&amp;records_2[Type],2),"-",""))</f>
        <v>16-3-100</v>
      </c>
      <c r="V831" s="47" t="str">
        <f t="array" ref="V831">_xlfn.XLOOKUP(records_2[ID], dAir[roomNo], dAir[roomName])</f>
        <v>AIRLOCK</v>
      </c>
      <c r="W831" s="47" t="str">
        <f t="array" ref="W831">_xlfn.XLOOKUP(records_2[ID], dAir[roomNo], dAir[building])</f>
        <v>Building 16</v>
      </c>
      <c r="X831" s="47" t="str">
        <f t="array" ref="X831">_xlfn.XLOOKUP(records_2[ID], dAir[roomNo], dAir[floor])</f>
        <v>Floor 3</v>
      </c>
      <c r="Y831" s="45" t="str">
        <f t="array" ref="Y831">_xlfn.XLOOKUP(records_2[ID], dAir[roomNo], dAir[Class])</f>
        <v>D</v>
      </c>
      <c r="Z831" s="45">
        <f t="array" ref="Z831">_xlfn.XLOOKUP(records_2[Method]&amp;"-"&amp;records_2[Class], dAirSpec[ID], dAirSpec[Spec])</f>
        <v>100</v>
      </c>
      <c r="AA831" s="45" t="str">
        <f t="array" ref="AA831">_xlfn.XLOOKUP(records_2[Method]&amp;"-"&amp;records_2[Class], dAirSpec[ID], dAirSpec[Unit])</f>
        <v>cfu/plate</v>
      </c>
      <c r="AB831" s="58">
        <f t="array" ref="AB831">if(R831="","", if(records_2[Method]="Active Air",_xlfn.xlookup(records_2[ColonyCount]&amp;records_2[AirSampler],feller[code],feller[Vc]),records_2[ColonyCount]))</f>
        <v>1</v>
      </c>
      <c r="AC831" s="60" t="b">
        <f t="shared" si="1"/>
        <v>1</v>
      </c>
      <c r="AD831" s="61" t="b">
        <v>0</v>
      </c>
      <c r="AE831" s="32" t="s">
        <v>280</v>
      </c>
      <c r="AF831" s="46"/>
      <c r="AG831" s="46"/>
      <c r="AH831" s="46"/>
      <c r="AI831" s="46"/>
      <c r="AJ831" s="46"/>
    </row>
    <row r="832" ht="22.5" customHeight="1">
      <c r="A832" s="27">
        <v>46165.0</v>
      </c>
      <c r="B832" s="34" t="str">
        <f t="array" ref="B832">TEXT(A832, "MM-YYYY")</f>
        <v>05-2026</v>
      </c>
      <c r="C832" s="39" t="s">
        <v>1555</v>
      </c>
      <c r="D832" s="36" t="s">
        <v>210</v>
      </c>
      <c r="E832" s="36" t="s">
        <v>213</v>
      </c>
      <c r="F832" s="29" t="b">
        <v>1</v>
      </c>
      <c r="G832" s="36" t="s">
        <v>214</v>
      </c>
      <c r="H832" s="36" t="s">
        <v>215</v>
      </c>
      <c r="I832" s="281"/>
      <c r="J832" s="282"/>
      <c r="K832" s="37" t="s">
        <v>194</v>
      </c>
      <c r="L832" s="37" t="s">
        <v>194</v>
      </c>
      <c r="M832" s="37" t="s">
        <v>194</v>
      </c>
      <c r="N832" s="37" t="s">
        <v>194</v>
      </c>
      <c r="O832" s="37" t="s">
        <v>223</v>
      </c>
      <c r="P832" s="37" t="s">
        <v>224</v>
      </c>
      <c r="Q832" s="41">
        <v>46157.0</v>
      </c>
      <c r="R832" s="42">
        <v>0.0</v>
      </c>
      <c r="S832" s="44"/>
      <c r="T832" s="37" t="s">
        <v>2506</v>
      </c>
      <c r="U832" s="45" t="str">
        <f>IF(records_2[Type]="Room",records_2[roomNo],records_2[roomNo]&amp;"-"&amp;SUBSTITUTE(RIGHT(records_2[roomNo]&amp;records_2[Type],2),"-",""))</f>
        <v>16-3-101</v>
      </c>
      <c r="V832" s="47" t="str">
        <f t="array" ref="V832">_xlfn.XLOOKUP(records_2[ID], dAir[roomNo], dAir[roomName])</f>
        <v>FILLING 3</v>
      </c>
      <c r="W832" s="47" t="str">
        <f t="array" ref="W832">_xlfn.XLOOKUP(records_2[ID], dAir[roomNo], dAir[building])</f>
        <v>Building 16</v>
      </c>
      <c r="X832" s="47" t="str">
        <f t="array" ref="X832">_xlfn.XLOOKUP(records_2[ID], dAir[roomNo], dAir[floor])</f>
        <v>Floor 3</v>
      </c>
      <c r="Y832" s="45" t="str">
        <f t="array" ref="Y832">_xlfn.XLOOKUP(records_2[ID], dAir[roomNo], dAir[Class])</f>
        <v>D</v>
      </c>
      <c r="Z832" s="45">
        <f t="array" ref="Z832">_xlfn.XLOOKUP(records_2[Method]&amp;"-"&amp;records_2[Class], dAirSpec[ID], dAirSpec[Spec])</f>
        <v>100</v>
      </c>
      <c r="AA832" s="45" t="str">
        <f t="array" ref="AA832">_xlfn.XLOOKUP(records_2[Method]&amp;"-"&amp;records_2[Class], dAirSpec[ID], dAirSpec[Unit])</f>
        <v>cfu/plate</v>
      </c>
      <c r="AB832" s="58">
        <f t="array" ref="AB832">if(R832="","", if(records_2[Method]="Active Air",_xlfn.xlookup(records_2[ColonyCount]&amp;records_2[AirSampler],feller[code],feller[Vc]),records_2[ColonyCount]))</f>
        <v>0</v>
      </c>
      <c r="AC832" s="60" t="b">
        <f t="shared" si="1"/>
        <v>1</v>
      </c>
      <c r="AD832" s="61" t="b">
        <v>0</v>
      </c>
      <c r="AE832" s="32" t="s">
        <v>280</v>
      </c>
      <c r="AF832" s="46"/>
      <c r="AG832" s="46"/>
      <c r="AH832" s="46"/>
      <c r="AI832" s="46"/>
      <c r="AJ832" s="46"/>
    </row>
    <row r="833" ht="22.5" customHeight="1">
      <c r="A833" s="27">
        <v>46165.0</v>
      </c>
      <c r="B833" s="34" t="str">
        <f t="array" ref="B833">TEXT(A833, "MM-YYYY")</f>
        <v>05-2026</v>
      </c>
      <c r="C833" s="39" t="s">
        <v>1557</v>
      </c>
      <c r="D833" s="36" t="s">
        <v>210</v>
      </c>
      <c r="E833" s="36" t="s">
        <v>213</v>
      </c>
      <c r="F833" s="29" t="b">
        <v>1</v>
      </c>
      <c r="G833" s="36" t="s">
        <v>214</v>
      </c>
      <c r="H833" s="36" t="s">
        <v>215</v>
      </c>
      <c r="I833" s="281"/>
      <c r="J833" s="282"/>
      <c r="K833" s="37" t="s">
        <v>194</v>
      </c>
      <c r="L833" s="37" t="s">
        <v>194</v>
      </c>
      <c r="M833" s="37" t="s">
        <v>194</v>
      </c>
      <c r="N833" s="37" t="s">
        <v>194</v>
      </c>
      <c r="O833" s="37" t="s">
        <v>223</v>
      </c>
      <c r="P833" s="37" t="s">
        <v>224</v>
      </c>
      <c r="Q833" s="41">
        <v>46157.0</v>
      </c>
      <c r="R833" s="42">
        <v>0.0</v>
      </c>
      <c r="S833" s="44"/>
      <c r="T833" s="37" t="s">
        <v>2506</v>
      </c>
      <c r="U833" s="45" t="str">
        <f>IF(records_2[Type]="Room",records_2[roomNo],records_2[roomNo]&amp;"-"&amp;SUBSTITUTE(RIGHT(records_2[roomNo]&amp;records_2[Type],2),"-",""))</f>
        <v>16-3-102</v>
      </c>
      <c r="V833" s="47" t="str">
        <f t="array" ref="V833">_xlfn.XLOOKUP(records_2[ID], dAir[roomNo], dAir[roomName])</f>
        <v>AIRLOCK</v>
      </c>
      <c r="W833" s="47" t="str">
        <f t="array" ref="W833">_xlfn.XLOOKUP(records_2[ID], dAir[roomNo], dAir[building])</f>
        <v>Building 16</v>
      </c>
      <c r="X833" s="47" t="str">
        <f t="array" ref="X833">_xlfn.XLOOKUP(records_2[ID], dAir[roomNo], dAir[floor])</f>
        <v>Floor 3</v>
      </c>
      <c r="Y833" s="45" t="str">
        <f t="array" ref="Y833">_xlfn.XLOOKUP(records_2[ID], dAir[roomNo], dAir[Class])</f>
        <v>D</v>
      </c>
      <c r="Z833" s="45">
        <f t="array" ref="Z833">_xlfn.XLOOKUP(records_2[Method]&amp;"-"&amp;records_2[Class], dAirSpec[ID], dAirSpec[Spec])</f>
        <v>100</v>
      </c>
      <c r="AA833" s="45" t="str">
        <f t="array" ref="AA833">_xlfn.XLOOKUP(records_2[Method]&amp;"-"&amp;records_2[Class], dAirSpec[ID], dAirSpec[Unit])</f>
        <v>cfu/plate</v>
      </c>
      <c r="AB833" s="58">
        <f t="array" ref="AB833">if(R833="","", if(records_2[Method]="Active Air",_xlfn.xlookup(records_2[ColonyCount]&amp;records_2[AirSampler],feller[code],feller[Vc]),records_2[ColonyCount]))</f>
        <v>0</v>
      </c>
      <c r="AC833" s="60" t="b">
        <f t="shared" si="1"/>
        <v>1</v>
      </c>
      <c r="AD833" s="61" t="b">
        <v>0</v>
      </c>
      <c r="AE833" s="32" t="s">
        <v>280</v>
      </c>
      <c r="AF833" s="46"/>
      <c r="AG833" s="46"/>
      <c r="AH833" s="46"/>
      <c r="AI833" s="46"/>
      <c r="AJ833" s="46"/>
    </row>
    <row r="834" ht="22.5" customHeight="1">
      <c r="A834" s="27">
        <v>46165.0</v>
      </c>
      <c r="B834" s="34" t="str">
        <f t="array" ref="B834">TEXT(A834, "MM-YYYY")</f>
        <v>05-2026</v>
      </c>
      <c r="C834" s="39" t="s">
        <v>1558</v>
      </c>
      <c r="D834" s="36" t="s">
        <v>210</v>
      </c>
      <c r="E834" s="36" t="s">
        <v>213</v>
      </c>
      <c r="F834" s="29" t="b">
        <v>1</v>
      </c>
      <c r="G834" s="36" t="s">
        <v>214</v>
      </c>
      <c r="H834" s="36" t="s">
        <v>215</v>
      </c>
      <c r="I834" s="281"/>
      <c r="J834" s="282"/>
      <c r="K834" s="37" t="s">
        <v>194</v>
      </c>
      <c r="L834" s="37" t="s">
        <v>194</v>
      </c>
      <c r="M834" s="37" t="s">
        <v>194</v>
      </c>
      <c r="N834" s="37" t="s">
        <v>194</v>
      </c>
      <c r="O834" s="37" t="s">
        <v>223</v>
      </c>
      <c r="P834" s="37" t="s">
        <v>224</v>
      </c>
      <c r="Q834" s="41">
        <v>46157.0</v>
      </c>
      <c r="R834" s="42">
        <v>4.0</v>
      </c>
      <c r="S834" s="44"/>
      <c r="T834" s="37" t="s">
        <v>2506</v>
      </c>
      <c r="U834" s="45" t="str">
        <f>IF(records_2[Type]="Room",records_2[roomNo],records_2[roomNo]&amp;"-"&amp;SUBSTITUTE(RIGHT(records_2[roomNo]&amp;records_2[Type],2),"-",""))</f>
        <v>16-3-103</v>
      </c>
      <c r="V834" s="47" t="str">
        <f t="array" ref="V834">_xlfn.XLOOKUP(records_2[ID], dAir[roomNo], dAir[roomName])</f>
        <v>FILLING 4</v>
      </c>
      <c r="W834" s="47" t="str">
        <f t="array" ref="W834">_xlfn.XLOOKUP(records_2[ID], dAir[roomNo], dAir[building])</f>
        <v>Building 16</v>
      </c>
      <c r="X834" s="47" t="str">
        <f t="array" ref="X834">_xlfn.XLOOKUP(records_2[ID], dAir[roomNo], dAir[floor])</f>
        <v>Floor 3</v>
      </c>
      <c r="Y834" s="45" t="str">
        <f t="array" ref="Y834">_xlfn.XLOOKUP(records_2[ID], dAir[roomNo], dAir[Class])</f>
        <v>D</v>
      </c>
      <c r="Z834" s="45">
        <f t="array" ref="Z834">_xlfn.XLOOKUP(records_2[Method]&amp;"-"&amp;records_2[Class], dAirSpec[ID], dAirSpec[Spec])</f>
        <v>100</v>
      </c>
      <c r="AA834" s="45" t="str">
        <f t="array" ref="AA834">_xlfn.XLOOKUP(records_2[Method]&amp;"-"&amp;records_2[Class], dAirSpec[ID], dAirSpec[Unit])</f>
        <v>cfu/plate</v>
      </c>
      <c r="AB834" s="58">
        <f t="array" ref="AB834">if(R834="","", if(records_2[Method]="Active Air",_xlfn.xlookup(records_2[ColonyCount]&amp;records_2[AirSampler],feller[code],feller[Vc]),records_2[ColonyCount]))</f>
        <v>4</v>
      </c>
      <c r="AC834" s="60" t="b">
        <f t="shared" si="1"/>
        <v>1</v>
      </c>
      <c r="AD834" s="61" t="b">
        <v>0</v>
      </c>
      <c r="AE834" s="32" t="s">
        <v>280</v>
      </c>
      <c r="AF834" s="46"/>
      <c r="AG834" s="46"/>
      <c r="AH834" s="46"/>
      <c r="AI834" s="46"/>
      <c r="AJ834" s="46"/>
    </row>
    <row r="835" ht="22.5" customHeight="1">
      <c r="A835" s="27">
        <v>46165.0</v>
      </c>
      <c r="B835" s="34" t="str">
        <f t="array" ref="B835">TEXT(A835, "MM-YYYY")</f>
        <v>05-2026</v>
      </c>
      <c r="C835" s="39" t="s">
        <v>1560</v>
      </c>
      <c r="D835" s="36" t="s">
        <v>210</v>
      </c>
      <c r="E835" s="36" t="s">
        <v>213</v>
      </c>
      <c r="F835" s="29" t="b">
        <v>1</v>
      </c>
      <c r="G835" s="36" t="s">
        <v>214</v>
      </c>
      <c r="H835" s="36" t="s">
        <v>215</v>
      </c>
      <c r="I835" s="281"/>
      <c r="J835" s="282"/>
      <c r="K835" s="37" t="s">
        <v>194</v>
      </c>
      <c r="L835" s="37" t="s">
        <v>194</v>
      </c>
      <c r="M835" s="37" t="s">
        <v>194</v>
      </c>
      <c r="N835" s="37" t="s">
        <v>194</v>
      </c>
      <c r="O835" s="37" t="s">
        <v>223</v>
      </c>
      <c r="P835" s="37" t="s">
        <v>224</v>
      </c>
      <c r="Q835" s="41">
        <v>46157.0</v>
      </c>
      <c r="R835" s="42">
        <v>2.0</v>
      </c>
      <c r="S835" s="44"/>
      <c r="T835" s="37" t="s">
        <v>2506</v>
      </c>
      <c r="U835" s="45" t="str">
        <f>IF(records_2[Type]="Room",records_2[roomNo],records_2[roomNo]&amp;"-"&amp;SUBSTITUTE(RIGHT(records_2[roomNo]&amp;records_2[Type],2),"-",""))</f>
        <v>16-3-104</v>
      </c>
      <c r="V835" s="47" t="str">
        <f t="array" ref="V835">_xlfn.XLOOKUP(records_2[ID], dAir[roomNo], dAir[roomName])</f>
        <v>AIRLOCK</v>
      </c>
      <c r="W835" s="47" t="str">
        <f t="array" ref="W835">_xlfn.XLOOKUP(records_2[ID], dAir[roomNo], dAir[building])</f>
        <v>Building 16</v>
      </c>
      <c r="X835" s="47" t="str">
        <f t="array" ref="X835">_xlfn.XLOOKUP(records_2[ID], dAir[roomNo], dAir[floor])</f>
        <v>Floor 3</v>
      </c>
      <c r="Y835" s="45" t="str">
        <f t="array" ref="Y835">_xlfn.XLOOKUP(records_2[ID], dAir[roomNo], dAir[Class])</f>
        <v>D</v>
      </c>
      <c r="Z835" s="45">
        <f t="array" ref="Z835">_xlfn.XLOOKUP(records_2[Method]&amp;"-"&amp;records_2[Class], dAirSpec[ID], dAirSpec[Spec])</f>
        <v>100</v>
      </c>
      <c r="AA835" s="45" t="str">
        <f t="array" ref="AA835">_xlfn.XLOOKUP(records_2[Method]&amp;"-"&amp;records_2[Class], dAirSpec[ID], dAirSpec[Unit])</f>
        <v>cfu/plate</v>
      </c>
      <c r="AB835" s="58">
        <f t="array" ref="AB835">if(R835="","", if(records_2[Method]="Active Air",_xlfn.xlookup(records_2[ColonyCount]&amp;records_2[AirSampler],feller[code],feller[Vc]),records_2[ColonyCount]))</f>
        <v>2</v>
      </c>
      <c r="AC835" s="60" t="b">
        <f t="shared" si="1"/>
        <v>1</v>
      </c>
      <c r="AD835" s="61" t="b">
        <v>0</v>
      </c>
      <c r="AE835" s="32" t="s">
        <v>280</v>
      </c>
      <c r="AF835" s="46"/>
      <c r="AG835" s="46"/>
      <c r="AH835" s="46"/>
      <c r="AI835" s="46"/>
      <c r="AJ835" s="46"/>
    </row>
    <row r="836" ht="22.5" customHeight="1">
      <c r="A836" s="27">
        <v>46165.0</v>
      </c>
      <c r="B836" s="34" t="str">
        <f t="array" ref="B836">TEXT(A836, "MM-YYYY")</f>
        <v>05-2026</v>
      </c>
      <c r="C836" s="39" t="s">
        <v>1561</v>
      </c>
      <c r="D836" s="36" t="s">
        <v>210</v>
      </c>
      <c r="E836" s="36" t="s">
        <v>213</v>
      </c>
      <c r="F836" s="29" t="b">
        <v>1</v>
      </c>
      <c r="G836" s="36" t="s">
        <v>214</v>
      </c>
      <c r="H836" s="36" t="s">
        <v>215</v>
      </c>
      <c r="I836" s="281"/>
      <c r="J836" s="282"/>
      <c r="K836" s="37" t="s">
        <v>194</v>
      </c>
      <c r="L836" s="37" t="s">
        <v>194</v>
      </c>
      <c r="M836" s="37" t="s">
        <v>194</v>
      </c>
      <c r="N836" s="37" t="s">
        <v>194</v>
      </c>
      <c r="O836" s="37" t="s">
        <v>223</v>
      </c>
      <c r="P836" s="37" t="s">
        <v>224</v>
      </c>
      <c r="Q836" s="41">
        <v>46157.0</v>
      </c>
      <c r="R836" s="42">
        <v>0.0</v>
      </c>
      <c r="S836" s="44"/>
      <c r="T836" s="37" t="s">
        <v>2506</v>
      </c>
      <c r="U836" s="45" t="str">
        <f>IF(records_2[Type]="Room",records_2[roomNo],records_2[roomNo]&amp;"-"&amp;SUBSTITUTE(RIGHT(records_2[roomNo]&amp;records_2[Type],2),"-",""))</f>
        <v>16-3-105</v>
      </c>
      <c r="V836" s="47" t="str">
        <f t="array" ref="V836">_xlfn.XLOOKUP(records_2[ID], dAir[roomNo], dAir[roomName])</f>
        <v>FILLING 5</v>
      </c>
      <c r="W836" s="47" t="str">
        <f t="array" ref="W836">_xlfn.XLOOKUP(records_2[ID], dAir[roomNo], dAir[building])</f>
        <v>Building 16</v>
      </c>
      <c r="X836" s="47" t="str">
        <f t="array" ref="X836">_xlfn.XLOOKUP(records_2[ID], dAir[roomNo], dAir[floor])</f>
        <v>Floor 3</v>
      </c>
      <c r="Y836" s="45" t="str">
        <f t="array" ref="Y836">_xlfn.XLOOKUP(records_2[ID], dAir[roomNo], dAir[Class])</f>
        <v>D</v>
      </c>
      <c r="Z836" s="45">
        <f t="array" ref="Z836">_xlfn.XLOOKUP(records_2[Method]&amp;"-"&amp;records_2[Class], dAirSpec[ID], dAirSpec[Spec])</f>
        <v>100</v>
      </c>
      <c r="AA836" s="45" t="str">
        <f t="array" ref="AA836">_xlfn.XLOOKUP(records_2[Method]&amp;"-"&amp;records_2[Class], dAirSpec[ID], dAirSpec[Unit])</f>
        <v>cfu/plate</v>
      </c>
      <c r="AB836" s="58">
        <f t="array" ref="AB836">if(R836="","", if(records_2[Method]="Active Air",_xlfn.xlookup(records_2[ColonyCount]&amp;records_2[AirSampler],feller[code],feller[Vc]),records_2[ColonyCount]))</f>
        <v>0</v>
      </c>
      <c r="AC836" s="60" t="b">
        <f t="shared" si="1"/>
        <v>1</v>
      </c>
      <c r="AD836" s="61" t="b">
        <v>0</v>
      </c>
      <c r="AE836" s="32" t="s">
        <v>280</v>
      </c>
      <c r="AF836" s="46"/>
      <c r="AG836" s="46"/>
      <c r="AH836" s="46"/>
      <c r="AI836" s="46"/>
      <c r="AJ836" s="46"/>
    </row>
    <row r="837" ht="22.5" customHeight="1">
      <c r="A837" s="27">
        <v>46165.0</v>
      </c>
      <c r="B837" s="34" t="str">
        <f t="array" ref="B837">TEXT(A837, "MM-YYYY")</f>
        <v>05-2026</v>
      </c>
      <c r="C837" s="39" t="s">
        <v>1563</v>
      </c>
      <c r="D837" s="36" t="s">
        <v>210</v>
      </c>
      <c r="E837" s="36" t="s">
        <v>213</v>
      </c>
      <c r="F837" s="29" t="b">
        <v>1</v>
      </c>
      <c r="G837" s="36" t="s">
        <v>214</v>
      </c>
      <c r="H837" s="36" t="s">
        <v>215</v>
      </c>
      <c r="I837" s="281"/>
      <c r="J837" s="282"/>
      <c r="K837" s="37" t="s">
        <v>194</v>
      </c>
      <c r="L837" s="37" t="s">
        <v>194</v>
      </c>
      <c r="M837" s="37" t="s">
        <v>194</v>
      </c>
      <c r="N837" s="37" t="s">
        <v>194</v>
      </c>
      <c r="O837" s="37" t="s">
        <v>223</v>
      </c>
      <c r="P837" s="37" t="s">
        <v>224</v>
      </c>
      <c r="Q837" s="41">
        <v>46157.0</v>
      </c>
      <c r="R837" s="42">
        <v>1.0</v>
      </c>
      <c r="S837" s="44"/>
      <c r="T837" s="37" t="s">
        <v>2506</v>
      </c>
      <c r="U837" s="45" t="str">
        <f>IF(records_2[Type]="Room",records_2[roomNo],records_2[roomNo]&amp;"-"&amp;SUBSTITUTE(RIGHT(records_2[roomNo]&amp;records_2[Type],2),"-",""))</f>
        <v>16-3-106</v>
      </c>
      <c r="V837" s="47" t="str">
        <f t="array" ref="V837">_xlfn.XLOOKUP(records_2[ID], dAir[roomNo], dAir[roomName])</f>
        <v>AIRLOCK</v>
      </c>
      <c r="W837" s="47" t="str">
        <f t="array" ref="W837">_xlfn.XLOOKUP(records_2[ID], dAir[roomNo], dAir[building])</f>
        <v>Building 16</v>
      </c>
      <c r="X837" s="47" t="str">
        <f t="array" ref="X837">_xlfn.XLOOKUP(records_2[ID], dAir[roomNo], dAir[floor])</f>
        <v>Floor 3</v>
      </c>
      <c r="Y837" s="45" t="str">
        <f t="array" ref="Y837">_xlfn.XLOOKUP(records_2[ID], dAir[roomNo], dAir[Class])</f>
        <v>D</v>
      </c>
      <c r="Z837" s="45">
        <f t="array" ref="Z837">_xlfn.XLOOKUP(records_2[Method]&amp;"-"&amp;records_2[Class], dAirSpec[ID], dAirSpec[Spec])</f>
        <v>100</v>
      </c>
      <c r="AA837" s="45" t="str">
        <f t="array" ref="AA837">_xlfn.XLOOKUP(records_2[Method]&amp;"-"&amp;records_2[Class], dAirSpec[ID], dAirSpec[Unit])</f>
        <v>cfu/plate</v>
      </c>
      <c r="AB837" s="58">
        <f t="array" ref="AB837">if(R837="","", if(records_2[Method]="Active Air",_xlfn.xlookup(records_2[ColonyCount]&amp;records_2[AirSampler],feller[code],feller[Vc]),records_2[ColonyCount]))</f>
        <v>1</v>
      </c>
      <c r="AC837" s="60" t="b">
        <f t="shared" si="1"/>
        <v>1</v>
      </c>
      <c r="AD837" s="61" t="b">
        <v>0</v>
      </c>
      <c r="AE837" s="32" t="s">
        <v>280</v>
      </c>
      <c r="AF837" s="46"/>
      <c r="AG837" s="46"/>
      <c r="AH837" s="46"/>
      <c r="AI837" s="46"/>
      <c r="AJ837" s="46"/>
    </row>
    <row r="838" ht="22.5" customHeight="1">
      <c r="A838" s="27">
        <v>46165.0</v>
      </c>
      <c r="B838" s="34" t="str">
        <f t="array" ref="B838">TEXT(A838, "MM-YYYY")</f>
        <v>05-2026</v>
      </c>
      <c r="C838" s="39" t="s">
        <v>1564</v>
      </c>
      <c r="D838" s="36" t="s">
        <v>210</v>
      </c>
      <c r="E838" s="36" t="s">
        <v>213</v>
      </c>
      <c r="F838" s="29" t="b">
        <v>1</v>
      </c>
      <c r="G838" s="36" t="s">
        <v>214</v>
      </c>
      <c r="H838" s="36" t="s">
        <v>215</v>
      </c>
      <c r="I838" s="281"/>
      <c r="J838" s="282"/>
      <c r="K838" s="37" t="s">
        <v>194</v>
      </c>
      <c r="L838" s="37" t="s">
        <v>194</v>
      </c>
      <c r="M838" s="37" t="s">
        <v>194</v>
      </c>
      <c r="N838" s="37" t="s">
        <v>194</v>
      </c>
      <c r="O838" s="37" t="s">
        <v>223</v>
      </c>
      <c r="P838" s="37" t="s">
        <v>224</v>
      </c>
      <c r="Q838" s="41">
        <v>46157.0</v>
      </c>
      <c r="R838" s="42">
        <v>0.0</v>
      </c>
      <c r="S838" s="44"/>
      <c r="T838" s="37" t="s">
        <v>2506</v>
      </c>
      <c r="U838" s="45" t="str">
        <f>IF(records_2[Type]="Room",records_2[roomNo],records_2[roomNo]&amp;"-"&amp;SUBSTITUTE(RIGHT(records_2[roomNo]&amp;records_2[Type],2),"-",""))</f>
        <v>16-3-107</v>
      </c>
      <c r="V838" s="47" t="str">
        <f t="array" ref="V838">_xlfn.XLOOKUP(records_2[ID], dAir[roomNo], dAir[roomName])</f>
        <v>FILLING 6</v>
      </c>
      <c r="W838" s="47" t="str">
        <f t="array" ref="W838">_xlfn.XLOOKUP(records_2[ID], dAir[roomNo], dAir[building])</f>
        <v>Building 16</v>
      </c>
      <c r="X838" s="47" t="str">
        <f t="array" ref="X838">_xlfn.XLOOKUP(records_2[ID], dAir[roomNo], dAir[floor])</f>
        <v>Floor 3</v>
      </c>
      <c r="Y838" s="45" t="str">
        <f t="array" ref="Y838">_xlfn.XLOOKUP(records_2[ID], dAir[roomNo], dAir[Class])</f>
        <v>D</v>
      </c>
      <c r="Z838" s="45">
        <f t="array" ref="Z838">_xlfn.XLOOKUP(records_2[Method]&amp;"-"&amp;records_2[Class], dAirSpec[ID], dAirSpec[Spec])</f>
        <v>100</v>
      </c>
      <c r="AA838" s="45" t="str">
        <f t="array" ref="AA838">_xlfn.XLOOKUP(records_2[Method]&amp;"-"&amp;records_2[Class], dAirSpec[ID], dAirSpec[Unit])</f>
        <v>cfu/plate</v>
      </c>
      <c r="AB838" s="58">
        <f t="array" ref="AB838">if(R838="","", if(records_2[Method]="Active Air",_xlfn.xlookup(records_2[ColonyCount]&amp;records_2[AirSampler],feller[code],feller[Vc]),records_2[ColonyCount]))</f>
        <v>0</v>
      </c>
      <c r="AC838" s="60" t="b">
        <f t="shared" si="1"/>
        <v>1</v>
      </c>
      <c r="AD838" s="61" t="b">
        <v>0</v>
      </c>
      <c r="AE838" s="32" t="s">
        <v>280</v>
      </c>
      <c r="AF838" s="46"/>
      <c r="AG838" s="46"/>
      <c r="AH838" s="46"/>
      <c r="AI838" s="46"/>
      <c r="AJ838" s="46"/>
    </row>
    <row r="839" ht="22.5" customHeight="1">
      <c r="A839" s="27">
        <v>46165.0</v>
      </c>
      <c r="B839" s="34" t="str">
        <f t="array" ref="B839">TEXT(A839, "MM-YYYY")</f>
        <v>05-2026</v>
      </c>
      <c r="C839" s="39" t="s">
        <v>1566</v>
      </c>
      <c r="D839" s="36" t="s">
        <v>210</v>
      </c>
      <c r="E839" s="36" t="s">
        <v>213</v>
      </c>
      <c r="F839" s="29" t="b">
        <v>1</v>
      </c>
      <c r="G839" s="36" t="s">
        <v>214</v>
      </c>
      <c r="H839" s="36" t="s">
        <v>215</v>
      </c>
      <c r="I839" s="281"/>
      <c r="J839" s="282"/>
      <c r="K839" s="37" t="s">
        <v>194</v>
      </c>
      <c r="L839" s="37" t="s">
        <v>194</v>
      </c>
      <c r="M839" s="37" t="s">
        <v>194</v>
      </c>
      <c r="N839" s="37" t="s">
        <v>194</v>
      </c>
      <c r="O839" s="37" t="s">
        <v>223</v>
      </c>
      <c r="P839" s="37" t="s">
        <v>224</v>
      </c>
      <c r="Q839" s="41">
        <v>46157.0</v>
      </c>
      <c r="R839" s="42">
        <v>1.0</v>
      </c>
      <c r="S839" s="44"/>
      <c r="T839" s="37" t="s">
        <v>2506</v>
      </c>
      <c r="U839" s="45" t="str">
        <f>IF(records_2[Type]="Room",records_2[roomNo],records_2[roomNo]&amp;"-"&amp;SUBSTITUTE(RIGHT(records_2[roomNo]&amp;records_2[Type],2),"-",""))</f>
        <v>16-3-108</v>
      </c>
      <c r="V839" s="47" t="str">
        <f t="array" ref="V839">_xlfn.XLOOKUP(records_2[ID], dAir[roomNo], dAir[roomName])</f>
        <v>AIRLOCK</v>
      </c>
      <c r="W839" s="47" t="str">
        <f t="array" ref="W839">_xlfn.XLOOKUP(records_2[ID], dAir[roomNo], dAir[building])</f>
        <v>Building 16</v>
      </c>
      <c r="X839" s="47" t="str">
        <f t="array" ref="X839">_xlfn.XLOOKUP(records_2[ID], dAir[roomNo], dAir[floor])</f>
        <v>Floor 3</v>
      </c>
      <c r="Y839" s="45" t="str">
        <f t="array" ref="Y839">_xlfn.XLOOKUP(records_2[ID], dAir[roomNo], dAir[Class])</f>
        <v>D</v>
      </c>
      <c r="Z839" s="45">
        <f t="array" ref="Z839">_xlfn.XLOOKUP(records_2[Method]&amp;"-"&amp;records_2[Class], dAirSpec[ID], dAirSpec[Spec])</f>
        <v>100</v>
      </c>
      <c r="AA839" s="45" t="str">
        <f t="array" ref="AA839">_xlfn.XLOOKUP(records_2[Method]&amp;"-"&amp;records_2[Class], dAirSpec[ID], dAirSpec[Unit])</f>
        <v>cfu/plate</v>
      </c>
      <c r="AB839" s="58">
        <f t="array" ref="AB839">if(R839="","", if(records_2[Method]="Active Air",_xlfn.xlookup(records_2[ColonyCount]&amp;records_2[AirSampler],feller[code],feller[Vc]),records_2[ColonyCount]))</f>
        <v>1</v>
      </c>
      <c r="AC839" s="60" t="b">
        <f t="shared" si="1"/>
        <v>1</v>
      </c>
      <c r="AD839" s="61" t="b">
        <v>0</v>
      </c>
      <c r="AE839" s="32" t="s">
        <v>280</v>
      </c>
      <c r="AF839" s="46"/>
      <c r="AG839" s="46"/>
      <c r="AH839" s="46"/>
      <c r="AI839" s="46"/>
      <c r="AJ839" s="46"/>
    </row>
    <row r="840" ht="22.5" customHeight="1">
      <c r="A840" s="27">
        <v>46165.0</v>
      </c>
      <c r="B840" s="34" t="str">
        <f t="array" ref="B840">TEXT(A840, "MM-YYYY")</f>
        <v>05-2026</v>
      </c>
      <c r="C840" s="39" t="s">
        <v>1018</v>
      </c>
      <c r="D840" s="36" t="s">
        <v>210</v>
      </c>
      <c r="E840" s="36" t="s">
        <v>213</v>
      </c>
      <c r="F840" s="29" t="b">
        <v>1</v>
      </c>
      <c r="G840" s="36" t="s">
        <v>214</v>
      </c>
      <c r="H840" s="36" t="s">
        <v>215</v>
      </c>
      <c r="I840" s="281"/>
      <c r="J840" s="282"/>
      <c r="K840" s="37" t="s">
        <v>194</v>
      </c>
      <c r="L840" s="37" t="s">
        <v>194</v>
      </c>
      <c r="M840" s="37" t="s">
        <v>194</v>
      </c>
      <c r="N840" s="37" t="s">
        <v>194</v>
      </c>
      <c r="O840" s="37" t="s">
        <v>223</v>
      </c>
      <c r="P840" s="37" t="s">
        <v>224</v>
      </c>
      <c r="Q840" s="41">
        <v>46157.0</v>
      </c>
      <c r="R840" s="42">
        <v>0.0</v>
      </c>
      <c r="S840" s="44"/>
      <c r="T840" s="37" t="s">
        <v>2506</v>
      </c>
      <c r="U840" s="45" t="str">
        <f>IF(records_2[Type]="Room",records_2[roomNo],records_2[roomNo]&amp;"-"&amp;SUBSTITUTE(RIGHT(records_2[roomNo]&amp;records_2[Type],2),"-",""))</f>
        <v>16-3-109</v>
      </c>
      <c r="V840" s="47" t="str">
        <f t="array" ref="V840">_xlfn.XLOOKUP(records_2[ID], dAir[roomNo], dAir[roomName])</f>
        <v>FILLING 7</v>
      </c>
      <c r="W840" s="47" t="str">
        <f t="array" ref="W840">_xlfn.XLOOKUP(records_2[ID], dAir[roomNo], dAir[building])</f>
        <v>Building 16</v>
      </c>
      <c r="X840" s="47" t="str">
        <f t="array" ref="X840">_xlfn.XLOOKUP(records_2[ID], dAir[roomNo], dAir[floor])</f>
        <v>Floor 3</v>
      </c>
      <c r="Y840" s="45" t="str">
        <f t="array" ref="Y840">_xlfn.XLOOKUP(records_2[ID], dAir[roomNo], dAir[Class])</f>
        <v>D</v>
      </c>
      <c r="Z840" s="45">
        <f t="array" ref="Z840">_xlfn.XLOOKUP(records_2[Method]&amp;"-"&amp;records_2[Class], dAirSpec[ID], dAirSpec[Spec])</f>
        <v>100</v>
      </c>
      <c r="AA840" s="45" t="str">
        <f t="array" ref="AA840">_xlfn.XLOOKUP(records_2[Method]&amp;"-"&amp;records_2[Class], dAirSpec[ID], dAirSpec[Unit])</f>
        <v>cfu/plate</v>
      </c>
      <c r="AB840" s="58">
        <f t="array" ref="AB840">if(R840="","", if(records_2[Method]="Active Air",_xlfn.xlookup(records_2[ColonyCount]&amp;records_2[AirSampler],feller[code],feller[Vc]),records_2[ColonyCount]))</f>
        <v>0</v>
      </c>
      <c r="AC840" s="60" t="b">
        <f t="shared" si="1"/>
        <v>1</v>
      </c>
      <c r="AD840" s="61" t="b">
        <v>0</v>
      </c>
      <c r="AE840" s="32" t="s">
        <v>280</v>
      </c>
      <c r="AF840" s="46"/>
      <c r="AG840" s="46"/>
      <c r="AH840" s="46"/>
      <c r="AI840" s="46"/>
      <c r="AJ840" s="46"/>
    </row>
    <row r="841" ht="22.5" customHeight="1">
      <c r="A841" s="27">
        <v>46165.0</v>
      </c>
      <c r="B841" s="34" t="str">
        <f t="array" ref="B841">TEXT(A841, "MM-YYYY")</f>
        <v>05-2026</v>
      </c>
      <c r="C841" s="39" t="s">
        <v>1567</v>
      </c>
      <c r="D841" s="36" t="s">
        <v>210</v>
      </c>
      <c r="E841" s="36" t="s">
        <v>213</v>
      </c>
      <c r="F841" s="29" t="b">
        <v>1</v>
      </c>
      <c r="G841" s="36" t="s">
        <v>214</v>
      </c>
      <c r="H841" s="36" t="s">
        <v>215</v>
      </c>
      <c r="I841" s="281"/>
      <c r="J841" s="282"/>
      <c r="K841" s="37" t="s">
        <v>194</v>
      </c>
      <c r="L841" s="37" t="s">
        <v>194</v>
      </c>
      <c r="M841" s="37" t="s">
        <v>194</v>
      </c>
      <c r="N841" s="37" t="s">
        <v>194</v>
      </c>
      <c r="O841" s="37" t="s">
        <v>223</v>
      </c>
      <c r="P841" s="37" t="s">
        <v>224</v>
      </c>
      <c r="Q841" s="41">
        <v>46157.0</v>
      </c>
      <c r="R841" s="42">
        <v>1.0</v>
      </c>
      <c r="S841" s="44"/>
      <c r="T841" s="37" t="s">
        <v>2506</v>
      </c>
      <c r="U841" s="45" t="str">
        <f>IF(records_2[Type]="Room",records_2[roomNo],records_2[roomNo]&amp;"-"&amp;SUBSTITUTE(RIGHT(records_2[roomNo]&amp;records_2[Type],2),"-",""))</f>
        <v>16-3-114</v>
      </c>
      <c r="V841" s="47" t="str">
        <f t="array" ref="V841">_xlfn.XLOOKUP(records_2[ID], dAir[roomNo], dAir[roomName])</f>
        <v>MAL</v>
      </c>
      <c r="W841" s="47" t="str">
        <f t="array" ref="W841">_xlfn.XLOOKUP(records_2[ID], dAir[roomNo], dAir[building])</f>
        <v>Building 16</v>
      </c>
      <c r="X841" s="47" t="str">
        <f t="array" ref="X841">_xlfn.XLOOKUP(records_2[ID], dAir[roomNo], dAir[floor])</f>
        <v>Floor 3</v>
      </c>
      <c r="Y841" s="45" t="str">
        <f t="array" ref="Y841">_xlfn.XLOOKUP(records_2[ID], dAir[roomNo], dAir[Class])</f>
        <v>D</v>
      </c>
      <c r="Z841" s="45">
        <f t="array" ref="Z841">_xlfn.XLOOKUP(records_2[Method]&amp;"-"&amp;records_2[Class], dAirSpec[ID], dAirSpec[Spec])</f>
        <v>100</v>
      </c>
      <c r="AA841" s="45" t="str">
        <f t="array" ref="AA841">_xlfn.XLOOKUP(records_2[Method]&amp;"-"&amp;records_2[Class], dAirSpec[ID], dAirSpec[Unit])</f>
        <v>cfu/plate</v>
      </c>
      <c r="AB841" s="58">
        <f t="array" ref="AB841">if(R841="","", if(records_2[Method]="Active Air",_xlfn.xlookup(records_2[ColonyCount]&amp;records_2[AirSampler],feller[code],feller[Vc]),records_2[ColonyCount]))</f>
        <v>1</v>
      </c>
      <c r="AC841" s="60" t="b">
        <f t="shared" si="1"/>
        <v>1</v>
      </c>
      <c r="AD841" s="61" t="b">
        <v>0</v>
      </c>
      <c r="AE841" s="32" t="s">
        <v>280</v>
      </c>
      <c r="AF841" s="46"/>
      <c r="AG841" s="46"/>
      <c r="AH841" s="46"/>
      <c r="AI841" s="46"/>
      <c r="AJ841" s="46"/>
    </row>
    <row r="842" ht="22.5" customHeight="1">
      <c r="A842" s="27">
        <v>46165.0</v>
      </c>
      <c r="B842" s="34" t="str">
        <f t="array" ref="B842">TEXT(A842, "MM-YYYY")</f>
        <v>05-2026</v>
      </c>
      <c r="C842" s="39" t="s">
        <v>1568</v>
      </c>
      <c r="D842" s="36" t="s">
        <v>210</v>
      </c>
      <c r="E842" s="36" t="s">
        <v>213</v>
      </c>
      <c r="F842" s="29" t="b">
        <v>1</v>
      </c>
      <c r="G842" s="36" t="s">
        <v>214</v>
      </c>
      <c r="H842" s="36" t="s">
        <v>215</v>
      </c>
      <c r="I842" s="281"/>
      <c r="J842" s="282"/>
      <c r="K842" s="37" t="s">
        <v>194</v>
      </c>
      <c r="L842" s="37" t="s">
        <v>194</v>
      </c>
      <c r="M842" s="37" t="s">
        <v>194</v>
      </c>
      <c r="N842" s="37" t="s">
        <v>194</v>
      </c>
      <c r="O842" s="37" t="s">
        <v>223</v>
      </c>
      <c r="P842" s="37" t="s">
        <v>224</v>
      </c>
      <c r="Q842" s="41">
        <v>46157.0</v>
      </c>
      <c r="R842" s="42">
        <v>2.0</v>
      </c>
      <c r="S842" s="44"/>
      <c r="T842" s="37" t="s">
        <v>2506</v>
      </c>
      <c r="U842" s="45" t="str">
        <f>IF(records_2[Type]="Room",records_2[roomNo],records_2[roomNo]&amp;"-"&amp;SUBSTITUTE(RIGHT(records_2[roomNo]&amp;records_2[Type],2),"-",""))</f>
        <v>16-3-115</v>
      </c>
      <c r="V842" s="47" t="str">
        <f t="array" ref="V842">_xlfn.XLOOKUP(records_2[ID], dAir[roomNo], dAir[roomName])</f>
        <v>CORRIDOR</v>
      </c>
      <c r="W842" s="47" t="str">
        <f t="array" ref="W842">_xlfn.XLOOKUP(records_2[ID], dAir[roomNo], dAir[building])</f>
        <v>Building 16</v>
      </c>
      <c r="X842" s="47" t="str">
        <f t="array" ref="X842">_xlfn.XLOOKUP(records_2[ID], dAir[roomNo], dAir[floor])</f>
        <v>Floor 3</v>
      </c>
      <c r="Y842" s="45" t="str">
        <f t="array" ref="Y842">_xlfn.XLOOKUP(records_2[ID], dAir[roomNo], dAir[Class])</f>
        <v>D</v>
      </c>
      <c r="Z842" s="45">
        <f t="array" ref="Z842">_xlfn.XLOOKUP(records_2[Method]&amp;"-"&amp;records_2[Class], dAirSpec[ID], dAirSpec[Spec])</f>
        <v>100</v>
      </c>
      <c r="AA842" s="45" t="str">
        <f t="array" ref="AA842">_xlfn.XLOOKUP(records_2[Method]&amp;"-"&amp;records_2[Class], dAirSpec[ID], dAirSpec[Unit])</f>
        <v>cfu/plate</v>
      </c>
      <c r="AB842" s="58">
        <f t="array" ref="AB842">if(R842="","", if(records_2[Method]="Active Air",_xlfn.xlookup(records_2[ColonyCount]&amp;records_2[AirSampler],feller[code],feller[Vc]),records_2[ColonyCount]))</f>
        <v>2</v>
      </c>
      <c r="AC842" s="60" t="b">
        <f t="shared" si="1"/>
        <v>1</v>
      </c>
      <c r="AD842" s="61" t="b">
        <v>0</v>
      </c>
      <c r="AE842" s="32" t="s">
        <v>280</v>
      </c>
      <c r="AF842" s="46"/>
      <c r="AG842" s="46"/>
      <c r="AH842" s="46"/>
      <c r="AI842" s="46"/>
      <c r="AJ842" s="46"/>
    </row>
    <row r="843" ht="22.5" customHeight="1">
      <c r="A843" s="27">
        <v>46165.0</v>
      </c>
      <c r="B843" s="34" t="str">
        <f t="array" ref="B843">TEXT(A843, "MM-YYYY")</f>
        <v>05-2026</v>
      </c>
      <c r="C843" s="39" t="s">
        <v>1569</v>
      </c>
      <c r="D843" s="36" t="s">
        <v>210</v>
      </c>
      <c r="E843" s="36" t="s">
        <v>213</v>
      </c>
      <c r="F843" s="29" t="b">
        <v>1</v>
      </c>
      <c r="G843" s="36" t="s">
        <v>214</v>
      </c>
      <c r="H843" s="36" t="s">
        <v>215</v>
      </c>
      <c r="I843" s="281"/>
      <c r="J843" s="282"/>
      <c r="K843" s="37" t="s">
        <v>194</v>
      </c>
      <c r="L843" s="37" t="s">
        <v>194</v>
      </c>
      <c r="M843" s="37" t="s">
        <v>194</v>
      </c>
      <c r="N843" s="37" t="s">
        <v>194</v>
      </c>
      <c r="O843" s="37" t="s">
        <v>223</v>
      </c>
      <c r="P843" s="37" t="s">
        <v>224</v>
      </c>
      <c r="Q843" s="41">
        <v>46157.0</v>
      </c>
      <c r="R843" s="42">
        <v>1.0</v>
      </c>
      <c r="S843" s="44"/>
      <c r="T843" s="37" t="s">
        <v>2506</v>
      </c>
      <c r="U843" s="45" t="str">
        <f>IF(records_2[Type]="Room",records_2[roomNo],records_2[roomNo]&amp;"-"&amp;SUBSTITUTE(RIGHT(records_2[roomNo]&amp;records_2[Type],2),"-",""))</f>
        <v>16-3-116</v>
      </c>
      <c r="V843" s="47" t="str">
        <f t="array" ref="V843">_xlfn.XLOOKUP(records_2[ID], dAir[roomNo], dAir[roomName])</f>
        <v>CORRIDOR</v>
      </c>
      <c r="W843" s="47" t="str">
        <f t="array" ref="W843">_xlfn.XLOOKUP(records_2[ID], dAir[roomNo], dAir[building])</f>
        <v>Building 16</v>
      </c>
      <c r="X843" s="47" t="str">
        <f t="array" ref="X843">_xlfn.XLOOKUP(records_2[ID], dAir[roomNo], dAir[floor])</f>
        <v>Floor 3</v>
      </c>
      <c r="Y843" s="45" t="str">
        <f t="array" ref="Y843">_xlfn.XLOOKUP(records_2[ID], dAir[roomNo], dAir[Class])</f>
        <v>D</v>
      </c>
      <c r="Z843" s="45">
        <f t="array" ref="Z843">_xlfn.XLOOKUP(records_2[Method]&amp;"-"&amp;records_2[Class], dAirSpec[ID], dAirSpec[Spec])</f>
        <v>100</v>
      </c>
      <c r="AA843" s="45" t="str">
        <f t="array" ref="AA843">_xlfn.XLOOKUP(records_2[Method]&amp;"-"&amp;records_2[Class], dAirSpec[ID], dAirSpec[Unit])</f>
        <v>cfu/plate</v>
      </c>
      <c r="AB843" s="58">
        <f t="array" ref="AB843">if(R843="","", if(records_2[Method]="Active Air",_xlfn.xlookup(records_2[ColonyCount]&amp;records_2[AirSampler],feller[code],feller[Vc]),records_2[ColonyCount]))</f>
        <v>1</v>
      </c>
      <c r="AC843" s="60" t="b">
        <f t="shared" si="1"/>
        <v>1</v>
      </c>
      <c r="AD843" s="61" t="b">
        <v>0</v>
      </c>
      <c r="AE843" s="32" t="s">
        <v>280</v>
      </c>
      <c r="AF843" s="46"/>
      <c r="AG843" s="46"/>
      <c r="AH843" s="46"/>
      <c r="AI843" s="46"/>
      <c r="AJ843" s="46"/>
    </row>
    <row r="844" ht="22.5" customHeight="1">
      <c r="A844" s="27">
        <v>46167.0</v>
      </c>
      <c r="B844" s="34" t="str">
        <f t="array" ref="B844">TEXT(A844, "MM-YYYY")</f>
        <v>05-2026</v>
      </c>
      <c r="C844" s="39" t="s">
        <v>753</v>
      </c>
      <c r="D844" s="36" t="s">
        <v>755</v>
      </c>
      <c r="E844" s="36" t="s">
        <v>531</v>
      </c>
      <c r="F844" s="29" t="b">
        <v>1</v>
      </c>
      <c r="G844" s="36" t="s">
        <v>214</v>
      </c>
      <c r="H844" s="36" t="s">
        <v>757</v>
      </c>
      <c r="I844" s="39">
        <v>3.1101125E8</v>
      </c>
      <c r="J844" s="40">
        <v>46240.0</v>
      </c>
      <c r="K844" s="37" t="s">
        <v>1546</v>
      </c>
      <c r="L844" s="37" t="s">
        <v>2420</v>
      </c>
      <c r="M844" s="37" t="s">
        <v>194</v>
      </c>
      <c r="N844" s="37" t="s">
        <v>194</v>
      </c>
      <c r="O844" s="37" t="s">
        <v>759</v>
      </c>
      <c r="P844" s="37" t="s">
        <v>760</v>
      </c>
      <c r="Q844" s="41">
        <v>46195.0</v>
      </c>
      <c r="R844" s="42">
        <v>0.0</v>
      </c>
      <c r="S844" s="44"/>
      <c r="T844" s="37" t="s">
        <v>2508</v>
      </c>
      <c r="U844" s="45" t="str">
        <f>IF(records_2[Type]="Room",records_2[roomNo],records_2[roomNo]&amp;"-"&amp;SUBSTITUTE(RIGHT(records_2[roomNo]&amp;records_2[Type],2),"-",""))</f>
        <v>16-1-075-M</v>
      </c>
      <c r="V844" s="47" t="str">
        <f t="array" ref="V844">_xlfn.XLOOKUP(records_2[ID], dAir[roomNo], dAir[roomName])</f>
        <v>VIALS CAPPING (Machine)</v>
      </c>
      <c r="W844" s="47" t="str">
        <f t="array" ref="W844">_xlfn.XLOOKUP(records_2[ID], dAir[roomNo], dAir[building])</f>
        <v>Building 16</v>
      </c>
      <c r="X844" s="47" t="str">
        <f t="array" ref="X844">_xlfn.XLOOKUP(records_2[ID], dAir[roomNo], dAir[floor])</f>
        <v>Floor 1</v>
      </c>
      <c r="Y844" s="45" t="str">
        <f t="array" ref="Y844">_xlfn.XLOOKUP(records_2[ID], dAir[roomNo], dAir[Class])</f>
        <v>A</v>
      </c>
      <c r="Z844" s="45">
        <f t="array" ref="Z844">_xlfn.XLOOKUP(records_2[Method]&amp;"-"&amp;records_2[Class], dAirSpec[ID], dAirSpec[Spec])</f>
        <v>0</v>
      </c>
      <c r="AA844" s="45" t="str">
        <f t="array" ref="AA844">_xlfn.XLOOKUP(records_2[Method]&amp;"-"&amp;records_2[Class], dAirSpec[ID], dAirSpec[Unit])</f>
        <v>cfu/m3</v>
      </c>
      <c r="AB844" s="45">
        <f t="array" ref="AB844">if(R844="","", if(records_2[Method]="Active Air",_xlfn.xlookup(records_2[ColonyCount]&amp;records_2[AirSampler],feller[code],feller[Vc]),records_2[ColonyCount]))</f>
        <v>0</v>
      </c>
      <c r="AC844" s="60" t="b">
        <f t="shared" si="1"/>
        <v>1</v>
      </c>
      <c r="AD844" s="61" t="b">
        <v>0</v>
      </c>
      <c r="AE844" s="32" t="s">
        <v>280</v>
      </c>
      <c r="AF844" s="46"/>
      <c r="AG844" s="46"/>
      <c r="AH844" s="46"/>
      <c r="AI844" s="46"/>
      <c r="AJ844" s="46"/>
    </row>
    <row r="845" ht="22.5" customHeight="1">
      <c r="A845" s="27">
        <v>46167.0</v>
      </c>
      <c r="B845" s="34" t="str">
        <f t="array" ref="B845">TEXT(A845, "MM-YYYY")</f>
        <v>05-2026</v>
      </c>
      <c r="C845" s="39" t="s">
        <v>765</v>
      </c>
      <c r="D845" s="36" t="s">
        <v>755</v>
      </c>
      <c r="E845" s="36" t="s">
        <v>531</v>
      </c>
      <c r="F845" s="29" t="b">
        <v>1</v>
      </c>
      <c r="G845" s="36" t="s">
        <v>214</v>
      </c>
      <c r="H845" s="36" t="s">
        <v>757</v>
      </c>
      <c r="I845" s="39">
        <v>3.1101125E8</v>
      </c>
      <c r="J845" s="40">
        <v>46240.0</v>
      </c>
      <c r="K845" s="37" t="s">
        <v>1157</v>
      </c>
      <c r="L845" s="37" t="s">
        <v>817</v>
      </c>
      <c r="M845" s="37" t="s">
        <v>194</v>
      </c>
      <c r="N845" s="37" t="s">
        <v>194</v>
      </c>
      <c r="O845" s="37" t="s">
        <v>759</v>
      </c>
      <c r="P845" s="37" t="s">
        <v>760</v>
      </c>
      <c r="Q845" s="41">
        <v>46195.0</v>
      </c>
      <c r="R845" s="42">
        <v>0.0</v>
      </c>
      <c r="S845" s="44"/>
      <c r="T845" s="37" t="s">
        <v>2508</v>
      </c>
      <c r="U845" s="45" t="str">
        <f>IF(records_2[Type]="Room",records_2[roomNo],records_2[roomNo]&amp;"-"&amp;SUBSTITUTE(RIGHT(records_2[roomNo]&amp;records_2[Type],2),"-",""))</f>
        <v>16-1-076-M</v>
      </c>
      <c r="V845" s="47" t="str">
        <f t="array" ref="V845">_xlfn.XLOOKUP(records_2[ID], dAir[roomNo], dAir[roomName])</f>
        <v>FILLING 2 (Machine)</v>
      </c>
      <c r="W845" s="47" t="str">
        <f t="array" ref="W845">_xlfn.XLOOKUP(records_2[ID], dAir[roomNo], dAir[building])</f>
        <v>Building 16</v>
      </c>
      <c r="X845" s="47" t="str">
        <f t="array" ref="X845">_xlfn.XLOOKUP(records_2[ID], dAir[roomNo], dAir[floor])</f>
        <v>Floor 1</v>
      </c>
      <c r="Y845" s="45" t="str">
        <f t="array" ref="Y845">_xlfn.XLOOKUP(records_2[ID], dAir[roomNo], dAir[Class])</f>
        <v>A</v>
      </c>
      <c r="Z845" s="45">
        <f t="array" ref="Z845">_xlfn.XLOOKUP(records_2[Method]&amp;"-"&amp;records_2[Class], dAirSpec[ID], dAirSpec[Spec])</f>
        <v>0</v>
      </c>
      <c r="AA845" s="45" t="str">
        <f t="array" ref="AA845">_xlfn.XLOOKUP(records_2[Method]&amp;"-"&amp;records_2[Class], dAirSpec[ID], dAirSpec[Unit])</f>
        <v>cfu/m3</v>
      </c>
      <c r="AB845" s="45">
        <f t="array" ref="AB845">if(R845="","", if(records_2[Method]="Active Air",_xlfn.xlookup(records_2[ColonyCount]&amp;records_2[AirSampler],feller[code],feller[Vc]),records_2[ColonyCount]))</f>
        <v>0</v>
      </c>
      <c r="AC845" s="60" t="b">
        <f t="shared" si="1"/>
        <v>1</v>
      </c>
      <c r="AD845" s="61" t="b">
        <v>0</v>
      </c>
      <c r="AE845" s="32" t="s">
        <v>280</v>
      </c>
      <c r="AF845" s="46"/>
      <c r="AG845" s="46"/>
      <c r="AH845" s="46"/>
      <c r="AI845" s="46"/>
      <c r="AJ845" s="46"/>
    </row>
    <row r="846" ht="22.5" customHeight="1">
      <c r="A846" s="27">
        <v>46167.0</v>
      </c>
      <c r="B846" s="34" t="str">
        <f t="array" ref="B846">TEXT(A846, "MM-YYYY")</f>
        <v>05-2026</v>
      </c>
      <c r="C846" s="39" t="s">
        <v>765</v>
      </c>
      <c r="D846" s="36" t="s">
        <v>770</v>
      </c>
      <c r="E846" s="36" t="s">
        <v>531</v>
      </c>
      <c r="F846" s="29" t="b">
        <v>1</v>
      </c>
      <c r="G846" s="36" t="s">
        <v>214</v>
      </c>
      <c r="H846" s="36" t="s">
        <v>757</v>
      </c>
      <c r="I846" s="39">
        <v>3.1101125E8</v>
      </c>
      <c r="J846" s="40">
        <v>46240.0</v>
      </c>
      <c r="K846" s="37" t="s">
        <v>1157</v>
      </c>
      <c r="L846" s="37" t="s">
        <v>817</v>
      </c>
      <c r="M846" s="37" t="s">
        <v>194</v>
      </c>
      <c r="N846" s="37" t="s">
        <v>194</v>
      </c>
      <c r="O846" s="37" t="s">
        <v>759</v>
      </c>
      <c r="P846" s="37" t="s">
        <v>760</v>
      </c>
      <c r="Q846" s="41">
        <v>46195.0</v>
      </c>
      <c r="R846" s="42">
        <v>0.0</v>
      </c>
      <c r="S846" s="44"/>
      <c r="T846" s="37" t="s">
        <v>2508</v>
      </c>
      <c r="U846" s="45" t="str">
        <f>IF(records_2[Type]="Room",records_2[roomNo],records_2[roomNo]&amp;"-"&amp;SUBSTITUTE(RIGHT(records_2[roomNo]&amp;records_2[Type],2),"-",""))</f>
        <v>16-1-076-L</v>
      </c>
      <c r="V846" s="47" t="str">
        <f t="array" ref="V846">_xlfn.XLOOKUP(records_2[ID], dAir[roomNo], dAir[roomName])</f>
        <v>FILLING 2 (Laminar)</v>
      </c>
      <c r="W846" s="47" t="str">
        <f t="array" ref="W846">_xlfn.XLOOKUP(records_2[ID], dAir[roomNo], dAir[building])</f>
        <v>Building 16</v>
      </c>
      <c r="X846" s="47" t="str">
        <f t="array" ref="X846">_xlfn.XLOOKUP(records_2[ID], dAir[roomNo], dAir[floor])</f>
        <v>Floor 1</v>
      </c>
      <c r="Y846" s="45" t="str">
        <f t="array" ref="Y846">_xlfn.XLOOKUP(records_2[ID], dAir[roomNo], dAir[Class])</f>
        <v>A</v>
      </c>
      <c r="Z846" s="45">
        <f t="array" ref="Z846">_xlfn.XLOOKUP(records_2[Method]&amp;"-"&amp;records_2[Class], dAirSpec[ID], dAirSpec[Spec])</f>
        <v>0</v>
      </c>
      <c r="AA846" s="45" t="str">
        <f t="array" ref="AA846">_xlfn.XLOOKUP(records_2[Method]&amp;"-"&amp;records_2[Class], dAirSpec[ID], dAirSpec[Unit])</f>
        <v>cfu/m3</v>
      </c>
      <c r="AB846" s="45">
        <f t="array" ref="AB846">if(R846="","", if(records_2[Method]="Active Air",_xlfn.xlookup(records_2[ColonyCount]&amp;records_2[AirSampler],feller[code],feller[Vc]),records_2[ColonyCount]))</f>
        <v>0</v>
      </c>
      <c r="AC846" s="60" t="b">
        <f t="shared" si="1"/>
        <v>1</v>
      </c>
      <c r="AD846" s="61" t="b">
        <v>0</v>
      </c>
      <c r="AE846" s="32" t="s">
        <v>280</v>
      </c>
      <c r="AF846" s="46"/>
      <c r="AG846" s="46"/>
      <c r="AH846" s="46"/>
      <c r="AI846" s="46"/>
      <c r="AJ846" s="46"/>
    </row>
    <row r="847" ht="22.5" customHeight="1">
      <c r="A847" s="27">
        <v>46167.0</v>
      </c>
      <c r="B847" s="34" t="str">
        <f t="array" ref="B847">TEXT(A847, "MM-YYYY")</f>
        <v>05-2026</v>
      </c>
      <c r="C847" s="39" t="s">
        <v>774</v>
      </c>
      <c r="D847" s="36" t="s">
        <v>755</v>
      </c>
      <c r="E847" s="36" t="s">
        <v>531</v>
      </c>
      <c r="F847" s="29" t="b">
        <v>1</v>
      </c>
      <c r="G847" s="36" t="s">
        <v>214</v>
      </c>
      <c r="H847" s="36" t="s">
        <v>757</v>
      </c>
      <c r="I847" s="39">
        <v>3.1101125E8</v>
      </c>
      <c r="J847" s="40">
        <v>46240.0</v>
      </c>
      <c r="K847" s="37" t="s">
        <v>469</v>
      </c>
      <c r="L847" s="37" t="s">
        <v>474</v>
      </c>
      <c r="M847" s="37" t="s">
        <v>194</v>
      </c>
      <c r="N847" s="37" t="s">
        <v>194</v>
      </c>
      <c r="O847" s="37" t="s">
        <v>759</v>
      </c>
      <c r="P847" s="37" t="s">
        <v>760</v>
      </c>
      <c r="Q847" s="41">
        <v>46195.0</v>
      </c>
      <c r="R847" s="42">
        <v>0.0</v>
      </c>
      <c r="S847" s="44"/>
      <c r="T847" s="37" t="s">
        <v>2508</v>
      </c>
      <c r="U847" s="45" t="str">
        <f>IF(records_2[Type]="Room",records_2[roomNo],records_2[roomNo]&amp;"-"&amp;SUBSTITUTE(RIGHT(records_2[roomNo]&amp;records_2[Type],2),"-",""))</f>
        <v>16-1-084-M</v>
      </c>
      <c r="V847" s="47" t="str">
        <f t="array" ref="V847">_xlfn.XLOOKUP(records_2[ID], dAir[roomNo], dAir[roomName])</f>
        <v>FILLING 1 (Machine)</v>
      </c>
      <c r="W847" s="47" t="str">
        <f t="array" ref="W847">_xlfn.XLOOKUP(records_2[ID], dAir[roomNo], dAir[building])</f>
        <v>Building 16</v>
      </c>
      <c r="X847" s="47" t="str">
        <f t="array" ref="X847">_xlfn.XLOOKUP(records_2[ID], dAir[roomNo], dAir[floor])</f>
        <v>Floor 1</v>
      </c>
      <c r="Y847" s="45" t="str">
        <f t="array" ref="Y847">_xlfn.XLOOKUP(records_2[ID], dAir[roomNo], dAir[Class])</f>
        <v>A</v>
      </c>
      <c r="Z847" s="45">
        <f t="array" ref="Z847">_xlfn.XLOOKUP(records_2[Method]&amp;"-"&amp;records_2[Class], dAirSpec[ID], dAirSpec[Spec])</f>
        <v>0</v>
      </c>
      <c r="AA847" s="45" t="str">
        <f t="array" ref="AA847">_xlfn.XLOOKUP(records_2[Method]&amp;"-"&amp;records_2[Class], dAirSpec[ID], dAirSpec[Unit])</f>
        <v>cfu/m3</v>
      </c>
      <c r="AB847" s="45">
        <f t="array" ref="AB847">if(R847="","", if(records_2[Method]="Active Air",_xlfn.xlookup(records_2[ColonyCount]&amp;records_2[AirSampler],feller[code],feller[Vc]),records_2[ColonyCount]))</f>
        <v>0</v>
      </c>
      <c r="AC847" s="60" t="b">
        <f t="shared" si="1"/>
        <v>1</v>
      </c>
      <c r="AD847" s="61" t="b">
        <v>0</v>
      </c>
      <c r="AE847" s="32" t="s">
        <v>280</v>
      </c>
      <c r="AF847" s="46"/>
      <c r="AG847" s="46"/>
      <c r="AH847" s="46"/>
      <c r="AI847" s="46"/>
      <c r="AJ847" s="46"/>
    </row>
    <row r="848" ht="22.5" customHeight="1">
      <c r="A848" s="27">
        <v>46167.0</v>
      </c>
      <c r="B848" s="34" t="str">
        <f t="array" ref="B848">TEXT(A848, "MM-YYYY")</f>
        <v>05-2026</v>
      </c>
      <c r="C848" s="39" t="s">
        <v>774</v>
      </c>
      <c r="D848" s="36" t="s">
        <v>770</v>
      </c>
      <c r="E848" s="36" t="s">
        <v>531</v>
      </c>
      <c r="F848" s="29" t="b">
        <v>1</v>
      </c>
      <c r="G848" s="36" t="s">
        <v>214</v>
      </c>
      <c r="H848" s="36" t="s">
        <v>757</v>
      </c>
      <c r="I848" s="39">
        <v>3.1101125E8</v>
      </c>
      <c r="J848" s="40">
        <v>46240.0</v>
      </c>
      <c r="K848" s="37" t="s">
        <v>469</v>
      </c>
      <c r="L848" s="37" t="s">
        <v>474</v>
      </c>
      <c r="M848" s="37" t="s">
        <v>194</v>
      </c>
      <c r="N848" s="37" t="s">
        <v>194</v>
      </c>
      <c r="O848" s="37" t="s">
        <v>759</v>
      </c>
      <c r="P848" s="37" t="s">
        <v>760</v>
      </c>
      <c r="Q848" s="41">
        <v>46195.0</v>
      </c>
      <c r="R848" s="42">
        <v>0.0</v>
      </c>
      <c r="S848" s="44"/>
      <c r="T848" s="37" t="s">
        <v>2508</v>
      </c>
      <c r="U848" s="45" t="str">
        <f>IF(records_2[Type]="Room",records_2[roomNo],records_2[roomNo]&amp;"-"&amp;SUBSTITUTE(RIGHT(records_2[roomNo]&amp;records_2[Type],2),"-",""))</f>
        <v>16-1-084-L</v>
      </c>
      <c r="V848" s="47" t="str">
        <f t="array" ref="V848">_xlfn.XLOOKUP(records_2[ID], dAir[roomNo], dAir[roomName])</f>
        <v>FILLING 1 (Laminar)</v>
      </c>
      <c r="W848" s="47" t="str">
        <f t="array" ref="W848">_xlfn.XLOOKUP(records_2[ID], dAir[roomNo], dAir[building])</f>
        <v>Building 16</v>
      </c>
      <c r="X848" s="47" t="str">
        <f t="array" ref="X848">_xlfn.XLOOKUP(records_2[ID], dAir[roomNo], dAir[floor])</f>
        <v>Floor 1</v>
      </c>
      <c r="Y848" s="45" t="str">
        <f t="array" ref="Y848">_xlfn.XLOOKUP(records_2[ID], dAir[roomNo], dAir[Class])</f>
        <v>A</v>
      </c>
      <c r="Z848" s="45">
        <f t="array" ref="Z848">_xlfn.XLOOKUP(records_2[Method]&amp;"-"&amp;records_2[Class], dAirSpec[ID], dAirSpec[Spec])</f>
        <v>0</v>
      </c>
      <c r="AA848" s="45" t="str">
        <f t="array" ref="AA848">_xlfn.XLOOKUP(records_2[Method]&amp;"-"&amp;records_2[Class], dAirSpec[ID], dAirSpec[Unit])</f>
        <v>cfu/m3</v>
      </c>
      <c r="AB848" s="45">
        <f t="array" ref="AB848">if(R848="","", if(records_2[Method]="Active Air",_xlfn.xlookup(records_2[ColonyCount]&amp;records_2[AirSampler],feller[code],feller[Vc]),records_2[ColonyCount]))</f>
        <v>0</v>
      </c>
      <c r="AC848" s="60" t="b">
        <f t="shared" si="1"/>
        <v>1</v>
      </c>
      <c r="AD848" s="61" t="b">
        <v>0</v>
      </c>
      <c r="AE848" s="32" t="s">
        <v>280</v>
      </c>
      <c r="AF848" s="46"/>
      <c r="AG848" s="46"/>
      <c r="AH848" s="46"/>
      <c r="AI848" s="46"/>
      <c r="AJ848" s="46"/>
    </row>
    <row r="849" ht="22.5" customHeight="1">
      <c r="A849" s="27">
        <v>46167.0</v>
      </c>
      <c r="B849" s="34" t="str">
        <f t="array" ref="B849">TEXT(A849, "MM-YYYY")</f>
        <v>05-2026</v>
      </c>
      <c r="C849" s="32" t="s">
        <v>786</v>
      </c>
      <c r="D849" s="21" t="s">
        <v>680</v>
      </c>
      <c r="E849" s="36" t="s">
        <v>531</v>
      </c>
      <c r="F849" s="29" t="b">
        <v>1</v>
      </c>
      <c r="G849" s="36" t="s">
        <v>214</v>
      </c>
      <c r="H849" s="36" t="s">
        <v>757</v>
      </c>
      <c r="I849" s="39">
        <v>3.1101125E8</v>
      </c>
      <c r="J849" s="40">
        <v>46240.0</v>
      </c>
      <c r="K849" s="37" t="s">
        <v>484</v>
      </c>
      <c r="L849" s="37" t="s">
        <v>2101</v>
      </c>
      <c r="M849" s="37" t="s">
        <v>194</v>
      </c>
      <c r="N849" s="37" t="s">
        <v>194</v>
      </c>
      <c r="O849" s="37" t="s">
        <v>759</v>
      </c>
      <c r="P849" s="37" t="s">
        <v>760</v>
      </c>
      <c r="Q849" s="41">
        <v>46195.0</v>
      </c>
      <c r="R849" s="42">
        <v>0.0</v>
      </c>
      <c r="S849" s="44"/>
      <c r="T849" s="37" t="s">
        <v>2508</v>
      </c>
      <c r="U849" s="45" t="str">
        <f>IF(records_2[Type]="Room",records_2[roomNo],records_2[roomNo]&amp;"-"&amp;SUBSTITUTE(RIGHT(records_2[roomNo]&amp;records_2[Type],2),"-",""))</f>
        <v>16-1-102-B</v>
      </c>
      <c r="V849" s="47" t="str">
        <f t="array" ref="V849">_xlfn.XLOOKUP(records_2[ID], dAir[roomNo], dAir[roomName])</f>
        <v>DISPENSING (Booth)</v>
      </c>
      <c r="W849" s="47" t="str">
        <f t="array" ref="W849">_xlfn.XLOOKUP(records_2[ID], dAir[roomNo], dAir[building])</f>
        <v>Building 16</v>
      </c>
      <c r="X849" s="47" t="str">
        <f t="array" ref="X849">_xlfn.XLOOKUP(records_2[ID], dAir[roomNo], dAir[floor])</f>
        <v>Floor 1</v>
      </c>
      <c r="Y849" s="45" t="str">
        <f t="array" ref="Y849">_xlfn.XLOOKUP(records_2[ID], dAir[roomNo], dAir[Class])</f>
        <v>A</v>
      </c>
      <c r="Z849" s="45">
        <f t="array" ref="Z849">_xlfn.XLOOKUP(records_2[Method]&amp;"-"&amp;records_2[Class], dAirSpec[ID], dAirSpec[Spec])</f>
        <v>0</v>
      </c>
      <c r="AA849" s="45" t="str">
        <f t="array" ref="AA849">_xlfn.XLOOKUP(records_2[Method]&amp;"-"&amp;records_2[Class], dAirSpec[ID], dAirSpec[Unit])</f>
        <v>cfu/m3</v>
      </c>
      <c r="AB849" s="45">
        <f t="array" ref="AB849">if(R849="","", if(records_2[Method]="Active Air",_xlfn.xlookup(records_2[ColonyCount]&amp;records_2[AirSampler],feller[code],feller[Vc]),records_2[ColonyCount]))</f>
        <v>0</v>
      </c>
      <c r="AC849" s="60" t="b">
        <f t="shared" si="1"/>
        <v>1</v>
      </c>
      <c r="AD849" s="61" t="b">
        <v>0</v>
      </c>
      <c r="AE849" s="32" t="s">
        <v>280</v>
      </c>
      <c r="AF849" s="46"/>
      <c r="AG849" s="46"/>
      <c r="AH849" s="46"/>
      <c r="AI849" s="46"/>
      <c r="AJ849" s="46"/>
    </row>
    <row r="850" ht="22.5" customHeight="1">
      <c r="A850" s="27">
        <v>46169.0</v>
      </c>
      <c r="B850" s="34" t="str">
        <f t="array" ref="B850">TEXT(A850, "MM-YYYY")</f>
        <v>05-2026</v>
      </c>
      <c r="C850" s="293" t="s">
        <v>1315</v>
      </c>
      <c r="D850" s="294" t="s">
        <v>210</v>
      </c>
      <c r="E850" s="294" t="s">
        <v>213</v>
      </c>
      <c r="F850" s="29" t="b">
        <v>1</v>
      </c>
      <c r="G850" s="294" t="s">
        <v>214</v>
      </c>
      <c r="H850" s="36" t="s">
        <v>215</v>
      </c>
      <c r="I850" s="39"/>
      <c r="J850" s="40"/>
      <c r="K850" s="37" t="s">
        <v>194</v>
      </c>
      <c r="L850" s="37" t="s">
        <v>194</v>
      </c>
      <c r="M850" s="37" t="s">
        <v>194</v>
      </c>
      <c r="N850" s="37" t="s">
        <v>194</v>
      </c>
      <c r="O850" s="37" t="s">
        <v>223</v>
      </c>
      <c r="P850" s="37" t="s">
        <v>224</v>
      </c>
      <c r="Q850" s="41">
        <v>46218.0</v>
      </c>
      <c r="R850" s="42">
        <v>4.0</v>
      </c>
      <c r="S850" s="44"/>
      <c r="T850" s="37" t="s">
        <v>2509</v>
      </c>
      <c r="U850" s="47" t="str">
        <f>IF(records_2[Type]="Room",records_2[roomNo],records_2[roomNo]&amp;"-"&amp;SUBSTITUTE(RIGHT(records_2[roomNo]&amp;records_2[Type],2),"-",""))</f>
        <v>11-1-012</v>
      </c>
      <c r="V850" s="47" t="str">
        <f t="array" ref="V850">_xlfn.XLOOKUP(records_2[ID], dAir[roomNo], dAir[roomName])</f>
        <v>MAL 2</v>
      </c>
      <c r="W850" s="47" t="str">
        <f t="array" ref="W850">_xlfn.XLOOKUP(records_2[ID], dAir[roomNo], dAir[building])</f>
        <v>Building 11</v>
      </c>
      <c r="X850" s="47" t="str">
        <f t="array" ref="X850">_xlfn.XLOOKUP(records_2[ID], dAir[roomNo], dAir[floor])</f>
        <v>Floor 1</v>
      </c>
      <c r="Y850" s="45" t="str">
        <f t="array" ref="Y850">_xlfn.XLOOKUP(records_2[ID], dAir[roomNo], dAir[Class])</f>
        <v>D</v>
      </c>
      <c r="Z850" s="45">
        <f t="array" ref="Z850">_xlfn.XLOOKUP(records_2[Method]&amp;"-"&amp;records_2[Class], dAirSpec[ID], dAirSpec[Spec])</f>
        <v>100</v>
      </c>
      <c r="AA850" s="45" t="str">
        <f t="array" ref="AA850">_xlfn.XLOOKUP(records_2[Method]&amp;"-"&amp;records_2[Class], dAirSpec[ID], dAirSpec[Unit])</f>
        <v>cfu/plate</v>
      </c>
      <c r="AB850" s="58">
        <f t="array" ref="AB850">if(R850="","", if(records_2[Method]="Active Air",_xlfn.xlookup(records_2[ColonyCount]&amp;records_2[AirSampler],feller[code],feller[Vc]),records_2[ColonyCount]))</f>
        <v>4</v>
      </c>
      <c r="AC850" s="60" t="b">
        <f t="shared" si="1"/>
        <v>1</v>
      </c>
      <c r="AD850" s="61" t="b">
        <v>0</v>
      </c>
      <c r="AE850" s="32" t="s">
        <v>280</v>
      </c>
      <c r="AF850" s="46"/>
      <c r="AG850" s="46"/>
      <c r="AH850" s="46"/>
      <c r="AI850" s="46"/>
      <c r="AJ850" s="46"/>
    </row>
    <row r="851" ht="22.5" customHeight="1">
      <c r="A851" s="27">
        <v>46169.0</v>
      </c>
      <c r="B851" s="34" t="str">
        <f t="array" ref="B851">TEXT(A851, "MM-YYYY")</f>
        <v>05-2026</v>
      </c>
      <c r="C851" s="34" t="s">
        <v>1319</v>
      </c>
      <c r="D851" s="36" t="s">
        <v>210</v>
      </c>
      <c r="E851" s="36" t="s">
        <v>213</v>
      </c>
      <c r="F851" s="29" t="b">
        <v>1</v>
      </c>
      <c r="G851" s="36" t="s">
        <v>214</v>
      </c>
      <c r="H851" s="36" t="s">
        <v>215</v>
      </c>
      <c r="I851" s="39"/>
      <c r="J851" s="40"/>
      <c r="K851" s="37" t="s">
        <v>194</v>
      </c>
      <c r="L851" s="37" t="s">
        <v>194</v>
      </c>
      <c r="M851" s="37" t="s">
        <v>194</v>
      </c>
      <c r="N851" s="37" t="s">
        <v>194</v>
      </c>
      <c r="O851" s="37" t="s">
        <v>223</v>
      </c>
      <c r="P851" s="37" t="s">
        <v>224</v>
      </c>
      <c r="Q851" s="41">
        <v>46218.0</v>
      </c>
      <c r="R851" s="42">
        <v>13.0</v>
      </c>
      <c r="S851" s="44"/>
      <c r="T851" s="37" t="s">
        <v>2509</v>
      </c>
      <c r="U851" s="47" t="str">
        <f>IF(records_2[Type]="Room",records_2[roomNo],records_2[roomNo]&amp;"-"&amp;SUBSTITUTE(RIGHT(records_2[roomNo]&amp;records_2[Type],2),"-",""))</f>
        <v>11-1-013</v>
      </c>
      <c r="V851" s="47" t="str">
        <f t="array" ref="V851">_xlfn.XLOOKUP(records_2[ID], dAir[roomNo], dAir[roomName])</f>
        <v>PAL 2</v>
      </c>
      <c r="W851" s="47" t="str">
        <f t="array" ref="W851">_xlfn.XLOOKUP(records_2[ID], dAir[roomNo], dAir[building])</f>
        <v>Building 11</v>
      </c>
      <c r="X851" s="47" t="str">
        <f t="array" ref="X851">_xlfn.XLOOKUP(records_2[ID], dAir[roomNo], dAir[floor])</f>
        <v>Floor 1</v>
      </c>
      <c r="Y851" s="45" t="str">
        <f t="array" ref="Y851">_xlfn.XLOOKUP(records_2[ID], dAir[roomNo], dAir[Class])</f>
        <v>D</v>
      </c>
      <c r="Z851" s="45">
        <f t="array" ref="Z851">_xlfn.XLOOKUP(records_2[Method]&amp;"-"&amp;records_2[Class], dAirSpec[ID], dAirSpec[Spec])</f>
        <v>100</v>
      </c>
      <c r="AA851" s="45" t="str">
        <f t="array" ref="AA851">_xlfn.XLOOKUP(records_2[Method]&amp;"-"&amp;records_2[Class], dAirSpec[ID], dAirSpec[Unit])</f>
        <v>cfu/plate</v>
      </c>
      <c r="AB851" s="58">
        <f t="array" ref="AB851">if(R851="","", if(records_2[Method]="Active Air",_xlfn.xlookup(records_2[ColonyCount]&amp;records_2[AirSampler],feller[code],feller[Vc]),records_2[ColonyCount]))</f>
        <v>13</v>
      </c>
      <c r="AC851" s="60" t="b">
        <f t="shared" si="1"/>
        <v>1</v>
      </c>
      <c r="AD851" s="61" t="b">
        <v>0</v>
      </c>
      <c r="AE851" s="32" t="s">
        <v>280</v>
      </c>
      <c r="AF851" s="46"/>
      <c r="AG851" s="46"/>
      <c r="AH851" s="46"/>
      <c r="AI851" s="46"/>
      <c r="AJ851" s="46"/>
    </row>
    <row r="852" ht="22.5" customHeight="1">
      <c r="A852" s="27">
        <v>46169.0</v>
      </c>
      <c r="B852" s="34" t="str">
        <f t="array" ref="B852">TEXT(A852, "MM-YYYY")</f>
        <v>05-2026</v>
      </c>
      <c r="C852" s="34" t="s">
        <v>1321</v>
      </c>
      <c r="D852" s="36" t="s">
        <v>210</v>
      </c>
      <c r="E852" s="36" t="s">
        <v>213</v>
      </c>
      <c r="F852" s="29" t="b">
        <v>1</v>
      </c>
      <c r="G852" s="36" t="s">
        <v>214</v>
      </c>
      <c r="H852" s="36" t="s">
        <v>215</v>
      </c>
      <c r="I852" s="39"/>
      <c r="J852" s="40"/>
      <c r="K852" s="37" t="s">
        <v>194</v>
      </c>
      <c r="L852" s="37" t="s">
        <v>194</v>
      </c>
      <c r="M852" s="37" t="s">
        <v>194</v>
      </c>
      <c r="N852" s="37" t="s">
        <v>194</v>
      </c>
      <c r="O852" s="37" t="s">
        <v>223</v>
      </c>
      <c r="P852" s="37" t="s">
        <v>224</v>
      </c>
      <c r="Q852" s="41">
        <v>46218.0</v>
      </c>
      <c r="R852" s="42">
        <v>0.0</v>
      </c>
      <c r="S852" s="44"/>
      <c r="T852" s="37" t="s">
        <v>2509</v>
      </c>
      <c r="U852" s="47" t="str">
        <f>IF(records_2[Type]="Room",records_2[roomNo],records_2[roomNo]&amp;"-"&amp;SUBSTITUTE(RIGHT(records_2[roomNo]&amp;records_2[Type],2),"-",""))</f>
        <v>11-1-014</v>
      </c>
      <c r="V852" s="47" t="str">
        <f t="array" ref="V852">_xlfn.XLOOKUP(records_2[ID], dAir[roomNo], dAir[roomName])</f>
        <v>PPM SAMPLING</v>
      </c>
      <c r="W852" s="47" t="str">
        <f t="array" ref="W852">_xlfn.XLOOKUP(records_2[ID], dAir[roomNo], dAir[building])</f>
        <v>Building 11</v>
      </c>
      <c r="X852" s="47" t="str">
        <f t="array" ref="X852">_xlfn.XLOOKUP(records_2[ID], dAir[roomNo], dAir[floor])</f>
        <v>Floor 1</v>
      </c>
      <c r="Y852" s="45" t="str">
        <f t="array" ref="Y852">_xlfn.XLOOKUP(records_2[ID], dAir[roomNo], dAir[Class])</f>
        <v>D</v>
      </c>
      <c r="Z852" s="45">
        <f t="array" ref="Z852">_xlfn.XLOOKUP(records_2[Method]&amp;"-"&amp;records_2[Class], dAirSpec[ID], dAirSpec[Spec])</f>
        <v>100</v>
      </c>
      <c r="AA852" s="45" t="str">
        <f t="array" ref="AA852">_xlfn.XLOOKUP(records_2[Method]&amp;"-"&amp;records_2[Class], dAirSpec[ID], dAirSpec[Unit])</f>
        <v>cfu/plate</v>
      </c>
      <c r="AB852" s="58">
        <f t="array" ref="AB852">if(R852="","", if(records_2[Method]="Active Air",_xlfn.xlookup(records_2[ColonyCount]&amp;records_2[AirSampler],feller[code],feller[Vc]),records_2[ColonyCount]))</f>
        <v>0</v>
      </c>
      <c r="AC852" s="60" t="b">
        <f t="shared" si="1"/>
        <v>1</v>
      </c>
      <c r="AD852" s="61" t="b">
        <v>0</v>
      </c>
      <c r="AE852" s="32" t="s">
        <v>280</v>
      </c>
      <c r="AF852" s="46"/>
      <c r="AG852" s="46"/>
      <c r="AH852" s="46"/>
      <c r="AI852" s="46"/>
      <c r="AJ852" s="46"/>
    </row>
    <row r="853" ht="22.5" customHeight="1">
      <c r="A853" s="27">
        <v>46169.0</v>
      </c>
      <c r="B853" s="34" t="str">
        <f t="array" ref="B853">TEXT(A853, "MM-YYYY")</f>
        <v>05-2026</v>
      </c>
      <c r="C853" s="34" t="s">
        <v>1321</v>
      </c>
      <c r="D853" s="36" t="s">
        <v>680</v>
      </c>
      <c r="E853" s="36" t="s">
        <v>213</v>
      </c>
      <c r="F853" s="29" t="b">
        <v>1</v>
      </c>
      <c r="G853" s="36" t="s">
        <v>214</v>
      </c>
      <c r="H853" s="36" t="s">
        <v>215</v>
      </c>
      <c r="I853" s="39"/>
      <c r="J853" s="40"/>
      <c r="K853" s="37" t="s">
        <v>194</v>
      </c>
      <c r="L853" s="37" t="s">
        <v>194</v>
      </c>
      <c r="M853" s="37" t="s">
        <v>194</v>
      </c>
      <c r="N853" s="37" t="s">
        <v>194</v>
      </c>
      <c r="O853" s="37" t="s">
        <v>223</v>
      </c>
      <c r="P853" s="37" t="s">
        <v>224</v>
      </c>
      <c r="Q853" s="41">
        <v>46218.0</v>
      </c>
      <c r="R853" s="42">
        <v>3.0</v>
      </c>
      <c r="S853" s="44"/>
      <c r="T853" s="37" t="s">
        <v>2509</v>
      </c>
      <c r="U853" s="45" t="str">
        <f>IF(records_2[Type]="Room",records_2[roomNo],records_2[roomNo]&amp;"-"&amp;SUBSTITUTE(RIGHT(records_2[roomNo]&amp;records_2[Type],2),"-",""))</f>
        <v>11-1-014-B</v>
      </c>
      <c r="V853" s="47" t="str">
        <f t="array" ref="V853">_xlfn.XLOOKUP(records_2[ID], dAir[roomNo], dAir[roomName])</f>
        <v>PPM SAMPLING (Booth)</v>
      </c>
      <c r="W853" s="47" t="str">
        <f t="array" ref="W853">_xlfn.XLOOKUP(records_2[ID], dAir[roomNo], dAir[building])</f>
        <v>Building 11</v>
      </c>
      <c r="X853" s="47" t="str">
        <f t="array" ref="X853">_xlfn.XLOOKUP(records_2[ID], dAir[roomNo], dAir[floor])</f>
        <v>Floor 1</v>
      </c>
      <c r="Y853" s="45" t="str">
        <f t="array" ref="Y853">_xlfn.XLOOKUP(records_2[ID], dAir[roomNo], dAir[Class])</f>
        <v>D</v>
      </c>
      <c r="Z853" s="45">
        <f t="array" ref="Z853">_xlfn.XLOOKUP(records_2[Method]&amp;"-"&amp;records_2[Class], dAirSpec[ID], dAirSpec[Spec])</f>
        <v>100</v>
      </c>
      <c r="AA853" s="45" t="str">
        <f t="array" ref="AA853">_xlfn.XLOOKUP(records_2[Method]&amp;"-"&amp;records_2[Class], dAirSpec[ID], dAirSpec[Unit])</f>
        <v>cfu/plate</v>
      </c>
      <c r="AB853" s="58">
        <f t="array" ref="AB853">if(R853="","", if(records_2[Method]="Active Air",_xlfn.xlookup(records_2[ColonyCount]&amp;records_2[AirSampler],feller[code],feller[Vc]),records_2[ColonyCount]))</f>
        <v>3</v>
      </c>
      <c r="AC853" s="60" t="b">
        <f t="shared" si="1"/>
        <v>1</v>
      </c>
      <c r="AD853" s="61" t="b">
        <v>0</v>
      </c>
      <c r="AE853" s="32" t="s">
        <v>280</v>
      </c>
      <c r="AF853" s="46"/>
      <c r="AG853" s="46"/>
      <c r="AH853" s="46"/>
      <c r="AI853" s="46"/>
      <c r="AJ853" s="46"/>
    </row>
    <row r="854" ht="22.5" customHeight="1">
      <c r="A854" s="27">
        <v>46169.0</v>
      </c>
      <c r="B854" s="34" t="str">
        <f t="array" ref="B854">TEXT(A854, "MM-YYYY")</f>
        <v>05-2026</v>
      </c>
      <c r="C854" s="34" t="s">
        <v>1325</v>
      </c>
      <c r="D854" s="36" t="s">
        <v>210</v>
      </c>
      <c r="E854" s="36" t="s">
        <v>213</v>
      </c>
      <c r="F854" s="29" t="b">
        <v>1</v>
      </c>
      <c r="G854" s="36" t="s">
        <v>214</v>
      </c>
      <c r="H854" s="36" t="s">
        <v>215</v>
      </c>
      <c r="I854" s="39"/>
      <c r="J854" s="40"/>
      <c r="K854" s="37" t="s">
        <v>194</v>
      </c>
      <c r="L854" s="37" t="s">
        <v>194</v>
      </c>
      <c r="M854" s="37" t="s">
        <v>194</v>
      </c>
      <c r="N854" s="37" t="s">
        <v>194</v>
      </c>
      <c r="O854" s="37" t="s">
        <v>223</v>
      </c>
      <c r="P854" s="37" t="s">
        <v>224</v>
      </c>
      <c r="Q854" s="41">
        <v>46218.0</v>
      </c>
      <c r="R854" s="42">
        <v>7.0</v>
      </c>
      <c r="S854" s="44"/>
      <c r="T854" s="37" t="s">
        <v>2509</v>
      </c>
      <c r="U854" s="47" t="str">
        <f>IF(records_2[Type]="Room",records_2[roomNo],records_2[roomNo]&amp;"-"&amp;SUBSTITUTE(RIGHT(records_2[roomNo]&amp;records_2[Type],2),"-",""))</f>
        <v>11-1-015</v>
      </c>
      <c r="V854" s="47" t="str">
        <f t="array" ref="V854">_xlfn.XLOOKUP(records_2[ID], dAir[roomNo], dAir[roomName])</f>
        <v>PAL-1</v>
      </c>
      <c r="W854" s="47" t="str">
        <f t="array" ref="W854">_xlfn.XLOOKUP(records_2[ID], dAir[roomNo], dAir[building])</f>
        <v>Building 11</v>
      </c>
      <c r="X854" s="47" t="str">
        <f t="array" ref="X854">_xlfn.XLOOKUP(records_2[ID], dAir[roomNo], dAir[floor])</f>
        <v>Floor 1</v>
      </c>
      <c r="Y854" s="45" t="str">
        <f t="array" ref="Y854">_xlfn.XLOOKUP(records_2[ID], dAir[roomNo], dAir[Class])</f>
        <v>D</v>
      </c>
      <c r="Z854" s="45">
        <f t="array" ref="Z854">_xlfn.XLOOKUP(records_2[Method]&amp;"-"&amp;records_2[Class], dAirSpec[ID], dAirSpec[Spec])</f>
        <v>100</v>
      </c>
      <c r="AA854" s="45" t="str">
        <f t="array" ref="AA854">_xlfn.XLOOKUP(records_2[Method]&amp;"-"&amp;records_2[Class], dAirSpec[ID], dAirSpec[Unit])</f>
        <v>cfu/plate</v>
      </c>
      <c r="AB854" s="58">
        <f t="array" ref="AB854">if(R854="","", if(records_2[Method]="Active Air",_xlfn.xlookup(records_2[ColonyCount]&amp;records_2[AirSampler],feller[code],feller[Vc]),records_2[ColonyCount]))</f>
        <v>7</v>
      </c>
      <c r="AC854" s="60" t="b">
        <f t="shared" si="1"/>
        <v>1</v>
      </c>
      <c r="AD854" s="61" t="b">
        <v>0</v>
      </c>
      <c r="AE854" s="32" t="s">
        <v>280</v>
      </c>
      <c r="AF854" s="46"/>
      <c r="AG854" s="46"/>
      <c r="AH854" s="46"/>
      <c r="AI854" s="46"/>
      <c r="AJ854" s="46"/>
    </row>
    <row r="855" ht="22.5" customHeight="1">
      <c r="A855" s="27">
        <v>46169.0</v>
      </c>
      <c r="B855" s="34" t="str">
        <f t="array" ref="B855">TEXT(A855, "MM-YYYY")</f>
        <v>05-2026</v>
      </c>
      <c r="C855" s="34" t="s">
        <v>1327</v>
      </c>
      <c r="D855" s="36" t="s">
        <v>210</v>
      </c>
      <c r="E855" s="36" t="s">
        <v>213</v>
      </c>
      <c r="F855" s="29" t="b">
        <v>1</v>
      </c>
      <c r="G855" s="36" t="s">
        <v>214</v>
      </c>
      <c r="H855" s="36" t="s">
        <v>215</v>
      </c>
      <c r="I855" s="39"/>
      <c r="J855" s="40"/>
      <c r="K855" s="37" t="s">
        <v>194</v>
      </c>
      <c r="L855" s="37" t="s">
        <v>194</v>
      </c>
      <c r="M855" s="37" t="s">
        <v>194</v>
      </c>
      <c r="N855" s="37" t="s">
        <v>194</v>
      </c>
      <c r="O855" s="37" t="s">
        <v>223</v>
      </c>
      <c r="P855" s="37" t="s">
        <v>224</v>
      </c>
      <c r="Q855" s="41">
        <v>46218.0</v>
      </c>
      <c r="R855" s="42">
        <v>4.0</v>
      </c>
      <c r="S855" s="44"/>
      <c r="T855" s="37" t="s">
        <v>2509</v>
      </c>
      <c r="U855" s="47" t="str">
        <f>IF(records_2[Type]="Room",records_2[roomNo],records_2[roomNo]&amp;"-"&amp;SUBSTITUTE(RIGHT(records_2[roomNo]&amp;records_2[Type],2),"-",""))</f>
        <v>11-1-016</v>
      </c>
      <c r="V855" s="47" t="str">
        <f t="array" ref="V855">_xlfn.XLOOKUP(records_2[ID], dAir[roomNo], dAir[roomName])</f>
        <v>CORRIDOR</v>
      </c>
      <c r="W855" s="47" t="str">
        <f t="array" ref="W855">_xlfn.XLOOKUP(records_2[ID], dAir[roomNo], dAir[building])</f>
        <v>Building 11</v>
      </c>
      <c r="X855" s="47" t="str">
        <f t="array" ref="X855">_xlfn.XLOOKUP(records_2[ID], dAir[roomNo], dAir[floor])</f>
        <v>Floor 1</v>
      </c>
      <c r="Y855" s="45" t="str">
        <f t="array" ref="Y855">_xlfn.XLOOKUP(records_2[ID], dAir[roomNo], dAir[Class])</f>
        <v>D</v>
      </c>
      <c r="Z855" s="45">
        <f t="array" ref="Z855">_xlfn.XLOOKUP(records_2[Method]&amp;"-"&amp;records_2[Class], dAirSpec[ID], dAirSpec[Spec])</f>
        <v>100</v>
      </c>
      <c r="AA855" s="45" t="str">
        <f t="array" ref="AA855">_xlfn.XLOOKUP(records_2[Method]&amp;"-"&amp;records_2[Class], dAirSpec[ID], dAirSpec[Unit])</f>
        <v>cfu/plate</v>
      </c>
      <c r="AB855" s="58">
        <f t="array" ref="AB855">if(R855="","", if(records_2[Method]="Active Air",_xlfn.xlookup(records_2[ColonyCount]&amp;records_2[AirSampler],feller[code],feller[Vc]),records_2[ColonyCount]))</f>
        <v>4</v>
      </c>
      <c r="AC855" s="60" t="b">
        <f t="shared" si="1"/>
        <v>1</v>
      </c>
      <c r="AD855" s="61" t="b">
        <v>0</v>
      </c>
      <c r="AE855" s="32" t="s">
        <v>280</v>
      </c>
      <c r="AF855" s="46"/>
      <c r="AG855" s="46"/>
      <c r="AH855" s="46"/>
      <c r="AI855" s="46"/>
      <c r="AJ855" s="46"/>
    </row>
    <row r="856" ht="22.5" customHeight="1">
      <c r="A856" s="27">
        <v>46169.0</v>
      </c>
      <c r="B856" s="34" t="str">
        <f t="array" ref="B856">TEXT(A856, "MM-YYYY")</f>
        <v>05-2026</v>
      </c>
      <c r="C856" s="34" t="s">
        <v>1328</v>
      </c>
      <c r="D856" s="36" t="s">
        <v>210</v>
      </c>
      <c r="E856" s="36" t="s">
        <v>213</v>
      </c>
      <c r="F856" s="29" t="b">
        <v>1</v>
      </c>
      <c r="G856" s="36" t="s">
        <v>214</v>
      </c>
      <c r="H856" s="36" t="s">
        <v>215</v>
      </c>
      <c r="I856" s="39"/>
      <c r="J856" s="40"/>
      <c r="K856" s="37" t="s">
        <v>194</v>
      </c>
      <c r="L856" s="37" t="s">
        <v>194</v>
      </c>
      <c r="M856" s="37" t="s">
        <v>194</v>
      </c>
      <c r="N856" s="37" t="s">
        <v>194</v>
      </c>
      <c r="O856" s="37" t="s">
        <v>223</v>
      </c>
      <c r="P856" s="37" t="s">
        <v>224</v>
      </c>
      <c r="Q856" s="41">
        <v>46218.0</v>
      </c>
      <c r="R856" s="42">
        <v>0.0</v>
      </c>
      <c r="S856" s="44"/>
      <c r="T856" s="37" t="s">
        <v>2509</v>
      </c>
      <c r="U856" s="47" t="str">
        <f>IF(records_2[Type]="Room",records_2[roomNo],records_2[roomNo]&amp;"-"&amp;SUBSTITUTE(RIGHT(records_2[roomNo]&amp;records_2[Type],2),"-",""))</f>
        <v>11-1-017</v>
      </c>
      <c r="V856" s="47" t="str">
        <f t="array" ref="V856">_xlfn.XLOOKUP(records_2[ID], dAir[roomNo], dAir[roomName])</f>
        <v>SAMPLING 1-P</v>
      </c>
      <c r="W856" s="47" t="str">
        <f t="array" ref="W856">_xlfn.XLOOKUP(records_2[ID], dAir[roomNo], dAir[building])</f>
        <v>Building 11</v>
      </c>
      <c r="X856" s="47" t="str">
        <f t="array" ref="X856">_xlfn.XLOOKUP(records_2[ID], dAir[roomNo], dAir[floor])</f>
        <v>Floor 1</v>
      </c>
      <c r="Y856" s="45" t="str">
        <f t="array" ref="Y856">_xlfn.XLOOKUP(records_2[ID], dAir[roomNo], dAir[Class])</f>
        <v>D</v>
      </c>
      <c r="Z856" s="45">
        <f t="array" ref="Z856">_xlfn.XLOOKUP(records_2[Method]&amp;"-"&amp;records_2[Class], dAirSpec[ID], dAirSpec[Spec])</f>
        <v>100</v>
      </c>
      <c r="AA856" s="45" t="str">
        <f t="array" ref="AA856">_xlfn.XLOOKUP(records_2[Method]&amp;"-"&amp;records_2[Class], dAirSpec[ID], dAirSpec[Unit])</f>
        <v>cfu/plate</v>
      </c>
      <c r="AB856" s="58">
        <f t="array" ref="AB856">if(R856="","", if(records_2[Method]="Active Air",_xlfn.xlookup(records_2[ColonyCount]&amp;records_2[AirSampler],feller[code],feller[Vc]),records_2[ColonyCount]))</f>
        <v>0</v>
      </c>
      <c r="AC856" s="60" t="b">
        <f t="shared" si="1"/>
        <v>1</v>
      </c>
      <c r="AD856" s="61" t="b">
        <v>0</v>
      </c>
      <c r="AE856" s="32" t="s">
        <v>280</v>
      </c>
      <c r="AF856" s="46"/>
      <c r="AG856" s="46"/>
      <c r="AH856" s="46"/>
      <c r="AI856" s="46"/>
      <c r="AJ856" s="46"/>
    </row>
    <row r="857" ht="22.5" customHeight="1">
      <c r="A857" s="27">
        <v>46169.0</v>
      </c>
      <c r="B857" s="34" t="str">
        <f t="array" ref="B857">TEXT(A857, "MM-YYYY")</f>
        <v>05-2026</v>
      </c>
      <c r="C857" s="34" t="s">
        <v>1330</v>
      </c>
      <c r="D857" s="36" t="s">
        <v>210</v>
      </c>
      <c r="E857" s="36" t="s">
        <v>213</v>
      </c>
      <c r="F857" s="29" t="b">
        <v>1</v>
      </c>
      <c r="G857" s="36" t="s">
        <v>214</v>
      </c>
      <c r="H857" s="36" t="s">
        <v>215</v>
      </c>
      <c r="I857" s="39"/>
      <c r="J857" s="40"/>
      <c r="K857" s="37" t="s">
        <v>194</v>
      </c>
      <c r="L857" s="37" t="s">
        <v>194</v>
      </c>
      <c r="M857" s="37" t="s">
        <v>194</v>
      </c>
      <c r="N857" s="37" t="s">
        <v>194</v>
      </c>
      <c r="O857" s="37" t="s">
        <v>223</v>
      </c>
      <c r="P857" s="37" t="s">
        <v>224</v>
      </c>
      <c r="Q857" s="41">
        <v>46218.0</v>
      </c>
      <c r="R857" s="42">
        <v>2.0</v>
      </c>
      <c r="S857" s="44"/>
      <c r="T857" s="37" t="s">
        <v>2509</v>
      </c>
      <c r="U857" s="47" t="str">
        <f>IF(records_2[Type]="Room",records_2[roomNo],records_2[roomNo]&amp;"-"&amp;SUBSTITUTE(RIGHT(records_2[roomNo]&amp;records_2[Type],2),"-",""))</f>
        <v>11-1-018</v>
      </c>
      <c r="V857" s="47" t="str">
        <f t="array" ref="V857">_xlfn.XLOOKUP(records_2[ID], dAir[roomNo], dAir[roomName])</f>
        <v>SAMPLING 2 (LOW RH)</v>
      </c>
      <c r="W857" s="47" t="str">
        <f t="array" ref="W857">_xlfn.XLOOKUP(records_2[ID], dAir[roomNo], dAir[building])</f>
        <v>Building 11</v>
      </c>
      <c r="X857" s="47" t="str">
        <f t="array" ref="X857">_xlfn.XLOOKUP(records_2[ID], dAir[roomNo], dAir[floor])</f>
        <v>Floor 1</v>
      </c>
      <c r="Y857" s="45" t="str">
        <f t="array" ref="Y857">_xlfn.XLOOKUP(records_2[ID], dAir[roomNo], dAir[Class])</f>
        <v>D</v>
      </c>
      <c r="Z857" s="45">
        <f t="array" ref="Z857">_xlfn.XLOOKUP(records_2[Method]&amp;"-"&amp;records_2[Class], dAirSpec[ID], dAirSpec[Spec])</f>
        <v>100</v>
      </c>
      <c r="AA857" s="45" t="str">
        <f t="array" ref="AA857">_xlfn.XLOOKUP(records_2[Method]&amp;"-"&amp;records_2[Class], dAirSpec[ID], dAirSpec[Unit])</f>
        <v>cfu/plate</v>
      </c>
      <c r="AB857" s="58">
        <f t="array" ref="AB857">if(R857="","", if(records_2[Method]="Active Air",_xlfn.xlookup(records_2[ColonyCount]&amp;records_2[AirSampler],feller[code],feller[Vc]),records_2[ColonyCount]))</f>
        <v>2</v>
      </c>
      <c r="AC857" s="60" t="b">
        <f t="shared" si="1"/>
        <v>1</v>
      </c>
      <c r="AD857" s="61" t="b">
        <v>0</v>
      </c>
      <c r="AE857" s="32" t="s">
        <v>280</v>
      </c>
      <c r="AF857" s="46"/>
      <c r="AG857" s="46"/>
      <c r="AH857" s="46"/>
      <c r="AI857" s="46"/>
      <c r="AJ857" s="46"/>
    </row>
    <row r="858" ht="22.5" customHeight="1">
      <c r="A858" s="27">
        <v>46169.0</v>
      </c>
      <c r="B858" s="34" t="str">
        <f t="array" ref="B858">TEXT(A858, "MM-YYYY")</f>
        <v>05-2026</v>
      </c>
      <c r="C858" s="34" t="s">
        <v>1330</v>
      </c>
      <c r="D858" s="36" t="s">
        <v>680</v>
      </c>
      <c r="E858" s="36" t="s">
        <v>213</v>
      </c>
      <c r="F858" s="29" t="b">
        <v>1</v>
      </c>
      <c r="G858" s="36" t="s">
        <v>214</v>
      </c>
      <c r="H858" s="36" t="s">
        <v>215</v>
      </c>
      <c r="I858" s="39"/>
      <c r="J858" s="40"/>
      <c r="K858" s="37" t="s">
        <v>194</v>
      </c>
      <c r="L858" s="37" t="s">
        <v>194</v>
      </c>
      <c r="M858" s="37" t="s">
        <v>194</v>
      </c>
      <c r="N858" s="37" t="s">
        <v>194</v>
      </c>
      <c r="O858" s="37" t="s">
        <v>223</v>
      </c>
      <c r="P858" s="37" t="s">
        <v>224</v>
      </c>
      <c r="Q858" s="41">
        <v>46218.0</v>
      </c>
      <c r="R858" s="42">
        <v>3.0</v>
      </c>
      <c r="S858" s="44"/>
      <c r="T858" s="37" t="s">
        <v>2509</v>
      </c>
      <c r="U858" s="45" t="str">
        <f>IF(records_2[Type]="Room",records_2[roomNo],records_2[roomNo]&amp;"-"&amp;SUBSTITUTE(RIGHT(records_2[roomNo]&amp;records_2[Type],2),"-",""))</f>
        <v>11-1-018-B</v>
      </c>
      <c r="V858" s="47" t="str">
        <f t="array" ref="V858">_xlfn.XLOOKUP(records_2[ID], dAir[roomNo], dAir[roomName])</f>
        <v>SAMPLING 2 (LOW RH) (Booth)</v>
      </c>
      <c r="W858" s="47" t="str">
        <f t="array" ref="W858">_xlfn.XLOOKUP(records_2[ID], dAir[roomNo], dAir[building])</f>
        <v>Building 11</v>
      </c>
      <c r="X858" s="47" t="str">
        <f t="array" ref="X858">_xlfn.XLOOKUP(records_2[ID], dAir[roomNo], dAir[floor])</f>
        <v>Floor 1</v>
      </c>
      <c r="Y858" s="45" t="str">
        <f t="array" ref="Y858">_xlfn.XLOOKUP(records_2[ID], dAir[roomNo], dAir[Class])</f>
        <v>D</v>
      </c>
      <c r="Z858" s="45">
        <f t="array" ref="Z858">_xlfn.XLOOKUP(records_2[Method]&amp;"-"&amp;records_2[Class], dAirSpec[ID], dAirSpec[Spec])</f>
        <v>100</v>
      </c>
      <c r="AA858" s="45" t="str">
        <f t="array" ref="AA858">_xlfn.XLOOKUP(records_2[Method]&amp;"-"&amp;records_2[Class], dAirSpec[ID], dAirSpec[Unit])</f>
        <v>cfu/plate</v>
      </c>
      <c r="AB858" s="58">
        <f t="array" ref="AB858">if(R858="","", if(records_2[Method]="Active Air",_xlfn.xlookup(records_2[ColonyCount]&amp;records_2[AirSampler],feller[code],feller[Vc]),records_2[ColonyCount]))</f>
        <v>3</v>
      </c>
      <c r="AC858" s="60" t="b">
        <f t="shared" si="1"/>
        <v>1</v>
      </c>
      <c r="AD858" s="61" t="b">
        <v>0</v>
      </c>
      <c r="AE858" s="32" t="s">
        <v>280</v>
      </c>
      <c r="AF858" s="46"/>
      <c r="AG858" s="46"/>
      <c r="AH858" s="46"/>
      <c r="AI858" s="46"/>
      <c r="AJ858" s="46"/>
    </row>
    <row r="859" ht="22.5" customHeight="1">
      <c r="A859" s="27">
        <v>46169.0</v>
      </c>
      <c r="B859" s="34" t="str">
        <f t="array" ref="B859">TEXT(A859, "MM-YYYY")</f>
        <v>05-2026</v>
      </c>
      <c r="C859" s="34" t="s">
        <v>1335</v>
      </c>
      <c r="D859" s="36" t="s">
        <v>210</v>
      </c>
      <c r="E859" s="36" t="s">
        <v>213</v>
      </c>
      <c r="F859" s="29" t="b">
        <v>1</v>
      </c>
      <c r="G859" s="36" t="s">
        <v>214</v>
      </c>
      <c r="H859" s="36" t="s">
        <v>215</v>
      </c>
      <c r="I859" s="39"/>
      <c r="J859" s="40"/>
      <c r="K859" s="37" t="s">
        <v>194</v>
      </c>
      <c r="L859" s="37" t="s">
        <v>194</v>
      </c>
      <c r="M859" s="37" t="s">
        <v>194</v>
      </c>
      <c r="N859" s="37" t="s">
        <v>194</v>
      </c>
      <c r="O859" s="37" t="s">
        <v>223</v>
      </c>
      <c r="P859" s="37" t="s">
        <v>224</v>
      </c>
      <c r="Q859" s="41">
        <v>46218.0</v>
      </c>
      <c r="R859" s="42">
        <v>7.0</v>
      </c>
      <c r="S859" s="44"/>
      <c r="T859" s="37" t="s">
        <v>2509</v>
      </c>
      <c r="U859" s="47" t="str">
        <f>IF(records_2[Type]="Room",records_2[roomNo],records_2[roomNo]&amp;"-"&amp;SUBSTITUTE(RIGHT(records_2[roomNo]&amp;records_2[Type],2),"-",""))</f>
        <v>11-1-019</v>
      </c>
      <c r="V859" s="47" t="str">
        <f t="array" ref="V859">_xlfn.XLOOKUP(records_2[ID], dAir[roomNo], dAir[roomName])</f>
        <v>MAL 1</v>
      </c>
      <c r="W859" s="47" t="str">
        <f t="array" ref="W859">_xlfn.XLOOKUP(records_2[ID], dAir[roomNo], dAir[building])</f>
        <v>Building 11</v>
      </c>
      <c r="X859" s="47" t="str">
        <f t="array" ref="X859">_xlfn.XLOOKUP(records_2[ID], dAir[roomNo], dAir[floor])</f>
        <v>Floor 1</v>
      </c>
      <c r="Y859" s="45" t="str">
        <f t="array" ref="Y859">_xlfn.XLOOKUP(records_2[ID], dAir[roomNo], dAir[Class])</f>
        <v>D</v>
      </c>
      <c r="Z859" s="45">
        <f t="array" ref="Z859">_xlfn.XLOOKUP(records_2[Method]&amp;"-"&amp;records_2[Class], dAirSpec[ID], dAirSpec[Spec])</f>
        <v>100</v>
      </c>
      <c r="AA859" s="45" t="str">
        <f t="array" ref="AA859">_xlfn.XLOOKUP(records_2[Method]&amp;"-"&amp;records_2[Class], dAirSpec[ID], dAirSpec[Unit])</f>
        <v>cfu/plate</v>
      </c>
      <c r="AB859" s="58">
        <f t="array" ref="AB859">if(R859="","", if(records_2[Method]="Active Air",_xlfn.xlookup(records_2[ColonyCount]&amp;records_2[AirSampler],feller[code],feller[Vc]),records_2[ColonyCount]))</f>
        <v>7</v>
      </c>
      <c r="AC859" s="60" t="b">
        <f t="shared" si="1"/>
        <v>1</v>
      </c>
      <c r="AD859" s="61" t="b">
        <v>0</v>
      </c>
      <c r="AE859" s="32" t="s">
        <v>280</v>
      </c>
      <c r="AF859" s="46"/>
      <c r="AG859" s="46"/>
      <c r="AH859" s="46"/>
      <c r="AI859" s="46"/>
      <c r="AJ859" s="46"/>
    </row>
    <row r="860" ht="22.5" customHeight="1">
      <c r="A860" s="27">
        <v>46169.0</v>
      </c>
      <c r="B860" s="34" t="str">
        <f t="array" ref="B860">TEXT(A860, "MM-YYYY")</f>
        <v>05-2026</v>
      </c>
      <c r="C860" s="34" t="s">
        <v>1337</v>
      </c>
      <c r="D860" s="36" t="s">
        <v>210</v>
      </c>
      <c r="E860" s="36" t="s">
        <v>531</v>
      </c>
      <c r="F860" s="29" t="b">
        <v>1</v>
      </c>
      <c r="G860" s="36" t="s">
        <v>214</v>
      </c>
      <c r="H860" s="36" t="s">
        <v>534</v>
      </c>
      <c r="I860" s="39"/>
      <c r="J860" s="40"/>
      <c r="K860" s="37" t="s">
        <v>194</v>
      </c>
      <c r="L860" s="37" t="s">
        <v>194</v>
      </c>
      <c r="M860" s="37" t="s">
        <v>194</v>
      </c>
      <c r="N860" s="37" t="s">
        <v>194</v>
      </c>
      <c r="O860" s="37" t="s">
        <v>223</v>
      </c>
      <c r="P860" s="37" t="s">
        <v>224</v>
      </c>
      <c r="Q860" s="41">
        <v>46218.0</v>
      </c>
      <c r="R860" s="42">
        <v>8.0</v>
      </c>
      <c r="S860" s="44"/>
      <c r="T860" s="37" t="s">
        <v>2509</v>
      </c>
      <c r="U860" s="47" t="str">
        <f>IF(records_2[Type]="Room",records_2[roomNo],records_2[roomNo]&amp;"-"&amp;SUBSTITUTE(RIGHT(records_2[roomNo]&amp;records_2[Type],2),"-",""))</f>
        <v>11-1-020</v>
      </c>
      <c r="V860" s="47" t="str">
        <f t="array" ref="V860">_xlfn.XLOOKUP(records_2[ID], dAir[roomNo], dAir[roomName])</f>
        <v>CHANGING ROOM</v>
      </c>
      <c r="W860" s="47" t="str">
        <f t="array" ref="W860">_xlfn.XLOOKUP(records_2[ID], dAir[roomNo], dAir[building])</f>
        <v>Building 11</v>
      </c>
      <c r="X860" s="47" t="str">
        <f t="array" ref="X860">_xlfn.XLOOKUP(records_2[ID], dAir[roomNo], dAir[floor])</f>
        <v>Floor 1</v>
      </c>
      <c r="Y860" s="45" t="str">
        <f t="array" ref="Y860">_xlfn.XLOOKUP(records_2[ID], dAir[roomNo], dAir[Class])</f>
        <v>C</v>
      </c>
      <c r="Z860" s="45">
        <f t="array" ref="Z860">_xlfn.XLOOKUP(records_2[Method]&amp;"-"&amp;records_2[Class], dAirSpec[ID], dAirSpec[Spec])</f>
        <v>100</v>
      </c>
      <c r="AA860" s="45" t="str">
        <f t="array" ref="AA860">_xlfn.XLOOKUP(records_2[Method]&amp;"-"&amp;records_2[Class], dAirSpec[ID], dAirSpec[Unit])</f>
        <v>cfu/m3</v>
      </c>
      <c r="AB860" s="45">
        <f t="array" ref="AB860">if(R860="","", if(records_2[Method]="Active Air",_xlfn.xlookup(records_2[ColonyCount]&amp;records_2[AirSampler],feller[code],feller[Vc]),records_2[ColonyCount]))</f>
        <v>8</v>
      </c>
      <c r="AC860" s="60" t="b">
        <f t="shared" si="1"/>
        <v>1</v>
      </c>
      <c r="AD860" s="61" t="b">
        <v>0</v>
      </c>
      <c r="AE860" s="32" t="s">
        <v>280</v>
      </c>
      <c r="AF860" s="46"/>
      <c r="AG860" s="46"/>
      <c r="AH860" s="46"/>
      <c r="AI860" s="46"/>
      <c r="AJ860" s="46"/>
    </row>
    <row r="861" ht="22.5" customHeight="1">
      <c r="A861" s="27">
        <v>46169.0</v>
      </c>
      <c r="B861" s="34" t="str">
        <f t="array" ref="B861">TEXT(A861, "MM-YYYY")</f>
        <v>05-2026</v>
      </c>
      <c r="C861" s="34" t="s">
        <v>1339</v>
      </c>
      <c r="D861" s="36" t="s">
        <v>210</v>
      </c>
      <c r="E861" s="36" t="s">
        <v>531</v>
      </c>
      <c r="F861" s="29" t="b">
        <v>1</v>
      </c>
      <c r="G861" s="36" t="s">
        <v>214</v>
      </c>
      <c r="H861" s="36" t="s">
        <v>534</v>
      </c>
      <c r="I861" s="39"/>
      <c r="J861" s="40"/>
      <c r="K861" s="37" t="s">
        <v>194</v>
      </c>
      <c r="L861" s="37" t="s">
        <v>194</v>
      </c>
      <c r="M861" s="37" t="s">
        <v>194</v>
      </c>
      <c r="N861" s="37" t="s">
        <v>194</v>
      </c>
      <c r="O861" s="37" t="s">
        <v>223</v>
      </c>
      <c r="P861" s="37" t="s">
        <v>224</v>
      </c>
      <c r="Q861" s="41">
        <v>46218.0</v>
      </c>
      <c r="R861" s="42">
        <v>12.0</v>
      </c>
      <c r="S861" s="44"/>
      <c r="T861" s="37" t="s">
        <v>2509</v>
      </c>
      <c r="U861" s="47" t="str">
        <f>IF(records_2[Type]="Room",records_2[roomNo],records_2[roomNo]&amp;"-"&amp;SUBSTITUTE(RIGHT(records_2[roomNo]&amp;records_2[Type],2),"-",""))</f>
        <v>11-1-021</v>
      </c>
      <c r="V861" s="47" t="str">
        <f t="array" ref="V861">_xlfn.XLOOKUP(records_2[ID], dAir[roomNo], dAir[roomName])</f>
        <v>AIRLOCK</v>
      </c>
      <c r="W861" s="47" t="str">
        <f t="array" ref="W861">_xlfn.XLOOKUP(records_2[ID], dAir[roomNo], dAir[building])</f>
        <v>Building 11</v>
      </c>
      <c r="X861" s="47" t="str">
        <f t="array" ref="X861">_xlfn.XLOOKUP(records_2[ID], dAir[roomNo], dAir[floor])</f>
        <v>Floor 1</v>
      </c>
      <c r="Y861" s="45" t="str">
        <f t="array" ref="Y861">_xlfn.XLOOKUP(records_2[ID], dAir[roomNo], dAir[Class])</f>
        <v>C</v>
      </c>
      <c r="Z861" s="45">
        <f t="array" ref="Z861">_xlfn.XLOOKUP(records_2[Method]&amp;"-"&amp;records_2[Class], dAirSpec[ID], dAirSpec[Spec])</f>
        <v>100</v>
      </c>
      <c r="AA861" s="45" t="str">
        <f t="array" ref="AA861">_xlfn.XLOOKUP(records_2[Method]&amp;"-"&amp;records_2[Class], dAirSpec[ID], dAirSpec[Unit])</f>
        <v>cfu/m3</v>
      </c>
      <c r="AB861" s="45">
        <f t="array" ref="AB861">if(R861="","", if(records_2[Method]="Active Air",_xlfn.xlookup(records_2[ColonyCount]&amp;records_2[AirSampler],feller[code],feller[Vc]),records_2[ColonyCount]))</f>
        <v>12</v>
      </c>
      <c r="AC861" s="60" t="b">
        <f t="shared" si="1"/>
        <v>1</v>
      </c>
      <c r="AD861" s="61" t="b">
        <v>0</v>
      </c>
      <c r="AE861" s="32" t="s">
        <v>280</v>
      </c>
      <c r="AF861" s="46"/>
      <c r="AG861" s="46"/>
      <c r="AH861" s="46"/>
      <c r="AI861" s="46"/>
      <c r="AJ861" s="46"/>
    </row>
    <row r="862" ht="22.5" customHeight="1">
      <c r="A862" s="27">
        <v>46169.0</v>
      </c>
      <c r="B862" s="34" t="str">
        <f t="array" ref="B862">TEXT(A862, "MM-YYYY")</f>
        <v>05-2026</v>
      </c>
      <c r="C862" s="34" t="s">
        <v>1339</v>
      </c>
      <c r="D862" s="36" t="s">
        <v>1350</v>
      </c>
      <c r="E862" s="36" t="s">
        <v>531</v>
      </c>
      <c r="F862" s="29" t="b">
        <v>1</v>
      </c>
      <c r="G862" s="36" t="s">
        <v>214</v>
      </c>
      <c r="H862" s="36" t="s">
        <v>534</v>
      </c>
      <c r="I862" s="39"/>
      <c r="J862" s="40"/>
      <c r="K862" s="37" t="s">
        <v>194</v>
      </c>
      <c r="L862" s="37" t="s">
        <v>194</v>
      </c>
      <c r="M862" s="37" t="s">
        <v>194</v>
      </c>
      <c r="N862" s="37" t="s">
        <v>194</v>
      </c>
      <c r="O862" s="37" t="s">
        <v>223</v>
      </c>
      <c r="P862" s="37" t="s">
        <v>224</v>
      </c>
      <c r="Q862" s="41">
        <v>46218.0</v>
      </c>
      <c r="R862" s="42">
        <v>3.0</v>
      </c>
      <c r="S862" s="44"/>
      <c r="T862" s="37" t="s">
        <v>2509</v>
      </c>
      <c r="U862" s="45" t="str">
        <f>IF(records_2[Type]="Room",records_2[roomNo],records_2[roomNo]&amp;"-"&amp;SUBSTITUTE(RIGHT(records_2[roomNo]&amp;records_2[Type],2),"-",""))</f>
        <v>11-1-021-PB</v>
      </c>
      <c r="V862" s="47" t="str">
        <f t="array" ref="V862">_xlfn.XLOOKUP(records_2[ID], dAir[roomNo], dAir[roomName])</f>
        <v>AIRLOCK  (Passbox)</v>
      </c>
      <c r="W862" s="47" t="str">
        <f t="array" ref="W862">_xlfn.XLOOKUP(records_2[ID], dAir[roomNo], dAir[building])</f>
        <v>Building 11</v>
      </c>
      <c r="X862" s="47" t="str">
        <f t="array" ref="X862">_xlfn.XLOOKUP(records_2[ID], dAir[roomNo], dAir[floor])</f>
        <v>Floor 1</v>
      </c>
      <c r="Y862" s="45" t="str">
        <f t="array" ref="Y862">_xlfn.XLOOKUP(records_2[ID], dAir[roomNo], dAir[Class])</f>
        <v>C</v>
      </c>
      <c r="Z862" s="45">
        <f t="array" ref="Z862">_xlfn.XLOOKUP(records_2[Method]&amp;"-"&amp;records_2[Class], dAirSpec[ID], dAirSpec[Spec])</f>
        <v>100</v>
      </c>
      <c r="AA862" s="45" t="str">
        <f t="array" ref="AA862">_xlfn.XLOOKUP(records_2[Method]&amp;"-"&amp;records_2[Class], dAirSpec[ID], dAirSpec[Unit])</f>
        <v>cfu/m3</v>
      </c>
      <c r="AB862" s="45">
        <f t="array" ref="AB862">if(R862="","", if(records_2[Method]="Active Air",_xlfn.xlookup(records_2[ColonyCount]&amp;records_2[AirSampler],feller[code],feller[Vc]),records_2[ColonyCount]))</f>
        <v>3</v>
      </c>
      <c r="AC862" s="60" t="b">
        <f t="shared" si="1"/>
        <v>1</v>
      </c>
      <c r="AD862" s="61" t="b">
        <v>0</v>
      </c>
      <c r="AE862" s="32" t="s">
        <v>280</v>
      </c>
      <c r="AF862" s="46"/>
      <c r="AG862" s="46"/>
      <c r="AH862" s="46"/>
      <c r="AI862" s="46"/>
      <c r="AJ862" s="46"/>
    </row>
    <row r="863" ht="22.5" customHeight="1">
      <c r="A863" s="27">
        <v>46169.0</v>
      </c>
      <c r="B863" s="34" t="str">
        <f t="array" ref="B863">TEXT(A863, "MM-YYYY")</f>
        <v>05-2026</v>
      </c>
      <c r="C863" s="34" t="s">
        <v>1342</v>
      </c>
      <c r="D863" s="36" t="s">
        <v>210</v>
      </c>
      <c r="E863" s="36" t="s">
        <v>531</v>
      </c>
      <c r="F863" s="29" t="b">
        <v>1</v>
      </c>
      <c r="G863" s="36" t="s">
        <v>214</v>
      </c>
      <c r="H863" s="36" t="s">
        <v>534</v>
      </c>
      <c r="I863" s="39"/>
      <c r="J863" s="40"/>
      <c r="K863" s="37" t="s">
        <v>194</v>
      </c>
      <c r="L863" s="37" t="s">
        <v>194</v>
      </c>
      <c r="M863" s="37" t="s">
        <v>194</v>
      </c>
      <c r="N863" s="37" t="s">
        <v>194</v>
      </c>
      <c r="O863" s="37" t="s">
        <v>223</v>
      </c>
      <c r="P863" s="37" t="s">
        <v>224</v>
      </c>
      <c r="Q863" s="41">
        <v>46218.0</v>
      </c>
      <c r="R863" s="42">
        <v>4.0</v>
      </c>
      <c r="S863" s="44"/>
      <c r="T863" s="37" t="s">
        <v>2509</v>
      </c>
      <c r="U863" s="47" t="str">
        <f>IF(records_2[Type]="Room",records_2[roomNo],records_2[roomNo]&amp;"-"&amp;SUBSTITUTE(RIGHT(records_2[roomNo]&amp;records_2[Type],2),"-",""))</f>
        <v>11-1-022</v>
      </c>
      <c r="V863" s="47" t="str">
        <f t="array" ref="V863">_xlfn.XLOOKUP(records_2[ID], dAir[roomNo], dAir[roomName])</f>
        <v>SAMPLING 4</v>
      </c>
      <c r="W863" s="47" t="str">
        <f t="array" ref="W863">_xlfn.XLOOKUP(records_2[ID], dAir[roomNo], dAir[building])</f>
        <v>Building 11</v>
      </c>
      <c r="X863" s="47" t="str">
        <f t="array" ref="X863">_xlfn.XLOOKUP(records_2[ID], dAir[roomNo], dAir[floor])</f>
        <v>Floor 1</v>
      </c>
      <c r="Y863" s="45" t="str">
        <f t="array" ref="Y863">_xlfn.XLOOKUP(records_2[ID], dAir[roomNo], dAir[Class])</f>
        <v>C</v>
      </c>
      <c r="Z863" s="45">
        <f t="array" ref="Z863">_xlfn.XLOOKUP(records_2[Method]&amp;"-"&amp;records_2[Class], dAirSpec[ID], dAirSpec[Spec])</f>
        <v>100</v>
      </c>
      <c r="AA863" s="45" t="str">
        <f t="array" ref="AA863">_xlfn.XLOOKUP(records_2[Method]&amp;"-"&amp;records_2[Class], dAirSpec[ID], dAirSpec[Unit])</f>
        <v>cfu/m3</v>
      </c>
      <c r="AB863" s="45">
        <f t="array" ref="AB863">if(R863="","", if(records_2[Method]="Active Air",_xlfn.xlookup(records_2[ColonyCount]&amp;records_2[AirSampler],feller[code],feller[Vc]),records_2[ColonyCount]))</f>
        <v>4</v>
      </c>
      <c r="AC863" s="60" t="b">
        <f t="shared" si="1"/>
        <v>1</v>
      </c>
      <c r="AD863" s="61" t="b">
        <v>0</v>
      </c>
      <c r="AE863" s="32" t="s">
        <v>280</v>
      </c>
      <c r="AF863" s="46"/>
      <c r="AG863" s="46"/>
      <c r="AH863" s="46"/>
      <c r="AI863" s="46"/>
      <c r="AJ863" s="46"/>
    </row>
    <row r="864" ht="22.5" customHeight="1">
      <c r="A864" s="27">
        <v>46169.0</v>
      </c>
      <c r="B864" s="34" t="str">
        <f t="array" ref="B864">TEXT(A864, "MM-YYYY")</f>
        <v>05-2026</v>
      </c>
      <c r="C864" s="34" t="s">
        <v>1342</v>
      </c>
      <c r="D864" s="36" t="s">
        <v>680</v>
      </c>
      <c r="E864" s="36" t="s">
        <v>531</v>
      </c>
      <c r="F864" s="29" t="b">
        <v>1</v>
      </c>
      <c r="G864" s="36" t="s">
        <v>214</v>
      </c>
      <c r="H864" s="36" t="s">
        <v>534</v>
      </c>
      <c r="I864" s="39"/>
      <c r="J864" s="40"/>
      <c r="K864" s="37" t="s">
        <v>194</v>
      </c>
      <c r="L864" s="37" t="s">
        <v>194</v>
      </c>
      <c r="M864" s="37" t="s">
        <v>194</v>
      </c>
      <c r="N864" s="37" t="s">
        <v>194</v>
      </c>
      <c r="O864" s="37" t="s">
        <v>223</v>
      </c>
      <c r="P864" s="37" t="s">
        <v>224</v>
      </c>
      <c r="Q864" s="41">
        <v>46218.0</v>
      </c>
      <c r="R864" s="42">
        <v>10.0</v>
      </c>
      <c r="S864" s="44"/>
      <c r="T864" s="37" t="s">
        <v>2509</v>
      </c>
      <c r="U864" s="45" t="str">
        <f>IF(records_2[Type]="Room",records_2[roomNo],records_2[roomNo]&amp;"-"&amp;SUBSTITUTE(RIGHT(records_2[roomNo]&amp;records_2[Type],2),"-",""))</f>
        <v>11-1-022-B</v>
      </c>
      <c r="V864" s="47" t="str">
        <f t="array" ref="V864">_xlfn.XLOOKUP(records_2[ID], dAir[roomNo], dAir[roomName])</f>
        <v>SAMPLING 4 (Booth)</v>
      </c>
      <c r="W864" s="47" t="str">
        <f t="array" ref="W864">_xlfn.XLOOKUP(records_2[ID], dAir[roomNo], dAir[building])</f>
        <v>Building 11</v>
      </c>
      <c r="X864" s="47" t="str">
        <f t="array" ref="X864">_xlfn.XLOOKUP(records_2[ID], dAir[roomNo], dAir[floor])</f>
        <v>Floor 1</v>
      </c>
      <c r="Y864" s="45" t="str">
        <f t="array" ref="Y864">_xlfn.XLOOKUP(records_2[ID], dAir[roomNo], dAir[Class])</f>
        <v>C</v>
      </c>
      <c r="Z864" s="45">
        <f t="array" ref="Z864">_xlfn.XLOOKUP(records_2[Method]&amp;"-"&amp;records_2[Class], dAirSpec[ID], dAirSpec[Spec])</f>
        <v>100</v>
      </c>
      <c r="AA864" s="45" t="str">
        <f t="array" ref="AA864">_xlfn.XLOOKUP(records_2[Method]&amp;"-"&amp;records_2[Class], dAirSpec[ID], dAirSpec[Unit])</f>
        <v>cfu/m3</v>
      </c>
      <c r="AB864" s="45">
        <f t="array" ref="AB864">if(R864="","", if(records_2[Method]="Active Air",_xlfn.xlookup(records_2[ColonyCount]&amp;records_2[AirSampler],feller[code],feller[Vc]),records_2[ColonyCount]))</f>
        <v>10</v>
      </c>
      <c r="AC864" s="60" t="b">
        <f t="shared" si="1"/>
        <v>1</v>
      </c>
      <c r="AD864" s="61" t="b">
        <v>0</v>
      </c>
      <c r="AE864" s="32" t="s">
        <v>280</v>
      </c>
      <c r="AF864" s="46"/>
      <c r="AG864" s="46"/>
      <c r="AH864" s="46"/>
      <c r="AI864" s="46"/>
      <c r="AJ864" s="46"/>
    </row>
    <row r="865" ht="22.5" customHeight="1">
      <c r="A865" s="27">
        <v>46169.0</v>
      </c>
      <c r="B865" s="34" t="str">
        <f t="array" ref="B865">TEXT(A865, "MM-YYYY")</f>
        <v>05-2026</v>
      </c>
      <c r="C865" s="34" t="s">
        <v>1346</v>
      </c>
      <c r="D865" s="36" t="s">
        <v>210</v>
      </c>
      <c r="E865" s="36" t="s">
        <v>213</v>
      </c>
      <c r="F865" s="29" t="b">
        <v>1</v>
      </c>
      <c r="G865" s="36" t="s">
        <v>214</v>
      </c>
      <c r="H865" s="36" t="s">
        <v>215</v>
      </c>
      <c r="I865" s="39"/>
      <c r="J865" s="40"/>
      <c r="K865" s="37" t="s">
        <v>194</v>
      </c>
      <c r="L865" s="37" t="s">
        <v>194</v>
      </c>
      <c r="M865" s="37" t="s">
        <v>194</v>
      </c>
      <c r="N865" s="37" t="s">
        <v>194</v>
      </c>
      <c r="O865" s="37" t="s">
        <v>223</v>
      </c>
      <c r="P865" s="37" t="s">
        <v>224</v>
      </c>
      <c r="Q865" s="41">
        <v>46218.0</v>
      </c>
      <c r="R865" s="42">
        <v>0.0</v>
      </c>
      <c r="S865" s="44"/>
      <c r="T865" s="37" t="s">
        <v>2509</v>
      </c>
      <c r="U865" s="47" t="str">
        <f>IF(records_2[Type]="Room",records_2[roomNo],records_2[roomNo]&amp;"-"&amp;SUBSTITUTE(RIGHT(records_2[roomNo]&amp;records_2[Type],2),"-",""))</f>
        <v>11-1-023</v>
      </c>
      <c r="V865" s="47" t="str">
        <f t="array" ref="V865">_xlfn.XLOOKUP(records_2[ID], dAir[roomNo], dAir[roomName])</f>
        <v>SAMPLING 3</v>
      </c>
      <c r="W865" s="47" t="str">
        <f t="array" ref="W865">_xlfn.XLOOKUP(records_2[ID], dAir[roomNo], dAir[building])</f>
        <v>Building 11</v>
      </c>
      <c r="X865" s="47" t="str">
        <f t="array" ref="X865">_xlfn.XLOOKUP(records_2[ID], dAir[roomNo], dAir[floor])</f>
        <v>Floor 1</v>
      </c>
      <c r="Y865" s="45" t="str">
        <f t="array" ref="Y865">_xlfn.XLOOKUP(records_2[ID], dAir[roomNo], dAir[Class])</f>
        <v>D</v>
      </c>
      <c r="Z865" s="45">
        <f t="array" ref="Z865">_xlfn.XLOOKUP(records_2[Method]&amp;"-"&amp;records_2[Class], dAirSpec[ID], dAirSpec[Spec])</f>
        <v>100</v>
      </c>
      <c r="AA865" s="45" t="str">
        <f t="array" ref="AA865">_xlfn.XLOOKUP(records_2[Method]&amp;"-"&amp;records_2[Class], dAirSpec[ID], dAirSpec[Unit])</f>
        <v>cfu/plate</v>
      </c>
      <c r="AB865" s="58">
        <f t="array" ref="AB865">if(R865="","", if(records_2[Method]="Active Air",_xlfn.xlookup(records_2[ColonyCount]&amp;records_2[AirSampler],feller[code],feller[Vc]),records_2[ColonyCount]))</f>
        <v>0</v>
      </c>
      <c r="AC865" s="60" t="b">
        <f t="shared" si="1"/>
        <v>1</v>
      </c>
      <c r="AD865" s="61" t="b">
        <v>0</v>
      </c>
      <c r="AE865" s="32" t="s">
        <v>280</v>
      </c>
      <c r="AF865" s="46"/>
      <c r="AG865" s="46"/>
      <c r="AH865" s="46"/>
      <c r="AI865" s="46"/>
      <c r="AJ865" s="46"/>
    </row>
    <row r="866" ht="22.5" customHeight="1">
      <c r="A866" s="27">
        <v>46169.0</v>
      </c>
      <c r="B866" s="34" t="str">
        <f t="array" ref="B866">TEXT(A866, "MM-YYYY")</f>
        <v>05-2026</v>
      </c>
      <c r="C866" s="34" t="s">
        <v>1346</v>
      </c>
      <c r="D866" s="36" t="s">
        <v>680</v>
      </c>
      <c r="E866" s="36" t="s">
        <v>213</v>
      </c>
      <c r="F866" s="29" t="b">
        <v>1</v>
      </c>
      <c r="G866" s="36" t="s">
        <v>214</v>
      </c>
      <c r="H866" s="36" t="s">
        <v>215</v>
      </c>
      <c r="I866" s="39"/>
      <c r="J866" s="40"/>
      <c r="K866" s="37" t="s">
        <v>194</v>
      </c>
      <c r="L866" s="37" t="s">
        <v>194</v>
      </c>
      <c r="M866" s="37" t="s">
        <v>194</v>
      </c>
      <c r="N866" s="37" t="s">
        <v>194</v>
      </c>
      <c r="O866" s="37" t="s">
        <v>223</v>
      </c>
      <c r="P866" s="37" t="s">
        <v>224</v>
      </c>
      <c r="Q866" s="41">
        <v>46218.0</v>
      </c>
      <c r="R866" s="42">
        <v>2.0</v>
      </c>
      <c r="S866" s="44"/>
      <c r="T866" s="37" t="s">
        <v>2509</v>
      </c>
      <c r="U866" s="45" t="str">
        <f>IF(records_2[Type]="Room",records_2[roomNo],records_2[roomNo]&amp;"-"&amp;SUBSTITUTE(RIGHT(records_2[roomNo]&amp;records_2[Type],2),"-",""))</f>
        <v>11-1-023-B</v>
      </c>
      <c r="V866" s="47" t="str">
        <f t="array" ref="V866">_xlfn.XLOOKUP(records_2[ID], dAir[roomNo], dAir[roomName])</f>
        <v>SAMPLING 3 (Booth)</v>
      </c>
      <c r="W866" s="47" t="str">
        <f t="array" ref="W866">_xlfn.XLOOKUP(records_2[ID], dAir[roomNo], dAir[building])</f>
        <v>Building 11</v>
      </c>
      <c r="X866" s="47" t="str">
        <f t="array" ref="X866">_xlfn.XLOOKUP(records_2[ID], dAir[roomNo], dAir[floor])</f>
        <v>Floor 1</v>
      </c>
      <c r="Y866" s="45" t="str">
        <f t="array" ref="Y866">_xlfn.XLOOKUP(records_2[ID], dAir[roomNo], dAir[Class])</f>
        <v>D</v>
      </c>
      <c r="Z866" s="45">
        <f t="array" ref="Z866">_xlfn.XLOOKUP(records_2[Method]&amp;"-"&amp;records_2[Class], dAirSpec[ID], dAirSpec[Spec])</f>
        <v>100</v>
      </c>
      <c r="AA866" s="45" t="str">
        <f t="array" ref="AA866">_xlfn.XLOOKUP(records_2[Method]&amp;"-"&amp;records_2[Class], dAirSpec[ID], dAirSpec[Unit])</f>
        <v>cfu/plate</v>
      </c>
      <c r="AB866" s="58">
        <f t="array" ref="AB866">if(R866="","", if(records_2[Method]="Active Air",_xlfn.xlookup(records_2[ColonyCount]&amp;records_2[AirSampler],feller[code],feller[Vc]),records_2[ColonyCount]))</f>
        <v>2</v>
      </c>
      <c r="AC866" s="60" t="b">
        <f t="shared" si="1"/>
        <v>1</v>
      </c>
      <c r="AD866" s="61" t="b">
        <v>0</v>
      </c>
      <c r="AE866" s="32" t="s">
        <v>280</v>
      </c>
      <c r="AF866" s="46"/>
      <c r="AG866" s="46"/>
      <c r="AH866" s="46"/>
      <c r="AI866" s="46"/>
      <c r="AJ866" s="46"/>
    </row>
    <row r="867" ht="22.5" customHeight="1">
      <c r="A867" s="27">
        <v>46169.0</v>
      </c>
      <c r="B867" s="34" t="str">
        <f t="array" ref="B867">TEXT(A867, "MM-YYYY")</f>
        <v>05-2026</v>
      </c>
      <c r="C867" s="34" t="s">
        <v>1351</v>
      </c>
      <c r="D867" s="36" t="s">
        <v>210</v>
      </c>
      <c r="E867" s="36" t="s">
        <v>213</v>
      </c>
      <c r="F867" s="29" t="b">
        <v>1</v>
      </c>
      <c r="G867" s="36" t="s">
        <v>214</v>
      </c>
      <c r="H867" s="36" t="s">
        <v>215</v>
      </c>
      <c r="I867" s="39"/>
      <c r="J867" s="40"/>
      <c r="K867" s="37" t="s">
        <v>194</v>
      </c>
      <c r="L867" s="37" t="s">
        <v>194</v>
      </c>
      <c r="M867" s="37" t="s">
        <v>194</v>
      </c>
      <c r="N867" s="37" t="s">
        <v>194</v>
      </c>
      <c r="O867" s="37" t="s">
        <v>223</v>
      </c>
      <c r="P867" s="37" t="s">
        <v>224</v>
      </c>
      <c r="Q867" s="41">
        <v>46218.0</v>
      </c>
      <c r="R867" s="42">
        <v>0.0</v>
      </c>
      <c r="S867" s="44"/>
      <c r="T867" s="37" t="s">
        <v>2509</v>
      </c>
      <c r="U867" s="47" t="str">
        <f>IF(records_2[Type]="Room",records_2[roomNo],records_2[roomNo]&amp;"-"&amp;SUBSTITUTE(RIGHT(records_2[roomNo]&amp;records_2[Type],2),"-",""))</f>
        <v>11-1-024</v>
      </c>
      <c r="V867" s="47" t="str">
        <f t="array" ref="V867">_xlfn.XLOOKUP(records_2[ID], dAir[roomNo], dAir[roomName])</f>
        <v>CORRIDOR</v>
      </c>
      <c r="W867" s="47" t="str">
        <f t="array" ref="W867">_xlfn.XLOOKUP(records_2[ID], dAir[roomNo], dAir[building])</f>
        <v>Building 11</v>
      </c>
      <c r="X867" s="47" t="str">
        <f t="array" ref="X867">_xlfn.XLOOKUP(records_2[ID], dAir[roomNo], dAir[floor])</f>
        <v>Floor 1</v>
      </c>
      <c r="Y867" s="45" t="str">
        <f t="array" ref="Y867">_xlfn.XLOOKUP(records_2[ID], dAir[roomNo], dAir[Class])</f>
        <v>D</v>
      </c>
      <c r="Z867" s="45">
        <f t="array" ref="Z867">_xlfn.XLOOKUP(records_2[Method]&amp;"-"&amp;records_2[Class], dAirSpec[ID], dAirSpec[Spec])</f>
        <v>100</v>
      </c>
      <c r="AA867" s="45" t="str">
        <f t="array" ref="AA867">_xlfn.XLOOKUP(records_2[Method]&amp;"-"&amp;records_2[Class], dAirSpec[ID], dAirSpec[Unit])</f>
        <v>cfu/plate</v>
      </c>
      <c r="AB867" s="58">
        <f t="array" ref="AB867">if(R867="","", if(records_2[Method]="Active Air",_xlfn.xlookup(records_2[ColonyCount]&amp;records_2[AirSampler],feller[code],feller[Vc]),records_2[ColonyCount]))</f>
        <v>0</v>
      </c>
      <c r="AC867" s="60" t="b">
        <f t="shared" si="1"/>
        <v>1</v>
      </c>
      <c r="AD867" s="61" t="b">
        <v>0</v>
      </c>
      <c r="AE867" s="32" t="s">
        <v>280</v>
      </c>
      <c r="AF867" s="46"/>
      <c r="AG867" s="46"/>
      <c r="AH867" s="46"/>
      <c r="AI867" s="46"/>
      <c r="AJ867" s="46"/>
    </row>
    <row r="868" ht="22.5" customHeight="1">
      <c r="A868" s="27">
        <v>46169.0</v>
      </c>
      <c r="B868" s="34" t="str">
        <f t="array" ref="B868">TEXT(A868, "MM-YYYY")</f>
        <v>05-2026</v>
      </c>
      <c r="C868" s="34" t="s">
        <v>1352</v>
      </c>
      <c r="D868" s="36" t="s">
        <v>210</v>
      </c>
      <c r="E868" s="36" t="s">
        <v>213</v>
      </c>
      <c r="F868" s="29" t="b">
        <v>1</v>
      </c>
      <c r="G868" s="36" t="s">
        <v>214</v>
      </c>
      <c r="H868" s="36" t="s">
        <v>215</v>
      </c>
      <c r="I868" s="39"/>
      <c r="J868" s="40"/>
      <c r="K868" s="37" t="s">
        <v>194</v>
      </c>
      <c r="L868" s="37" t="s">
        <v>194</v>
      </c>
      <c r="M868" s="37" t="s">
        <v>194</v>
      </c>
      <c r="N868" s="37" t="s">
        <v>194</v>
      </c>
      <c r="O868" s="37" t="s">
        <v>223</v>
      </c>
      <c r="P868" s="37" t="s">
        <v>224</v>
      </c>
      <c r="Q868" s="41">
        <v>46218.0</v>
      </c>
      <c r="R868" s="42">
        <v>0.0</v>
      </c>
      <c r="S868" s="44"/>
      <c r="T868" s="37" t="s">
        <v>2509</v>
      </c>
      <c r="U868" s="47" t="str">
        <f>IF(records_2[Type]="Room",records_2[roomNo],records_2[roomNo]&amp;"-"&amp;SUBSTITUTE(RIGHT(records_2[roomNo]&amp;records_2[Type],2),"-",""))</f>
        <v>11-1-025</v>
      </c>
      <c r="V868" s="47" t="str">
        <f t="array" ref="V868">_xlfn.XLOOKUP(records_2[ID], dAir[roomNo], dAir[roomName])</f>
        <v>JANITOR ROOM</v>
      </c>
      <c r="W868" s="47" t="str">
        <f t="array" ref="W868">_xlfn.XLOOKUP(records_2[ID], dAir[roomNo], dAir[building])</f>
        <v>Building 11</v>
      </c>
      <c r="X868" s="47" t="str">
        <f t="array" ref="X868">_xlfn.XLOOKUP(records_2[ID], dAir[roomNo], dAir[floor])</f>
        <v>Floor 1</v>
      </c>
      <c r="Y868" s="45" t="str">
        <f t="array" ref="Y868">_xlfn.XLOOKUP(records_2[ID], dAir[roomNo], dAir[Class])</f>
        <v>D</v>
      </c>
      <c r="Z868" s="45">
        <f t="array" ref="Z868">_xlfn.XLOOKUP(records_2[Method]&amp;"-"&amp;records_2[Class], dAirSpec[ID], dAirSpec[Spec])</f>
        <v>100</v>
      </c>
      <c r="AA868" s="45" t="str">
        <f t="array" ref="AA868">_xlfn.XLOOKUP(records_2[Method]&amp;"-"&amp;records_2[Class], dAirSpec[ID], dAirSpec[Unit])</f>
        <v>cfu/plate</v>
      </c>
      <c r="AB868" s="58">
        <f t="array" ref="AB868">if(R868="","", if(records_2[Method]="Active Air",_xlfn.xlookup(records_2[ColonyCount]&amp;records_2[AirSampler],feller[code],feller[Vc]),records_2[ColonyCount]))</f>
        <v>0</v>
      </c>
      <c r="AC868" s="60" t="b">
        <f t="shared" si="1"/>
        <v>1</v>
      </c>
      <c r="AD868" s="61" t="b">
        <v>0</v>
      </c>
      <c r="AE868" s="32" t="s">
        <v>280</v>
      </c>
      <c r="AF868" s="46"/>
      <c r="AG868" s="46"/>
      <c r="AH868" s="46"/>
      <c r="AI868" s="46"/>
      <c r="AJ868" s="46"/>
    </row>
    <row r="869" ht="22.5" customHeight="1">
      <c r="A869" s="27">
        <v>46169.0</v>
      </c>
      <c r="B869" s="34" t="str">
        <f t="array" ref="B869">TEXT(A869, "MM-YYYY")</f>
        <v>05-2026</v>
      </c>
      <c r="C869" s="34" t="s">
        <v>1355</v>
      </c>
      <c r="D869" s="36" t="s">
        <v>210</v>
      </c>
      <c r="E869" s="36" t="s">
        <v>213</v>
      </c>
      <c r="F869" s="29" t="b">
        <v>1</v>
      </c>
      <c r="G869" s="36" t="s">
        <v>214</v>
      </c>
      <c r="H869" s="36" t="s">
        <v>215</v>
      </c>
      <c r="I869" s="39"/>
      <c r="J869" s="40"/>
      <c r="K869" s="37" t="s">
        <v>194</v>
      </c>
      <c r="L869" s="37" t="s">
        <v>194</v>
      </c>
      <c r="M869" s="37" t="s">
        <v>194</v>
      </c>
      <c r="N869" s="37" t="s">
        <v>194</v>
      </c>
      <c r="O869" s="37" t="s">
        <v>223</v>
      </c>
      <c r="P869" s="37" t="s">
        <v>224</v>
      </c>
      <c r="Q869" s="41">
        <v>46218.0</v>
      </c>
      <c r="R869" s="42">
        <v>0.0</v>
      </c>
      <c r="S869" s="44"/>
      <c r="T869" s="37" t="s">
        <v>2509</v>
      </c>
      <c r="U869" s="47" t="str">
        <f>IF(records_2[Type]="Room",records_2[roomNo],records_2[roomNo]&amp;"-"&amp;SUBSTITUTE(RIGHT(records_2[roomNo]&amp;records_2[Type],2),"-",""))</f>
        <v>11-1-026</v>
      </c>
      <c r="V869" s="47" t="str">
        <f t="array" ref="V869">_xlfn.XLOOKUP(records_2[ID], dAir[roomNo], dAir[roomName])</f>
        <v>STORAGE</v>
      </c>
      <c r="W869" s="47" t="str">
        <f t="array" ref="W869">_xlfn.XLOOKUP(records_2[ID], dAir[roomNo], dAir[building])</f>
        <v>Building 11</v>
      </c>
      <c r="X869" s="47" t="str">
        <f t="array" ref="X869">_xlfn.XLOOKUP(records_2[ID], dAir[roomNo], dAir[floor])</f>
        <v>Floor 1</v>
      </c>
      <c r="Y869" s="45" t="str">
        <f t="array" ref="Y869">_xlfn.XLOOKUP(records_2[ID], dAir[roomNo], dAir[Class])</f>
        <v>D</v>
      </c>
      <c r="Z869" s="45">
        <f t="array" ref="Z869">_xlfn.XLOOKUP(records_2[Method]&amp;"-"&amp;records_2[Class], dAirSpec[ID], dAirSpec[Spec])</f>
        <v>100</v>
      </c>
      <c r="AA869" s="45" t="str">
        <f t="array" ref="AA869">_xlfn.XLOOKUP(records_2[Method]&amp;"-"&amp;records_2[Class], dAirSpec[ID], dAirSpec[Unit])</f>
        <v>cfu/plate</v>
      </c>
      <c r="AB869" s="58">
        <f t="array" ref="AB869">if(R869="","", if(records_2[Method]="Active Air",_xlfn.xlookup(records_2[ColonyCount]&amp;records_2[AirSampler],feller[code],feller[Vc]),records_2[ColonyCount]))</f>
        <v>0</v>
      </c>
      <c r="AC869" s="60" t="b">
        <f t="shared" si="1"/>
        <v>1</v>
      </c>
      <c r="AD869" s="61" t="b">
        <v>0</v>
      </c>
      <c r="AE869" s="32" t="s">
        <v>280</v>
      </c>
      <c r="AF869" s="46"/>
      <c r="AG869" s="46"/>
      <c r="AH869" s="46"/>
      <c r="AI869" s="46"/>
      <c r="AJ869" s="46"/>
    </row>
    <row r="870" ht="22.5" customHeight="1">
      <c r="A870" s="27">
        <v>46169.0</v>
      </c>
      <c r="B870" s="34" t="str">
        <f t="array" ref="B870">TEXT(A870, "MM-YYYY")</f>
        <v>05-2026</v>
      </c>
      <c r="C870" s="34" t="s">
        <v>1358</v>
      </c>
      <c r="D870" s="36" t="s">
        <v>210</v>
      </c>
      <c r="E870" s="36" t="s">
        <v>213</v>
      </c>
      <c r="F870" s="29" t="b">
        <v>1</v>
      </c>
      <c r="G870" s="36" t="s">
        <v>214</v>
      </c>
      <c r="H870" s="36" t="s">
        <v>215</v>
      </c>
      <c r="I870" s="39"/>
      <c r="J870" s="40"/>
      <c r="K870" s="37" t="s">
        <v>194</v>
      </c>
      <c r="L870" s="37" t="s">
        <v>194</v>
      </c>
      <c r="M870" s="37" t="s">
        <v>194</v>
      </c>
      <c r="N870" s="37" t="s">
        <v>194</v>
      </c>
      <c r="O870" s="37" t="s">
        <v>223</v>
      </c>
      <c r="P870" s="37" t="s">
        <v>224</v>
      </c>
      <c r="Q870" s="41">
        <v>46218.0</v>
      </c>
      <c r="R870" s="42">
        <v>1.0</v>
      </c>
      <c r="S870" s="44"/>
      <c r="T870" s="37" t="s">
        <v>2509</v>
      </c>
      <c r="U870" s="47" t="str">
        <f>IF(records_2[Type]="Room",records_2[roomNo],records_2[roomNo]&amp;"-"&amp;SUBSTITUTE(RIGHT(records_2[roomNo]&amp;records_2[Type],2),"-",""))</f>
        <v>11-1-027</v>
      </c>
      <c r="V870" s="47" t="str">
        <f t="array" ref="V870">_xlfn.XLOOKUP(records_2[ID], dAir[roomNo], dAir[roomName])</f>
        <v>DRYING</v>
      </c>
      <c r="W870" s="47" t="str">
        <f t="array" ref="W870">_xlfn.XLOOKUP(records_2[ID], dAir[roomNo], dAir[building])</f>
        <v>Building 11</v>
      </c>
      <c r="X870" s="47" t="str">
        <f t="array" ref="X870">_xlfn.XLOOKUP(records_2[ID], dAir[roomNo], dAir[floor])</f>
        <v>Floor 1</v>
      </c>
      <c r="Y870" s="45" t="str">
        <f t="array" ref="Y870">_xlfn.XLOOKUP(records_2[ID], dAir[roomNo], dAir[Class])</f>
        <v>D</v>
      </c>
      <c r="Z870" s="45">
        <f t="array" ref="Z870">_xlfn.XLOOKUP(records_2[Method]&amp;"-"&amp;records_2[Class], dAirSpec[ID], dAirSpec[Spec])</f>
        <v>100</v>
      </c>
      <c r="AA870" s="45" t="str">
        <f t="array" ref="AA870">_xlfn.XLOOKUP(records_2[Method]&amp;"-"&amp;records_2[Class], dAirSpec[ID], dAirSpec[Unit])</f>
        <v>cfu/plate</v>
      </c>
      <c r="AB870" s="58">
        <f t="array" ref="AB870">if(R870="","", if(records_2[Method]="Active Air",_xlfn.xlookup(records_2[ColonyCount]&amp;records_2[AirSampler],feller[code],feller[Vc]),records_2[ColonyCount]))</f>
        <v>1</v>
      </c>
      <c r="AC870" s="60" t="b">
        <f t="shared" si="1"/>
        <v>1</v>
      </c>
      <c r="AD870" s="61" t="b">
        <v>0</v>
      </c>
      <c r="AE870" s="32" t="s">
        <v>280</v>
      </c>
      <c r="AF870" s="46"/>
      <c r="AG870" s="46"/>
      <c r="AH870" s="46"/>
      <c r="AI870" s="46"/>
      <c r="AJ870" s="46"/>
    </row>
    <row r="871" ht="22.5" customHeight="1">
      <c r="A871" s="27">
        <v>46169.0</v>
      </c>
      <c r="B871" s="34" t="str">
        <f t="array" ref="B871">TEXT(A871, "MM-YYYY")</f>
        <v>05-2026</v>
      </c>
      <c r="C871" s="34" t="s">
        <v>1359</v>
      </c>
      <c r="D871" s="36" t="s">
        <v>210</v>
      </c>
      <c r="E871" s="36" t="s">
        <v>213</v>
      </c>
      <c r="F871" s="29" t="b">
        <v>1</v>
      </c>
      <c r="G871" s="36" t="s">
        <v>214</v>
      </c>
      <c r="H871" s="36" t="s">
        <v>215</v>
      </c>
      <c r="I871" s="39"/>
      <c r="J871" s="40"/>
      <c r="K871" s="37" t="s">
        <v>194</v>
      </c>
      <c r="L871" s="37" t="s">
        <v>194</v>
      </c>
      <c r="M871" s="37" t="s">
        <v>194</v>
      </c>
      <c r="N871" s="37" t="s">
        <v>194</v>
      </c>
      <c r="O871" s="37" t="s">
        <v>223</v>
      </c>
      <c r="P871" s="37" t="s">
        <v>224</v>
      </c>
      <c r="Q871" s="41">
        <v>46218.0</v>
      </c>
      <c r="R871" s="42">
        <v>0.0</v>
      </c>
      <c r="S871" s="44"/>
      <c r="T871" s="37" t="s">
        <v>2509</v>
      </c>
      <c r="U871" s="47" t="str">
        <f>IF(records_2[Type]="Room",records_2[roomNo],records_2[roomNo]&amp;"-"&amp;SUBSTITUTE(RIGHT(records_2[roomNo]&amp;records_2[Type],2),"-",""))</f>
        <v>11-1-028</v>
      </c>
      <c r="V871" s="47" t="str">
        <f t="array" ref="V871">_xlfn.XLOOKUP(records_2[ID], dAir[roomNo], dAir[roomName])</f>
        <v>WASHING</v>
      </c>
      <c r="W871" s="47" t="str">
        <f t="array" ref="W871">_xlfn.XLOOKUP(records_2[ID], dAir[roomNo], dAir[building])</f>
        <v>Building 11</v>
      </c>
      <c r="X871" s="47" t="str">
        <f t="array" ref="X871">_xlfn.XLOOKUP(records_2[ID], dAir[roomNo], dAir[floor])</f>
        <v>Floor 1</v>
      </c>
      <c r="Y871" s="45" t="str">
        <f t="array" ref="Y871">_xlfn.XLOOKUP(records_2[ID], dAir[roomNo], dAir[Class])</f>
        <v>D</v>
      </c>
      <c r="Z871" s="45">
        <f t="array" ref="Z871">_xlfn.XLOOKUP(records_2[Method]&amp;"-"&amp;records_2[Class], dAirSpec[ID], dAirSpec[Spec])</f>
        <v>100</v>
      </c>
      <c r="AA871" s="45" t="str">
        <f t="array" ref="AA871">_xlfn.XLOOKUP(records_2[Method]&amp;"-"&amp;records_2[Class], dAirSpec[ID], dAirSpec[Unit])</f>
        <v>cfu/plate</v>
      </c>
      <c r="AB871" s="58">
        <f t="array" ref="AB871">if(R871="","", if(records_2[Method]="Active Air",_xlfn.xlookup(records_2[ColonyCount]&amp;records_2[AirSampler],feller[code],feller[Vc]),records_2[ColonyCount]))</f>
        <v>0</v>
      </c>
      <c r="AC871" s="60" t="b">
        <f t="shared" si="1"/>
        <v>1</v>
      </c>
      <c r="AD871" s="61" t="b">
        <v>0</v>
      </c>
      <c r="AE871" s="32" t="s">
        <v>280</v>
      </c>
      <c r="AF871" s="46"/>
      <c r="AG871" s="46"/>
      <c r="AH871" s="46"/>
      <c r="AI871" s="46"/>
      <c r="AJ871" s="46"/>
    </row>
    <row r="872" ht="22.5" customHeight="1">
      <c r="A872" s="27">
        <v>46170.0</v>
      </c>
      <c r="B872" s="34" t="str">
        <f t="array" ref="B872">TEXT(A872, "MM-YYYY")</f>
        <v>05-2026</v>
      </c>
      <c r="C872" s="20" t="s">
        <v>1298</v>
      </c>
      <c r="D872" s="21" t="s">
        <v>210</v>
      </c>
      <c r="E872" s="36" t="s">
        <v>531</v>
      </c>
      <c r="F872" s="29" t="b">
        <v>1</v>
      </c>
      <c r="G872" s="36" t="s">
        <v>1737</v>
      </c>
      <c r="H872" s="36" t="s">
        <v>757</v>
      </c>
      <c r="I872" s="39"/>
      <c r="J872" s="40"/>
      <c r="K872" s="37"/>
      <c r="L872" s="37"/>
      <c r="M872" s="37"/>
      <c r="N872" s="37"/>
      <c r="O872" s="37"/>
      <c r="P872" s="37"/>
      <c r="Q872" s="41"/>
      <c r="R872" s="42">
        <v>45.0</v>
      </c>
      <c r="S872" s="44"/>
      <c r="T872" s="37"/>
      <c r="U872" s="47" t="str">
        <f>IF(records_2[Type]="Room",records_2[roomNo],records_2[roomNo]&amp;"-"&amp;SUBSTITUTE(RIGHT(records_2[roomNo]&amp;records_2[Type],2),"-",""))</f>
        <v>10-3-164</v>
      </c>
      <c r="V872" s="47" t="str">
        <f t="array" ref="V872">_xlfn.XLOOKUP(records_2[ID], dAir[roomNo], dAir[roomName])</f>
        <v>WET GRANULATION 2-P</v>
      </c>
      <c r="W872" s="47" t="str">
        <f t="array" ref="W872">_xlfn.XLOOKUP(records_2[ID], dAir[roomNo], dAir[building])</f>
        <v>Building 10</v>
      </c>
      <c r="X872" s="47" t="str">
        <f t="array" ref="X872">_xlfn.XLOOKUP(records_2[ID], dAir[roomNo], dAir[floor])</f>
        <v>Floor 3</v>
      </c>
      <c r="Y872" s="45" t="str">
        <f t="array" ref="Y872">_xlfn.XLOOKUP(records_2[ID], dAir[roomNo], dAir[Class])</f>
        <v>D</v>
      </c>
      <c r="Z872" s="45">
        <f t="array" ref="Z872">_xlfn.XLOOKUP(records_2[Method]&amp;"-"&amp;records_2[Class], dAirSpec[ID], dAirSpec[Spec])</f>
        <v>200</v>
      </c>
      <c r="AA872" s="45" t="str">
        <f t="array" ref="AA872">_xlfn.XLOOKUP(records_2[Method]&amp;"-"&amp;records_2[Class], dAirSpec[ID], dAirSpec[Unit])</f>
        <v>cfu/m3</v>
      </c>
      <c r="AB872" s="45">
        <f t="array" ref="AB872">if(R872="","", if(records_2[Method]="Active Air",_xlfn.xlookup(records_2[ColonyCount]&amp;records_2[AirSampler],feller[code],feller[Vc]),records_2[ColonyCount]))</f>
        <v>49</v>
      </c>
      <c r="AC872" s="60" t="b">
        <f t="shared" si="1"/>
        <v>1</v>
      </c>
      <c r="AD872" s="61" t="b">
        <v>0</v>
      </c>
      <c r="AE872" s="32" t="s">
        <v>280</v>
      </c>
      <c r="AF872" s="46"/>
      <c r="AG872" s="46"/>
      <c r="AH872" s="46"/>
      <c r="AI872" s="46"/>
      <c r="AJ872" s="46"/>
    </row>
    <row r="873" ht="22.5" customHeight="1">
      <c r="A873" s="27">
        <v>46172.0</v>
      </c>
      <c r="B873" s="34" t="str">
        <f t="array" ref="B873">TEXT(A873, "MM-YYYY")</f>
        <v>05-2026</v>
      </c>
      <c r="C873" s="32" t="s">
        <v>207</v>
      </c>
      <c r="D873" s="21" t="s">
        <v>210</v>
      </c>
      <c r="E873" s="36" t="s">
        <v>213</v>
      </c>
      <c r="F873" s="29" t="b">
        <v>1</v>
      </c>
      <c r="G873" s="36" t="s">
        <v>214</v>
      </c>
      <c r="H873" s="36" t="s">
        <v>215</v>
      </c>
      <c r="I873" s="39"/>
      <c r="J873" s="40"/>
      <c r="K873" s="37" t="s">
        <v>194</v>
      </c>
      <c r="L873" s="37" t="s">
        <v>194</v>
      </c>
      <c r="M873" s="37" t="s">
        <v>194</v>
      </c>
      <c r="N873" s="37" t="s">
        <v>194</v>
      </c>
      <c r="O873" s="37" t="s">
        <v>223</v>
      </c>
      <c r="P873" s="37" t="s">
        <v>224</v>
      </c>
      <c r="Q873" s="41">
        <v>46218.0</v>
      </c>
      <c r="R873" s="42">
        <v>14.0</v>
      </c>
      <c r="S873" s="44"/>
      <c r="T873" s="37" t="s">
        <v>4</v>
      </c>
      <c r="U873" s="45" t="str">
        <f>IF(records_2[Type]="Room",records_2[roomNo],records_2[roomNo]&amp;"-"&amp;SUBSTITUTE(RIGHT(records_2[roomNo]&amp;records_2[Type],2),"-",""))</f>
        <v>12-2-021</v>
      </c>
      <c r="V873" s="47" t="str">
        <f t="array" ref="V873">_xlfn.XLOOKUP(records_2[ID], dAir[roomNo], dAir[roomName])</f>
        <v>PROCESS CHANGE</v>
      </c>
      <c r="W873" s="47" t="str">
        <f t="array" ref="W873">_xlfn.XLOOKUP(records_2[ID], dAir[roomNo], dAir[building])</f>
        <v>Building 12</v>
      </c>
      <c r="X873" s="47" t="str">
        <f t="array" ref="X873">_xlfn.XLOOKUP(records_2[ID], dAir[roomNo], dAir[floor])</f>
        <v>Floor 2</v>
      </c>
      <c r="Y873" s="45" t="str">
        <f t="array" ref="Y873">_xlfn.XLOOKUP(records_2[ID], dAir[roomNo], dAir[Class])</f>
        <v>D</v>
      </c>
      <c r="Z873" s="45">
        <f t="array" ref="Z873">_xlfn.XLOOKUP(records_2[Method]&amp;"-"&amp;records_2[Class], dAirSpec[ID], dAirSpec[Spec])</f>
        <v>100</v>
      </c>
      <c r="AA873" s="45" t="str">
        <f t="array" ref="AA873">_xlfn.XLOOKUP(records_2[Method]&amp;"-"&amp;records_2[Class], dAirSpec[ID], dAirSpec[Unit])</f>
        <v>cfu/plate</v>
      </c>
      <c r="AB873" s="58">
        <f t="array" ref="AB873">if(R873="","", if(records_2[Method]="Active Air",_xlfn.xlookup(records_2[ColonyCount]&amp;records_2[AirSampler],feller[code],feller[Vc]),records_2[ColonyCount]))</f>
        <v>14</v>
      </c>
      <c r="AC873" s="60" t="b">
        <f t="shared" si="1"/>
        <v>1</v>
      </c>
      <c r="AD873" s="61" t="b">
        <v>0</v>
      </c>
      <c r="AE873" s="32" t="s">
        <v>280</v>
      </c>
      <c r="AF873" s="46"/>
      <c r="AG873" s="46"/>
      <c r="AH873" s="46"/>
      <c r="AI873" s="46"/>
      <c r="AJ873" s="46"/>
    </row>
    <row r="874" ht="22.5" customHeight="1">
      <c r="A874" s="27">
        <v>46172.0</v>
      </c>
      <c r="B874" s="34" t="str">
        <f t="array" ref="B874">TEXT(A874, "MM-YYYY")</f>
        <v>05-2026</v>
      </c>
      <c r="C874" s="39" t="s">
        <v>277</v>
      </c>
      <c r="D874" s="36" t="s">
        <v>210</v>
      </c>
      <c r="E874" s="36" t="s">
        <v>213</v>
      </c>
      <c r="F874" s="29" t="b">
        <v>1</v>
      </c>
      <c r="G874" s="36" t="s">
        <v>214</v>
      </c>
      <c r="H874" s="36" t="s">
        <v>215</v>
      </c>
      <c r="I874" s="39"/>
      <c r="J874" s="40"/>
      <c r="K874" s="37" t="s">
        <v>194</v>
      </c>
      <c r="L874" s="37" t="s">
        <v>194</v>
      </c>
      <c r="M874" s="37" t="s">
        <v>194</v>
      </c>
      <c r="N874" s="37" t="s">
        <v>194</v>
      </c>
      <c r="O874" s="37" t="s">
        <v>223</v>
      </c>
      <c r="P874" s="37" t="s">
        <v>224</v>
      </c>
      <c r="Q874" s="41">
        <v>46218.0</v>
      </c>
      <c r="R874" s="42">
        <v>0.0</v>
      </c>
      <c r="S874" s="44"/>
      <c r="T874" s="37" t="s">
        <v>4</v>
      </c>
      <c r="U874" s="45" t="str">
        <f>IF(records_2[Type]="Room",records_2[roomNo],records_2[roomNo]&amp;"-"&amp;SUBSTITUTE(RIGHT(records_2[roomNo]&amp;records_2[Type],2),"-",""))</f>
        <v>12-2-022</v>
      </c>
      <c r="V874" s="47" t="str">
        <f t="array" ref="V874">_xlfn.XLOOKUP(records_2[ID], dAir[roomNo], dAir[roomName])</f>
        <v>CORRIDOR</v>
      </c>
      <c r="W874" s="47" t="str">
        <f t="array" ref="W874">_xlfn.XLOOKUP(records_2[ID], dAir[roomNo], dAir[building])</f>
        <v>Building 12</v>
      </c>
      <c r="X874" s="47" t="str">
        <f t="array" ref="X874">_xlfn.XLOOKUP(records_2[ID], dAir[roomNo], dAir[floor])</f>
        <v>Floor 2</v>
      </c>
      <c r="Y874" s="45" t="str">
        <f t="array" ref="Y874">_xlfn.XLOOKUP(records_2[ID], dAir[roomNo], dAir[Class])</f>
        <v>D</v>
      </c>
      <c r="Z874" s="45">
        <f t="array" ref="Z874">_xlfn.XLOOKUP(records_2[Method]&amp;"-"&amp;records_2[Class], dAirSpec[ID], dAirSpec[Spec])</f>
        <v>100</v>
      </c>
      <c r="AA874" s="45" t="str">
        <f t="array" ref="AA874">_xlfn.XLOOKUP(records_2[Method]&amp;"-"&amp;records_2[Class], dAirSpec[ID], dAirSpec[Unit])</f>
        <v>cfu/plate</v>
      </c>
      <c r="AB874" s="58">
        <f t="array" ref="AB874">if(R874="","", if(records_2[Method]="Active Air",_xlfn.xlookup(records_2[ColonyCount]&amp;records_2[AirSampler],feller[code],feller[Vc]),records_2[ColonyCount]))</f>
        <v>0</v>
      </c>
      <c r="AC874" s="60" t="b">
        <f t="shared" si="1"/>
        <v>1</v>
      </c>
      <c r="AD874" s="61" t="b">
        <v>0</v>
      </c>
      <c r="AE874" s="32" t="s">
        <v>280</v>
      </c>
      <c r="AF874" s="46"/>
      <c r="AG874" s="46"/>
      <c r="AH874" s="46"/>
      <c r="AI874" s="46"/>
      <c r="AJ874" s="46"/>
    </row>
    <row r="875" ht="22.5" customHeight="1">
      <c r="A875" s="27">
        <v>46172.0</v>
      </c>
      <c r="B875" s="34" t="str">
        <f t="array" ref="B875">TEXT(A875, "MM-YYYY")</f>
        <v>05-2026</v>
      </c>
      <c r="C875" s="39" t="s">
        <v>302</v>
      </c>
      <c r="D875" s="36" t="s">
        <v>210</v>
      </c>
      <c r="E875" s="36" t="s">
        <v>213</v>
      </c>
      <c r="F875" s="29" t="b">
        <v>1</v>
      </c>
      <c r="G875" s="36" t="s">
        <v>214</v>
      </c>
      <c r="H875" s="36" t="s">
        <v>215</v>
      </c>
      <c r="I875" s="39"/>
      <c r="J875" s="40"/>
      <c r="K875" s="37" t="s">
        <v>194</v>
      </c>
      <c r="L875" s="37" t="s">
        <v>194</v>
      </c>
      <c r="M875" s="37" t="s">
        <v>194</v>
      </c>
      <c r="N875" s="37" t="s">
        <v>194</v>
      </c>
      <c r="O875" s="37" t="s">
        <v>223</v>
      </c>
      <c r="P875" s="37" t="s">
        <v>224</v>
      </c>
      <c r="Q875" s="41">
        <v>46218.0</v>
      </c>
      <c r="R875" s="42">
        <v>0.0</v>
      </c>
      <c r="S875" s="44"/>
      <c r="T875" s="37" t="s">
        <v>4</v>
      </c>
      <c r="U875" s="45" t="str">
        <f>IF(records_2[Type]="Room",records_2[roomNo],records_2[roomNo]&amp;"-"&amp;SUBSTITUTE(RIGHT(records_2[roomNo]&amp;records_2[Type],2),"-",""))</f>
        <v>12-2-023</v>
      </c>
      <c r="V875" s="47" t="str">
        <f t="array" ref="V875">_xlfn.XLOOKUP(records_2[ID], dAir[roomNo], dAir[roomName])</f>
        <v>AIRLOCK</v>
      </c>
      <c r="W875" s="47" t="str">
        <f t="array" ref="W875">_xlfn.XLOOKUP(records_2[ID], dAir[roomNo], dAir[building])</f>
        <v>Building 12</v>
      </c>
      <c r="X875" s="47" t="str">
        <f t="array" ref="X875">_xlfn.XLOOKUP(records_2[ID], dAir[roomNo], dAir[floor])</f>
        <v>Floor 2</v>
      </c>
      <c r="Y875" s="45" t="str">
        <f t="array" ref="Y875">_xlfn.XLOOKUP(records_2[ID], dAir[roomNo], dAir[Class])</f>
        <v>D</v>
      </c>
      <c r="Z875" s="45">
        <f t="array" ref="Z875">_xlfn.XLOOKUP(records_2[Method]&amp;"-"&amp;records_2[Class], dAirSpec[ID], dAirSpec[Spec])</f>
        <v>100</v>
      </c>
      <c r="AA875" s="45" t="str">
        <f t="array" ref="AA875">_xlfn.XLOOKUP(records_2[Method]&amp;"-"&amp;records_2[Class], dAirSpec[ID], dAirSpec[Unit])</f>
        <v>cfu/plate</v>
      </c>
      <c r="AB875" s="58">
        <f t="array" ref="AB875">if(R875="","", if(records_2[Method]="Active Air",_xlfn.xlookup(records_2[ColonyCount]&amp;records_2[AirSampler],feller[code],feller[Vc]),records_2[ColonyCount]))</f>
        <v>0</v>
      </c>
      <c r="AC875" s="60" t="b">
        <f t="shared" si="1"/>
        <v>1</v>
      </c>
      <c r="AD875" s="61" t="b">
        <v>0</v>
      </c>
      <c r="AE875" s="32" t="s">
        <v>280</v>
      </c>
      <c r="AF875" s="46"/>
      <c r="AG875" s="46"/>
      <c r="AH875" s="46"/>
      <c r="AI875" s="46"/>
      <c r="AJ875" s="46"/>
    </row>
    <row r="876" ht="22.5" customHeight="1">
      <c r="A876" s="27">
        <v>46172.0</v>
      </c>
      <c r="B876" s="34" t="str">
        <f t="array" ref="B876">TEXT(A876, "MM-YYYY")</f>
        <v>05-2026</v>
      </c>
      <c r="C876" s="39" t="s">
        <v>321</v>
      </c>
      <c r="D876" s="36" t="s">
        <v>210</v>
      </c>
      <c r="E876" s="36" t="s">
        <v>213</v>
      </c>
      <c r="F876" s="29" t="b">
        <v>1</v>
      </c>
      <c r="G876" s="36" t="s">
        <v>214</v>
      </c>
      <c r="H876" s="36" t="s">
        <v>215</v>
      </c>
      <c r="I876" s="39"/>
      <c r="J876" s="40"/>
      <c r="K876" s="37" t="s">
        <v>194</v>
      </c>
      <c r="L876" s="37" t="s">
        <v>194</v>
      </c>
      <c r="M876" s="37" t="s">
        <v>194</v>
      </c>
      <c r="N876" s="37" t="s">
        <v>194</v>
      </c>
      <c r="O876" s="37" t="s">
        <v>223</v>
      </c>
      <c r="P876" s="37" t="s">
        <v>224</v>
      </c>
      <c r="Q876" s="41">
        <v>46218.0</v>
      </c>
      <c r="R876" s="42">
        <v>0.0</v>
      </c>
      <c r="S876" s="44"/>
      <c r="T876" s="37" t="s">
        <v>4</v>
      </c>
      <c r="U876" s="45" t="str">
        <f>IF(records_2[Type]="Room",records_2[roomNo],records_2[roomNo]&amp;"-"&amp;SUBSTITUTE(RIGHT(records_2[roomNo]&amp;records_2[Type],2),"-",""))</f>
        <v>12-2-024</v>
      </c>
      <c r="V876" s="47" t="str">
        <f t="array" ref="V876">_xlfn.XLOOKUP(records_2[ID], dAir[roomNo], dAir[roomName])</f>
        <v>LIQUORICE EXTRACT</v>
      </c>
      <c r="W876" s="47" t="str">
        <f t="array" ref="W876">_xlfn.XLOOKUP(records_2[ID], dAir[roomNo], dAir[building])</f>
        <v>Building 12</v>
      </c>
      <c r="X876" s="47" t="str">
        <f t="array" ref="X876">_xlfn.XLOOKUP(records_2[ID], dAir[roomNo], dAir[floor])</f>
        <v>Floor 2</v>
      </c>
      <c r="Y876" s="45" t="str">
        <f t="array" ref="Y876">_xlfn.XLOOKUP(records_2[ID], dAir[roomNo], dAir[Class])</f>
        <v>D</v>
      </c>
      <c r="Z876" s="45">
        <f t="array" ref="Z876">_xlfn.XLOOKUP(records_2[Method]&amp;"-"&amp;records_2[Class], dAirSpec[ID], dAirSpec[Spec])</f>
        <v>100</v>
      </c>
      <c r="AA876" s="45" t="str">
        <f t="array" ref="AA876">_xlfn.XLOOKUP(records_2[Method]&amp;"-"&amp;records_2[Class], dAirSpec[ID], dAirSpec[Unit])</f>
        <v>cfu/plate</v>
      </c>
      <c r="AB876" s="58">
        <f t="array" ref="AB876">if(R876="","", if(records_2[Method]="Active Air",_xlfn.xlookup(records_2[ColonyCount]&amp;records_2[AirSampler],feller[code],feller[Vc]),records_2[ColonyCount]))</f>
        <v>0</v>
      </c>
      <c r="AC876" s="60" t="b">
        <f t="shared" si="1"/>
        <v>1</v>
      </c>
      <c r="AD876" s="61" t="b">
        <v>0</v>
      </c>
      <c r="AE876" s="32" t="s">
        <v>280</v>
      </c>
      <c r="AF876" s="46"/>
      <c r="AG876" s="46"/>
      <c r="AH876" s="46"/>
      <c r="AI876" s="46"/>
      <c r="AJ876" s="46"/>
    </row>
    <row r="877" ht="22.5" customHeight="1">
      <c r="A877" s="27">
        <v>46172.0</v>
      </c>
      <c r="B877" s="34" t="str">
        <f t="array" ref="B877">TEXT(A877, "MM-YYYY")</f>
        <v>05-2026</v>
      </c>
      <c r="C877" s="39" t="s">
        <v>337</v>
      </c>
      <c r="D877" s="36" t="s">
        <v>210</v>
      </c>
      <c r="E877" s="36" t="s">
        <v>213</v>
      </c>
      <c r="F877" s="29" t="b">
        <v>1</v>
      </c>
      <c r="G877" s="36" t="s">
        <v>214</v>
      </c>
      <c r="H877" s="36" t="s">
        <v>215</v>
      </c>
      <c r="I877" s="39"/>
      <c r="J877" s="40"/>
      <c r="K877" s="37" t="s">
        <v>194</v>
      </c>
      <c r="L877" s="37" t="s">
        <v>194</v>
      </c>
      <c r="M877" s="37" t="s">
        <v>194</v>
      </c>
      <c r="N877" s="37" t="s">
        <v>194</v>
      </c>
      <c r="O877" s="37" t="s">
        <v>223</v>
      </c>
      <c r="P877" s="37" t="s">
        <v>224</v>
      </c>
      <c r="Q877" s="41">
        <v>46218.0</v>
      </c>
      <c r="R877" s="42">
        <v>1.0</v>
      </c>
      <c r="S877" s="44"/>
      <c r="T877" s="37" t="s">
        <v>4</v>
      </c>
      <c r="U877" s="45" t="str">
        <f>IF(records_2[Type]="Room",records_2[roomNo],records_2[roomNo]&amp;"-"&amp;SUBSTITUTE(RIGHT(records_2[roomNo]&amp;records_2[Type],2),"-",""))</f>
        <v>12-2-025</v>
      </c>
      <c r="V877" s="47" t="str">
        <f t="array" ref="V877">_xlfn.XLOOKUP(records_2[ID], dAir[roomNo], dAir[roomName])</f>
        <v>SOLVENTS STORAGE</v>
      </c>
      <c r="W877" s="47" t="str">
        <f t="array" ref="W877">_xlfn.XLOOKUP(records_2[ID], dAir[roomNo], dAir[building])</f>
        <v>Building 12</v>
      </c>
      <c r="X877" s="47" t="str">
        <f t="array" ref="X877">_xlfn.XLOOKUP(records_2[ID], dAir[roomNo], dAir[floor])</f>
        <v>Floor 2</v>
      </c>
      <c r="Y877" s="45" t="str">
        <f t="array" ref="Y877">_xlfn.XLOOKUP(records_2[ID], dAir[roomNo], dAir[Class])</f>
        <v>D</v>
      </c>
      <c r="Z877" s="45">
        <f t="array" ref="Z877">_xlfn.XLOOKUP(records_2[Method]&amp;"-"&amp;records_2[Class], dAirSpec[ID], dAirSpec[Spec])</f>
        <v>100</v>
      </c>
      <c r="AA877" s="45" t="str">
        <f t="array" ref="AA877">_xlfn.XLOOKUP(records_2[Method]&amp;"-"&amp;records_2[Class], dAirSpec[ID], dAirSpec[Unit])</f>
        <v>cfu/plate</v>
      </c>
      <c r="AB877" s="58">
        <f t="array" ref="AB877">if(R877="","", if(records_2[Method]="Active Air",_xlfn.xlookup(records_2[ColonyCount]&amp;records_2[AirSampler],feller[code],feller[Vc]),records_2[ColonyCount]))</f>
        <v>1</v>
      </c>
      <c r="AC877" s="60" t="b">
        <f t="shared" si="1"/>
        <v>1</v>
      </c>
      <c r="AD877" s="61" t="b">
        <v>0</v>
      </c>
      <c r="AE877" s="32" t="s">
        <v>280</v>
      </c>
      <c r="AF877" s="46"/>
      <c r="AG877" s="46"/>
      <c r="AH877" s="46"/>
      <c r="AI877" s="46"/>
      <c r="AJ877" s="46"/>
    </row>
    <row r="878" ht="22.5" customHeight="1">
      <c r="A878" s="27">
        <v>46172.0</v>
      </c>
      <c r="B878" s="34" t="str">
        <f t="array" ref="B878">TEXT(A878, "MM-YYYY")</f>
        <v>05-2026</v>
      </c>
      <c r="C878" s="39" t="s">
        <v>347</v>
      </c>
      <c r="D878" s="36" t="s">
        <v>210</v>
      </c>
      <c r="E878" s="36" t="s">
        <v>213</v>
      </c>
      <c r="F878" s="29" t="b">
        <v>1</v>
      </c>
      <c r="G878" s="36" t="s">
        <v>214</v>
      </c>
      <c r="H878" s="36" t="s">
        <v>215</v>
      </c>
      <c r="I878" s="39"/>
      <c r="J878" s="40"/>
      <c r="K878" s="37" t="s">
        <v>194</v>
      </c>
      <c r="L878" s="37" t="s">
        <v>194</v>
      </c>
      <c r="M878" s="37" t="s">
        <v>194</v>
      </c>
      <c r="N878" s="37" t="s">
        <v>194</v>
      </c>
      <c r="O878" s="37" t="s">
        <v>223</v>
      </c>
      <c r="P878" s="37" t="s">
        <v>224</v>
      </c>
      <c r="Q878" s="41">
        <v>46218.0</v>
      </c>
      <c r="R878" s="42">
        <v>1.0</v>
      </c>
      <c r="S878" s="44"/>
      <c r="T878" s="37" t="s">
        <v>4</v>
      </c>
      <c r="U878" s="45" t="str">
        <f>IF(records_2[Type]="Room",records_2[roomNo],records_2[roomNo]&amp;"-"&amp;SUBSTITUTE(RIGHT(records_2[roomNo]&amp;records_2[Type],2),"-",""))</f>
        <v>12-2-026</v>
      </c>
      <c r="V878" s="47" t="str">
        <f t="array" ref="V878">_xlfn.XLOOKUP(records_2[ID], dAir[roomNo], dAir[roomName])</f>
        <v>CORRIDOR</v>
      </c>
      <c r="W878" s="47" t="str">
        <f t="array" ref="W878">_xlfn.XLOOKUP(records_2[ID], dAir[roomNo], dAir[building])</f>
        <v>Building 12</v>
      </c>
      <c r="X878" s="47" t="str">
        <f t="array" ref="X878">_xlfn.XLOOKUP(records_2[ID], dAir[roomNo], dAir[floor])</f>
        <v>Floor 2</v>
      </c>
      <c r="Y878" s="45" t="str">
        <f t="array" ref="Y878">_xlfn.XLOOKUP(records_2[ID], dAir[roomNo], dAir[Class])</f>
        <v>D</v>
      </c>
      <c r="Z878" s="45">
        <f t="array" ref="Z878">_xlfn.XLOOKUP(records_2[Method]&amp;"-"&amp;records_2[Class], dAirSpec[ID], dAirSpec[Spec])</f>
        <v>100</v>
      </c>
      <c r="AA878" s="45" t="str">
        <f t="array" ref="AA878">_xlfn.XLOOKUP(records_2[Method]&amp;"-"&amp;records_2[Class], dAirSpec[ID], dAirSpec[Unit])</f>
        <v>cfu/plate</v>
      </c>
      <c r="AB878" s="58">
        <f t="array" ref="AB878">if(R878="","", if(records_2[Method]="Active Air",_xlfn.xlookup(records_2[ColonyCount]&amp;records_2[AirSampler],feller[code],feller[Vc]),records_2[ColonyCount]))</f>
        <v>1</v>
      </c>
      <c r="AC878" s="60" t="b">
        <f t="shared" si="1"/>
        <v>1</v>
      </c>
      <c r="AD878" s="61" t="b">
        <v>0</v>
      </c>
      <c r="AE878" s="32" t="s">
        <v>280</v>
      </c>
      <c r="AF878" s="46"/>
      <c r="AG878" s="46"/>
      <c r="AH878" s="46"/>
      <c r="AI878" s="46"/>
      <c r="AJ878" s="46"/>
    </row>
    <row r="879" ht="22.5" customHeight="1">
      <c r="A879" s="27">
        <v>46172.0</v>
      </c>
      <c r="B879" s="34" t="str">
        <f t="array" ref="B879">TEXT(A879, "MM-YYYY")</f>
        <v>05-2026</v>
      </c>
      <c r="C879" s="39" t="s">
        <v>365</v>
      </c>
      <c r="D879" s="36" t="s">
        <v>210</v>
      </c>
      <c r="E879" s="36" t="s">
        <v>213</v>
      </c>
      <c r="F879" s="29" t="b">
        <v>1</v>
      </c>
      <c r="G879" s="36" t="s">
        <v>214</v>
      </c>
      <c r="H879" s="36" t="s">
        <v>215</v>
      </c>
      <c r="I879" s="39"/>
      <c r="J879" s="40"/>
      <c r="K879" s="37" t="s">
        <v>194</v>
      </c>
      <c r="L879" s="37" t="s">
        <v>194</v>
      </c>
      <c r="M879" s="37" t="s">
        <v>194</v>
      </c>
      <c r="N879" s="37" t="s">
        <v>194</v>
      </c>
      <c r="O879" s="37" t="s">
        <v>223</v>
      </c>
      <c r="P879" s="37" t="s">
        <v>224</v>
      </c>
      <c r="Q879" s="41">
        <v>46218.0</v>
      </c>
      <c r="R879" s="42">
        <v>1.0</v>
      </c>
      <c r="S879" s="44"/>
      <c r="T879" s="37" t="s">
        <v>4</v>
      </c>
      <c r="U879" s="45" t="str">
        <f>IF(records_2[Type]="Room",records_2[roomNo],records_2[roomNo]&amp;"-"&amp;SUBSTITUTE(RIGHT(records_2[roomNo]&amp;records_2[Type],2),"-",""))</f>
        <v>12-2-027</v>
      </c>
      <c r="V879" s="47" t="str">
        <f t="array" ref="V879">_xlfn.XLOOKUP(records_2[ID], dAir[roomNo], dAir[roomName])</f>
        <v>AIRLOCK</v>
      </c>
      <c r="W879" s="47" t="str">
        <f t="array" ref="W879">_xlfn.XLOOKUP(records_2[ID], dAir[roomNo], dAir[building])</f>
        <v>Building 12</v>
      </c>
      <c r="X879" s="47" t="str">
        <f t="array" ref="X879">_xlfn.XLOOKUP(records_2[ID], dAir[roomNo], dAir[floor])</f>
        <v>Floor 2</v>
      </c>
      <c r="Y879" s="45" t="str">
        <f t="array" ref="Y879">_xlfn.XLOOKUP(records_2[ID], dAir[roomNo], dAir[Class])</f>
        <v>D</v>
      </c>
      <c r="Z879" s="45">
        <f t="array" ref="Z879">_xlfn.XLOOKUP(records_2[Method]&amp;"-"&amp;records_2[Class], dAirSpec[ID], dAirSpec[Spec])</f>
        <v>100</v>
      </c>
      <c r="AA879" s="45" t="str">
        <f t="array" ref="AA879">_xlfn.XLOOKUP(records_2[Method]&amp;"-"&amp;records_2[Class], dAirSpec[ID], dAirSpec[Unit])</f>
        <v>cfu/plate</v>
      </c>
      <c r="AB879" s="58">
        <f t="array" ref="AB879">if(R879="","", if(records_2[Method]="Active Air",_xlfn.xlookup(records_2[ColonyCount]&amp;records_2[AirSampler],feller[code],feller[Vc]),records_2[ColonyCount]))</f>
        <v>1</v>
      </c>
      <c r="AC879" s="60" t="b">
        <f t="shared" si="1"/>
        <v>1</v>
      </c>
      <c r="AD879" s="61" t="b">
        <v>0</v>
      </c>
      <c r="AE879" s="32" t="s">
        <v>280</v>
      </c>
      <c r="AF879" s="46"/>
      <c r="AG879" s="46"/>
      <c r="AH879" s="46"/>
      <c r="AI879" s="46"/>
      <c r="AJ879" s="46"/>
    </row>
    <row r="880" ht="22.5" customHeight="1">
      <c r="A880" s="27">
        <v>46172.0</v>
      </c>
      <c r="B880" s="34" t="str">
        <f t="array" ref="B880">TEXT(A880, "MM-YYYY")</f>
        <v>05-2026</v>
      </c>
      <c r="C880" s="39" t="s">
        <v>379</v>
      </c>
      <c r="D880" s="36" t="s">
        <v>210</v>
      </c>
      <c r="E880" s="36" t="s">
        <v>213</v>
      </c>
      <c r="F880" s="29" t="b">
        <v>1</v>
      </c>
      <c r="G880" s="36" t="s">
        <v>214</v>
      </c>
      <c r="H880" s="36" t="s">
        <v>215</v>
      </c>
      <c r="I880" s="39"/>
      <c r="J880" s="40"/>
      <c r="K880" s="37" t="s">
        <v>194</v>
      </c>
      <c r="L880" s="37" t="s">
        <v>194</v>
      </c>
      <c r="M880" s="37" t="s">
        <v>194</v>
      </c>
      <c r="N880" s="37" t="s">
        <v>194</v>
      </c>
      <c r="O880" s="37" t="s">
        <v>223</v>
      </c>
      <c r="P880" s="37" t="s">
        <v>224</v>
      </c>
      <c r="Q880" s="41">
        <v>46218.0</v>
      </c>
      <c r="R880" s="42">
        <v>0.0</v>
      </c>
      <c r="S880" s="44"/>
      <c r="T880" s="37" t="s">
        <v>4</v>
      </c>
      <c r="U880" s="45" t="str">
        <f>IF(records_2[Type]="Room",records_2[roomNo],records_2[roomNo]&amp;"-"&amp;SUBSTITUTE(RIGHT(records_2[roomNo]&amp;records_2[Type],2),"-",""))</f>
        <v>12-2-028</v>
      </c>
      <c r="V880" s="47" t="str">
        <f t="array" ref="V880">_xlfn.XLOOKUP(records_2[ID], dAir[roomNo], dAir[roomName])</f>
        <v>ALCOHOL STORAGE</v>
      </c>
      <c r="W880" s="47" t="str">
        <f t="array" ref="W880">_xlfn.XLOOKUP(records_2[ID], dAir[roomNo], dAir[building])</f>
        <v>Building 12</v>
      </c>
      <c r="X880" s="47" t="str">
        <f t="array" ref="X880">_xlfn.XLOOKUP(records_2[ID], dAir[roomNo], dAir[floor])</f>
        <v>Floor 2</v>
      </c>
      <c r="Y880" s="45" t="str">
        <f t="array" ref="Y880">_xlfn.XLOOKUP(records_2[ID], dAir[roomNo], dAir[Class])</f>
        <v>D</v>
      </c>
      <c r="Z880" s="45">
        <f t="array" ref="Z880">_xlfn.XLOOKUP(records_2[Method]&amp;"-"&amp;records_2[Class], dAirSpec[ID], dAirSpec[Spec])</f>
        <v>100</v>
      </c>
      <c r="AA880" s="45" t="str">
        <f t="array" ref="AA880">_xlfn.XLOOKUP(records_2[Method]&amp;"-"&amp;records_2[Class], dAirSpec[ID], dAirSpec[Unit])</f>
        <v>cfu/plate</v>
      </c>
      <c r="AB880" s="58">
        <f t="array" ref="AB880">if(R880="","", if(records_2[Method]="Active Air",_xlfn.xlookup(records_2[ColonyCount]&amp;records_2[AirSampler],feller[code],feller[Vc]),records_2[ColonyCount]))</f>
        <v>0</v>
      </c>
      <c r="AC880" s="60" t="b">
        <f t="shared" si="1"/>
        <v>1</v>
      </c>
      <c r="AD880" s="61" t="b">
        <v>0</v>
      </c>
      <c r="AE880" s="32" t="s">
        <v>280</v>
      </c>
      <c r="AF880" s="46"/>
      <c r="AG880" s="46"/>
      <c r="AH880" s="46"/>
      <c r="AI880" s="46"/>
      <c r="AJ880" s="46"/>
    </row>
    <row r="881" ht="22.5" customHeight="1">
      <c r="A881" s="27">
        <v>46172.0</v>
      </c>
      <c r="B881" s="34" t="str">
        <f t="array" ref="B881">TEXT(A881, "MM-YYYY")</f>
        <v>05-2026</v>
      </c>
      <c r="C881" s="39" t="s">
        <v>391</v>
      </c>
      <c r="D881" s="36" t="s">
        <v>210</v>
      </c>
      <c r="E881" s="36" t="s">
        <v>213</v>
      </c>
      <c r="F881" s="29" t="b">
        <v>1</v>
      </c>
      <c r="G881" s="36" t="s">
        <v>214</v>
      </c>
      <c r="H881" s="36" t="s">
        <v>215</v>
      </c>
      <c r="I881" s="39"/>
      <c r="J881" s="40"/>
      <c r="K881" s="37" t="s">
        <v>194</v>
      </c>
      <c r="L881" s="37" t="s">
        <v>194</v>
      </c>
      <c r="M881" s="37" t="s">
        <v>194</v>
      </c>
      <c r="N881" s="37" t="s">
        <v>194</v>
      </c>
      <c r="O881" s="37" t="s">
        <v>223</v>
      </c>
      <c r="P881" s="37" t="s">
        <v>224</v>
      </c>
      <c r="Q881" s="41">
        <v>46218.0</v>
      </c>
      <c r="R881" s="42">
        <v>3.0</v>
      </c>
      <c r="S881" s="44"/>
      <c r="T881" s="37" t="s">
        <v>4</v>
      </c>
      <c r="U881" s="45" t="str">
        <f>IF(records_2[Type]="Room",records_2[roomNo],records_2[roomNo]&amp;"-"&amp;SUBSTITUTE(RIGHT(records_2[roomNo]&amp;records_2[Type],2),"-",""))</f>
        <v>12-2-029</v>
      </c>
      <c r="V881" s="47" t="str">
        <f t="array" ref="V881">_xlfn.XLOOKUP(records_2[ID], dAir[roomNo], dAir[roomName])</f>
        <v>AIRLOCK</v>
      </c>
      <c r="W881" s="47" t="str">
        <f t="array" ref="W881">_xlfn.XLOOKUP(records_2[ID], dAir[roomNo], dAir[building])</f>
        <v>Building 12</v>
      </c>
      <c r="X881" s="47" t="str">
        <f t="array" ref="X881">_xlfn.XLOOKUP(records_2[ID], dAir[roomNo], dAir[floor])</f>
        <v>Floor 2</v>
      </c>
      <c r="Y881" s="45" t="str">
        <f t="array" ref="Y881">_xlfn.XLOOKUP(records_2[ID], dAir[roomNo], dAir[Class])</f>
        <v>D</v>
      </c>
      <c r="Z881" s="45">
        <f t="array" ref="Z881">_xlfn.XLOOKUP(records_2[Method]&amp;"-"&amp;records_2[Class], dAirSpec[ID], dAirSpec[Spec])</f>
        <v>100</v>
      </c>
      <c r="AA881" s="45" t="str">
        <f t="array" ref="AA881">_xlfn.XLOOKUP(records_2[Method]&amp;"-"&amp;records_2[Class], dAirSpec[ID], dAirSpec[Unit])</f>
        <v>cfu/plate</v>
      </c>
      <c r="AB881" s="58">
        <f t="array" ref="AB881">if(R881="","", if(records_2[Method]="Active Air",_xlfn.xlookup(records_2[ColonyCount]&amp;records_2[AirSampler],feller[code],feller[Vc]),records_2[ColonyCount]))</f>
        <v>3</v>
      </c>
      <c r="AC881" s="60" t="b">
        <f t="shared" si="1"/>
        <v>1</v>
      </c>
      <c r="AD881" s="61" t="b">
        <v>0</v>
      </c>
      <c r="AE881" s="32" t="s">
        <v>280</v>
      </c>
      <c r="AF881" s="46"/>
      <c r="AG881" s="46"/>
      <c r="AH881" s="46"/>
      <c r="AI881" s="46"/>
      <c r="AJ881" s="46"/>
    </row>
    <row r="882" ht="22.5" customHeight="1">
      <c r="A882" s="27">
        <v>46172.0</v>
      </c>
      <c r="B882" s="34" t="str">
        <f t="array" ref="B882">TEXT(A882, "MM-YYYY")</f>
        <v>05-2026</v>
      </c>
      <c r="C882" s="39" t="s">
        <v>404</v>
      </c>
      <c r="D882" s="36" t="s">
        <v>210</v>
      </c>
      <c r="E882" s="36" t="s">
        <v>213</v>
      </c>
      <c r="F882" s="29" t="b">
        <v>1</v>
      </c>
      <c r="G882" s="36" t="s">
        <v>214</v>
      </c>
      <c r="H882" s="36" t="s">
        <v>215</v>
      </c>
      <c r="I882" s="39"/>
      <c r="J882" s="40"/>
      <c r="K882" s="37" t="s">
        <v>194</v>
      </c>
      <c r="L882" s="37" t="s">
        <v>194</v>
      </c>
      <c r="M882" s="37" t="s">
        <v>194</v>
      </c>
      <c r="N882" s="37" t="s">
        <v>194</v>
      </c>
      <c r="O882" s="37" t="s">
        <v>223</v>
      </c>
      <c r="P882" s="37" t="s">
        <v>224</v>
      </c>
      <c r="Q882" s="41">
        <v>46218.0</v>
      </c>
      <c r="R882" s="42">
        <v>0.0</v>
      </c>
      <c r="S882" s="44"/>
      <c r="T882" s="37" t="s">
        <v>4</v>
      </c>
      <c r="U882" s="45" t="str">
        <f>IF(records_2[Type]="Room",records_2[roomNo],records_2[roomNo]&amp;"-"&amp;SUBSTITUTE(RIGHT(records_2[roomNo]&amp;records_2[Type],2),"-",""))</f>
        <v>12-2-030</v>
      </c>
      <c r="V882" s="47" t="str">
        <f t="array" ref="V882">_xlfn.XLOOKUP(records_2[ID], dAir[roomNo], dAir[roomName])</f>
        <v>OPIUM TINCTURE</v>
      </c>
      <c r="W882" s="47" t="str">
        <f t="array" ref="W882">_xlfn.XLOOKUP(records_2[ID], dAir[roomNo], dAir[building])</f>
        <v>Building 12</v>
      </c>
      <c r="X882" s="47" t="str">
        <f t="array" ref="X882">_xlfn.XLOOKUP(records_2[ID], dAir[roomNo], dAir[floor])</f>
        <v>Floor 2</v>
      </c>
      <c r="Y882" s="45" t="str">
        <f t="array" ref="Y882">_xlfn.XLOOKUP(records_2[ID], dAir[roomNo], dAir[Class])</f>
        <v>D</v>
      </c>
      <c r="Z882" s="45">
        <f t="array" ref="Z882">_xlfn.XLOOKUP(records_2[Method]&amp;"-"&amp;records_2[Class], dAirSpec[ID], dAirSpec[Spec])</f>
        <v>100</v>
      </c>
      <c r="AA882" s="45" t="str">
        <f t="array" ref="AA882">_xlfn.XLOOKUP(records_2[Method]&amp;"-"&amp;records_2[Class], dAirSpec[ID], dAirSpec[Unit])</f>
        <v>cfu/plate</v>
      </c>
      <c r="AB882" s="58">
        <f t="array" ref="AB882">if(R882="","", if(records_2[Method]="Active Air",_xlfn.xlookup(records_2[ColonyCount]&amp;records_2[AirSampler],feller[code],feller[Vc]),records_2[ColonyCount]))</f>
        <v>0</v>
      </c>
      <c r="AC882" s="60" t="b">
        <f t="shared" si="1"/>
        <v>1</v>
      </c>
      <c r="AD882" s="61" t="b">
        <v>0</v>
      </c>
      <c r="AE882" s="32" t="s">
        <v>280</v>
      </c>
      <c r="AF882" s="46"/>
      <c r="AG882" s="46"/>
      <c r="AH882" s="46"/>
      <c r="AI882" s="46"/>
      <c r="AJ882" s="46"/>
    </row>
    <row r="883" ht="22.5" customHeight="1">
      <c r="A883" s="27">
        <v>46172.0</v>
      </c>
      <c r="B883" s="34" t="str">
        <f t="array" ref="B883">TEXT(A883, "MM-YYYY")</f>
        <v>05-2026</v>
      </c>
      <c r="C883" s="39" t="s">
        <v>412</v>
      </c>
      <c r="D883" s="36" t="s">
        <v>210</v>
      </c>
      <c r="E883" s="36" t="s">
        <v>213</v>
      </c>
      <c r="F883" s="29" t="b">
        <v>1</v>
      </c>
      <c r="G883" s="36" t="s">
        <v>214</v>
      </c>
      <c r="H883" s="36" t="s">
        <v>215</v>
      </c>
      <c r="I883" s="39"/>
      <c r="J883" s="40"/>
      <c r="K883" s="37" t="s">
        <v>194</v>
      </c>
      <c r="L883" s="37" t="s">
        <v>194</v>
      </c>
      <c r="M883" s="37" t="s">
        <v>194</v>
      </c>
      <c r="N883" s="37" t="s">
        <v>194</v>
      </c>
      <c r="O883" s="37" t="s">
        <v>223</v>
      </c>
      <c r="P883" s="37" t="s">
        <v>224</v>
      </c>
      <c r="Q883" s="41">
        <v>46218.0</v>
      </c>
      <c r="R883" s="42">
        <v>3.0</v>
      </c>
      <c r="S883" s="44"/>
      <c r="T883" s="37" t="s">
        <v>4</v>
      </c>
      <c r="U883" s="45" t="str">
        <f>IF(records_2[Type]="Room",records_2[roomNo],records_2[roomNo]&amp;"-"&amp;SUBSTITUTE(RIGHT(records_2[roomNo]&amp;records_2[Type],2),"-",""))</f>
        <v>12-2-031</v>
      </c>
      <c r="V883" s="47" t="str">
        <f t="array" ref="V883">_xlfn.XLOOKUP(records_2[ID], dAir[roomNo], dAir[roomName])</f>
        <v>AIRLOCK</v>
      </c>
      <c r="W883" s="47" t="str">
        <f t="array" ref="W883">_xlfn.XLOOKUP(records_2[ID], dAir[roomNo], dAir[building])</f>
        <v>Building 12</v>
      </c>
      <c r="X883" s="47" t="str">
        <f t="array" ref="X883">_xlfn.XLOOKUP(records_2[ID], dAir[roomNo], dAir[floor])</f>
        <v>Floor 2</v>
      </c>
      <c r="Y883" s="45" t="str">
        <f t="array" ref="Y883">_xlfn.XLOOKUP(records_2[ID], dAir[roomNo], dAir[Class])</f>
        <v>D</v>
      </c>
      <c r="Z883" s="45">
        <f t="array" ref="Z883">_xlfn.XLOOKUP(records_2[Method]&amp;"-"&amp;records_2[Class], dAirSpec[ID], dAirSpec[Spec])</f>
        <v>100</v>
      </c>
      <c r="AA883" s="45" t="str">
        <f t="array" ref="AA883">_xlfn.XLOOKUP(records_2[Method]&amp;"-"&amp;records_2[Class], dAirSpec[ID], dAirSpec[Unit])</f>
        <v>cfu/plate</v>
      </c>
      <c r="AB883" s="58">
        <f t="array" ref="AB883">if(R883="","", if(records_2[Method]="Active Air",_xlfn.xlookup(records_2[ColonyCount]&amp;records_2[AirSampler],feller[code],feller[Vc]),records_2[ColonyCount]))</f>
        <v>3</v>
      </c>
      <c r="AC883" s="60" t="b">
        <f t="shared" si="1"/>
        <v>1</v>
      </c>
      <c r="AD883" s="61" t="b">
        <v>0</v>
      </c>
      <c r="AE883" s="32" t="s">
        <v>280</v>
      </c>
      <c r="AF883" s="46"/>
      <c r="AG883" s="46"/>
      <c r="AH883" s="46"/>
      <c r="AI883" s="46"/>
      <c r="AJ883" s="46"/>
    </row>
    <row r="884" ht="22.5" customHeight="1">
      <c r="A884" s="27">
        <v>46172.0</v>
      </c>
      <c r="B884" s="34" t="str">
        <f t="array" ref="B884">TEXT(A884, "MM-YYYY")</f>
        <v>05-2026</v>
      </c>
      <c r="C884" s="39" t="s">
        <v>421</v>
      </c>
      <c r="D884" s="36" t="s">
        <v>210</v>
      </c>
      <c r="E884" s="36" t="s">
        <v>213</v>
      </c>
      <c r="F884" s="29" t="b">
        <v>1</v>
      </c>
      <c r="G884" s="36" t="s">
        <v>214</v>
      </c>
      <c r="H884" s="36" t="s">
        <v>215</v>
      </c>
      <c r="I884" s="39"/>
      <c r="J884" s="40"/>
      <c r="K884" s="37" t="s">
        <v>194</v>
      </c>
      <c r="L884" s="37" t="s">
        <v>194</v>
      </c>
      <c r="M884" s="37" t="s">
        <v>194</v>
      </c>
      <c r="N884" s="37" t="s">
        <v>194</v>
      </c>
      <c r="O884" s="37" t="s">
        <v>223</v>
      </c>
      <c r="P884" s="37" t="s">
        <v>224</v>
      </c>
      <c r="Q884" s="41">
        <v>46218.0</v>
      </c>
      <c r="R884" s="42">
        <v>3.0</v>
      </c>
      <c r="S884" s="44"/>
      <c r="T884" s="37" t="s">
        <v>4</v>
      </c>
      <c r="U884" s="45" t="str">
        <f>IF(records_2[Type]="Room",records_2[roomNo],records_2[roomNo]&amp;"-"&amp;SUBSTITUTE(RIGHT(records_2[roomNo]&amp;records_2[Type],2),"-",""))</f>
        <v>12-2-032</v>
      </c>
      <c r="V884" s="47" t="str">
        <f t="array" ref="V884">_xlfn.XLOOKUP(records_2[ID], dAir[roomNo], dAir[roomName])</f>
        <v>CAMPHORATED OPIUM TINCTURE</v>
      </c>
      <c r="W884" s="47" t="str">
        <f t="array" ref="W884">_xlfn.XLOOKUP(records_2[ID], dAir[roomNo], dAir[building])</f>
        <v>Building 12</v>
      </c>
      <c r="X884" s="47" t="str">
        <f t="array" ref="X884">_xlfn.XLOOKUP(records_2[ID], dAir[roomNo], dAir[floor])</f>
        <v>Floor 2</v>
      </c>
      <c r="Y884" s="45" t="str">
        <f t="array" ref="Y884">_xlfn.XLOOKUP(records_2[ID], dAir[roomNo], dAir[Class])</f>
        <v>D</v>
      </c>
      <c r="Z884" s="45">
        <f t="array" ref="Z884">_xlfn.XLOOKUP(records_2[Method]&amp;"-"&amp;records_2[Class], dAirSpec[ID], dAirSpec[Spec])</f>
        <v>100</v>
      </c>
      <c r="AA884" s="45" t="str">
        <f t="array" ref="AA884">_xlfn.XLOOKUP(records_2[Method]&amp;"-"&amp;records_2[Class], dAirSpec[ID], dAirSpec[Unit])</f>
        <v>cfu/plate</v>
      </c>
      <c r="AB884" s="58">
        <f t="array" ref="AB884">if(R884="","", if(records_2[Method]="Active Air",_xlfn.xlookup(records_2[ColonyCount]&amp;records_2[AirSampler],feller[code],feller[Vc]),records_2[ColonyCount]))</f>
        <v>3</v>
      </c>
      <c r="AC884" s="60" t="b">
        <f t="shared" si="1"/>
        <v>1</v>
      </c>
      <c r="AD884" s="61" t="b">
        <v>0</v>
      </c>
      <c r="AE884" s="32" t="s">
        <v>280</v>
      </c>
      <c r="AF884" s="46"/>
      <c r="AG884" s="46"/>
      <c r="AH884" s="46"/>
      <c r="AI884" s="46"/>
      <c r="AJ884" s="46"/>
    </row>
    <row r="885" ht="22.5" customHeight="1">
      <c r="A885" s="27">
        <v>46172.0</v>
      </c>
      <c r="B885" s="34" t="str">
        <f t="array" ref="B885">TEXT(A885, "MM-YYYY")</f>
        <v>05-2026</v>
      </c>
      <c r="C885" s="39" t="s">
        <v>432</v>
      </c>
      <c r="D885" s="36" t="s">
        <v>210</v>
      </c>
      <c r="E885" s="36" t="s">
        <v>213</v>
      </c>
      <c r="F885" s="29" t="b">
        <v>1</v>
      </c>
      <c r="G885" s="36" t="s">
        <v>214</v>
      </c>
      <c r="H885" s="36" t="s">
        <v>215</v>
      </c>
      <c r="I885" s="39"/>
      <c r="J885" s="40"/>
      <c r="K885" s="37" t="s">
        <v>194</v>
      </c>
      <c r="L885" s="37" t="s">
        <v>194</v>
      </c>
      <c r="M885" s="37" t="s">
        <v>194</v>
      </c>
      <c r="N885" s="37" t="s">
        <v>194</v>
      </c>
      <c r="O885" s="37" t="s">
        <v>223</v>
      </c>
      <c r="P885" s="37" t="s">
        <v>224</v>
      </c>
      <c r="Q885" s="41">
        <v>46218.0</v>
      </c>
      <c r="R885" s="42">
        <v>54.0</v>
      </c>
      <c r="S885" s="44"/>
      <c r="T885" s="37" t="s">
        <v>4</v>
      </c>
      <c r="U885" s="45" t="str">
        <f>IF(records_2[Type]="Room",records_2[roomNo],records_2[roomNo]&amp;"-"&amp;SUBSTITUTE(RIGHT(records_2[roomNo]&amp;records_2[Type],2),"-",""))</f>
        <v>12-2-033</v>
      </c>
      <c r="V885" s="47" t="str">
        <f t="array" ref="V885">_xlfn.XLOOKUP(records_2[ID], dAir[roomNo], dAir[roomName])</f>
        <v>AIRLOCK</v>
      </c>
      <c r="W885" s="47" t="str">
        <f t="array" ref="W885">_xlfn.XLOOKUP(records_2[ID], dAir[roomNo], dAir[building])</f>
        <v>Building 12</v>
      </c>
      <c r="X885" s="47" t="str">
        <f t="array" ref="X885">_xlfn.XLOOKUP(records_2[ID], dAir[roomNo], dAir[floor])</f>
        <v>Floor 2</v>
      </c>
      <c r="Y885" s="45" t="str">
        <f t="array" ref="Y885">_xlfn.XLOOKUP(records_2[ID], dAir[roomNo], dAir[Class])</f>
        <v>D</v>
      </c>
      <c r="Z885" s="45">
        <f t="array" ref="Z885">_xlfn.XLOOKUP(records_2[Method]&amp;"-"&amp;records_2[Class], dAirSpec[ID], dAirSpec[Spec])</f>
        <v>100</v>
      </c>
      <c r="AA885" s="45" t="str">
        <f t="array" ref="AA885">_xlfn.XLOOKUP(records_2[Method]&amp;"-"&amp;records_2[Class], dAirSpec[ID], dAirSpec[Unit])</f>
        <v>cfu/plate</v>
      </c>
      <c r="AB885" s="58">
        <f t="array" ref="AB885">if(R885="","", if(records_2[Method]="Active Air",_xlfn.xlookup(records_2[ColonyCount]&amp;records_2[AirSampler],feller[code],feller[Vc]),records_2[ColonyCount]))</f>
        <v>54</v>
      </c>
      <c r="AC885" s="60" t="b">
        <f t="shared" si="1"/>
        <v>1</v>
      </c>
      <c r="AD885" s="61" t="b">
        <v>0</v>
      </c>
      <c r="AE885" s="32" t="s">
        <v>280</v>
      </c>
      <c r="AF885" s="46"/>
      <c r="AG885" s="46"/>
      <c r="AH885" s="46"/>
      <c r="AI885" s="46"/>
      <c r="AJ885" s="46"/>
    </row>
    <row r="886" ht="22.5" customHeight="1">
      <c r="A886" s="27">
        <v>46172.0</v>
      </c>
      <c r="B886" s="34" t="str">
        <f t="array" ref="B886">TEXT(A886, "MM-YYYY")</f>
        <v>05-2026</v>
      </c>
      <c r="C886" s="39" t="s">
        <v>442</v>
      </c>
      <c r="D886" s="36" t="s">
        <v>210</v>
      </c>
      <c r="E886" s="36" t="s">
        <v>213</v>
      </c>
      <c r="F886" s="29" t="b">
        <v>1</v>
      </c>
      <c r="G886" s="36" t="s">
        <v>214</v>
      </c>
      <c r="H886" s="36" t="s">
        <v>215</v>
      </c>
      <c r="I886" s="39"/>
      <c r="J886" s="40"/>
      <c r="K886" s="37" t="s">
        <v>194</v>
      </c>
      <c r="L886" s="37" t="s">
        <v>194</v>
      </c>
      <c r="M886" s="37" t="s">
        <v>194</v>
      </c>
      <c r="N886" s="37" t="s">
        <v>194</v>
      </c>
      <c r="O886" s="37" t="s">
        <v>223</v>
      </c>
      <c r="P886" s="37" t="s">
        <v>224</v>
      </c>
      <c r="Q886" s="41">
        <v>46218.0</v>
      </c>
      <c r="R886" s="42">
        <v>1.0</v>
      </c>
      <c r="S886" s="44"/>
      <c r="T886" s="37" t="s">
        <v>4</v>
      </c>
      <c r="U886" s="45" t="str">
        <f>IF(records_2[Type]="Room",records_2[roomNo],records_2[roomNo]&amp;"-"&amp;SUBSTITUTE(RIGHT(records_2[roomNo]&amp;records_2[Type],2),"-",""))</f>
        <v>12-2-034</v>
      </c>
      <c r="V886" s="47" t="str">
        <f t="array" ref="V886">_xlfn.XLOOKUP(records_2[ID], dAir[roomNo], dAir[roomName])</f>
        <v>SYRUP PREPARATION</v>
      </c>
      <c r="W886" s="47" t="str">
        <f t="array" ref="W886">_xlfn.XLOOKUP(records_2[ID], dAir[roomNo], dAir[building])</f>
        <v>Building 12</v>
      </c>
      <c r="X886" s="47" t="str">
        <f t="array" ref="X886">_xlfn.XLOOKUP(records_2[ID], dAir[roomNo], dAir[floor])</f>
        <v>Floor 2</v>
      </c>
      <c r="Y886" s="45" t="str">
        <f t="array" ref="Y886">_xlfn.XLOOKUP(records_2[ID], dAir[roomNo], dAir[Class])</f>
        <v>D</v>
      </c>
      <c r="Z886" s="45">
        <f t="array" ref="Z886">_xlfn.XLOOKUP(records_2[Method]&amp;"-"&amp;records_2[Class], dAirSpec[ID], dAirSpec[Spec])</f>
        <v>100</v>
      </c>
      <c r="AA886" s="45" t="str">
        <f t="array" ref="AA886">_xlfn.XLOOKUP(records_2[Method]&amp;"-"&amp;records_2[Class], dAirSpec[ID], dAirSpec[Unit])</f>
        <v>cfu/plate</v>
      </c>
      <c r="AB886" s="58">
        <f t="array" ref="AB886">if(R886="","", if(records_2[Method]="Active Air",_xlfn.xlookup(records_2[ColonyCount]&amp;records_2[AirSampler],feller[code],feller[Vc]),records_2[ColonyCount]))</f>
        <v>1</v>
      </c>
      <c r="AC886" s="60" t="b">
        <f t="shared" si="1"/>
        <v>1</v>
      </c>
      <c r="AD886" s="61" t="b">
        <v>0</v>
      </c>
      <c r="AE886" s="32" t="s">
        <v>280</v>
      </c>
      <c r="AF886" s="46"/>
      <c r="AG886" s="46"/>
      <c r="AH886" s="46"/>
      <c r="AI886" s="46"/>
      <c r="AJ886" s="46"/>
    </row>
    <row r="887" ht="22.5" customHeight="1">
      <c r="A887" s="27">
        <v>46172.0</v>
      </c>
      <c r="B887" s="34" t="str">
        <f t="array" ref="B887">TEXT(A887, "MM-YYYY")</f>
        <v>05-2026</v>
      </c>
      <c r="C887" s="34" t="s">
        <v>450</v>
      </c>
      <c r="D887" s="36" t="s">
        <v>210</v>
      </c>
      <c r="E887" s="36" t="s">
        <v>213</v>
      </c>
      <c r="F887" s="29" t="b">
        <v>1</v>
      </c>
      <c r="G887" s="36" t="s">
        <v>214</v>
      </c>
      <c r="H887" s="36" t="s">
        <v>215</v>
      </c>
      <c r="I887" s="39"/>
      <c r="J887" s="40"/>
      <c r="K887" s="37" t="s">
        <v>194</v>
      </c>
      <c r="L887" s="37" t="s">
        <v>194</v>
      </c>
      <c r="M887" s="37" t="s">
        <v>194</v>
      </c>
      <c r="N887" s="37" t="s">
        <v>194</v>
      </c>
      <c r="O887" s="37" t="s">
        <v>223</v>
      </c>
      <c r="P887" s="37" t="s">
        <v>224</v>
      </c>
      <c r="Q887" s="41">
        <v>46218.0</v>
      </c>
      <c r="R887" s="42">
        <v>2.0</v>
      </c>
      <c r="S887" s="44"/>
      <c r="T887" s="37" t="s">
        <v>4</v>
      </c>
      <c r="U887" s="47" t="str">
        <f>IF(records_2[Type]="Room",records_2[roomNo],records_2[roomNo]&amp;"-"&amp;SUBSTITUTE(RIGHT(records_2[roomNo]&amp;records_2[Type],2),"-",""))</f>
        <v>12-2-035</v>
      </c>
      <c r="V887" s="47" t="str">
        <f t="array" ref="V887">_xlfn.XLOOKUP(records_2[ID], dAir[roomNo], dAir[roomName])</f>
        <v>CORRIDOR</v>
      </c>
      <c r="W887" s="47" t="str">
        <f t="array" ref="W887">_xlfn.XLOOKUP(records_2[ID], dAir[roomNo], dAir[building])</f>
        <v>Building 12</v>
      </c>
      <c r="X887" s="47" t="str">
        <f t="array" ref="X887">_xlfn.XLOOKUP(records_2[ID], dAir[roomNo], dAir[floor])</f>
        <v>Floor 2</v>
      </c>
      <c r="Y887" s="45" t="str">
        <f t="array" ref="Y887">_xlfn.XLOOKUP(records_2[ID], dAir[roomNo], dAir[Class])</f>
        <v>D</v>
      </c>
      <c r="Z887" s="45">
        <f t="array" ref="Z887">_xlfn.XLOOKUP(records_2[Method]&amp;"-"&amp;records_2[Class], dAirSpec[ID], dAirSpec[Spec])</f>
        <v>100</v>
      </c>
      <c r="AA887" s="45" t="str">
        <f t="array" ref="AA887">_xlfn.XLOOKUP(records_2[Method]&amp;"-"&amp;records_2[Class], dAirSpec[ID], dAirSpec[Unit])</f>
        <v>cfu/plate</v>
      </c>
      <c r="AB887" s="58">
        <f t="array" ref="AB887">if(R887="","", if(records_2[Method]="Active Air",_xlfn.xlookup(records_2[ColonyCount]&amp;records_2[AirSampler],feller[code],feller[Vc]),records_2[ColonyCount]))</f>
        <v>2</v>
      </c>
      <c r="AC887" s="60" t="b">
        <f t="shared" si="1"/>
        <v>1</v>
      </c>
      <c r="AD887" s="61" t="b">
        <v>0</v>
      </c>
      <c r="AE887" s="32" t="s">
        <v>280</v>
      </c>
      <c r="AF887" s="46"/>
      <c r="AG887" s="46"/>
      <c r="AH887" s="46"/>
      <c r="AI887" s="46"/>
      <c r="AJ887" s="46"/>
    </row>
    <row r="888" ht="22.5" customHeight="1">
      <c r="A888" s="27">
        <v>46172.0</v>
      </c>
      <c r="B888" s="34" t="str">
        <f t="array" ref="B888">TEXT(A888, "MM-YYYY")</f>
        <v>05-2026</v>
      </c>
      <c r="C888" s="39" t="s">
        <v>456</v>
      </c>
      <c r="D888" s="36" t="s">
        <v>210</v>
      </c>
      <c r="E888" s="36" t="s">
        <v>213</v>
      </c>
      <c r="F888" s="29" t="b">
        <v>1</v>
      </c>
      <c r="G888" s="36" t="s">
        <v>214</v>
      </c>
      <c r="H888" s="36" t="s">
        <v>215</v>
      </c>
      <c r="I888" s="39"/>
      <c r="J888" s="40"/>
      <c r="K888" s="37" t="s">
        <v>194</v>
      </c>
      <c r="L888" s="37" t="s">
        <v>194</v>
      </c>
      <c r="M888" s="37" t="s">
        <v>194</v>
      </c>
      <c r="N888" s="37" t="s">
        <v>194</v>
      </c>
      <c r="O888" s="37" t="s">
        <v>223</v>
      </c>
      <c r="P888" s="37" t="s">
        <v>224</v>
      </c>
      <c r="Q888" s="41">
        <v>46218.0</v>
      </c>
      <c r="R888" s="42">
        <v>0.0</v>
      </c>
      <c r="S888" s="44"/>
      <c r="T888" s="37" t="s">
        <v>4</v>
      </c>
      <c r="U888" s="45" t="str">
        <f>IF(records_2[Type]="Room",records_2[roomNo],records_2[roomNo]&amp;"-"&amp;SUBSTITUTE(RIGHT(records_2[roomNo]&amp;records_2[Type],2),"-",""))</f>
        <v>12-2-036</v>
      </c>
      <c r="V888" s="47" t="str">
        <f t="array" ref="V888">_xlfn.XLOOKUP(records_2[ID], dAir[roomNo], dAir[roomName])</f>
        <v>CIP 1</v>
      </c>
      <c r="W888" s="47" t="str">
        <f t="array" ref="W888">_xlfn.XLOOKUP(records_2[ID], dAir[roomNo], dAir[building])</f>
        <v>Building 12</v>
      </c>
      <c r="X888" s="47" t="str">
        <f t="array" ref="X888">_xlfn.XLOOKUP(records_2[ID], dAir[roomNo], dAir[floor])</f>
        <v>Floor 2</v>
      </c>
      <c r="Y888" s="45" t="str">
        <f t="array" ref="Y888">_xlfn.XLOOKUP(records_2[ID], dAir[roomNo], dAir[Class])</f>
        <v>D</v>
      </c>
      <c r="Z888" s="45">
        <f t="array" ref="Z888">_xlfn.XLOOKUP(records_2[Method]&amp;"-"&amp;records_2[Class], dAirSpec[ID], dAirSpec[Spec])</f>
        <v>100</v>
      </c>
      <c r="AA888" s="45" t="str">
        <f t="array" ref="AA888">_xlfn.XLOOKUP(records_2[Method]&amp;"-"&amp;records_2[Class], dAirSpec[ID], dAirSpec[Unit])</f>
        <v>cfu/plate</v>
      </c>
      <c r="AB888" s="58">
        <f t="array" ref="AB888">if(R888="","", if(records_2[Method]="Active Air",_xlfn.xlookup(records_2[ColonyCount]&amp;records_2[AirSampler],feller[code],feller[Vc]),records_2[ColonyCount]))</f>
        <v>0</v>
      </c>
      <c r="AC888" s="60" t="b">
        <f t="shared" si="1"/>
        <v>1</v>
      </c>
      <c r="AD888" s="61" t="b">
        <v>0</v>
      </c>
      <c r="AE888" s="32" t="s">
        <v>280</v>
      </c>
      <c r="AF888" s="46"/>
      <c r="AG888" s="46"/>
      <c r="AH888" s="46"/>
      <c r="AI888" s="46"/>
      <c r="AJ888" s="46"/>
    </row>
    <row r="889" ht="22.5" customHeight="1">
      <c r="A889" s="27">
        <v>46172.0</v>
      </c>
      <c r="B889" s="34" t="str">
        <f t="array" ref="B889">TEXT(A889, "MM-YYYY")</f>
        <v>05-2026</v>
      </c>
      <c r="C889" s="39" t="s">
        <v>466</v>
      </c>
      <c r="D889" s="36" t="s">
        <v>210</v>
      </c>
      <c r="E889" s="36" t="s">
        <v>213</v>
      </c>
      <c r="F889" s="29" t="b">
        <v>1</v>
      </c>
      <c r="G889" s="36" t="s">
        <v>214</v>
      </c>
      <c r="H889" s="36" t="s">
        <v>215</v>
      </c>
      <c r="I889" s="39"/>
      <c r="J889" s="40"/>
      <c r="K889" s="37" t="s">
        <v>194</v>
      </c>
      <c r="L889" s="37" t="s">
        <v>194</v>
      </c>
      <c r="M889" s="37" t="s">
        <v>194</v>
      </c>
      <c r="N889" s="37" t="s">
        <v>194</v>
      </c>
      <c r="O889" s="37" t="s">
        <v>223</v>
      </c>
      <c r="P889" s="37" t="s">
        <v>224</v>
      </c>
      <c r="Q889" s="41">
        <v>46218.0</v>
      </c>
      <c r="R889" s="42">
        <v>1.0</v>
      </c>
      <c r="S889" s="44"/>
      <c r="T889" s="37" t="s">
        <v>4</v>
      </c>
      <c r="U889" s="45" t="str">
        <f>IF(records_2[Type]="Room",records_2[roomNo],records_2[roomNo]&amp;"-"&amp;SUBSTITUTE(RIGHT(records_2[roomNo]&amp;records_2[Type],2),"-",""))</f>
        <v>12-2-037</v>
      </c>
      <c r="V889" s="47" t="str">
        <f t="array" ref="V889">_xlfn.XLOOKUP(records_2[ID], dAir[roomNo], dAir[roomName])</f>
        <v>DISPENSED MATERIAL STAGING</v>
      </c>
      <c r="W889" s="47" t="str">
        <f t="array" ref="W889">_xlfn.XLOOKUP(records_2[ID], dAir[roomNo], dAir[building])</f>
        <v>Building 12</v>
      </c>
      <c r="X889" s="47" t="str">
        <f t="array" ref="X889">_xlfn.XLOOKUP(records_2[ID], dAir[roomNo], dAir[floor])</f>
        <v>Floor 2</v>
      </c>
      <c r="Y889" s="45" t="str">
        <f t="array" ref="Y889">_xlfn.XLOOKUP(records_2[ID], dAir[roomNo], dAir[Class])</f>
        <v>D</v>
      </c>
      <c r="Z889" s="45">
        <f t="array" ref="Z889">_xlfn.XLOOKUP(records_2[Method]&amp;"-"&amp;records_2[Class], dAirSpec[ID], dAirSpec[Spec])</f>
        <v>100</v>
      </c>
      <c r="AA889" s="45" t="str">
        <f t="array" ref="AA889">_xlfn.XLOOKUP(records_2[Method]&amp;"-"&amp;records_2[Class], dAirSpec[ID], dAirSpec[Unit])</f>
        <v>cfu/plate</v>
      </c>
      <c r="AB889" s="58">
        <f t="array" ref="AB889">if(R889="","", if(records_2[Method]="Active Air",_xlfn.xlookup(records_2[ColonyCount]&amp;records_2[AirSampler],feller[code],feller[Vc]),records_2[ColonyCount]))</f>
        <v>1</v>
      </c>
      <c r="AC889" s="60" t="b">
        <f t="shared" si="1"/>
        <v>1</v>
      </c>
      <c r="AD889" s="61" t="b">
        <v>0</v>
      </c>
      <c r="AE889" s="32" t="s">
        <v>280</v>
      </c>
      <c r="AF889" s="46"/>
      <c r="AG889" s="46"/>
      <c r="AH889" s="46"/>
      <c r="AI889" s="46"/>
      <c r="AJ889" s="46"/>
    </row>
    <row r="890" ht="22.5" customHeight="1">
      <c r="A890" s="27">
        <v>46172.0</v>
      </c>
      <c r="B890" s="34" t="str">
        <f t="array" ref="B890">TEXT(A890, "MM-YYYY")</f>
        <v>05-2026</v>
      </c>
      <c r="C890" s="39" t="s">
        <v>479</v>
      </c>
      <c r="D890" s="36" t="s">
        <v>210</v>
      </c>
      <c r="E890" s="36" t="s">
        <v>213</v>
      </c>
      <c r="F890" s="29" t="b">
        <v>1</v>
      </c>
      <c r="G890" s="36" t="s">
        <v>214</v>
      </c>
      <c r="H890" s="36" t="s">
        <v>215</v>
      </c>
      <c r="I890" s="39"/>
      <c r="J890" s="40"/>
      <c r="K890" s="37" t="s">
        <v>194</v>
      </c>
      <c r="L890" s="37" t="s">
        <v>194</v>
      </c>
      <c r="M890" s="37" t="s">
        <v>194</v>
      </c>
      <c r="N890" s="37" t="s">
        <v>194</v>
      </c>
      <c r="O890" s="37" t="s">
        <v>223</v>
      </c>
      <c r="P890" s="37" t="s">
        <v>224</v>
      </c>
      <c r="Q890" s="41">
        <v>46218.0</v>
      </c>
      <c r="R890" s="42">
        <v>1.0</v>
      </c>
      <c r="S890" s="44"/>
      <c r="T890" s="37" t="s">
        <v>4</v>
      </c>
      <c r="U890" s="45" t="str">
        <f>IF(records_2[Type]="Room",records_2[roomNo],records_2[roomNo]&amp;"-"&amp;SUBSTITUTE(RIGHT(records_2[roomNo]&amp;records_2[Type],2),"-",""))</f>
        <v>12-2-038</v>
      </c>
      <c r="V890" s="47" t="str">
        <f t="array" ref="V890">_xlfn.XLOOKUP(records_2[ID], dAir[roomNo], dAir[roomName])</f>
        <v>AIRLOCK</v>
      </c>
      <c r="W890" s="47" t="str">
        <f t="array" ref="W890">_xlfn.XLOOKUP(records_2[ID], dAir[roomNo], dAir[building])</f>
        <v>Building 12</v>
      </c>
      <c r="X890" s="47" t="str">
        <f t="array" ref="X890">_xlfn.XLOOKUP(records_2[ID], dAir[roomNo], dAir[floor])</f>
        <v>Floor 2</v>
      </c>
      <c r="Y890" s="45" t="str">
        <f t="array" ref="Y890">_xlfn.XLOOKUP(records_2[ID], dAir[roomNo], dAir[Class])</f>
        <v>D</v>
      </c>
      <c r="Z890" s="45">
        <f t="array" ref="Z890">_xlfn.XLOOKUP(records_2[Method]&amp;"-"&amp;records_2[Class], dAirSpec[ID], dAirSpec[Spec])</f>
        <v>100</v>
      </c>
      <c r="AA890" s="45" t="str">
        <f t="array" ref="AA890">_xlfn.XLOOKUP(records_2[Method]&amp;"-"&amp;records_2[Class], dAirSpec[ID], dAirSpec[Unit])</f>
        <v>cfu/plate</v>
      </c>
      <c r="AB890" s="58">
        <f t="array" ref="AB890">if(R890="","", if(records_2[Method]="Active Air",_xlfn.xlookup(records_2[ColonyCount]&amp;records_2[AirSampler],feller[code],feller[Vc]),records_2[ColonyCount]))</f>
        <v>1</v>
      </c>
      <c r="AC890" s="60" t="b">
        <f t="shared" si="1"/>
        <v>1</v>
      </c>
      <c r="AD890" s="61" t="b">
        <v>0</v>
      </c>
      <c r="AE890" s="32" t="s">
        <v>280</v>
      </c>
      <c r="AF890" s="46"/>
      <c r="AG890" s="46"/>
      <c r="AH890" s="46"/>
      <c r="AI890" s="46"/>
      <c r="AJ890" s="46"/>
    </row>
    <row r="891" ht="22.5" customHeight="1">
      <c r="A891" s="27">
        <v>46172.0</v>
      </c>
      <c r="B891" s="34" t="str">
        <f t="array" ref="B891">TEXT(A891, "MM-YYYY")</f>
        <v>05-2026</v>
      </c>
      <c r="C891" s="39" t="s">
        <v>486</v>
      </c>
      <c r="D891" s="36" t="s">
        <v>210</v>
      </c>
      <c r="E891" s="36" t="s">
        <v>213</v>
      </c>
      <c r="F891" s="29" t="b">
        <v>1</v>
      </c>
      <c r="G891" s="36" t="s">
        <v>214</v>
      </c>
      <c r="H891" s="36" t="s">
        <v>215</v>
      </c>
      <c r="I891" s="39"/>
      <c r="J891" s="40"/>
      <c r="K891" s="37" t="s">
        <v>194</v>
      </c>
      <c r="L891" s="37" t="s">
        <v>194</v>
      </c>
      <c r="M891" s="37" t="s">
        <v>194</v>
      </c>
      <c r="N891" s="37" t="s">
        <v>194</v>
      </c>
      <c r="O891" s="37" t="s">
        <v>223</v>
      </c>
      <c r="P891" s="37" t="s">
        <v>224</v>
      </c>
      <c r="Q891" s="41">
        <v>46218.0</v>
      </c>
      <c r="R891" s="42">
        <v>0.0</v>
      </c>
      <c r="S891" s="44"/>
      <c r="T891" s="37" t="s">
        <v>4</v>
      </c>
      <c r="U891" s="45" t="str">
        <f>IF(records_2[Type]="Room",records_2[roomNo],records_2[roomNo]&amp;"-"&amp;SUBSTITUTE(RIGHT(records_2[roomNo]&amp;records_2[Type],2),"-",""))</f>
        <v>12-2-039</v>
      </c>
      <c r="V891" s="47" t="str">
        <f t="array" ref="V891">_xlfn.XLOOKUP(records_2[ID], dAir[roomNo], dAir[roomName])</f>
        <v>MFG 1</v>
      </c>
      <c r="W891" s="47" t="str">
        <f t="array" ref="W891">_xlfn.XLOOKUP(records_2[ID], dAir[roomNo], dAir[building])</f>
        <v>Building 12</v>
      </c>
      <c r="X891" s="47" t="str">
        <f t="array" ref="X891">_xlfn.XLOOKUP(records_2[ID], dAir[roomNo], dAir[floor])</f>
        <v>Floor 2</v>
      </c>
      <c r="Y891" s="45" t="str">
        <f t="array" ref="Y891">_xlfn.XLOOKUP(records_2[ID], dAir[roomNo], dAir[Class])</f>
        <v>D</v>
      </c>
      <c r="Z891" s="45">
        <f t="array" ref="Z891">_xlfn.XLOOKUP(records_2[Method]&amp;"-"&amp;records_2[Class], dAirSpec[ID], dAirSpec[Spec])</f>
        <v>100</v>
      </c>
      <c r="AA891" s="45" t="str">
        <f t="array" ref="AA891">_xlfn.XLOOKUP(records_2[Method]&amp;"-"&amp;records_2[Class], dAirSpec[ID], dAirSpec[Unit])</f>
        <v>cfu/plate</v>
      </c>
      <c r="AB891" s="58">
        <f t="array" ref="AB891">if(R891="","", if(records_2[Method]="Active Air",_xlfn.xlookup(records_2[ColonyCount]&amp;records_2[AirSampler],feller[code],feller[Vc]),records_2[ColonyCount]))</f>
        <v>0</v>
      </c>
      <c r="AC891" s="60" t="b">
        <f t="shared" si="1"/>
        <v>1</v>
      </c>
      <c r="AD891" s="61" t="b">
        <v>0</v>
      </c>
      <c r="AE891" s="32" t="s">
        <v>280</v>
      </c>
      <c r="AF891" s="46"/>
      <c r="AG891" s="46"/>
      <c r="AH891" s="46"/>
      <c r="AI891" s="46"/>
      <c r="AJ891" s="46"/>
    </row>
    <row r="892" ht="22.5" customHeight="1">
      <c r="A892" s="27">
        <v>46172.0</v>
      </c>
      <c r="B892" s="34" t="str">
        <f t="array" ref="B892">TEXT(A892, "MM-YYYY")</f>
        <v>05-2026</v>
      </c>
      <c r="C892" s="39" t="s">
        <v>496</v>
      </c>
      <c r="D892" s="36" t="s">
        <v>210</v>
      </c>
      <c r="E892" s="36" t="s">
        <v>213</v>
      </c>
      <c r="F892" s="29" t="b">
        <v>1</v>
      </c>
      <c r="G892" s="36" t="s">
        <v>214</v>
      </c>
      <c r="H892" s="36" t="s">
        <v>215</v>
      </c>
      <c r="I892" s="39"/>
      <c r="J892" s="40"/>
      <c r="K892" s="37" t="s">
        <v>194</v>
      </c>
      <c r="L892" s="37" t="s">
        <v>194</v>
      </c>
      <c r="M892" s="37" t="s">
        <v>194</v>
      </c>
      <c r="N892" s="37" t="s">
        <v>194</v>
      </c>
      <c r="O892" s="37" t="s">
        <v>223</v>
      </c>
      <c r="P892" s="37" t="s">
        <v>224</v>
      </c>
      <c r="Q892" s="41">
        <v>46218.0</v>
      </c>
      <c r="R892" s="42">
        <v>1.0</v>
      </c>
      <c r="S892" s="44"/>
      <c r="T892" s="37" t="s">
        <v>4</v>
      </c>
      <c r="U892" s="45" t="str">
        <f>IF(records_2[Type]="Room",records_2[roomNo],records_2[roomNo]&amp;"-"&amp;SUBSTITUTE(RIGHT(records_2[roomNo]&amp;records_2[Type],2),"-",""))</f>
        <v>12-2-040</v>
      </c>
      <c r="V892" s="47" t="str">
        <f t="array" ref="V892">_xlfn.XLOOKUP(records_2[ID], dAir[roomNo], dAir[roomName])</f>
        <v>AIRLOCK</v>
      </c>
      <c r="W892" s="47" t="str">
        <f t="array" ref="W892">_xlfn.XLOOKUP(records_2[ID], dAir[roomNo], dAir[building])</f>
        <v>Building 12</v>
      </c>
      <c r="X892" s="47" t="str">
        <f t="array" ref="X892">_xlfn.XLOOKUP(records_2[ID], dAir[roomNo], dAir[floor])</f>
        <v>Floor 2</v>
      </c>
      <c r="Y892" s="45" t="str">
        <f t="array" ref="Y892">_xlfn.XLOOKUP(records_2[ID], dAir[roomNo], dAir[Class])</f>
        <v>D</v>
      </c>
      <c r="Z892" s="45">
        <f t="array" ref="Z892">_xlfn.XLOOKUP(records_2[Method]&amp;"-"&amp;records_2[Class], dAirSpec[ID], dAirSpec[Spec])</f>
        <v>100</v>
      </c>
      <c r="AA892" s="45" t="str">
        <f t="array" ref="AA892">_xlfn.XLOOKUP(records_2[Method]&amp;"-"&amp;records_2[Class], dAirSpec[ID], dAirSpec[Unit])</f>
        <v>cfu/plate</v>
      </c>
      <c r="AB892" s="58">
        <f t="array" ref="AB892">if(R892="","", if(records_2[Method]="Active Air",_xlfn.xlookup(records_2[ColonyCount]&amp;records_2[AirSampler],feller[code],feller[Vc]),records_2[ColonyCount]))</f>
        <v>1</v>
      </c>
      <c r="AC892" s="60" t="b">
        <f t="shared" si="1"/>
        <v>1</v>
      </c>
      <c r="AD892" s="61" t="b">
        <v>0</v>
      </c>
      <c r="AE892" s="32" t="s">
        <v>280</v>
      </c>
      <c r="AF892" s="46"/>
      <c r="AG892" s="46"/>
      <c r="AH892" s="46"/>
      <c r="AI892" s="46"/>
      <c r="AJ892" s="46"/>
    </row>
    <row r="893" ht="22.5" customHeight="1">
      <c r="A893" s="27">
        <v>46172.0</v>
      </c>
      <c r="B893" s="34" t="str">
        <f t="array" ref="B893">TEXT(A893, "MM-YYYY")</f>
        <v>05-2026</v>
      </c>
      <c r="C893" s="39" t="s">
        <v>507</v>
      </c>
      <c r="D893" s="36" t="s">
        <v>210</v>
      </c>
      <c r="E893" s="36" t="s">
        <v>213</v>
      </c>
      <c r="F893" s="29" t="b">
        <v>1</v>
      </c>
      <c r="G893" s="36" t="s">
        <v>214</v>
      </c>
      <c r="H893" s="36" t="s">
        <v>215</v>
      </c>
      <c r="I893" s="39"/>
      <c r="J893" s="40"/>
      <c r="K893" s="37" t="s">
        <v>194</v>
      </c>
      <c r="L893" s="37" t="s">
        <v>194</v>
      </c>
      <c r="M893" s="37" t="s">
        <v>194</v>
      </c>
      <c r="N893" s="37" t="s">
        <v>194</v>
      </c>
      <c r="O893" s="37" t="s">
        <v>223</v>
      </c>
      <c r="P893" s="37" t="s">
        <v>224</v>
      </c>
      <c r="Q893" s="41">
        <v>46218.0</v>
      </c>
      <c r="R893" s="42">
        <v>0.0</v>
      </c>
      <c r="S893" s="44"/>
      <c r="T893" s="37" t="s">
        <v>4</v>
      </c>
      <c r="U893" s="45" t="str">
        <f>IF(records_2[Type]="Room",records_2[roomNo],records_2[roomNo]&amp;"-"&amp;SUBSTITUTE(RIGHT(records_2[roomNo]&amp;records_2[Type],2),"-",""))</f>
        <v>12-2-041</v>
      </c>
      <c r="V893" s="47" t="str">
        <f t="array" ref="V893">_xlfn.XLOOKUP(records_2[ID], dAir[roomNo], dAir[roomName])</f>
        <v>MFG 2</v>
      </c>
      <c r="W893" s="47" t="str">
        <f t="array" ref="W893">_xlfn.XLOOKUP(records_2[ID], dAir[roomNo], dAir[building])</f>
        <v>Building 12</v>
      </c>
      <c r="X893" s="47" t="str">
        <f t="array" ref="X893">_xlfn.XLOOKUP(records_2[ID], dAir[roomNo], dAir[floor])</f>
        <v>Floor 2</v>
      </c>
      <c r="Y893" s="45" t="str">
        <f t="array" ref="Y893">_xlfn.XLOOKUP(records_2[ID], dAir[roomNo], dAir[Class])</f>
        <v>D</v>
      </c>
      <c r="Z893" s="45">
        <f t="array" ref="Z893">_xlfn.XLOOKUP(records_2[Method]&amp;"-"&amp;records_2[Class], dAirSpec[ID], dAirSpec[Spec])</f>
        <v>100</v>
      </c>
      <c r="AA893" s="45" t="str">
        <f t="array" ref="AA893">_xlfn.XLOOKUP(records_2[Method]&amp;"-"&amp;records_2[Class], dAirSpec[ID], dAirSpec[Unit])</f>
        <v>cfu/plate</v>
      </c>
      <c r="AB893" s="58">
        <f t="array" ref="AB893">if(R893="","", if(records_2[Method]="Active Air",_xlfn.xlookup(records_2[ColonyCount]&amp;records_2[AirSampler],feller[code],feller[Vc]),records_2[ColonyCount]))</f>
        <v>0</v>
      </c>
      <c r="AC893" s="60" t="b">
        <f t="shared" si="1"/>
        <v>1</v>
      </c>
      <c r="AD893" s="61" t="b">
        <v>0</v>
      </c>
      <c r="AE893" s="32" t="s">
        <v>280</v>
      </c>
      <c r="AF893" s="46"/>
      <c r="AG893" s="46"/>
      <c r="AH893" s="46"/>
      <c r="AI893" s="46"/>
      <c r="AJ893" s="46"/>
    </row>
    <row r="894" ht="22.5" customHeight="1">
      <c r="A894" s="27">
        <v>46172.0</v>
      </c>
      <c r="B894" s="34" t="str">
        <f t="array" ref="B894">TEXT(A894, "MM-YYYY")</f>
        <v>05-2026</v>
      </c>
      <c r="C894" s="39" t="s">
        <v>520</v>
      </c>
      <c r="D894" s="36" t="s">
        <v>210</v>
      </c>
      <c r="E894" s="36" t="s">
        <v>213</v>
      </c>
      <c r="F894" s="29" t="b">
        <v>1</v>
      </c>
      <c r="G894" s="36" t="s">
        <v>214</v>
      </c>
      <c r="H894" s="36" t="s">
        <v>215</v>
      </c>
      <c r="I894" s="39"/>
      <c r="J894" s="40"/>
      <c r="K894" s="37" t="s">
        <v>194</v>
      </c>
      <c r="L894" s="37" t="s">
        <v>194</v>
      </c>
      <c r="M894" s="37" t="s">
        <v>194</v>
      </c>
      <c r="N894" s="37" t="s">
        <v>194</v>
      </c>
      <c r="O894" s="37" t="s">
        <v>223</v>
      </c>
      <c r="P894" s="37" t="s">
        <v>224</v>
      </c>
      <c r="Q894" s="41">
        <v>46218.0</v>
      </c>
      <c r="R894" s="42">
        <v>1.0</v>
      </c>
      <c r="S894" s="44"/>
      <c r="T894" s="37" t="s">
        <v>4</v>
      </c>
      <c r="U894" s="45" t="str">
        <f>IF(records_2[Type]="Room",records_2[roomNo],records_2[roomNo]&amp;"-"&amp;SUBSTITUTE(RIGHT(records_2[roomNo]&amp;records_2[Type],2),"-",""))</f>
        <v>12-2-042</v>
      </c>
      <c r="V894" s="47" t="str">
        <f t="array" ref="V894">_xlfn.XLOOKUP(records_2[ID], dAir[roomNo], dAir[roomName])</f>
        <v>AIRLOCK</v>
      </c>
      <c r="W894" s="47" t="str">
        <f t="array" ref="W894">_xlfn.XLOOKUP(records_2[ID], dAir[roomNo], dAir[building])</f>
        <v>Building 12</v>
      </c>
      <c r="X894" s="47" t="str">
        <f t="array" ref="X894">_xlfn.XLOOKUP(records_2[ID], dAir[roomNo], dAir[floor])</f>
        <v>Floor 2</v>
      </c>
      <c r="Y894" s="45" t="str">
        <f t="array" ref="Y894">_xlfn.XLOOKUP(records_2[ID], dAir[roomNo], dAir[Class])</f>
        <v>D</v>
      </c>
      <c r="Z894" s="45">
        <f t="array" ref="Z894">_xlfn.XLOOKUP(records_2[Method]&amp;"-"&amp;records_2[Class], dAirSpec[ID], dAirSpec[Spec])</f>
        <v>100</v>
      </c>
      <c r="AA894" s="45" t="str">
        <f t="array" ref="AA894">_xlfn.XLOOKUP(records_2[Method]&amp;"-"&amp;records_2[Class], dAirSpec[ID], dAirSpec[Unit])</f>
        <v>cfu/plate</v>
      </c>
      <c r="AB894" s="58">
        <f t="array" ref="AB894">if(R894="","", if(records_2[Method]="Active Air",_xlfn.xlookup(records_2[ColonyCount]&amp;records_2[AirSampler],feller[code],feller[Vc]),records_2[ColonyCount]))</f>
        <v>1</v>
      </c>
      <c r="AC894" s="60" t="b">
        <f t="shared" si="1"/>
        <v>1</v>
      </c>
      <c r="AD894" s="61" t="b">
        <v>0</v>
      </c>
      <c r="AE894" s="32" t="s">
        <v>280</v>
      </c>
      <c r="AF894" s="46"/>
      <c r="AG894" s="46"/>
      <c r="AH894" s="46"/>
      <c r="AI894" s="46"/>
      <c r="AJ894" s="46"/>
    </row>
    <row r="895" ht="22.5" customHeight="1">
      <c r="A895" s="27">
        <v>46172.0</v>
      </c>
      <c r="B895" s="34" t="str">
        <f t="array" ref="B895">TEXT(A895, "MM-YYYY")</f>
        <v>05-2026</v>
      </c>
      <c r="C895" s="39" t="s">
        <v>530</v>
      </c>
      <c r="D895" s="36" t="s">
        <v>210</v>
      </c>
      <c r="E895" s="36" t="s">
        <v>531</v>
      </c>
      <c r="F895" s="29" t="b">
        <v>1</v>
      </c>
      <c r="G895" s="36" t="s">
        <v>214</v>
      </c>
      <c r="H895" s="36" t="s">
        <v>534</v>
      </c>
      <c r="I895" s="39"/>
      <c r="J895" s="40"/>
      <c r="K895" s="37" t="s">
        <v>194</v>
      </c>
      <c r="L895" s="37" t="s">
        <v>194</v>
      </c>
      <c r="M895" s="37" t="s">
        <v>194</v>
      </c>
      <c r="N895" s="37" t="s">
        <v>194</v>
      </c>
      <c r="O895" s="37" t="s">
        <v>223</v>
      </c>
      <c r="P895" s="37" t="s">
        <v>224</v>
      </c>
      <c r="Q895" s="41">
        <v>46218.0</v>
      </c>
      <c r="R895" s="42">
        <v>28.0</v>
      </c>
      <c r="S895" s="44"/>
      <c r="T895" s="37" t="s">
        <v>4</v>
      </c>
      <c r="U895" s="45" t="str">
        <f>IF(records_2[Type]="Room",records_2[roomNo],records_2[roomNo]&amp;"-"&amp;SUBSTITUTE(RIGHT(records_2[roomNo]&amp;records_2[Type],2),"-",""))</f>
        <v>12-2-043</v>
      </c>
      <c r="V895" s="47" t="str">
        <f t="array" ref="V895">_xlfn.XLOOKUP(records_2[ID], dAir[roomNo], dAir[roomName])</f>
        <v>MFG 3</v>
      </c>
      <c r="W895" s="47" t="str">
        <f t="array" ref="W895">_xlfn.XLOOKUP(records_2[ID], dAir[roomNo], dAir[building])</f>
        <v>Building 12</v>
      </c>
      <c r="X895" s="47" t="str">
        <f t="array" ref="X895">_xlfn.XLOOKUP(records_2[ID], dAir[roomNo], dAir[floor])</f>
        <v>Floor 2</v>
      </c>
      <c r="Y895" s="45" t="str">
        <f t="array" ref="Y895">_xlfn.XLOOKUP(records_2[ID], dAir[roomNo], dAir[Class])</f>
        <v>D</v>
      </c>
      <c r="Z895" s="45">
        <f t="array" ref="Z895">_xlfn.XLOOKUP(records_2[Method]&amp;"-"&amp;records_2[Class], dAirSpec[ID], dAirSpec[Spec])</f>
        <v>200</v>
      </c>
      <c r="AA895" s="45" t="str">
        <f t="array" ref="AA895">_xlfn.XLOOKUP(records_2[Method]&amp;"-"&amp;records_2[Class], dAirSpec[ID], dAirSpec[Unit])</f>
        <v>cfu/m3</v>
      </c>
      <c r="AB895" s="45">
        <f t="array" ref="AB895">if(R895="","", if(records_2[Method]="Active Air",_xlfn.xlookup(records_2[ColonyCount]&amp;records_2[AirSampler],feller[code],feller[Vc]),records_2[ColonyCount]))</f>
        <v>30</v>
      </c>
      <c r="AC895" s="60" t="b">
        <f t="shared" si="1"/>
        <v>1</v>
      </c>
      <c r="AD895" s="61" t="b">
        <v>0</v>
      </c>
      <c r="AE895" s="32" t="s">
        <v>280</v>
      </c>
      <c r="AF895" s="46"/>
      <c r="AG895" s="46"/>
      <c r="AH895" s="46"/>
      <c r="AI895" s="46"/>
      <c r="AJ895" s="46"/>
    </row>
    <row r="896" ht="22.5" customHeight="1">
      <c r="A896" s="27">
        <v>46172.0</v>
      </c>
      <c r="B896" s="34" t="str">
        <f t="array" ref="B896">TEXT(A896, "MM-YYYY")</f>
        <v>05-2026</v>
      </c>
      <c r="C896" s="39" t="s">
        <v>543</v>
      </c>
      <c r="D896" s="36" t="s">
        <v>210</v>
      </c>
      <c r="E896" s="36" t="s">
        <v>213</v>
      </c>
      <c r="F896" s="29" t="b">
        <v>1</v>
      </c>
      <c r="G896" s="36" t="s">
        <v>214</v>
      </c>
      <c r="H896" s="36" t="s">
        <v>215</v>
      </c>
      <c r="I896" s="39"/>
      <c r="J896" s="40"/>
      <c r="K896" s="37" t="s">
        <v>194</v>
      </c>
      <c r="L896" s="37" t="s">
        <v>194</v>
      </c>
      <c r="M896" s="37" t="s">
        <v>194</v>
      </c>
      <c r="N896" s="37" t="s">
        <v>194</v>
      </c>
      <c r="O896" s="37" t="s">
        <v>223</v>
      </c>
      <c r="P896" s="37" t="s">
        <v>224</v>
      </c>
      <c r="Q896" s="41">
        <v>46218.0</v>
      </c>
      <c r="R896" s="42">
        <v>7.0</v>
      </c>
      <c r="S896" s="44"/>
      <c r="T896" s="37" t="s">
        <v>4</v>
      </c>
      <c r="U896" s="45" t="str">
        <f>IF(records_2[Type]="Room",records_2[roomNo],records_2[roomNo]&amp;"-"&amp;SUBSTITUTE(RIGHT(records_2[roomNo]&amp;records_2[Type],2),"-",""))</f>
        <v>12-2-044</v>
      </c>
      <c r="V896" s="47" t="str">
        <f t="array" ref="V896">_xlfn.XLOOKUP(records_2[ID], dAir[roomNo], dAir[roomName])</f>
        <v>AIRLOCK</v>
      </c>
      <c r="W896" s="47" t="str">
        <f t="array" ref="W896">_xlfn.XLOOKUP(records_2[ID], dAir[roomNo], dAir[building])</f>
        <v>Building 12</v>
      </c>
      <c r="X896" s="47" t="str">
        <f t="array" ref="X896">_xlfn.XLOOKUP(records_2[ID], dAir[roomNo], dAir[floor])</f>
        <v>Floor 2</v>
      </c>
      <c r="Y896" s="45" t="str">
        <f t="array" ref="Y896">_xlfn.XLOOKUP(records_2[ID], dAir[roomNo], dAir[Class])</f>
        <v>D</v>
      </c>
      <c r="Z896" s="45">
        <f t="array" ref="Z896">_xlfn.XLOOKUP(records_2[Method]&amp;"-"&amp;records_2[Class], dAirSpec[ID], dAirSpec[Spec])</f>
        <v>100</v>
      </c>
      <c r="AA896" s="45" t="str">
        <f t="array" ref="AA896">_xlfn.XLOOKUP(records_2[Method]&amp;"-"&amp;records_2[Class], dAirSpec[ID], dAirSpec[Unit])</f>
        <v>cfu/plate</v>
      </c>
      <c r="AB896" s="58">
        <f t="array" ref="AB896">if(R896="","", if(records_2[Method]="Active Air",_xlfn.xlookup(records_2[ColonyCount]&amp;records_2[AirSampler],feller[code],feller[Vc]),records_2[ColonyCount]))</f>
        <v>7</v>
      </c>
      <c r="AC896" s="60" t="b">
        <f t="shared" si="1"/>
        <v>1</v>
      </c>
      <c r="AD896" s="61" t="b">
        <v>0</v>
      </c>
      <c r="AE896" s="32" t="s">
        <v>280</v>
      </c>
      <c r="AF896" s="46"/>
      <c r="AG896" s="46"/>
      <c r="AH896" s="46"/>
      <c r="AI896" s="46"/>
      <c r="AJ896" s="46"/>
    </row>
    <row r="897" ht="22.5" customHeight="1">
      <c r="A897" s="27">
        <v>46172.0</v>
      </c>
      <c r="B897" s="34" t="str">
        <f t="array" ref="B897">TEXT(A897, "MM-YYYY")</f>
        <v>05-2026</v>
      </c>
      <c r="C897" s="39" t="s">
        <v>552</v>
      </c>
      <c r="D897" s="36" t="s">
        <v>210</v>
      </c>
      <c r="E897" s="36" t="s">
        <v>213</v>
      </c>
      <c r="F897" s="29" t="b">
        <v>1</v>
      </c>
      <c r="G897" s="36" t="s">
        <v>214</v>
      </c>
      <c r="H897" s="36" t="s">
        <v>215</v>
      </c>
      <c r="I897" s="39"/>
      <c r="J897" s="40"/>
      <c r="K897" s="37" t="s">
        <v>194</v>
      </c>
      <c r="L897" s="37" t="s">
        <v>194</v>
      </c>
      <c r="M897" s="37" t="s">
        <v>194</v>
      </c>
      <c r="N897" s="37" t="s">
        <v>194</v>
      </c>
      <c r="O897" s="37" t="s">
        <v>223</v>
      </c>
      <c r="P897" s="37" t="s">
        <v>224</v>
      </c>
      <c r="Q897" s="41">
        <v>46218.0</v>
      </c>
      <c r="R897" s="42">
        <v>0.0</v>
      </c>
      <c r="S897" s="44"/>
      <c r="T897" s="37" t="s">
        <v>4</v>
      </c>
      <c r="U897" s="45" t="str">
        <f>IF(records_2[Type]="Room",records_2[roomNo],records_2[roomNo]&amp;"-"&amp;SUBSTITUTE(RIGHT(records_2[roomNo]&amp;records_2[Type],2),"-",""))</f>
        <v>12-2-045</v>
      </c>
      <c r="V897" s="47" t="str">
        <f t="array" ref="V897">_xlfn.XLOOKUP(records_2[ID], dAir[roomNo], dAir[roomName])</f>
        <v>MFG 4</v>
      </c>
      <c r="W897" s="47" t="str">
        <f t="array" ref="W897">_xlfn.XLOOKUP(records_2[ID], dAir[roomNo], dAir[building])</f>
        <v>Building 12</v>
      </c>
      <c r="X897" s="47" t="str">
        <f t="array" ref="X897">_xlfn.XLOOKUP(records_2[ID], dAir[roomNo], dAir[floor])</f>
        <v>Floor 2</v>
      </c>
      <c r="Y897" s="45" t="str">
        <f t="array" ref="Y897">_xlfn.XLOOKUP(records_2[ID], dAir[roomNo], dAir[Class])</f>
        <v>D</v>
      </c>
      <c r="Z897" s="45">
        <f t="array" ref="Z897">_xlfn.XLOOKUP(records_2[Method]&amp;"-"&amp;records_2[Class], dAirSpec[ID], dAirSpec[Spec])</f>
        <v>100</v>
      </c>
      <c r="AA897" s="45" t="str">
        <f t="array" ref="AA897">_xlfn.XLOOKUP(records_2[Method]&amp;"-"&amp;records_2[Class], dAirSpec[ID], dAirSpec[Unit])</f>
        <v>cfu/plate</v>
      </c>
      <c r="AB897" s="58">
        <f t="array" ref="AB897">if(R897="","", if(records_2[Method]="Active Air",_xlfn.xlookup(records_2[ColonyCount]&amp;records_2[AirSampler],feller[code],feller[Vc]),records_2[ColonyCount]))</f>
        <v>0</v>
      </c>
      <c r="AC897" s="60" t="b">
        <f t="shared" si="1"/>
        <v>1</v>
      </c>
      <c r="AD897" s="61" t="b">
        <v>0</v>
      </c>
      <c r="AE897" s="32" t="s">
        <v>280</v>
      </c>
      <c r="AF897" s="46"/>
      <c r="AG897" s="46"/>
      <c r="AH897" s="46"/>
      <c r="AI897" s="46"/>
      <c r="AJ897" s="46"/>
    </row>
    <row r="898" ht="22.5" customHeight="1">
      <c r="A898" s="27">
        <v>46172.0</v>
      </c>
      <c r="B898" s="34" t="str">
        <f t="array" ref="B898">TEXT(A898, "MM-YYYY")</f>
        <v>05-2026</v>
      </c>
      <c r="C898" s="39" t="s">
        <v>556</v>
      </c>
      <c r="D898" s="36" t="s">
        <v>210</v>
      </c>
      <c r="E898" s="36" t="s">
        <v>213</v>
      </c>
      <c r="F898" s="29" t="b">
        <v>1</v>
      </c>
      <c r="G898" s="36" t="s">
        <v>214</v>
      </c>
      <c r="H898" s="36" t="s">
        <v>215</v>
      </c>
      <c r="I898" s="39"/>
      <c r="J898" s="40"/>
      <c r="K898" s="37" t="s">
        <v>194</v>
      </c>
      <c r="L898" s="37" t="s">
        <v>194</v>
      </c>
      <c r="M898" s="37" t="s">
        <v>194</v>
      </c>
      <c r="N898" s="37" t="s">
        <v>194</v>
      </c>
      <c r="O898" s="37" t="s">
        <v>223</v>
      </c>
      <c r="P898" s="37" t="s">
        <v>224</v>
      </c>
      <c r="Q898" s="41">
        <v>46218.0</v>
      </c>
      <c r="R898" s="42">
        <v>2.0</v>
      </c>
      <c r="S898" s="44"/>
      <c r="T898" s="37" t="s">
        <v>4</v>
      </c>
      <c r="U898" s="45" t="str">
        <f>IF(records_2[Type]="Room",records_2[roomNo],records_2[roomNo]&amp;"-"&amp;SUBSTITUTE(RIGHT(records_2[roomNo]&amp;records_2[Type],2),"-",""))</f>
        <v>12-2-046</v>
      </c>
      <c r="V898" s="47" t="str">
        <f t="array" ref="V898">_xlfn.XLOOKUP(records_2[ID], dAir[roomNo], dAir[roomName])</f>
        <v>PRO TINCTURE STAGING</v>
      </c>
      <c r="W898" s="47" t="str">
        <f t="array" ref="W898">_xlfn.XLOOKUP(records_2[ID], dAir[roomNo], dAir[building])</f>
        <v>Building 12</v>
      </c>
      <c r="X898" s="47" t="str">
        <f t="array" ref="X898">_xlfn.XLOOKUP(records_2[ID], dAir[roomNo], dAir[floor])</f>
        <v>Floor 2</v>
      </c>
      <c r="Y898" s="45" t="str">
        <f t="array" ref="Y898">_xlfn.XLOOKUP(records_2[ID], dAir[roomNo], dAir[Class])</f>
        <v>D</v>
      </c>
      <c r="Z898" s="45">
        <f t="array" ref="Z898">_xlfn.XLOOKUP(records_2[Method]&amp;"-"&amp;records_2[Class], dAirSpec[ID], dAirSpec[Spec])</f>
        <v>100</v>
      </c>
      <c r="AA898" s="45" t="str">
        <f t="array" ref="AA898">_xlfn.XLOOKUP(records_2[Method]&amp;"-"&amp;records_2[Class], dAirSpec[ID], dAirSpec[Unit])</f>
        <v>cfu/plate</v>
      </c>
      <c r="AB898" s="58">
        <f t="array" ref="AB898">if(R898="","", if(records_2[Method]="Active Air",_xlfn.xlookup(records_2[ColonyCount]&amp;records_2[AirSampler],feller[code],feller[Vc]),records_2[ColonyCount]))</f>
        <v>2</v>
      </c>
      <c r="AC898" s="60" t="b">
        <f t="shared" si="1"/>
        <v>1</v>
      </c>
      <c r="AD898" s="61" t="b">
        <v>0</v>
      </c>
      <c r="AE898" s="32" t="s">
        <v>280</v>
      </c>
      <c r="AF898" s="46"/>
      <c r="AG898" s="46"/>
      <c r="AH898" s="46"/>
      <c r="AI898" s="46"/>
      <c r="AJ898" s="46"/>
    </row>
    <row r="899" ht="22.5" customHeight="1">
      <c r="A899" s="27">
        <v>46172.0</v>
      </c>
      <c r="B899" s="34" t="str">
        <f t="array" ref="B899">TEXT(A899, "MM-YYYY")</f>
        <v>05-2026</v>
      </c>
      <c r="C899" s="39" t="s">
        <v>562</v>
      </c>
      <c r="D899" s="36" t="s">
        <v>210</v>
      </c>
      <c r="E899" s="36" t="s">
        <v>213</v>
      </c>
      <c r="F899" s="29" t="b">
        <v>1</v>
      </c>
      <c r="G899" s="36" t="s">
        <v>214</v>
      </c>
      <c r="H899" s="36" t="s">
        <v>215</v>
      </c>
      <c r="I899" s="39"/>
      <c r="J899" s="40"/>
      <c r="K899" s="37" t="s">
        <v>194</v>
      </c>
      <c r="L899" s="37" t="s">
        <v>194</v>
      </c>
      <c r="M899" s="37" t="s">
        <v>194</v>
      </c>
      <c r="N899" s="37" t="s">
        <v>194</v>
      </c>
      <c r="O899" s="37" t="s">
        <v>223</v>
      </c>
      <c r="P899" s="37" t="s">
        <v>224</v>
      </c>
      <c r="Q899" s="41">
        <v>46218.0</v>
      </c>
      <c r="R899" s="42">
        <v>1.0</v>
      </c>
      <c r="S899" s="44"/>
      <c r="T899" s="37" t="s">
        <v>4</v>
      </c>
      <c r="U899" s="45" t="str">
        <f>IF(records_2[Type]="Room",records_2[roomNo],records_2[roomNo]&amp;"-"&amp;SUBSTITUTE(RIGHT(records_2[roomNo]&amp;records_2[Type],2),"-",""))</f>
        <v>12-2-047</v>
      </c>
      <c r="V899" s="47" t="str">
        <f t="array" ref="V899">_xlfn.XLOOKUP(records_2[ID], dAir[roomNo], dAir[roomName])</f>
        <v>AIRLOCK</v>
      </c>
      <c r="W899" s="47" t="str">
        <f t="array" ref="W899">_xlfn.XLOOKUP(records_2[ID], dAir[roomNo], dAir[building])</f>
        <v>Building 12</v>
      </c>
      <c r="X899" s="47" t="str">
        <f t="array" ref="X899">_xlfn.XLOOKUP(records_2[ID], dAir[roomNo], dAir[floor])</f>
        <v>Floor 2</v>
      </c>
      <c r="Y899" s="45" t="str">
        <f t="array" ref="Y899">_xlfn.XLOOKUP(records_2[ID], dAir[roomNo], dAir[Class])</f>
        <v>D</v>
      </c>
      <c r="Z899" s="45">
        <f t="array" ref="Z899">_xlfn.XLOOKUP(records_2[Method]&amp;"-"&amp;records_2[Class], dAirSpec[ID], dAirSpec[Spec])</f>
        <v>100</v>
      </c>
      <c r="AA899" s="45" t="str">
        <f t="array" ref="AA899">_xlfn.XLOOKUP(records_2[Method]&amp;"-"&amp;records_2[Class], dAirSpec[ID], dAirSpec[Unit])</f>
        <v>cfu/plate</v>
      </c>
      <c r="AB899" s="58">
        <f t="array" ref="AB899">if(R899="","", if(records_2[Method]="Active Air",_xlfn.xlookup(records_2[ColonyCount]&amp;records_2[AirSampler],feller[code],feller[Vc]),records_2[ColonyCount]))</f>
        <v>1</v>
      </c>
      <c r="AC899" s="60" t="b">
        <f t="shared" si="1"/>
        <v>1</v>
      </c>
      <c r="AD899" s="61" t="b">
        <v>0</v>
      </c>
      <c r="AE899" s="32" t="s">
        <v>280</v>
      </c>
      <c r="AF899" s="46"/>
      <c r="AG899" s="46"/>
      <c r="AH899" s="46"/>
      <c r="AI899" s="46"/>
      <c r="AJ899" s="46"/>
    </row>
    <row r="900" ht="22.5" customHeight="1">
      <c r="A900" s="27">
        <v>46172.0</v>
      </c>
      <c r="B900" s="34" t="str">
        <f t="array" ref="B900">TEXT(A900, "MM-YYYY")</f>
        <v>05-2026</v>
      </c>
      <c r="C900" s="39" t="s">
        <v>572</v>
      </c>
      <c r="D900" s="36" t="s">
        <v>210</v>
      </c>
      <c r="E900" s="36" t="s">
        <v>213</v>
      </c>
      <c r="F900" s="29" t="b">
        <v>1</v>
      </c>
      <c r="G900" s="36" t="s">
        <v>214</v>
      </c>
      <c r="H900" s="36" t="s">
        <v>215</v>
      </c>
      <c r="I900" s="39"/>
      <c r="J900" s="40"/>
      <c r="K900" s="37" t="s">
        <v>194</v>
      </c>
      <c r="L900" s="37" t="s">
        <v>194</v>
      </c>
      <c r="M900" s="37" t="s">
        <v>194</v>
      </c>
      <c r="N900" s="37" t="s">
        <v>194</v>
      </c>
      <c r="O900" s="37" t="s">
        <v>223</v>
      </c>
      <c r="P900" s="37" t="s">
        <v>224</v>
      </c>
      <c r="Q900" s="41">
        <v>46218.0</v>
      </c>
      <c r="R900" s="42">
        <v>0.0</v>
      </c>
      <c r="S900" s="44"/>
      <c r="T900" s="37" t="s">
        <v>4</v>
      </c>
      <c r="U900" s="45" t="str">
        <f>IF(records_2[Type]="Room",records_2[roomNo],records_2[roomNo]&amp;"-"&amp;SUBSTITUTE(RIGHT(records_2[roomNo]&amp;records_2[Type],2),"-",""))</f>
        <v>12-2-048</v>
      </c>
      <c r="V900" s="47" t="str">
        <f t="array" ref="V900">_xlfn.XLOOKUP(records_2[ID], dAir[roomNo], dAir[roomName])</f>
        <v>CORRIDOR</v>
      </c>
      <c r="W900" s="47" t="str">
        <f t="array" ref="W900">_xlfn.XLOOKUP(records_2[ID], dAir[roomNo], dAir[building])</f>
        <v>Building 12</v>
      </c>
      <c r="X900" s="47" t="str">
        <f t="array" ref="X900">_xlfn.XLOOKUP(records_2[ID], dAir[roomNo], dAir[floor])</f>
        <v>Floor 2</v>
      </c>
      <c r="Y900" s="45" t="str">
        <f t="array" ref="Y900">_xlfn.XLOOKUP(records_2[ID], dAir[roomNo], dAir[Class])</f>
        <v>D</v>
      </c>
      <c r="Z900" s="45">
        <f t="array" ref="Z900">_xlfn.XLOOKUP(records_2[Method]&amp;"-"&amp;records_2[Class], dAirSpec[ID], dAirSpec[Spec])</f>
        <v>100</v>
      </c>
      <c r="AA900" s="45" t="str">
        <f t="array" ref="AA900">_xlfn.XLOOKUP(records_2[Method]&amp;"-"&amp;records_2[Class], dAirSpec[ID], dAirSpec[Unit])</f>
        <v>cfu/plate</v>
      </c>
      <c r="AB900" s="58">
        <f t="array" ref="AB900">if(R900="","", if(records_2[Method]="Active Air",_xlfn.xlookup(records_2[ColonyCount]&amp;records_2[AirSampler],feller[code],feller[Vc]),records_2[ColonyCount]))</f>
        <v>0</v>
      </c>
      <c r="AC900" s="60" t="b">
        <f t="shared" si="1"/>
        <v>1</v>
      </c>
      <c r="AD900" s="61" t="b">
        <v>0</v>
      </c>
      <c r="AE900" s="32" t="s">
        <v>280</v>
      </c>
      <c r="AF900" s="46"/>
      <c r="AG900" s="46"/>
      <c r="AH900" s="46"/>
      <c r="AI900" s="46"/>
      <c r="AJ900" s="46"/>
    </row>
    <row r="901" ht="22.5" customHeight="1">
      <c r="A901" s="27">
        <v>46172.0</v>
      </c>
      <c r="B901" s="34" t="str">
        <f t="array" ref="B901">TEXT(A901, "MM-YYYY")</f>
        <v>05-2026</v>
      </c>
      <c r="C901" s="39" t="s">
        <v>581</v>
      </c>
      <c r="D901" s="36" t="s">
        <v>210</v>
      </c>
      <c r="E901" s="36" t="s">
        <v>213</v>
      </c>
      <c r="F901" s="29" t="b">
        <v>1</v>
      </c>
      <c r="G901" s="36" t="s">
        <v>214</v>
      </c>
      <c r="H901" s="36" t="s">
        <v>215</v>
      </c>
      <c r="I901" s="39"/>
      <c r="J901" s="40"/>
      <c r="K901" s="37" t="s">
        <v>194</v>
      </c>
      <c r="L901" s="37" t="s">
        <v>194</v>
      </c>
      <c r="M901" s="37" t="s">
        <v>194</v>
      </c>
      <c r="N901" s="37" t="s">
        <v>194</v>
      </c>
      <c r="O901" s="37" t="s">
        <v>223</v>
      </c>
      <c r="P901" s="37" t="s">
        <v>224</v>
      </c>
      <c r="Q901" s="41">
        <v>46218.0</v>
      </c>
      <c r="R901" s="42">
        <v>0.0</v>
      </c>
      <c r="S901" s="44"/>
      <c r="T901" s="37" t="s">
        <v>4</v>
      </c>
      <c r="U901" s="45" t="str">
        <f>IF(records_2[Type]="Room",records_2[roomNo],records_2[roomNo]&amp;"-"&amp;SUBSTITUTE(RIGHT(records_2[roomNo]&amp;records_2[Type],2),"-",""))</f>
        <v>12-2-049</v>
      </c>
      <c r="V901" s="47" t="str">
        <f t="array" ref="V901">_xlfn.XLOOKUP(records_2[ID], dAir[roomNo], dAir[roomName])</f>
        <v>LINEN WASHING</v>
      </c>
      <c r="W901" s="47" t="str">
        <f t="array" ref="W901">_xlfn.XLOOKUP(records_2[ID], dAir[roomNo], dAir[building])</f>
        <v>Building 12</v>
      </c>
      <c r="X901" s="47" t="str">
        <f t="array" ref="X901">_xlfn.XLOOKUP(records_2[ID], dAir[roomNo], dAir[floor])</f>
        <v>Floor 2</v>
      </c>
      <c r="Y901" s="45" t="str">
        <f t="array" ref="Y901">_xlfn.XLOOKUP(records_2[ID], dAir[roomNo], dAir[Class])</f>
        <v>D</v>
      </c>
      <c r="Z901" s="45">
        <f t="array" ref="Z901">_xlfn.XLOOKUP(records_2[Method]&amp;"-"&amp;records_2[Class], dAirSpec[ID], dAirSpec[Spec])</f>
        <v>100</v>
      </c>
      <c r="AA901" s="45" t="str">
        <f t="array" ref="AA901">_xlfn.XLOOKUP(records_2[Method]&amp;"-"&amp;records_2[Class], dAirSpec[ID], dAirSpec[Unit])</f>
        <v>cfu/plate</v>
      </c>
      <c r="AB901" s="58">
        <f t="array" ref="AB901">if(R901="","", if(records_2[Method]="Active Air",_xlfn.xlookup(records_2[ColonyCount]&amp;records_2[AirSampler],feller[code],feller[Vc]),records_2[ColonyCount]))</f>
        <v>0</v>
      </c>
      <c r="AC901" s="60" t="b">
        <f t="shared" si="1"/>
        <v>1</v>
      </c>
      <c r="AD901" s="61" t="b">
        <v>0</v>
      </c>
      <c r="AE901" s="32" t="s">
        <v>280</v>
      </c>
      <c r="AF901" s="46"/>
      <c r="AG901" s="46"/>
      <c r="AH901" s="46"/>
      <c r="AI901" s="46"/>
      <c r="AJ901" s="46"/>
    </row>
    <row r="902" ht="22.5" customHeight="1">
      <c r="A902" s="27">
        <v>46172.0</v>
      </c>
      <c r="B902" s="34" t="str">
        <f t="array" ref="B902">TEXT(A902, "MM-YYYY")</f>
        <v>05-2026</v>
      </c>
      <c r="C902" s="39" t="s">
        <v>590</v>
      </c>
      <c r="D902" s="36" t="s">
        <v>210</v>
      </c>
      <c r="E902" s="36" t="s">
        <v>213</v>
      </c>
      <c r="F902" s="29" t="b">
        <v>1</v>
      </c>
      <c r="G902" s="36" t="s">
        <v>214</v>
      </c>
      <c r="H902" s="36" t="s">
        <v>215</v>
      </c>
      <c r="I902" s="39"/>
      <c r="J902" s="40"/>
      <c r="K902" s="37" t="s">
        <v>194</v>
      </c>
      <c r="L902" s="37" t="s">
        <v>194</v>
      </c>
      <c r="M902" s="37" t="s">
        <v>194</v>
      </c>
      <c r="N902" s="37" t="s">
        <v>194</v>
      </c>
      <c r="O902" s="37" t="s">
        <v>223</v>
      </c>
      <c r="P902" s="37" t="s">
        <v>224</v>
      </c>
      <c r="Q902" s="41">
        <v>46218.0</v>
      </c>
      <c r="R902" s="42">
        <v>0.0</v>
      </c>
      <c r="S902" s="44"/>
      <c r="T902" s="37" t="s">
        <v>4</v>
      </c>
      <c r="U902" s="45" t="str">
        <f>IF(records_2[Type]="Room",records_2[roomNo],records_2[roomNo]&amp;"-"&amp;SUBSTITUTE(RIGHT(records_2[roomNo]&amp;records_2[Type],2),"-",""))</f>
        <v>12-2-050</v>
      </c>
      <c r="V902" s="47" t="str">
        <f t="array" ref="V902">_xlfn.XLOOKUP(records_2[ID], dAir[roomNo], dAir[roomName])</f>
        <v>LINEN DRY</v>
      </c>
      <c r="W902" s="47" t="str">
        <f t="array" ref="W902">_xlfn.XLOOKUP(records_2[ID], dAir[roomNo], dAir[building])</f>
        <v>Building 12</v>
      </c>
      <c r="X902" s="47" t="str">
        <f t="array" ref="X902">_xlfn.XLOOKUP(records_2[ID], dAir[roomNo], dAir[floor])</f>
        <v>Floor 2</v>
      </c>
      <c r="Y902" s="45" t="str">
        <f t="array" ref="Y902">_xlfn.XLOOKUP(records_2[ID], dAir[roomNo], dAir[Class])</f>
        <v>D</v>
      </c>
      <c r="Z902" s="45">
        <f t="array" ref="Z902">_xlfn.XLOOKUP(records_2[Method]&amp;"-"&amp;records_2[Class], dAirSpec[ID], dAirSpec[Spec])</f>
        <v>100</v>
      </c>
      <c r="AA902" s="45" t="str">
        <f t="array" ref="AA902">_xlfn.XLOOKUP(records_2[Method]&amp;"-"&amp;records_2[Class], dAirSpec[ID], dAirSpec[Unit])</f>
        <v>cfu/plate</v>
      </c>
      <c r="AB902" s="58">
        <f t="array" ref="AB902">if(R902="","", if(records_2[Method]="Active Air",_xlfn.xlookup(records_2[ColonyCount]&amp;records_2[AirSampler],feller[code],feller[Vc]),records_2[ColonyCount]))</f>
        <v>0</v>
      </c>
      <c r="AC902" s="60" t="b">
        <f t="shared" si="1"/>
        <v>1</v>
      </c>
      <c r="AD902" s="61" t="b">
        <v>0</v>
      </c>
      <c r="AE902" s="32" t="s">
        <v>280</v>
      </c>
      <c r="AF902" s="46"/>
      <c r="AG902" s="46"/>
      <c r="AH902" s="46"/>
      <c r="AI902" s="46"/>
      <c r="AJ902" s="46"/>
    </row>
    <row r="903" ht="22.5" customHeight="1">
      <c r="A903" s="27">
        <v>46172.0</v>
      </c>
      <c r="B903" s="34" t="str">
        <f t="array" ref="B903">TEXT(A903, "MM-YYYY")</f>
        <v>05-2026</v>
      </c>
      <c r="C903" s="39" t="s">
        <v>601</v>
      </c>
      <c r="D903" s="36" t="s">
        <v>210</v>
      </c>
      <c r="E903" s="36" t="s">
        <v>213</v>
      </c>
      <c r="F903" s="29" t="b">
        <v>1</v>
      </c>
      <c r="G903" s="36" t="s">
        <v>214</v>
      </c>
      <c r="H903" s="36" t="s">
        <v>215</v>
      </c>
      <c r="I903" s="39"/>
      <c r="J903" s="40"/>
      <c r="K903" s="37" t="s">
        <v>194</v>
      </c>
      <c r="L903" s="37" t="s">
        <v>194</v>
      </c>
      <c r="M903" s="37" t="s">
        <v>194</v>
      </c>
      <c r="N903" s="37" t="s">
        <v>194</v>
      </c>
      <c r="O903" s="37" t="s">
        <v>223</v>
      </c>
      <c r="P903" s="37" t="s">
        <v>224</v>
      </c>
      <c r="Q903" s="41">
        <v>46218.0</v>
      </c>
      <c r="R903" s="42">
        <v>0.0</v>
      </c>
      <c r="S903" s="44"/>
      <c r="T903" s="37" t="s">
        <v>4</v>
      </c>
      <c r="U903" s="45" t="str">
        <f>IF(records_2[Type]="Room",records_2[roomNo],records_2[roomNo]&amp;"-"&amp;SUBSTITUTE(RIGHT(records_2[roomNo]&amp;records_2[Type],2),"-",""))</f>
        <v>12-2-051</v>
      </c>
      <c r="V903" s="47" t="str">
        <f t="array" ref="V903">_xlfn.XLOOKUP(records_2[ID], dAir[roomNo], dAir[roomName])</f>
        <v>SCRAP STORAGE</v>
      </c>
      <c r="W903" s="47" t="str">
        <f t="array" ref="W903">_xlfn.XLOOKUP(records_2[ID], dAir[roomNo], dAir[building])</f>
        <v>Building 12</v>
      </c>
      <c r="X903" s="47" t="str">
        <f t="array" ref="X903">_xlfn.XLOOKUP(records_2[ID], dAir[roomNo], dAir[floor])</f>
        <v>Floor 2</v>
      </c>
      <c r="Y903" s="45" t="str">
        <f t="array" ref="Y903">_xlfn.XLOOKUP(records_2[ID], dAir[roomNo], dAir[Class])</f>
        <v>D</v>
      </c>
      <c r="Z903" s="45">
        <f t="array" ref="Z903">_xlfn.XLOOKUP(records_2[Method]&amp;"-"&amp;records_2[Class], dAirSpec[ID], dAirSpec[Spec])</f>
        <v>100</v>
      </c>
      <c r="AA903" s="45" t="str">
        <f t="array" ref="AA903">_xlfn.XLOOKUP(records_2[Method]&amp;"-"&amp;records_2[Class], dAirSpec[ID], dAirSpec[Unit])</f>
        <v>cfu/plate</v>
      </c>
      <c r="AB903" s="58">
        <f t="array" ref="AB903">if(R903="","", if(records_2[Method]="Active Air",_xlfn.xlookup(records_2[ColonyCount]&amp;records_2[AirSampler],feller[code],feller[Vc]),records_2[ColonyCount]))</f>
        <v>0</v>
      </c>
      <c r="AC903" s="60" t="b">
        <f t="shared" si="1"/>
        <v>1</v>
      </c>
      <c r="AD903" s="61" t="b">
        <v>0</v>
      </c>
      <c r="AE903" s="32" t="s">
        <v>280</v>
      </c>
      <c r="AF903" s="46"/>
      <c r="AG903" s="46"/>
      <c r="AH903" s="46"/>
      <c r="AI903" s="46"/>
      <c r="AJ903" s="46"/>
    </row>
    <row r="904" ht="22.5" customHeight="1">
      <c r="A904" s="27">
        <v>46172.0</v>
      </c>
      <c r="B904" s="34" t="str">
        <f t="array" ref="B904">TEXT(A904, "MM-YYYY")</f>
        <v>05-2026</v>
      </c>
      <c r="C904" s="39" t="s">
        <v>610</v>
      </c>
      <c r="D904" s="36" t="s">
        <v>210</v>
      </c>
      <c r="E904" s="36" t="s">
        <v>213</v>
      </c>
      <c r="F904" s="29" t="b">
        <v>1</v>
      </c>
      <c r="G904" s="36" t="s">
        <v>214</v>
      </c>
      <c r="H904" s="36" t="s">
        <v>215</v>
      </c>
      <c r="I904" s="39"/>
      <c r="J904" s="40"/>
      <c r="K904" s="37" t="s">
        <v>194</v>
      </c>
      <c r="L904" s="37" t="s">
        <v>194</v>
      </c>
      <c r="M904" s="37" t="s">
        <v>194</v>
      </c>
      <c r="N904" s="37" t="s">
        <v>194</v>
      </c>
      <c r="O904" s="37" t="s">
        <v>223</v>
      </c>
      <c r="P904" s="37" t="s">
        <v>224</v>
      </c>
      <c r="Q904" s="41">
        <v>46218.0</v>
      </c>
      <c r="R904" s="42">
        <v>6.0</v>
      </c>
      <c r="S904" s="44"/>
      <c r="T904" s="37" t="s">
        <v>4</v>
      </c>
      <c r="U904" s="45" t="str">
        <f>IF(records_2[Type]="Room",records_2[roomNo],records_2[roomNo]&amp;"-"&amp;SUBSTITUTE(RIGHT(records_2[roomNo]&amp;records_2[Type],2),"-",""))</f>
        <v>12-2-052</v>
      </c>
      <c r="V904" s="47" t="str">
        <f t="array" ref="V904">_xlfn.XLOOKUP(records_2[ID], dAir[roomNo], dAir[roomName])</f>
        <v>CORRIDOR</v>
      </c>
      <c r="W904" s="47" t="str">
        <f t="array" ref="W904">_xlfn.XLOOKUP(records_2[ID], dAir[roomNo], dAir[building])</f>
        <v>Building 12</v>
      </c>
      <c r="X904" s="47" t="str">
        <f t="array" ref="X904">_xlfn.XLOOKUP(records_2[ID], dAir[roomNo], dAir[floor])</f>
        <v>Floor 2</v>
      </c>
      <c r="Y904" s="45" t="str">
        <f t="array" ref="Y904">_xlfn.XLOOKUP(records_2[ID], dAir[roomNo], dAir[Class])</f>
        <v>D</v>
      </c>
      <c r="Z904" s="45">
        <f t="array" ref="Z904">_xlfn.XLOOKUP(records_2[Method]&amp;"-"&amp;records_2[Class], dAirSpec[ID], dAirSpec[Spec])</f>
        <v>100</v>
      </c>
      <c r="AA904" s="45" t="str">
        <f t="array" ref="AA904">_xlfn.XLOOKUP(records_2[Method]&amp;"-"&amp;records_2[Class], dAirSpec[ID], dAirSpec[Unit])</f>
        <v>cfu/plate</v>
      </c>
      <c r="AB904" s="58">
        <f t="array" ref="AB904">if(R904="","", if(records_2[Method]="Active Air",_xlfn.xlookup(records_2[ColonyCount]&amp;records_2[AirSampler],feller[code],feller[Vc]),records_2[ColonyCount]))</f>
        <v>6</v>
      </c>
      <c r="AC904" s="60" t="b">
        <f t="shared" si="1"/>
        <v>1</v>
      </c>
      <c r="AD904" s="61" t="b">
        <v>0</v>
      </c>
      <c r="AE904" s="32" t="s">
        <v>280</v>
      </c>
      <c r="AF904" s="46"/>
      <c r="AG904" s="46"/>
      <c r="AH904" s="46"/>
      <c r="AI904" s="46"/>
      <c r="AJ904" s="46"/>
    </row>
    <row r="905" ht="22.5" customHeight="1">
      <c r="A905" s="27">
        <v>46172.0</v>
      </c>
      <c r="B905" s="34" t="str">
        <f t="array" ref="B905">TEXT(A905, "MM-YYYY")</f>
        <v>05-2026</v>
      </c>
      <c r="C905" s="39" t="s">
        <v>622</v>
      </c>
      <c r="D905" s="36" t="s">
        <v>210</v>
      </c>
      <c r="E905" s="36" t="s">
        <v>213</v>
      </c>
      <c r="F905" s="29" t="b">
        <v>1</v>
      </c>
      <c r="G905" s="36" t="s">
        <v>214</v>
      </c>
      <c r="H905" s="36" t="s">
        <v>215</v>
      </c>
      <c r="I905" s="39"/>
      <c r="J905" s="40"/>
      <c r="K905" s="37" t="s">
        <v>194</v>
      </c>
      <c r="L905" s="37" t="s">
        <v>194</v>
      </c>
      <c r="M905" s="37" t="s">
        <v>194</v>
      </c>
      <c r="N905" s="37" t="s">
        <v>194</v>
      </c>
      <c r="O905" s="37" t="s">
        <v>223</v>
      </c>
      <c r="P905" s="37" t="s">
        <v>224</v>
      </c>
      <c r="Q905" s="41">
        <v>46218.0</v>
      </c>
      <c r="R905" s="42">
        <v>2.0</v>
      </c>
      <c r="S905" s="44"/>
      <c r="T905" s="37" t="s">
        <v>4</v>
      </c>
      <c r="U905" s="45" t="str">
        <f>IF(records_2[Type]="Room",records_2[roomNo],records_2[roomNo]&amp;"-"&amp;SUBSTITUTE(RIGHT(records_2[roomNo]&amp;records_2[Type],2),"-",""))</f>
        <v>12-2-053</v>
      </c>
      <c r="V905" s="47" t="str">
        <f t="array" ref="V905">_xlfn.XLOOKUP(records_2[ID], dAir[roomNo], dAir[roomName])</f>
        <v>IPQC</v>
      </c>
      <c r="W905" s="47" t="str">
        <f t="array" ref="W905">_xlfn.XLOOKUP(records_2[ID], dAir[roomNo], dAir[building])</f>
        <v>Building 12</v>
      </c>
      <c r="X905" s="47" t="str">
        <f t="array" ref="X905">_xlfn.XLOOKUP(records_2[ID], dAir[roomNo], dAir[floor])</f>
        <v>Floor 2</v>
      </c>
      <c r="Y905" s="45" t="str">
        <f t="array" ref="Y905">_xlfn.XLOOKUP(records_2[ID], dAir[roomNo], dAir[Class])</f>
        <v>D</v>
      </c>
      <c r="Z905" s="45">
        <f t="array" ref="Z905">_xlfn.XLOOKUP(records_2[Method]&amp;"-"&amp;records_2[Class], dAirSpec[ID], dAirSpec[Spec])</f>
        <v>100</v>
      </c>
      <c r="AA905" s="45" t="str">
        <f t="array" ref="AA905">_xlfn.XLOOKUP(records_2[Method]&amp;"-"&amp;records_2[Class], dAirSpec[ID], dAirSpec[Unit])</f>
        <v>cfu/plate</v>
      </c>
      <c r="AB905" s="58">
        <f t="array" ref="AB905">if(R905="","", if(records_2[Method]="Active Air",_xlfn.xlookup(records_2[ColonyCount]&amp;records_2[AirSampler],feller[code],feller[Vc]),records_2[ColonyCount]))</f>
        <v>2</v>
      </c>
      <c r="AC905" s="60" t="b">
        <f t="shared" si="1"/>
        <v>1</v>
      </c>
      <c r="AD905" s="61" t="b">
        <v>0</v>
      </c>
      <c r="AE905" s="32" t="s">
        <v>280</v>
      </c>
      <c r="AF905" s="46"/>
      <c r="AG905" s="46"/>
      <c r="AH905" s="46"/>
      <c r="AI905" s="46"/>
      <c r="AJ905" s="46"/>
    </row>
    <row r="906" ht="22.5" customHeight="1">
      <c r="A906" s="27">
        <v>46172.0</v>
      </c>
      <c r="B906" s="34" t="str">
        <f t="array" ref="B906">TEXT(A906, "MM-YYYY")</f>
        <v>05-2026</v>
      </c>
      <c r="C906" s="39" t="s">
        <v>626</v>
      </c>
      <c r="D906" s="36" t="s">
        <v>210</v>
      </c>
      <c r="E906" s="36" t="s">
        <v>213</v>
      </c>
      <c r="F906" s="29" t="b">
        <v>1</v>
      </c>
      <c r="G906" s="36" t="s">
        <v>214</v>
      </c>
      <c r="H906" s="36" t="s">
        <v>215</v>
      </c>
      <c r="I906" s="39"/>
      <c r="J906" s="40"/>
      <c r="K906" s="37" t="s">
        <v>194</v>
      </c>
      <c r="L906" s="37" t="s">
        <v>194</v>
      </c>
      <c r="M906" s="37" t="s">
        <v>194</v>
      </c>
      <c r="N906" s="37" t="s">
        <v>194</v>
      </c>
      <c r="O906" s="37" t="s">
        <v>223</v>
      </c>
      <c r="P906" s="37" t="s">
        <v>224</v>
      </c>
      <c r="Q906" s="41">
        <v>46218.0</v>
      </c>
      <c r="R906" s="42">
        <v>0.0</v>
      </c>
      <c r="S906" s="44"/>
      <c r="T906" s="37" t="s">
        <v>4</v>
      </c>
      <c r="U906" s="45" t="str">
        <f>IF(records_2[Type]="Room",records_2[roomNo],records_2[roomNo]&amp;"-"&amp;SUBSTITUTE(RIGHT(records_2[roomNo]&amp;records_2[Type],2),"-",""))</f>
        <v>12-2-054</v>
      </c>
      <c r="V906" s="47" t="str">
        <f t="array" ref="V906">_xlfn.XLOOKUP(records_2[ID], dAir[roomNo], dAir[roomName])</f>
        <v>STAGING 3</v>
      </c>
      <c r="W906" s="47" t="str">
        <f t="array" ref="W906">_xlfn.XLOOKUP(records_2[ID], dAir[roomNo], dAir[building])</f>
        <v>Building 12</v>
      </c>
      <c r="X906" s="47" t="str">
        <f t="array" ref="X906">_xlfn.XLOOKUP(records_2[ID], dAir[roomNo], dAir[floor])</f>
        <v>Floor 2</v>
      </c>
      <c r="Y906" s="45" t="str">
        <f t="array" ref="Y906">_xlfn.XLOOKUP(records_2[ID], dAir[roomNo], dAir[Class])</f>
        <v>D</v>
      </c>
      <c r="Z906" s="45">
        <f t="array" ref="Z906">_xlfn.XLOOKUP(records_2[Method]&amp;"-"&amp;records_2[Class], dAirSpec[ID], dAirSpec[Spec])</f>
        <v>100</v>
      </c>
      <c r="AA906" s="45" t="str">
        <f t="array" ref="AA906">_xlfn.XLOOKUP(records_2[Method]&amp;"-"&amp;records_2[Class], dAirSpec[ID], dAirSpec[Unit])</f>
        <v>cfu/plate</v>
      </c>
      <c r="AB906" s="58">
        <f t="array" ref="AB906">if(R906="","", if(records_2[Method]="Active Air",_xlfn.xlookup(records_2[ColonyCount]&amp;records_2[AirSampler],feller[code],feller[Vc]),records_2[ColonyCount]))</f>
        <v>0</v>
      </c>
      <c r="AC906" s="60" t="b">
        <f t="shared" si="1"/>
        <v>1</v>
      </c>
      <c r="AD906" s="61" t="b">
        <v>0</v>
      </c>
      <c r="AE906" s="32" t="s">
        <v>280</v>
      </c>
      <c r="AF906" s="46"/>
      <c r="AG906" s="46"/>
      <c r="AH906" s="46"/>
      <c r="AI906" s="46"/>
      <c r="AJ906" s="46"/>
    </row>
    <row r="907" ht="22.5" customHeight="1">
      <c r="A907" s="27">
        <v>46172.0</v>
      </c>
      <c r="B907" s="34" t="str">
        <f t="array" ref="B907">TEXT(A907, "MM-YYYY")</f>
        <v>05-2026</v>
      </c>
      <c r="C907" s="39" t="s">
        <v>635</v>
      </c>
      <c r="D907" s="36" t="s">
        <v>210</v>
      </c>
      <c r="E907" s="36" t="s">
        <v>213</v>
      </c>
      <c r="F907" s="29" t="b">
        <v>1</v>
      </c>
      <c r="G907" s="36" t="s">
        <v>214</v>
      </c>
      <c r="H907" s="36" t="s">
        <v>215</v>
      </c>
      <c r="I907" s="39"/>
      <c r="J907" s="40"/>
      <c r="K907" s="37" t="s">
        <v>194</v>
      </c>
      <c r="L907" s="37" t="s">
        <v>194</v>
      </c>
      <c r="M907" s="37" t="s">
        <v>194</v>
      </c>
      <c r="N907" s="37" t="s">
        <v>194</v>
      </c>
      <c r="O907" s="37" t="s">
        <v>223</v>
      </c>
      <c r="P907" s="37" t="s">
        <v>224</v>
      </c>
      <c r="Q907" s="41">
        <v>46218.0</v>
      </c>
      <c r="R907" s="42">
        <v>2.0</v>
      </c>
      <c r="S907" s="44"/>
      <c r="T907" s="37" t="s">
        <v>4</v>
      </c>
      <c r="U907" s="45" t="str">
        <f>IF(records_2[Type]="Room",records_2[roomNo],records_2[roomNo]&amp;"-"&amp;SUBSTITUTE(RIGHT(records_2[roomNo]&amp;records_2[Type],2),"-",""))</f>
        <v>12-2-055</v>
      </c>
      <c r="V907" s="47" t="str">
        <f t="array" ref="V907">_xlfn.XLOOKUP(records_2[ID], dAir[roomNo], dAir[roomName])</f>
        <v>CIP 3</v>
      </c>
      <c r="W907" s="47" t="str">
        <f t="array" ref="W907">_xlfn.XLOOKUP(records_2[ID], dAir[roomNo], dAir[building])</f>
        <v>Building 12</v>
      </c>
      <c r="X907" s="47" t="str">
        <f t="array" ref="X907">_xlfn.XLOOKUP(records_2[ID], dAir[roomNo], dAir[floor])</f>
        <v>Floor 2</v>
      </c>
      <c r="Y907" s="45" t="str">
        <f t="array" ref="Y907">_xlfn.XLOOKUP(records_2[ID], dAir[roomNo], dAir[Class])</f>
        <v>D</v>
      </c>
      <c r="Z907" s="45">
        <f t="array" ref="Z907">_xlfn.XLOOKUP(records_2[Method]&amp;"-"&amp;records_2[Class], dAirSpec[ID], dAirSpec[Spec])</f>
        <v>100</v>
      </c>
      <c r="AA907" s="45" t="str">
        <f t="array" ref="AA907">_xlfn.XLOOKUP(records_2[Method]&amp;"-"&amp;records_2[Class], dAirSpec[ID], dAirSpec[Unit])</f>
        <v>cfu/plate</v>
      </c>
      <c r="AB907" s="58">
        <f t="array" ref="AB907">if(R907="","", if(records_2[Method]="Active Air",_xlfn.xlookup(records_2[ColonyCount]&amp;records_2[AirSampler],feller[code],feller[Vc]),records_2[ColonyCount]))</f>
        <v>2</v>
      </c>
      <c r="AC907" s="60" t="b">
        <f t="shared" si="1"/>
        <v>1</v>
      </c>
      <c r="AD907" s="61" t="b">
        <v>0</v>
      </c>
      <c r="AE907" s="32" t="s">
        <v>280</v>
      </c>
      <c r="AF907" s="46"/>
      <c r="AG907" s="46"/>
      <c r="AH907" s="46"/>
      <c r="AI907" s="46"/>
      <c r="AJ907" s="46"/>
    </row>
    <row r="908" ht="22.5" customHeight="1">
      <c r="A908" s="27">
        <v>46172.0</v>
      </c>
      <c r="B908" s="34" t="str">
        <f t="array" ref="B908">TEXT(A908, "MM-YYYY")</f>
        <v>05-2026</v>
      </c>
      <c r="C908" s="39" t="s">
        <v>642</v>
      </c>
      <c r="D908" s="36" t="s">
        <v>210</v>
      </c>
      <c r="E908" s="36" t="s">
        <v>213</v>
      </c>
      <c r="F908" s="29" t="b">
        <v>1</v>
      </c>
      <c r="G908" s="36" t="s">
        <v>214</v>
      </c>
      <c r="H908" s="36" t="s">
        <v>215</v>
      </c>
      <c r="I908" s="39"/>
      <c r="J908" s="40"/>
      <c r="K908" s="37" t="s">
        <v>194</v>
      </c>
      <c r="L908" s="37" t="s">
        <v>194</v>
      </c>
      <c r="M908" s="37" t="s">
        <v>194</v>
      </c>
      <c r="N908" s="37" t="s">
        <v>194</v>
      </c>
      <c r="O908" s="37" t="s">
        <v>223</v>
      </c>
      <c r="P908" s="37" t="s">
        <v>224</v>
      </c>
      <c r="Q908" s="41">
        <v>46218.0</v>
      </c>
      <c r="R908" s="42">
        <v>2.0</v>
      </c>
      <c r="S908" s="44"/>
      <c r="T908" s="37" t="s">
        <v>4</v>
      </c>
      <c r="U908" s="45" t="str">
        <f>IF(records_2[Type]="Room",records_2[roomNo],records_2[roomNo]&amp;"-"&amp;SUBSTITUTE(RIGHT(records_2[roomNo]&amp;records_2[Type],2),"-",""))</f>
        <v>12-2-056</v>
      </c>
      <c r="V908" s="47" t="str">
        <f t="array" ref="V908">_xlfn.XLOOKUP(records_2[ID], dAir[roomNo], dAir[roomName])</f>
        <v>STAGING 2</v>
      </c>
      <c r="W908" s="47" t="str">
        <f t="array" ref="W908">_xlfn.XLOOKUP(records_2[ID], dAir[roomNo], dAir[building])</f>
        <v>Building 12</v>
      </c>
      <c r="X908" s="47" t="str">
        <f t="array" ref="X908">_xlfn.XLOOKUP(records_2[ID], dAir[roomNo], dAir[floor])</f>
        <v>Floor 2</v>
      </c>
      <c r="Y908" s="45" t="str">
        <f t="array" ref="Y908">_xlfn.XLOOKUP(records_2[ID], dAir[roomNo], dAir[Class])</f>
        <v>D</v>
      </c>
      <c r="Z908" s="45">
        <f t="array" ref="Z908">_xlfn.XLOOKUP(records_2[Method]&amp;"-"&amp;records_2[Class], dAirSpec[ID], dAirSpec[Spec])</f>
        <v>100</v>
      </c>
      <c r="AA908" s="45" t="str">
        <f t="array" ref="AA908">_xlfn.XLOOKUP(records_2[Method]&amp;"-"&amp;records_2[Class], dAirSpec[ID], dAirSpec[Unit])</f>
        <v>cfu/plate</v>
      </c>
      <c r="AB908" s="58">
        <f t="array" ref="AB908">if(R908="","", if(records_2[Method]="Active Air",_xlfn.xlookup(records_2[ColonyCount]&amp;records_2[AirSampler],feller[code],feller[Vc]),records_2[ColonyCount]))</f>
        <v>2</v>
      </c>
      <c r="AC908" s="60" t="b">
        <f t="shared" si="1"/>
        <v>1</v>
      </c>
      <c r="AD908" s="61" t="b">
        <v>0</v>
      </c>
      <c r="AE908" s="32" t="s">
        <v>280</v>
      </c>
      <c r="AF908" s="46"/>
      <c r="AG908" s="46"/>
      <c r="AH908" s="46"/>
      <c r="AI908" s="46"/>
      <c r="AJ908" s="46"/>
    </row>
    <row r="909" ht="22.5" customHeight="1">
      <c r="A909" s="27">
        <v>46172.0</v>
      </c>
      <c r="B909" s="34" t="str">
        <f t="array" ref="B909">TEXT(A909, "MM-YYYY")</f>
        <v>05-2026</v>
      </c>
      <c r="C909" s="39" t="s">
        <v>648</v>
      </c>
      <c r="D909" s="36" t="s">
        <v>210</v>
      </c>
      <c r="E909" s="36" t="s">
        <v>213</v>
      </c>
      <c r="F909" s="29" t="b">
        <v>1</v>
      </c>
      <c r="G909" s="36" t="s">
        <v>214</v>
      </c>
      <c r="H909" s="36" t="s">
        <v>215</v>
      </c>
      <c r="I909" s="39"/>
      <c r="J909" s="40"/>
      <c r="K909" s="37" t="s">
        <v>194</v>
      </c>
      <c r="L909" s="37" t="s">
        <v>194</v>
      </c>
      <c r="M909" s="37" t="s">
        <v>194</v>
      </c>
      <c r="N909" s="37" t="s">
        <v>194</v>
      </c>
      <c r="O909" s="37" t="s">
        <v>223</v>
      </c>
      <c r="P909" s="37" t="s">
        <v>224</v>
      </c>
      <c r="Q909" s="41">
        <v>46218.0</v>
      </c>
      <c r="R909" s="42">
        <v>0.0</v>
      </c>
      <c r="S909" s="44"/>
      <c r="T909" s="37" t="s">
        <v>4</v>
      </c>
      <c r="U909" s="45" t="str">
        <f>IF(records_2[Type]="Room",records_2[roomNo],records_2[roomNo]&amp;"-"&amp;SUBSTITUTE(RIGHT(records_2[roomNo]&amp;records_2[Type],2),"-",""))</f>
        <v>12-2-057</v>
      </c>
      <c r="V909" s="47" t="str">
        <f t="array" ref="V909">_xlfn.XLOOKUP(records_2[ID], dAir[roomNo], dAir[roomName])</f>
        <v>CIP 2</v>
      </c>
      <c r="W909" s="47" t="str">
        <f t="array" ref="W909">_xlfn.XLOOKUP(records_2[ID], dAir[roomNo], dAir[building])</f>
        <v>Building 12</v>
      </c>
      <c r="X909" s="47" t="str">
        <f t="array" ref="X909">_xlfn.XLOOKUP(records_2[ID], dAir[roomNo], dAir[floor])</f>
        <v>Floor 2</v>
      </c>
      <c r="Y909" s="45" t="str">
        <f t="array" ref="Y909">_xlfn.XLOOKUP(records_2[ID], dAir[roomNo], dAir[Class])</f>
        <v>D</v>
      </c>
      <c r="Z909" s="45">
        <f t="array" ref="Z909">_xlfn.XLOOKUP(records_2[Method]&amp;"-"&amp;records_2[Class], dAirSpec[ID], dAirSpec[Spec])</f>
        <v>100</v>
      </c>
      <c r="AA909" s="45" t="str">
        <f t="array" ref="AA909">_xlfn.XLOOKUP(records_2[Method]&amp;"-"&amp;records_2[Class], dAirSpec[ID], dAirSpec[Unit])</f>
        <v>cfu/plate</v>
      </c>
      <c r="AB909" s="58">
        <f t="array" ref="AB909">if(R909="","", if(records_2[Method]="Active Air",_xlfn.xlookup(records_2[ColonyCount]&amp;records_2[AirSampler],feller[code],feller[Vc]),records_2[ColonyCount]))</f>
        <v>0</v>
      </c>
      <c r="AC909" s="60" t="b">
        <f t="shared" si="1"/>
        <v>1</v>
      </c>
      <c r="AD909" s="61" t="b">
        <v>0</v>
      </c>
      <c r="AE909" s="32" t="s">
        <v>280</v>
      </c>
      <c r="AF909" s="46"/>
      <c r="AG909" s="46"/>
      <c r="AH909" s="46"/>
      <c r="AI909" s="46"/>
      <c r="AJ909" s="46"/>
    </row>
    <row r="910" ht="22.5" customHeight="1">
      <c r="A910" s="27">
        <v>46172.0</v>
      </c>
      <c r="B910" s="34" t="str">
        <f t="array" ref="B910">TEXT(A910, "MM-YYYY")</f>
        <v>05-2026</v>
      </c>
      <c r="C910" s="39" t="s">
        <v>655</v>
      </c>
      <c r="D910" s="36" t="s">
        <v>210</v>
      </c>
      <c r="E910" s="36" t="s">
        <v>213</v>
      </c>
      <c r="F910" s="29" t="b">
        <v>1</v>
      </c>
      <c r="G910" s="36" t="s">
        <v>214</v>
      </c>
      <c r="H910" s="36" t="s">
        <v>215</v>
      </c>
      <c r="I910" s="39"/>
      <c r="J910" s="40"/>
      <c r="K910" s="37" t="s">
        <v>194</v>
      </c>
      <c r="L910" s="37" t="s">
        <v>194</v>
      </c>
      <c r="M910" s="37" t="s">
        <v>194</v>
      </c>
      <c r="N910" s="37" t="s">
        <v>194</v>
      </c>
      <c r="O910" s="37" t="s">
        <v>223</v>
      </c>
      <c r="P910" s="37" t="s">
        <v>224</v>
      </c>
      <c r="Q910" s="41">
        <v>46218.0</v>
      </c>
      <c r="R910" s="42">
        <v>0.0</v>
      </c>
      <c r="S910" s="44"/>
      <c r="T910" s="37" t="s">
        <v>4</v>
      </c>
      <c r="U910" s="45" t="str">
        <f>IF(records_2[Type]="Room",records_2[roomNo],records_2[roomNo]&amp;"-"&amp;SUBSTITUTE(RIGHT(records_2[roomNo]&amp;records_2[Type],2),"-",""))</f>
        <v>12-2-058</v>
      </c>
      <c r="V910" s="47" t="str">
        <f t="array" ref="V910">_xlfn.XLOOKUP(records_2[ID], dAir[roomNo], dAir[roomName])</f>
        <v>STAGING 1</v>
      </c>
      <c r="W910" s="47" t="str">
        <f t="array" ref="W910">_xlfn.XLOOKUP(records_2[ID], dAir[roomNo], dAir[building])</f>
        <v>Building 12</v>
      </c>
      <c r="X910" s="47" t="str">
        <f t="array" ref="X910">_xlfn.XLOOKUP(records_2[ID], dAir[roomNo], dAir[floor])</f>
        <v>Floor 2</v>
      </c>
      <c r="Y910" s="45" t="str">
        <f t="array" ref="Y910">_xlfn.XLOOKUP(records_2[ID], dAir[roomNo], dAir[Class])</f>
        <v>D</v>
      </c>
      <c r="Z910" s="45">
        <f t="array" ref="Z910">_xlfn.XLOOKUP(records_2[Method]&amp;"-"&amp;records_2[Class], dAirSpec[ID], dAirSpec[Spec])</f>
        <v>100</v>
      </c>
      <c r="AA910" s="45" t="str">
        <f t="array" ref="AA910">_xlfn.XLOOKUP(records_2[Method]&amp;"-"&amp;records_2[Class], dAirSpec[ID], dAirSpec[Unit])</f>
        <v>cfu/plate</v>
      </c>
      <c r="AB910" s="58">
        <f t="array" ref="AB910">if(R910="","", if(records_2[Method]="Active Air",_xlfn.xlookup(records_2[ColonyCount]&amp;records_2[AirSampler],feller[code],feller[Vc]),records_2[ColonyCount]))</f>
        <v>0</v>
      </c>
      <c r="AC910" s="60" t="b">
        <f t="shared" si="1"/>
        <v>1</v>
      </c>
      <c r="AD910" s="61" t="b">
        <v>0</v>
      </c>
      <c r="AE910" s="32" t="s">
        <v>280</v>
      </c>
      <c r="AF910" s="46"/>
      <c r="AG910" s="46"/>
      <c r="AH910" s="46"/>
      <c r="AI910" s="46"/>
      <c r="AJ910" s="46"/>
    </row>
    <row r="911" ht="22.5" customHeight="1">
      <c r="A911" s="27">
        <v>46172.0</v>
      </c>
      <c r="B911" s="34" t="str">
        <f t="array" ref="B911">TEXT(A911, "MM-YYYY")</f>
        <v>05-2026</v>
      </c>
      <c r="C911" s="39" t="s">
        <v>665</v>
      </c>
      <c r="D911" s="36" t="s">
        <v>210</v>
      </c>
      <c r="E911" s="36" t="s">
        <v>213</v>
      </c>
      <c r="F911" s="29" t="b">
        <v>1</v>
      </c>
      <c r="G911" s="36" t="s">
        <v>214</v>
      </c>
      <c r="H911" s="36" t="s">
        <v>215</v>
      </c>
      <c r="I911" s="39"/>
      <c r="J911" s="40"/>
      <c r="K911" s="37" t="s">
        <v>194</v>
      </c>
      <c r="L911" s="37" t="s">
        <v>194</v>
      </c>
      <c r="M911" s="37" t="s">
        <v>194</v>
      </c>
      <c r="N911" s="37" t="s">
        <v>194</v>
      </c>
      <c r="O911" s="37" t="s">
        <v>223</v>
      </c>
      <c r="P911" s="37" t="s">
        <v>224</v>
      </c>
      <c r="Q911" s="41">
        <v>46218.0</v>
      </c>
      <c r="R911" s="42">
        <v>0.0</v>
      </c>
      <c r="S911" s="44"/>
      <c r="T911" s="37" t="s">
        <v>4</v>
      </c>
      <c r="U911" s="45" t="str">
        <f>IF(records_2[Type]="Room",records_2[roomNo],records_2[roomNo]&amp;"-"&amp;SUBSTITUTE(RIGHT(records_2[roomNo]&amp;records_2[Type],2),"-",""))</f>
        <v>12-2-059</v>
      </c>
      <c r="V911" s="47" t="str">
        <f t="array" ref="V911">_xlfn.XLOOKUP(records_2[ID], dAir[roomNo], dAir[roomName])</f>
        <v>CORRIDOR</v>
      </c>
      <c r="W911" s="47" t="str">
        <f t="array" ref="W911">_xlfn.XLOOKUP(records_2[ID], dAir[roomNo], dAir[building])</f>
        <v>Building 12</v>
      </c>
      <c r="X911" s="47" t="str">
        <f t="array" ref="X911">_xlfn.XLOOKUP(records_2[ID], dAir[roomNo], dAir[floor])</f>
        <v>Floor 2</v>
      </c>
      <c r="Y911" s="45" t="str">
        <f t="array" ref="Y911">_xlfn.XLOOKUP(records_2[ID], dAir[roomNo], dAir[Class])</f>
        <v>D</v>
      </c>
      <c r="Z911" s="45">
        <f t="array" ref="Z911">_xlfn.XLOOKUP(records_2[Method]&amp;"-"&amp;records_2[Class], dAirSpec[ID], dAirSpec[Spec])</f>
        <v>100</v>
      </c>
      <c r="AA911" s="45" t="str">
        <f t="array" ref="AA911">_xlfn.XLOOKUP(records_2[Method]&amp;"-"&amp;records_2[Class], dAirSpec[ID], dAirSpec[Unit])</f>
        <v>cfu/plate</v>
      </c>
      <c r="AB911" s="58">
        <f t="array" ref="AB911">if(R911="","", if(records_2[Method]="Active Air",_xlfn.xlookup(records_2[ColonyCount]&amp;records_2[AirSampler],feller[code],feller[Vc]),records_2[ColonyCount]))</f>
        <v>0</v>
      </c>
      <c r="AC911" s="60" t="b">
        <f t="shared" si="1"/>
        <v>1</v>
      </c>
      <c r="AD911" s="61" t="b">
        <v>0</v>
      </c>
      <c r="AE911" s="32" t="s">
        <v>280</v>
      </c>
      <c r="AF911" s="46"/>
      <c r="AG911" s="46"/>
      <c r="AH911" s="46"/>
      <c r="AI911" s="46"/>
      <c r="AJ911" s="46"/>
    </row>
    <row r="912" ht="22.5" customHeight="1">
      <c r="A912" s="27">
        <v>46172.0</v>
      </c>
      <c r="B912" s="34" t="str">
        <f t="array" ref="B912">TEXT(A912, "MM-YYYY")</f>
        <v>05-2026</v>
      </c>
      <c r="C912" s="39" t="s">
        <v>673</v>
      </c>
      <c r="D912" s="36" t="s">
        <v>210</v>
      </c>
      <c r="E912" s="36" t="s">
        <v>213</v>
      </c>
      <c r="F912" s="29" t="b">
        <v>1</v>
      </c>
      <c r="G912" s="36" t="s">
        <v>214</v>
      </c>
      <c r="H912" s="36" t="s">
        <v>215</v>
      </c>
      <c r="I912" s="39"/>
      <c r="J912" s="40"/>
      <c r="K912" s="37" t="s">
        <v>194</v>
      </c>
      <c r="L912" s="37" t="s">
        <v>194</v>
      </c>
      <c r="M912" s="37" t="s">
        <v>194</v>
      </c>
      <c r="N912" s="37" t="s">
        <v>194</v>
      </c>
      <c r="O912" s="37" t="s">
        <v>223</v>
      </c>
      <c r="P912" s="37" t="s">
        <v>224</v>
      </c>
      <c r="Q912" s="41">
        <v>46218.0</v>
      </c>
      <c r="R912" s="42">
        <v>3.0</v>
      </c>
      <c r="S912" s="44"/>
      <c r="T912" s="37" t="s">
        <v>4</v>
      </c>
      <c r="U912" s="45" t="str">
        <f>IF(records_2[Type]="Room",records_2[roomNo],records_2[roomNo]&amp;"-"&amp;SUBSTITUTE(RIGHT(records_2[roomNo]&amp;records_2[Type],2),"-",""))</f>
        <v>12-2-060</v>
      </c>
      <c r="V912" s="47" t="str">
        <f t="array" ref="V912">_xlfn.XLOOKUP(records_2[ID], dAir[roomNo], dAir[roomName])</f>
        <v>DISPENSING 1</v>
      </c>
      <c r="W912" s="47" t="str">
        <f t="array" ref="W912">_xlfn.XLOOKUP(records_2[ID], dAir[roomNo], dAir[building])</f>
        <v>Building 12</v>
      </c>
      <c r="X912" s="47" t="str">
        <f t="array" ref="X912">_xlfn.XLOOKUP(records_2[ID], dAir[roomNo], dAir[floor])</f>
        <v>Floor 2</v>
      </c>
      <c r="Y912" s="45" t="str">
        <f t="array" ref="Y912">_xlfn.XLOOKUP(records_2[ID], dAir[roomNo], dAir[Class])</f>
        <v>D</v>
      </c>
      <c r="Z912" s="45">
        <f t="array" ref="Z912">_xlfn.XLOOKUP(records_2[Method]&amp;"-"&amp;records_2[Class], dAirSpec[ID], dAirSpec[Spec])</f>
        <v>100</v>
      </c>
      <c r="AA912" s="45" t="str">
        <f t="array" ref="AA912">_xlfn.XLOOKUP(records_2[Method]&amp;"-"&amp;records_2[Class], dAirSpec[ID], dAirSpec[Unit])</f>
        <v>cfu/plate</v>
      </c>
      <c r="AB912" s="58">
        <f t="array" ref="AB912">if(R912="","", if(records_2[Method]="Active Air",_xlfn.xlookup(records_2[ColonyCount]&amp;records_2[AirSampler],feller[code],feller[Vc]),records_2[ColonyCount]))</f>
        <v>3</v>
      </c>
      <c r="AC912" s="60" t="b">
        <f t="shared" si="1"/>
        <v>1</v>
      </c>
      <c r="AD912" s="61" t="b">
        <v>0</v>
      </c>
      <c r="AE912" s="32" t="s">
        <v>280</v>
      </c>
      <c r="AF912" s="46"/>
      <c r="AG912" s="46"/>
      <c r="AH912" s="46"/>
      <c r="AI912" s="46"/>
      <c r="AJ912" s="46"/>
    </row>
    <row r="913" ht="22.5" customHeight="1">
      <c r="A913" s="27">
        <v>46172.0</v>
      </c>
      <c r="B913" s="34" t="str">
        <f t="array" ref="B913">TEXT(A913, "MM-YYYY")</f>
        <v>05-2026</v>
      </c>
      <c r="C913" s="39" t="s">
        <v>673</v>
      </c>
      <c r="D913" s="36" t="s">
        <v>680</v>
      </c>
      <c r="E913" s="36" t="s">
        <v>213</v>
      </c>
      <c r="F913" s="29" t="b">
        <v>1</v>
      </c>
      <c r="G913" s="36" t="s">
        <v>214</v>
      </c>
      <c r="H913" s="36" t="s">
        <v>215</v>
      </c>
      <c r="I913" s="39"/>
      <c r="J913" s="40"/>
      <c r="K913" s="37" t="s">
        <v>194</v>
      </c>
      <c r="L913" s="37" t="s">
        <v>194</v>
      </c>
      <c r="M913" s="37" t="s">
        <v>194</v>
      </c>
      <c r="N913" s="37" t="s">
        <v>194</v>
      </c>
      <c r="O913" s="37" t="s">
        <v>223</v>
      </c>
      <c r="P913" s="37" t="s">
        <v>224</v>
      </c>
      <c r="Q913" s="41">
        <v>46218.0</v>
      </c>
      <c r="R913" s="42">
        <v>3.0</v>
      </c>
      <c r="S913" s="44"/>
      <c r="T913" s="37" t="s">
        <v>4</v>
      </c>
      <c r="U913" s="45" t="str">
        <f>IF(records_2[Type]="Room",records_2[roomNo],records_2[roomNo]&amp;"-"&amp;SUBSTITUTE(RIGHT(records_2[roomNo]&amp;records_2[Type],2),"-",""))</f>
        <v>12-2-060-B</v>
      </c>
      <c r="V913" s="47" t="str">
        <f t="array" ref="V913">_xlfn.XLOOKUP(records_2[ID], dAir[roomNo], dAir[roomName])</f>
        <v>DISPENSING 1 (Booth)</v>
      </c>
      <c r="W913" s="47" t="str">
        <f t="array" ref="W913">_xlfn.XLOOKUP(records_2[ID], dAir[roomNo], dAir[building])</f>
        <v>Building 12</v>
      </c>
      <c r="X913" s="47" t="str">
        <f t="array" ref="X913">_xlfn.XLOOKUP(records_2[ID], dAir[roomNo], dAir[floor])</f>
        <v>Floor 2</v>
      </c>
      <c r="Y913" s="45" t="str">
        <f t="array" ref="Y913">_xlfn.XLOOKUP(records_2[ID], dAir[roomNo], dAir[Class])</f>
        <v>D</v>
      </c>
      <c r="Z913" s="45">
        <f t="array" ref="Z913">_xlfn.XLOOKUP(records_2[Method]&amp;"-"&amp;records_2[Class], dAirSpec[ID], dAirSpec[Spec])</f>
        <v>100</v>
      </c>
      <c r="AA913" s="45" t="str">
        <f t="array" ref="AA913">_xlfn.XLOOKUP(records_2[Method]&amp;"-"&amp;records_2[Class], dAirSpec[ID], dAirSpec[Unit])</f>
        <v>cfu/plate</v>
      </c>
      <c r="AB913" s="58">
        <f t="array" ref="AB913">if(R913="","", if(records_2[Method]="Active Air",_xlfn.xlookup(records_2[ColonyCount]&amp;records_2[AirSampler],feller[code],feller[Vc]),records_2[ColonyCount]))</f>
        <v>3</v>
      </c>
      <c r="AC913" s="60" t="b">
        <f t="shared" si="1"/>
        <v>1</v>
      </c>
      <c r="AD913" s="61" t="b">
        <v>0</v>
      </c>
      <c r="AE913" s="32" t="s">
        <v>280</v>
      </c>
      <c r="AF913" s="46"/>
      <c r="AG913" s="46"/>
      <c r="AH913" s="46"/>
      <c r="AI913" s="46"/>
      <c r="AJ913" s="46"/>
    </row>
    <row r="914" ht="22.5" customHeight="1">
      <c r="A914" s="27">
        <v>46172.0</v>
      </c>
      <c r="B914" s="34" t="str">
        <f t="array" ref="B914">TEXT(A914, "MM-YYYY")</f>
        <v>05-2026</v>
      </c>
      <c r="C914" s="39" t="s">
        <v>689</v>
      </c>
      <c r="D914" s="36" t="s">
        <v>210</v>
      </c>
      <c r="E914" s="36" t="s">
        <v>213</v>
      </c>
      <c r="F914" s="29" t="b">
        <v>1</v>
      </c>
      <c r="G914" s="36" t="s">
        <v>214</v>
      </c>
      <c r="H914" s="36" t="s">
        <v>215</v>
      </c>
      <c r="I914" s="39"/>
      <c r="J914" s="40"/>
      <c r="K914" s="37" t="s">
        <v>194</v>
      </c>
      <c r="L914" s="37" t="s">
        <v>194</v>
      </c>
      <c r="M914" s="37" t="s">
        <v>194</v>
      </c>
      <c r="N914" s="37" t="s">
        <v>194</v>
      </c>
      <c r="O914" s="37" t="s">
        <v>223</v>
      </c>
      <c r="P914" s="37" t="s">
        <v>224</v>
      </c>
      <c r="Q914" s="41">
        <v>46218.0</v>
      </c>
      <c r="R914" s="42">
        <v>4.0</v>
      </c>
      <c r="S914" s="44"/>
      <c r="T914" s="37" t="s">
        <v>4</v>
      </c>
      <c r="U914" s="45" t="str">
        <f>IF(records_2[Type]="Room",records_2[roomNo],records_2[roomNo]&amp;"-"&amp;SUBSTITUTE(RIGHT(records_2[roomNo]&amp;records_2[Type],2),"-",""))</f>
        <v>12-2-061</v>
      </c>
      <c r="V914" s="47" t="str">
        <f t="array" ref="V914">_xlfn.XLOOKUP(records_2[ID], dAir[roomNo], dAir[roomName])</f>
        <v>DISPENSING 2</v>
      </c>
      <c r="W914" s="47" t="str">
        <f t="array" ref="W914">_xlfn.XLOOKUP(records_2[ID], dAir[roomNo], dAir[building])</f>
        <v>Building 12</v>
      </c>
      <c r="X914" s="47" t="str">
        <f t="array" ref="X914">_xlfn.XLOOKUP(records_2[ID], dAir[roomNo], dAir[floor])</f>
        <v>Floor 2</v>
      </c>
      <c r="Y914" s="45" t="str">
        <f t="array" ref="Y914">_xlfn.XLOOKUP(records_2[ID], dAir[roomNo], dAir[Class])</f>
        <v>D</v>
      </c>
      <c r="Z914" s="45">
        <f t="array" ref="Z914">_xlfn.XLOOKUP(records_2[Method]&amp;"-"&amp;records_2[Class], dAirSpec[ID], dAirSpec[Spec])</f>
        <v>100</v>
      </c>
      <c r="AA914" s="45" t="str">
        <f t="array" ref="AA914">_xlfn.XLOOKUP(records_2[Method]&amp;"-"&amp;records_2[Class], dAirSpec[ID], dAirSpec[Unit])</f>
        <v>cfu/plate</v>
      </c>
      <c r="AB914" s="58">
        <f t="array" ref="AB914">if(R914="","", if(records_2[Method]="Active Air",_xlfn.xlookup(records_2[ColonyCount]&amp;records_2[AirSampler],feller[code],feller[Vc]),records_2[ColonyCount]))</f>
        <v>4</v>
      </c>
      <c r="AC914" s="60" t="b">
        <f t="shared" si="1"/>
        <v>1</v>
      </c>
      <c r="AD914" s="61" t="b">
        <v>0</v>
      </c>
      <c r="AE914" s="32" t="s">
        <v>280</v>
      </c>
      <c r="AF914" s="46"/>
      <c r="AG914" s="46"/>
      <c r="AH914" s="46"/>
      <c r="AI914" s="46"/>
      <c r="AJ914" s="46"/>
    </row>
    <row r="915" ht="22.5" customHeight="1">
      <c r="A915" s="27">
        <v>46172.0</v>
      </c>
      <c r="B915" s="34" t="str">
        <f t="array" ref="B915">TEXT(A915, "MM-YYYY")</f>
        <v>05-2026</v>
      </c>
      <c r="C915" s="39" t="s">
        <v>689</v>
      </c>
      <c r="D915" s="36" t="s">
        <v>680</v>
      </c>
      <c r="E915" s="36" t="s">
        <v>213</v>
      </c>
      <c r="F915" s="29" t="b">
        <v>1</v>
      </c>
      <c r="G915" s="36" t="s">
        <v>214</v>
      </c>
      <c r="H915" s="36" t="s">
        <v>215</v>
      </c>
      <c r="I915" s="39"/>
      <c r="J915" s="40"/>
      <c r="K915" s="37" t="s">
        <v>194</v>
      </c>
      <c r="L915" s="37" t="s">
        <v>194</v>
      </c>
      <c r="M915" s="37" t="s">
        <v>194</v>
      </c>
      <c r="N915" s="37" t="s">
        <v>194</v>
      </c>
      <c r="O915" s="37" t="s">
        <v>223</v>
      </c>
      <c r="P915" s="37" t="s">
        <v>224</v>
      </c>
      <c r="Q915" s="41">
        <v>46218.0</v>
      </c>
      <c r="R915" s="42">
        <v>0.0</v>
      </c>
      <c r="S915" s="44"/>
      <c r="T915" s="37" t="s">
        <v>4</v>
      </c>
      <c r="U915" s="45" t="str">
        <f>IF(records_2[Type]="Room",records_2[roomNo],records_2[roomNo]&amp;"-"&amp;SUBSTITUTE(RIGHT(records_2[roomNo]&amp;records_2[Type],2),"-",""))</f>
        <v>12-2-061-B</v>
      </c>
      <c r="V915" s="47" t="str">
        <f t="array" ref="V915">_xlfn.XLOOKUP(records_2[ID], dAir[roomNo], dAir[roomName])</f>
        <v>DISPENSING 2 (Booth)</v>
      </c>
      <c r="W915" s="47" t="str">
        <f t="array" ref="W915">_xlfn.XLOOKUP(records_2[ID], dAir[roomNo], dAir[building])</f>
        <v>Building 12</v>
      </c>
      <c r="X915" s="47" t="str">
        <f t="array" ref="X915">_xlfn.XLOOKUP(records_2[ID], dAir[roomNo], dAir[floor])</f>
        <v>Floor 2</v>
      </c>
      <c r="Y915" s="45" t="str">
        <f t="array" ref="Y915">_xlfn.XLOOKUP(records_2[ID], dAir[roomNo], dAir[Class])</f>
        <v>D</v>
      </c>
      <c r="Z915" s="45">
        <f t="array" ref="Z915">_xlfn.XLOOKUP(records_2[Method]&amp;"-"&amp;records_2[Class], dAirSpec[ID], dAirSpec[Spec])</f>
        <v>100</v>
      </c>
      <c r="AA915" s="45" t="str">
        <f t="array" ref="AA915">_xlfn.XLOOKUP(records_2[Method]&amp;"-"&amp;records_2[Class], dAirSpec[ID], dAirSpec[Unit])</f>
        <v>cfu/plate</v>
      </c>
      <c r="AB915" s="58">
        <f t="array" ref="AB915">if(R915="","", if(records_2[Method]="Active Air",_xlfn.xlookup(records_2[ColonyCount]&amp;records_2[AirSampler],feller[code],feller[Vc]),records_2[ColonyCount]))</f>
        <v>0</v>
      </c>
      <c r="AC915" s="60" t="b">
        <f t="shared" si="1"/>
        <v>1</v>
      </c>
      <c r="AD915" s="61" t="b">
        <v>0</v>
      </c>
      <c r="AE915" s="32" t="s">
        <v>280</v>
      </c>
      <c r="AF915" s="46"/>
      <c r="AG915" s="46"/>
      <c r="AH915" s="46"/>
      <c r="AI915" s="46"/>
      <c r="AJ915" s="46"/>
    </row>
    <row r="916" ht="22.5" customHeight="1">
      <c r="A916" s="27">
        <v>46172.0</v>
      </c>
      <c r="B916" s="34" t="str">
        <f t="array" ref="B916">TEXT(A916, "MM-YYYY")</f>
        <v>05-2026</v>
      </c>
      <c r="C916" s="39" t="s">
        <v>704</v>
      </c>
      <c r="D916" s="36" t="s">
        <v>210</v>
      </c>
      <c r="E916" s="36" t="s">
        <v>213</v>
      </c>
      <c r="F916" s="29" t="b">
        <v>1</v>
      </c>
      <c r="G916" s="36" t="s">
        <v>214</v>
      </c>
      <c r="H916" s="36" t="s">
        <v>215</v>
      </c>
      <c r="I916" s="39"/>
      <c r="J916" s="40"/>
      <c r="K916" s="37" t="s">
        <v>194</v>
      </c>
      <c r="L916" s="37" t="s">
        <v>194</v>
      </c>
      <c r="M916" s="37" t="s">
        <v>194</v>
      </c>
      <c r="N916" s="37" t="s">
        <v>194</v>
      </c>
      <c r="O916" s="37" t="s">
        <v>223</v>
      </c>
      <c r="P916" s="37" t="s">
        <v>224</v>
      </c>
      <c r="Q916" s="41">
        <v>46218.0</v>
      </c>
      <c r="R916" s="42">
        <v>1.0</v>
      </c>
      <c r="S916" s="44"/>
      <c r="T916" s="37" t="s">
        <v>4</v>
      </c>
      <c r="U916" s="45" t="str">
        <f>IF(records_2[Type]="Room",records_2[roomNo],records_2[roomNo]&amp;"-"&amp;SUBSTITUTE(RIGHT(records_2[roomNo]&amp;records_2[Type],2),"-",""))</f>
        <v>12-2-062</v>
      </c>
      <c r="V916" s="47" t="str">
        <f t="array" ref="V916">_xlfn.XLOOKUP(records_2[ID], dAir[roomNo], dAir[roomName])</f>
        <v>RM STAGING</v>
      </c>
      <c r="W916" s="47" t="str">
        <f t="array" ref="W916">_xlfn.XLOOKUP(records_2[ID], dAir[roomNo], dAir[building])</f>
        <v>Building 12</v>
      </c>
      <c r="X916" s="47" t="str">
        <f t="array" ref="X916">_xlfn.XLOOKUP(records_2[ID], dAir[roomNo], dAir[floor])</f>
        <v>Floor 2</v>
      </c>
      <c r="Y916" s="45" t="str">
        <f t="array" ref="Y916">_xlfn.XLOOKUP(records_2[ID], dAir[roomNo], dAir[Class])</f>
        <v>D</v>
      </c>
      <c r="Z916" s="45">
        <f t="array" ref="Z916">_xlfn.XLOOKUP(records_2[Method]&amp;"-"&amp;records_2[Class], dAirSpec[ID], dAirSpec[Spec])</f>
        <v>100</v>
      </c>
      <c r="AA916" s="45" t="str">
        <f t="array" ref="AA916">_xlfn.XLOOKUP(records_2[Method]&amp;"-"&amp;records_2[Class], dAirSpec[ID], dAirSpec[Unit])</f>
        <v>cfu/plate</v>
      </c>
      <c r="AB916" s="58">
        <f t="array" ref="AB916">if(R916="","", if(records_2[Method]="Active Air",_xlfn.xlookup(records_2[ColonyCount]&amp;records_2[AirSampler],feller[code],feller[Vc]),records_2[ColonyCount]))</f>
        <v>1</v>
      </c>
      <c r="AC916" s="60" t="b">
        <f t="shared" si="1"/>
        <v>1</v>
      </c>
      <c r="AD916" s="61" t="b">
        <v>0</v>
      </c>
      <c r="AE916" s="32" t="s">
        <v>280</v>
      </c>
      <c r="AF916" s="46"/>
      <c r="AG916" s="46"/>
      <c r="AH916" s="46"/>
      <c r="AI916" s="46"/>
      <c r="AJ916" s="46"/>
    </row>
    <row r="917" ht="22.5" customHeight="1">
      <c r="A917" s="27">
        <v>46172.0</v>
      </c>
      <c r="B917" s="34" t="str">
        <f t="array" ref="B917">TEXT(A917, "MM-YYYY")</f>
        <v>05-2026</v>
      </c>
      <c r="C917" s="39" t="s">
        <v>710</v>
      </c>
      <c r="D917" s="36" t="s">
        <v>210</v>
      </c>
      <c r="E917" s="36" t="s">
        <v>213</v>
      </c>
      <c r="F917" s="29" t="b">
        <v>1</v>
      </c>
      <c r="G917" s="36" t="s">
        <v>214</v>
      </c>
      <c r="H917" s="36" t="s">
        <v>215</v>
      </c>
      <c r="I917" s="39"/>
      <c r="J917" s="40"/>
      <c r="K917" s="37" t="s">
        <v>194</v>
      </c>
      <c r="L917" s="37" t="s">
        <v>194</v>
      </c>
      <c r="M917" s="37" t="s">
        <v>194</v>
      </c>
      <c r="N917" s="37" t="s">
        <v>194</v>
      </c>
      <c r="O917" s="37" t="s">
        <v>223</v>
      </c>
      <c r="P917" s="37" t="s">
        <v>224</v>
      </c>
      <c r="Q917" s="41">
        <v>46218.0</v>
      </c>
      <c r="R917" s="42">
        <v>2.0</v>
      </c>
      <c r="S917" s="44"/>
      <c r="T917" s="37" t="s">
        <v>4</v>
      </c>
      <c r="U917" s="45" t="str">
        <f>IF(records_2[Type]="Room",records_2[roomNo],records_2[roomNo]&amp;"-"&amp;SUBSTITUTE(RIGHT(records_2[roomNo]&amp;records_2[Type],2),"-",""))</f>
        <v>12-2-063</v>
      </c>
      <c r="V917" s="47" t="str">
        <f t="array" ref="V917">_xlfn.XLOOKUP(records_2[ID], dAir[roomNo], dAir[roomName])</f>
        <v>MAL</v>
      </c>
      <c r="W917" s="47" t="str">
        <f t="array" ref="W917">_xlfn.XLOOKUP(records_2[ID], dAir[roomNo], dAir[building])</f>
        <v>Building 12</v>
      </c>
      <c r="X917" s="47" t="str">
        <f t="array" ref="X917">_xlfn.XLOOKUP(records_2[ID], dAir[roomNo], dAir[floor])</f>
        <v>Floor 2</v>
      </c>
      <c r="Y917" s="45" t="str">
        <f t="array" ref="Y917">_xlfn.XLOOKUP(records_2[ID], dAir[roomNo], dAir[Class])</f>
        <v>D</v>
      </c>
      <c r="Z917" s="45">
        <f t="array" ref="Z917">_xlfn.XLOOKUP(records_2[Method]&amp;"-"&amp;records_2[Class], dAirSpec[ID], dAirSpec[Spec])</f>
        <v>100</v>
      </c>
      <c r="AA917" s="45" t="str">
        <f t="array" ref="AA917">_xlfn.XLOOKUP(records_2[Method]&amp;"-"&amp;records_2[Class], dAirSpec[ID], dAirSpec[Unit])</f>
        <v>cfu/plate</v>
      </c>
      <c r="AB917" s="58">
        <f t="array" ref="AB917">if(R917="","", if(records_2[Method]="Active Air",_xlfn.xlookup(records_2[ColonyCount]&amp;records_2[AirSampler],feller[code],feller[Vc]),records_2[ColonyCount]))</f>
        <v>2</v>
      </c>
      <c r="AC917" s="60" t="b">
        <f t="shared" si="1"/>
        <v>1</v>
      </c>
      <c r="AD917" s="61" t="b">
        <v>0</v>
      </c>
      <c r="AE917" s="32" t="s">
        <v>280</v>
      </c>
      <c r="AF917" s="46"/>
      <c r="AG917" s="46"/>
      <c r="AH917" s="46"/>
      <c r="AI917" s="46"/>
      <c r="AJ917" s="46"/>
    </row>
    <row r="918" ht="22.5" customHeight="1">
      <c r="A918" s="27">
        <v>46172.0</v>
      </c>
      <c r="B918" s="34" t="str">
        <f t="array" ref="B918">TEXT(A918, "MM-YYYY")</f>
        <v>05-2026</v>
      </c>
      <c r="C918" s="39" t="s">
        <v>714</v>
      </c>
      <c r="D918" s="36" t="s">
        <v>210</v>
      </c>
      <c r="E918" s="36" t="s">
        <v>213</v>
      </c>
      <c r="F918" s="29" t="b">
        <v>1</v>
      </c>
      <c r="G918" s="36" t="s">
        <v>214</v>
      </c>
      <c r="H918" s="36" t="s">
        <v>215</v>
      </c>
      <c r="I918" s="39"/>
      <c r="J918" s="40"/>
      <c r="K918" s="37" t="s">
        <v>194</v>
      </c>
      <c r="L918" s="37" t="s">
        <v>194</v>
      </c>
      <c r="M918" s="37" t="s">
        <v>194</v>
      </c>
      <c r="N918" s="37" t="s">
        <v>194</v>
      </c>
      <c r="O918" s="37" t="s">
        <v>223</v>
      </c>
      <c r="P918" s="37" t="s">
        <v>224</v>
      </c>
      <c r="Q918" s="41">
        <v>46218.0</v>
      </c>
      <c r="R918" s="42">
        <v>0.0</v>
      </c>
      <c r="S918" s="44"/>
      <c r="T918" s="37" t="s">
        <v>4</v>
      </c>
      <c r="U918" s="45" t="str">
        <f>IF(records_2[Type]="Room",records_2[roomNo],records_2[roomNo]&amp;"-"&amp;SUBSTITUTE(RIGHT(records_2[roomNo]&amp;records_2[Type],2),"-",""))</f>
        <v>12-2-064</v>
      </c>
      <c r="V918" s="47" t="str">
        <f t="array" ref="V918">_xlfn.XLOOKUP(records_2[ID], dAir[roomNo], dAir[roomName])</f>
        <v>CORRIDOR</v>
      </c>
      <c r="W918" s="47" t="str">
        <f t="array" ref="W918">_xlfn.XLOOKUP(records_2[ID], dAir[roomNo], dAir[building])</f>
        <v>Building 12</v>
      </c>
      <c r="X918" s="47" t="str">
        <f t="array" ref="X918">_xlfn.XLOOKUP(records_2[ID], dAir[roomNo], dAir[floor])</f>
        <v>Floor 2</v>
      </c>
      <c r="Y918" s="45" t="str">
        <f t="array" ref="Y918">_xlfn.XLOOKUP(records_2[ID], dAir[roomNo], dAir[Class])</f>
        <v>D</v>
      </c>
      <c r="Z918" s="45">
        <f t="array" ref="Z918">_xlfn.XLOOKUP(records_2[Method]&amp;"-"&amp;records_2[Class], dAirSpec[ID], dAirSpec[Spec])</f>
        <v>100</v>
      </c>
      <c r="AA918" s="45" t="str">
        <f t="array" ref="AA918">_xlfn.XLOOKUP(records_2[Method]&amp;"-"&amp;records_2[Class], dAirSpec[ID], dAirSpec[Unit])</f>
        <v>cfu/plate</v>
      </c>
      <c r="AB918" s="58">
        <f t="array" ref="AB918">if(R918="","", if(records_2[Method]="Active Air",_xlfn.xlookup(records_2[ColonyCount]&amp;records_2[AirSampler],feller[code],feller[Vc]),records_2[ColonyCount]))</f>
        <v>0</v>
      </c>
      <c r="AC918" s="60" t="b">
        <f t="shared" si="1"/>
        <v>1</v>
      </c>
      <c r="AD918" s="61" t="b">
        <v>0</v>
      </c>
      <c r="AE918" s="32" t="s">
        <v>280</v>
      </c>
      <c r="AF918" s="46"/>
      <c r="AG918" s="46"/>
      <c r="AH918" s="46"/>
      <c r="AI918" s="46"/>
      <c r="AJ918" s="46"/>
    </row>
    <row r="919" ht="22.5" customHeight="1">
      <c r="A919" s="27">
        <v>46172.0</v>
      </c>
      <c r="B919" s="34" t="str">
        <f t="array" ref="B919">TEXT(A919, "MM-YYYY")</f>
        <v>05-2026</v>
      </c>
      <c r="C919" s="39" t="s">
        <v>719</v>
      </c>
      <c r="D919" s="36" t="s">
        <v>210</v>
      </c>
      <c r="E919" s="36" t="s">
        <v>213</v>
      </c>
      <c r="F919" s="29" t="b">
        <v>1</v>
      </c>
      <c r="G919" s="36" t="s">
        <v>214</v>
      </c>
      <c r="H919" s="36" t="s">
        <v>215</v>
      </c>
      <c r="I919" s="39"/>
      <c r="J919" s="40"/>
      <c r="K919" s="37" t="s">
        <v>194</v>
      </c>
      <c r="L919" s="37" t="s">
        <v>194</v>
      </c>
      <c r="M919" s="37" t="s">
        <v>194</v>
      </c>
      <c r="N919" s="37" t="s">
        <v>194</v>
      </c>
      <c r="O919" s="37" t="s">
        <v>223</v>
      </c>
      <c r="P919" s="37" t="s">
        <v>224</v>
      </c>
      <c r="Q919" s="41">
        <v>46218.0</v>
      </c>
      <c r="R919" s="42">
        <v>0.0</v>
      </c>
      <c r="S919" s="44"/>
      <c r="T919" s="37" t="s">
        <v>4</v>
      </c>
      <c r="U919" s="45" t="str">
        <f>IF(records_2[Type]="Room",records_2[roomNo],records_2[roomNo]&amp;"-"&amp;SUBSTITUTE(RIGHT(records_2[roomNo]&amp;records_2[Type],2),"-",""))</f>
        <v>12-2-065</v>
      </c>
      <c r="V919" s="47" t="str">
        <f t="array" ref="V919">_xlfn.XLOOKUP(records_2[ID], dAir[roomNo], dAir[roomName])</f>
        <v>WASHING</v>
      </c>
      <c r="W919" s="47" t="str">
        <f t="array" ref="W919">_xlfn.XLOOKUP(records_2[ID], dAir[roomNo], dAir[building])</f>
        <v>Building 12</v>
      </c>
      <c r="X919" s="47" t="str">
        <f t="array" ref="X919">_xlfn.XLOOKUP(records_2[ID], dAir[roomNo], dAir[floor])</f>
        <v>Floor 2</v>
      </c>
      <c r="Y919" s="45" t="str">
        <f t="array" ref="Y919">_xlfn.XLOOKUP(records_2[ID], dAir[roomNo], dAir[Class])</f>
        <v>D</v>
      </c>
      <c r="Z919" s="45">
        <f t="array" ref="Z919">_xlfn.XLOOKUP(records_2[Method]&amp;"-"&amp;records_2[Class], dAirSpec[ID], dAirSpec[Spec])</f>
        <v>100</v>
      </c>
      <c r="AA919" s="45" t="str">
        <f t="array" ref="AA919">_xlfn.XLOOKUP(records_2[Method]&amp;"-"&amp;records_2[Class], dAirSpec[ID], dAirSpec[Unit])</f>
        <v>cfu/plate</v>
      </c>
      <c r="AB919" s="58">
        <f t="array" ref="AB919">if(R919="","", if(records_2[Method]="Active Air",_xlfn.xlookup(records_2[ColonyCount]&amp;records_2[AirSampler],feller[code],feller[Vc]),records_2[ColonyCount]))</f>
        <v>0</v>
      </c>
      <c r="AC919" s="60" t="b">
        <f t="shared" si="1"/>
        <v>1</v>
      </c>
      <c r="AD919" s="61" t="b">
        <v>0</v>
      </c>
      <c r="AE919" s="32" t="s">
        <v>280</v>
      </c>
      <c r="AF919" s="46"/>
      <c r="AG919" s="46"/>
      <c r="AH919" s="46"/>
      <c r="AI919" s="46"/>
      <c r="AJ919" s="46"/>
    </row>
    <row r="920" ht="22.5" customHeight="1">
      <c r="A920" s="27">
        <v>46172.0</v>
      </c>
      <c r="B920" s="34" t="str">
        <f t="array" ref="B920">TEXT(A920, "MM-YYYY")</f>
        <v>05-2026</v>
      </c>
      <c r="C920" s="39" t="s">
        <v>725</v>
      </c>
      <c r="D920" s="36" t="s">
        <v>210</v>
      </c>
      <c r="E920" s="36" t="s">
        <v>213</v>
      </c>
      <c r="F920" s="29" t="b">
        <v>1</v>
      </c>
      <c r="G920" s="36" t="s">
        <v>214</v>
      </c>
      <c r="H920" s="36" t="s">
        <v>215</v>
      </c>
      <c r="I920" s="39"/>
      <c r="J920" s="40"/>
      <c r="K920" s="37" t="s">
        <v>194</v>
      </c>
      <c r="L920" s="37" t="s">
        <v>194</v>
      </c>
      <c r="M920" s="37" t="s">
        <v>194</v>
      </c>
      <c r="N920" s="37" t="s">
        <v>194</v>
      </c>
      <c r="O920" s="37" t="s">
        <v>223</v>
      </c>
      <c r="P920" s="37" t="s">
        <v>224</v>
      </c>
      <c r="Q920" s="41">
        <v>46218.0</v>
      </c>
      <c r="R920" s="42">
        <v>2.0</v>
      </c>
      <c r="S920" s="44"/>
      <c r="T920" s="37" t="s">
        <v>4</v>
      </c>
      <c r="U920" s="45" t="str">
        <f>IF(records_2[Type]="Room",records_2[roomNo],records_2[roomNo]&amp;"-"&amp;SUBSTITUTE(RIGHT(records_2[roomNo]&amp;records_2[Type],2),"-",""))</f>
        <v>12-2-066</v>
      </c>
      <c r="V920" s="47" t="str">
        <f t="array" ref="V920">_xlfn.XLOOKUP(records_2[ID], dAir[roomNo], dAir[roomName])</f>
        <v>DRYING</v>
      </c>
      <c r="W920" s="47" t="str">
        <f t="array" ref="W920">_xlfn.XLOOKUP(records_2[ID], dAir[roomNo], dAir[building])</f>
        <v>Building 12</v>
      </c>
      <c r="X920" s="47" t="str">
        <f t="array" ref="X920">_xlfn.XLOOKUP(records_2[ID], dAir[roomNo], dAir[floor])</f>
        <v>Floor 2</v>
      </c>
      <c r="Y920" s="45" t="str">
        <f t="array" ref="Y920">_xlfn.XLOOKUP(records_2[ID], dAir[roomNo], dAir[Class])</f>
        <v>D</v>
      </c>
      <c r="Z920" s="45">
        <f t="array" ref="Z920">_xlfn.XLOOKUP(records_2[Method]&amp;"-"&amp;records_2[Class], dAirSpec[ID], dAirSpec[Spec])</f>
        <v>100</v>
      </c>
      <c r="AA920" s="45" t="str">
        <f t="array" ref="AA920">_xlfn.XLOOKUP(records_2[Method]&amp;"-"&amp;records_2[Class], dAirSpec[ID], dAirSpec[Unit])</f>
        <v>cfu/plate</v>
      </c>
      <c r="AB920" s="58">
        <f t="array" ref="AB920">if(R920="","", if(records_2[Method]="Active Air",_xlfn.xlookup(records_2[ColonyCount]&amp;records_2[AirSampler],feller[code],feller[Vc]),records_2[ColonyCount]))</f>
        <v>2</v>
      </c>
      <c r="AC920" s="60" t="b">
        <f t="shared" si="1"/>
        <v>1</v>
      </c>
      <c r="AD920" s="61" t="b">
        <v>0</v>
      </c>
      <c r="AE920" s="32" t="s">
        <v>280</v>
      </c>
      <c r="AF920" s="46"/>
      <c r="AG920" s="46"/>
      <c r="AH920" s="46"/>
      <c r="AI920" s="46"/>
      <c r="AJ920" s="46"/>
    </row>
    <row r="921" ht="22.5" customHeight="1">
      <c r="A921" s="27">
        <v>46172.0</v>
      </c>
      <c r="B921" s="34" t="str">
        <f t="array" ref="B921">TEXT(A921, "MM-YYYY")</f>
        <v>05-2026</v>
      </c>
      <c r="C921" s="39" t="s">
        <v>728</v>
      </c>
      <c r="D921" s="36" t="s">
        <v>210</v>
      </c>
      <c r="E921" s="36" t="s">
        <v>213</v>
      </c>
      <c r="F921" s="29" t="b">
        <v>1</v>
      </c>
      <c r="G921" s="36" t="s">
        <v>214</v>
      </c>
      <c r="H921" s="36" t="s">
        <v>215</v>
      </c>
      <c r="I921" s="39"/>
      <c r="J921" s="40"/>
      <c r="K921" s="37" t="s">
        <v>194</v>
      </c>
      <c r="L921" s="37" t="s">
        <v>194</v>
      </c>
      <c r="M921" s="37" t="s">
        <v>194</v>
      </c>
      <c r="N921" s="37" t="s">
        <v>194</v>
      </c>
      <c r="O921" s="37" t="s">
        <v>223</v>
      </c>
      <c r="P921" s="37" t="s">
        <v>224</v>
      </c>
      <c r="Q921" s="41">
        <v>46218.0</v>
      </c>
      <c r="R921" s="42">
        <v>0.0</v>
      </c>
      <c r="S921" s="44"/>
      <c r="T921" s="37" t="s">
        <v>4</v>
      </c>
      <c r="U921" s="45" t="str">
        <f>IF(records_2[Type]="Room",records_2[roomNo],records_2[roomNo]&amp;"-"&amp;SUBSTITUTE(RIGHT(records_2[roomNo]&amp;records_2[Type],2),"-",""))</f>
        <v>12-2-067</v>
      </c>
      <c r="V921" s="47" t="str">
        <f t="array" ref="V921">_xlfn.XLOOKUP(records_2[ID], dAir[roomNo], dAir[roomName])</f>
        <v>CLEANED EQUIPMENT</v>
      </c>
      <c r="W921" s="47" t="str">
        <f t="array" ref="W921">_xlfn.XLOOKUP(records_2[ID], dAir[roomNo], dAir[building])</f>
        <v>Building 12</v>
      </c>
      <c r="X921" s="47" t="str">
        <f t="array" ref="X921">_xlfn.XLOOKUP(records_2[ID], dAir[roomNo], dAir[floor])</f>
        <v>Floor 2</v>
      </c>
      <c r="Y921" s="45" t="str">
        <f t="array" ref="Y921">_xlfn.XLOOKUP(records_2[ID], dAir[roomNo], dAir[Class])</f>
        <v>D</v>
      </c>
      <c r="Z921" s="45">
        <f t="array" ref="Z921">_xlfn.XLOOKUP(records_2[Method]&amp;"-"&amp;records_2[Class], dAirSpec[ID], dAirSpec[Spec])</f>
        <v>100</v>
      </c>
      <c r="AA921" s="45" t="str">
        <f t="array" ref="AA921">_xlfn.XLOOKUP(records_2[Method]&amp;"-"&amp;records_2[Class], dAirSpec[ID], dAirSpec[Unit])</f>
        <v>cfu/plate</v>
      </c>
      <c r="AB921" s="58">
        <f t="array" ref="AB921">if(R921="","", if(records_2[Method]="Active Air",_xlfn.xlookup(records_2[ColonyCount]&amp;records_2[AirSampler],feller[code],feller[Vc]),records_2[ColonyCount]))</f>
        <v>0</v>
      </c>
      <c r="AC921" s="60" t="b">
        <f t="shared" si="1"/>
        <v>1</v>
      </c>
      <c r="AD921" s="61" t="b">
        <v>0</v>
      </c>
      <c r="AE921" s="32" t="s">
        <v>280</v>
      </c>
      <c r="AF921" s="46"/>
      <c r="AG921" s="46"/>
      <c r="AH921" s="46"/>
      <c r="AI921" s="46"/>
      <c r="AJ921" s="46"/>
    </row>
    <row r="922" ht="22.5" customHeight="1">
      <c r="A922" s="27">
        <v>46172.0</v>
      </c>
      <c r="B922" s="34" t="str">
        <f t="array" ref="B922">TEXT(A922, "MM-YYYY")</f>
        <v>05-2026</v>
      </c>
      <c r="C922" s="39" t="s">
        <v>735</v>
      </c>
      <c r="D922" s="36" t="s">
        <v>210</v>
      </c>
      <c r="E922" s="36" t="s">
        <v>213</v>
      </c>
      <c r="F922" s="29" t="b">
        <v>1</v>
      </c>
      <c r="G922" s="36" t="s">
        <v>214</v>
      </c>
      <c r="H922" s="36" t="s">
        <v>215</v>
      </c>
      <c r="I922" s="39"/>
      <c r="J922" s="40"/>
      <c r="K922" s="37" t="s">
        <v>194</v>
      </c>
      <c r="L922" s="37" t="s">
        <v>194</v>
      </c>
      <c r="M922" s="37" t="s">
        <v>194</v>
      </c>
      <c r="N922" s="37" t="s">
        <v>194</v>
      </c>
      <c r="O922" s="37" t="s">
        <v>223</v>
      </c>
      <c r="P922" s="37" t="s">
        <v>224</v>
      </c>
      <c r="Q922" s="41">
        <v>46218.0</v>
      </c>
      <c r="R922" s="42">
        <v>5.0</v>
      </c>
      <c r="S922" s="44"/>
      <c r="T922" s="37" t="s">
        <v>4</v>
      </c>
      <c r="U922" s="45" t="str">
        <f>IF(records_2[Type]="Room",records_2[roomNo],records_2[roomNo]&amp;"-"&amp;SUBSTITUTE(RIGHT(records_2[roomNo]&amp;records_2[Type],2),"-",""))</f>
        <v>12-2-068</v>
      </c>
      <c r="V922" s="47" t="str">
        <f t="array" ref="V922">_xlfn.XLOOKUP(records_2[ID], dAir[roomNo], dAir[roomName])</f>
        <v>JANITOR</v>
      </c>
      <c r="W922" s="47" t="str">
        <f t="array" ref="W922">_xlfn.XLOOKUP(records_2[ID], dAir[roomNo], dAir[building])</f>
        <v>Building 12</v>
      </c>
      <c r="X922" s="47" t="str">
        <f t="array" ref="X922">_xlfn.XLOOKUP(records_2[ID], dAir[roomNo], dAir[floor])</f>
        <v>Floor 2</v>
      </c>
      <c r="Y922" s="45" t="str">
        <f t="array" ref="Y922">_xlfn.XLOOKUP(records_2[ID], dAir[roomNo], dAir[Class])</f>
        <v>D</v>
      </c>
      <c r="Z922" s="45">
        <f t="array" ref="Z922">_xlfn.XLOOKUP(records_2[Method]&amp;"-"&amp;records_2[Class], dAirSpec[ID], dAirSpec[Spec])</f>
        <v>100</v>
      </c>
      <c r="AA922" s="45" t="str">
        <f t="array" ref="AA922">_xlfn.XLOOKUP(records_2[Method]&amp;"-"&amp;records_2[Class], dAirSpec[ID], dAirSpec[Unit])</f>
        <v>cfu/plate</v>
      </c>
      <c r="AB922" s="58">
        <f t="array" ref="AB922">if(R922="","", if(records_2[Method]="Active Air",_xlfn.xlookup(records_2[ColonyCount]&amp;records_2[AirSampler],feller[code],feller[Vc]),records_2[ColonyCount]))</f>
        <v>5</v>
      </c>
      <c r="AC922" s="60" t="b">
        <f t="shared" si="1"/>
        <v>1</v>
      </c>
      <c r="AD922" s="61" t="b">
        <v>0</v>
      </c>
      <c r="AE922" s="32" t="s">
        <v>280</v>
      </c>
      <c r="AF922" s="46"/>
      <c r="AG922" s="46"/>
      <c r="AH922" s="46"/>
      <c r="AI922" s="46"/>
      <c r="AJ922" s="46"/>
    </row>
    <row r="923" ht="22.5" customHeight="1">
      <c r="A923" s="27">
        <v>46172.0</v>
      </c>
      <c r="B923" s="34" t="str">
        <f t="array" ref="B923">TEXT(A923, "MM-YYYY")</f>
        <v>05-2026</v>
      </c>
      <c r="C923" s="39" t="s">
        <v>738</v>
      </c>
      <c r="D923" s="36" t="s">
        <v>210</v>
      </c>
      <c r="E923" s="36" t="s">
        <v>213</v>
      </c>
      <c r="F923" s="29" t="b">
        <v>1</v>
      </c>
      <c r="G923" s="36" t="s">
        <v>214</v>
      </c>
      <c r="H923" s="36" t="s">
        <v>215</v>
      </c>
      <c r="I923" s="39"/>
      <c r="J923" s="40"/>
      <c r="K923" s="37" t="s">
        <v>194</v>
      </c>
      <c r="L923" s="37" t="s">
        <v>194</v>
      </c>
      <c r="M923" s="37" t="s">
        <v>194</v>
      </c>
      <c r="N923" s="37" t="s">
        <v>194</v>
      </c>
      <c r="O923" s="37" t="s">
        <v>223</v>
      </c>
      <c r="P923" s="37" t="s">
        <v>224</v>
      </c>
      <c r="Q923" s="41">
        <v>46218.0</v>
      </c>
      <c r="R923" s="42">
        <v>1.0</v>
      </c>
      <c r="S923" s="44"/>
      <c r="T923" s="37" t="s">
        <v>4</v>
      </c>
      <c r="U923" s="45" t="str">
        <f>IF(records_2[Type]="Room",records_2[roomNo],records_2[roomNo]&amp;"-"&amp;SUBSTITUTE(RIGHT(records_2[roomNo]&amp;records_2[Type],2),"-",""))</f>
        <v>12-2-069</v>
      </c>
      <c r="V923" s="47" t="str">
        <f t="array" ref="V923">_xlfn.XLOOKUP(records_2[ID], dAir[roomNo], dAir[roomName])</f>
        <v>PRODUCTION OFFICE</v>
      </c>
      <c r="W923" s="47" t="str">
        <f t="array" ref="W923">_xlfn.XLOOKUP(records_2[ID], dAir[roomNo], dAir[building])</f>
        <v>Building 12</v>
      </c>
      <c r="X923" s="47" t="str">
        <f t="array" ref="X923">_xlfn.XLOOKUP(records_2[ID], dAir[roomNo], dAir[floor])</f>
        <v>Floor 2</v>
      </c>
      <c r="Y923" s="45" t="str">
        <f t="array" ref="Y923">_xlfn.XLOOKUP(records_2[ID], dAir[roomNo], dAir[Class])</f>
        <v>D</v>
      </c>
      <c r="Z923" s="45">
        <f t="array" ref="Z923">_xlfn.XLOOKUP(records_2[Method]&amp;"-"&amp;records_2[Class], dAirSpec[ID], dAirSpec[Spec])</f>
        <v>100</v>
      </c>
      <c r="AA923" s="45" t="str">
        <f t="array" ref="AA923">_xlfn.XLOOKUP(records_2[Method]&amp;"-"&amp;records_2[Class], dAirSpec[ID], dAirSpec[Unit])</f>
        <v>cfu/plate</v>
      </c>
      <c r="AB923" s="58">
        <f t="array" ref="AB923">if(R923="","", if(records_2[Method]="Active Air",_xlfn.xlookup(records_2[ColonyCount]&amp;records_2[AirSampler],feller[code],feller[Vc]),records_2[ColonyCount]))</f>
        <v>1</v>
      </c>
      <c r="AC923" s="60" t="b">
        <f t="shared" si="1"/>
        <v>1</v>
      </c>
      <c r="AD923" s="61" t="b">
        <v>0</v>
      </c>
      <c r="AE923" s="32" t="s">
        <v>280</v>
      </c>
      <c r="AF923" s="46"/>
      <c r="AG923" s="46"/>
      <c r="AH923" s="46"/>
      <c r="AI923" s="46"/>
      <c r="AJ923" s="46"/>
    </row>
    <row r="924" ht="22.5" customHeight="1">
      <c r="A924" s="27">
        <v>46172.0</v>
      </c>
      <c r="B924" s="34" t="str">
        <f t="array" ref="B924">TEXT(A924, "MM-YYYY")</f>
        <v>05-2026</v>
      </c>
      <c r="C924" s="39" t="s">
        <v>744</v>
      </c>
      <c r="D924" s="36" t="s">
        <v>210</v>
      </c>
      <c r="E924" s="36" t="s">
        <v>213</v>
      </c>
      <c r="F924" s="29" t="b">
        <v>1</v>
      </c>
      <c r="G924" s="36" t="s">
        <v>214</v>
      </c>
      <c r="H924" s="36" t="s">
        <v>215</v>
      </c>
      <c r="I924" s="39"/>
      <c r="J924" s="40"/>
      <c r="K924" s="37" t="s">
        <v>194</v>
      </c>
      <c r="L924" s="37" t="s">
        <v>194</v>
      </c>
      <c r="M924" s="37" t="s">
        <v>194</v>
      </c>
      <c r="N924" s="37" t="s">
        <v>194</v>
      </c>
      <c r="O924" s="37" t="s">
        <v>223</v>
      </c>
      <c r="P924" s="37" t="s">
        <v>224</v>
      </c>
      <c r="Q924" s="41">
        <v>46218.0</v>
      </c>
      <c r="R924" s="42">
        <v>0.0</v>
      </c>
      <c r="S924" s="44"/>
      <c r="T924" s="37" t="s">
        <v>4</v>
      </c>
      <c r="U924" s="45" t="str">
        <f>IF(records_2[Type]="Room",records_2[roomNo],records_2[roomNo]&amp;"-"&amp;SUBSTITUTE(RIGHT(records_2[roomNo]&amp;records_2[Type],2),"-",""))</f>
        <v>12-2-082</v>
      </c>
      <c r="V924" s="47" t="str">
        <f t="array" ref="V924">_xlfn.XLOOKUP(records_2[ID], dAir[roomNo], dAir[roomName])</f>
        <v>LINEN STORAGE</v>
      </c>
      <c r="W924" s="47" t="str">
        <f t="array" ref="W924">_xlfn.XLOOKUP(records_2[ID], dAir[roomNo], dAir[building])</f>
        <v>Building 12</v>
      </c>
      <c r="X924" s="47" t="str">
        <f t="array" ref="X924">_xlfn.XLOOKUP(records_2[ID], dAir[roomNo], dAir[floor])</f>
        <v>Floor 2</v>
      </c>
      <c r="Y924" s="45" t="str">
        <f t="array" ref="Y924">_xlfn.XLOOKUP(records_2[ID], dAir[roomNo], dAir[Class])</f>
        <v>D</v>
      </c>
      <c r="Z924" s="45">
        <f t="array" ref="Z924">_xlfn.XLOOKUP(records_2[Method]&amp;"-"&amp;records_2[Class], dAirSpec[ID], dAirSpec[Spec])</f>
        <v>100</v>
      </c>
      <c r="AA924" s="45" t="str">
        <f t="array" ref="AA924">_xlfn.XLOOKUP(records_2[Method]&amp;"-"&amp;records_2[Class], dAirSpec[ID], dAirSpec[Unit])</f>
        <v>cfu/plate</v>
      </c>
      <c r="AB924" s="58">
        <f t="array" ref="AB924">if(R924="","", if(records_2[Method]="Active Air",_xlfn.xlookup(records_2[ColonyCount]&amp;records_2[AirSampler],feller[code],feller[Vc]),records_2[ColonyCount]))</f>
        <v>0</v>
      </c>
      <c r="AC924" s="60" t="b">
        <f t="shared" si="1"/>
        <v>1</v>
      </c>
      <c r="AD924" s="61" t="b">
        <v>0</v>
      </c>
      <c r="AE924" s="32" t="s">
        <v>280</v>
      </c>
      <c r="AF924" s="46"/>
      <c r="AG924" s="46"/>
      <c r="AH924" s="46"/>
      <c r="AI924" s="46"/>
      <c r="AJ924" s="46"/>
    </row>
    <row r="925" ht="22.5" customHeight="1">
      <c r="A925" s="27">
        <v>46172.0</v>
      </c>
      <c r="B925" s="34" t="str">
        <f t="array" ref="B925">TEXT(A925, "MM-YYYY")</f>
        <v>05-2026</v>
      </c>
      <c r="C925" s="39" t="s">
        <v>748</v>
      </c>
      <c r="D925" s="36" t="s">
        <v>210</v>
      </c>
      <c r="E925" s="36" t="s">
        <v>213</v>
      </c>
      <c r="F925" s="29" t="b">
        <v>1</v>
      </c>
      <c r="G925" s="36" t="s">
        <v>214</v>
      </c>
      <c r="H925" s="36" t="s">
        <v>215</v>
      </c>
      <c r="I925" s="39"/>
      <c r="J925" s="40"/>
      <c r="K925" s="37" t="s">
        <v>194</v>
      </c>
      <c r="L925" s="37" t="s">
        <v>194</v>
      </c>
      <c r="M925" s="37" t="s">
        <v>194</v>
      </c>
      <c r="N925" s="37" t="s">
        <v>194</v>
      </c>
      <c r="O925" s="37" t="s">
        <v>223</v>
      </c>
      <c r="P925" s="37" t="s">
        <v>224</v>
      </c>
      <c r="Q925" s="41">
        <v>46218.0</v>
      </c>
      <c r="R925" s="42">
        <v>0.0</v>
      </c>
      <c r="S925" s="44"/>
      <c r="T925" s="37" t="s">
        <v>4</v>
      </c>
      <c r="U925" s="45" t="str">
        <f>IF(records_2[Type]="Room",records_2[roomNo],records_2[roomNo]&amp;"-"&amp;SUBSTITUTE(RIGHT(records_2[roomNo]&amp;records_2[Type],2),"-",""))</f>
        <v>12-2-083</v>
      </c>
      <c r="V925" s="47" t="str">
        <f t="array" ref="V925">_xlfn.XLOOKUP(records_2[ID], dAir[roomNo], dAir[roomName])</f>
        <v>CORRIDOR</v>
      </c>
      <c r="W925" s="47" t="str">
        <f t="array" ref="W925">_xlfn.XLOOKUP(records_2[ID], dAir[roomNo], dAir[building])</f>
        <v>Building 12</v>
      </c>
      <c r="X925" s="47" t="str">
        <f t="array" ref="X925">_xlfn.XLOOKUP(records_2[ID], dAir[roomNo], dAir[floor])</f>
        <v>Floor 2</v>
      </c>
      <c r="Y925" s="45" t="str">
        <f t="array" ref="Y925">_xlfn.XLOOKUP(records_2[ID], dAir[roomNo], dAir[Class])</f>
        <v>D</v>
      </c>
      <c r="Z925" s="45">
        <f t="array" ref="Z925">_xlfn.XLOOKUP(records_2[Method]&amp;"-"&amp;records_2[Class], dAirSpec[ID], dAirSpec[Spec])</f>
        <v>100</v>
      </c>
      <c r="AA925" s="45" t="str">
        <f t="array" ref="AA925">_xlfn.XLOOKUP(records_2[Method]&amp;"-"&amp;records_2[Class], dAirSpec[ID], dAirSpec[Unit])</f>
        <v>cfu/plate</v>
      </c>
      <c r="AB925" s="58">
        <f t="array" ref="AB925">if(R925="","", if(records_2[Method]="Active Air",_xlfn.xlookup(records_2[ColonyCount]&amp;records_2[AirSampler],feller[code],feller[Vc]),records_2[ColonyCount]))</f>
        <v>0</v>
      </c>
      <c r="AC925" s="60" t="b">
        <f t="shared" si="1"/>
        <v>1</v>
      </c>
      <c r="AD925" s="61" t="b">
        <v>0</v>
      </c>
      <c r="AE925" s="32" t="s">
        <v>280</v>
      </c>
      <c r="AF925" s="46"/>
      <c r="AG925" s="46"/>
      <c r="AH925" s="46"/>
      <c r="AI925" s="46"/>
      <c r="AJ925" s="46"/>
    </row>
    <row r="926" ht="22.5" customHeight="1">
      <c r="A926" s="27">
        <v>46175.0</v>
      </c>
      <c r="B926" s="34" t="str">
        <f t="array" ref="B926">TEXT(A926, "MM-YYYY")</f>
        <v>06-2026</v>
      </c>
      <c r="C926" s="39" t="s">
        <v>753</v>
      </c>
      <c r="D926" s="36" t="s">
        <v>755</v>
      </c>
      <c r="E926" s="36" t="s">
        <v>531</v>
      </c>
      <c r="F926" s="29" t="b">
        <v>1</v>
      </c>
      <c r="G926" s="36" t="s">
        <v>214</v>
      </c>
      <c r="H926" s="36" t="s">
        <v>757</v>
      </c>
      <c r="I926" s="39">
        <v>3.1101125E8</v>
      </c>
      <c r="J926" s="40">
        <v>46240.0</v>
      </c>
      <c r="K926" s="37" t="s">
        <v>638</v>
      </c>
      <c r="L926" s="37" t="s">
        <v>758</v>
      </c>
      <c r="M926" s="37" t="s">
        <v>194</v>
      </c>
      <c r="N926" s="37" t="s">
        <v>194</v>
      </c>
      <c r="O926" s="37" t="s">
        <v>759</v>
      </c>
      <c r="P926" s="37" t="s">
        <v>760</v>
      </c>
      <c r="Q926" s="41">
        <v>46195.0</v>
      </c>
      <c r="R926" s="42">
        <v>0.0</v>
      </c>
      <c r="S926" s="44"/>
      <c r="T926" s="37" t="s">
        <v>8</v>
      </c>
      <c r="U926" s="45" t="str">
        <f>IF(records_2[Type]="Room",records_2[roomNo],records_2[roomNo]&amp;"-"&amp;SUBSTITUTE(RIGHT(records_2[roomNo]&amp;records_2[Type],2),"-",""))</f>
        <v>16-1-075-M</v>
      </c>
      <c r="V926" s="47" t="str">
        <f t="array" ref="V926">_xlfn.XLOOKUP(records_2[ID], dAir[roomNo], dAir[roomName])</f>
        <v>VIALS CAPPING (Machine)</v>
      </c>
      <c r="W926" s="47" t="str">
        <f t="array" ref="W926">_xlfn.XLOOKUP(records_2[ID], dAir[roomNo], dAir[building])</f>
        <v>Building 16</v>
      </c>
      <c r="X926" s="47" t="str">
        <f t="array" ref="X926">_xlfn.XLOOKUP(records_2[ID], dAir[roomNo], dAir[floor])</f>
        <v>Floor 1</v>
      </c>
      <c r="Y926" s="45" t="str">
        <f t="array" ref="Y926">_xlfn.XLOOKUP(records_2[ID], dAir[roomNo], dAir[Class])</f>
        <v>A</v>
      </c>
      <c r="Z926" s="45">
        <f t="array" ref="Z926">_xlfn.XLOOKUP(records_2[Method]&amp;"-"&amp;records_2[Class], dAirSpec[ID], dAirSpec[Spec])</f>
        <v>0</v>
      </c>
      <c r="AA926" s="45" t="str">
        <f t="array" ref="AA926">_xlfn.XLOOKUP(records_2[Method]&amp;"-"&amp;records_2[Class], dAirSpec[ID], dAirSpec[Unit])</f>
        <v>cfu/m3</v>
      </c>
      <c r="AB926" s="45">
        <f t="array" ref="AB926">if(R926="","", if(records_2[Method]="Active Air",_xlfn.xlookup(records_2[ColonyCount]&amp;records_2[AirSampler],feller[code],feller[Vc]),records_2[ColonyCount]))</f>
        <v>0</v>
      </c>
      <c r="AC926" s="60" t="b">
        <f t="shared" si="1"/>
        <v>1</v>
      </c>
      <c r="AD926" s="61" t="b">
        <v>0</v>
      </c>
      <c r="AE926" s="32" t="s">
        <v>280</v>
      </c>
      <c r="AF926" s="46"/>
      <c r="AG926" s="46"/>
      <c r="AH926" s="46"/>
      <c r="AI926" s="46"/>
      <c r="AJ926" s="46"/>
    </row>
    <row r="927" ht="22.5" customHeight="1">
      <c r="A927" s="27">
        <v>46175.0</v>
      </c>
      <c r="B927" s="34" t="str">
        <f t="array" ref="B927">TEXT(A927, "MM-YYYY")</f>
        <v>06-2026</v>
      </c>
      <c r="C927" s="39" t="s">
        <v>765</v>
      </c>
      <c r="D927" s="36" t="s">
        <v>755</v>
      </c>
      <c r="E927" s="36" t="s">
        <v>531</v>
      </c>
      <c r="F927" s="29" t="b">
        <v>1</v>
      </c>
      <c r="G927" s="36" t="s">
        <v>214</v>
      </c>
      <c r="H927" s="36" t="s">
        <v>757</v>
      </c>
      <c r="I927" s="39">
        <v>3.1101125E8</v>
      </c>
      <c r="J927" s="40">
        <v>46240.0</v>
      </c>
      <c r="K927" s="37" t="s">
        <v>326</v>
      </c>
      <c r="L927" s="37" t="s">
        <v>767</v>
      </c>
      <c r="M927" s="37" t="s">
        <v>194</v>
      </c>
      <c r="N927" s="37" t="s">
        <v>194</v>
      </c>
      <c r="O927" s="37" t="s">
        <v>759</v>
      </c>
      <c r="P927" s="37" t="s">
        <v>760</v>
      </c>
      <c r="Q927" s="41">
        <v>46195.0</v>
      </c>
      <c r="R927" s="42">
        <v>0.0</v>
      </c>
      <c r="S927" s="44"/>
      <c r="T927" s="37" t="s">
        <v>8</v>
      </c>
      <c r="U927" s="45" t="str">
        <f>IF(records_2[Type]="Room",records_2[roomNo],records_2[roomNo]&amp;"-"&amp;SUBSTITUTE(RIGHT(records_2[roomNo]&amp;records_2[Type],2),"-",""))</f>
        <v>16-1-076-M</v>
      </c>
      <c r="V927" s="47" t="str">
        <f t="array" ref="V927">_xlfn.XLOOKUP(records_2[ID], dAir[roomNo], dAir[roomName])</f>
        <v>FILLING 2 (Machine)</v>
      </c>
      <c r="W927" s="47" t="str">
        <f t="array" ref="W927">_xlfn.XLOOKUP(records_2[ID], dAir[roomNo], dAir[building])</f>
        <v>Building 16</v>
      </c>
      <c r="X927" s="47" t="str">
        <f t="array" ref="X927">_xlfn.XLOOKUP(records_2[ID], dAir[roomNo], dAir[floor])</f>
        <v>Floor 1</v>
      </c>
      <c r="Y927" s="45" t="str">
        <f t="array" ref="Y927">_xlfn.XLOOKUP(records_2[ID], dAir[roomNo], dAir[Class])</f>
        <v>A</v>
      </c>
      <c r="Z927" s="45">
        <f t="array" ref="Z927">_xlfn.XLOOKUP(records_2[Method]&amp;"-"&amp;records_2[Class], dAirSpec[ID], dAirSpec[Spec])</f>
        <v>0</v>
      </c>
      <c r="AA927" s="45" t="str">
        <f t="array" ref="AA927">_xlfn.XLOOKUP(records_2[Method]&amp;"-"&amp;records_2[Class], dAirSpec[ID], dAirSpec[Unit])</f>
        <v>cfu/m3</v>
      </c>
      <c r="AB927" s="45">
        <f t="array" ref="AB927">if(R927="","", if(records_2[Method]="Active Air",_xlfn.xlookup(records_2[ColonyCount]&amp;records_2[AirSampler],feller[code],feller[Vc]),records_2[ColonyCount]))</f>
        <v>0</v>
      </c>
      <c r="AC927" s="60" t="b">
        <f t="shared" si="1"/>
        <v>1</v>
      </c>
      <c r="AD927" s="61" t="b">
        <v>0</v>
      </c>
      <c r="AE927" s="32" t="s">
        <v>280</v>
      </c>
      <c r="AF927" s="46"/>
      <c r="AG927" s="46"/>
      <c r="AH927" s="46"/>
      <c r="AI927" s="46"/>
      <c r="AJ927" s="46"/>
    </row>
    <row r="928" ht="22.5" customHeight="1">
      <c r="A928" s="27">
        <v>46175.0</v>
      </c>
      <c r="B928" s="34" t="str">
        <f t="array" ref="B928">TEXT(A928, "MM-YYYY")</f>
        <v>06-2026</v>
      </c>
      <c r="C928" s="39" t="s">
        <v>765</v>
      </c>
      <c r="D928" s="36" t="s">
        <v>770</v>
      </c>
      <c r="E928" s="36" t="s">
        <v>531</v>
      </c>
      <c r="F928" s="29" t="b">
        <v>1</v>
      </c>
      <c r="G928" s="36" t="s">
        <v>214</v>
      </c>
      <c r="H928" s="36" t="s">
        <v>757</v>
      </c>
      <c r="I928" s="39">
        <v>3.1101125E8</v>
      </c>
      <c r="J928" s="40">
        <v>46240.0</v>
      </c>
      <c r="K928" s="37" t="s">
        <v>326</v>
      </c>
      <c r="L928" s="37" t="s">
        <v>767</v>
      </c>
      <c r="M928" s="37" t="s">
        <v>194</v>
      </c>
      <c r="N928" s="37" t="s">
        <v>194</v>
      </c>
      <c r="O928" s="37" t="s">
        <v>759</v>
      </c>
      <c r="P928" s="37" t="s">
        <v>760</v>
      </c>
      <c r="Q928" s="41">
        <v>46195.0</v>
      </c>
      <c r="R928" s="42">
        <v>0.0</v>
      </c>
      <c r="S928" s="44"/>
      <c r="T928" s="37" t="s">
        <v>8</v>
      </c>
      <c r="U928" s="45" t="str">
        <f>IF(records_2[Type]="Room",records_2[roomNo],records_2[roomNo]&amp;"-"&amp;SUBSTITUTE(RIGHT(records_2[roomNo]&amp;records_2[Type],2),"-",""))</f>
        <v>16-1-076-L</v>
      </c>
      <c r="V928" s="47" t="str">
        <f t="array" ref="V928">_xlfn.XLOOKUP(records_2[ID], dAir[roomNo], dAir[roomName])</f>
        <v>FILLING 2 (Laminar)</v>
      </c>
      <c r="W928" s="47" t="str">
        <f t="array" ref="W928">_xlfn.XLOOKUP(records_2[ID], dAir[roomNo], dAir[building])</f>
        <v>Building 16</v>
      </c>
      <c r="X928" s="47" t="str">
        <f t="array" ref="X928">_xlfn.XLOOKUP(records_2[ID], dAir[roomNo], dAir[floor])</f>
        <v>Floor 1</v>
      </c>
      <c r="Y928" s="45" t="str">
        <f t="array" ref="Y928">_xlfn.XLOOKUP(records_2[ID], dAir[roomNo], dAir[Class])</f>
        <v>A</v>
      </c>
      <c r="Z928" s="45">
        <f t="array" ref="Z928">_xlfn.XLOOKUP(records_2[Method]&amp;"-"&amp;records_2[Class], dAirSpec[ID], dAirSpec[Spec])</f>
        <v>0</v>
      </c>
      <c r="AA928" s="45" t="str">
        <f t="array" ref="AA928">_xlfn.XLOOKUP(records_2[Method]&amp;"-"&amp;records_2[Class], dAirSpec[ID], dAirSpec[Unit])</f>
        <v>cfu/m3</v>
      </c>
      <c r="AB928" s="45">
        <f t="array" ref="AB928">if(R928="","", if(records_2[Method]="Active Air",_xlfn.xlookup(records_2[ColonyCount]&amp;records_2[AirSampler],feller[code],feller[Vc]),records_2[ColonyCount]))</f>
        <v>0</v>
      </c>
      <c r="AC928" s="60" t="b">
        <f t="shared" si="1"/>
        <v>1</v>
      </c>
      <c r="AD928" s="61" t="b">
        <v>0</v>
      </c>
      <c r="AE928" s="32" t="s">
        <v>280</v>
      </c>
      <c r="AF928" s="46"/>
      <c r="AG928" s="46"/>
      <c r="AH928" s="46"/>
      <c r="AI928" s="46"/>
      <c r="AJ928" s="46"/>
    </row>
    <row r="929" ht="22.5" customHeight="1">
      <c r="A929" s="27">
        <v>46175.0</v>
      </c>
      <c r="B929" s="34" t="str">
        <f t="array" ref="B929">TEXT(A929, "MM-YYYY")</f>
        <v>06-2026</v>
      </c>
      <c r="C929" s="39" t="s">
        <v>774</v>
      </c>
      <c r="D929" s="36" t="s">
        <v>755</v>
      </c>
      <c r="E929" s="36" t="s">
        <v>531</v>
      </c>
      <c r="F929" s="29" t="b">
        <v>1</v>
      </c>
      <c r="G929" s="36" t="s">
        <v>214</v>
      </c>
      <c r="H929" s="36" t="s">
        <v>757</v>
      </c>
      <c r="I929" s="39">
        <v>3.1101125E8</v>
      </c>
      <c r="J929" s="40">
        <v>46240.0</v>
      </c>
      <c r="K929" s="37" t="s">
        <v>314</v>
      </c>
      <c r="L929" s="37" t="s">
        <v>775</v>
      </c>
      <c r="M929" s="37" t="s">
        <v>194</v>
      </c>
      <c r="N929" s="37" t="s">
        <v>194</v>
      </c>
      <c r="O929" s="37" t="s">
        <v>759</v>
      </c>
      <c r="P929" s="37" t="s">
        <v>760</v>
      </c>
      <c r="Q929" s="41">
        <v>46195.0</v>
      </c>
      <c r="R929" s="42">
        <v>0.0</v>
      </c>
      <c r="S929" s="44"/>
      <c r="T929" s="37" t="s">
        <v>8</v>
      </c>
      <c r="U929" s="45" t="str">
        <f>IF(records_2[Type]="Room",records_2[roomNo],records_2[roomNo]&amp;"-"&amp;SUBSTITUTE(RIGHT(records_2[roomNo]&amp;records_2[Type],2),"-",""))</f>
        <v>16-1-084-M</v>
      </c>
      <c r="V929" s="47" t="str">
        <f t="array" ref="V929">_xlfn.XLOOKUP(records_2[ID], dAir[roomNo], dAir[roomName])</f>
        <v>FILLING 1 (Machine)</v>
      </c>
      <c r="W929" s="47" t="str">
        <f t="array" ref="W929">_xlfn.XLOOKUP(records_2[ID], dAir[roomNo], dAir[building])</f>
        <v>Building 16</v>
      </c>
      <c r="X929" s="47" t="str">
        <f t="array" ref="X929">_xlfn.XLOOKUP(records_2[ID], dAir[roomNo], dAir[floor])</f>
        <v>Floor 1</v>
      </c>
      <c r="Y929" s="45" t="str">
        <f t="array" ref="Y929">_xlfn.XLOOKUP(records_2[ID], dAir[roomNo], dAir[Class])</f>
        <v>A</v>
      </c>
      <c r="Z929" s="45">
        <f t="array" ref="Z929">_xlfn.XLOOKUP(records_2[Method]&amp;"-"&amp;records_2[Class], dAirSpec[ID], dAirSpec[Spec])</f>
        <v>0</v>
      </c>
      <c r="AA929" s="45" t="str">
        <f t="array" ref="AA929">_xlfn.XLOOKUP(records_2[Method]&amp;"-"&amp;records_2[Class], dAirSpec[ID], dAirSpec[Unit])</f>
        <v>cfu/m3</v>
      </c>
      <c r="AB929" s="45">
        <f t="array" ref="AB929">if(R929="","", if(records_2[Method]="Active Air",_xlfn.xlookup(records_2[ColonyCount]&amp;records_2[AirSampler],feller[code],feller[Vc]),records_2[ColonyCount]))</f>
        <v>0</v>
      </c>
      <c r="AC929" s="60" t="b">
        <f t="shared" si="1"/>
        <v>1</v>
      </c>
      <c r="AD929" s="61" t="b">
        <v>0</v>
      </c>
      <c r="AE929" s="32" t="s">
        <v>280</v>
      </c>
      <c r="AF929" s="46"/>
      <c r="AG929" s="46"/>
      <c r="AH929" s="46"/>
      <c r="AI929" s="46"/>
      <c r="AJ929" s="46"/>
    </row>
    <row r="930" ht="22.5" customHeight="1">
      <c r="A930" s="27">
        <v>46175.0</v>
      </c>
      <c r="B930" s="34" t="str">
        <f t="array" ref="B930">TEXT(A930, "MM-YYYY")</f>
        <v>06-2026</v>
      </c>
      <c r="C930" s="39" t="s">
        <v>774</v>
      </c>
      <c r="D930" s="36" t="s">
        <v>770</v>
      </c>
      <c r="E930" s="36" t="s">
        <v>531</v>
      </c>
      <c r="F930" s="29" t="b">
        <v>1</v>
      </c>
      <c r="G930" s="36" t="s">
        <v>214</v>
      </c>
      <c r="H930" s="36" t="s">
        <v>757</v>
      </c>
      <c r="I930" s="39">
        <v>3.1101125E8</v>
      </c>
      <c r="J930" s="40">
        <v>46240.0</v>
      </c>
      <c r="K930" s="37" t="s">
        <v>314</v>
      </c>
      <c r="L930" s="37" t="s">
        <v>775</v>
      </c>
      <c r="M930" s="37" t="s">
        <v>194</v>
      </c>
      <c r="N930" s="37" t="s">
        <v>194</v>
      </c>
      <c r="O930" s="37" t="s">
        <v>759</v>
      </c>
      <c r="P930" s="37" t="s">
        <v>760</v>
      </c>
      <c r="Q930" s="41">
        <v>46195.0</v>
      </c>
      <c r="R930" s="42">
        <v>0.0</v>
      </c>
      <c r="S930" s="44"/>
      <c r="T930" s="37" t="s">
        <v>8</v>
      </c>
      <c r="U930" s="45" t="str">
        <f>IF(records_2[Type]="Room",records_2[roomNo],records_2[roomNo]&amp;"-"&amp;SUBSTITUTE(RIGHT(records_2[roomNo]&amp;records_2[Type],2),"-",""))</f>
        <v>16-1-084-L</v>
      </c>
      <c r="V930" s="47" t="str">
        <f t="array" ref="V930">_xlfn.XLOOKUP(records_2[ID], dAir[roomNo], dAir[roomName])</f>
        <v>FILLING 1 (Laminar)</v>
      </c>
      <c r="W930" s="47" t="str">
        <f t="array" ref="W930">_xlfn.XLOOKUP(records_2[ID], dAir[roomNo], dAir[building])</f>
        <v>Building 16</v>
      </c>
      <c r="X930" s="47" t="str">
        <f t="array" ref="X930">_xlfn.XLOOKUP(records_2[ID], dAir[roomNo], dAir[floor])</f>
        <v>Floor 1</v>
      </c>
      <c r="Y930" s="45" t="str">
        <f t="array" ref="Y930">_xlfn.XLOOKUP(records_2[ID], dAir[roomNo], dAir[Class])</f>
        <v>A</v>
      </c>
      <c r="Z930" s="45">
        <f t="array" ref="Z930">_xlfn.XLOOKUP(records_2[Method]&amp;"-"&amp;records_2[Class], dAirSpec[ID], dAirSpec[Spec])</f>
        <v>0</v>
      </c>
      <c r="AA930" s="45" t="str">
        <f t="array" ref="AA930">_xlfn.XLOOKUP(records_2[Method]&amp;"-"&amp;records_2[Class], dAirSpec[ID], dAirSpec[Unit])</f>
        <v>cfu/m3</v>
      </c>
      <c r="AB930" s="45">
        <f t="array" ref="AB930">if(R930="","", if(records_2[Method]="Active Air",_xlfn.xlookup(records_2[ColonyCount]&amp;records_2[AirSampler],feller[code],feller[Vc]),records_2[ColonyCount]))</f>
        <v>0</v>
      </c>
      <c r="AC930" s="60" t="b">
        <f t="shared" si="1"/>
        <v>1</v>
      </c>
      <c r="AD930" s="61" t="b">
        <v>0</v>
      </c>
      <c r="AE930" s="32" t="s">
        <v>280</v>
      </c>
      <c r="AF930" s="46"/>
      <c r="AG930" s="46"/>
      <c r="AH930" s="46"/>
      <c r="AI930" s="46"/>
      <c r="AJ930" s="46"/>
    </row>
    <row r="931" ht="22.5" customHeight="1">
      <c r="A931" s="27">
        <v>46175.0</v>
      </c>
      <c r="B931" s="34" t="str">
        <f t="array" ref="B931">TEXT(A931, "MM-YYYY")</f>
        <v>06-2026</v>
      </c>
      <c r="C931" s="32" t="s">
        <v>786</v>
      </c>
      <c r="D931" s="21" t="s">
        <v>680</v>
      </c>
      <c r="E931" s="36" t="s">
        <v>531</v>
      </c>
      <c r="F931" s="29" t="b">
        <v>1</v>
      </c>
      <c r="G931" s="36" t="s">
        <v>214</v>
      </c>
      <c r="H931" s="36" t="s">
        <v>757</v>
      </c>
      <c r="I931" s="39">
        <v>3.1101125E8</v>
      </c>
      <c r="J931" s="40">
        <v>46240.0</v>
      </c>
      <c r="K931" s="37" t="s">
        <v>787</v>
      </c>
      <c r="L931" s="37" t="s">
        <v>788</v>
      </c>
      <c r="M931" s="37" t="s">
        <v>194</v>
      </c>
      <c r="N931" s="37" t="s">
        <v>194</v>
      </c>
      <c r="O931" s="37" t="s">
        <v>759</v>
      </c>
      <c r="P931" s="37" t="s">
        <v>760</v>
      </c>
      <c r="Q931" s="41">
        <v>46195.0</v>
      </c>
      <c r="R931" s="42">
        <v>1.0</v>
      </c>
      <c r="S931" s="44"/>
      <c r="T931" s="37" t="s">
        <v>8</v>
      </c>
      <c r="U931" s="45" t="str">
        <f>IF(records_2[Type]="Room",records_2[roomNo],records_2[roomNo]&amp;"-"&amp;SUBSTITUTE(RIGHT(records_2[roomNo]&amp;records_2[Type],2),"-",""))</f>
        <v>16-1-102-B</v>
      </c>
      <c r="V931" s="47" t="str">
        <f t="array" ref="V931">_xlfn.XLOOKUP(records_2[ID], dAir[roomNo], dAir[roomName])</f>
        <v>DISPENSING (Booth)</v>
      </c>
      <c r="W931" s="47" t="str">
        <f t="array" ref="W931">_xlfn.XLOOKUP(records_2[ID], dAir[roomNo], dAir[building])</f>
        <v>Building 16</v>
      </c>
      <c r="X931" s="47" t="str">
        <f t="array" ref="X931">_xlfn.XLOOKUP(records_2[ID], dAir[roomNo], dAir[floor])</f>
        <v>Floor 1</v>
      </c>
      <c r="Y931" s="45" t="str">
        <f t="array" ref="Y931">_xlfn.XLOOKUP(records_2[ID], dAir[roomNo], dAir[Class])</f>
        <v>A</v>
      </c>
      <c r="Z931" s="45">
        <f t="array" ref="Z931">_xlfn.XLOOKUP(records_2[Method]&amp;"-"&amp;records_2[Class], dAirSpec[ID], dAirSpec[Spec])</f>
        <v>0</v>
      </c>
      <c r="AA931" s="45" t="str">
        <f t="array" ref="AA931">_xlfn.XLOOKUP(records_2[Method]&amp;"-"&amp;records_2[Class], dAirSpec[ID], dAirSpec[Unit])</f>
        <v>cfu/m3</v>
      </c>
      <c r="AB931" s="45">
        <f t="array" ref="AB931">if(R931="","", if(records_2[Method]="Active Air",_xlfn.xlookup(records_2[ColonyCount]&amp;records_2[AirSampler],feller[code],feller[Vc]),records_2[ColonyCount]))</f>
        <v>1</v>
      </c>
      <c r="AC931" s="60" t="b">
        <f t="shared" si="1"/>
        <v>0</v>
      </c>
      <c r="AD931" s="61" t="b">
        <v>0</v>
      </c>
      <c r="AE931" s="32" t="s">
        <v>280</v>
      </c>
      <c r="AF931" s="46"/>
      <c r="AG931" s="46"/>
      <c r="AH931" s="46"/>
      <c r="AI931" s="46"/>
      <c r="AJ931" s="46"/>
    </row>
    <row r="932" ht="22.5" customHeight="1">
      <c r="A932" s="27">
        <v>46180.0</v>
      </c>
      <c r="B932" s="34" t="str">
        <f t="array" ref="B932">TEXT(A932, "MM-YYYY")</f>
        <v>06-2026</v>
      </c>
      <c r="C932" s="20" t="s">
        <v>840</v>
      </c>
      <c r="D932" s="21" t="s">
        <v>210</v>
      </c>
      <c r="E932" s="36" t="s">
        <v>531</v>
      </c>
      <c r="F932" s="29" t="b">
        <v>1</v>
      </c>
      <c r="G932" s="36" t="s">
        <v>214</v>
      </c>
      <c r="H932" s="36" t="s">
        <v>203</v>
      </c>
      <c r="I932" s="39"/>
      <c r="J932" s="40"/>
      <c r="K932" s="37" t="s">
        <v>194</v>
      </c>
      <c r="L932" s="37" t="s">
        <v>194</v>
      </c>
      <c r="M932" s="37" t="s">
        <v>194</v>
      </c>
      <c r="N932" s="37" t="s">
        <v>194</v>
      </c>
      <c r="O932" s="37" t="s">
        <v>223</v>
      </c>
      <c r="P932" s="37" t="s">
        <v>224</v>
      </c>
      <c r="Q932" s="41">
        <v>46218.0</v>
      </c>
      <c r="R932" s="42"/>
      <c r="S932" s="44" t="s">
        <v>194</v>
      </c>
      <c r="T932" s="37" t="s">
        <v>10</v>
      </c>
      <c r="U932" s="47" t="str">
        <f>IF(records_2[Type]="Room",records_2[roomNo],records_2[roomNo]&amp;"-"&amp;SUBSTITUTE(RIGHT(records_2[roomNo]&amp;records_2[Type],2),"-",""))</f>
        <v>16-1-069</v>
      </c>
      <c r="V932" s="47" t="str">
        <f t="array" ref="V932">_xlfn.XLOOKUP(records_2[ID], dAir[roomNo], dAir[roomName])</f>
        <v>MEN PAL</v>
      </c>
      <c r="W932" s="47" t="str">
        <f t="array" ref="W932">_xlfn.XLOOKUP(records_2[ID], dAir[roomNo], dAir[building])</f>
        <v>Building 16</v>
      </c>
      <c r="X932" s="47" t="str">
        <f t="array" ref="X932">_xlfn.XLOOKUP(records_2[ID], dAir[roomNo], dAir[floor])</f>
        <v>Floor 1</v>
      </c>
      <c r="Y932" s="45" t="str">
        <f t="array" ref="Y932">_xlfn.XLOOKUP(records_2[ID], dAir[roomNo], dAir[Class])</f>
        <v>D</v>
      </c>
      <c r="Z932" s="45">
        <f t="array" ref="Z932">_xlfn.XLOOKUP(records_2[Method]&amp;"-"&amp;records_2[Class], dAirSpec[ID], dAirSpec[Spec])</f>
        <v>200</v>
      </c>
      <c r="AA932" s="45" t="str">
        <f t="array" ref="AA932">_xlfn.XLOOKUP(records_2[Method]&amp;"-"&amp;records_2[Class], dAirSpec[ID], dAirSpec[Unit])</f>
        <v>cfu/m3</v>
      </c>
      <c r="AB932" s="45" t="str">
        <f t="array" ref="AB932">if(R932="","", if(records_2[Method]="Active Air",_xlfn.xlookup(records_2[ColonyCount]&amp;records_2[AirSampler],feller[code],feller[Vc]),records_2[ColonyCount]))</f>
        <v/>
      </c>
      <c r="AC932" s="60" t="b">
        <f t="shared" si="1"/>
        <v>0</v>
      </c>
      <c r="AD932" s="61" t="b">
        <v>0</v>
      </c>
      <c r="AE932" s="32" t="s">
        <v>280</v>
      </c>
      <c r="AF932" s="46"/>
      <c r="AG932" s="46"/>
      <c r="AH932" s="46"/>
      <c r="AI932" s="46"/>
      <c r="AJ932" s="46"/>
    </row>
    <row r="933" ht="22.5" customHeight="1">
      <c r="A933" s="27">
        <v>46180.0</v>
      </c>
      <c r="B933" s="34" t="str">
        <f t="array" ref="B933">TEXT(A933, "MM-YYYY")</f>
        <v>06-2026</v>
      </c>
      <c r="C933" s="39" t="s">
        <v>845</v>
      </c>
      <c r="D933" s="36" t="s">
        <v>210</v>
      </c>
      <c r="E933" s="36" t="s">
        <v>531</v>
      </c>
      <c r="F933" s="29" t="b">
        <v>1</v>
      </c>
      <c r="G933" s="36" t="s">
        <v>214</v>
      </c>
      <c r="H933" s="36" t="s">
        <v>203</v>
      </c>
      <c r="I933" s="39"/>
      <c r="J933" s="40"/>
      <c r="K933" s="37" t="s">
        <v>194</v>
      </c>
      <c r="L933" s="37" t="s">
        <v>194</v>
      </c>
      <c r="M933" s="37" t="s">
        <v>194</v>
      </c>
      <c r="N933" s="37" t="s">
        <v>194</v>
      </c>
      <c r="O933" s="37" t="s">
        <v>223</v>
      </c>
      <c r="P933" s="37" t="s">
        <v>224</v>
      </c>
      <c r="Q933" s="41">
        <v>46218.0</v>
      </c>
      <c r="R933" s="42"/>
      <c r="S933" s="44" t="s">
        <v>194</v>
      </c>
      <c r="T933" s="37" t="s">
        <v>10</v>
      </c>
      <c r="U933" s="45" t="str">
        <f>IF(records_2[Type]="Room",records_2[roomNo],records_2[roomNo]&amp;"-"&amp;SUBSTITUTE(RIGHT(records_2[roomNo]&amp;records_2[Type],2),"-",""))</f>
        <v>16-1-070</v>
      </c>
      <c r="V933" s="47" t="str">
        <f t="array" ref="V933">_xlfn.XLOOKUP(records_2[ID], dAir[roomNo], dAir[roomName])</f>
        <v>MEN PROCESS CHANGE</v>
      </c>
      <c r="W933" s="47" t="str">
        <f t="array" ref="W933">_xlfn.XLOOKUP(records_2[ID], dAir[roomNo], dAir[building])</f>
        <v>Building 16</v>
      </c>
      <c r="X933" s="47" t="str">
        <f t="array" ref="X933">_xlfn.XLOOKUP(records_2[ID], dAir[roomNo], dAir[floor])</f>
        <v>Floor 1</v>
      </c>
      <c r="Y933" s="45" t="str">
        <f t="array" ref="Y933">_xlfn.XLOOKUP(records_2[ID], dAir[roomNo], dAir[Class])</f>
        <v>C</v>
      </c>
      <c r="Z933" s="45">
        <f t="array" ref="Z933">_xlfn.XLOOKUP(records_2[Method]&amp;"-"&amp;records_2[Class], dAirSpec[ID], dAirSpec[Spec])</f>
        <v>100</v>
      </c>
      <c r="AA933" s="45" t="str">
        <f t="array" ref="AA933">_xlfn.XLOOKUP(records_2[Method]&amp;"-"&amp;records_2[Class], dAirSpec[ID], dAirSpec[Unit])</f>
        <v>cfu/m3</v>
      </c>
      <c r="AB933" s="45" t="str">
        <f t="array" ref="AB933">if(R933="","", if(records_2[Method]="Active Air",_xlfn.xlookup(records_2[ColonyCount]&amp;records_2[AirSampler],feller[code],feller[Vc]),records_2[ColonyCount]))</f>
        <v/>
      </c>
      <c r="AC933" s="60" t="b">
        <f t="shared" si="1"/>
        <v>0</v>
      </c>
      <c r="AD933" s="61" t="b">
        <v>0</v>
      </c>
      <c r="AE933" s="32" t="s">
        <v>280</v>
      </c>
      <c r="AF933" s="46"/>
      <c r="AG933" s="46"/>
      <c r="AH933" s="46"/>
      <c r="AI933" s="46"/>
      <c r="AJ933" s="46"/>
    </row>
    <row r="934" ht="22.5" customHeight="1">
      <c r="A934" s="27">
        <v>46180.0</v>
      </c>
      <c r="B934" s="34" t="str">
        <f t="array" ref="B934">TEXT(A934, "MM-YYYY")</f>
        <v>06-2026</v>
      </c>
      <c r="C934" s="39" t="s">
        <v>857</v>
      </c>
      <c r="D934" s="36" t="s">
        <v>210</v>
      </c>
      <c r="E934" s="36" t="s">
        <v>531</v>
      </c>
      <c r="F934" s="29" t="b">
        <v>1</v>
      </c>
      <c r="G934" s="36" t="s">
        <v>214</v>
      </c>
      <c r="H934" s="36" t="s">
        <v>757</v>
      </c>
      <c r="I934" s="39"/>
      <c r="J934" s="40"/>
      <c r="K934" s="37" t="s">
        <v>194</v>
      </c>
      <c r="L934" s="37" t="s">
        <v>194</v>
      </c>
      <c r="M934" s="37" t="s">
        <v>194</v>
      </c>
      <c r="N934" s="37" t="s">
        <v>194</v>
      </c>
      <c r="O934" s="37" t="s">
        <v>223</v>
      </c>
      <c r="P934" s="37" t="s">
        <v>224</v>
      </c>
      <c r="Q934" s="41">
        <v>46218.0</v>
      </c>
      <c r="R934" s="42"/>
      <c r="S934" s="44" t="s">
        <v>194</v>
      </c>
      <c r="T934" s="37" t="s">
        <v>10</v>
      </c>
      <c r="U934" s="45" t="str">
        <f>IF(records_2[Type]="Room",records_2[roomNo],records_2[roomNo]&amp;"-"&amp;SUBSTITUTE(RIGHT(records_2[roomNo]&amp;records_2[Type],2),"-",""))</f>
        <v>16-1-071</v>
      </c>
      <c r="V934" s="47" t="str">
        <f t="array" ref="V934">_xlfn.XLOOKUP(records_2[ID], dAir[roomNo], dAir[roomName])</f>
        <v>WOMEN PAL</v>
      </c>
      <c r="W934" s="47" t="str">
        <f t="array" ref="W934">_xlfn.XLOOKUP(records_2[ID], dAir[roomNo], dAir[building])</f>
        <v>Building 16</v>
      </c>
      <c r="X934" s="47" t="str">
        <f t="array" ref="X934">_xlfn.XLOOKUP(records_2[ID], dAir[roomNo], dAir[floor])</f>
        <v>Floor 1</v>
      </c>
      <c r="Y934" s="45" t="str">
        <f t="array" ref="Y934">_xlfn.XLOOKUP(records_2[ID], dAir[roomNo], dAir[Class])</f>
        <v>D</v>
      </c>
      <c r="Z934" s="45">
        <f t="array" ref="Z934">_xlfn.XLOOKUP(records_2[Method]&amp;"-"&amp;records_2[Class], dAirSpec[ID], dAirSpec[Spec])</f>
        <v>200</v>
      </c>
      <c r="AA934" s="45" t="str">
        <f t="array" ref="AA934">_xlfn.XLOOKUP(records_2[Method]&amp;"-"&amp;records_2[Class], dAirSpec[ID], dAirSpec[Unit])</f>
        <v>cfu/m3</v>
      </c>
      <c r="AB934" s="45" t="str">
        <f t="array" ref="AB934">if(R934="","", if(records_2[Method]="Active Air",_xlfn.xlookup(records_2[ColonyCount]&amp;records_2[AirSampler],feller[code],feller[Vc]),records_2[ColonyCount]))</f>
        <v/>
      </c>
      <c r="AC934" s="60" t="b">
        <f t="shared" si="1"/>
        <v>0</v>
      </c>
      <c r="AD934" s="61" t="b">
        <v>0</v>
      </c>
      <c r="AE934" s="32" t="s">
        <v>280</v>
      </c>
      <c r="AF934" s="46"/>
      <c r="AG934" s="46"/>
      <c r="AH934" s="46"/>
      <c r="AI934" s="46"/>
      <c r="AJ934" s="46"/>
    </row>
    <row r="935" ht="22.5" customHeight="1">
      <c r="A935" s="27">
        <v>46180.0</v>
      </c>
      <c r="B935" s="34" t="str">
        <f t="array" ref="B935">TEXT(A935, "MM-YYYY")</f>
        <v>06-2026</v>
      </c>
      <c r="C935" s="39" t="s">
        <v>878</v>
      </c>
      <c r="D935" s="36" t="s">
        <v>210</v>
      </c>
      <c r="E935" s="36" t="s">
        <v>531</v>
      </c>
      <c r="F935" s="29" t="b">
        <v>1</v>
      </c>
      <c r="G935" s="36" t="s">
        <v>214</v>
      </c>
      <c r="H935" s="36" t="s">
        <v>757</v>
      </c>
      <c r="I935" s="39"/>
      <c r="J935" s="40"/>
      <c r="K935" s="37" t="s">
        <v>194</v>
      </c>
      <c r="L935" s="37" t="s">
        <v>194</v>
      </c>
      <c r="M935" s="37" t="s">
        <v>194</v>
      </c>
      <c r="N935" s="37" t="s">
        <v>194</v>
      </c>
      <c r="O935" s="37" t="s">
        <v>223</v>
      </c>
      <c r="P935" s="37" t="s">
        <v>224</v>
      </c>
      <c r="Q935" s="41">
        <v>46218.0</v>
      </c>
      <c r="R935" s="42"/>
      <c r="S935" s="44" t="s">
        <v>194</v>
      </c>
      <c r="T935" s="37" t="s">
        <v>10</v>
      </c>
      <c r="U935" s="45" t="str">
        <f>IF(records_2[Type]="Room",records_2[roomNo],records_2[roomNo]&amp;"-"&amp;SUBSTITUTE(RIGHT(records_2[roomNo]&amp;records_2[Type],2),"-",""))</f>
        <v>16-1-072</v>
      </c>
      <c r="V935" s="47" t="str">
        <f t="array" ref="V935">_xlfn.XLOOKUP(records_2[ID], dAir[roomNo], dAir[roomName])</f>
        <v>WOMEN PROCESS CHANGE</v>
      </c>
      <c r="W935" s="47" t="str">
        <f t="array" ref="W935">_xlfn.XLOOKUP(records_2[ID], dAir[roomNo], dAir[building])</f>
        <v>Building 16</v>
      </c>
      <c r="X935" s="47" t="str">
        <f t="array" ref="X935">_xlfn.XLOOKUP(records_2[ID], dAir[roomNo], dAir[floor])</f>
        <v>Floor 1</v>
      </c>
      <c r="Y935" s="45" t="str">
        <f t="array" ref="Y935">_xlfn.XLOOKUP(records_2[ID], dAir[roomNo], dAir[Class])</f>
        <v>C</v>
      </c>
      <c r="Z935" s="45">
        <f t="array" ref="Z935">_xlfn.XLOOKUP(records_2[Method]&amp;"-"&amp;records_2[Class], dAirSpec[ID], dAirSpec[Spec])</f>
        <v>100</v>
      </c>
      <c r="AA935" s="45" t="str">
        <f t="array" ref="AA935">_xlfn.XLOOKUP(records_2[Method]&amp;"-"&amp;records_2[Class], dAirSpec[ID], dAirSpec[Unit])</f>
        <v>cfu/m3</v>
      </c>
      <c r="AB935" s="45" t="str">
        <f t="array" ref="AB935">if(R935="","", if(records_2[Method]="Active Air",_xlfn.xlookup(records_2[ColonyCount]&amp;records_2[AirSampler],feller[code],feller[Vc]),records_2[ColonyCount]))</f>
        <v/>
      </c>
      <c r="AC935" s="60" t="b">
        <f t="shared" si="1"/>
        <v>0</v>
      </c>
      <c r="AD935" s="61" t="b">
        <v>0</v>
      </c>
      <c r="AE935" s="32" t="s">
        <v>280</v>
      </c>
      <c r="AF935" s="46"/>
      <c r="AG935" s="46"/>
      <c r="AH935" s="46"/>
      <c r="AI935" s="46"/>
      <c r="AJ935" s="46"/>
    </row>
    <row r="936" ht="22.5" customHeight="1">
      <c r="A936" s="27">
        <v>46180.0</v>
      </c>
      <c r="B936" s="34" t="str">
        <f t="array" ref="B936">TEXT(A936, "MM-YYYY")</f>
        <v>06-2026</v>
      </c>
      <c r="C936" s="39" t="s">
        <v>898</v>
      </c>
      <c r="D936" s="36" t="s">
        <v>210</v>
      </c>
      <c r="E936" s="36" t="s">
        <v>531</v>
      </c>
      <c r="F936" s="29" t="b">
        <v>1</v>
      </c>
      <c r="G936" s="36" t="s">
        <v>214</v>
      </c>
      <c r="H936" s="36" t="s">
        <v>757</v>
      </c>
      <c r="I936" s="39"/>
      <c r="J936" s="40"/>
      <c r="K936" s="37" t="s">
        <v>194</v>
      </c>
      <c r="L936" s="37" t="s">
        <v>194</v>
      </c>
      <c r="M936" s="37" t="s">
        <v>194</v>
      </c>
      <c r="N936" s="37" t="s">
        <v>194</v>
      </c>
      <c r="O936" s="37" t="s">
        <v>223</v>
      </c>
      <c r="P936" s="37" t="s">
        <v>224</v>
      </c>
      <c r="Q936" s="41">
        <v>46218.0</v>
      </c>
      <c r="R936" s="42"/>
      <c r="S936" s="29" t="s">
        <v>902</v>
      </c>
      <c r="T936" s="37" t="s">
        <v>10</v>
      </c>
      <c r="U936" s="45" t="str">
        <f>IF(records_2[Type]="Room",records_2[roomNo],records_2[roomNo]&amp;"-"&amp;SUBSTITUTE(RIGHT(records_2[roomNo]&amp;records_2[Type],2),"-",""))</f>
        <v>16-1-073</v>
      </c>
      <c r="V936" s="47" t="str">
        <f t="array" ref="V936">_xlfn.XLOOKUP(records_2[ID], dAir[roomNo], dAir[roomName])</f>
        <v>CORRIDOR</v>
      </c>
      <c r="W936" s="47" t="str">
        <f t="array" ref="W936">_xlfn.XLOOKUP(records_2[ID], dAir[roomNo], dAir[building])</f>
        <v>Building 16</v>
      </c>
      <c r="X936" s="47" t="str">
        <f t="array" ref="X936">_xlfn.XLOOKUP(records_2[ID], dAir[roomNo], dAir[floor])</f>
        <v>Floor 1</v>
      </c>
      <c r="Y936" s="45" t="str">
        <f t="array" ref="Y936">_xlfn.XLOOKUP(records_2[ID], dAir[roomNo], dAir[Class])</f>
        <v>C</v>
      </c>
      <c r="Z936" s="45">
        <f t="array" ref="Z936">_xlfn.XLOOKUP(records_2[Method]&amp;"-"&amp;records_2[Class], dAirSpec[ID], dAirSpec[Spec])</f>
        <v>100</v>
      </c>
      <c r="AA936" s="45" t="str">
        <f t="array" ref="AA936">_xlfn.XLOOKUP(records_2[Method]&amp;"-"&amp;records_2[Class], dAirSpec[ID], dAirSpec[Unit])</f>
        <v>cfu/m3</v>
      </c>
      <c r="AB936" s="45" t="str">
        <f t="array" ref="AB936">if(R936="","", if(records_2[Method]="Active Air",_xlfn.xlookup(records_2[ColonyCount]&amp;records_2[AirSampler],feller[code],feller[Vc]),records_2[ColonyCount]))</f>
        <v/>
      </c>
      <c r="AC936" s="60" t="b">
        <f t="shared" si="1"/>
        <v>0</v>
      </c>
      <c r="AD936" s="61" t="b">
        <v>0</v>
      </c>
      <c r="AE936" s="32" t="s">
        <v>280</v>
      </c>
      <c r="AF936" s="46"/>
      <c r="AG936" s="46"/>
      <c r="AH936" s="46"/>
      <c r="AI936" s="46"/>
      <c r="AJ936" s="46"/>
    </row>
    <row r="937" ht="22.5" customHeight="1">
      <c r="A937" s="27">
        <v>46180.0</v>
      </c>
      <c r="B937" s="34" t="str">
        <f t="array" ref="B937">TEXT(A937, "MM-YYYY")</f>
        <v>06-2026</v>
      </c>
      <c r="C937" s="39" t="s">
        <v>919</v>
      </c>
      <c r="D937" s="36" t="s">
        <v>210</v>
      </c>
      <c r="E937" s="36" t="s">
        <v>531</v>
      </c>
      <c r="F937" s="29" t="b">
        <v>1</v>
      </c>
      <c r="G937" s="36" t="s">
        <v>214</v>
      </c>
      <c r="H937" s="36" t="s">
        <v>534</v>
      </c>
      <c r="I937" s="39"/>
      <c r="J937" s="40"/>
      <c r="K937" s="37" t="s">
        <v>194</v>
      </c>
      <c r="L937" s="37" t="s">
        <v>194</v>
      </c>
      <c r="M937" s="37" t="s">
        <v>194</v>
      </c>
      <c r="N937" s="37" t="s">
        <v>194</v>
      </c>
      <c r="O937" s="37" t="s">
        <v>223</v>
      </c>
      <c r="P937" s="37" t="s">
        <v>224</v>
      </c>
      <c r="Q937" s="41">
        <v>46218.0</v>
      </c>
      <c r="R937" s="42"/>
      <c r="S937" s="44" t="s">
        <v>194</v>
      </c>
      <c r="T937" s="37" t="s">
        <v>10</v>
      </c>
      <c r="U937" s="45" t="str">
        <f>IF(records_2[Type]="Room",records_2[roomNo],records_2[roomNo]&amp;"-"&amp;SUBSTITUTE(RIGHT(records_2[roomNo]&amp;records_2[Type],2),"-",""))</f>
        <v>16-1-074</v>
      </c>
      <c r="V937" s="47" t="str">
        <f t="array" ref="V937">_xlfn.XLOOKUP(records_2[ID], dAir[roomNo], dAir[roomName])</f>
        <v>AIRLOCK</v>
      </c>
      <c r="W937" s="47" t="str">
        <f t="array" ref="W937">_xlfn.XLOOKUP(records_2[ID], dAir[roomNo], dAir[building])</f>
        <v>Building 16</v>
      </c>
      <c r="X937" s="47" t="str">
        <f t="array" ref="X937">_xlfn.XLOOKUP(records_2[ID], dAir[roomNo], dAir[floor])</f>
        <v>Floor 1</v>
      </c>
      <c r="Y937" s="45" t="str">
        <f t="array" ref="Y937">_xlfn.XLOOKUP(records_2[ID], dAir[roomNo], dAir[Class])</f>
        <v>C</v>
      </c>
      <c r="Z937" s="45">
        <f t="array" ref="Z937">_xlfn.XLOOKUP(records_2[Method]&amp;"-"&amp;records_2[Class], dAirSpec[ID], dAirSpec[Spec])</f>
        <v>100</v>
      </c>
      <c r="AA937" s="45" t="str">
        <f t="array" ref="AA937">_xlfn.XLOOKUP(records_2[Method]&amp;"-"&amp;records_2[Class], dAirSpec[ID], dAirSpec[Unit])</f>
        <v>cfu/m3</v>
      </c>
      <c r="AB937" s="45" t="str">
        <f t="array" ref="AB937">if(R937="","", if(records_2[Method]="Active Air",_xlfn.xlookup(records_2[ColonyCount]&amp;records_2[AirSampler],feller[code],feller[Vc]),records_2[ColonyCount]))</f>
        <v/>
      </c>
      <c r="AC937" s="60" t="b">
        <f t="shared" si="1"/>
        <v>0</v>
      </c>
      <c r="AD937" s="61" t="b">
        <v>0</v>
      </c>
      <c r="AE937" s="32" t="s">
        <v>280</v>
      </c>
      <c r="AF937" s="46"/>
      <c r="AG937" s="46"/>
      <c r="AH937" s="46"/>
      <c r="AI937" s="46"/>
      <c r="AJ937" s="46"/>
    </row>
    <row r="938" ht="22.5" customHeight="1">
      <c r="A938" s="27">
        <v>46180.0</v>
      </c>
      <c r="B938" s="34" t="str">
        <f t="array" ref="B938">TEXT(A938, "MM-YYYY")</f>
        <v>06-2026</v>
      </c>
      <c r="C938" s="39" t="s">
        <v>753</v>
      </c>
      <c r="D938" s="36" t="s">
        <v>210</v>
      </c>
      <c r="E938" s="36" t="s">
        <v>531</v>
      </c>
      <c r="F938" s="29" t="b">
        <v>1</v>
      </c>
      <c r="G938" s="36" t="s">
        <v>214</v>
      </c>
      <c r="H938" s="36" t="s">
        <v>534</v>
      </c>
      <c r="I938" s="39"/>
      <c r="J938" s="40"/>
      <c r="K938" s="37" t="s">
        <v>194</v>
      </c>
      <c r="L938" s="37" t="s">
        <v>194</v>
      </c>
      <c r="M938" s="37" t="s">
        <v>194</v>
      </c>
      <c r="N938" s="37" t="s">
        <v>194</v>
      </c>
      <c r="O938" s="37" t="s">
        <v>223</v>
      </c>
      <c r="P938" s="37" t="s">
        <v>224</v>
      </c>
      <c r="Q938" s="41">
        <v>46218.0</v>
      </c>
      <c r="R938" s="42"/>
      <c r="S938" s="44" t="s">
        <v>194</v>
      </c>
      <c r="T938" s="37" t="s">
        <v>10</v>
      </c>
      <c r="U938" s="45" t="str">
        <f>IF(records_2[Type]="Room",records_2[roomNo],records_2[roomNo]&amp;"-"&amp;SUBSTITUTE(RIGHT(records_2[roomNo]&amp;records_2[Type],2),"-",""))</f>
        <v>16-1-075</v>
      </c>
      <c r="V938" s="47" t="str">
        <f t="array" ref="V938">_xlfn.XLOOKUP(records_2[ID], dAir[roomNo], dAir[roomName])</f>
        <v>VIALS CAPPING</v>
      </c>
      <c r="W938" s="47" t="str">
        <f t="array" ref="W938">_xlfn.XLOOKUP(records_2[ID], dAir[roomNo], dAir[building])</f>
        <v>Building 16</v>
      </c>
      <c r="X938" s="47" t="str">
        <f t="array" ref="X938">_xlfn.XLOOKUP(records_2[ID], dAir[roomNo], dAir[floor])</f>
        <v>Floor 1</v>
      </c>
      <c r="Y938" s="45" t="str">
        <f t="array" ref="Y938">_xlfn.XLOOKUP(records_2[ID], dAir[roomNo], dAir[Class])</f>
        <v>C</v>
      </c>
      <c r="Z938" s="45">
        <f t="array" ref="Z938">_xlfn.XLOOKUP(records_2[Method]&amp;"-"&amp;records_2[Class], dAirSpec[ID], dAirSpec[Spec])</f>
        <v>100</v>
      </c>
      <c r="AA938" s="45" t="str">
        <f t="array" ref="AA938">_xlfn.XLOOKUP(records_2[Method]&amp;"-"&amp;records_2[Class], dAirSpec[ID], dAirSpec[Unit])</f>
        <v>cfu/m3</v>
      </c>
      <c r="AB938" s="45" t="str">
        <f t="array" ref="AB938">if(R938="","", if(records_2[Method]="Active Air",_xlfn.xlookup(records_2[ColonyCount]&amp;records_2[AirSampler],feller[code],feller[Vc]),records_2[ColonyCount]))</f>
        <v/>
      </c>
      <c r="AC938" s="60" t="b">
        <f t="shared" si="1"/>
        <v>0</v>
      </c>
      <c r="AD938" s="61" t="b">
        <v>0</v>
      </c>
      <c r="AE938" s="32" t="s">
        <v>280</v>
      </c>
      <c r="AF938" s="46"/>
      <c r="AG938" s="46"/>
      <c r="AH938" s="46"/>
      <c r="AI938" s="46"/>
      <c r="AJ938" s="46"/>
    </row>
    <row r="939" ht="22.5" customHeight="1">
      <c r="A939" s="27">
        <v>46180.0</v>
      </c>
      <c r="B939" s="34" t="str">
        <f t="array" ref="B939">TEXT(A939, "MM-YYYY")</f>
        <v>06-2026</v>
      </c>
      <c r="C939" s="39" t="s">
        <v>753</v>
      </c>
      <c r="D939" s="36" t="s">
        <v>755</v>
      </c>
      <c r="E939" s="36" t="s">
        <v>531</v>
      </c>
      <c r="F939" s="29" t="b">
        <v>1</v>
      </c>
      <c r="G939" s="36" t="s">
        <v>214</v>
      </c>
      <c r="H939" s="36" t="s">
        <v>757</v>
      </c>
      <c r="I939" s="39"/>
      <c r="J939" s="40"/>
      <c r="K939" s="37" t="s">
        <v>194</v>
      </c>
      <c r="L939" s="37" t="s">
        <v>194</v>
      </c>
      <c r="M939" s="37" t="s">
        <v>194</v>
      </c>
      <c r="N939" s="37" t="s">
        <v>194</v>
      </c>
      <c r="O939" s="37" t="s">
        <v>223</v>
      </c>
      <c r="P939" s="37" t="s">
        <v>224</v>
      </c>
      <c r="Q939" s="41">
        <v>46218.0</v>
      </c>
      <c r="R939" s="42"/>
      <c r="S939" s="44" t="s">
        <v>194</v>
      </c>
      <c r="T939" s="37" t="s">
        <v>10</v>
      </c>
      <c r="U939" s="45" t="str">
        <f>IF(records_2[Type]="Room",records_2[roomNo],records_2[roomNo]&amp;"-"&amp;SUBSTITUTE(RIGHT(records_2[roomNo]&amp;records_2[Type],2),"-",""))</f>
        <v>16-1-075-M</v>
      </c>
      <c r="V939" s="47" t="str">
        <f t="array" ref="V939">_xlfn.XLOOKUP(records_2[ID], dAir[roomNo], dAir[roomName])</f>
        <v>VIALS CAPPING (Machine)</v>
      </c>
      <c r="W939" s="47" t="str">
        <f t="array" ref="W939">_xlfn.XLOOKUP(records_2[ID], dAir[roomNo], dAir[building])</f>
        <v>Building 16</v>
      </c>
      <c r="X939" s="47" t="str">
        <f t="array" ref="X939">_xlfn.XLOOKUP(records_2[ID], dAir[roomNo], dAir[floor])</f>
        <v>Floor 1</v>
      </c>
      <c r="Y939" s="45" t="str">
        <f t="array" ref="Y939">_xlfn.XLOOKUP(records_2[ID], dAir[roomNo], dAir[Class])</f>
        <v>A</v>
      </c>
      <c r="Z939" s="45">
        <f t="array" ref="Z939">_xlfn.XLOOKUP(records_2[Method]&amp;"-"&amp;records_2[Class], dAirSpec[ID], dAirSpec[Spec])</f>
        <v>0</v>
      </c>
      <c r="AA939" s="45" t="str">
        <f t="array" ref="AA939">_xlfn.XLOOKUP(records_2[Method]&amp;"-"&amp;records_2[Class], dAirSpec[ID], dAirSpec[Unit])</f>
        <v>cfu/m3</v>
      </c>
      <c r="AB939" s="45" t="str">
        <f t="array" ref="AB939">if(R939="","", if(records_2[Method]="Active Air",_xlfn.xlookup(records_2[ColonyCount]&amp;records_2[AirSampler],feller[code],feller[Vc]),records_2[ColonyCount]))</f>
        <v/>
      </c>
      <c r="AC939" s="60" t="b">
        <f t="shared" si="1"/>
        <v>0</v>
      </c>
      <c r="AD939" s="61" t="b">
        <v>0</v>
      </c>
      <c r="AE939" s="32" t="s">
        <v>280</v>
      </c>
      <c r="AF939" s="46"/>
      <c r="AG939" s="46"/>
      <c r="AH939" s="46"/>
      <c r="AI939" s="46"/>
      <c r="AJ939" s="46"/>
    </row>
    <row r="940" ht="22.5" customHeight="1">
      <c r="A940" s="27">
        <v>46180.0</v>
      </c>
      <c r="B940" s="34" t="str">
        <f t="array" ref="B940">TEXT(A940, "MM-YYYY")</f>
        <v>06-2026</v>
      </c>
      <c r="C940" s="39" t="s">
        <v>765</v>
      </c>
      <c r="D940" s="36" t="s">
        <v>755</v>
      </c>
      <c r="E940" s="36" t="s">
        <v>531</v>
      </c>
      <c r="F940" s="29" t="b">
        <v>1</v>
      </c>
      <c r="G940" s="36" t="s">
        <v>214</v>
      </c>
      <c r="H940" s="36" t="s">
        <v>757</v>
      </c>
      <c r="I940" s="39"/>
      <c r="J940" s="40"/>
      <c r="K940" s="37" t="s">
        <v>194</v>
      </c>
      <c r="L940" s="37" t="s">
        <v>194</v>
      </c>
      <c r="M940" s="37" t="s">
        <v>194</v>
      </c>
      <c r="N940" s="37" t="s">
        <v>194</v>
      </c>
      <c r="O940" s="37" t="s">
        <v>223</v>
      </c>
      <c r="P940" s="37" t="s">
        <v>224</v>
      </c>
      <c r="Q940" s="41">
        <v>46218.0</v>
      </c>
      <c r="R940" s="42"/>
      <c r="S940" s="44" t="s">
        <v>194</v>
      </c>
      <c r="T940" s="37" t="s">
        <v>10</v>
      </c>
      <c r="U940" s="45" t="str">
        <f>IF(records_2[Type]="Room",records_2[roomNo],records_2[roomNo]&amp;"-"&amp;SUBSTITUTE(RIGHT(records_2[roomNo]&amp;records_2[Type],2),"-",""))</f>
        <v>16-1-076-M</v>
      </c>
      <c r="V940" s="47" t="str">
        <f t="array" ref="V940">_xlfn.XLOOKUP(records_2[ID], dAir[roomNo], dAir[roomName])</f>
        <v>FILLING 2 (Machine)</v>
      </c>
      <c r="W940" s="47" t="str">
        <f t="array" ref="W940">_xlfn.XLOOKUP(records_2[ID], dAir[roomNo], dAir[building])</f>
        <v>Building 16</v>
      </c>
      <c r="X940" s="47" t="str">
        <f t="array" ref="X940">_xlfn.XLOOKUP(records_2[ID], dAir[roomNo], dAir[floor])</f>
        <v>Floor 1</v>
      </c>
      <c r="Y940" s="45" t="str">
        <f t="array" ref="Y940">_xlfn.XLOOKUP(records_2[ID], dAir[roomNo], dAir[Class])</f>
        <v>A</v>
      </c>
      <c r="Z940" s="45">
        <f t="array" ref="Z940">_xlfn.XLOOKUP(records_2[Method]&amp;"-"&amp;records_2[Class], dAirSpec[ID], dAirSpec[Spec])</f>
        <v>0</v>
      </c>
      <c r="AA940" s="45" t="str">
        <f t="array" ref="AA940">_xlfn.XLOOKUP(records_2[Method]&amp;"-"&amp;records_2[Class], dAirSpec[ID], dAirSpec[Unit])</f>
        <v>cfu/m3</v>
      </c>
      <c r="AB940" s="45" t="str">
        <f t="array" ref="AB940">if(R940="","", if(records_2[Method]="Active Air",_xlfn.xlookup(records_2[ColonyCount]&amp;records_2[AirSampler],feller[code],feller[Vc]),records_2[ColonyCount]))</f>
        <v/>
      </c>
      <c r="AC940" s="60" t="b">
        <f t="shared" si="1"/>
        <v>0</v>
      </c>
      <c r="AD940" s="61" t="b">
        <v>0</v>
      </c>
      <c r="AE940" s="32" t="s">
        <v>280</v>
      </c>
      <c r="AF940" s="46"/>
      <c r="AG940" s="46"/>
      <c r="AH940" s="46"/>
      <c r="AI940" s="46"/>
      <c r="AJ940" s="46"/>
    </row>
    <row r="941" ht="22.5" customHeight="1">
      <c r="A941" s="27">
        <v>46180.0</v>
      </c>
      <c r="B941" s="34" t="str">
        <f t="array" ref="B941">TEXT(A941, "MM-YYYY")</f>
        <v>06-2026</v>
      </c>
      <c r="C941" s="39" t="s">
        <v>765</v>
      </c>
      <c r="D941" s="36" t="s">
        <v>770</v>
      </c>
      <c r="E941" s="36" t="s">
        <v>531</v>
      </c>
      <c r="F941" s="29" t="b">
        <v>1</v>
      </c>
      <c r="G941" s="36" t="s">
        <v>214</v>
      </c>
      <c r="H941" s="36" t="s">
        <v>757</v>
      </c>
      <c r="I941" s="39"/>
      <c r="J941" s="40"/>
      <c r="K941" s="37" t="s">
        <v>194</v>
      </c>
      <c r="L941" s="37" t="s">
        <v>194</v>
      </c>
      <c r="M941" s="37" t="s">
        <v>194</v>
      </c>
      <c r="N941" s="37" t="s">
        <v>194</v>
      </c>
      <c r="O941" s="37" t="s">
        <v>223</v>
      </c>
      <c r="P941" s="37" t="s">
        <v>224</v>
      </c>
      <c r="Q941" s="41">
        <v>46218.0</v>
      </c>
      <c r="R941" s="42"/>
      <c r="S941" s="44" t="s">
        <v>194</v>
      </c>
      <c r="T941" s="37" t="s">
        <v>10</v>
      </c>
      <c r="U941" s="45" t="str">
        <f>IF(records_2[Type]="Room",records_2[roomNo],records_2[roomNo]&amp;"-"&amp;SUBSTITUTE(RIGHT(records_2[roomNo]&amp;records_2[Type],2),"-",""))</f>
        <v>16-1-076-L</v>
      </c>
      <c r="V941" s="47" t="str">
        <f t="array" ref="V941">_xlfn.XLOOKUP(records_2[ID], dAir[roomNo], dAir[roomName])</f>
        <v>FILLING 2 (Laminar)</v>
      </c>
      <c r="W941" s="47" t="str">
        <f t="array" ref="W941">_xlfn.XLOOKUP(records_2[ID], dAir[roomNo], dAir[building])</f>
        <v>Building 16</v>
      </c>
      <c r="X941" s="47" t="str">
        <f t="array" ref="X941">_xlfn.XLOOKUP(records_2[ID], dAir[roomNo], dAir[floor])</f>
        <v>Floor 1</v>
      </c>
      <c r="Y941" s="45" t="str">
        <f t="array" ref="Y941">_xlfn.XLOOKUP(records_2[ID], dAir[roomNo], dAir[Class])</f>
        <v>A</v>
      </c>
      <c r="Z941" s="45">
        <f t="array" ref="Z941">_xlfn.XLOOKUP(records_2[Method]&amp;"-"&amp;records_2[Class], dAirSpec[ID], dAirSpec[Spec])</f>
        <v>0</v>
      </c>
      <c r="AA941" s="45" t="str">
        <f t="array" ref="AA941">_xlfn.XLOOKUP(records_2[Method]&amp;"-"&amp;records_2[Class], dAirSpec[ID], dAirSpec[Unit])</f>
        <v>cfu/m3</v>
      </c>
      <c r="AB941" s="45" t="str">
        <f t="array" ref="AB941">if(R941="","", if(records_2[Method]="Active Air",_xlfn.xlookup(records_2[ColonyCount]&amp;records_2[AirSampler],feller[code],feller[Vc]),records_2[ColonyCount]))</f>
        <v/>
      </c>
      <c r="AC941" s="60" t="b">
        <f t="shared" si="1"/>
        <v>0</v>
      </c>
      <c r="AD941" s="61" t="b">
        <v>0</v>
      </c>
      <c r="AE941" s="32" t="s">
        <v>280</v>
      </c>
      <c r="AF941" s="46"/>
      <c r="AG941" s="46"/>
      <c r="AH941" s="46"/>
      <c r="AI941" s="46"/>
      <c r="AJ941" s="46"/>
    </row>
    <row r="942" ht="22.5" customHeight="1">
      <c r="A942" s="27">
        <v>46180.0</v>
      </c>
      <c r="B942" s="34" t="str">
        <f t="array" ref="B942">TEXT(A942, "MM-YYYY")</f>
        <v>06-2026</v>
      </c>
      <c r="C942" s="39" t="s">
        <v>765</v>
      </c>
      <c r="D942" s="36" t="s">
        <v>210</v>
      </c>
      <c r="E942" s="36" t="s">
        <v>531</v>
      </c>
      <c r="F942" s="29" t="b">
        <v>1</v>
      </c>
      <c r="G942" s="36" t="s">
        <v>214</v>
      </c>
      <c r="H942" s="36" t="s">
        <v>757</v>
      </c>
      <c r="I942" s="39"/>
      <c r="J942" s="40"/>
      <c r="K942" s="37" t="s">
        <v>194</v>
      </c>
      <c r="L942" s="37" t="s">
        <v>194</v>
      </c>
      <c r="M942" s="37" t="s">
        <v>194</v>
      </c>
      <c r="N942" s="37" t="s">
        <v>194</v>
      </c>
      <c r="O942" s="37" t="s">
        <v>223</v>
      </c>
      <c r="P942" s="37" t="s">
        <v>224</v>
      </c>
      <c r="Q942" s="41">
        <v>46218.0</v>
      </c>
      <c r="R942" s="42"/>
      <c r="S942" s="44" t="s">
        <v>194</v>
      </c>
      <c r="T942" s="37" t="s">
        <v>10</v>
      </c>
      <c r="U942" s="45" t="str">
        <f>IF(records_2[Type]="Room",records_2[roomNo],records_2[roomNo]&amp;"-"&amp;SUBSTITUTE(RIGHT(records_2[roomNo]&amp;records_2[Type],2),"-",""))</f>
        <v>16-1-076</v>
      </c>
      <c r="V942" s="47" t="str">
        <f t="array" ref="V942">_xlfn.XLOOKUP(records_2[ID], dAir[roomNo], dAir[roomName])</f>
        <v>FILLING 2</v>
      </c>
      <c r="W942" s="47" t="str">
        <f t="array" ref="W942">_xlfn.XLOOKUP(records_2[ID], dAir[roomNo], dAir[building])</f>
        <v>Building 16</v>
      </c>
      <c r="X942" s="47" t="str">
        <f t="array" ref="X942">_xlfn.XLOOKUP(records_2[ID], dAir[roomNo], dAir[floor])</f>
        <v>Floor 1</v>
      </c>
      <c r="Y942" s="45" t="str">
        <f t="array" ref="Y942">_xlfn.XLOOKUP(records_2[ID], dAir[roomNo], dAir[Class])</f>
        <v>C</v>
      </c>
      <c r="Z942" s="45">
        <f t="array" ref="Z942">_xlfn.XLOOKUP(records_2[Method]&amp;"-"&amp;records_2[Class], dAirSpec[ID], dAirSpec[Spec])</f>
        <v>100</v>
      </c>
      <c r="AA942" s="45" t="str">
        <f t="array" ref="AA942">_xlfn.XLOOKUP(records_2[Method]&amp;"-"&amp;records_2[Class], dAirSpec[ID], dAirSpec[Unit])</f>
        <v>cfu/m3</v>
      </c>
      <c r="AB942" s="45" t="str">
        <f t="array" ref="AB942">if(R942="","", if(records_2[Method]="Active Air",_xlfn.xlookup(records_2[ColonyCount]&amp;records_2[AirSampler],feller[code],feller[Vc]),records_2[ColonyCount]))</f>
        <v/>
      </c>
      <c r="AC942" s="60" t="b">
        <f t="shared" si="1"/>
        <v>0</v>
      </c>
      <c r="AD942" s="61" t="b">
        <v>0</v>
      </c>
      <c r="AE942" s="32" t="s">
        <v>280</v>
      </c>
      <c r="AF942" s="46"/>
      <c r="AG942" s="46"/>
      <c r="AH942" s="46"/>
      <c r="AI942" s="46"/>
      <c r="AJ942" s="46"/>
    </row>
    <row r="943" ht="22.5" customHeight="1">
      <c r="A943" s="27">
        <v>46180.0</v>
      </c>
      <c r="B943" s="34" t="str">
        <f t="array" ref="B943">TEXT(A943, "MM-YYYY")</f>
        <v>06-2026</v>
      </c>
      <c r="C943" s="39" t="s">
        <v>729</v>
      </c>
      <c r="D943" s="36" t="s">
        <v>210</v>
      </c>
      <c r="E943" s="36" t="s">
        <v>531</v>
      </c>
      <c r="F943" s="29" t="b">
        <v>1</v>
      </c>
      <c r="G943" s="36" t="s">
        <v>214</v>
      </c>
      <c r="H943" s="36" t="s">
        <v>534</v>
      </c>
      <c r="I943" s="39"/>
      <c r="J943" s="40"/>
      <c r="K943" s="37" t="s">
        <v>194</v>
      </c>
      <c r="L943" s="37" t="s">
        <v>194</v>
      </c>
      <c r="M943" s="37" t="s">
        <v>194</v>
      </c>
      <c r="N943" s="37" t="s">
        <v>194</v>
      </c>
      <c r="O943" s="37" t="s">
        <v>223</v>
      </c>
      <c r="P943" s="37" t="s">
        <v>224</v>
      </c>
      <c r="Q943" s="41">
        <v>46218.0</v>
      </c>
      <c r="R943" s="42"/>
      <c r="S943" s="44" t="s">
        <v>194</v>
      </c>
      <c r="T943" s="37" t="s">
        <v>10</v>
      </c>
      <c r="U943" s="45" t="str">
        <f>IF(records_2[Type]="Room",records_2[roomNo],records_2[roomNo]&amp;"-"&amp;SUBSTITUTE(RIGHT(records_2[roomNo]&amp;records_2[Type],2),"-",""))</f>
        <v>16-1-077</v>
      </c>
      <c r="V943" s="47" t="str">
        <f t="array" ref="V943">_xlfn.XLOOKUP(records_2[ID], dAir[roomNo], dAir[roomName])</f>
        <v>FILTRATION 2</v>
      </c>
      <c r="W943" s="47" t="str">
        <f t="array" ref="W943">_xlfn.XLOOKUP(records_2[ID], dAir[roomNo], dAir[building])</f>
        <v>Building 16</v>
      </c>
      <c r="X943" s="47" t="str">
        <f t="array" ref="X943">_xlfn.XLOOKUP(records_2[ID], dAir[roomNo], dAir[floor])</f>
        <v>Floor 1</v>
      </c>
      <c r="Y943" s="45" t="str">
        <f t="array" ref="Y943">_xlfn.XLOOKUP(records_2[ID], dAir[roomNo], dAir[Class])</f>
        <v>C</v>
      </c>
      <c r="Z943" s="45">
        <f t="array" ref="Z943">_xlfn.XLOOKUP(records_2[Method]&amp;"-"&amp;records_2[Class], dAirSpec[ID], dAirSpec[Spec])</f>
        <v>100</v>
      </c>
      <c r="AA943" s="45" t="str">
        <f t="array" ref="AA943">_xlfn.XLOOKUP(records_2[Method]&amp;"-"&amp;records_2[Class], dAirSpec[ID], dAirSpec[Unit])</f>
        <v>cfu/m3</v>
      </c>
      <c r="AB943" s="45" t="str">
        <f t="array" ref="AB943">if(R943="","", if(records_2[Method]="Active Air",_xlfn.xlookup(records_2[ColonyCount]&amp;records_2[AirSampler],feller[code],feller[Vc]),records_2[ColonyCount]))</f>
        <v/>
      </c>
      <c r="AC943" s="60" t="b">
        <f t="shared" si="1"/>
        <v>0</v>
      </c>
      <c r="AD943" s="61" t="b">
        <v>0</v>
      </c>
      <c r="AE943" s="32" t="s">
        <v>280</v>
      </c>
      <c r="AF943" s="46"/>
      <c r="AG943" s="46"/>
      <c r="AH943" s="46"/>
      <c r="AI943" s="46"/>
      <c r="AJ943" s="46"/>
    </row>
    <row r="944" ht="22.5" customHeight="1">
      <c r="A944" s="27">
        <v>46180.0</v>
      </c>
      <c r="B944" s="34" t="str">
        <f t="array" ref="B944">TEXT(A944, "MM-YYYY")</f>
        <v>06-2026</v>
      </c>
      <c r="C944" s="39" t="s">
        <v>1041</v>
      </c>
      <c r="D944" s="36" t="s">
        <v>210</v>
      </c>
      <c r="E944" s="36" t="s">
        <v>531</v>
      </c>
      <c r="F944" s="29" t="b">
        <v>1</v>
      </c>
      <c r="G944" s="36" t="s">
        <v>214</v>
      </c>
      <c r="H944" s="36" t="s">
        <v>203</v>
      </c>
      <c r="I944" s="39"/>
      <c r="J944" s="40"/>
      <c r="K944" s="37" t="s">
        <v>194</v>
      </c>
      <c r="L944" s="37" t="s">
        <v>194</v>
      </c>
      <c r="M944" s="37" t="s">
        <v>194</v>
      </c>
      <c r="N944" s="37" t="s">
        <v>194</v>
      </c>
      <c r="O944" s="37" t="s">
        <v>223</v>
      </c>
      <c r="P944" s="37" t="s">
        <v>224</v>
      </c>
      <c r="Q944" s="41">
        <v>46218.0</v>
      </c>
      <c r="R944" s="42"/>
      <c r="S944" s="29" t="s">
        <v>1043</v>
      </c>
      <c r="T944" s="37" t="s">
        <v>10</v>
      </c>
      <c r="U944" s="45" t="str">
        <f>IF(records_2[Type]="Room",records_2[roomNo],records_2[roomNo]&amp;"-"&amp;SUBSTITUTE(RIGHT(records_2[roomNo]&amp;records_2[Type],2),"-",""))</f>
        <v>16-1-078</v>
      </c>
      <c r="V944" s="47" t="str">
        <f t="array" ref="V944">_xlfn.XLOOKUP(records_2[ID], dAir[roomNo], dAir[roomName])</f>
        <v>PASSAGE</v>
      </c>
      <c r="W944" s="47" t="str">
        <f t="array" ref="W944">_xlfn.XLOOKUP(records_2[ID], dAir[roomNo], dAir[building])</f>
        <v>Building 16</v>
      </c>
      <c r="X944" s="47" t="str">
        <f t="array" ref="X944">_xlfn.XLOOKUP(records_2[ID], dAir[roomNo], dAir[floor])</f>
        <v>Floor 1</v>
      </c>
      <c r="Y944" s="45" t="str">
        <f t="array" ref="Y944">_xlfn.XLOOKUP(records_2[ID], dAir[roomNo], dAir[Class])</f>
        <v>C</v>
      </c>
      <c r="Z944" s="45">
        <f t="array" ref="Z944">_xlfn.XLOOKUP(records_2[Method]&amp;"-"&amp;records_2[Class], dAirSpec[ID], dAirSpec[Spec])</f>
        <v>100</v>
      </c>
      <c r="AA944" s="45" t="str">
        <f t="array" ref="AA944">_xlfn.XLOOKUP(records_2[Method]&amp;"-"&amp;records_2[Class], dAirSpec[ID], dAirSpec[Unit])</f>
        <v>cfu/m3</v>
      </c>
      <c r="AB944" s="45" t="str">
        <f t="array" ref="AB944">if(R944="","", if(records_2[Method]="Active Air",_xlfn.xlookup(records_2[ColonyCount]&amp;records_2[AirSampler],feller[code],feller[Vc]),records_2[ColonyCount]))</f>
        <v/>
      </c>
      <c r="AC944" s="60" t="b">
        <f t="shared" si="1"/>
        <v>0</v>
      </c>
      <c r="AD944" s="61" t="b">
        <v>0</v>
      </c>
      <c r="AE944" s="32" t="s">
        <v>280</v>
      </c>
      <c r="AF944" s="46"/>
      <c r="AG944" s="46"/>
      <c r="AH944" s="46"/>
      <c r="AI944" s="46"/>
      <c r="AJ944" s="46"/>
    </row>
    <row r="945" ht="22.5" customHeight="1">
      <c r="A945" s="27">
        <v>46180.0</v>
      </c>
      <c r="B945" s="34" t="str">
        <f t="array" ref="B945">TEXT(A945, "MM-YYYY")</f>
        <v>06-2026</v>
      </c>
      <c r="C945" s="39" t="s">
        <v>1047</v>
      </c>
      <c r="D945" s="36" t="s">
        <v>210</v>
      </c>
      <c r="E945" s="36" t="s">
        <v>531</v>
      </c>
      <c r="F945" s="29" t="b">
        <v>1</v>
      </c>
      <c r="G945" s="36" t="s">
        <v>214</v>
      </c>
      <c r="H945" s="36" t="s">
        <v>534</v>
      </c>
      <c r="I945" s="39"/>
      <c r="J945" s="40"/>
      <c r="K945" s="37" t="s">
        <v>194</v>
      </c>
      <c r="L945" s="37" t="s">
        <v>194</v>
      </c>
      <c r="M945" s="37" t="s">
        <v>194</v>
      </c>
      <c r="N945" s="37" t="s">
        <v>194</v>
      </c>
      <c r="O945" s="37" t="s">
        <v>223</v>
      </c>
      <c r="P945" s="37" t="s">
        <v>224</v>
      </c>
      <c r="Q945" s="41">
        <v>46218.0</v>
      </c>
      <c r="R945" s="42"/>
      <c r="S945" s="44" t="s">
        <v>194</v>
      </c>
      <c r="T945" s="37" t="s">
        <v>10</v>
      </c>
      <c r="U945" s="45" t="str">
        <f>IF(records_2[Type]="Room",records_2[roomNo],records_2[roomNo]&amp;"-"&amp;SUBSTITUTE(RIGHT(records_2[roomNo]&amp;records_2[Type],2),"-",""))</f>
        <v>16-1-079</v>
      </c>
      <c r="V945" s="47" t="str">
        <f t="array" ref="V945">_xlfn.XLOOKUP(records_2[ID], dAir[roomNo], dAir[roomName])</f>
        <v>COOLING ZONE</v>
      </c>
      <c r="W945" s="47" t="str">
        <f t="array" ref="W945">_xlfn.XLOOKUP(records_2[ID], dAir[roomNo], dAir[building])</f>
        <v>Building 16</v>
      </c>
      <c r="X945" s="47" t="str">
        <f t="array" ref="X945">_xlfn.XLOOKUP(records_2[ID], dAir[roomNo], dAir[floor])</f>
        <v>Floor 1</v>
      </c>
      <c r="Y945" s="45" t="str">
        <f t="array" ref="Y945">_xlfn.XLOOKUP(records_2[ID], dAir[roomNo], dAir[Class])</f>
        <v>C</v>
      </c>
      <c r="Z945" s="45">
        <f t="array" ref="Z945">_xlfn.XLOOKUP(records_2[Method]&amp;"-"&amp;records_2[Class], dAirSpec[ID], dAirSpec[Spec])</f>
        <v>100</v>
      </c>
      <c r="AA945" s="45" t="str">
        <f t="array" ref="AA945">_xlfn.XLOOKUP(records_2[Method]&amp;"-"&amp;records_2[Class], dAirSpec[ID], dAirSpec[Unit])</f>
        <v>cfu/m3</v>
      </c>
      <c r="AB945" s="45" t="str">
        <f t="array" ref="AB945">if(R945="","", if(records_2[Method]="Active Air",_xlfn.xlookup(records_2[ColonyCount]&amp;records_2[AirSampler],feller[code],feller[Vc]),records_2[ColonyCount]))</f>
        <v/>
      </c>
      <c r="AC945" s="60" t="b">
        <f t="shared" si="1"/>
        <v>0</v>
      </c>
      <c r="AD945" s="61" t="b">
        <v>0</v>
      </c>
      <c r="AE945" s="32" t="s">
        <v>280</v>
      </c>
      <c r="AF945" s="46"/>
      <c r="AG945" s="46"/>
      <c r="AH945" s="46"/>
      <c r="AI945" s="46"/>
      <c r="AJ945" s="46"/>
    </row>
    <row r="946" ht="22.5" customHeight="1">
      <c r="A946" s="27">
        <v>46180.0</v>
      </c>
      <c r="B946" s="34" t="str">
        <f t="array" ref="B946">TEXT(A946, "MM-YYYY")</f>
        <v>06-2026</v>
      </c>
      <c r="C946" s="39" t="s">
        <v>1052</v>
      </c>
      <c r="D946" s="36" t="s">
        <v>210</v>
      </c>
      <c r="E946" s="36" t="s">
        <v>531</v>
      </c>
      <c r="F946" s="29" t="b">
        <v>1</v>
      </c>
      <c r="G946" s="36" t="s">
        <v>214</v>
      </c>
      <c r="H946" s="36" t="s">
        <v>534</v>
      </c>
      <c r="I946" s="39"/>
      <c r="J946" s="40"/>
      <c r="K946" s="37" t="s">
        <v>194</v>
      </c>
      <c r="L946" s="37" t="s">
        <v>194</v>
      </c>
      <c r="M946" s="37" t="s">
        <v>194</v>
      </c>
      <c r="N946" s="37" t="s">
        <v>194</v>
      </c>
      <c r="O946" s="37" t="s">
        <v>223</v>
      </c>
      <c r="P946" s="37" t="s">
        <v>224</v>
      </c>
      <c r="Q946" s="41">
        <v>46218.0</v>
      </c>
      <c r="R946" s="42"/>
      <c r="S946" s="44" t="s">
        <v>194</v>
      </c>
      <c r="T946" s="37" t="s">
        <v>10</v>
      </c>
      <c r="U946" s="45" t="str">
        <f>IF(records_2[Type]="Room",records_2[roomNo],records_2[roomNo]&amp;"-"&amp;SUBSTITUTE(RIGHT(records_2[roomNo]&amp;records_2[Type],2),"-",""))</f>
        <v>16-1-080</v>
      </c>
      <c r="V946" s="47" t="str">
        <f t="array" ref="V946">_xlfn.XLOOKUP(records_2[ID], dAir[roomNo], dAir[roomName])</f>
        <v>TOOL STORAGE</v>
      </c>
      <c r="W946" s="47" t="str">
        <f t="array" ref="W946">_xlfn.XLOOKUP(records_2[ID], dAir[roomNo], dAir[building])</f>
        <v>Building 16</v>
      </c>
      <c r="X946" s="47" t="str">
        <f t="array" ref="X946">_xlfn.XLOOKUP(records_2[ID], dAir[roomNo], dAir[floor])</f>
        <v>Floor 1</v>
      </c>
      <c r="Y946" s="45" t="str">
        <f t="array" ref="Y946">_xlfn.XLOOKUP(records_2[ID], dAir[roomNo], dAir[Class])</f>
        <v>C</v>
      </c>
      <c r="Z946" s="45">
        <f t="array" ref="Z946">_xlfn.XLOOKUP(records_2[Method]&amp;"-"&amp;records_2[Class], dAirSpec[ID], dAirSpec[Spec])</f>
        <v>100</v>
      </c>
      <c r="AA946" s="45" t="str">
        <f t="array" ref="AA946">_xlfn.XLOOKUP(records_2[Method]&amp;"-"&amp;records_2[Class], dAirSpec[ID], dAirSpec[Unit])</f>
        <v>cfu/m3</v>
      </c>
      <c r="AB946" s="45" t="str">
        <f t="array" ref="AB946">if(R946="","", if(records_2[Method]="Active Air",_xlfn.xlookup(records_2[ColonyCount]&amp;records_2[AirSampler],feller[code],feller[Vc]),records_2[ColonyCount]))</f>
        <v/>
      </c>
      <c r="AC946" s="60" t="b">
        <f t="shared" si="1"/>
        <v>0</v>
      </c>
      <c r="AD946" s="61" t="b">
        <v>0</v>
      </c>
      <c r="AE946" s="32" t="s">
        <v>280</v>
      </c>
      <c r="AF946" s="46"/>
      <c r="AG946" s="46"/>
      <c r="AH946" s="46"/>
      <c r="AI946" s="46"/>
      <c r="AJ946" s="46"/>
    </row>
    <row r="947" ht="22.5" customHeight="1">
      <c r="A947" s="27">
        <v>46180.0</v>
      </c>
      <c r="B947" s="34" t="str">
        <f t="array" ref="B947">TEXT(A947, "MM-YYYY")</f>
        <v>06-2026</v>
      </c>
      <c r="C947" s="39" t="s">
        <v>1068</v>
      </c>
      <c r="D947" s="36" t="s">
        <v>210</v>
      </c>
      <c r="E947" s="36" t="s">
        <v>531</v>
      </c>
      <c r="F947" s="29" t="b">
        <v>1</v>
      </c>
      <c r="G947" s="36" t="s">
        <v>214</v>
      </c>
      <c r="H947" s="36" t="s">
        <v>534</v>
      </c>
      <c r="I947" s="39"/>
      <c r="J947" s="40"/>
      <c r="K947" s="37" t="s">
        <v>194</v>
      </c>
      <c r="L947" s="37" t="s">
        <v>194</v>
      </c>
      <c r="M947" s="37" t="s">
        <v>194</v>
      </c>
      <c r="N947" s="37" t="s">
        <v>194</v>
      </c>
      <c r="O947" s="37" t="s">
        <v>223</v>
      </c>
      <c r="P947" s="37" t="s">
        <v>224</v>
      </c>
      <c r="Q947" s="41">
        <v>46218.0</v>
      </c>
      <c r="R947" s="42"/>
      <c r="S947" s="44" t="s">
        <v>194</v>
      </c>
      <c r="T947" s="37" t="s">
        <v>10</v>
      </c>
      <c r="U947" s="45" t="str">
        <f>IF(records_2[Type]="Room",records_2[roomNo],records_2[roomNo]&amp;"-"&amp;SUBSTITUTE(RIGHT(records_2[roomNo]&amp;records_2[Type],2),"-",""))</f>
        <v>16-1-081</v>
      </c>
      <c r="V947" s="47" t="str">
        <f t="array" ref="V947">_xlfn.XLOOKUP(records_2[ID], dAir[roomNo], dAir[roomName])</f>
        <v>AIRLOCK</v>
      </c>
      <c r="W947" s="47" t="str">
        <f t="array" ref="W947">_xlfn.XLOOKUP(records_2[ID], dAir[roomNo], dAir[building])</f>
        <v>Building 16</v>
      </c>
      <c r="X947" s="47" t="str">
        <f t="array" ref="X947">_xlfn.XLOOKUP(records_2[ID], dAir[roomNo], dAir[floor])</f>
        <v>Floor 1</v>
      </c>
      <c r="Y947" s="45" t="str">
        <f t="array" ref="Y947">_xlfn.XLOOKUP(records_2[ID], dAir[roomNo], dAir[Class])</f>
        <v>C</v>
      </c>
      <c r="Z947" s="45">
        <f t="array" ref="Z947">_xlfn.XLOOKUP(records_2[Method]&amp;"-"&amp;records_2[Class], dAirSpec[ID], dAirSpec[Spec])</f>
        <v>100</v>
      </c>
      <c r="AA947" s="45" t="str">
        <f t="array" ref="AA947">_xlfn.XLOOKUP(records_2[Method]&amp;"-"&amp;records_2[Class], dAirSpec[ID], dAirSpec[Unit])</f>
        <v>cfu/m3</v>
      </c>
      <c r="AB947" s="45" t="str">
        <f t="array" ref="AB947">if(R947="","", if(records_2[Method]="Active Air",_xlfn.xlookup(records_2[ColonyCount]&amp;records_2[AirSampler],feller[code],feller[Vc]),records_2[ColonyCount]))</f>
        <v/>
      </c>
      <c r="AC947" s="60" t="b">
        <f t="shared" si="1"/>
        <v>0</v>
      </c>
      <c r="AD947" s="61" t="b">
        <v>0</v>
      </c>
      <c r="AE947" s="32" t="s">
        <v>280</v>
      </c>
      <c r="AF947" s="46"/>
      <c r="AG947" s="46"/>
      <c r="AH947" s="46"/>
      <c r="AI947" s="46"/>
      <c r="AJ947" s="46"/>
    </row>
    <row r="948" ht="22.5" customHeight="1">
      <c r="A948" s="27">
        <v>46180.0</v>
      </c>
      <c r="B948" s="34" t="str">
        <f t="array" ref="B948">TEXT(A948, "MM-YYYY")</f>
        <v>06-2026</v>
      </c>
      <c r="C948" s="39" t="s">
        <v>736</v>
      </c>
      <c r="D948" s="36" t="s">
        <v>210</v>
      </c>
      <c r="E948" s="36" t="s">
        <v>531</v>
      </c>
      <c r="F948" s="29" t="b">
        <v>1</v>
      </c>
      <c r="G948" s="36" t="s">
        <v>214</v>
      </c>
      <c r="H948" s="36" t="s">
        <v>534</v>
      </c>
      <c r="I948" s="39"/>
      <c r="J948" s="40"/>
      <c r="K948" s="37" t="s">
        <v>194</v>
      </c>
      <c r="L948" s="37" t="s">
        <v>194</v>
      </c>
      <c r="M948" s="37" t="s">
        <v>194</v>
      </c>
      <c r="N948" s="37" t="s">
        <v>194</v>
      </c>
      <c r="O948" s="37" t="s">
        <v>223</v>
      </c>
      <c r="P948" s="37" t="s">
        <v>224</v>
      </c>
      <c r="Q948" s="41">
        <v>46218.0</v>
      </c>
      <c r="R948" s="42"/>
      <c r="S948" s="44" t="s">
        <v>194</v>
      </c>
      <c r="T948" s="37" t="s">
        <v>10</v>
      </c>
      <c r="U948" s="45" t="str">
        <f>IF(records_2[Type]="Room",records_2[roomNo],records_2[roomNo]&amp;"-"&amp;SUBSTITUTE(RIGHT(records_2[roomNo]&amp;records_2[Type],2),"-",""))</f>
        <v>16-1-082</v>
      </c>
      <c r="V948" s="47" t="str">
        <f t="array" ref="V948">_xlfn.XLOOKUP(records_2[ID], dAir[roomNo], dAir[roomName])</f>
        <v>WASHING</v>
      </c>
      <c r="W948" s="47" t="str">
        <f t="array" ref="W948">_xlfn.XLOOKUP(records_2[ID], dAir[roomNo], dAir[building])</f>
        <v>Building 16</v>
      </c>
      <c r="X948" s="47" t="str">
        <f t="array" ref="X948">_xlfn.XLOOKUP(records_2[ID], dAir[roomNo], dAir[floor])</f>
        <v>Floor 1</v>
      </c>
      <c r="Y948" s="45" t="str">
        <f t="array" ref="Y948">_xlfn.XLOOKUP(records_2[ID], dAir[roomNo], dAir[Class])</f>
        <v>C</v>
      </c>
      <c r="Z948" s="45">
        <f t="array" ref="Z948">_xlfn.XLOOKUP(records_2[Method]&amp;"-"&amp;records_2[Class], dAirSpec[ID], dAirSpec[Spec])</f>
        <v>100</v>
      </c>
      <c r="AA948" s="45" t="str">
        <f t="array" ref="AA948">_xlfn.XLOOKUP(records_2[Method]&amp;"-"&amp;records_2[Class], dAirSpec[ID], dAirSpec[Unit])</f>
        <v>cfu/m3</v>
      </c>
      <c r="AB948" s="45" t="str">
        <f t="array" ref="AB948">if(R948="","", if(records_2[Method]="Active Air",_xlfn.xlookup(records_2[ColonyCount]&amp;records_2[AirSampler],feller[code],feller[Vc]),records_2[ColonyCount]))</f>
        <v/>
      </c>
      <c r="AC948" s="60" t="b">
        <f t="shared" si="1"/>
        <v>0</v>
      </c>
      <c r="AD948" s="61" t="b">
        <v>0</v>
      </c>
      <c r="AE948" s="32" t="s">
        <v>280</v>
      </c>
      <c r="AF948" s="46"/>
      <c r="AG948" s="46"/>
      <c r="AH948" s="46"/>
      <c r="AI948" s="46"/>
      <c r="AJ948" s="46"/>
    </row>
    <row r="949" ht="22.5" customHeight="1">
      <c r="A949" s="27">
        <v>46180.0</v>
      </c>
      <c r="B949" s="34" t="str">
        <f t="array" ref="B949">TEXT(A949, "MM-YYYY")</f>
        <v>06-2026</v>
      </c>
      <c r="C949" s="39" t="s">
        <v>740</v>
      </c>
      <c r="D949" s="36" t="s">
        <v>210</v>
      </c>
      <c r="E949" s="36" t="s">
        <v>531</v>
      </c>
      <c r="F949" s="29" t="b">
        <v>1</v>
      </c>
      <c r="G949" s="36" t="s">
        <v>214</v>
      </c>
      <c r="H949" s="36" t="s">
        <v>534</v>
      </c>
      <c r="I949" s="39"/>
      <c r="J949" s="40"/>
      <c r="K949" s="37" t="s">
        <v>194</v>
      </c>
      <c r="L949" s="37" t="s">
        <v>194</v>
      </c>
      <c r="M949" s="37" t="s">
        <v>194</v>
      </c>
      <c r="N949" s="37" t="s">
        <v>194</v>
      </c>
      <c r="O949" s="37" t="s">
        <v>223</v>
      </c>
      <c r="P949" s="37" t="s">
        <v>224</v>
      </c>
      <c r="Q949" s="41">
        <v>46218.0</v>
      </c>
      <c r="R949" s="42"/>
      <c r="S949" s="44" t="s">
        <v>194</v>
      </c>
      <c r="T949" s="37" t="s">
        <v>10</v>
      </c>
      <c r="U949" s="45" t="str">
        <f>IF(records_2[Type]="Room",records_2[roomNo],records_2[roomNo]&amp;"-"&amp;SUBSTITUTE(RIGHT(records_2[roomNo]&amp;records_2[Type],2),"-",""))</f>
        <v>16-1-083</v>
      </c>
      <c r="V949" s="47" t="str">
        <f t="array" ref="V949">_xlfn.XLOOKUP(records_2[ID], dAir[roomNo], dAir[roomName])</f>
        <v>FILTRATION 1</v>
      </c>
      <c r="W949" s="47" t="str">
        <f t="array" ref="W949">_xlfn.XLOOKUP(records_2[ID], dAir[roomNo], dAir[building])</f>
        <v>Building 16</v>
      </c>
      <c r="X949" s="47" t="str">
        <f t="array" ref="X949">_xlfn.XLOOKUP(records_2[ID], dAir[roomNo], dAir[floor])</f>
        <v>Floor 1</v>
      </c>
      <c r="Y949" s="45" t="str">
        <f t="array" ref="Y949">_xlfn.XLOOKUP(records_2[ID], dAir[roomNo], dAir[Class])</f>
        <v>C</v>
      </c>
      <c r="Z949" s="45">
        <f t="array" ref="Z949">_xlfn.XLOOKUP(records_2[Method]&amp;"-"&amp;records_2[Class], dAirSpec[ID], dAirSpec[Spec])</f>
        <v>100</v>
      </c>
      <c r="AA949" s="45" t="str">
        <f t="array" ref="AA949">_xlfn.XLOOKUP(records_2[Method]&amp;"-"&amp;records_2[Class], dAirSpec[ID], dAirSpec[Unit])</f>
        <v>cfu/m3</v>
      </c>
      <c r="AB949" s="45" t="str">
        <f t="array" ref="AB949">if(R949="","", if(records_2[Method]="Active Air",_xlfn.xlookup(records_2[ColonyCount]&amp;records_2[AirSampler],feller[code],feller[Vc]),records_2[ColonyCount]))</f>
        <v/>
      </c>
      <c r="AC949" s="60" t="b">
        <f t="shared" si="1"/>
        <v>0</v>
      </c>
      <c r="AD949" s="61" t="b">
        <v>0</v>
      </c>
      <c r="AE949" s="32" t="s">
        <v>280</v>
      </c>
      <c r="AF949" s="46"/>
      <c r="AG949" s="46"/>
      <c r="AH949" s="46"/>
      <c r="AI949" s="46"/>
      <c r="AJ949" s="46"/>
    </row>
    <row r="950" ht="22.5" customHeight="1">
      <c r="A950" s="27">
        <v>46180.0</v>
      </c>
      <c r="B950" s="34" t="str">
        <f t="array" ref="B950">TEXT(A950, "MM-YYYY")</f>
        <v>06-2026</v>
      </c>
      <c r="C950" s="39" t="s">
        <v>774</v>
      </c>
      <c r="D950" s="36" t="s">
        <v>755</v>
      </c>
      <c r="E950" s="36" t="s">
        <v>531</v>
      </c>
      <c r="F950" s="29" t="b">
        <v>1</v>
      </c>
      <c r="G950" s="36" t="s">
        <v>214</v>
      </c>
      <c r="H950" s="36" t="s">
        <v>757</v>
      </c>
      <c r="I950" s="39"/>
      <c r="J950" s="40"/>
      <c r="K950" s="37" t="s">
        <v>194</v>
      </c>
      <c r="L950" s="37" t="s">
        <v>194</v>
      </c>
      <c r="M950" s="37" t="s">
        <v>194</v>
      </c>
      <c r="N950" s="37" t="s">
        <v>194</v>
      </c>
      <c r="O950" s="37" t="s">
        <v>223</v>
      </c>
      <c r="P950" s="37" t="s">
        <v>224</v>
      </c>
      <c r="Q950" s="41">
        <v>46218.0</v>
      </c>
      <c r="R950" s="42"/>
      <c r="S950" s="44" t="s">
        <v>194</v>
      </c>
      <c r="T950" s="37" t="s">
        <v>10</v>
      </c>
      <c r="U950" s="45" t="str">
        <f>IF(records_2[Type]="Room",records_2[roomNo],records_2[roomNo]&amp;"-"&amp;SUBSTITUTE(RIGHT(records_2[roomNo]&amp;records_2[Type],2),"-",""))</f>
        <v>16-1-084-M</v>
      </c>
      <c r="V950" s="47" t="str">
        <f t="array" ref="V950">_xlfn.XLOOKUP(records_2[ID], dAir[roomNo], dAir[roomName])</f>
        <v>FILLING 1 (Machine)</v>
      </c>
      <c r="W950" s="47" t="str">
        <f t="array" ref="W950">_xlfn.XLOOKUP(records_2[ID], dAir[roomNo], dAir[building])</f>
        <v>Building 16</v>
      </c>
      <c r="X950" s="47" t="str">
        <f t="array" ref="X950">_xlfn.XLOOKUP(records_2[ID], dAir[roomNo], dAir[floor])</f>
        <v>Floor 1</v>
      </c>
      <c r="Y950" s="45" t="str">
        <f t="array" ref="Y950">_xlfn.XLOOKUP(records_2[ID], dAir[roomNo], dAir[Class])</f>
        <v>A</v>
      </c>
      <c r="Z950" s="45">
        <f t="array" ref="Z950">_xlfn.XLOOKUP(records_2[Method]&amp;"-"&amp;records_2[Class], dAirSpec[ID], dAirSpec[Spec])</f>
        <v>0</v>
      </c>
      <c r="AA950" s="45" t="str">
        <f t="array" ref="AA950">_xlfn.XLOOKUP(records_2[Method]&amp;"-"&amp;records_2[Class], dAirSpec[ID], dAirSpec[Unit])</f>
        <v>cfu/m3</v>
      </c>
      <c r="AB950" s="45" t="str">
        <f t="array" ref="AB950">if(R950="","", if(records_2[Method]="Active Air",_xlfn.xlookup(records_2[ColonyCount]&amp;records_2[AirSampler],feller[code],feller[Vc]),records_2[ColonyCount]))</f>
        <v/>
      </c>
      <c r="AC950" s="60" t="b">
        <f t="shared" si="1"/>
        <v>0</v>
      </c>
      <c r="AD950" s="61" t="b">
        <v>0</v>
      </c>
      <c r="AE950" s="32" t="s">
        <v>280</v>
      </c>
      <c r="AF950" s="46"/>
      <c r="AG950" s="46"/>
      <c r="AH950" s="46"/>
      <c r="AI950" s="46"/>
      <c r="AJ950" s="46"/>
    </row>
    <row r="951" ht="22.5" customHeight="1">
      <c r="A951" s="27">
        <v>46180.0</v>
      </c>
      <c r="B951" s="34" t="str">
        <f t="array" ref="B951">TEXT(A951, "MM-YYYY")</f>
        <v>06-2026</v>
      </c>
      <c r="C951" s="39" t="s">
        <v>774</v>
      </c>
      <c r="D951" s="36" t="s">
        <v>770</v>
      </c>
      <c r="E951" s="36" t="s">
        <v>531</v>
      </c>
      <c r="F951" s="29" t="b">
        <v>1</v>
      </c>
      <c r="G951" s="36" t="s">
        <v>214</v>
      </c>
      <c r="H951" s="36" t="s">
        <v>757</v>
      </c>
      <c r="I951" s="39"/>
      <c r="J951" s="40"/>
      <c r="K951" s="37" t="s">
        <v>194</v>
      </c>
      <c r="L951" s="37" t="s">
        <v>194</v>
      </c>
      <c r="M951" s="37" t="s">
        <v>194</v>
      </c>
      <c r="N951" s="37" t="s">
        <v>194</v>
      </c>
      <c r="O951" s="37" t="s">
        <v>223</v>
      </c>
      <c r="P951" s="37" t="s">
        <v>224</v>
      </c>
      <c r="Q951" s="41">
        <v>46218.0</v>
      </c>
      <c r="R951" s="42"/>
      <c r="S951" s="44" t="s">
        <v>194</v>
      </c>
      <c r="T951" s="37" t="s">
        <v>10</v>
      </c>
      <c r="U951" s="45" t="str">
        <f>IF(records_2[Type]="Room",records_2[roomNo],records_2[roomNo]&amp;"-"&amp;SUBSTITUTE(RIGHT(records_2[roomNo]&amp;records_2[Type],2),"-",""))</f>
        <v>16-1-084-L</v>
      </c>
      <c r="V951" s="47" t="str">
        <f t="array" ref="V951">_xlfn.XLOOKUP(records_2[ID], dAir[roomNo], dAir[roomName])</f>
        <v>FILLING 1 (Laminar)</v>
      </c>
      <c r="W951" s="47" t="str">
        <f t="array" ref="W951">_xlfn.XLOOKUP(records_2[ID], dAir[roomNo], dAir[building])</f>
        <v>Building 16</v>
      </c>
      <c r="X951" s="47" t="str">
        <f t="array" ref="X951">_xlfn.XLOOKUP(records_2[ID], dAir[roomNo], dAir[floor])</f>
        <v>Floor 1</v>
      </c>
      <c r="Y951" s="45" t="str">
        <f t="array" ref="Y951">_xlfn.XLOOKUP(records_2[ID], dAir[roomNo], dAir[Class])</f>
        <v>A</v>
      </c>
      <c r="Z951" s="45">
        <f t="array" ref="Z951">_xlfn.XLOOKUP(records_2[Method]&amp;"-"&amp;records_2[Class], dAirSpec[ID], dAirSpec[Spec])</f>
        <v>0</v>
      </c>
      <c r="AA951" s="45" t="str">
        <f t="array" ref="AA951">_xlfn.XLOOKUP(records_2[Method]&amp;"-"&amp;records_2[Class], dAirSpec[ID], dAirSpec[Unit])</f>
        <v>cfu/m3</v>
      </c>
      <c r="AB951" s="45" t="str">
        <f t="array" ref="AB951">if(R951="","", if(records_2[Method]="Active Air",_xlfn.xlookup(records_2[ColonyCount]&amp;records_2[AirSampler],feller[code],feller[Vc]),records_2[ColonyCount]))</f>
        <v/>
      </c>
      <c r="AC951" s="60" t="b">
        <f t="shared" si="1"/>
        <v>0</v>
      </c>
      <c r="AD951" s="61" t="b">
        <v>0</v>
      </c>
      <c r="AE951" s="32" t="s">
        <v>280</v>
      </c>
      <c r="AF951" s="46"/>
      <c r="AG951" s="46"/>
      <c r="AH951" s="46"/>
      <c r="AI951" s="46"/>
      <c r="AJ951" s="46"/>
    </row>
    <row r="952" ht="22.5" customHeight="1">
      <c r="A952" s="27">
        <v>46180.0</v>
      </c>
      <c r="B952" s="34" t="str">
        <f t="array" ref="B952">TEXT(A952, "MM-YYYY")</f>
        <v>06-2026</v>
      </c>
      <c r="C952" s="39" t="s">
        <v>774</v>
      </c>
      <c r="D952" s="36" t="s">
        <v>210</v>
      </c>
      <c r="E952" s="36" t="s">
        <v>531</v>
      </c>
      <c r="F952" s="29" t="b">
        <v>1</v>
      </c>
      <c r="G952" s="36" t="s">
        <v>214</v>
      </c>
      <c r="H952" s="36" t="s">
        <v>534</v>
      </c>
      <c r="I952" s="39"/>
      <c r="J952" s="40"/>
      <c r="K952" s="37" t="s">
        <v>194</v>
      </c>
      <c r="L952" s="37" t="s">
        <v>194</v>
      </c>
      <c r="M952" s="37" t="s">
        <v>194</v>
      </c>
      <c r="N952" s="37" t="s">
        <v>194</v>
      </c>
      <c r="O952" s="37" t="s">
        <v>223</v>
      </c>
      <c r="P952" s="37" t="s">
        <v>224</v>
      </c>
      <c r="Q952" s="41">
        <v>46218.0</v>
      </c>
      <c r="R952" s="42"/>
      <c r="S952" s="44" t="s">
        <v>194</v>
      </c>
      <c r="T952" s="37" t="s">
        <v>10</v>
      </c>
      <c r="U952" s="45" t="str">
        <f>IF(records_2[Type]="Room",records_2[roomNo],records_2[roomNo]&amp;"-"&amp;SUBSTITUTE(RIGHT(records_2[roomNo]&amp;records_2[Type],2),"-",""))</f>
        <v>16-1-084</v>
      </c>
      <c r="V952" s="47" t="str">
        <f t="array" ref="V952">_xlfn.XLOOKUP(records_2[ID], dAir[roomNo], dAir[roomName])</f>
        <v>FILLING 1</v>
      </c>
      <c r="W952" s="47" t="str">
        <f t="array" ref="W952">_xlfn.XLOOKUP(records_2[ID], dAir[roomNo], dAir[building])</f>
        <v>Building 16</v>
      </c>
      <c r="X952" s="47" t="str">
        <f t="array" ref="X952">_xlfn.XLOOKUP(records_2[ID], dAir[roomNo], dAir[floor])</f>
        <v>Floor 1</v>
      </c>
      <c r="Y952" s="45" t="str">
        <f t="array" ref="Y952">_xlfn.XLOOKUP(records_2[ID], dAir[roomNo], dAir[Class])</f>
        <v>C</v>
      </c>
      <c r="Z952" s="45">
        <f t="array" ref="Z952">_xlfn.XLOOKUP(records_2[Method]&amp;"-"&amp;records_2[Class], dAirSpec[ID], dAirSpec[Spec])</f>
        <v>100</v>
      </c>
      <c r="AA952" s="45" t="str">
        <f t="array" ref="AA952">_xlfn.XLOOKUP(records_2[Method]&amp;"-"&amp;records_2[Class], dAirSpec[ID], dAirSpec[Unit])</f>
        <v>cfu/m3</v>
      </c>
      <c r="AB952" s="45" t="str">
        <f t="array" ref="AB952">if(R952="","", if(records_2[Method]="Active Air",_xlfn.xlookup(records_2[ColonyCount]&amp;records_2[AirSampler],feller[code],feller[Vc]),records_2[ColonyCount]))</f>
        <v/>
      </c>
      <c r="AC952" s="60" t="b">
        <f t="shared" si="1"/>
        <v>0</v>
      </c>
      <c r="AD952" s="61" t="b">
        <v>0</v>
      </c>
      <c r="AE952" s="32" t="s">
        <v>280</v>
      </c>
      <c r="AF952" s="46"/>
      <c r="AG952" s="46"/>
      <c r="AH952" s="46"/>
      <c r="AI952" s="46"/>
      <c r="AJ952" s="46"/>
    </row>
    <row r="953" ht="22.5" customHeight="1">
      <c r="A953" s="27">
        <v>46180.0</v>
      </c>
      <c r="B953" s="34" t="str">
        <f t="array" ref="B953">TEXT(A953, "MM-YYYY")</f>
        <v>06-2026</v>
      </c>
      <c r="C953" s="39" t="s">
        <v>1162</v>
      </c>
      <c r="D953" s="36" t="s">
        <v>210</v>
      </c>
      <c r="E953" s="36" t="s">
        <v>531</v>
      </c>
      <c r="F953" s="29" t="b">
        <v>1</v>
      </c>
      <c r="G953" s="36" t="s">
        <v>214</v>
      </c>
      <c r="H953" s="36" t="s">
        <v>534</v>
      </c>
      <c r="I953" s="39"/>
      <c r="J953" s="40"/>
      <c r="K953" s="37" t="s">
        <v>194</v>
      </c>
      <c r="L953" s="37" t="s">
        <v>194</v>
      </c>
      <c r="M953" s="37" t="s">
        <v>194</v>
      </c>
      <c r="N953" s="37" t="s">
        <v>194</v>
      </c>
      <c r="O953" s="37" t="s">
        <v>223</v>
      </c>
      <c r="P953" s="37" t="s">
        <v>224</v>
      </c>
      <c r="Q953" s="41">
        <v>46218.0</v>
      </c>
      <c r="R953" s="42"/>
      <c r="S953" s="44" t="s">
        <v>194</v>
      </c>
      <c r="T953" s="37" t="s">
        <v>10</v>
      </c>
      <c r="U953" s="45" t="str">
        <f>IF(records_2[Type]="Room",records_2[roomNo],records_2[roomNo]&amp;"-"&amp;SUBSTITUTE(RIGHT(records_2[roomNo]&amp;records_2[Type],2),"-",""))</f>
        <v>16-1-085</v>
      </c>
      <c r="V953" s="47" t="str">
        <f t="array" ref="V953">_xlfn.XLOOKUP(records_2[ID], dAir[roomNo], dAir[roomName])</f>
        <v>IPQC</v>
      </c>
      <c r="W953" s="47" t="str">
        <f t="array" ref="W953">_xlfn.XLOOKUP(records_2[ID], dAir[roomNo], dAir[building])</f>
        <v>Building 16</v>
      </c>
      <c r="X953" s="47" t="str">
        <f t="array" ref="X953">_xlfn.XLOOKUP(records_2[ID], dAir[roomNo], dAir[floor])</f>
        <v>Floor 1</v>
      </c>
      <c r="Y953" s="45" t="str">
        <f t="array" ref="Y953">_xlfn.XLOOKUP(records_2[ID], dAir[roomNo], dAir[Class])</f>
        <v>C</v>
      </c>
      <c r="Z953" s="45">
        <f t="array" ref="Z953">_xlfn.XLOOKUP(records_2[Method]&amp;"-"&amp;records_2[Class], dAirSpec[ID], dAirSpec[Spec])</f>
        <v>100</v>
      </c>
      <c r="AA953" s="45" t="str">
        <f t="array" ref="AA953">_xlfn.XLOOKUP(records_2[Method]&amp;"-"&amp;records_2[Class], dAirSpec[ID], dAirSpec[Unit])</f>
        <v>cfu/m3</v>
      </c>
      <c r="AB953" s="45" t="str">
        <f t="array" ref="AB953">if(R953="","", if(records_2[Method]="Active Air",_xlfn.xlookup(records_2[ColonyCount]&amp;records_2[AirSampler],feller[code],feller[Vc]),records_2[ColonyCount]))</f>
        <v/>
      </c>
      <c r="AC953" s="60" t="b">
        <f t="shared" si="1"/>
        <v>0</v>
      </c>
      <c r="AD953" s="61" t="b">
        <v>0</v>
      </c>
      <c r="AE953" s="32" t="s">
        <v>280</v>
      </c>
      <c r="AF953" s="46"/>
      <c r="AG953" s="46"/>
      <c r="AH953" s="46"/>
      <c r="AI953" s="46"/>
      <c r="AJ953" s="46"/>
    </row>
    <row r="954" ht="22.5" customHeight="1">
      <c r="A954" s="27">
        <v>46180.0</v>
      </c>
      <c r="B954" s="34" t="str">
        <f t="array" ref="B954">TEXT(A954, "MM-YYYY")</f>
        <v>06-2026</v>
      </c>
      <c r="C954" s="39" t="s">
        <v>1174</v>
      </c>
      <c r="D954" s="36" t="s">
        <v>210</v>
      </c>
      <c r="E954" s="36" t="s">
        <v>531</v>
      </c>
      <c r="F954" s="29" t="b">
        <v>1</v>
      </c>
      <c r="G954" s="36" t="s">
        <v>214</v>
      </c>
      <c r="H954" s="36" t="s">
        <v>534</v>
      </c>
      <c r="I954" s="39"/>
      <c r="J954" s="40"/>
      <c r="K954" s="37" t="s">
        <v>194</v>
      </c>
      <c r="L954" s="37" t="s">
        <v>194</v>
      </c>
      <c r="M954" s="37" t="s">
        <v>194</v>
      </c>
      <c r="N954" s="37" t="s">
        <v>194</v>
      </c>
      <c r="O954" s="37" t="s">
        <v>223</v>
      </c>
      <c r="P954" s="37" t="s">
        <v>224</v>
      </c>
      <c r="Q954" s="41">
        <v>46218.0</v>
      </c>
      <c r="R954" s="42"/>
      <c r="S954" s="44" t="s">
        <v>194</v>
      </c>
      <c r="T954" s="37" t="s">
        <v>10</v>
      </c>
      <c r="U954" s="45" t="str">
        <f>IF(records_2[Type]="Room",records_2[roomNo],records_2[roomNo]&amp;"-"&amp;SUBSTITUTE(RIGHT(records_2[roomNo]&amp;records_2[Type],2),"-",""))</f>
        <v>16-1-086</v>
      </c>
      <c r="V954" s="47" t="str">
        <f t="array" ref="V954">_xlfn.XLOOKUP(records_2[ID], dAir[roomNo], dAir[roomName])</f>
        <v>CLEANED EQUIPMENT</v>
      </c>
      <c r="W954" s="47" t="str">
        <f t="array" ref="W954">_xlfn.XLOOKUP(records_2[ID], dAir[roomNo], dAir[building])</f>
        <v>Building 16</v>
      </c>
      <c r="X954" s="47" t="str">
        <f t="array" ref="X954">_xlfn.XLOOKUP(records_2[ID], dAir[roomNo], dAir[floor])</f>
        <v>Floor 1</v>
      </c>
      <c r="Y954" s="45" t="str">
        <f t="array" ref="Y954">_xlfn.XLOOKUP(records_2[ID], dAir[roomNo], dAir[Class])</f>
        <v>C</v>
      </c>
      <c r="Z954" s="45">
        <f t="array" ref="Z954">_xlfn.XLOOKUP(records_2[Method]&amp;"-"&amp;records_2[Class], dAirSpec[ID], dAirSpec[Spec])</f>
        <v>100</v>
      </c>
      <c r="AA954" s="45" t="str">
        <f t="array" ref="AA954">_xlfn.XLOOKUP(records_2[Method]&amp;"-"&amp;records_2[Class], dAirSpec[ID], dAirSpec[Unit])</f>
        <v>cfu/m3</v>
      </c>
      <c r="AB954" s="45" t="str">
        <f t="array" ref="AB954">if(R954="","", if(records_2[Method]="Active Air",_xlfn.xlookup(records_2[ColonyCount]&amp;records_2[AirSampler],feller[code],feller[Vc]),records_2[ColonyCount]))</f>
        <v/>
      </c>
      <c r="AC954" s="60" t="b">
        <f t="shared" si="1"/>
        <v>0</v>
      </c>
      <c r="AD954" s="61" t="b">
        <v>0</v>
      </c>
      <c r="AE954" s="32" t="s">
        <v>280</v>
      </c>
      <c r="AF954" s="46"/>
      <c r="AG954" s="46"/>
      <c r="AH954" s="46"/>
      <c r="AI954" s="46"/>
      <c r="AJ954" s="46"/>
    </row>
    <row r="955" ht="22.5" customHeight="1">
      <c r="A955" s="27">
        <v>46180.0</v>
      </c>
      <c r="B955" s="34" t="str">
        <f t="array" ref="B955">TEXT(A955, "MM-YYYY")</f>
        <v>06-2026</v>
      </c>
      <c r="C955" s="39" t="s">
        <v>1194</v>
      </c>
      <c r="D955" s="36" t="s">
        <v>210</v>
      </c>
      <c r="E955" s="36" t="s">
        <v>531</v>
      </c>
      <c r="F955" s="29" t="b">
        <v>1</v>
      </c>
      <c r="G955" s="36" t="s">
        <v>214</v>
      </c>
      <c r="H955" s="36" t="s">
        <v>534</v>
      </c>
      <c r="I955" s="39"/>
      <c r="J955" s="40"/>
      <c r="K955" s="37" t="s">
        <v>194</v>
      </c>
      <c r="L955" s="37" t="s">
        <v>194</v>
      </c>
      <c r="M955" s="37" t="s">
        <v>194</v>
      </c>
      <c r="N955" s="37" t="s">
        <v>194</v>
      </c>
      <c r="O955" s="37" t="s">
        <v>223</v>
      </c>
      <c r="P955" s="37" t="s">
        <v>224</v>
      </c>
      <c r="Q955" s="41">
        <v>46218.0</v>
      </c>
      <c r="R955" s="42"/>
      <c r="S955" s="44" t="s">
        <v>194</v>
      </c>
      <c r="T955" s="37" t="s">
        <v>10</v>
      </c>
      <c r="U955" s="45" t="str">
        <f>IF(records_2[Type]="Room",records_2[roomNo],records_2[roomNo]&amp;"-"&amp;SUBSTITUTE(RIGHT(records_2[roomNo]&amp;records_2[Type],2),"-",""))</f>
        <v>16-1-087</v>
      </c>
      <c r="V955" s="47" t="str">
        <f t="array" ref="V955">_xlfn.XLOOKUP(records_2[ID], dAir[roomNo], dAir[roomName])</f>
        <v>MEN PAL</v>
      </c>
      <c r="W955" s="47" t="str">
        <f t="array" ref="W955">_xlfn.XLOOKUP(records_2[ID], dAir[roomNo], dAir[building])</f>
        <v>Building 16</v>
      </c>
      <c r="X955" s="47" t="str">
        <f t="array" ref="X955">_xlfn.XLOOKUP(records_2[ID], dAir[roomNo], dAir[floor])</f>
        <v>Floor 1</v>
      </c>
      <c r="Y955" s="45" t="str">
        <f t="array" ref="Y955">_xlfn.XLOOKUP(records_2[ID], dAir[roomNo], dAir[Class])</f>
        <v>D</v>
      </c>
      <c r="Z955" s="45">
        <f t="array" ref="Z955">_xlfn.XLOOKUP(records_2[Method]&amp;"-"&amp;records_2[Class], dAirSpec[ID], dAirSpec[Spec])</f>
        <v>200</v>
      </c>
      <c r="AA955" s="45" t="str">
        <f t="array" ref="AA955">_xlfn.XLOOKUP(records_2[Method]&amp;"-"&amp;records_2[Class], dAirSpec[ID], dAirSpec[Unit])</f>
        <v>cfu/m3</v>
      </c>
      <c r="AB955" s="45" t="str">
        <f t="array" ref="AB955">if(R955="","", if(records_2[Method]="Active Air",_xlfn.xlookup(records_2[ColonyCount]&amp;records_2[AirSampler],feller[code],feller[Vc]),records_2[ColonyCount]))</f>
        <v/>
      </c>
      <c r="AC955" s="60" t="b">
        <f t="shared" si="1"/>
        <v>0</v>
      </c>
      <c r="AD955" s="61" t="b">
        <v>0</v>
      </c>
      <c r="AE955" s="32" t="s">
        <v>280</v>
      </c>
      <c r="AF955" s="46"/>
      <c r="AG955" s="46"/>
      <c r="AH955" s="46"/>
      <c r="AI955" s="46"/>
      <c r="AJ955" s="46"/>
    </row>
    <row r="956" ht="22.5" customHeight="1">
      <c r="A956" s="27">
        <v>46180.0</v>
      </c>
      <c r="B956" s="34" t="str">
        <f t="array" ref="B956">TEXT(A956, "MM-YYYY")</f>
        <v>06-2026</v>
      </c>
      <c r="C956" s="39" t="s">
        <v>1226</v>
      </c>
      <c r="D956" s="36" t="s">
        <v>210</v>
      </c>
      <c r="E956" s="36" t="s">
        <v>531</v>
      </c>
      <c r="F956" s="29" t="b">
        <v>1</v>
      </c>
      <c r="G956" s="36" t="s">
        <v>214</v>
      </c>
      <c r="H956" s="36" t="s">
        <v>534</v>
      </c>
      <c r="I956" s="39"/>
      <c r="J956" s="40"/>
      <c r="K956" s="37" t="s">
        <v>194</v>
      </c>
      <c r="L956" s="37" t="s">
        <v>194</v>
      </c>
      <c r="M956" s="37" t="s">
        <v>194</v>
      </c>
      <c r="N956" s="37" t="s">
        <v>194</v>
      </c>
      <c r="O956" s="37" t="s">
        <v>223</v>
      </c>
      <c r="P956" s="37" t="s">
        <v>224</v>
      </c>
      <c r="Q956" s="41">
        <v>46218.0</v>
      </c>
      <c r="R956" s="42"/>
      <c r="S956" s="44" t="s">
        <v>194</v>
      </c>
      <c r="T956" s="37" t="s">
        <v>10</v>
      </c>
      <c r="U956" s="45" t="str">
        <f>IF(records_2[Type]="Room",records_2[roomNo],records_2[roomNo]&amp;"-"&amp;SUBSTITUTE(RIGHT(records_2[roomNo]&amp;records_2[Type],2),"-",""))</f>
        <v>16-1-088</v>
      </c>
      <c r="V956" s="47" t="str">
        <f t="array" ref="V956">_xlfn.XLOOKUP(records_2[ID], dAir[roomNo], dAir[roomName])</f>
        <v>MEN PROCESS CHANGE</v>
      </c>
      <c r="W956" s="47" t="str">
        <f t="array" ref="W956">_xlfn.XLOOKUP(records_2[ID], dAir[roomNo], dAir[building])</f>
        <v>Building 16</v>
      </c>
      <c r="X956" s="47" t="str">
        <f t="array" ref="X956">_xlfn.XLOOKUP(records_2[ID], dAir[roomNo], dAir[floor])</f>
        <v>Floor 1</v>
      </c>
      <c r="Y956" s="45" t="str">
        <f t="array" ref="Y956">_xlfn.XLOOKUP(records_2[ID], dAir[roomNo], dAir[Class])</f>
        <v>C</v>
      </c>
      <c r="Z956" s="45">
        <f t="array" ref="Z956">_xlfn.XLOOKUP(records_2[Method]&amp;"-"&amp;records_2[Class], dAirSpec[ID], dAirSpec[Spec])</f>
        <v>100</v>
      </c>
      <c r="AA956" s="45" t="str">
        <f t="array" ref="AA956">_xlfn.XLOOKUP(records_2[Method]&amp;"-"&amp;records_2[Class], dAirSpec[ID], dAirSpec[Unit])</f>
        <v>cfu/m3</v>
      </c>
      <c r="AB956" s="45" t="str">
        <f t="array" ref="AB956">if(R956="","", if(records_2[Method]="Active Air",_xlfn.xlookup(records_2[ColonyCount]&amp;records_2[AirSampler],feller[code],feller[Vc]),records_2[ColonyCount]))</f>
        <v/>
      </c>
      <c r="AC956" s="60" t="b">
        <f t="shared" si="1"/>
        <v>0</v>
      </c>
      <c r="AD956" s="61" t="b">
        <v>0</v>
      </c>
      <c r="AE956" s="32" t="s">
        <v>280</v>
      </c>
      <c r="AF956" s="46"/>
      <c r="AG956" s="46"/>
      <c r="AH956" s="46"/>
      <c r="AI956" s="46"/>
      <c r="AJ956" s="46"/>
    </row>
    <row r="957" ht="22.5" customHeight="1">
      <c r="A957" s="27">
        <v>46180.0</v>
      </c>
      <c r="B957" s="34" t="str">
        <f t="array" ref="B957">TEXT(A957, "MM-YYYY")</f>
        <v>06-2026</v>
      </c>
      <c r="C957" s="39" t="s">
        <v>1250</v>
      </c>
      <c r="D957" s="36" t="s">
        <v>210</v>
      </c>
      <c r="E957" s="36" t="s">
        <v>531</v>
      </c>
      <c r="F957" s="29" t="b">
        <v>1</v>
      </c>
      <c r="G957" s="36" t="s">
        <v>214</v>
      </c>
      <c r="H957" s="36" t="s">
        <v>534</v>
      </c>
      <c r="I957" s="39"/>
      <c r="J957" s="40"/>
      <c r="K957" s="37" t="s">
        <v>194</v>
      </c>
      <c r="L957" s="37" t="s">
        <v>194</v>
      </c>
      <c r="M957" s="37" t="s">
        <v>194</v>
      </c>
      <c r="N957" s="37" t="s">
        <v>194</v>
      </c>
      <c r="O957" s="37" t="s">
        <v>223</v>
      </c>
      <c r="P957" s="37" t="s">
        <v>224</v>
      </c>
      <c r="Q957" s="41">
        <v>46218.0</v>
      </c>
      <c r="R957" s="42"/>
      <c r="S957" s="44" t="s">
        <v>194</v>
      </c>
      <c r="T957" s="37" t="s">
        <v>10</v>
      </c>
      <c r="U957" s="45" t="str">
        <f>IF(records_2[Type]="Room",records_2[roomNo],records_2[roomNo]&amp;"-"&amp;SUBSTITUTE(RIGHT(records_2[roomNo]&amp;records_2[Type],2),"-",""))</f>
        <v>16-1-089</v>
      </c>
      <c r="V957" s="47" t="str">
        <f t="array" ref="V957">_xlfn.XLOOKUP(records_2[ID], dAir[roomNo], dAir[roomName])</f>
        <v>WOMEN PAL</v>
      </c>
      <c r="W957" s="47" t="str">
        <f t="array" ref="W957">_xlfn.XLOOKUP(records_2[ID], dAir[roomNo], dAir[building])</f>
        <v>Building 16</v>
      </c>
      <c r="X957" s="47" t="str">
        <f t="array" ref="X957">_xlfn.XLOOKUP(records_2[ID], dAir[roomNo], dAir[floor])</f>
        <v>Floor 1</v>
      </c>
      <c r="Y957" s="45" t="str">
        <f t="array" ref="Y957">_xlfn.XLOOKUP(records_2[ID], dAir[roomNo], dAir[Class])</f>
        <v>D</v>
      </c>
      <c r="Z957" s="45">
        <f t="array" ref="Z957">_xlfn.XLOOKUP(records_2[Method]&amp;"-"&amp;records_2[Class], dAirSpec[ID], dAirSpec[Spec])</f>
        <v>200</v>
      </c>
      <c r="AA957" s="45" t="str">
        <f t="array" ref="AA957">_xlfn.XLOOKUP(records_2[Method]&amp;"-"&amp;records_2[Class], dAirSpec[ID], dAirSpec[Unit])</f>
        <v>cfu/m3</v>
      </c>
      <c r="AB957" s="45" t="str">
        <f t="array" ref="AB957">if(R957="","", if(records_2[Method]="Active Air",_xlfn.xlookup(records_2[ColonyCount]&amp;records_2[AirSampler],feller[code],feller[Vc]),records_2[ColonyCount]))</f>
        <v/>
      </c>
      <c r="AC957" s="60" t="b">
        <f t="shared" si="1"/>
        <v>0</v>
      </c>
      <c r="AD957" s="61" t="b">
        <v>0</v>
      </c>
      <c r="AE957" s="32" t="s">
        <v>280</v>
      </c>
      <c r="AF957" s="46"/>
      <c r="AG957" s="46"/>
      <c r="AH957" s="46"/>
      <c r="AI957" s="46"/>
      <c r="AJ957" s="46"/>
    </row>
    <row r="958" ht="22.5" customHeight="1">
      <c r="A958" s="27">
        <v>46180.0</v>
      </c>
      <c r="B958" s="34" t="str">
        <f t="array" ref="B958">TEXT(A958, "MM-YYYY")</f>
        <v>06-2026</v>
      </c>
      <c r="C958" s="39" t="s">
        <v>1273</v>
      </c>
      <c r="D958" s="36" t="s">
        <v>210</v>
      </c>
      <c r="E958" s="36" t="s">
        <v>531</v>
      </c>
      <c r="F958" s="29" t="b">
        <v>1</v>
      </c>
      <c r="G958" s="36" t="s">
        <v>214</v>
      </c>
      <c r="H958" s="36" t="s">
        <v>534</v>
      </c>
      <c r="I958" s="39"/>
      <c r="J958" s="40"/>
      <c r="K958" s="37" t="s">
        <v>194</v>
      </c>
      <c r="L958" s="37" t="s">
        <v>194</v>
      </c>
      <c r="M958" s="37" t="s">
        <v>194</v>
      </c>
      <c r="N958" s="37" t="s">
        <v>194</v>
      </c>
      <c r="O958" s="37" t="s">
        <v>223</v>
      </c>
      <c r="P958" s="37" t="s">
        <v>224</v>
      </c>
      <c r="Q958" s="41">
        <v>46218.0</v>
      </c>
      <c r="R958" s="42"/>
      <c r="S958" s="44" t="s">
        <v>194</v>
      </c>
      <c r="T958" s="37" t="s">
        <v>10</v>
      </c>
      <c r="U958" s="45" t="str">
        <f>IF(records_2[Type]="Room",records_2[roomNo],records_2[roomNo]&amp;"-"&amp;SUBSTITUTE(RIGHT(records_2[roomNo]&amp;records_2[Type],2),"-",""))</f>
        <v>16-1-090</v>
      </c>
      <c r="V958" s="47" t="str">
        <f t="array" ref="V958">_xlfn.XLOOKUP(records_2[ID], dAir[roomNo], dAir[roomName])</f>
        <v>WOMEN PROCESS CHANGE</v>
      </c>
      <c r="W958" s="47" t="str">
        <f t="array" ref="W958">_xlfn.XLOOKUP(records_2[ID], dAir[roomNo], dAir[building])</f>
        <v>Building 16</v>
      </c>
      <c r="X958" s="47" t="str">
        <f t="array" ref="X958">_xlfn.XLOOKUP(records_2[ID], dAir[roomNo], dAir[floor])</f>
        <v>Floor 1</v>
      </c>
      <c r="Y958" s="45" t="str">
        <f t="array" ref="Y958">_xlfn.XLOOKUP(records_2[ID], dAir[roomNo], dAir[Class])</f>
        <v>C</v>
      </c>
      <c r="Z958" s="45">
        <f t="array" ref="Z958">_xlfn.XLOOKUP(records_2[Method]&amp;"-"&amp;records_2[Class], dAirSpec[ID], dAirSpec[Spec])</f>
        <v>100</v>
      </c>
      <c r="AA958" s="45" t="str">
        <f t="array" ref="AA958">_xlfn.XLOOKUP(records_2[Method]&amp;"-"&amp;records_2[Class], dAirSpec[ID], dAirSpec[Unit])</f>
        <v>cfu/m3</v>
      </c>
      <c r="AB958" s="45" t="str">
        <f t="array" ref="AB958">if(R958="","", if(records_2[Method]="Active Air",_xlfn.xlookup(records_2[ColonyCount]&amp;records_2[AirSampler],feller[code],feller[Vc]),records_2[ColonyCount]))</f>
        <v/>
      </c>
      <c r="AC958" s="60" t="b">
        <f t="shared" si="1"/>
        <v>0</v>
      </c>
      <c r="AD958" s="61" t="b">
        <v>0</v>
      </c>
      <c r="AE958" s="32" t="s">
        <v>280</v>
      </c>
      <c r="AF958" s="46"/>
      <c r="AG958" s="46"/>
      <c r="AH958" s="46"/>
      <c r="AI958" s="46"/>
      <c r="AJ958" s="46"/>
    </row>
    <row r="959" ht="22.5" customHeight="1">
      <c r="A959" s="27">
        <v>46180.0</v>
      </c>
      <c r="B959" s="34" t="str">
        <f t="array" ref="B959">TEXT(A959, "MM-YYYY")</f>
        <v>06-2026</v>
      </c>
      <c r="C959" s="39" t="s">
        <v>1311</v>
      </c>
      <c r="D959" s="36" t="s">
        <v>210</v>
      </c>
      <c r="E959" s="36" t="s">
        <v>531</v>
      </c>
      <c r="F959" s="29" t="b">
        <v>1</v>
      </c>
      <c r="G959" s="36" t="s">
        <v>214</v>
      </c>
      <c r="H959" s="36" t="s">
        <v>534</v>
      </c>
      <c r="I959" s="39"/>
      <c r="J959" s="40"/>
      <c r="K959" s="37" t="s">
        <v>194</v>
      </c>
      <c r="L959" s="37" t="s">
        <v>194</v>
      </c>
      <c r="M959" s="37" t="s">
        <v>194</v>
      </c>
      <c r="N959" s="37" t="s">
        <v>194</v>
      </c>
      <c r="O959" s="37" t="s">
        <v>223</v>
      </c>
      <c r="P959" s="37" t="s">
        <v>224</v>
      </c>
      <c r="Q959" s="41">
        <v>46218.0</v>
      </c>
      <c r="R959" s="42"/>
      <c r="S959" s="29" t="s">
        <v>1318</v>
      </c>
      <c r="T959" s="37" t="s">
        <v>10</v>
      </c>
      <c r="U959" s="45" t="str">
        <f>IF(records_2[Type]="Room",records_2[roomNo],records_2[roomNo]&amp;"-"&amp;SUBSTITUTE(RIGHT(records_2[roomNo]&amp;records_2[Type],2),"-",""))</f>
        <v>16-1-091</v>
      </c>
      <c r="V959" s="47" t="str">
        <f t="array" ref="V959">_xlfn.XLOOKUP(records_2[ID], dAir[roomNo], dAir[roomName])</f>
        <v>CORRIDOR</v>
      </c>
      <c r="W959" s="47" t="str">
        <f t="array" ref="W959">_xlfn.XLOOKUP(records_2[ID], dAir[roomNo], dAir[building])</f>
        <v>Building 16</v>
      </c>
      <c r="X959" s="47" t="str">
        <f t="array" ref="X959">_xlfn.XLOOKUP(records_2[ID], dAir[roomNo], dAir[floor])</f>
        <v>Floor 1</v>
      </c>
      <c r="Y959" s="45" t="str">
        <f t="array" ref="Y959">_xlfn.XLOOKUP(records_2[ID], dAir[roomNo], dAir[Class])</f>
        <v>C</v>
      </c>
      <c r="Z959" s="45">
        <f t="array" ref="Z959">_xlfn.XLOOKUP(records_2[Method]&amp;"-"&amp;records_2[Class], dAirSpec[ID], dAirSpec[Spec])</f>
        <v>100</v>
      </c>
      <c r="AA959" s="45" t="str">
        <f t="array" ref="AA959">_xlfn.XLOOKUP(records_2[Method]&amp;"-"&amp;records_2[Class], dAirSpec[ID], dAirSpec[Unit])</f>
        <v>cfu/m3</v>
      </c>
      <c r="AB959" s="45" t="str">
        <f t="array" ref="AB959">if(R959="","", if(records_2[Method]="Active Air",_xlfn.xlookup(records_2[ColonyCount]&amp;records_2[AirSampler],feller[code],feller[Vc]),records_2[ColonyCount]))</f>
        <v/>
      </c>
      <c r="AC959" s="60" t="b">
        <f t="shared" si="1"/>
        <v>0</v>
      </c>
      <c r="AD959" s="61" t="b">
        <v>0</v>
      </c>
      <c r="AE959" s="32" t="s">
        <v>280</v>
      </c>
      <c r="AF959" s="46"/>
      <c r="AG959" s="46"/>
      <c r="AH959" s="46"/>
      <c r="AI959" s="46"/>
      <c r="AJ959" s="46"/>
    </row>
    <row r="960" ht="22.5" customHeight="1">
      <c r="A960" s="27">
        <v>46180.0</v>
      </c>
      <c r="B960" s="34" t="str">
        <f t="array" ref="B960">TEXT(A960, "MM-YYYY")</f>
        <v>06-2026</v>
      </c>
      <c r="C960" s="39" t="s">
        <v>1311</v>
      </c>
      <c r="D960" s="36" t="s">
        <v>1350</v>
      </c>
      <c r="E960" s="36" t="s">
        <v>531</v>
      </c>
      <c r="F960" s="29" t="b">
        <v>1</v>
      </c>
      <c r="G960" s="36" t="s">
        <v>214</v>
      </c>
      <c r="H960" s="36" t="s">
        <v>534</v>
      </c>
      <c r="I960" s="39"/>
      <c r="J960" s="40"/>
      <c r="K960" s="37" t="s">
        <v>194</v>
      </c>
      <c r="L960" s="37" t="s">
        <v>194</v>
      </c>
      <c r="M960" s="37" t="s">
        <v>194</v>
      </c>
      <c r="N960" s="37" t="s">
        <v>194</v>
      </c>
      <c r="O960" s="37" t="s">
        <v>223</v>
      </c>
      <c r="P960" s="37" t="s">
        <v>224</v>
      </c>
      <c r="Q960" s="41">
        <v>46218.0</v>
      </c>
      <c r="R960" s="42"/>
      <c r="S960" s="29" t="s">
        <v>2267</v>
      </c>
      <c r="T960" s="37" t="s">
        <v>10</v>
      </c>
      <c r="U960" s="45" t="str">
        <f>IF(records_2[Type]="Room",records_2[roomNo],records_2[roomNo]&amp;"-"&amp;SUBSTITUTE(RIGHT(records_2[roomNo]&amp;records_2[Type],2),"-",""))</f>
        <v>16-1-091-PB</v>
      </c>
      <c r="V960" s="47" t="str">
        <f t="array" ref="V960">_xlfn.XLOOKUP(records_2[ID], dAir[roomNo], dAir[roomName])</f>
        <v>CORRIDOR (Passbox)</v>
      </c>
      <c r="W960" s="47" t="str">
        <f t="array" ref="W960">_xlfn.XLOOKUP(records_2[ID], dAir[roomNo], dAir[building])</f>
        <v>Building 16</v>
      </c>
      <c r="X960" s="47" t="str">
        <f t="array" ref="X960">_xlfn.XLOOKUP(records_2[ID], dAir[roomNo], dAir[floor])</f>
        <v>Floor 1</v>
      </c>
      <c r="Y960" s="45" t="str">
        <f t="array" ref="Y960">_xlfn.XLOOKUP(records_2[ID], dAir[roomNo], dAir[Class])</f>
        <v>C</v>
      </c>
      <c r="Z960" s="45">
        <f t="array" ref="Z960">_xlfn.XLOOKUP(records_2[Method]&amp;"-"&amp;records_2[Class], dAirSpec[ID], dAirSpec[Spec])</f>
        <v>100</v>
      </c>
      <c r="AA960" s="45" t="str">
        <f t="array" ref="AA960">_xlfn.XLOOKUP(records_2[Method]&amp;"-"&amp;records_2[Class], dAirSpec[ID], dAirSpec[Unit])</f>
        <v>cfu/m3</v>
      </c>
      <c r="AB960" s="45" t="str">
        <f t="array" ref="AB960">if(R960="","", if(records_2[Method]="Active Air",_xlfn.xlookup(records_2[ColonyCount]&amp;records_2[AirSampler],feller[code],feller[Vc]),records_2[ColonyCount]))</f>
        <v/>
      </c>
      <c r="AC960" s="60" t="b">
        <f t="shared" si="1"/>
        <v>0</v>
      </c>
      <c r="AD960" s="61" t="b">
        <v>0</v>
      </c>
      <c r="AE960" s="32" t="s">
        <v>280</v>
      </c>
      <c r="AF960" s="46"/>
      <c r="AG960" s="46"/>
      <c r="AH960" s="46"/>
      <c r="AI960" s="46"/>
      <c r="AJ960" s="46"/>
    </row>
    <row r="961" ht="22.5" customHeight="1">
      <c r="A961" s="27">
        <v>46180.0</v>
      </c>
      <c r="B961" s="34" t="str">
        <f t="array" ref="B961">TEXT(A961, "MM-YYYY")</f>
        <v>06-2026</v>
      </c>
      <c r="C961" s="39" t="s">
        <v>1041</v>
      </c>
      <c r="D961" s="36" t="s">
        <v>1350</v>
      </c>
      <c r="E961" s="36" t="s">
        <v>531</v>
      </c>
      <c r="F961" s="29" t="b">
        <v>1</v>
      </c>
      <c r="G961" s="36" t="s">
        <v>214</v>
      </c>
      <c r="H961" s="36" t="s">
        <v>203</v>
      </c>
      <c r="I961" s="39"/>
      <c r="J961" s="40"/>
      <c r="K961" s="37" t="s">
        <v>194</v>
      </c>
      <c r="L961" s="37" t="s">
        <v>194</v>
      </c>
      <c r="M961" s="37" t="s">
        <v>194</v>
      </c>
      <c r="N961" s="37" t="s">
        <v>194</v>
      </c>
      <c r="O961" s="37" t="s">
        <v>223</v>
      </c>
      <c r="P961" s="37" t="s">
        <v>224</v>
      </c>
      <c r="Q961" s="41">
        <v>46218.0</v>
      </c>
      <c r="R961" s="42"/>
      <c r="S961" s="29" t="s">
        <v>2258</v>
      </c>
      <c r="T961" s="37" t="s">
        <v>10</v>
      </c>
      <c r="U961" s="45" t="str">
        <f>IF(records_2[Type]="Room",records_2[roomNo],records_2[roomNo]&amp;"-"&amp;SUBSTITUTE(RIGHT(records_2[roomNo]&amp;records_2[Type],2),"-",""))</f>
        <v>16-1-078-PB</v>
      </c>
      <c r="V961" s="47" t="str">
        <f t="array" ref="V961">_xlfn.XLOOKUP(records_2[ID], dAir[roomNo], dAir[roomName])</f>
        <v>PASSAGE (Passbox)</v>
      </c>
      <c r="W961" s="47" t="str">
        <f t="array" ref="W961">_xlfn.XLOOKUP(records_2[ID], dAir[roomNo], dAir[building])</f>
        <v>Building 16</v>
      </c>
      <c r="X961" s="47" t="str">
        <f t="array" ref="X961">_xlfn.XLOOKUP(records_2[ID], dAir[roomNo], dAir[floor])</f>
        <v>Floor 1</v>
      </c>
      <c r="Y961" s="45" t="str">
        <f t="array" ref="Y961">_xlfn.XLOOKUP(records_2[ID], dAir[roomNo], dAir[Class])</f>
        <v>C</v>
      </c>
      <c r="Z961" s="45">
        <f t="array" ref="Z961">_xlfn.XLOOKUP(records_2[Method]&amp;"-"&amp;records_2[Class], dAirSpec[ID], dAirSpec[Spec])</f>
        <v>100</v>
      </c>
      <c r="AA961" s="45" t="str">
        <f t="array" ref="AA961">_xlfn.XLOOKUP(records_2[Method]&amp;"-"&amp;records_2[Class], dAirSpec[ID], dAirSpec[Unit])</f>
        <v>cfu/m3</v>
      </c>
      <c r="AB961" s="45" t="str">
        <f t="array" ref="AB961">if(R961="","", if(records_2[Method]="Active Air",_xlfn.xlookup(records_2[ColonyCount]&amp;records_2[AirSampler],feller[code],feller[Vc]),records_2[ColonyCount]))</f>
        <v/>
      </c>
      <c r="AC961" s="60" t="b">
        <f t="shared" si="1"/>
        <v>0</v>
      </c>
      <c r="AD961" s="61" t="b">
        <v>0</v>
      </c>
      <c r="AE961" s="32" t="s">
        <v>280</v>
      </c>
      <c r="AF961" s="46"/>
      <c r="AG961" s="46"/>
      <c r="AH961" s="46"/>
      <c r="AI961" s="46"/>
      <c r="AJ961" s="46"/>
    </row>
    <row r="962" ht="22.5" customHeight="1">
      <c r="A962" s="27">
        <v>46180.0</v>
      </c>
      <c r="B962" s="34" t="str">
        <f t="array" ref="B962">TEXT(A962, "MM-YYYY")</f>
        <v>06-2026</v>
      </c>
      <c r="C962" s="39" t="s">
        <v>1311</v>
      </c>
      <c r="D962" s="36" t="s">
        <v>210</v>
      </c>
      <c r="E962" s="36" t="s">
        <v>531</v>
      </c>
      <c r="F962" s="29" t="b">
        <v>1</v>
      </c>
      <c r="G962" s="36" t="s">
        <v>214</v>
      </c>
      <c r="H962" s="36" t="s">
        <v>203</v>
      </c>
      <c r="I962" s="39"/>
      <c r="J962" s="40"/>
      <c r="K962" s="37" t="s">
        <v>194</v>
      </c>
      <c r="L962" s="37" t="s">
        <v>194</v>
      </c>
      <c r="M962" s="37" t="s">
        <v>194</v>
      </c>
      <c r="N962" s="37" t="s">
        <v>194</v>
      </c>
      <c r="O962" s="37" t="s">
        <v>223</v>
      </c>
      <c r="P962" s="37" t="s">
        <v>224</v>
      </c>
      <c r="Q962" s="41">
        <v>46218.0</v>
      </c>
      <c r="R962" s="42"/>
      <c r="S962" s="29" t="s">
        <v>1403</v>
      </c>
      <c r="T962" s="37" t="s">
        <v>10</v>
      </c>
      <c r="U962" s="45" t="str">
        <f>IF(records_2[Type]="Room",records_2[roomNo],records_2[roomNo]&amp;"-"&amp;SUBSTITUTE(RIGHT(records_2[roomNo]&amp;records_2[Type],2),"-",""))</f>
        <v>16-1-091</v>
      </c>
      <c r="V962" s="47" t="str">
        <f t="array" ref="V962">_xlfn.XLOOKUP(records_2[ID], dAir[roomNo], dAir[roomName])</f>
        <v>CORRIDOR</v>
      </c>
      <c r="W962" s="47" t="str">
        <f t="array" ref="W962">_xlfn.XLOOKUP(records_2[ID], dAir[roomNo], dAir[building])</f>
        <v>Building 16</v>
      </c>
      <c r="X962" s="47" t="str">
        <f t="array" ref="X962">_xlfn.XLOOKUP(records_2[ID], dAir[roomNo], dAir[floor])</f>
        <v>Floor 1</v>
      </c>
      <c r="Y962" s="45" t="str">
        <f t="array" ref="Y962">_xlfn.XLOOKUP(records_2[ID], dAir[roomNo], dAir[Class])</f>
        <v>C</v>
      </c>
      <c r="Z962" s="45">
        <f t="array" ref="Z962">_xlfn.XLOOKUP(records_2[Method]&amp;"-"&amp;records_2[Class], dAirSpec[ID], dAirSpec[Spec])</f>
        <v>100</v>
      </c>
      <c r="AA962" s="45" t="str">
        <f t="array" ref="AA962">_xlfn.XLOOKUP(records_2[Method]&amp;"-"&amp;records_2[Class], dAirSpec[ID], dAirSpec[Unit])</f>
        <v>cfu/m3</v>
      </c>
      <c r="AB962" s="45" t="str">
        <f t="array" ref="AB962">if(R962="","", if(records_2[Method]="Active Air",_xlfn.xlookup(records_2[ColonyCount]&amp;records_2[AirSampler],feller[code],feller[Vc]),records_2[ColonyCount]))</f>
        <v/>
      </c>
      <c r="AC962" s="60" t="b">
        <f t="shared" si="1"/>
        <v>0</v>
      </c>
      <c r="AD962" s="61" t="b">
        <v>0</v>
      </c>
      <c r="AE962" s="32" t="s">
        <v>280</v>
      </c>
      <c r="AF962" s="46"/>
      <c r="AG962" s="46"/>
      <c r="AH962" s="46"/>
      <c r="AI962" s="46"/>
      <c r="AJ962" s="46"/>
    </row>
    <row r="963" ht="22.5" customHeight="1">
      <c r="A963" s="27">
        <v>46180.0</v>
      </c>
      <c r="B963" s="34" t="str">
        <f t="array" ref="B963">TEXT(A963, "MM-YYYY")</f>
        <v>06-2026</v>
      </c>
      <c r="C963" s="39" t="s">
        <v>1412</v>
      </c>
      <c r="D963" s="36" t="s">
        <v>210</v>
      </c>
      <c r="E963" s="36" t="s">
        <v>531</v>
      </c>
      <c r="F963" s="29" t="b">
        <v>1</v>
      </c>
      <c r="G963" s="36" t="s">
        <v>214</v>
      </c>
      <c r="H963" s="36" t="s">
        <v>534</v>
      </c>
      <c r="I963" s="39"/>
      <c r="J963" s="40"/>
      <c r="K963" s="37" t="s">
        <v>194</v>
      </c>
      <c r="L963" s="37" t="s">
        <v>194</v>
      </c>
      <c r="M963" s="37" t="s">
        <v>194</v>
      </c>
      <c r="N963" s="37" t="s">
        <v>194</v>
      </c>
      <c r="O963" s="37" t="s">
        <v>223</v>
      </c>
      <c r="P963" s="37" t="s">
        <v>224</v>
      </c>
      <c r="Q963" s="41">
        <v>46218.0</v>
      </c>
      <c r="R963" s="42"/>
      <c r="S963" s="44" t="s">
        <v>194</v>
      </c>
      <c r="T963" s="37" t="s">
        <v>10</v>
      </c>
      <c r="U963" s="45" t="str">
        <f>IF(records_2[Type]="Room",records_2[roomNo],records_2[roomNo]&amp;"-"&amp;SUBSTITUTE(RIGHT(records_2[roomNo]&amp;records_2[Type],2),"-",""))</f>
        <v>16-1-092</v>
      </c>
      <c r="V963" s="47" t="str">
        <f t="array" ref="V963">_xlfn.XLOOKUP(records_2[ID], dAir[roomNo], dAir[roomName])</f>
        <v>LINEN WASHING</v>
      </c>
      <c r="W963" s="47" t="str">
        <f t="array" ref="W963">_xlfn.XLOOKUP(records_2[ID], dAir[roomNo], dAir[building])</f>
        <v>Building 16</v>
      </c>
      <c r="X963" s="47" t="str">
        <f t="array" ref="X963">_xlfn.XLOOKUP(records_2[ID], dAir[roomNo], dAir[floor])</f>
        <v>Floor 1</v>
      </c>
      <c r="Y963" s="45" t="str">
        <f t="array" ref="Y963">_xlfn.XLOOKUP(records_2[ID], dAir[roomNo], dAir[Class])</f>
        <v>C</v>
      </c>
      <c r="Z963" s="45">
        <f t="array" ref="Z963">_xlfn.XLOOKUP(records_2[Method]&amp;"-"&amp;records_2[Class], dAirSpec[ID], dAirSpec[Spec])</f>
        <v>100</v>
      </c>
      <c r="AA963" s="45" t="str">
        <f t="array" ref="AA963">_xlfn.XLOOKUP(records_2[Method]&amp;"-"&amp;records_2[Class], dAirSpec[ID], dAirSpec[Unit])</f>
        <v>cfu/m3</v>
      </c>
      <c r="AB963" s="45" t="str">
        <f t="array" ref="AB963">if(R963="","", if(records_2[Method]="Active Air",_xlfn.xlookup(records_2[ColonyCount]&amp;records_2[AirSampler],feller[code],feller[Vc]),records_2[ColonyCount]))</f>
        <v/>
      </c>
      <c r="AC963" s="60" t="b">
        <f t="shared" si="1"/>
        <v>0</v>
      </c>
      <c r="AD963" s="61" t="b">
        <v>0</v>
      </c>
      <c r="AE963" s="32" t="s">
        <v>280</v>
      </c>
      <c r="AF963" s="46"/>
      <c r="AG963" s="46"/>
      <c r="AH963" s="46"/>
      <c r="AI963" s="46"/>
      <c r="AJ963" s="46"/>
    </row>
    <row r="964" ht="22.5" customHeight="1">
      <c r="A964" s="27">
        <v>46180.0</v>
      </c>
      <c r="B964" s="34" t="str">
        <f t="array" ref="B964">TEXT(A964, "MM-YYYY")</f>
        <v>06-2026</v>
      </c>
      <c r="C964" s="39" t="s">
        <v>1417</v>
      </c>
      <c r="D964" s="36" t="s">
        <v>210</v>
      </c>
      <c r="E964" s="36" t="s">
        <v>531</v>
      </c>
      <c r="F964" s="29" t="b">
        <v>1</v>
      </c>
      <c r="G964" s="36" t="s">
        <v>214</v>
      </c>
      <c r="H964" s="36" t="s">
        <v>203</v>
      </c>
      <c r="I964" s="39"/>
      <c r="J964" s="39"/>
      <c r="K964" s="37" t="s">
        <v>194</v>
      </c>
      <c r="L964" s="37" t="s">
        <v>194</v>
      </c>
      <c r="M964" s="37" t="s">
        <v>194</v>
      </c>
      <c r="N964" s="37" t="s">
        <v>194</v>
      </c>
      <c r="O964" s="37" t="s">
        <v>223</v>
      </c>
      <c r="P964" s="37" t="s">
        <v>224</v>
      </c>
      <c r="Q964" s="41">
        <v>46218.0</v>
      </c>
      <c r="R964" s="42"/>
      <c r="S964" s="44" t="s">
        <v>194</v>
      </c>
      <c r="T964" s="37" t="s">
        <v>10</v>
      </c>
      <c r="U964" s="45" t="str">
        <f>IF(records_2[Type]="Room",records_2[roomNo],records_2[roomNo]&amp;"-"&amp;SUBSTITUTE(RIGHT(records_2[roomNo]&amp;records_2[Type],2),"-",""))</f>
        <v>16-1-093</v>
      </c>
      <c r="V964" s="47" t="str">
        <f t="array" ref="V964">_xlfn.XLOOKUP(records_2[ID], dAir[roomNo], dAir[roomName])</f>
        <v>LINEN DRY</v>
      </c>
      <c r="W964" s="47" t="str">
        <f t="array" ref="W964">_xlfn.XLOOKUP(records_2[ID], dAir[roomNo], dAir[building])</f>
        <v>Building 16</v>
      </c>
      <c r="X964" s="47" t="str">
        <f t="array" ref="X964">_xlfn.XLOOKUP(records_2[ID], dAir[roomNo], dAir[floor])</f>
        <v>Floor 1</v>
      </c>
      <c r="Y964" s="45" t="str">
        <f t="array" ref="Y964">_xlfn.XLOOKUP(records_2[ID], dAir[roomNo], dAir[Class])</f>
        <v>C</v>
      </c>
      <c r="Z964" s="45">
        <f t="array" ref="Z964">_xlfn.XLOOKUP(records_2[Method]&amp;"-"&amp;records_2[Class], dAirSpec[ID], dAirSpec[Spec])</f>
        <v>100</v>
      </c>
      <c r="AA964" s="45" t="str">
        <f t="array" ref="AA964">_xlfn.XLOOKUP(records_2[Method]&amp;"-"&amp;records_2[Class], dAirSpec[ID], dAirSpec[Unit])</f>
        <v>cfu/m3</v>
      </c>
      <c r="AB964" s="45" t="str">
        <f t="array" ref="AB964">if(R964="","", if(records_2[Method]="Active Air",_xlfn.xlookup(records_2[ColonyCount]&amp;records_2[AirSampler],feller[code],feller[Vc]),records_2[ColonyCount]))</f>
        <v/>
      </c>
      <c r="AC964" s="60" t="b">
        <f t="shared" si="1"/>
        <v>0</v>
      </c>
      <c r="AD964" s="61" t="b">
        <v>0</v>
      </c>
      <c r="AE964" s="32" t="s">
        <v>280</v>
      </c>
      <c r="AF964" s="46"/>
      <c r="AG964" s="46"/>
      <c r="AH964" s="46"/>
      <c r="AI964" s="46"/>
      <c r="AJ964" s="46"/>
    </row>
    <row r="965" ht="22.5" customHeight="1">
      <c r="A965" s="27">
        <v>46180.0</v>
      </c>
      <c r="B965" s="34" t="str">
        <f t="array" ref="B965">TEXT(A965, "MM-YYYY")</f>
        <v>06-2026</v>
      </c>
      <c r="C965" s="39" t="s">
        <v>1421</v>
      </c>
      <c r="D965" s="36" t="s">
        <v>210</v>
      </c>
      <c r="E965" s="36" t="s">
        <v>531</v>
      </c>
      <c r="F965" s="29" t="b">
        <v>1</v>
      </c>
      <c r="G965" s="36" t="s">
        <v>214</v>
      </c>
      <c r="H965" s="36" t="s">
        <v>203</v>
      </c>
      <c r="I965" s="39"/>
      <c r="J965" s="40"/>
      <c r="K965" s="37" t="s">
        <v>194</v>
      </c>
      <c r="L965" s="37" t="s">
        <v>194</v>
      </c>
      <c r="M965" s="37" t="s">
        <v>194</v>
      </c>
      <c r="N965" s="37" t="s">
        <v>194</v>
      </c>
      <c r="O965" s="37" t="s">
        <v>223</v>
      </c>
      <c r="P965" s="37" t="s">
        <v>224</v>
      </c>
      <c r="Q965" s="41">
        <v>46218.0</v>
      </c>
      <c r="R965" s="42"/>
      <c r="S965" s="44" t="s">
        <v>194</v>
      </c>
      <c r="T965" s="37" t="s">
        <v>10</v>
      </c>
      <c r="U965" s="45" t="str">
        <f>IF(records_2[Type]="Room",records_2[roomNo],records_2[roomNo]&amp;"-"&amp;SUBSTITUTE(RIGHT(records_2[roomNo]&amp;records_2[Type],2),"-",""))</f>
        <v>16-1-094</v>
      </c>
      <c r="V965" s="47" t="str">
        <f t="array" ref="V965">_xlfn.XLOOKUP(records_2[ID], dAir[roomNo], dAir[roomName])</f>
        <v>LINEN STORAGE</v>
      </c>
      <c r="W965" s="47" t="str">
        <f t="array" ref="W965">_xlfn.XLOOKUP(records_2[ID], dAir[roomNo], dAir[building])</f>
        <v>Building 16</v>
      </c>
      <c r="X965" s="47" t="str">
        <f t="array" ref="X965">_xlfn.XLOOKUP(records_2[ID], dAir[roomNo], dAir[floor])</f>
        <v>Floor 1</v>
      </c>
      <c r="Y965" s="45" t="str">
        <f t="array" ref="Y965">_xlfn.XLOOKUP(records_2[ID], dAir[roomNo], dAir[Class])</f>
        <v>C</v>
      </c>
      <c r="Z965" s="45">
        <f t="array" ref="Z965">_xlfn.XLOOKUP(records_2[Method]&amp;"-"&amp;records_2[Class], dAirSpec[ID], dAirSpec[Spec])</f>
        <v>100</v>
      </c>
      <c r="AA965" s="45" t="str">
        <f t="array" ref="AA965">_xlfn.XLOOKUP(records_2[Method]&amp;"-"&amp;records_2[Class], dAirSpec[ID], dAirSpec[Unit])</f>
        <v>cfu/m3</v>
      </c>
      <c r="AB965" s="45" t="str">
        <f t="array" ref="AB965">if(R965="","", if(records_2[Method]="Active Air",_xlfn.xlookup(records_2[ColonyCount]&amp;records_2[AirSampler],feller[code],feller[Vc]),records_2[ColonyCount]))</f>
        <v/>
      </c>
      <c r="AC965" s="60" t="b">
        <f t="shared" si="1"/>
        <v>0</v>
      </c>
      <c r="AD965" s="61" t="b">
        <v>0</v>
      </c>
      <c r="AE965" s="32" t="s">
        <v>280</v>
      </c>
      <c r="AF965" s="46"/>
      <c r="AG965" s="46"/>
      <c r="AH965" s="46"/>
      <c r="AI965" s="46"/>
      <c r="AJ965" s="46"/>
    </row>
    <row r="966" ht="22.5" customHeight="1">
      <c r="A966" s="27">
        <v>46180.0</v>
      </c>
      <c r="B966" s="34" t="str">
        <f t="array" ref="B966">TEXT(A966, "MM-YYYY")</f>
        <v>06-2026</v>
      </c>
      <c r="C966" s="39" t="s">
        <v>1431</v>
      </c>
      <c r="D966" s="36" t="s">
        <v>210</v>
      </c>
      <c r="E966" s="36" t="s">
        <v>531</v>
      </c>
      <c r="F966" s="29" t="b">
        <v>1</v>
      </c>
      <c r="G966" s="36" t="s">
        <v>214</v>
      </c>
      <c r="H966" s="36" t="s">
        <v>534</v>
      </c>
      <c r="I966" s="39"/>
      <c r="J966" s="40"/>
      <c r="K966" s="37" t="s">
        <v>194</v>
      </c>
      <c r="L966" s="37" t="s">
        <v>194</v>
      </c>
      <c r="M966" s="37" t="s">
        <v>194</v>
      </c>
      <c r="N966" s="37" t="s">
        <v>194</v>
      </c>
      <c r="O966" s="37" t="s">
        <v>223</v>
      </c>
      <c r="P966" s="37" t="s">
        <v>224</v>
      </c>
      <c r="Q966" s="41">
        <v>46218.0</v>
      </c>
      <c r="R966" s="42"/>
      <c r="S966" s="44" t="s">
        <v>194</v>
      </c>
      <c r="T966" s="37" t="s">
        <v>10</v>
      </c>
      <c r="U966" s="45" t="str">
        <f>IF(records_2[Type]="Room",records_2[roomNo],records_2[roomNo]&amp;"-"&amp;SUBSTITUTE(RIGHT(records_2[roomNo]&amp;records_2[Type],2),"-",""))</f>
        <v>16-1-095</v>
      </c>
      <c r="V966" s="47" t="str">
        <f t="array" ref="V966">_xlfn.XLOOKUP(records_2[ID], dAir[roomNo], dAir[roomName])</f>
        <v>JANITOR</v>
      </c>
      <c r="W966" s="47" t="str">
        <f t="array" ref="W966">_xlfn.XLOOKUP(records_2[ID], dAir[roomNo], dAir[building])</f>
        <v>Building 16</v>
      </c>
      <c r="X966" s="47" t="str">
        <f t="array" ref="X966">_xlfn.XLOOKUP(records_2[ID], dAir[roomNo], dAir[floor])</f>
        <v>Floor 1</v>
      </c>
      <c r="Y966" s="45" t="str">
        <f t="array" ref="Y966">_xlfn.XLOOKUP(records_2[ID], dAir[roomNo], dAir[Class])</f>
        <v>C</v>
      </c>
      <c r="Z966" s="45">
        <f t="array" ref="Z966">_xlfn.XLOOKUP(records_2[Method]&amp;"-"&amp;records_2[Class], dAirSpec[ID], dAirSpec[Spec])</f>
        <v>100</v>
      </c>
      <c r="AA966" s="45" t="str">
        <f t="array" ref="AA966">_xlfn.XLOOKUP(records_2[Method]&amp;"-"&amp;records_2[Class], dAirSpec[ID], dAirSpec[Unit])</f>
        <v>cfu/m3</v>
      </c>
      <c r="AB966" s="45" t="str">
        <f t="array" ref="AB966">if(R966="","", if(records_2[Method]="Active Air",_xlfn.xlookup(records_2[ColonyCount]&amp;records_2[AirSampler],feller[code],feller[Vc]),records_2[ColonyCount]))</f>
        <v/>
      </c>
      <c r="AC966" s="60" t="b">
        <f t="shared" si="1"/>
        <v>0</v>
      </c>
      <c r="AD966" s="61" t="b">
        <v>0</v>
      </c>
      <c r="AE966" s="32" t="s">
        <v>280</v>
      </c>
      <c r="AF966" s="46"/>
      <c r="AG966" s="46"/>
      <c r="AH966" s="46"/>
      <c r="AI966" s="46"/>
      <c r="AJ966" s="46"/>
    </row>
    <row r="967" ht="22.5" customHeight="1">
      <c r="A967" s="27">
        <v>46180.0</v>
      </c>
      <c r="B967" s="34" t="str">
        <f t="array" ref="B967">TEXT(A967, "MM-YYYY")</f>
        <v>06-2026</v>
      </c>
      <c r="C967" s="39" t="s">
        <v>745</v>
      </c>
      <c r="D967" s="36" t="s">
        <v>210</v>
      </c>
      <c r="E967" s="36" t="s">
        <v>531</v>
      </c>
      <c r="F967" s="29" t="b">
        <v>1</v>
      </c>
      <c r="G967" s="36" t="s">
        <v>214</v>
      </c>
      <c r="H967" s="36" t="s">
        <v>534</v>
      </c>
      <c r="I967" s="39"/>
      <c r="J967" s="40"/>
      <c r="K967" s="37" t="s">
        <v>194</v>
      </c>
      <c r="L967" s="37" t="s">
        <v>194</v>
      </c>
      <c r="M967" s="37" t="s">
        <v>194</v>
      </c>
      <c r="N967" s="37" t="s">
        <v>194</v>
      </c>
      <c r="O967" s="37" t="s">
        <v>223</v>
      </c>
      <c r="P967" s="37" t="s">
        <v>224</v>
      </c>
      <c r="Q967" s="41">
        <v>46218.0</v>
      </c>
      <c r="R967" s="42"/>
      <c r="S967" s="44" t="s">
        <v>194</v>
      </c>
      <c r="T967" s="37" t="s">
        <v>10</v>
      </c>
      <c r="U967" s="45" t="str">
        <f>IF(records_2[Type]="Room",records_2[roomNo],records_2[roomNo]&amp;"-"&amp;SUBSTITUTE(RIGHT(records_2[roomNo]&amp;records_2[Type],2),"-",""))</f>
        <v>16-1-096</v>
      </c>
      <c r="V967" s="47" t="str">
        <f t="array" ref="V967">_xlfn.XLOOKUP(records_2[ID], dAir[roomNo], dAir[roomName])</f>
        <v>WASHING / TUNNEL 2</v>
      </c>
      <c r="W967" s="47" t="str">
        <f t="array" ref="W967">_xlfn.XLOOKUP(records_2[ID], dAir[roomNo], dAir[building])</f>
        <v>Building 16</v>
      </c>
      <c r="X967" s="47" t="str">
        <f t="array" ref="X967">_xlfn.XLOOKUP(records_2[ID], dAir[roomNo], dAir[floor])</f>
        <v>Floor 1</v>
      </c>
      <c r="Y967" s="45" t="str">
        <f t="array" ref="Y967">_xlfn.XLOOKUP(records_2[ID], dAir[roomNo], dAir[Class])</f>
        <v>C</v>
      </c>
      <c r="Z967" s="45">
        <f t="array" ref="Z967">_xlfn.XLOOKUP(records_2[Method]&amp;"-"&amp;records_2[Class], dAirSpec[ID], dAirSpec[Spec])</f>
        <v>100</v>
      </c>
      <c r="AA967" s="45" t="str">
        <f t="array" ref="AA967">_xlfn.XLOOKUP(records_2[Method]&amp;"-"&amp;records_2[Class], dAirSpec[ID], dAirSpec[Unit])</f>
        <v>cfu/m3</v>
      </c>
      <c r="AB967" s="45" t="str">
        <f t="array" ref="AB967">if(R967="","", if(records_2[Method]="Active Air",_xlfn.xlookup(records_2[ColonyCount]&amp;records_2[AirSampler],feller[code],feller[Vc]),records_2[ColonyCount]))</f>
        <v/>
      </c>
      <c r="AC967" s="60" t="b">
        <f t="shared" si="1"/>
        <v>0</v>
      </c>
      <c r="AD967" s="61" t="b">
        <v>0</v>
      </c>
      <c r="AE967" s="32" t="s">
        <v>280</v>
      </c>
      <c r="AF967" s="46"/>
      <c r="AG967" s="46"/>
      <c r="AH967" s="46"/>
      <c r="AI967" s="46"/>
      <c r="AJ967" s="46"/>
    </row>
    <row r="968" ht="22.5" customHeight="1">
      <c r="A968" s="27">
        <v>46180.0</v>
      </c>
      <c r="B968" s="34" t="str">
        <f t="array" ref="B968">TEXT(A968, "MM-YYYY")</f>
        <v>06-2026</v>
      </c>
      <c r="C968" s="39" t="s">
        <v>1471</v>
      </c>
      <c r="D968" s="36" t="s">
        <v>210</v>
      </c>
      <c r="E968" s="36" t="s">
        <v>531</v>
      </c>
      <c r="F968" s="29" t="b">
        <v>1</v>
      </c>
      <c r="G968" s="36" t="s">
        <v>214</v>
      </c>
      <c r="H968" s="36" t="s">
        <v>534</v>
      </c>
      <c r="I968" s="39"/>
      <c r="J968" s="40"/>
      <c r="K968" s="37" t="s">
        <v>194</v>
      </c>
      <c r="L968" s="37" t="s">
        <v>194</v>
      </c>
      <c r="M968" s="37" t="s">
        <v>194</v>
      </c>
      <c r="N968" s="37" t="s">
        <v>194</v>
      </c>
      <c r="O968" s="37" t="s">
        <v>223</v>
      </c>
      <c r="P968" s="37" t="s">
        <v>224</v>
      </c>
      <c r="Q968" s="41">
        <v>46218.0</v>
      </c>
      <c r="R968" s="42"/>
      <c r="S968" s="44" t="s">
        <v>194</v>
      </c>
      <c r="T968" s="37" t="s">
        <v>10</v>
      </c>
      <c r="U968" s="45" t="str">
        <f>IF(records_2[Type]="Room",records_2[roomNo],records_2[roomNo]&amp;"-"&amp;SUBSTITUTE(RIGHT(records_2[roomNo]&amp;records_2[Type],2),"-",""))</f>
        <v>16-1-097</v>
      </c>
      <c r="V968" s="47" t="str">
        <f t="array" ref="V968">_xlfn.XLOOKUP(records_2[ID], dAir[roomNo], dAir[roomName])</f>
        <v>VIALS INTERNAL STAGING</v>
      </c>
      <c r="W968" s="47" t="str">
        <f t="array" ref="W968">_xlfn.XLOOKUP(records_2[ID], dAir[roomNo], dAir[building])</f>
        <v>Building 16</v>
      </c>
      <c r="X968" s="47" t="str">
        <f t="array" ref="X968">_xlfn.XLOOKUP(records_2[ID], dAir[roomNo], dAir[floor])</f>
        <v>Floor 1</v>
      </c>
      <c r="Y968" s="45" t="str">
        <f t="array" ref="Y968">_xlfn.XLOOKUP(records_2[ID], dAir[roomNo], dAir[Class])</f>
        <v>C</v>
      </c>
      <c r="Z968" s="45">
        <f t="array" ref="Z968">_xlfn.XLOOKUP(records_2[Method]&amp;"-"&amp;records_2[Class], dAirSpec[ID], dAirSpec[Spec])</f>
        <v>100</v>
      </c>
      <c r="AA968" s="45" t="str">
        <f t="array" ref="AA968">_xlfn.XLOOKUP(records_2[Method]&amp;"-"&amp;records_2[Class], dAirSpec[ID], dAirSpec[Unit])</f>
        <v>cfu/m3</v>
      </c>
      <c r="AB968" s="45" t="str">
        <f t="array" ref="AB968">if(R968="","", if(records_2[Method]="Active Air",_xlfn.xlookup(records_2[ColonyCount]&amp;records_2[AirSampler],feller[code],feller[Vc]),records_2[ColonyCount]))</f>
        <v/>
      </c>
      <c r="AC968" s="60" t="b">
        <f t="shared" si="1"/>
        <v>0</v>
      </c>
      <c r="AD968" s="61" t="b">
        <v>0</v>
      </c>
      <c r="AE968" s="32" t="s">
        <v>280</v>
      </c>
      <c r="AF968" s="46"/>
      <c r="AG968" s="46"/>
      <c r="AH968" s="46"/>
      <c r="AI968" s="46"/>
      <c r="AJ968" s="46"/>
    </row>
    <row r="969" ht="22.5" customHeight="1">
      <c r="A969" s="27">
        <v>46180.0</v>
      </c>
      <c r="B969" s="34" t="str">
        <f t="array" ref="B969">TEXT(A969, "MM-YYYY")</f>
        <v>06-2026</v>
      </c>
      <c r="C969" s="39" t="s">
        <v>1471</v>
      </c>
      <c r="D969" s="36" t="s">
        <v>1350</v>
      </c>
      <c r="E969" s="36" t="s">
        <v>531</v>
      </c>
      <c r="F969" s="29" t="b">
        <v>1</v>
      </c>
      <c r="G969" s="36" t="s">
        <v>214</v>
      </c>
      <c r="H969" s="36" t="s">
        <v>534</v>
      </c>
      <c r="I969" s="39"/>
      <c r="J969" s="40"/>
      <c r="K969" s="37" t="s">
        <v>194</v>
      </c>
      <c r="L969" s="37" t="s">
        <v>194</v>
      </c>
      <c r="M969" s="37" t="s">
        <v>194</v>
      </c>
      <c r="N969" s="37" t="s">
        <v>194</v>
      </c>
      <c r="O969" s="37" t="s">
        <v>223</v>
      </c>
      <c r="P969" s="37" t="s">
        <v>224</v>
      </c>
      <c r="Q969" s="41">
        <v>46218.0</v>
      </c>
      <c r="R969" s="42"/>
      <c r="S969" s="44" t="s">
        <v>1483</v>
      </c>
      <c r="T969" s="37" t="s">
        <v>10</v>
      </c>
      <c r="U969" s="45" t="str">
        <f>IF(records_2[Type]="Room",records_2[roomNo],records_2[roomNo]&amp;"-"&amp;SUBSTITUTE(RIGHT(records_2[roomNo]&amp;records_2[Type],2),"-",""))</f>
        <v>16-1-097-PB</v>
      </c>
      <c r="V969" s="47" t="str">
        <f t="array" ref="V969">_xlfn.XLOOKUP(records_2[ID], dAir[roomNo], dAir[roomName])</f>
        <v>VIALS INTERNAL STAGING (Passbox)</v>
      </c>
      <c r="W969" s="47" t="str">
        <f t="array" ref="W969">_xlfn.XLOOKUP(records_2[ID], dAir[roomNo], dAir[building])</f>
        <v>Building 16</v>
      </c>
      <c r="X969" s="47" t="str">
        <f t="array" ref="X969">_xlfn.XLOOKUP(records_2[ID], dAir[roomNo], dAir[floor])</f>
        <v>Floor 1</v>
      </c>
      <c r="Y969" s="45" t="str">
        <f t="array" ref="Y969">_xlfn.XLOOKUP(records_2[ID], dAir[roomNo], dAir[Class])</f>
        <v>C</v>
      </c>
      <c r="Z969" s="45">
        <f t="array" ref="Z969">_xlfn.XLOOKUP(records_2[Method]&amp;"-"&amp;records_2[Class], dAirSpec[ID], dAirSpec[Spec])</f>
        <v>100</v>
      </c>
      <c r="AA969" s="45" t="str">
        <f t="array" ref="AA969">_xlfn.XLOOKUP(records_2[Method]&amp;"-"&amp;records_2[Class], dAirSpec[ID], dAirSpec[Unit])</f>
        <v>cfu/m3</v>
      </c>
      <c r="AB969" s="45" t="str">
        <f t="array" ref="AB969">if(R969="","", if(records_2[Method]="Active Air",_xlfn.xlookup(records_2[ColonyCount]&amp;records_2[AirSampler],feller[code],feller[Vc]),records_2[ColonyCount]))</f>
        <v/>
      </c>
      <c r="AC969" s="60" t="b">
        <f t="shared" si="1"/>
        <v>0</v>
      </c>
      <c r="AD969" s="61" t="b">
        <v>0</v>
      </c>
      <c r="AE969" s="32" t="s">
        <v>280</v>
      </c>
      <c r="AF969" s="46"/>
      <c r="AG969" s="46"/>
      <c r="AH969" s="46"/>
      <c r="AI969" s="46"/>
      <c r="AJ969" s="46"/>
    </row>
    <row r="970" ht="22.5" customHeight="1">
      <c r="A970" s="27">
        <v>46180.0</v>
      </c>
      <c r="B970" s="34" t="str">
        <f t="array" ref="B970">TEXT(A970, "MM-YYYY")</f>
        <v>06-2026</v>
      </c>
      <c r="C970" s="39" t="s">
        <v>749</v>
      </c>
      <c r="D970" s="36" t="s">
        <v>210</v>
      </c>
      <c r="E970" s="36" t="s">
        <v>531</v>
      </c>
      <c r="F970" s="29" t="b">
        <v>1</v>
      </c>
      <c r="G970" s="36" t="s">
        <v>214</v>
      </c>
      <c r="H970" s="36" t="s">
        <v>534</v>
      </c>
      <c r="I970" s="39"/>
      <c r="J970" s="40"/>
      <c r="K970" s="37" t="s">
        <v>194</v>
      </c>
      <c r="L970" s="37" t="s">
        <v>194</v>
      </c>
      <c r="M970" s="37" t="s">
        <v>194</v>
      </c>
      <c r="N970" s="37" t="s">
        <v>194</v>
      </c>
      <c r="O970" s="37" t="s">
        <v>223</v>
      </c>
      <c r="P970" s="37" t="s">
        <v>224</v>
      </c>
      <c r="Q970" s="41">
        <v>46218.0</v>
      </c>
      <c r="R970" s="42"/>
      <c r="S970" s="44" t="s">
        <v>194</v>
      </c>
      <c r="T970" s="37" t="s">
        <v>10</v>
      </c>
      <c r="U970" s="45" t="str">
        <f>IF(records_2[Type]="Room",records_2[roomNo],records_2[roomNo]&amp;"-"&amp;SUBSTITUTE(RIGHT(records_2[roomNo]&amp;records_2[Type],2),"-",""))</f>
        <v>16-1-098</v>
      </c>
      <c r="V970" s="47" t="str">
        <f t="array" ref="V970">_xlfn.XLOOKUP(records_2[ID], dAir[roomNo], dAir[roomName])</f>
        <v>CIP/SIP</v>
      </c>
      <c r="W970" s="47" t="str">
        <f t="array" ref="W970">_xlfn.XLOOKUP(records_2[ID], dAir[roomNo], dAir[building])</f>
        <v>Building 16</v>
      </c>
      <c r="X970" s="47" t="str">
        <f t="array" ref="X970">_xlfn.XLOOKUP(records_2[ID], dAir[roomNo], dAir[floor])</f>
        <v>Floor 1</v>
      </c>
      <c r="Y970" s="45" t="str">
        <f t="array" ref="Y970">_xlfn.XLOOKUP(records_2[ID], dAir[roomNo], dAir[Class])</f>
        <v>C</v>
      </c>
      <c r="Z970" s="45">
        <f t="array" ref="Z970">_xlfn.XLOOKUP(records_2[Method]&amp;"-"&amp;records_2[Class], dAirSpec[ID], dAirSpec[Spec])</f>
        <v>100</v>
      </c>
      <c r="AA970" s="45" t="str">
        <f t="array" ref="AA970">_xlfn.XLOOKUP(records_2[Method]&amp;"-"&amp;records_2[Class], dAirSpec[ID], dAirSpec[Unit])</f>
        <v>cfu/m3</v>
      </c>
      <c r="AB970" s="45" t="str">
        <f t="array" ref="AB970">if(R970="","", if(records_2[Method]="Active Air",_xlfn.xlookup(records_2[ColonyCount]&amp;records_2[AirSampler],feller[code],feller[Vc]),records_2[ColonyCount]))</f>
        <v/>
      </c>
      <c r="AC970" s="60" t="b">
        <f t="shared" si="1"/>
        <v>0</v>
      </c>
      <c r="AD970" s="61" t="b">
        <v>0</v>
      </c>
      <c r="AE970" s="32" t="s">
        <v>280</v>
      </c>
      <c r="AF970" s="46"/>
      <c r="AG970" s="46"/>
      <c r="AH970" s="46"/>
      <c r="AI970" s="46"/>
      <c r="AJ970" s="46"/>
    </row>
    <row r="971" ht="22.5" customHeight="1">
      <c r="A971" s="27">
        <v>46180.0</v>
      </c>
      <c r="B971" s="34" t="str">
        <f t="array" ref="B971">TEXT(A971, "MM-YYYY")</f>
        <v>06-2026</v>
      </c>
      <c r="C971" s="39" t="s">
        <v>1484</v>
      </c>
      <c r="D971" s="36" t="s">
        <v>210</v>
      </c>
      <c r="E971" s="36" t="s">
        <v>531</v>
      </c>
      <c r="F971" s="29" t="b">
        <v>1</v>
      </c>
      <c r="G971" s="36" t="s">
        <v>214</v>
      </c>
      <c r="H971" s="36" t="s">
        <v>203</v>
      </c>
      <c r="I971" s="39"/>
      <c r="J971" s="40"/>
      <c r="K971" s="37" t="s">
        <v>194</v>
      </c>
      <c r="L971" s="37" t="s">
        <v>194</v>
      </c>
      <c r="M971" s="37" t="s">
        <v>194</v>
      </c>
      <c r="N971" s="37" t="s">
        <v>194</v>
      </c>
      <c r="O971" s="37" t="s">
        <v>223</v>
      </c>
      <c r="P971" s="37" t="s">
        <v>224</v>
      </c>
      <c r="Q971" s="41">
        <v>46218.0</v>
      </c>
      <c r="R971" s="42"/>
      <c r="S971" s="44" t="s">
        <v>194</v>
      </c>
      <c r="T971" s="37" t="s">
        <v>10</v>
      </c>
      <c r="U971" s="45" t="str">
        <f>IF(records_2[Type]="Room",records_2[roomNo],records_2[roomNo]&amp;"-"&amp;SUBSTITUTE(RIGHT(records_2[roomNo]&amp;records_2[Type],2),"-",""))</f>
        <v>16-1-099</v>
      </c>
      <c r="V971" s="47" t="str">
        <f t="array" ref="V971">_xlfn.XLOOKUP(records_2[ID], dAir[roomNo], dAir[roomName])</f>
        <v>MAL</v>
      </c>
      <c r="W971" s="47" t="str">
        <f t="array" ref="W971">_xlfn.XLOOKUP(records_2[ID], dAir[roomNo], dAir[building])</f>
        <v>Building 16</v>
      </c>
      <c r="X971" s="47" t="str">
        <f t="array" ref="X971">_xlfn.XLOOKUP(records_2[ID], dAir[roomNo], dAir[floor])</f>
        <v>Floor 1</v>
      </c>
      <c r="Y971" s="45" t="str">
        <f t="array" ref="Y971">_xlfn.XLOOKUP(records_2[ID], dAir[roomNo], dAir[Class])</f>
        <v>C</v>
      </c>
      <c r="Z971" s="45">
        <f t="array" ref="Z971">_xlfn.XLOOKUP(records_2[Method]&amp;"-"&amp;records_2[Class], dAirSpec[ID], dAirSpec[Spec])</f>
        <v>100</v>
      </c>
      <c r="AA971" s="45" t="str">
        <f t="array" ref="AA971">_xlfn.XLOOKUP(records_2[Method]&amp;"-"&amp;records_2[Class], dAirSpec[ID], dAirSpec[Unit])</f>
        <v>cfu/m3</v>
      </c>
      <c r="AB971" s="45" t="str">
        <f t="array" ref="AB971">if(R971="","", if(records_2[Method]="Active Air",_xlfn.xlookup(records_2[ColonyCount]&amp;records_2[AirSampler],feller[code],feller[Vc]),records_2[ColonyCount]))</f>
        <v/>
      </c>
      <c r="AC971" s="60" t="b">
        <f t="shared" si="1"/>
        <v>0</v>
      </c>
      <c r="AD971" s="61" t="b">
        <v>0</v>
      </c>
      <c r="AE971" s="32" t="s">
        <v>280</v>
      </c>
      <c r="AF971" s="46"/>
      <c r="AG971" s="46"/>
      <c r="AH971" s="46"/>
      <c r="AI971" s="46"/>
      <c r="AJ971" s="46"/>
    </row>
    <row r="972" ht="22.5" customHeight="1">
      <c r="A972" s="27">
        <v>46180.0</v>
      </c>
      <c r="B972" s="34" t="str">
        <f t="array" ref="B972">TEXT(A972, "MM-YYYY")</f>
        <v>06-2026</v>
      </c>
      <c r="C972" s="39" t="s">
        <v>1485</v>
      </c>
      <c r="D972" s="36" t="s">
        <v>210</v>
      </c>
      <c r="E972" s="36" t="s">
        <v>531</v>
      </c>
      <c r="F972" s="29" t="b">
        <v>1</v>
      </c>
      <c r="G972" s="36" t="s">
        <v>214</v>
      </c>
      <c r="H972" s="36" t="s">
        <v>203</v>
      </c>
      <c r="I972" s="39"/>
      <c r="J972" s="40"/>
      <c r="K972" s="37" t="s">
        <v>194</v>
      </c>
      <c r="L972" s="37" t="s">
        <v>194</v>
      </c>
      <c r="M972" s="37" t="s">
        <v>194</v>
      </c>
      <c r="N972" s="37" t="s">
        <v>194</v>
      </c>
      <c r="O972" s="37" t="s">
        <v>223</v>
      </c>
      <c r="P972" s="37" t="s">
        <v>224</v>
      </c>
      <c r="Q972" s="41">
        <v>46218.0</v>
      </c>
      <c r="R972" s="42"/>
      <c r="S972" s="44" t="s">
        <v>194</v>
      </c>
      <c r="T972" s="37" t="s">
        <v>10</v>
      </c>
      <c r="U972" s="45" t="str">
        <f>IF(records_2[Type]="Room",records_2[roomNo],records_2[roomNo]&amp;"-"&amp;SUBSTITUTE(RIGHT(records_2[roomNo]&amp;records_2[Type],2),"-",""))</f>
        <v>16-1-100</v>
      </c>
      <c r="V972" s="47" t="str">
        <f t="array" ref="V972">_xlfn.XLOOKUP(records_2[ID], dAir[roomNo], dAir[roomName])</f>
        <v>MAL</v>
      </c>
      <c r="W972" s="47" t="str">
        <f t="array" ref="W972">_xlfn.XLOOKUP(records_2[ID], dAir[roomNo], dAir[building])</f>
        <v>Building 16</v>
      </c>
      <c r="X972" s="47" t="str">
        <f t="array" ref="X972">_xlfn.XLOOKUP(records_2[ID], dAir[roomNo], dAir[floor])</f>
        <v>Floor 1</v>
      </c>
      <c r="Y972" s="45" t="str">
        <f t="array" ref="Y972">_xlfn.XLOOKUP(records_2[ID], dAir[roomNo], dAir[Class])</f>
        <v>D</v>
      </c>
      <c r="Z972" s="45">
        <f t="array" ref="Z972">_xlfn.XLOOKUP(records_2[Method]&amp;"-"&amp;records_2[Class], dAirSpec[ID], dAirSpec[Spec])</f>
        <v>200</v>
      </c>
      <c r="AA972" s="45" t="str">
        <f t="array" ref="AA972">_xlfn.XLOOKUP(records_2[Method]&amp;"-"&amp;records_2[Class], dAirSpec[ID], dAirSpec[Unit])</f>
        <v>cfu/m3</v>
      </c>
      <c r="AB972" s="45" t="str">
        <f t="array" ref="AB972">if(R972="","", if(records_2[Method]="Active Air",_xlfn.xlookup(records_2[ColonyCount]&amp;records_2[AirSampler],feller[code],feller[Vc]),records_2[ColonyCount]))</f>
        <v/>
      </c>
      <c r="AC972" s="60" t="b">
        <f t="shared" si="1"/>
        <v>0</v>
      </c>
      <c r="AD972" s="61" t="b">
        <v>0</v>
      </c>
      <c r="AE972" s="32" t="s">
        <v>280</v>
      </c>
      <c r="AF972" s="46"/>
      <c r="AG972" s="46"/>
      <c r="AH972" s="46"/>
      <c r="AI972" s="46"/>
      <c r="AJ972" s="46"/>
    </row>
    <row r="973" ht="22.5" customHeight="1">
      <c r="A973" s="27">
        <v>46180.0</v>
      </c>
      <c r="B973" s="34" t="str">
        <f t="array" ref="B973">TEXT(A973, "MM-YYYY")</f>
        <v>06-2026</v>
      </c>
      <c r="C973" s="39" t="s">
        <v>1486</v>
      </c>
      <c r="D973" s="36" t="s">
        <v>210</v>
      </c>
      <c r="E973" s="36" t="s">
        <v>531</v>
      </c>
      <c r="F973" s="29" t="b">
        <v>1</v>
      </c>
      <c r="G973" s="36" t="s">
        <v>214</v>
      </c>
      <c r="H973" s="36" t="s">
        <v>534</v>
      </c>
      <c r="I973" s="39"/>
      <c r="J973" s="40"/>
      <c r="K973" s="37" t="s">
        <v>194</v>
      </c>
      <c r="L973" s="37" t="s">
        <v>194</v>
      </c>
      <c r="M973" s="37" t="s">
        <v>194</v>
      </c>
      <c r="N973" s="37" t="s">
        <v>194</v>
      </c>
      <c r="O973" s="37" t="s">
        <v>223</v>
      </c>
      <c r="P973" s="37" t="s">
        <v>224</v>
      </c>
      <c r="Q973" s="41">
        <v>46218.0</v>
      </c>
      <c r="R973" s="42"/>
      <c r="S973" s="44" t="s">
        <v>194</v>
      </c>
      <c r="T973" s="37" t="s">
        <v>10</v>
      </c>
      <c r="U973" s="45" t="str">
        <f>IF(records_2[Type]="Room",records_2[roomNo],records_2[roomNo]&amp;"-"&amp;SUBSTITUTE(RIGHT(records_2[roomNo]&amp;records_2[Type],2),"-",""))</f>
        <v>16-1-101</v>
      </c>
      <c r="V973" s="47" t="str">
        <f t="array" ref="V973">_xlfn.XLOOKUP(records_2[ID], dAir[roomNo], dAir[roomName])</f>
        <v>AIRLOCK</v>
      </c>
      <c r="W973" s="47" t="str">
        <f t="array" ref="W973">_xlfn.XLOOKUP(records_2[ID], dAir[roomNo], dAir[building])</f>
        <v>Building 16</v>
      </c>
      <c r="X973" s="47" t="str">
        <f t="array" ref="X973">_xlfn.XLOOKUP(records_2[ID], dAir[roomNo], dAir[floor])</f>
        <v>Floor 1</v>
      </c>
      <c r="Y973" s="45" t="str">
        <f t="array" ref="Y973">_xlfn.XLOOKUP(records_2[ID], dAir[roomNo], dAir[Class])</f>
        <v>C</v>
      </c>
      <c r="Z973" s="45">
        <f t="array" ref="Z973">_xlfn.XLOOKUP(records_2[Method]&amp;"-"&amp;records_2[Class], dAirSpec[ID], dAirSpec[Spec])</f>
        <v>100</v>
      </c>
      <c r="AA973" s="45" t="str">
        <f t="array" ref="AA973">_xlfn.XLOOKUP(records_2[Method]&amp;"-"&amp;records_2[Class], dAirSpec[ID], dAirSpec[Unit])</f>
        <v>cfu/m3</v>
      </c>
      <c r="AB973" s="45" t="str">
        <f t="array" ref="AB973">if(R973="","", if(records_2[Method]="Active Air",_xlfn.xlookup(records_2[ColonyCount]&amp;records_2[AirSampler],feller[code],feller[Vc]),records_2[ColonyCount]))</f>
        <v/>
      </c>
      <c r="AC973" s="60" t="b">
        <f t="shared" si="1"/>
        <v>0</v>
      </c>
      <c r="AD973" s="61" t="b">
        <v>0</v>
      </c>
      <c r="AE973" s="32" t="s">
        <v>280</v>
      </c>
      <c r="AF973" s="46"/>
      <c r="AG973" s="46"/>
      <c r="AH973" s="46"/>
      <c r="AI973" s="46"/>
      <c r="AJ973" s="46"/>
    </row>
    <row r="974" ht="22.5" customHeight="1">
      <c r="A974" s="27">
        <v>46180.0</v>
      </c>
      <c r="B974" s="34" t="str">
        <f t="array" ref="B974">TEXT(A974, "MM-YYYY")</f>
        <v>06-2026</v>
      </c>
      <c r="C974" s="39" t="s">
        <v>1486</v>
      </c>
      <c r="D974" s="36" t="s">
        <v>1350</v>
      </c>
      <c r="E974" s="36" t="s">
        <v>531</v>
      </c>
      <c r="F974" s="29" t="b">
        <v>1</v>
      </c>
      <c r="G974" s="36" t="s">
        <v>214</v>
      </c>
      <c r="H974" s="36" t="s">
        <v>757</v>
      </c>
      <c r="I974" s="39"/>
      <c r="J974" s="40"/>
      <c r="K974" s="37" t="s">
        <v>194</v>
      </c>
      <c r="L974" s="37" t="s">
        <v>194</v>
      </c>
      <c r="M974" s="37" t="s">
        <v>194</v>
      </c>
      <c r="N974" s="37" t="s">
        <v>194</v>
      </c>
      <c r="O974" s="37" t="s">
        <v>223</v>
      </c>
      <c r="P974" s="37" t="s">
        <v>224</v>
      </c>
      <c r="Q974" s="41">
        <v>46218.0</v>
      </c>
      <c r="R974" s="42"/>
      <c r="S974" s="44" t="s">
        <v>1483</v>
      </c>
      <c r="T974" s="37" t="s">
        <v>10</v>
      </c>
      <c r="U974" s="45" t="str">
        <f>IF(records_2[Type]="Room",records_2[roomNo],records_2[roomNo]&amp;"-"&amp;SUBSTITUTE(RIGHT(records_2[roomNo]&amp;records_2[Type],2),"-",""))</f>
        <v>16-1-101-PB</v>
      </c>
      <c r="V974" s="47" t="str">
        <f t="array" ref="V974">_xlfn.XLOOKUP(records_2[ID], dAir[roomNo], dAir[roomName])</f>
        <v>AIRLOCK (Passbox)</v>
      </c>
      <c r="W974" s="47" t="str">
        <f t="array" ref="W974">_xlfn.XLOOKUP(records_2[ID], dAir[roomNo], dAir[building])</f>
        <v>Building 16</v>
      </c>
      <c r="X974" s="47" t="str">
        <f t="array" ref="X974">_xlfn.XLOOKUP(records_2[ID], dAir[roomNo], dAir[floor])</f>
        <v>Floor 1</v>
      </c>
      <c r="Y974" s="45" t="str">
        <f t="array" ref="Y974">_xlfn.XLOOKUP(records_2[ID], dAir[roomNo], dAir[Class])</f>
        <v>C</v>
      </c>
      <c r="Z974" s="45">
        <f t="array" ref="Z974">_xlfn.XLOOKUP(records_2[Method]&amp;"-"&amp;records_2[Class], dAirSpec[ID], dAirSpec[Spec])</f>
        <v>100</v>
      </c>
      <c r="AA974" s="45" t="str">
        <f t="array" ref="AA974">_xlfn.XLOOKUP(records_2[Method]&amp;"-"&amp;records_2[Class], dAirSpec[ID], dAirSpec[Unit])</f>
        <v>cfu/m3</v>
      </c>
      <c r="AB974" s="45" t="str">
        <f t="array" ref="AB974">if(R974="","", if(records_2[Method]="Active Air",_xlfn.xlookup(records_2[ColonyCount]&amp;records_2[AirSampler],feller[code],feller[Vc]),records_2[ColonyCount]))</f>
        <v/>
      </c>
      <c r="AC974" s="60" t="b">
        <f t="shared" si="1"/>
        <v>0</v>
      </c>
      <c r="AD974" s="61" t="b">
        <v>0</v>
      </c>
      <c r="AE974" s="32" t="s">
        <v>280</v>
      </c>
      <c r="AF974" s="46"/>
      <c r="AG974" s="46"/>
      <c r="AH974" s="46"/>
      <c r="AI974" s="46"/>
      <c r="AJ974" s="46"/>
    </row>
    <row r="975" ht="22.5" customHeight="1">
      <c r="A975" s="27">
        <v>46180.0</v>
      </c>
      <c r="B975" s="34" t="str">
        <f t="array" ref="B975">TEXT(A975, "MM-YYYY")</f>
        <v>06-2026</v>
      </c>
      <c r="C975" s="32" t="s">
        <v>786</v>
      </c>
      <c r="D975" s="21" t="s">
        <v>680</v>
      </c>
      <c r="E975" s="36" t="s">
        <v>531</v>
      </c>
      <c r="F975" s="29" t="b">
        <v>1</v>
      </c>
      <c r="G975" s="36" t="s">
        <v>214</v>
      </c>
      <c r="H975" s="36" t="s">
        <v>757</v>
      </c>
      <c r="I975" s="39"/>
      <c r="J975" s="40"/>
      <c r="K975" s="37" t="s">
        <v>194</v>
      </c>
      <c r="L975" s="37" t="s">
        <v>194</v>
      </c>
      <c r="M975" s="37" t="s">
        <v>194</v>
      </c>
      <c r="N975" s="37" t="s">
        <v>194</v>
      </c>
      <c r="O975" s="37" t="s">
        <v>223</v>
      </c>
      <c r="P975" s="37" t="s">
        <v>224</v>
      </c>
      <c r="Q975" s="41">
        <v>46218.0</v>
      </c>
      <c r="R975" s="42"/>
      <c r="S975" s="44" t="s">
        <v>194</v>
      </c>
      <c r="T975" s="37" t="s">
        <v>10</v>
      </c>
      <c r="U975" s="45" t="str">
        <f>IF(records_2[Type]="Room",records_2[roomNo],records_2[roomNo]&amp;"-"&amp;SUBSTITUTE(RIGHT(records_2[roomNo]&amp;records_2[Type],2),"-",""))</f>
        <v>16-1-102-B</v>
      </c>
      <c r="V975" s="47" t="str">
        <f t="array" ref="V975">_xlfn.XLOOKUP(records_2[ID], dAir[roomNo], dAir[roomName])</f>
        <v>DISPENSING (Booth)</v>
      </c>
      <c r="W975" s="47" t="str">
        <f t="array" ref="W975">_xlfn.XLOOKUP(records_2[ID], dAir[roomNo], dAir[building])</f>
        <v>Building 16</v>
      </c>
      <c r="X975" s="47" t="str">
        <f t="array" ref="X975">_xlfn.XLOOKUP(records_2[ID], dAir[roomNo], dAir[floor])</f>
        <v>Floor 1</v>
      </c>
      <c r="Y975" s="45" t="str">
        <f t="array" ref="Y975">_xlfn.XLOOKUP(records_2[ID], dAir[roomNo], dAir[Class])</f>
        <v>A</v>
      </c>
      <c r="Z975" s="45">
        <f t="array" ref="Z975">_xlfn.XLOOKUP(records_2[Method]&amp;"-"&amp;records_2[Class], dAirSpec[ID], dAirSpec[Spec])</f>
        <v>0</v>
      </c>
      <c r="AA975" s="45" t="str">
        <f t="array" ref="AA975">_xlfn.XLOOKUP(records_2[Method]&amp;"-"&amp;records_2[Class], dAirSpec[ID], dAirSpec[Unit])</f>
        <v>cfu/m3</v>
      </c>
      <c r="AB975" s="45" t="str">
        <f t="array" ref="AB975">if(R975="","", if(records_2[Method]="Active Air",_xlfn.xlookup(records_2[ColonyCount]&amp;records_2[AirSampler],feller[code],feller[Vc]),records_2[ColonyCount]))</f>
        <v/>
      </c>
      <c r="AC975" s="60" t="b">
        <f t="shared" si="1"/>
        <v>0</v>
      </c>
      <c r="AD975" s="61" t="b">
        <v>0</v>
      </c>
      <c r="AE975" s="32" t="s">
        <v>280</v>
      </c>
      <c r="AF975" s="46"/>
      <c r="AG975" s="46"/>
      <c r="AH975" s="46"/>
      <c r="AI975" s="46"/>
      <c r="AJ975" s="46"/>
    </row>
    <row r="976" ht="22.5" customHeight="1">
      <c r="A976" s="27">
        <v>46180.0</v>
      </c>
      <c r="B976" s="34" t="str">
        <f t="array" ref="B976">TEXT(A976, "MM-YYYY")</f>
        <v>06-2026</v>
      </c>
      <c r="C976" s="39" t="s">
        <v>786</v>
      </c>
      <c r="D976" s="36" t="s">
        <v>210</v>
      </c>
      <c r="E976" s="36" t="s">
        <v>531</v>
      </c>
      <c r="F976" s="29" t="b">
        <v>1</v>
      </c>
      <c r="G976" s="36" t="s">
        <v>214</v>
      </c>
      <c r="H976" s="36" t="s">
        <v>534</v>
      </c>
      <c r="I976" s="39"/>
      <c r="J976" s="40"/>
      <c r="K976" s="37" t="s">
        <v>194</v>
      </c>
      <c r="L976" s="37" t="s">
        <v>194</v>
      </c>
      <c r="M976" s="37" t="s">
        <v>194</v>
      </c>
      <c r="N976" s="37" t="s">
        <v>194</v>
      </c>
      <c r="O976" s="37" t="s">
        <v>223</v>
      </c>
      <c r="P976" s="37" t="s">
        <v>224</v>
      </c>
      <c r="Q976" s="41">
        <v>46218.0</v>
      </c>
      <c r="R976" s="42"/>
      <c r="S976" s="44" t="s">
        <v>194</v>
      </c>
      <c r="T976" s="37" t="s">
        <v>10</v>
      </c>
      <c r="U976" s="45" t="str">
        <f>IF(records_2[Type]="Room",records_2[roomNo],records_2[roomNo]&amp;"-"&amp;SUBSTITUTE(RIGHT(records_2[roomNo]&amp;records_2[Type],2),"-",""))</f>
        <v>16-1-102</v>
      </c>
      <c r="V976" s="47" t="str">
        <f t="array" ref="V976">_xlfn.XLOOKUP(records_2[ID], dAir[roomNo], dAir[roomName])</f>
        <v>DISPENSING</v>
      </c>
      <c r="W976" s="47" t="str">
        <f t="array" ref="W976">_xlfn.XLOOKUP(records_2[ID], dAir[roomNo], dAir[building])</f>
        <v>Building 16</v>
      </c>
      <c r="X976" s="47" t="str">
        <f t="array" ref="X976">_xlfn.XLOOKUP(records_2[ID], dAir[roomNo], dAir[floor])</f>
        <v>Floor 1</v>
      </c>
      <c r="Y976" s="45" t="str">
        <f t="array" ref="Y976">_xlfn.XLOOKUP(records_2[ID], dAir[roomNo], dAir[Class])</f>
        <v>C</v>
      </c>
      <c r="Z976" s="45">
        <f t="array" ref="Z976">_xlfn.XLOOKUP(records_2[Method]&amp;"-"&amp;records_2[Class], dAirSpec[ID], dAirSpec[Spec])</f>
        <v>100</v>
      </c>
      <c r="AA976" s="45" t="str">
        <f t="array" ref="AA976">_xlfn.XLOOKUP(records_2[Method]&amp;"-"&amp;records_2[Class], dAirSpec[ID], dAirSpec[Unit])</f>
        <v>cfu/m3</v>
      </c>
      <c r="AB976" s="45" t="str">
        <f t="array" ref="AB976">if(R976="","", if(records_2[Method]="Active Air",_xlfn.xlookup(records_2[ColonyCount]&amp;records_2[AirSampler],feller[code],feller[Vc]),records_2[ColonyCount]))</f>
        <v/>
      </c>
      <c r="AC976" s="60" t="b">
        <f t="shared" si="1"/>
        <v>0</v>
      </c>
      <c r="AD976" s="61" t="b">
        <v>0</v>
      </c>
      <c r="AE976" s="32" t="s">
        <v>280</v>
      </c>
      <c r="AF976" s="46"/>
      <c r="AG976" s="46"/>
      <c r="AH976" s="46"/>
      <c r="AI976" s="46"/>
      <c r="AJ976" s="46"/>
    </row>
    <row r="977" ht="22.5" customHeight="1">
      <c r="A977" s="27">
        <v>46180.0</v>
      </c>
      <c r="B977" s="34" t="str">
        <f t="array" ref="B977">TEXT(A977, "MM-YYYY")</f>
        <v>06-2026</v>
      </c>
      <c r="C977" s="39" t="s">
        <v>1492</v>
      </c>
      <c r="D977" s="36" t="s">
        <v>210</v>
      </c>
      <c r="E977" s="36" t="s">
        <v>531</v>
      </c>
      <c r="F977" s="29" t="b">
        <v>1</v>
      </c>
      <c r="G977" s="36" t="s">
        <v>214</v>
      </c>
      <c r="H977" s="36" t="s">
        <v>534</v>
      </c>
      <c r="I977" s="39"/>
      <c r="J977" s="40"/>
      <c r="K977" s="37" t="s">
        <v>194</v>
      </c>
      <c r="L977" s="37" t="s">
        <v>194</v>
      </c>
      <c r="M977" s="37" t="s">
        <v>194</v>
      </c>
      <c r="N977" s="37" t="s">
        <v>194</v>
      </c>
      <c r="O977" s="37" t="s">
        <v>223</v>
      </c>
      <c r="P977" s="37" t="s">
        <v>224</v>
      </c>
      <c r="Q977" s="41">
        <v>46218.0</v>
      </c>
      <c r="R977" s="42"/>
      <c r="S977" s="44" t="s">
        <v>194</v>
      </c>
      <c r="T977" s="37" t="s">
        <v>10</v>
      </c>
      <c r="U977" s="45" t="str">
        <f>IF(records_2[Type]="Room",records_2[roomNo],records_2[roomNo]&amp;"-"&amp;SUBSTITUTE(RIGHT(records_2[roomNo]&amp;records_2[Type],2),"-",""))</f>
        <v>16-1-103</v>
      </c>
      <c r="V977" s="47" t="str">
        <f t="array" ref="V977">_xlfn.XLOOKUP(records_2[ID], dAir[roomNo], dAir[roomName])</f>
        <v>DISPENSED MATERIAL STAGING</v>
      </c>
      <c r="W977" s="47" t="str">
        <f t="array" ref="W977">_xlfn.XLOOKUP(records_2[ID], dAir[roomNo], dAir[building])</f>
        <v>Building 16</v>
      </c>
      <c r="X977" s="47" t="str">
        <f t="array" ref="X977">_xlfn.XLOOKUP(records_2[ID], dAir[roomNo], dAir[floor])</f>
        <v>Floor 1</v>
      </c>
      <c r="Y977" s="45" t="str">
        <f t="array" ref="Y977">_xlfn.XLOOKUP(records_2[ID], dAir[roomNo], dAir[Class])</f>
        <v>C</v>
      </c>
      <c r="Z977" s="45">
        <f t="array" ref="Z977">_xlfn.XLOOKUP(records_2[Method]&amp;"-"&amp;records_2[Class], dAirSpec[ID], dAirSpec[Spec])</f>
        <v>100</v>
      </c>
      <c r="AA977" s="45" t="str">
        <f t="array" ref="AA977">_xlfn.XLOOKUP(records_2[Method]&amp;"-"&amp;records_2[Class], dAirSpec[ID], dAirSpec[Unit])</f>
        <v>cfu/m3</v>
      </c>
      <c r="AB977" s="45" t="str">
        <f t="array" ref="AB977">if(R977="","", if(records_2[Method]="Active Air",_xlfn.xlookup(records_2[ColonyCount]&amp;records_2[AirSampler],feller[code],feller[Vc]),records_2[ColonyCount]))</f>
        <v/>
      </c>
      <c r="AC977" s="60" t="b">
        <f t="shared" si="1"/>
        <v>0</v>
      </c>
      <c r="AD977" s="61" t="b">
        <v>0</v>
      </c>
      <c r="AE977" s="32" t="s">
        <v>280</v>
      </c>
      <c r="AF977" s="46"/>
      <c r="AG977" s="46"/>
      <c r="AH977" s="46"/>
      <c r="AI977" s="46"/>
      <c r="AJ977" s="46"/>
    </row>
    <row r="978" ht="22.5" customHeight="1">
      <c r="A978" s="27">
        <v>46180.0</v>
      </c>
      <c r="B978" s="34" t="str">
        <f t="array" ref="B978">TEXT(A978, "MM-YYYY")</f>
        <v>06-2026</v>
      </c>
      <c r="C978" s="39" t="s">
        <v>1493</v>
      </c>
      <c r="D978" s="36" t="s">
        <v>210</v>
      </c>
      <c r="E978" s="36" t="s">
        <v>531</v>
      </c>
      <c r="F978" s="29" t="b">
        <v>1</v>
      </c>
      <c r="G978" s="36" t="s">
        <v>214</v>
      </c>
      <c r="H978" s="36" t="s">
        <v>203</v>
      </c>
      <c r="I978" s="39"/>
      <c r="J978" s="40"/>
      <c r="K978" s="37" t="s">
        <v>194</v>
      </c>
      <c r="L978" s="37" t="s">
        <v>194</v>
      </c>
      <c r="M978" s="37" t="s">
        <v>194</v>
      </c>
      <c r="N978" s="37" t="s">
        <v>194</v>
      </c>
      <c r="O978" s="37" t="s">
        <v>223</v>
      </c>
      <c r="P978" s="37" t="s">
        <v>224</v>
      </c>
      <c r="Q978" s="41">
        <v>46218.0</v>
      </c>
      <c r="R978" s="42"/>
      <c r="S978" s="44" t="s">
        <v>194</v>
      </c>
      <c r="T978" s="37" t="s">
        <v>10</v>
      </c>
      <c r="U978" s="45" t="str">
        <f>IF(records_2[Type]="Room",records_2[roomNo],records_2[roomNo]&amp;"-"&amp;SUBSTITUTE(RIGHT(records_2[roomNo]&amp;records_2[Type],2),"-",""))</f>
        <v>16-1-104</v>
      </c>
      <c r="V978" s="47" t="str">
        <f t="array" ref="V978">_xlfn.XLOOKUP(records_2[ID], dAir[roomNo], dAir[roomName])</f>
        <v>AMPOULES INTERNAL STAGING</v>
      </c>
      <c r="W978" s="47" t="str">
        <f t="array" ref="W978">_xlfn.XLOOKUP(records_2[ID], dAir[roomNo], dAir[building])</f>
        <v>Building 16</v>
      </c>
      <c r="X978" s="47" t="str">
        <f t="array" ref="X978">_xlfn.XLOOKUP(records_2[ID], dAir[roomNo], dAir[floor])</f>
        <v>Floor 1</v>
      </c>
      <c r="Y978" s="45" t="str">
        <f t="array" ref="Y978">_xlfn.XLOOKUP(records_2[ID], dAir[roomNo], dAir[Class])</f>
        <v>C</v>
      </c>
      <c r="Z978" s="45">
        <f t="array" ref="Z978">_xlfn.XLOOKUP(records_2[Method]&amp;"-"&amp;records_2[Class], dAirSpec[ID], dAirSpec[Spec])</f>
        <v>100</v>
      </c>
      <c r="AA978" s="45" t="str">
        <f t="array" ref="AA978">_xlfn.XLOOKUP(records_2[Method]&amp;"-"&amp;records_2[Class], dAirSpec[ID], dAirSpec[Unit])</f>
        <v>cfu/m3</v>
      </c>
      <c r="AB978" s="45" t="str">
        <f t="array" ref="AB978">if(R978="","", if(records_2[Method]="Active Air",_xlfn.xlookup(records_2[ColonyCount]&amp;records_2[AirSampler],feller[code],feller[Vc]),records_2[ColonyCount]))</f>
        <v/>
      </c>
      <c r="AC978" s="60" t="b">
        <f t="shared" si="1"/>
        <v>0</v>
      </c>
      <c r="AD978" s="61" t="b">
        <v>0</v>
      </c>
      <c r="AE978" s="32" t="s">
        <v>280</v>
      </c>
      <c r="AF978" s="46"/>
      <c r="AG978" s="46"/>
      <c r="AH978" s="46"/>
      <c r="AI978" s="46"/>
      <c r="AJ978" s="46"/>
    </row>
    <row r="979" ht="22.5" customHeight="1">
      <c r="A979" s="27">
        <v>46180.0</v>
      </c>
      <c r="B979" s="34" t="str">
        <f t="array" ref="B979">TEXT(A979, "MM-YYYY")</f>
        <v>06-2026</v>
      </c>
      <c r="C979" s="39" t="s">
        <v>1493</v>
      </c>
      <c r="D979" s="36" t="s">
        <v>1350</v>
      </c>
      <c r="E979" s="36" t="s">
        <v>531</v>
      </c>
      <c r="F979" s="29" t="b">
        <v>1</v>
      </c>
      <c r="G979" s="36" t="s">
        <v>214</v>
      </c>
      <c r="H979" s="36" t="s">
        <v>203</v>
      </c>
      <c r="I979" s="39"/>
      <c r="J979" s="40"/>
      <c r="K979" s="37" t="s">
        <v>194</v>
      </c>
      <c r="L979" s="37" t="s">
        <v>194</v>
      </c>
      <c r="M979" s="37" t="s">
        <v>194</v>
      </c>
      <c r="N979" s="37" t="s">
        <v>194</v>
      </c>
      <c r="O979" s="37" t="s">
        <v>223</v>
      </c>
      <c r="P979" s="37" t="s">
        <v>224</v>
      </c>
      <c r="Q979" s="41">
        <v>46218.0</v>
      </c>
      <c r="R979" s="42"/>
      <c r="S979" s="44" t="s">
        <v>1483</v>
      </c>
      <c r="T979" s="37" t="s">
        <v>10</v>
      </c>
      <c r="U979" s="45" t="str">
        <f>IF(records_2[Type]="Room",records_2[roomNo],records_2[roomNo]&amp;"-"&amp;SUBSTITUTE(RIGHT(records_2[roomNo]&amp;records_2[Type],2),"-",""))</f>
        <v>16-1-104-PB</v>
      </c>
      <c r="V979" s="47" t="str">
        <f t="array" ref="V979">_xlfn.XLOOKUP(records_2[ID], dAir[roomNo], dAir[roomName])</f>
        <v>AMPOULES INTERNAL STAGING (Passbox)</v>
      </c>
      <c r="W979" s="47" t="str">
        <f t="array" ref="W979">_xlfn.XLOOKUP(records_2[ID], dAir[roomNo], dAir[building])</f>
        <v>Building 16</v>
      </c>
      <c r="X979" s="47" t="str">
        <f t="array" ref="X979">_xlfn.XLOOKUP(records_2[ID], dAir[roomNo], dAir[floor])</f>
        <v>Floor 1</v>
      </c>
      <c r="Y979" s="45" t="str">
        <f t="array" ref="Y979">_xlfn.XLOOKUP(records_2[ID], dAir[roomNo], dAir[Class])</f>
        <v>C</v>
      </c>
      <c r="Z979" s="45">
        <f t="array" ref="Z979">_xlfn.XLOOKUP(records_2[Method]&amp;"-"&amp;records_2[Class], dAirSpec[ID], dAirSpec[Spec])</f>
        <v>100</v>
      </c>
      <c r="AA979" s="45" t="str">
        <f t="array" ref="AA979">_xlfn.XLOOKUP(records_2[Method]&amp;"-"&amp;records_2[Class], dAirSpec[ID], dAirSpec[Unit])</f>
        <v>cfu/m3</v>
      </c>
      <c r="AB979" s="45" t="str">
        <f t="array" ref="AB979">if(R979="","", if(records_2[Method]="Active Air",_xlfn.xlookup(records_2[ColonyCount]&amp;records_2[AirSampler],feller[code],feller[Vc]),records_2[ColonyCount]))</f>
        <v/>
      </c>
      <c r="AC979" s="60" t="b">
        <f t="shared" si="1"/>
        <v>0</v>
      </c>
      <c r="AD979" s="61" t="b">
        <v>0</v>
      </c>
      <c r="AE979" s="32" t="s">
        <v>280</v>
      </c>
      <c r="AF979" s="46"/>
      <c r="AG979" s="46"/>
      <c r="AH979" s="46"/>
      <c r="AI979" s="46"/>
      <c r="AJ979" s="46"/>
    </row>
    <row r="980" ht="22.5" customHeight="1">
      <c r="A980" s="27">
        <v>46180.0</v>
      </c>
      <c r="B980" s="34" t="str">
        <f t="array" ref="B980">TEXT(A980, "MM-YYYY")</f>
        <v>06-2026</v>
      </c>
      <c r="C980" s="39" t="s">
        <v>754</v>
      </c>
      <c r="D980" s="36" t="s">
        <v>210</v>
      </c>
      <c r="E980" s="36" t="s">
        <v>531</v>
      </c>
      <c r="F980" s="29" t="b">
        <v>1</v>
      </c>
      <c r="G980" s="36" t="s">
        <v>214</v>
      </c>
      <c r="H980" s="36" t="s">
        <v>534</v>
      </c>
      <c r="I980" s="39"/>
      <c r="J980" s="40"/>
      <c r="K980" s="37" t="s">
        <v>194</v>
      </c>
      <c r="L980" s="37" t="s">
        <v>194</v>
      </c>
      <c r="M980" s="37" t="s">
        <v>194</v>
      </c>
      <c r="N980" s="37" t="s">
        <v>194</v>
      </c>
      <c r="O980" s="37" t="s">
        <v>223</v>
      </c>
      <c r="P980" s="37" t="s">
        <v>224</v>
      </c>
      <c r="Q980" s="41">
        <v>46218.0</v>
      </c>
      <c r="R980" s="42"/>
      <c r="S980" s="44" t="s">
        <v>194</v>
      </c>
      <c r="T980" s="37" t="s">
        <v>10</v>
      </c>
      <c r="U980" s="45" t="str">
        <f>IF(records_2[Type]="Room",records_2[roomNo],records_2[roomNo]&amp;"-"&amp;SUBSTITUTE(RIGHT(records_2[roomNo]&amp;records_2[Type],2),"-",""))</f>
        <v>16-1-105</v>
      </c>
      <c r="V980" s="47" t="str">
        <f t="array" ref="V980">_xlfn.XLOOKUP(records_2[ID], dAir[roomNo], dAir[roomName])</f>
        <v>WASHING / TUNNEL 1</v>
      </c>
      <c r="W980" s="47" t="str">
        <f t="array" ref="W980">_xlfn.XLOOKUP(records_2[ID], dAir[roomNo], dAir[building])</f>
        <v>Building 16</v>
      </c>
      <c r="X980" s="47" t="str">
        <f t="array" ref="X980">_xlfn.XLOOKUP(records_2[ID], dAir[roomNo], dAir[floor])</f>
        <v>Floor 1</v>
      </c>
      <c r="Y980" s="45" t="str">
        <f t="array" ref="Y980">_xlfn.XLOOKUP(records_2[ID], dAir[roomNo], dAir[Class])</f>
        <v>C</v>
      </c>
      <c r="Z980" s="45">
        <f t="array" ref="Z980">_xlfn.XLOOKUP(records_2[Method]&amp;"-"&amp;records_2[Class], dAirSpec[ID], dAirSpec[Spec])</f>
        <v>100</v>
      </c>
      <c r="AA980" s="45" t="str">
        <f t="array" ref="AA980">_xlfn.XLOOKUP(records_2[Method]&amp;"-"&amp;records_2[Class], dAirSpec[ID], dAirSpec[Unit])</f>
        <v>cfu/m3</v>
      </c>
      <c r="AB980" s="45" t="str">
        <f t="array" ref="AB980">if(R980="","", if(records_2[Method]="Active Air",_xlfn.xlookup(records_2[ColonyCount]&amp;records_2[AirSampler],feller[code],feller[Vc]),records_2[ColonyCount]))</f>
        <v/>
      </c>
      <c r="AC980" s="60" t="b">
        <f t="shared" si="1"/>
        <v>0</v>
      </c>
      <c r="AD980" s="61" t="b">
        <v>0</v>
      </c>
      <c r="AE980" s="32" t="s">
        <v>280</v>
      </c>
      <c r="AF980" s="46"/>
      <c r="AG980" s="46"/>
      <c r="AH980" s="46"/>
      <c r="AI980" s="46"/>
      <c r="AJ980" s="46"/>
    </row>
    <row r="981" ht="22.5" customHeight="1">
      <c r="A981" s="27">
        <v>46180.0</v>
      </c>
      <c r="B981" s="34" t="str">
        <f t="array" ref="B981">TEXT(A981, "MM-YYYY")</f>
        <v>06-2026</v>
      </c>
      <c r="C981" s="39" t="s">
        <v>1498</v>
      </c>
      <c r="D981" s="36" t="s">
        <v>210</v>
      </c>
      <c r="E981" s="36" t="s">
        <v>531</v>
      </c>
      <c r="F981" s="29" t="b">
        <v>1</v>
      </c>
      <c r="G981" s="36" t="s">
        <v>214</v>
      </c>
      <c r="H981" s="36" t="s">
        <v>534</v>
      </c>
      <c r="I981" s="39"/>
      <c r="J981" s="40"/>
      <c r="K981" s="37" t="s">
        <v>194</v>
      </c>
      <c r="L981" s="37" t="s">
        <v>194</v>
      </c>
      <c r="M981" s="37" t="s">
        <v>194</v>
      </c>
      <c r="N981" s="37" t="s">
        <v>194</v>
      </c>
      <c r="O981" s="37" t="s">
        <v>223</v>
      </c>
      <c r="P981" s="37" t="s">
        <v>224</v>
      </c>
      <c r="Q981" s="41">
        <v>46218.0</v>
      </c>
      <c r="R981" s="42"/>
      <c r="S981" s="44" t="s">
        <v>194</v>
      </c>
      <c r="T981" s="37" t="s">
        <v>10</v>
      </c>
      <c r="U981" s="45" t="str">
        <f>IF(records_2[Type]="Room",records_2[roomNo],records_2[roomNo]&amp;"-"&amp;SUBSTITUTE(RIGHT(records_2[roomNo]&amp;records_2[Type],2),"-",""))</f>
        <v>16-1-106</v>
      </c>
      <c r="V981" s="47" t="str">
        <f t="array" ref="V981">_xlfn.XLOOKUP(records_2[ID], dAir[roomNo], dAir[roomName])</f>
        <v>AIRLOCK</v>
      </c>
      <c r="W981" s="47" t="str">
        <f t="array" ref="W981">_xlfn.XLOOKUP(records_2[ID], dAir[roomNo], dAir[building])</f>
        <v>Building 16</v>
      </c>
      <c r="X981" s="47" t="str">
        <f t="array" ref="X981">_xlfn.XLOOKUP(records_2[ID], dAir[roomNo], dAir[floor])</f>
        <v>Floor 1</v>
      </c>
      <c r="Y981" s="45" t="str">
        <f t="array" ref="Y981">_xlfn.XLOOKUP(records_2[ID], dAir[roomNo], dAir[Class])</f>
        <v>C</v>
      </c>
      <c r="Z981" s="45">
        <f t="array" ref="Z981">_xlfn.XLOOKUP(records_2[Method]&amp;"-"&amp;records_2[Class], dAirSpec[ID], dAirSpec[Spec])</f>
        <v>100</v>
      </c>
      <c r="AA981" s="45" t="str">
        <f t="array" ref="AA981">_xlfn.XLOOKUP(records_2[Method]&amp;"-"&amp;records_2[Class], dAirSpec[ID], dAirSpec[Unit])</f>
        <v>cfu/m3</v>
      </c>
      <c r="AB981" s="45" t="str">
        <f t="array" ref="AB981">if(R981="","", if(records_2[Method]="Active Air",_xlfn.xlookup(records_2[ColonyCount]&amp;records_2[AirSampler],feller[code],feller[Vc]),records_2[ColonyCount]))</f>
        <v/>
      </c>
      <c r="AC981" s="60" t="b">
        <f t="shared" si="1"/>
        <v>0</v>
      </c>
      <c r="AD981" s="61" t="b">
        <v>0</v>
      </c>
      <c r="AE981" s="32" t="s">
        <v>280</v>
      </c>
      <c r="AF981" s="46"/>
      <c r="AG981" s="46"/>
      <c r="AH981" s="46"/>
      <c r="AI981" s="46"/>
      <c r="AJ981" s="46"/>
    </row>
    <row r="982" ht="22.5" customHeight="1">
      <c r="A982" s="27">
        <v>46180.0</v>
      </c>
      <c r="B982" s="34" t="str">
        <f t="array" ref="B982">TEXT(A982, "MM-YYYY")</f>
        <v>06-2026</v>
      </c>
      <c r="C982" s="39" t="s">
        <v>763</v>
      </c>
      <c r="D982" s="36" t="s">
        <v>210</v>
      </c>
      <c r="E982" s="36" t="s">
        <v>531</v>
      </c>
      <c r="F982" s="29" t="b">
        <v>1</v>
      </c>
      <c r="G982" s="36" t="s">
        <v>214</v>
      </c>
      <c r="H982" s="36" t="s">
        <v>534</v>
      </c>
      <c r="I982" s="39"/>
      <c r="J982" s="40"/>
      <c r="K982" s="37" t="s">
        <v>194</v>
      </c>
      <c r="L982" s="37" t="s">
        <v>194</v>
      </c>
      <c r="M982" s="37" t="s">
        <v>194</v>
      </c>
      <c r="N982" s="37" t="s">
        <v>194</v>
      </c>
      <c r="O982" s="37" t="s">
        <v>223</v>
      </c>
      <c r="P982" s="37" t="s">
        <v>224</v>
      </c>
      <c r="Q982" s="41">
        <v>46218.0</v>
      </c>
      <c r="R982" s="42"/>
      <c r="S982" s="44" t="s">
        <v>194</v>
      </c>
      <c r="T982" s="37" t="s">
        <v>10</v>
      </c>
      <c r="U982" s="45" t="str">
        <f>IF(records_2[Type]="Room",records_2[roomNo],records_2[roomNo]&amp;"-"&amp;SUBSTITUTE(RIGHT(records_2[roomNo]&amp;records_2[Type],2),"-",""))</f>
        <v>16-1-107</v>
      </c>
      <c r="V982" s="47" t="str">
        <f t="array" ref="V982">_xlfn.XLOOKUP(records_2[ID], dAir[roomNo], dAir[roomName])</f>
        <v>COMPOUNDING 1</v>
      </c>
      <c r="W982" s="47" t="str">
        <f t="array" ref="W982">_xlfn.XLOOKUP(records_2[ID], dAir[roomNo], dAir[building])</f>
        <v>Building 16</v>
      </c>
      <c r="X982" s="47" t="str">
        <f t="array" ref="X982">_xlfn.XLOOKUP(records_2[ID], dAir[roomNo], dAir[floor])</f>
        <v>Floor 1</v>
      </c>
      <c r="Y982" s="45" t="str">
        <f t="array" ref="Y982">_xlfn.XLOOKUP(records_2[ID], dAir[roomNo], dAir[Class])</f>
        <v>C</v>
      </c>
      <c r="Z982" s="45">
        <f t="array" ref="Z982">_xlfn.XLOOKUP(records_2[Method]&amp;"-"&amp;records_2[Class], dAirSpec[ID], dAirSpec[Spec])</f>
        <v>100</v>
      </c>
      <c r="AA982" s="45" t="str">
        <f t="array" ref="AA982">_xlfn.XLOOKUP(records_2[Method]&amp;"-"&amp;records_2[Class], dAirSpec[ID], dAirSpec[Unit])</f>
        <v>cfu/m3</v>
      </c>
      <c r="AB982" s="45" t="str">
        <f t="array" ref="AB982">if(R982="","", if(records_2[Method]="Active Air",_xlfn.xlookup(records_2[ColonyCount]&amp;records_2[AirSampler],feller[code],feller[Vc]),records_2[ColonyCount]))</f>
        <v/>
      </c>
      <c r="AC982" s="60" t="b">
        <f t="shared" si="1"/>
        <v>0</v>
      </c>
      <c r="AD982" s="61" t="b">
        <v>0</v>
      </c>
      <c r="AE982" s="32" t="s">
        <v>280</v>
      </c>
      <c r="AF982" s="46"/>
      <c r="AG982" s="46"/>
      <c r="AH982" s="46"/>
      <c r="AI982" s="46"/>
      <c r="AJ982" s="46"/>
    </row>
    <row r="983" ht="22.5" customHeight="1">
      <c r="A983" s="27">
        <v>46180.0</v>
      </c>
      <c r="B983" s="34" t="str">
        <f t="array" ref="B983">TEXT(A983, "MM-YYYY")</f>
        <v>06-2026</v>
      </c>
      <c r="C983" s="39" t="s">
        <v>1499</v>
      </c>
      <c r="D983" s="36" t="s">
        <v>210</v>
      </c>
      <c r="E983" s="36" t="s">
        <v>531</v>
      </c>
      <c r="F983" s="29" t="b">
        <v>1</v>
      </c>
      <c r="G983" s="36" t="s">
        <v>214</v>
      </c>
      <c r="H983" s="36" t="s">
        <v>534</v>
      </c>
      <c r="I983" s="39"/>
      <c r="J983" s="40"/>
      <c r="K983" s="37" t="s">
        <v>194</v>
      </c>
      <c r="L983" s="37" t="s">
        <v>194</v>
      </c>
      <c r="M983" s="37" t="s">
        <v>194</v>
      </c>
      <c r="N983" s="37" t="s">
        <v>194</v>
      </c>
      <c r="O983" s="37" t="s">
        <v>223</v>
      </c>
      <c r="P983" s="37" t="s">
        <v>224</v>
      </c>
      <c r="Q983" s="41">
        <v>46218.0</v>
      </c>
      <c r="R983" s="42"/>
      <c r="S983" s="44" t="s">
        <v>194</v>
      </c>
      <c r="T983" s="37" t="s">
        <v>10</v>
      </c>
      <c r="U983" s="45" t="str">
        <f>IF(records_2[Type]="Room",records_2[roomNo],records_2[roomNo]&amp;"-"&amp;SUBSTITUTE(RIGHT(records_2[roomNo]&amp;records_2[Type],2),"-",""))</f>
        <v>16-1-108</v>
      </c>
      <c r="V983" s="47" t="str">
        <f t="array" ref="V983">_xlfn.XLOOKUP(records_2[ID], dAir[roomNo], dAir[roomName])</f>
        <v>CLEANED EQUIPMENT</v>
      </c>
      <c r="W983" s="47" t="str">
        <f t="array" ref="W983">_xlfn.XLOOKUP(records_2[ID], dAir[roomNo], dAir[building])</f>
        <v>Building 16</v>
      </c>
      <c r="X983" s="47" t="str">
        <f t="array" ref="X983">_xlfn.XLOOKUP(records_2[ID], dAir[roomNo], dAir[floor])</f>
        <v>Floor 1</v>
      </c>
      <c r="Y983" s="45" t="str">
        <f t="array" ref="Y983">_xlfn.XLOOKUP(records_2[ID], dAir[roomNo], dAir[Class])</f>
        <v>C</v>
      </c>
      <c r="Z983" s="45">
        <f t="array" ref="Z983">_xlfn.XLOOKUP(records_2[Method]&amp;"-"&amp;records_2[Class], dAirSpec[ID], dAirSpec[Spec])</f>
        <v>100</v>
      </c>
      <c r="AA983" s="45" t="str">
        <f t="array" ref="AA983">_xlfn.XLOOKUP(records_2[Method]&amp;"-"&amp;records_2[Class], dAirSpec[ID], dAirSpec[Unit])</f>
        <v>cfu/m3</v>
      </c>
      <c r="AB983" s="45" t="str">
        <f t="array" ref="AB983">if(R983="","", if(records_2[Method]="Active Air",_xlfn.xlookup(records_2[ColonyCount]&amp;records_2[AirSampler],feller[code],feller[Vc]),records_2[ColonyCount]))</f>
        <v/>
      </c>
      <c r="AC983" s="60" t="b">
        <f t="shared" si="1"/>
        <v>0</v>
      </c>
      <c r="AD983" s="61" t="b">
        <v>0</v>
      </c>
      <c r="AE983" s="32" t="s">
        <v>280</v>
      </c>
      <c r="AF983" s="46"/>
      <c r="AG983" s="46"/>
      <c r="AH983" s="46"/>
      <c r="AI983" s="46"/>
      <c r="AJ983" s="46"/>
    </row>
    <row r="984" ht="22.5" customHeight="1">
      <c r="A984" s="27">
        <v>46180.0</v>
      </c>
      <c r="B984" s="34" t="str">
        <f t="array" ref="B984">TEXT(A984, "MM-YYYY")</f>
        <v>06-2026</v>
      </c>
      <c r="C984" s="39" t="s">
        <v>769</v>
      </c>
      <c r="D984" s="36" t="s">
        <v>210</v>
      </c>
      <c r="E984" s="36" t="s">
        <v>531</v>
      </c>
      <c r="F984" s="29" t="b">
        <v>1</v>
      </c>
      <c r="G984" s="36" t="s">
        <v>214</v>
      </c>
      <c r="H984" s="36" t="s">
        <v>534</v>
      </c>
      <c r="I984" s="39"/>
      <c r="J984" s="40"/>
      <c r="K984" s="37" t="s">
        <v>194</v>
      </c>
      <c r="L984" s="37" t="s">
        <v>194</v>
      </c>
      <c r="M984" s="37" t="s">
        <v>194</v>
      </c>
      <c r="N984" s="37" t="s">
        <v>194</v>
      </c>
      <c r="O984" s="37" t="s">
        <v>223</v>
      </c>
      <c r="P984" s="37" t="s">
        <v>224</v>
      </c>
      <c r="Q984" s="41">
        <v>46218.0</v>
      </c>
      <c r="R984" s="42"/>
      <c r="S984" s="44" t="s">
        <v>194</v>
      </c>
      <c r="T984" s="37" t="s">
        <v>10</v>
      </c>
      <c r="U984" s="45" t="str">
        <f>IF(records_2[Type]="Room",records_2[roomNo],records_2[roomNo]&amp;"-"&amp;SUBSTITUTE(RIGHT(records_2[roomNo]&amp;records_2[Type],2),"-",""))</f>
        <v>16-1-109</v>
      </c>
      <c r="V984" s="47" t="str">
        <f t="array" ref="V984">_xlfn.XLOOKUP(records_2[ID], dAir[roomNo], dAir[roomName])</f>
        <v>DRYING</v>
      </c>
      <c r="W984" s="47" t="str">
        <f t="array" ref="W984">_xlfn.XLOOKUP(records_2[ID], dAir[roomNo], dAir[building])</f>
        <v>Building 16</v>
      </c>
      <c r="X984" s="47" t="str">
        <f t="array" ref="X984">_xlfn.XLOOKUP(records_2[ID], dAir[roomNo], dAir[floor])</f>
        <v>Floor 1</v>
      </c>
      <c r="Y984" s="45" t="str">
        <f t="array" ref="Y984">_xlfn.XLOOKUP(records_2[ID], dAir[roomNo], dAir[Class])</f>
        <v>C</v>
      </c>
      <c r="Z984" s="45">
        <f t="array" ref="Z984">_xlfn.XLOOKUP(records_2[Method]&amp;"-"&amp;records_2[Class], dAirSpec[ID], dAirSpec[Spec])</f>
        <v>100</v>
      </c>
      <c r="AA984" s="45" t="str">
        <f t="array" ref="AA984">_xlfn.XLOOKUP(records_2[Method]&amp;"-"&amp;records_2[Class], dAirSpec[ID], dAirSpec[Unit])</f>
        <v>cfu/m3</v>
      </c>
      <c r="AB984" s="45" t="str">
        <f t="array" ref="AB984">if(R984="","", if(records_2[Method]="Active Air",_xlfn.xlookup(records_2[ColonyCount]&amp;records_2[AirSampler],feller[code],feller[Vc]),records_2[ColonyCount]))</f>
        <v/>
      </c>
      <c r="AC984" s="60" t="b">
        <f t="shared" si="1"/>
        <v>0</v>
      </c>
      <c r="AD984" s="61" t="b">
        <v>0</v>
      </c>
      <c r="AE984" s="32" t="s">
        <v>280</v>
      </c>
      <c r="AF984" s="46"/>
      <c r="AG984" s="46"/>
      <c r="AH984" s="46"/>
      <c r="AI984" s="46"/>
      <c r="AJ984" s="46"/>
    </row>
    <row r="985" ht="22.5" customHeight="1">
      <c r="A985" s="27">
        <v>46180.0</v>
      </c>
      <c r="B985" s="34" t="str">
        <f t="array" ref="B985">TEXT(A985, "MM-YYYY")</f>
        <v>06-2026</v>
      </c>
      <c r="C985" s="39" t="s">
        <v>1024</v>
      </c>
      <c r="D985" s="36" t="s">
        <v>210</v>
      </c>
      <c r="E985" s="36" t="s">
        <v>531</v>
      </c>
      <c r="F985" s="29" t="b">
        <v>1</v>
      </c>
      <c r="G985" s="36" t="s">
        <v>214</v>
      </c>
      <c r="H985" s="36" t="s">
        <v>203</v>
      </c>
      <c r="I985" s="39"/>
      <c r="J985" s="40"/>
      <c r="K985" s="37" t="s">
        <v>194</v>
      </c>
      <c r="L985" s="37" t="s">
        <v>194</v>
      </c>
      <c r="M985" s="37" t="s">
        <v>194</v>
      </c>
      <c r="N985" s="37" t="s">
        <v>194</v>
      </c>
      <c r="O985" s="37" t="s">
        <v>223</v>
      </c>
      <c r="P985" s="37" t="s">
        <v>224</v>
      </c>
      <c r="Q985" s="41">
        <v>46218.0</v>
      </c>
      <c r="R985" s="42"/>
      <c r="S985" s="44" t="s">
        <v>194</v>
      </c>
      <c r="T985" s="37" t="s">
        <v>10</v>
      </c>
      <c r="U985" s="45" t="str">
        <f>IF(records_2[Type]="Room",records_2[roomNo],records_2[roomNo]&amp;"-"&amp;SUBSTITUTE(RIGHT(records_2[roomNo]&amp;records_2[Type],2),"-",""))</f>
        <v>16-1-110</v>
      </c>
      <c r="V985" s="47" t="str">
        <f t="array" ref="V985">_xlfn.XLOOKUP(records_2[ID], dAir[roomNo], dAir[roomName])</f>
        <v>DISINFECTANT PREPARATION</v>
      </c>
      <c r="W985" s="47" t="str">
        <f t="array" ref="W985">_xlfn.XLOOKUP(records_2[ID], dAir[roomNo], dAir[building])</f>
        <v>Building 16</v>
      </c>
      <c r="X985" s="47" t="str">
        <f t="array" ref="X985">_xlfn.XLOOKUP(records_2[ID], dAir[roomNo], dAir[floor])</f>
        <v>Floor 1</v>
      </c>
      <c r="Y985" s="45" t="str">
        <f t="array" ref="Y985">_xlfn.XLOOKUP(records_2[ID], dAir[roomNo], dAir[Class])</f>
        <v>C</v>
      </c>
      <c r="Z985" s="45">
        <f t="array" ref="Z985">_xlfn.XLOOKUP(records_2[Method]&amp;"-"&amp;records_2[Class], dAirSpec[ID], dAirSpec[Spec])</f>
        <v>100</v>
      </c>
      <c r="AA985" s="45" t="str">
        <f t="array" ref="AA985">_xlfn.XLOOKUP(records_2[Method]&amp;"-"&amp;records_2[Class], dAirSpec[ID], dAirSpec[Unit])</f>
        <v>cfu/m3</v>
      </c>
      <c r="AB985" s="45" t="str">
        <f t="array" ref="AB985">if(R985="","", if(records_2[Method]="Active Air",_xlfn.xlookup(records_2[ColonyCount]&amp;records_2[AirSampler],feller[code],feller[Vc]),records_2[ColonyCount]))</f>
        <v/>
      </c>
      <c r="AC985" s="60" t="b">
        <f t="shared" si="1"/>
        <v>0</v>
      </c>
      <c r="AD985" s="61" t="b">
        <v>0</v>
      </c>
      <c r="AE985" s="32" t="s">
        <v>280</v>
      </c>
      <c r="AF985" s="46"/>
      <c r="AG985" s="46"/>
      <c r="AH985" s="46"/>
      <c r="AI985" s="46"/>
      <c r="AJ985" s="46"/>
    </row>
    <row r="986" ht="22.5" customHeight="1">
      <c r="A986" s="27">
        <v>46180.0</v>
      </c>
      <c r="B986" s="34" t="str">
        <f t="array" ref="B986">TEXT(A986, "MM-YYYY")</f>
        <v>06-2026</v>
      </c>
      <c r="C986" s="39" t="s">
        <v>1500</v>
      </c>
      <c r="D986" s="36" t="s">
        <v>210</v>
      </c>
      <c r="E986" s="36" t="s">
        <v>531</v>
      </c>
      <c r="F986" s="29" t="b">
        <v>1</v>
      </c>
      <c r="G986" s="36" t="s">
        <v>214</v>
      </c>
      <c r="H986" s="36" t="s">
        <v>534</v>
      </c>
      <c r="I986" s="39"/>
      <c r="J986" s="40"/>
      <c r="K986" s="37" t="s">
        <v>194</v>
      </c>
      <c r="L986" s="37" t="s">
        <v>194</v>
      </c>
      <c r="M986" s="37" t="s">
        <v>194</v>
      </c>
      <c r="N986" s="37" t="s">
        <v>194</v>
      </c>
      <c r="O986" s="37" t="s">
        <v>223</v>
      </c>
      <c r="P986" s="37" t="s">
        <v>224</v>
      </c>
      <c r="Q986" s="41">
        <v>46218.0</v>
      </c>
      <c r="R986" s="42"/>
      <c r="S986" s="44" t="s">
        <v>194</v>
      </c>
      <c r="T986" s="37" t="s">
        <v>10</v>
      </c>
      <c r="U986" s="45" t="str">
        <f>IF(records_2[Type]="Room",records_2[roomNo],records_2[roomNo]&amp;"-"&amp;SUBSTITUTE(RIGHT(records_2[roomNo]&amp;records_2[Type],2),"-",""))</f>
        <v>16-1-111</v>
      </c>
      <c r="V986" s="47" t="str">
        <f t="array" ref="V986">_xlfn.XLOOKUP(records_2[ID], dAir[roomNo], dAir[roomName])</f>
        <v>COMPONENT PREPARATION</v>
      </c>
      <c r="W986" s="47" t="str">
        <f t="array" ref="W986">_xlfn.XLOOKUP(records_2[ID], dAir[roomNo], dAir[building])</f>
        <v>Building 16</v>
      </c>
      <c r="X986" s="47" t="str">
        <f t="array" ref="X986">_xlfn.XLOOKUP(records_2[ID], dAir[roomNo], dAir[floor])</f>
        <v>Floor 1</v>
      </c>
      <c r="Y986" s="45" t="str">
        <f t="array" ref="Y986">_xlfn.XLOOKUP(records_2[ID], dAir[roomNo], dAir[Class])</f>
        <v>C</v>
      </c>
      <c r="Z986" s="45">
        <f t="array" ref="Z986">_xlfn.XLOOKUP(records_2[Method]&amp;"-"&amp;records_2[Class], dAirSpec[ID], dAirSpec[Spec])</f>
        <v>100</v>
      </c>
      <c r="AA986" s="45" t="str">
        <f t="array" ref="AA986">_xlfn.XLOOKUP(records_2[Method]&amp;"-"&amp;records_2[Class], dAirSpec[ID], dAirSpec[Unit])</f>
        <v>cfu/m3</v>
      </c>
      <c r="AB986" s="45" t="str">
        <f t="array" ref="AB986">if(R986="","", if(records_2[Method]="Active Air",_xlfn.xlookup(records_2[ColonyCount]&amp;records_2[AirSampler],feller[code],feller[Vc]),records_2[ColonyCount]))</f>
        <v/>
      </c>
      <c r="AC986" s="60" t="b">
        <f t="shared" si="1"/>
        <v>0</v>
      </c>
      <c r="AD986" s="61" t="b">
        <v>0</v>
      </c>
      <c r="AE986" s="32" t="s">
        <v>280</v>
      </c>
      <c r="AF986" s="46"/>
      <c r="AG986" s="46"/>
      <c r="AH986" s="46"/>
      <c r="AI986" s="46"/>
      <c r="AJ986" s="46"/>
    </row>
    <row r="987" ht="22.5" customHeight="1">
      <c r="A987" s="27">
        <v>46180.0</v>
      </c>
      <c r="B987" s="34" t="str">
        <f t="array" ref="B987">TEXT(A987, "MM-YYYY")</f>
        <v>06-2026</v>
      </c>
      <c r="C987" s="39" t="s">
        <v>1502</v>
      </c>
      <c r="D987" s="36" t="s">
        <v>210</v>
      </c>
      <c r="E987" s="36" t="s">
        <v>531</v>
      </c>
      <c r="F987" s="29" t="b">
        <v>1</v>
      </c>
      <c r="G987" s="36" t="s">
        <v>214</v>
      </c>
      <c r="H987" s="36" t="s">
        <v>534</v>
      </c>
      <c r="I987" s="39"/>
      <c r="J987" s="40"/>
      <c r="K987" s="37" t="s">
        <v>194</v>
      </c>
      <c r="L987" s="37" t="s">
        <v>194</v>
      </c>
      <c r="M987" s="37" t="s">
        <v>194</v>
      </c>
      <c r="N987" s="37" t="s">
        <v>194</v>
      </c>
      <c r="O987" s="37" t="s">
        <v>223</v>
      </c>
      <c r="P987" s="37" t="s">
        <v>224</v>
      </c>
      <c r="Q987" s="41">
        <v>46218.0</v>
      </c>
      <c r="R987" s="42"/>
      <c r="S987" s="29" t="s">
        <v>1043</v>
      </c>
      <c r="T987" s="37" t="s">
        <v>10</v>
      </c>
      <c r="U987" s="45" t="str">
        <f>IF(records_2[Type]="Room",records_2[roomNo],records_2[roomNo]&amp;"-"&amp;SUBSTITUTE(RIGHT(records_2[roomNo]&amp;records_2[Type],2),"-",""))</f>
        <v>16-1-112</v>
      </c>
      <c r="V987" s="47" t="str">
        <f t="array" ref="V987">_xlfn.XLOOKUP(records_2[ID], dAir[roomNo], dAir[roomName])</f>
        <v>PASSAGE</v>
      </c>
      <c r="W987" s="47" t="str">
        <f t="array" ref="W987">_xlfn.XLOOKUP(records_2[ID], dAir[roomNo], dAir[building])</f>
        <v>Building 16</v>
      </c>
      <c r="X987" s="47" t="str">
        <f t="array" ref="X987">_xlfn.XLOOKUP(records_2[ID], dAir[roomNo], dAir[floor])</f>
        <v>Floor 1</v>
      </c>
      <c r="Y987" s="45" t="str">
        <f t="array" ref="Y987">_xlfn.XLOOKUP(records_2[ID], dAir[roomNo], dAir[Class])</f>
        <v>C</v>
      </c>
      <c r="Z987" s="45">
        <f t="array" ref="Z987">_xlfn.XLOOKUP(records_2[Method]&amp;"-"&amp;records_2[Class], dAirSpec[ID], dAirSpec[Spec])</f>
        <v>100</v>
      </c>
      <c r="AA987" s="45" t="str">
        <f t="array" ref="AA987">_xlfn.XLOOKUP(records_2[Method]&amp;"-"&amp;records_2[Class], dAirSpec[ID], dAirSpec[Unit])</f>
        <v>cfu/m3</v>
      </c>
      <c r="AB987" s="45" t="str">
        <f t="array" ref="AB987">if(R987="","", if(records_2[Method]="Active Air",_xlfn.xlookup(records_2[ColonyCount]&amp;records_2[AirSampler],feller[code],feller[Vc]),records_2[ColonyCount]))</f>
        <v/>
      </c>
      <c r="AC987" s="60" t="b">
        <f t="shared" si="1"/>
        <v>0</v>
      </c>
      <c r="AD987" s="61" t="b">
        <v>0</v>
      </c>
      <c r="AE987" s="32" t="s">
        <v>280</v>
      </c>
      <c r="AF987" s="46"/>
      <c r="AG987" s="46"/>
      <c r="AH987" s="46"/>
      <c r="AI987" s="46"/>
      <c r="AJ987" s="46"/>
    </row>
    <row r="988" ht="22.5" customHeight="1">
      <c r="A988" s="27">
        <v>46180.0</v>
      </c>
      <c r="B988" s="34" t="str">
        <f t="array" ref="B988">TEXT(A988, "MM-YYYY")</f>
        <v>06-2026</v>
      </c>
      <c r="C988" s="39" t="s">
        <v>1503</v>
      </c>
      <c r="D988" s="36" t="s">
        <v>210</v>
      </c>
      <c r="E988" s="36" t="s">
        <v>531</v>
      </c>
      <c r="F988" s="29" t="b">
        <v>1</v>
      </c>
      <c r="G988" s="36" t="s">
        <v>214</v>
      </c>
      <c r="H988" s="36" t="s">
        <v>534</v>
      </c>
      <c r="I988" s="39"/>
      <c r="J988" s="40"/>
      <c r="K988" s="37" t="s">
        <v>194</v>
      </c>
      <c r="L988" s="37" t="s">
        <v>194</v>
      </c>
      <c r="M988" s="37" t="s">
        <v>194</v>
      </c>
      <c r="N988" s="37" t="s">
        <v>194</v>
      </c>
      <c r="O988" s="37" t="s">
        <v>223</v>
      </c>
      <c r="P988" s="37" t="s">
        <v>224</v>
      </c>
      <c r="Q988" s="41">
        <v>46218.0</v>
      </c>
      <c r="R988" s="42"/>
      <c r="S988" s="44" t="s">
        <v>194</v>
      </c>
      <c r="T988" s="37" t="s">
        <v>10</v>
      </c>
      <c r="U988" s="45" t="str">
        <f>IF(records_2[Type]="Room",records_2[roomNo],records_2[roomNo]&amp;"-"&amp;SUBSTITUTE(RIGHT(records_2[roomNo]&amp;records_2[Type],2),"-",""))</f>
        <v>16-1-113</v>
      </c>
      <c r="V988" s="47" t="str">
        <f t="array" ref="V988">_xlfn.XLOOKUP(records_2[ID], dAir[roomNo], dAir[roomName])</f>
        <v>AIRLOCK</v>
      </c>
      <c r="W988" s="47" t="str">
        <f t="array" ref="W988">_xlfn.XLOOKUP(records_2[ID], dAir[roomNo], dAir[building])</f>
        <v>Building 16</v>
      </c>
      <c r="X988" s="47" t="str">
        <f t="array" ref="X988">_xlfn.XLOOKUP(records_2[ID], dAir[roomNo], dAir[floor])</f>
        <v>Floor 1</v>
      </c>
      <c r="Y988" s="45" t="str">
        <f t="array" ref="Y988">_xlfn.XLOOKUP(records_2[ID], dAir[roomNo], dAir[Class])</f>
        <v>C</v>
      </c>
      <c r="Z988" s="45">
        <f t="array" ref="Z988">_xlfn.XLOOKUP(records_2[Method]&amp;"-"&amp;records_2[Class], dAirSpec[ID], dAirSpec[Spec])</f>
        <v>100</v>
      </c>
      <c r="AA988" s="45" t="str">
        <f t="array" ref="AA988">_xlfn.XLOOKUP(records_2[Method]&amp;"-"&amp;records_2[Class], dAirSpec[ID], dAirSpec[Unit])</f>
        <v>cfu/m3</v>
      </c>
      <c r="AB988" s="45" t="str">
        <f t="array" ref="AB988">if(R988="","", if(records_2[Method]="Active Air",_xlfn.xlookup(records_2[ColonyCount]&amp;records_2[AirSampler],feller[code],feller[Vc]),records_2[ColonyCount]))</f>
        <v/>
      </c>
      <c r="AC988" s="60" t="b">
        <f t="shared" si="1"/>
        <v>0</v>
      </c>
      <c r="AD988" s="61" t="b">
        <v>0</v>
      </c>
      <c r="AE988" s="32" t="s">
        <v>280</v>
      </c>
      <c r="AF988" s="46"/>
      <c r="AG988" s="46"/>
      <c r="AH988" s="46"/>
      <c r="AI988" s="46"/>
      <c r="AJ988" s="46"/>
    </row>
    <row r="989" ht="22.5" customHeight="1">
      <c r="A989" s="27">
        <v>46180.0</v>
      </c>
      <c r="B989" s="34" t="str">
        <f t="array" ref="B989">TEXT(A989, "MM-YYYY")</f>
        <v>06-2026</v>
      </c>
      <c r="C989" s="39" t="s">
        <v>776</v>
      </c>
      <c r="D989" s="36" t="s">
        <v>210</v>
      </c>
      <c r="E989" s="36" t="s">
        <v>531</v>
      </c>
      <c r="F989" s="29" t="b">
        <v>1</v>
      </c>
      <c r="G989" s="36" t="s">
        <v>214</v>
      </c>
      <c r="H989" s="36" t="s">
        <v>534</v>
      </c>
      <c r="I989" s="39"/>
      <c r="J989" s="40"/>
      <c r="K989" s="37" t="s">
        <v>194</v>
      </c>
      <c r="L989" s="37" t="s">
        <v>194</v>
      </c>
      <c r="M989" s="37" t="s">
        <v>194</v>
      </c>
      <c r="N989" s="37" t="s">
        <v>194</v>
      </c>
      <c r="O989" s="37" t="s">
        <v>223</v>
      </c>
      <c r="P989" s="37" t="s">
        <v>224</v>
      </c>
      <c r="Q989" s="41">
        <v>46218.0</v>
      </c>
      <c r="R989" s="42"/>
      <c r="S989" s="44" t="s">
        <v>194</v>
      </c>
      <c r="T989" s="37" t="s">
        <v>10</v>
      </c>
      <c r="U989" s="45" t="str">
        <f>IF(records_2[Type]="Room",records_2[roomNo],records_2[roomNo]&amp;"-"&amp;SUBSTITUTE(RIGHT(records_2[roomNo]&amp;records_2[Type],2),"-",""))</f>
        <v>16-1-114</v>
      </c>
      <c r="V989" s="47" t="str">
        <f t="array" ref="V989">_xlfn.XLOOKUP(records_2[ID], dAir[roomNo], dAir[roomName])</f>
        <v>COMPOUNDING 2</v>
      </c>
      <c r="W989" s="47" t="str">
        <f t="array" ref="W989">_xlfn.XLOOKUP(records_2[ID], dAir[roomNo], dAir[building])</f>
        <v>Building 16</v>
      </c>
      <c r="X989" s="47" t="str">
        <f t="array" ref="X989">_xlfn.XLOOKUP(records_2[ID], dAir[roomNo], dAir[floor])</f>
        <v>Floor 1</v>
      </c>
      <c r="Y989" s="45" t="str">
        <f t="array" ref="Y989">_xlfn.XLOOKUP(records_2[ID], dAir[roomNo], dAir[Class])</f>
        <v>C</v>
      </c>
      <c r="Z989" s="45">
        <f t="array" ref="Z989">_xlfn.XLOOKUP(records_2[Method]&amp;"-"&amp;records_2[Class], dAirSpec[ID], dAirSpec[Spec])</f>
        <v>100</v>
      </c>
      <c r="AA989" s="45" t="str">
        <f t="array" ref="AA989">_xlfn.XLOOKUP(records_2[Method]&amp;"-"&amp;records_2[Class], dAirSpec[ID], dAirSpec[Unit])</f>
        <v>cfu/m3</v>
      </c>
      <c r="AB989" s="45" t="str">
        <f t="array" ref="AB989">if(R989="","", if(records_2[Method]="Active Air",_xlfn.xlookup(records_2[ColonyCount]&amp;records_2[AirSampler],feller[code],feller[Vc]),records_2[ColonyCount]))</f>
        <v/>
      </c>
      <c r="AC989" s="60" t="b">
        <f t="shared" si="1"/>
        <v>0</v>
      </c>
      <c r="AD989" s="61" t="b">
        <v>0</v>
      </c>
      <c r="AE989" s="32" t="s">
        <v>280</v>
      </c>
      <c r="AF989" s="46"/>
      <c r="AG989" s="46"/>
      <c r="AH989" s="46"/>
      <c r="AI989" s="46"/>
      <c r="AJ989" s="46"/>
    </row>
    <row r="990" ht="22.5" customHeight="1">
      <c r="A990" s="27">
        <v>46180.0</v>
      </c>
      <c r="B990" s="34" t="str">
        <f t="array" ref="B990">TEXT(A990, "MM-YYYY")</f>
        <v>06-2026</v>
      </c>
      <c r="C990" s="39" t="s">
        <v>1504</v>
      </c>
      <c r="D990" s="36" t="s">
        <v>210</v>
      </c>
      <c r="E990" s="36" t="s">
        <v>531</v>
      </c>
      <c r="F990" s="29" t="b">
        <v>1</v>
      </c>
      <c r="G990" s="36" t="s">
        <v>214</v>
      </c>
      <c r="H990" s="36" t="s">
        <v>534</v>
      </c>
      <c r="I990" s="39"/>
      <c r="J990" s="40"/>
      <c r="K990" s="37" t="s">
        <v>194</v>
      </c>
      <c r="L990" s="37" t="s">
        <v>194</v>
      </c>
      <c r="M990" s="37" t="s">
        <v>194</v>
      </c>
      <c r="N990" s="37" t="s">
        <v>194</v>
      </c>
      <c r="O990" s="37" t="s">
        <v>223</v>
      </c>
      <c r="P990" s="37" t="s">
        <v>224</v>
      </c>
      <c r="Q990" s="41">
        <v>46218.0</v>
      </c>
      <c r="R990" s="42"/>
      <c r="S990" s="44" t="s">
        <v>194</v>
      </c>
      <c r="T990" s="37" t="s">
        <v>10</v>
      </c>
      <c r="U990" s="45" t="str">
        <f>IF(records_2[Type]="Room",records_2[roomNo],records_2[roomNo]&amp;"-"&amp;SUBSTITUTE(RIGHT(records_2[roomNo]&amp;records_2[Type],2),"-",""))</f>
        <v>16-1-124</v>
      </c>
      <c r="V990" s="47" t="str">
        <f t="array" ref="V990">_xlfn.XLOOKUP(records_2[ID], dAir[roomNo], dAir[roomName])</f>
        <v>CORRIDOR</v>
      </c>
      <c r="W990" s="47" t="str">
        <f t="array" ref="W990">_xlfn.XLOOKUP(records_2[ID], dAir[roomNo], dAir[building])</f>
        <v>Building 16</v>
      </c>
      <c r="X990" s="47" t="str">
        <f t="array" ref="X990">_xlfn.XLOOKUP(records_2[ID], dAir[roomNo], dAir[floor])</f>
        <v>Floor 1</v>
      </c>
      <c r="Y990" s="45" t="str">
        <f t="array" ref="Y990">_xlfn.XLOOKUP(records_2[ID], dAir[roomNo], dAir[Class])</f>
        <v>C</v>
      </c>
      <c r="Z990" s="45">
        <f t="array" ref="Z990">_xlfn.XLOOKUP(records_2[Method]&amp;"-"&amp;records_2[Class], dAirSpec[ID], dAirSpec[Spec])</f>
        <v>100</v>
      </c>
      <c r="AA990" s="45" t="str">
        <f t="array" ref="AA990">_xlfn.XLOOKUP(records_2[Method]&amp;"-"&amp;records_2[Class], dAirSpec[ID], dAirSpec[Unit])</f>
        <v>cfu/m3</v>
      </c>
      <c r="AB990" s="45" t="str">
        <f t="array" ref="AB990">if(R990="","", if(records_2[Method]="Active Air",_xlfn.xlookup(records_2[ColonyCount]&amp;records_2[AirSampler],feller[code],feller[Vc]),records_2[ColonyCount]))</f>
        <v/>
      </c>
      <c r="AC990" s="60" t="b">
        <f t="shared" si="1"/>
        <v>0</v>
      </c>
      <c r="AD990" s="61" t="b">
        <v>0</v>
      </c>
      <c r="AE990" s="32" t="s">
        <v>280</v>
      </c>
      <c r="AF990" s="46"/>
      <c r="AG990" s="46"/>
      <c r="AH990" s="46"/>
      <c r="AI990" s="46"/>
      <c r="AJ990" s="46"/>
    </row>
    <row r="991" ht="22.5" customHeight="1">
      <c r="A991" s="27">
        <v>46180.0</v>
      </c>
      <c r="B991" s="34" t="str">
        <f t="array" ref="B991">TEXT(A991, "MM-YYYY")</f>
        <v>06-2026</v>
      </c>
      <c r="C991" s="39" t="s">
        <v>1505</v>
      </c>
      <c r="D991" s="36" t="s">
        <v>210</v>
      </c>
      <c r="E991" s="36" t="s">
        <v>531</v>
      </c>
      <c r="F991" s="29" t="b">
        <v>1</v>
      </c>
      <c r="G991" s="36" t="s">
        <v>214</v>
      </c>
      <c r="H991" s="36" t="s">
        <v>203</v>
      </c>
      <c r="I991" s="39"/>
      <c r="J991" s="40"/>
      <c r="K991" s="37" t="s">
        <v>194</v>
      </c>
      <c r="L991" s="37" t="s">
        <v>194</v>
      </c>
      <c r="M991" s="37" t="s">
        <v>194</v>
      </c>
      <c r="N991" s="37" t="s">
        <v>194</v>
      </c>
      <c r="O991" s="37" t="s">
        <v>223</v>
      </c>
      <c r="P991" s="37" t="s">
        <v>224</v>
      </c>
      <c r="Q991" s="41">
        <v>46218.0</v>
      </c>
      <c r="R991" s="42"/>
      <c r="S991" s="44" t="s">
        <v>194</v>
      </c>
      <c r="T991" s="37" t="s">
        <v>10</v>
      </c>
      <c r="U991" s="45" t="str">
        <f>IF(records_2[Type]="Room",records_2[roomNo],records_2[roomNo]&amp;"-"&amp;SUBSTITUTE(RIGHT(records_2[roomNo]&amp;records_2[Type],2),"-",""))</f>
        <v>16-1-125</v>
      </c>
      <c r="V991" s="47" t="str">
        <f t="array" ref="V991">_xlfn.XLOOKUP(records_2[ID], dAir[roomNo], dAir[roomName])</f>
        <v>CORRIDOR</v>
      </c>
      <c r="W991" s="47" t="str">
        <f t="array" ref="W991">_xlfn.XLOOKUP(records_2[ID], dAir[roomNo], dAir[building])</f>
        <v>Building 16</v>
      </c>
      <c r="X991" s="47" t="str">
        <f t="array" ref="X991">_xlfn.XLOOKUP(records_2[ID], dAir[roomNo], dAir[floor])</f>
        <v>Floor 1</v>
      </c>
      <c r="Y991" s="45" t="str">
        <f t="array" ref="Y991">_xlfn.XLOOKUP(records_2[ID], dAir[roomNo], dAir[Class])</f>
        <v>C</v>
      </c>
      <c r="Z991" s="45">
        <f t="array" ref="Z991">_xlfn.XLOOKUP(records_2[Method]&amp;"-"&amp;records_2[Class], dAirSpec[ID], dAirSpec[Spec])</f>
        <v>100</v>
      </c>
      <c r="AA991" s="45" t="str">
        <f t="array" ref="AA991">_xlfn.XLOOKUP(records_2[Method]&amp;"-"&amp;records_2[Class], dAirSpec[ID], dAirSpec[Unit])</f>
        <v>cfu/m3</v>
      </c>
      <c r="AB991" s="45" t="str">
        <f t="array" ref="AB991">if(R991="","", if(records_2[Method]="Active Air",_xlfn.xlookup(records_2[ColonyCount]&amp;records_2[AirSampler],feller[code],feller[Vc]),records_2[ColonyCount]))</f>
        <v/>
      </c>
      <c r="AC991" s="60" t="b">
        <f t="shared" si="1"/>
        <v>0</v>
      </c>
      <c r="AD991" s="61" t="b">
        <v>0</v>
      </c>
      <c r="AE991" s="32" t="s">
        <v>280</v>
      </c>
      <c r="AF991" s="46"/>
      <c r="AG991" s="46"/>
      <c r="AH991" s="46"/>
      <c r="AI991" s="46"/>
      <c r="AJ991" s="46"/>
    </row>
  </sheetData>
  <conditionalFormatting sqref="AC1:AC991">
    <cfRule type="cellIs" dxfId="13" priority="1" operator="equal">
      <formula>"FALSE"</formula>
    </cfRule>
  </conditionalFormatting>
  <dataValidations>
    <dataValidation type="list" allowBlank="1" sqref="G2:G991">
      <formula1>"Routine,Re-Sampling,Special"</formula1>
    </dataValidation>
    <dataValidation type="list" allowBlank="1" sqref="E2:E991">
      <formula1>"Active Air,Settle Plate"</formula1>
    </dataValidation>
    <dataValidation type="list" allowBlank="1" sqref="H2:H991">
      <formula1>"VWR,miniCapt,MAS-100 VF,MAS-100 NT,none"</formula1>
    </dataValidation>
    <dataValidation type="list" allowBlank="1" sqref="D2:D991">
      <formula1>"Room,Booth-B,Laminar-L,Passbox-PB,Machine-M"</formula1>
    </dataValidation>
    <dataValidation type="custom" allowBlank="1" showDropDown="1" sqref="A2:A991 Q2:Q991">
      <formula1>OR(NOT(ISERROR(DATEVALUE(A2))), AND(ISNUMBER(A2), LEFT(CELL("format", A2))="D"))</formula1>
    </dataValidation>
    <dataValidation type="custom" allowBlank="1" showDropDown="1" sqref="R2:R991">
      <formula1>AND(ISNUMBER(R2),(NOT(OR(NOT(ISERROR(DATEVALUE(R2))), AND(ISNUMBER(R2), LEFT(CELL("format", R2))="D")))))</formula1>
    </dataValidation>
    <dataValidation allowBlank="1" showDropDown="1" sqref="C2:C991 K2:P991 T2:T991 V2:X991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2.63"/>
    <col customWidth="1" min="2" max="3" width="12.0"/>
    <col customWidth="1" min="4" max="4" width="17.38"/>
    <col customWidth="1" min="5" max="5" width="17.75"/>
    <col customWidth="1" min="6" max="6" width="8.38"/>
    <col customWidth="1" min="7" max="7" width="13.0"/>
    <col customWidth="1" min="11" max="11" width="13.38"/>
    <col customWidth="1" min="12" max="12" width="15.75"/>
    <col customWidth="1" min="13" max="13" width="15.38"/>
    <col customWidth="1" min="15" max="15" width="17.25"/>
    <col customWidth="1" min="16" max="16" width="19.63"/>
    <col customWidth="1" min="17" max="17" width="18.0"/>
    <col customWidth="1" min="19" max="19" width="15.38"/>
    <col customWidth="1" min="20" max="20" width="38.75"/>
    <col customWidth="1" min="21" max="21" width="15.25"/>
    <col customWidth="1" min="25" max="25" width="15.13"/>
  </cols>
  <sheetData>
    <row r="1" ht="22.5" customHeight="1">
      <c r="A1" s="2" t="s">
        <v>60</v>
      </c>
      <c r="B1" s="3" t="s">
        <v>72</v>
      </c>
      <c r="C1" s="2" t="s">
        <v>81</v>
      </c>
      <c r="D1" s="2" t="s">
        <v>84</v>
      </c>
      <c r="E1" s="3" t="s">
        <v>77</v>
      </c>
      <c r="F1" s="6" t="s">
        <v>94</v>
      </c>
      <c r="G1" s="2" t="s">
        <v>100</v>
      </c>
      <c r="H1" s="2" t="s">
        <v>105</v>
      </c>
      <c r="I1" s="2" t="s">
        <v>110</v>
      </c>
      <c r="J1" s="2" t="s">
        <v>122</v>
      </c>
      <c r="K1" s="3" t="s">
        <v>127</v>
      </c>
      <c r="L1" s="3" t="s">
        <v>134</v>
      </c>
      <c r="M1" s="3" t="s">
        <v>142</v>
      </c>
      <c r="N1" s="2" t="s">
        <v>147</v>
      </c>
      <c r="O1" s="5" t="s">
        <v>150</v>
      </c>
      <c r="P1" s="5" t="s">
        <v>0</v>
      </c>
      <c r="Q1" s="9" t="s">
        <v>132</v>
      </c>
      <c r="R1" s="9" t="s">
        <v>138</v>
      </c>
      <c r="S1" s="9" t="s">
        <v>145</v>
      </c>
      <c r="T1" s="2" t="s">
        <v>162</v>
      </c>
      <c r="U1" s="3" t="s">
        <v>163</v>
      </c>
      <c r="V1" s="3" t="s">
        <v>164</v>
      </c>
      <c r="W1" s="5" t="s">
        <v>167</v>
      </c>
      <c r="X1" s="5" t="s">
        <v>169</v>
      </c>
      <c r="Y1" s="5" t="s">
        <v>170</v>
      </c>
      <c r="Z1" s="15" t="s">
        <v>171</v>
      </c>
      <c r="AA1" s="16"/>
      <c r="AB1" s="16"/>
      <c r="AC1" s="16"/>
      <c r="AD1" s="16"/>
      <c r="AE1" s="16"/>
      <c r="AF1" s="16"/>
      <c r="AG1" s="16"/>
      <c r="AH1" s="16"/>
      <c r="AI1" s="16"/>
    </row>
    <row r="2" ht="22.5" customHeight="1">
      <c r="A2" s="27">
        <v>45897.0</v>
      </c>
      <c r="B2" s="34" t="str">
        <f t="shared" ref="B2:B126" si="1">TEXT(A2, "MM-YYYY")</f>
        <v>08-2025</v>
      </c>
      <c r="C2" s="34" t="s">
        <v>308</v>
      </c>
      <c r="D2" s="36" t="s">
        <v>191</v>
      </c>
      <c r="E2" s="36" t="s">
        <v>309</v>
      </c>
      <c r="F2" s="29" t="b">
        <v>1</v>
      </c>
      <c r="G2" s="34" t="s">
        <v>310</v>
      </c>
      <c r="H2" s="34" t="s">
        <v>311</v>
      </c>
      <c r="I2" s="34"/>
      <c r="J2" s="34"/>
      <c r="K2" s="34"/>
      <c r="L2" s="34"/>
      <c r="M2" s="48"/>
      <c r="N2" s="50">
        <v>0.0</v>
      </c>
      <c r="O2" s="39"/>
      <c r="P2" s="34"/>
      <c r="Q2" s="21" t="s">
        <v>203</v>
      </c>
      <c r="R2" s="39"/>
      <c r="S2" s="43"/>
      <c r="T2" s="54" t="str">
        <f t="array" ref="T2">_xlfn.XLOOKUP(records_CAGass_2[roomNo], dCAGass[Room no.], dCAGass[Room Name])</f>
        <v>BLISTER PACKING 1</v>
      </c>
      <c r="U2" s="56" t="str">
        <f t="array" ref="U2">_xlfn.XLOOKUP(records_CAGass_2[roomNo], dCAGass[Room no.], dCAGass[Bld])</f>
        <v>Building 10</v>
      </c>
      <c r="V2" s="56" t="str">
        <f t="array" ref="V2">if(A2="","",_xlfn.XLOOKUP(records_CAGass_2[roomNo], dCAGass[Room no.], dCAGass[Floor]))</f>
        <v>Floor 1</v>
      </c>
      <c r="W2" s="43">
        <f t="array" ref="W2">_xlfn.XLOOKUP(records_CAGass_2[roomNo], dCAGass[Room no.], dCAGass[Spec])</f>
        <v>5</v>
      </c>
      <c r="X2" s="43">
        <f t="array" ref="X2">if(N2="","",IFERROR(_xlfn.xlookup(records_CAGass_2[ColonyCount]&amp;records_CAGass_2[AirSampler],feller[code],feller[Vc]),_xlfn.xlookup(9999&amp;records_CAGass_2[AirSampler],feller[code],feller[Vc])))</f>
        <v>0</v>
      </c>
      <c r="Y2" s="29" t="b">
        <v>0</v>
      </c>
      <c r="Z2" s="39" t="s">
        <v>280</v>
      </c>
      <c r="AA2" s="46"/>
      <c r="AB2" s="64" t="str">
        <f t="array" ref="AB2:AB124">UNIQUE(E:E)</f>
        <v>Tag</v>
      </c>
      <c r="AC2" s="46"/>
      <c r="AD2" s="46"/>
      <c r="AE2" s="46"/>
      <c r="AF2" s="46"/>
      <c r="AG2" s="46"/>
      <c r="AH2" s="46"/>
      <c r="AI2" s="46"/>
    </row>
    <row r="3" ht="22.5" customHeight="1">
      <c r="A3" s="27">
        <v>45897.0</v>
      </c>
      <c r="B3" s="34" t="str">
        <f t="shared" si="1"/>
        <v>08-2025</v>
      </c>
      <c r="C3" s="34" t="s">
        <v>322</v>
      </c>
      <c r="D3" s="36" t="s">
        <v>191</v>
      </c>
      <c r="E3" s="36" t="s">
        <v>323</v>
      </c>
      <c r="F3" s="29" t="b">
        <v>1</v>
      </c>
      <c r="G3" s="34" t="s">
        <v>317</v>
      </c>
      <c r="H3" s="34" t="s">
        <v>324</v>
      </c>
      <c r="I3" s="34"/>
      <c r="J3" s="34"/>
      <c r="K3" s="34"/>
      <c r="L3" s="34"/>
      <c r="M3" s="48"/>
      <c r="N3" s="50">
        <v>0.0</v>
      </c>
      <c r="O3" s="39"/>
      <c r="P3" s="34"/>
      <c r="Q3" s="21" t="s">
        <v>203</v>
      </c>
      <c r="R3" s="39"/>
      <c r="S3" s="43"/>
      <c r="T3" s="54" t="str">
        <f t="array" ref="T3">_xlfn.XLOOKUP(records_CAGass_2[roomNo], dCAGass[Room no.], dCAGass[Room Name])</f>
        <v>BLISTER PACKING 2</v>
      </c>
      <c r="U3" s="56" t="str">
        <f t="array" ref="U3">_xlfn.XLOOKUP(records_CAGass_2[roomNo], dCAGass[Room no.], dCAGass[Bld])</f>
        <v>Building 10</v>
      </c>
      <c r="V3" s="56" t="str">
        <f t="array" ref="V3">if(A3="","",_xlfn.XLOOKUP(records_CAGass_2[roomNo], dCAGass[Room no.], dCAGass[Floor]))</f>
        <v>Floor 1</v>
      </c>
      <c r="W3" s="43">
        <f t="array" ref="W3">_xlfn.XLOOKUP(records_CAGass_2[roomNo], dCAGass[Room no.], dCAGass[Spec])</f>
        <v>5</v>
      </c>
      <c r="X3" s="43">
        <f t="array" ref="X3">if(N3="","",IFERROR(_xlfn.xlookup(records_CAGass_2[ColonyCount]&amp;records_CAGass_2[AirSampler],feller[code],feller[Vc]),_xlfn.xlookup(9999&amp;records_CAGass_2[AirSampler],feller[code],feller[Vc])))</f>
        <v>0</v>
      </c>
      <c r="Y3" s="29" t="b">
        <v>0</v>
      </c>
      <c r="Z3" s="39" t="s">
        <v>280</v>
      </c>
      <c r="AA3" s="46"/>
      <c r="AB3" s="46" t="s">
        <v>309</v>
      </c>
      <c r="AC3" s="46"/>
      <c r="AD3" s="46"/>
      <c r="AE3" s="46"/>
      <c r="AF3" s="46"/>
      <c r="AG3" s="46"/>
      <c r="AH3" s="46"/>
      <c r="AI3" s="46"/>
    </row>
    <row r="4" ht="22.5" customHeight="1">
      <c r="A4" s="27">
        <v>45897.0</v>
      </c>
      <c r="B4" s="34" t="str">
        <f t="shared" si="1"/>
        <v>08-2025</v>
      </c>
      <c r="C4" s="34" t="s">
        <v>322</v>
      </c>
      <c r="D4" s="36" t="s">
        <v>191</v>
      </c>
      <c r="E4" s="36" t="s">
        <v>334</v>
      </c>
      <c r="F4" s="29" t="b">
        <v>1</v>
      </c>
      <c r="G4" s="34" t="s">
        <v>317</v>
      </c>
      <c r="H4" s="34" t="s">
        <v>324</v>
      </c>
      <c r="I4" s="34"/>
      <c r="J4" s="34"/>
      <c r="K4" s="34"/>
      <c r="L4" s="34"/>
      <c r="M4" s="48"/>
      <c r="N4" s="50">
        <v>0.0</v>
      </c>
      <c r="O4" s="39"/>
      <c r="P4" s="34"/>
      <c r="Q4" s="21" t="s">
        <v>203</v>
      </c>
      <c r="R4" s="39"/>
      <c r="S4" s="43"/>
      <c r="T4" s="54" t="str">
        <f t="array" ref="T4">_xlfn.XLOOKUP(records_CAGass_2[roomNo], dCAGass[Room no.], dCAGass[Room Name])</f>
        <v>BLISTER PACKING 2</v>
      </c>
      <c r="U4" s="56" t="str">
        <f t="array" ref="U4">_xlfn.XLOOKUP(records_CAGass_2[roomNo], dCAGass[Room no.], dCAGass[Bld])</f>
        <v>Building 10</v>
      </c>
      <c r="V4" s="56" t="str">
        <f t="array" ref="V4">if(A4="","",_xlfn.XLOOKUP(records_CAGass_2[roomNo], dCAGass[Room no.], dCAGass[Floor]))</f>
        <v>Floor 1</v>
      </c>
      <c r="W4" s="43">
        <f t="array" ref="W4">_xlfn.XLOOKUP(records_CAGass_2[roomNo], dCAGass[Room no.], dCAGass[Spec])</f>
        <v>5</v>
      </c>
      <c r="X4" s="43">
        <f t="array" ref="X4">if(N4="","",IFERROR(_xlfn.xlookup(records_CAGass_2[ColonyCount]&amp;records_CAGass_2[AirSampler],feller[code],feller[Vc]),_xlfn.xlookup(9999&amp;records_CAGass_2[AirSampler],feller[code],feller[Vc])))</f>
        <v>0</v>
      </c>
      <c r="Y4" s="29" t="b">
        <v>0</v>
      </c>
      <c r="Z4" s="39" t="s">
        <v>280</v>
      </c>
      <c r="AA4" s="46"/>
      <c r="AB4" s="46" t="s">
        <v>323</v>
      </c>
      <c r="AC4" s="46"/>
      <c r="AD4" s="46"/>
      <c r="AE4" s="46"/>
      <c r="AF4" s="46"/>
      <c r="AG4" s="46"/>
      <c r="AH4" s="46"/>
      <c r="AI4" s="46"/>
    </row>
    <row r="5" ht="22.5" customHeight="1">
      <c r="A5" s="27">
        <v>45897.0</v>
      </c>
      <c r="B5" s="34" t="str">
        <f t="shared" si="1"/>
        <v>08-2025</v>
      </c>
      <c r="C5" s="34" t="s">
        <v>340</v>
      </c>
      <c r="D5" s="36" t="s">
        <v>191</v>
      </c>
      <c r="E5" s="36" t="s">
        <v>342</v>
      </c>
      <c r="F5" s="29" t="b">
        <v>1</v>
      </c>
      <c r="G5" s="34" t="s">
        <v>326</v>
      </c>
      <c r="H5" s="34" t="s">
        <v>343</v>
      </c>
      <c r="I5" s="34"/>
      <c r="J5" s="34"/>
      <c r="K5" s="34"/>
      <c r="L5" s="34"/>
      <c r="M5" s="48"/>
      <c r="N5" s="50">
        <v>0.0</v>
      </c>
      <c r="O5" s="39"/>
      <c r="P5" s="34"/>
      <c r="Q5" s="21" t="s">
        <v>203</v>
      </c>
      <c r="R5" s="39"/>
      <c r="S5" s="43"/>
      <c r="T5" s="54" t="str">
        <f t="array" ref="T5">_xlfn.XLOOKUP(records_CAGass_2[roomNo], dCAGass[Room no.], dCAGass[Room Name])</f>
        <v>BLISTER PACKING 3</v>
      </c>
      <c r="U5" s="56" t="str">
        <f t="array" ref="U5">_xlfn.XLOOKUP(records_CAGass_2[roomNo], dCAGass[Room no.], dCAGass[Bld])</f>
        <v>Building 10</v>
      </c>
      <c r="V5" s="56" t="str">
        <f t="array" ref="V5">if(A5="","",_xlfn.XLOOKUP(records_CAGass_2[roomNo], dCAGass[Room no.], dCAGass[Floor]))</f>
        <v>Floor 1</v>
      </c>
      <c r="W5" s="43">
        <f t="array" ref="W5">_xlfn.XLOOKUP(records_CAGass_2[roomNo], dCAGass[Room no.], dCAGass[Spec])</f>
        <v>5</v>
      </c>
      <c r="X5" s="43">
        <f t="array" ref="X5">if(N5="","",IFERROR(_xlfn.xlookup(records_CAGass_2[ColonyCount]&amp;records_CAGass_2[AirSampler],feller[code],feller[Vc]),_xlfn.xlookup(9999&amp;records_CAGass_2[AirSampler],feller[code],feller[Vc])))</f>
        <v>0</v>
      </c>
      <c r="Y5" s="29" t="b">
        <v>0</v>
      </c>
      <c r="Z5" s="39" t="s">
        <v>280</v>
      </c>
      <c r="AA5" s="46"/>
      <c r="AB5" s="46" t="s">
        <v>334</v>
      </c>
      <c r="AC5" s="46"/>
      <c r="AD5" s="46"/>
      <c r="AE5" s="46"/>
      <c r="AF5" s="46"/>
      <c r="AG5" s="46"/>
      <c r="AH5" s="46"/>
      <c r="AI5" s="46"/>
    </row>
    <row r="6" ht="22.5" customHeight="1">
      <c r="A6" s="27">
        <v>45897.0</v>
      </c>
      <c r="B6" s="34" t="str">
        <f t="shared" si="1"/>
        <v>08-2025</v>
      </c>
      <c r="C6" s="34" t="s">
        <v>348</v>
      </c>
      <c r="D6" s="36" t="s">
        <v>191</v>
      </c>
      <c r="E6" s="36" t="s">
        <v>349</v>
      </c>
      <c r="F6" s="29" t="b">
        <v>1</v>
      </c>
      <c r="G6" s="34" t="s">
        <v>314</v>
      </c>
      <c r="H6" s="34" t="s">
        <v>350</v>
      </c>
      <c r="I6" s="34"/>
      <c r="J6" s="34"/>
      <c r="K6" s="34"/>
      <c r="L6" s="34"/>
      <c r="M6" s="48"/>
      <c r="N6" s="50">
        <v>0.0</v>
      </c>
      <c r="O6" s="39"/>
      <c r="P6" s="34"/>
      <c r="Q6" s="21" t="s">
        <v>203</v>
      </c>
      <c r="R6" s="39"/>
      <c r="S6" s="43"/>
      <c r="T6" s="54" t="str">
        <f t="array" ref="T6">_xlfn.XLOOKUP(records_CAGass_2[roomNo], dCAGass[Room no.], dCAGass[Room Name])</f>
        <v>BLISTER PACKING 4</v>
      </c>
      <c r="U6" s="56" t="str">
        <f t="array" ref="U6">_xlfn.XLOOKUP(records_CAGass_2[roomNo], dCAGass[Room no.], dCAGass[Bld])</f>
        <v>Building 10</v>
      </c>
      <c r="V6" s="56" t="str">
        <f t="array" ref="V6">if(A6="","",_xlfn.XLOOKUP(records_CAGass_2[roomNo], dCAGass[Room no.], dCAGass[Floor]))</f>
        <v>Floor 1</v>
      </c>
      <c r="W6" s="43">
        <f t="array" ref="W6">_xlfn.XLOOKUP(records_CAGass_2[roomNo], dCAGass[Room no.], dCAGass[Spec])</f>
        <v>5</v>
      </c>
      <c r="X6" s="43">
        <f t="array" ref="X6">if(N6="","",IFERROR(_xlfn.xlookup(records_CAGass_2[ColonyCount]&amp;records_CAGass_2[AirSampler],feller[code],feller[Vc]),_xlfn.xlookup(9999&amp;records_CAGass_2[AirSampler],feller[code],feller[Vc])))</f>
        <v>0</v>
      </c>
      <c r="Y6" s="29" t="b">
        <v>0</v>
      </c>
      <c r="Z6" s="39" t="s">
        <v>280</v>
      </c>
      <c r="AA6" s="46"/>
      <c r="AB6" s="46" t="s">
        <v>342</v>
      </c>
      <c r="AC6" s="46"/>
      <c r="AD6" s="46"/>
      <c r="AE6" s="46"/>
      <c r="AF6" s="46"/>
      <c r="AG6" s="46"/>
      <c r="AH6" s="46"/>
      <c r="AI6" s="46"/>
    </row>
    <row r="7" ht="22.5" customHeight="1">
      <c r="A7" s="27">
        <v>45897.0</v>
      </c>
      <c r="B7" s="34" t="str">
        <f t="shared" si="1"/>
        <v>08-2025</v>
      </c>
      <c r="C7" s="34" t="s">
        <v>357</v>
      </c>
      <c r="D7" s="36" t="s">
        <v>191</v>
      </c>
      <c r="E7" s="36" t="s">
        <v>358</v>
      </c>
      <c r="F7" s="29" t="b">
        <v>1</v>
      </c>
      <c r="G7" s="34" t="s">
        <v>359</v>
      </c>
      <c r="H7" s="34" t="s">
        <v>360</v>
      </c>
      <c r="I7" s="34"/>
      <c r="J7" s="34"/>
      <c r="K7" s="34"/>
      <c r="L7" s="34"/>
      <c r="M7" s="48"/>
      <c r="N7" s="50">
        <v>0.0</v>
      </c>
      <c r="O7" s="39"/>
      <c r="P7" s="34"/>
      <c r="Q7" s="21" t="s">
        <v>203</v>
      </c>
      <c r="R7" s="39"/>
      <c r="S7" s="43"/>
      <c r="T7" s="54" t="str">
        <f t="array" ref="T7">_xlfn.XLOOKUP(records_CAGass_2[roomNo], dCAGass[Room no.], dCAGass[Room Name])</f>
        <v>BLISTER PACKING 5</v>
      </c>
      <c r="U7" s="56" t="str">
        <f t="array" ref="U7">_xlfn.XLOOKUP(records_CAGass_2[roomNo], dCAGass[Room no.], dCAGass[Bld])</f>
        <v>Building 10</v>
      </c>
      <c r="V7" s="56" t="str">
        <f t="array" ref="V7">if(A7="","",_xlfn.XLOOKUP(records_CAGass_2[roomNo], dCAGass[Room no.], dCAGass[Floor]))</f>
        <v>Floor 1</v>
      </c>
      <c r="W7" s="43">
        <f t="array" ref="W7">_xlfn.XLOOKUP(records_CAGass_2[roomNo], dCAGass[Room no.], dCAGass[Spec])</f>
        <v>5</v>
      </c>
      <c r="X7" s="43">
        <f t="array" ref="X7">if(N7="","",IFERROR(_xlfn.xlookup(records_CAGass_2[ColonyCount]&amp;records_CAGass_2[AirSampler],feller[code],feller[Vc]),_xlfn.xlookup(9999&amp;records_CAGass_2[AirSampler],feller[code],feller[Vc])))</f>
        <v>0</v>
      </c>
      <c r="Y7" s="29" t="b">
        <v>0</v>
      </c>
      <c r="Z7" s="39" t="s">
        <v>280</v>
      </c>
      <c r="AA7" s="46"/>
      <c r="AB7" s="46" t="s">
        <v>349</v>
      </c>
      <c r="AC7" s="46"/>
      <c r="AD7" s="46"/>
      <c r="AE7" s="46"/>
      <c r="AF7" s="46"/>
      <c r="AG7" s="46"/>
      <c r="AH7" s="46"/>
      <c r="AI7" s="46"/>
    </row>
    <row r="8" ht="22.5" customHeight="1">
      <c r="A8" s="27">
        <v>45897.0</v>
      </c>
      <c r="B8" s="34" t="str">
        <f t="shared" si="1"/>
        <v>08-2025</v>
      </c>
      <c r="C8" s="34" t="s">
        <v>370</v>
      </c>
      <c r="D8" s="36" t="s">
        <v>191</v>
      </c>
      <c r="E8" s="36" t="s">
        <v>371</v>
      </c>
      <c r="F8" s="29" t="b">
        <v>1</v>
      </c>
      <c r="G8" s="34" t="s">
        <v>317</v>
      </c>
      <c r="H8" s="34" t="s">
        <v>362</v>
      </c>
      <c r="I8" s="34"/>
      <c r="J8" s="34"/>
      <c r="K8" s="34"/>
      <c r="L8" s="34"/>
      <c r="M8" s="48"/>
      <c r="N8" s="50">
        <v>0.0</v>
      </c>
      <c r="O8" s="39"/>
      <c r="P8" s="34"/>
      <c r="Q8" s="21" t="s">
        <v>203</v>
      </c>
      <c r="R8" s="39"/>
      <c r="S8" s="43"/>
      <c r="T8" s="54" t="str">
        <f t="array" ref="T8">_xlfn.XLOOKUP(records_CAGass_2[roomNo], dCAGass[Room no.], dCAGass[Room Name])</f>
        <v>BLISTER PACKING 6</v>
      </c>
      <c r="U8" s="56" t="str">
        <f t="array" ref="U8">_xlfn.XLOOKUP(records_CAGass_2[roomNo], dCAGass[Room no.], dCAGass[Bld])</f>
        <v>Building 10</v>
      </c>
      <c r="V8" s="56" t="str">
        <f t="array" ref="V8">if(A8="","",_xlfn.XLOOKUP(records_CAGass_2[roomNo], dCAGass[Room no.], dCAGass[Floor]))</f>
        <v>Floor 1</v>
      </c>
      <c r="W8" s="43">
        <f t="array" ref="W8">_xlfn.XLOOKUP(records_CAGass_2[roomNo], dCAGass[Room no.], dCAGass[Spec])</f>
        <v>5</v>
      </c>
      <c r="X8" s="43">
        <f t="array" ref="X8">if(N8="","",IFERROR(_xlfn.xlookup(records_CAGass_2[ColonyCount]&amp;records_CAGass_2[AirSampler],feller[code],feller[Vc]),_xlfn.xlookup(9999&amp;records_CAGass_2[AirSampler],feller[code],feller[Vc])))</f>
        <v>0</v>
      </c>
      <c r="Y8" s="29" t="b">
        <v>0</v>
      </c>
      <c r="Z8" s="39" t="s">
        <v>280</v>
      </c>
      <c r="AA8" s="46"/>
      <c r="AB8" s="46" t="s">
        <v>358</v>
      </c>
      <c r="AC8" s="46"/>
      <c r="AD8" s="46"/>
      <c r="AE8" s="46"/>
      <c r="AF8" s="46"/>
      <c r="AG8" s="46"/>
      <c r="AH8" s="46"/>
      <c r="AI8" s="46"/>
    </row>
    <row r="9" ht="22.5" customHeight="1">
      <c r="A9" s="27">
        <v>45897.0</v>
      </c>
      <c r="B9" s="34" t="str">
        <f t="shared" si="1"/>
        <v>08-2025</v>
      </c>
      <c r="C9" s="34" t="s">
        <v>374</v>
      </c>
      <c r="D9" s="36" t="s">
        <v>191</v>
      </c>
      <c r="E9" s="36" t="s">
        <v>376</v>
      </c>
      <c r="F9" s="29" t="b">
        <v>1</v>
      </c>
      <c r="G9" s="34" t="s">
        <v>326</v>
      </c>
      <c r="H9" s="34" t="s">
        <v>294</v>
      </c>
      <c r="I9" s="34"/>
      <c r="J9" s="34"/>
      <c r="K9" s="34"/>
      <c r="L9" s="34"/>
      <c r="M9" s="48"/>
      <c r="N9" s="50">
        <v>0.0</v>
      </c>
      <c r="O9" s="39"/>
      <c r="P9" s="34"/>
      <c r="Q9" s="21" t="s">
        <v>203</v>
      </c>
      <c r="R9" s="39"/>
      <c r="S9" s="43"/>
      <c r="T9" s="54" t="str">
        <f t="array" ref="T9">_xlfn.XLOOKUP(records_CAGass_2[roomNo], dCAGass[Room no.], dCAGass[Room Name])</f>
        <v>BLISTER PACKING 4 (LOW RH)</v>
      </c>
      <c r="U9" s="56" t="str">
        <f t="array" ref="U9">_xlfn.XLOOKUP(records_CAGass_2[roomNo], dCAGass[Room no.], dCAGass[Bld])</f>
        <v>Building 10</v>
      </c>
      <c r="V9" s="56" t="str">
        <f t="array" ref="V9">if(A9="","",_xlfn.XLOOKUP(records_CAGass_2[roomNo], dCAGass[Room no.], dCAGass[Floor]))</f>
        <v>Floor 1</v>
      </c>
      <c r="W9" s="43">
        <f t="array" ref="W9">_xlfn.XLOOKUP(records_CAGass_2[roomNo], dCAGass[Room no.], dCAGass[Spec])</f>
        <v>5</v>
      </c>
      <c r="X9" s="43">
        <f t="array" ref="X9">if(N9="","",IFERROR(_xlfn.xlookup(records_CAGass_2[ColonyCount]&amp;records_CAGass_2[AirSampler],feller[code],feller[Vc]),_xlfn.xlookup(9999&amp;records_CAGass_2[AirSampler],feller[code],feller[Vc])))</f>
        <v>0</v>
      </c>
      <c r="Y9" s="29" t="b">
        <v>0</v>
      </c>
      <c r="Z9" s="39" t="s">
        <v>280</v>
      </c>
      <c r="AA9" s="46"/>
      <c r="AB9" s="46" t="s">
        <v>371</v>
      </c>
      <c r="AC9" s="46"/>
      <c r="AD9" s="46"/>
      <c r="AE9" s="46"/>
      <c r="AF9" s="46"/>
      <c r="AG9" s="46"/>
      <c r="AH9" s="46"/>
      <c r="AI9" s="46"/>
    </row>
    <row r="10" ht="22.5" customHeight="1">
      <c r="A10" s="27">
        <v>45897.0</v>
      </c>
      <c r="B10" s="34" t="str">
        <f t="shared" si="1"/>
        <v>08-2025</v>
      </c>
      <c r="C10" s="34" t="s">
        <v>384</v>
      </c>
      <c r="D10" s="36" t="s">
        <v>191</v>
      </c>
      <c r="E10" s="36" t="s">
        <v>385</v>
      </c>
      <c r="F10" s="29" t="b">
        <v>1</v>
      </c>
      <c r="G10" s="34" t="s">
        <v>386</v>
      </c>
      <c r="H10" s="34" t="s">
        <v>387</v>
      </c>
      <c r="I10" s="34"/>
      <c r="J10" s="34"/>
      <c r="K10" s="34"/>
      <c r="L10" s="34"/>
      <c r="M10" s="48"/>
      <c r="N10" s="50">
        <v>0.0</v>
      </c>
      <c r="O10" s="39"/>
      <c r="P10" s="34"/>
      <c r="Q10" s="21" t="s">
        <v>203</v>
      </c>
      <c r="R10" s="39"/>
      <c r="S10" s="43"/>
      <c r="T10" s="54" t="str">
        <f t="array" ref="T10">_xlfn.XLOOKUP(records_CAGass_2[roomNo], dCAGass[Room no.], dCAGass[Room Name])</f>
        <v>BLISTER PACKING 5 (LOW RH)</v>
      </c>
      <c r="U10" s="56" t="str">
        <f t="array" ref="U10">_xlfn.XLOOKUP(records_CAGass_2[roomNo], dCAGass[Room no.], dCAGass[Bld])</f>
        <v>Building 10</v>
      </c>
      <c r="V10" s="56" t="str">
        <f t="array" ref="V10">if(A10="","",_xlfn.XLOOKUP(records_CAGass_2[roomNo], dCAGass[Room no.], dCAGass[Floor]))</f>
        <v>Floor 1</v>
      </c>
      <c r="W10" s="43">
        <f t="array" ref="W10">_xlfn.XLOOKUP(records_CAGass_2[roomNo], dCAGass[Room no.], dCAGass[Spec])</f>
        <v>5</v>
      </c>
      <c r="X10" s="43">
        <f t="array" ref="X10">if(N10="","",IFERROR(_xlfn.xlookup(records_CAGass_2[ColonyCount]&amp;records_CAGass_2[AirSampler],feller[code],feller[Vc]),_xlfn.xlookup(9999&amp;records_CAGass_2[AirSampler],feller[code],feller[Vc])))</f>
        <v>0</v>
      </c>
      <c r="Y10" s="29" t="b">
        <v>0</v>
      </c>
      <c r="Z10" s="39" t="s">
        <v>280</v>
      </c>
      <c r="AA10" s="46"/>
      <c r="AB10" s="46" t="s">
        <v>376</v>
      </c>
      <c r="AC10" s="46"/>
      <c r="AD10" s="46"/>
      <c r="AE10" s="46"/>
      <c r="AF10" s="46"/>
      <c r="AG10" s="46"/>
      <c r="AH10" s="46"/>
      <c r="AI10" s="46"/>
    </row>
    <row r="11" ht="22.5" customHeight="1">
      <c r="A11" s="27">
        <v>45897.0</v>
      </c>
      <c r="B11" s="34" t="str">
        <f t="shared" si="1"/>
        <v>08-2025</v>
      </c>
      <c r="C11" s="34" t="s">
        <v>394</v>
      </c>
      <c r="D11" s="36" t="s">
        <v>191</v>
      </c>
      <c r="E11" s="36" t="s">
        <v>395</v>
      </c>
      <c r="F11" s="29" t="b">
        <v>1</v>
      </c>
      <c r="G11" s="34" t="s">
        <v>396</v>
      </c>
      <c r="H11" s="34" t="s">
        <v>397</v>
      </c>
      <c r="I11" s="34"/>
      <c r="J11" s="34"/>
      <c r="K11" s="34"/>
      <c r="L11" s="34"/>
      <c r="M11" s="48"/>
      <c r="N11" s="50">
        <v>0.0</v>
      </c>
      <c r="O11" s="39"/>
      <c r="P11" s="34"/>
      <c r="Q11" s="21" t="s">
        <v>203</v>
      </c>
      <c r="R11" s="39"/>
      <c r="S11" s="43"/>
      <c r="T11" s="54" t="str">
        <f t="array" ref="T11">_xlfn.XLOOKUP(records_CAGass_2[roomNo], dCAGass[Room no.], dCAGass[Room Name])</f>
        <v>STRIP PACKING 1 (LOW RH)</v>
      </c>
      <c r="U11" s="56" t="str">
        <f t="array" ref="U11">_xlfn.XLOOKUP(records_CAGass_2[roomNo], dCAGass[Room no.], dCAGass[Bld])</f>
        <v>Building 10</v>
      </c>
      <c r="V11" s="56" t="str">
        <f t="array" ref="V11">if(A11="","",_xlfn.XLOOKUP(records_CAGass_2[roomNo], dCAGass[Room no.], dCAGass[Floor]))</f>
        <v>Floor 1</v>
      </c>
      <c r="W11" s="43">
        <f t="array" ref="W11">_xlfn.XLOOKUP(records_CAGass_2[roomNo], dCAGass[Room no.], dCAGass[Spec])</f>
        <v>5</v>
      </c>
      <c r="X11" s="43">
        <f t="array" ref="X11">if(N11="","",IFERROR(_xlfn.xlookup(records_CAGass_2[ColonyCount]&amp;records_CAGass_2[AirSampler],feller[code],feller[Vc]),_xlfn.xlookup(9999&amp;records_CAGass_2[AirSampler],feller[code],feller[Vc])))</f>
        <v>0</v>
      </c>
      <c r="Y11" s="29" t="b">
        <v>0</v>
      </c>
      <c r="Z11" s="39" t="s">
        <v>280</v>
      </c>
      <c r="AA11" s="46"/>
      <c r="AB11" s="46" t="s">
        <v>385</v>
      </c>
      <c r="AC11" s="46"/>
      <c r="AD11" s="46"/>
      <c r="AE11" s="46"/>
      <c r="AF11" s="46"/>
      <c r="AG11" s="46"/>
      <c r="AH11" s="46"/>
      <c r="AI11" s="46"/>
    </row>
    <row r="12" ht="22.5" customHeight="1">
      <c r="A12" s="27">
        <v>45898.0</v>
      </c>
      <c r="B12" s="34" t="str">
        <f t="shared" si="1"/>
        <v>08-2025</v>
      </c>
      <c r="C12" s="34" t="s">
        <v>400</v>
      </c>
      <c r="D12" s="36" t="s">
        <v>191</v>
      </c>
      <c r="E12" s="36" t="s">
        <v>401</v>
      </c>
      <c r="F12" s="29" t="b">
        <v>1</v>
      </c>
      <c r="G12" s="34" t="s">
        <v>402</v>
      </c>
      <c r="H12" s="34" t="s">
        <v>403</v>
      </c>
      <c r="I12" s="34"/>
      <c r="J12" s="34"/>
      <c r="K12" s="34"/>
      <c r="L12" s="34"/>
      <c r="M12" s="48"/>
      <c r="N12" s="50">
        <v>0.0</v>
      </c>
      <c r="O12" s="39"/>
      <c r="P12" s="34"/>
      <c r="Q12" s="21" t="s">
        <v>203</v>
      </c>
      <c r="R12" s="39"/>
      <c r="S12" s="43"/>
      <c r="T12" s="54" t="str">
        <f t="array" ref="T12">_xlfn.XLOOKUP(records_CAGass_2[roomNo], dCAGass[Room no.], dCAGass[Room Name])</f>
        <v>POS FILLING (LOW RH)</v>
      </c>
      <c r="U12" s="56" t="str">
        <f t="array" ref="U12">_xlfn.XLOOKUP(records_CAGass_2[roomNo], dCAGass[Room no.], dCAGass[Bld])</f>
        <v>Building 10</v>
      </c>
      <c r="V12" s="56" t="str">
        <f t="array" ref="V12">if(A12="","",_xlfn.XLOOKUP(records_CAGass_2[roomNo], dCAGass[Room no.], dCAGass[Floor]))</f>
        <v>Floor 1</v>
      </c>
      <c r="W12" s="43">
        <f t="array" ref="W12">_xlfn.XLOOKUP(records_CAGass_2[roomNo], dCAGass[Room no.], dCAGass[Spec])</f>
        <v>5</v>
      </c>
      <c r="X12" s="43">
        <f t="array" ref="X12">if(N12="","",IFERROR(_xlfn.xlookup(records_CAGass_2[ColonyCount]&amp;records_CAGass_2[AirSampler],feller[code],feller[Vc]),_xlfn.xlookup(9999&amp;records_CAGass_2[AirSampler],feller[code],feller[Vc])))</f>
        <v>0</v>
      </c>
      <c r="Y12" s="29" t="b">
        <v>0</v>
      </c>
      <c r="Z12" s="39" t="s">
        <v>280</v>
      </c>
      <c r="AA12" s="46"/>
      <c r="AB12" s="46" t="s">
        <v>395</v>
      </c>
      <c r="AC12" s="46"/>
      <c r="AD12" s="46"/>
      <c r="AE12" s="46"/>
      <c r="AF12" s="46"/>
      <c r="AG12" s="46"/>
      <c r="AH12" s="46"/>
      <c r="AI12" s="46"/>
    </row>
    <row r="13" ht="22.5" customHeight="1">
      <c r="A13" s="27">
        <v>45898.0</v>
      </c>
      <c r="B13" s="34" t="str">
        <f t="shared" si="1"/>
        <v>08-2025</v>
      </c>
      <c r="C13" s="34" t="s">
        <v>408</v>
      </c>
      <c r="D13" s="36" t="s">
        <v>191</v>
      </c>
      <c r="E13" s="36" t="s">
        <v>409</v>
      </c>
      <c r="F13" s="29" t="b">
        <v>1</v>
      </c>
      <c r="G13" s="34" t="s">
        <v>339</v>
      </c>
      <c r="H13" s="34" t="s">
        <v>410</v>
      </c>
      <c r="I13" s="34"/>
      <c r="J13" s="34"/>
      <c r="K13" s="34"/>
      <c r="L13" s="34"/>
      <c r="M13" s="48"/>
      <c r="N13" s="50">
        <v>0.0</v>
      </c>
      <c r="O13" s="39"/>
      <c r="P13" s="34"/>
      <c r="Q13" s="21" t="s">
        <v>203</v>
      </c>
      <c r="R13" s="39"/>
      <c r="S13" s="43"/>
      <c r="T13" s="54" t="str">
        <f t="array" ref="T13">_xlfn.XLOOKUP(records_CAGass_2[roomNo], dCAGass[Room no.], dCAGass[Room Name])</f>
        <v>BOTTLE CLEANING</v>
      </c>
      <c r="U13" s="56" t="str">
        <f t="array" ref="U13">_xlfn.XLOOKUP(records_CAGass_2[roomNo], dCAGass[Room no.], dCAGass[Bld])</f>
        <v>Building 10</v>
      </c>
      <c r="V13" s="56" t="str">
        <f t="array" ref="V13">if(A13="","",_xlfn.XLOOKUP(records_CAGass_2[roomNo], dCAGass[Room no.], dCAGass[Floor]))</f>
        <v>Floor 1</v>
      </c>
      <c r="W13" s="43">
        <f t="array" ref="W13">_xlfn.XLOOKUP(records_CAGass_2[roomNo], dCAGass[Room no.], dCAGass[Spec])</f>
        <v>5</v>
      </c>
      <c r="X13" s="43">
        <f t="array" ref="X13">if(N13="","",IFERROR(_xlfn.xlookup(records_CAGass_2[ColonyCount]&amp;records_CAGass_2[AirSampler],feller[code],feller[Vc]),_xlfn.xlookup(9999&amp;records_CAGass_2[AirSampler],feller[code],feller[Vc])))</f>
        <v>0</v>
      </c>
      <c r="Y13" s="29" t="b">
        <v>0</v>
      </c>
      <c r="Z13" s="39" t="s">
        <v>280</v>
      </c>
      <c r="AA13" s="46"/>
      <c r="AB13" s="46" t="s">
        <v>401</v>
      </c>
      <c r="AC13" s="46"/>
      <c r="AD13" s="46"/>
      <c r="AE13" s="46"/>
      <c r="AF13" s="46"/>
      <c r="AG13" s="46"/>
      <c r="AH13" s="46"/>
      <c r="AI13" s="46"/>
    </row>
    <row r="14" ht="22.5" customHeight="1">
      <c r="A14" s="27">
        <v>45898.0</v>
      </c>
      <c r="B14" s="34" t="str">
        <f t="shared" si="1"/>
        <v>08-2025</v>
      </c>
      <c r="C14" s="34" t="s">
        <v>413</v>
      </c>
      <c r="D14" s="36" t="s">
        <v>191</v>
      </c>
      <c r="E14" s="36" t="s">
        <v>414</v>
      </c>
      <c r="F14" s="29" t="b">
        <v>1</v>
      </c>
      <c r="G14" s="34" t="s">
        <v>415</v>
      </c>
      <c r="H14" s="34" t="s">
        <v>416</v>
      </c>
      <c r="I14" s="34"/>
      <c r="J14" s="34"/>
      <c r="K14" s="34"/>
      <c r="L14" s="34"/>
      <c r="M14" s="48"/>
      <c r="N14" s="50">
        <v>0.0</v>
      </c>
      <c r="O14" s="39"/>
      <c r="P14" s="34"/>
      <c r="Q14" s="21" t="s">
        <v>203</v>
      </c>
      <c r="R14" s="39"/>
      <c r="S14" s="43"/>
      <c r="T14" s="54" t="str">
        <f t="array" ref="T14">_xlfn.XLOOKUP(records_CAGass_2[roomNo], dCAGass[Room no.], dCAGass[Room Name])</f>
        <v>SACHET PACKING (LOW RH)</v>
      </c>
      <c r="U14" s="56" t="str">
        <f t="array" ref="U14">_xlfn.XLOOKUP(records_CAGass_2[roomNo], dCAGass[Room no.], dCAGass[Bld])</f>
        <v>Building 10</v>
      </c>
      <c r="V14" s="56" t="str">
        <f t="array" ref="V14">if(A14="","",_xlfn.XLOOKUP(records_CAGass_2[roomNo], dCAGass[Room no.], dCAGass[Floor]))</f>
        <v>Floor 1</v>
      </c>
      <c r="W14" s="43">
        <f t="array" ref="W14">_xlfn.XLOOKUP(records_CAGass_2[roomNo], dCAGass[Room no.], dCAGass[Spec])</f>
        <v>5</v>
      </c>
      <c r="X14" s="43">
        <f t="array" ref="X14">if(N14="","",IFERROR(_xlfn.xlookup(records_CAGass_2[ColonyCount]&amp;records_CAGass_2[AirSampler],feller[code],feller[Vc]),_xlfn.xlookup(9999&amp;records_CAGass_2[AirSampler],feller[code],feller[Vc])))</f>
        <v>0</v>
      </c>
      <c r="Y14" s="29" t="b">
        <v>0</v>
      </c>
      <c r="Z14" s="39" t="s">
        <v>280</v>
      </c>
      <c r="AA14" s="46"/>
      <c r="AB14" s="46" t="s">
        <v>409</v>
      </c>
      <c r="AC14" s="46"/>
      <c r="AD14" s="46"/>
      <c r="AE14" s="46"/>
      <c r="AF14" s="46"/>
      <c r="AG14" s="46"/>
      <c r="AH14" s="46"/>
      <c r="AI14" s="46"/>
    </row>
    <row r="15" ht="22.5" customHeight="1">
      <c r="A15" s="27">
        <v>45898.0</v>
      </c>
      <c r="B15" s="34" t="str">
        <f t="shared" si="1"/>
        <v>08-2025</v>
      </c>
      <c r="C15" s="34" t="s">
        <v>422</v>
      </c>
      <c r="D15" s="36" t="s">
        <v>191</v>
      </c>
      <c r="E15" s="36" t="s">
        <v>423</v>
      </c>
      <c r="F15" s="29" t="b">
        <v>1</v>
      </c>
      <c r="G15" s="34" t="s">
        <v>424</v>
      </c>
      <c r="H15" s="34" t="s">
        <v>425</v>
      </c>
      <c r="I15" s="34"/>
      <c r="J15" s="34"/>
      <c r="K15" s="34"/>
      <c r="L15" s="34"/>
      <c r="M15" s="48"/>
      <c r="N15" s="50">
        <v>0.0</v>
      </c>
      <c r="O15" s="39"/>
      <c r="P15" s="34"/>
      <c r="Q15" s="21" t="s">
        <v>203</v>
      </c>
      <c r="R15" s="39"/>
      <c r="S15" s="43"/>
      <c r="T15" s="54" t="str">
        <f t="array" ref="T15">_xlfn.XLOOKUP(records_CAGass_2[roomNo], dCAGass[Room no.], dCAGass[Room Name])</f>
        <v>TABLETS INSPECTION 2</v>
      </c>
      <c r="U15" s="56" t="str">
        <f t="array" ref="U15">_xlfn.XLOOKUP(records_CAGass_2[roomNo], dCAGass[Room no.], dCAGass[Bld])</f>
        <v>Building 10</v>
      </c>
      <c r="V15" s="56" t="str">
        <f t="array" ref="V15">if(A15="","",_xlfn.XLOOKUP(records_CAGass_2[roomNo], dCAGass[Room no.], dCAGass[Floor]))</f>
        <v>Floor 1</v>
      </c>
      <c r="W15" s="43">
        <f t="array" ref="W15">_xlfn.XLOOKUP(records_CAGass_2[roomNo], dCAGass[Room no.], dCAGass[Spec])</f>
        <v>5</v>
      </c>
      <c r="X15" s="43">
        <f t="array" ref="X15">if(N15="","",IFERROR(_xlfn.xlookup(records_CAGass_2[ColonyCount]&amp;records_CAGass_2[AirSampler],feller[code],feller[Vc]),_xlfn.xlookup(9999&amp;records_CAGass_2[AirSampler],feller[code],feller[Vc])))</f>
        <v>0</v>
      </c>
      <c r="Y15" s="29" t="b">
        <v>0</v>
      </c>
      <c r="Z15" s="39" t="s">
        <v>280</v>
      </c>
      <c r="AA15" s="46"/>
      <c r="AB15" s="46" t="s">
        <v>414</v>
      </c>
      <c r="AC15" s="46"/>
      <c r="AD15" s="46"/>
      <c r="AE15" s="46"/>
      <c r="AF15" s="46"/>
      <c r="AG15" s="46"/>
      <c r="AH15" s="46"/>
      <c r="AI15" s="46"/>
    </row>
    <row r="16" ht="22.5" customHeight="1">
      <c r="A16" s="27">
        <v>45898.0</v>
      </c>
      <c r="B16" s="34" t="str">
        <f t="shared" si="1"/>
        <v>08-2025</v>
      </c>
      <c r="C16" s="34" t="s">
        <v>433</v>
      </c>
      <c r="D16" s="36" t="s">
        <v>191</v>
      </c>
      <c r="E16" s="36" t="s">
        <v>434</v>
      </c>
      <c r="F16" s="29" t="b">
        <v>1</v>
      </c>
      <c r="G16" s="34" t="s">
        <v>435</v>
      </c>
      <c r="H16" s="34" t="s">
        <v>436</v>
      </c>
      <c r="I16" s="34"/>
      <c r="J16" s="34"/>
      <c r="K16" s="34"/>
      <c r="L16" s="34"/>
      <c r="M16" s="48"/>
      <c r="N16" s="50">
        <v>0.0</v>
      </c>
      <c r="O16" s="39"/>
      <c r="P16" s="34"/>
      <c r="Q16" s="21" t="s">
        <v>203</v>
      </c>
      <c r="R16" s="39"/>
      <c r="S16" s="43"/>
      <c r="T16" s="54" t="str">
        <f t="array" ref="T16">_xlfn.XLOOKUP(records_CAGass_2[roomNo], dCAGass[Room no.], dCAGass[Room Name])</f>
        <v>TABLETS INSPECTION 1 (LOW RH)</v>
      </c>
      <c r="U16" s="56" t="str">
        <f t="array" ref="U16">_xlfn.XLOOKUP(records_CAGass_2[roomNo], dCAGass[Room no.], dCAGass[Bld])</f>
        <v>Building 10</v>
      </c>
      <c r="V16" s="56" t="str">
        <f t="array" ref="V16">if(A16="","",_xlfn.XLOOKUP(records_CAGass_2[roomNo], dCAGass[Room no.], dCAGass[Floor]))</f>
        <v>Floor 1</v>
      </c>
      <c r="W16" s="43">
        <f t="array" ref="W16">_xlfn.XLOOKUP(records_CAGass_2[roomNo], dCAGass[Room no.], dCAGass[Spec])</f>
        <v>5</v>
      </c>
      <c r="X16" s="43">
        <f t="array" ref="X16">if(N16="","",IFERROR(_xlfn.xlookup(records_CAGass_2[ColonyCount]&amp;records_CAGass_2[AirSampler],feller[code],feller[Vc]),_xlfn.xlookup(9999&amp;records_CAGass_2[AirSampler],feller[code],feller[Vc])))</f>
        <v>0</v>
      </c>
      <c r="Y16" s="29" t="b">
        <v>0</v>
      </c>
      <c r="Z16" s="39" t="s">
        <v>280</v>
      </c>
      <c r="AA16" s="46"/>
      <c r="AB16" s="46" t="s">
        <v>423</v>
      </c>
      <c r="AC16" s="46"/>
      <c r="AD16" s="46"/>
      <c r="AE16" s="46"/>
      <c r="AF16" s="46"/>
      <c r="AG16" s="46"/>
      <c r="AH16" s="46"/>
      <c r="AI16" s="46"/>
    </row>
    <row r="17" ht="22.5" customHeight="1">
      <c r="A17" s="27">
        <v>45898.0</v>
      </c>
      <c r="B17" s="34" t="str">
        <f t="shared" si="1"/>
        <v>08-2025</v>
      </c>
      <c r="C17" s="34" t="s">
        <v>443</v>
      </c>
      <c r="D17" s="36" t="s">
        <v>191</v>
      </c>
      <c r="E17" s="36" t="s">
        <v>444</v>
      </c>
      <c r="F17" s="29" t="b">
        <v>1</v>
      </c>
      <c r="G17" s="34" t="s">
        <v>445</v>
      </c>
      <c r="H17" s="34" t="s">
        <v>446</v>
      </c>
      <c r="I17" s="34"/>
      <c r="J17" s="34"/>
      <c r="K17" s="34"/>
      <c r="L17" s="34"/>
      <c r="M17" s="48"/>
      <c r="N17" s="50">
        <v>0.0</v>
      </c>
      <c r="O17" s="39"/>
      <c r="P17" s="34"/>
      <c r="Q17" s="21" t="s">
        <v>203</v>
      </c>
      <c r="R17" s="39"/>
      <c r="S17" s="43"/>
      <c r="T17" s="54" t="str">
        <f t="array" ref="T17">_xlfn.XLOOKUP(records_CAGass_2[roomNo], dCAGass[Room no.], dCAGass[Room Name])</f>
        <v>STRIP PACKING 3</v>
      </c>
      <c r="U17" s="56" t="str">
        <f t="array" ref="U17">_xlfn.XLOOKUP(records_CAGass_2[roomNo], dCAGass[Room no.], dCAGass[Bld])</f>
        <v>Building 10</v>
      </c>
      <c r="V17" s="56" t="str">
        <f t="array" ref="V17">if(A17="","",_xlfn.XLOOKUP(records_CAGass_2[roomNo], dCAGass[Room no.], dCAGass[Floor]))</f>
        <v>Floor 1</v>
      </c>
      <c r="W17" s="43">
        <f t="array" ref="W17">_xlfn.XLOOKUP(records_CAGass_2[roomNo], dCAGass[Room no.], dCAGass[Spec])</f>
        <v>5</v>
      </c>
      <c r="X17" s="43">
        <f t="array" ref="X17">if(N17="","",IFERROR(_xlfn.xlookup(records_CAGass_2[ColonyCount]&amp;records_CAGass_2[AirSampler],feller[code],feller[Vc]),_xlfn.xlookup(9999&amp;records_CAGass_2[AirSampler],feller[code],feller[Vc])))</f>
        <v>0</v>
      </c>
      <c r="Y17" s="29" t="b">
        <v>0</v>
      </c>
      <c r="Z17" s="39" t="s">
        <v>280</v>
      </c>
      <c r="AA17" s="46"/>
      <c r="AB17" s="46" t="s">
        <v>434</v>
      </c>
      <c r="AC17" s="46"/>
      <c r="AD17" s="46"/>
      <c r="AE17" s="46"/>
      <c r="AF17" s="46"/>
      <c r="AG17" s="46"/>
      <c r="AH17" s="46"/>
      <c r="AI17" s="46"/>
    </row>
    <row r="18" ht="22.5" customHeight="1">
      <c r="A18" s="27">
        <v>45904.0</v>
      </c>
      <c r="B18" s="34" t="str">
        <f t="shared" si="1"/>
        <v>09-2025</v>
      </c>
      <c r="C18" s="34" t="s">
        <v>173</v>
      </c>
      <c r="D18" s="36" t="s">
        <v>191</v>
      </c>
      <c r="E18" s="36" t="s">
        <v>451</v>
      </c>
      <c r="F18" s="29" t="b">
        <v>1</v>
      </c>
      <c r="G18" s="34" t="s">
        <v>452</v>
      </c>
      <c r="H18" s="34" t="s">
        <v>387</v>
      </c>
      <c r="I18" s="34"/>
      <c r="J18" s="34"/>
      <c r="K18" s="34"/>
      <c r="L18" s="34"/>
      <c r="M18" s="48"/>
      <c r="N18" s="50">
        <v>0.0</v>
      </c>
      <c r="O18" s="39"/>
      <c r="P18" s="34"/>
      <c r="Q18" s="21" t="s">
        <v>203</v>
      </c>
      <c r="R18" s="39"/>
      <c r="S18" s="43"/>
      <c r="T18" s="54" t="str">
        <f t="array" ref="T18">_xlfn.XLOOKUP(records_CAGass_2[roomNo], dCAGass[Room no.], dCAGass[Room Name])</f>
        <v>TABLETS INSPECTION 1</v>
      </c>
      <c r="U18" s="56" t="str">
        <f t="array" ref="U18">_xlfn.XLOOKUP(records_CAGass_2[roomNo], dCAGass[Room no.], dCAGass[Bld])</f>
        <v>Building 10</v>
      </c>
      <c r="V18" s="56" t="str">
        <f t="array" ref="V18">if(A18="","",_xlfn.XLOOKUP(records_CAGass_2[roomNo], dCAGass[Room no.], dCAGass[Floor]))</f>
        <v>Floor 3</v>
      </c>
      <c r="W18" s="43">
        <f t="array" ref="W18">_xlfn.XLOOKUP(records_CAGass_2[roomNo], dCAGass[Room no.], dCAGass[Spec])</f>
        <v>5</v>
      </c>
      <c r="X18" s="43">
        <f t="array" ref="X18">if(N18="","",IFERROR(_xlfn.xlookup(records_CAGass_2[ColonyCount]&amp;records_CAGass_2[AirSampler],feller[code],feller[Vc]),_xlfn.xlookup(9999&amp;records_CAGass_2[AirSampler],feller[code],feller[Vc])))</f>
        <v>0</v>
      </c>
      <c r="Y18" s="29" t="b">
        <v>0</v>
      </c>
      <c r="Z18" s="39" t="s">
        <v>280</v>
      </c>
      <c r="AA18" s="46"/>
      <c r="AB18" s="46" t="s">
        <v>444</v>
      </c>
      <c r="AC18" s="46"/>
      <c r="AD18" s="46"/>
      <c r="AE18" s="46"/>
      <c r="AF18" s="46"/>
      <c r="AG18" s="46"/>
      <c r="AH18" s="46"/>
      <c r="AI18" s="46"/>
    </row>
    <row r="19" ht="22.5" customHeight="1">
      <c r="A19" s="27">
        <v>45904.0</v>
      </c>
      <c r="B19" s="34" t="str">
        <f t="shared" si="1"/>
        <v>09-2025</v>
      </c>
      <c r="C19" s="34" t="s">
        <v>179</v>
      </c>
      <c r="D19" s="36" t="s">
        <v>191</v>
      </c>
      <c r="E19" s="36" t="s">
        <v>457</v>
      </c>
      <c r="F19" s="29" t="b">
        <v>1</v>
      </c>
      <c r="G19" s="34" t="s">
        <v>458</v>
      </c>
      <c r="H19" s="34" t="s">
        <v>459</v>
      </c>
      <c r="I19" s="34"/>
      <c r="J19" s="34"/>
      <c r="K19" s="34"/>
      <c r="L19" s="34"/>
      <c r="M19" s="48"/>
      <c r="N19" s="50">
        <v>0.0</v>
      </c>
      <c r="O19" s="39"/>
      <c r="P19" s="34"/>
      <c r="Q19" s="21" t="s">
        <v>203</v>
      </c>
      <c r="R19" s="39"/>
      <c r="S19" s="43"/>
      <c r="T19" s="54" t="str">
        <f t="array" ref="T19">_xlfn.XLOOKUP(records_CAGass_2[roomNo], dCAGass[Room no.], dCAGass[Room Name])</f>
        <v>TABLETS INSPECTION 2</v>
      </c>
      <c r="U19" s="56" t="str">
        <f t="array" ref="U19">_xlfn.XLOOKUP(records_CAGass_2[roomNo], dCAGass[Room no.], dCAGass[Bld])</f>
        <v>Building 10</v>
      </c>
      <c r="V19" s="56" t="str">
        <f t="array" ref="V19">if(A19="","",_xlfn.XLOOKUP(records_CAGass_2[roomNo], dCAGass[Room no.], dCAGass[Floor]))</f>
        <v>Floor 3</v>
      </c>
      <c r="W19" s="43">
        <f t="array" ref="W19">_xlfn.XLOOKUP(records_CAGass_2[roomNo], dCAGass[Room no.], dCAGass[Spec])</f>
        <v>5</v>
      </c>
      <c r="X19" s="43">
        <f t="array" ref="X19">if(N19="","",IFERROR(_xlfn.xlookup(records_CAGass_2[ColonyCount]&amp;records_CAGass_2[AirSampler],feller[code],feller[Vc]),_xlfn.xlookup(9999&amp;records_CAGass_2[AirSampler],feller[code],feller[Vc])))</f>
        <v>0</v>
      </c>
      <c r="Y19" s="29" t="b">
        <v>0</v>
      </c>
      <c r="Z19" s="39" t="s">
        <v>280</v>
      </c>
      <c r="AA19" s="46"/>
      <c r="AB19" s="46" t="s">
        <v>451</v>
      </c>
      <c r="AC19" s="46"/>
      <c r="AD19" s="46"/>
      <c r="AE19" s="46"/>
      <c r="AF19" s="46"/>
      <c r="AG19" s="46"/>
      <c r="AH19" s="46"/>
      <c r="AI19" s="46"/>
    </row>
    <row r="20" ht="22.5" customHeight="1">
      <c r="A20" s="27">
        <v>45999.0</v>
      </c>
      <c r="B20" s="34" t="str">
        <f t="shared" si="1"/>
        <v>12-2025</v>
      </c>
      <c r="C20" s="34" t="s">
        <v>463</v>
      </c>
      <c r="D20" s="36" t="s">
        <v>191</v>
      </c>
      <c r="E20" s="36" t="s">
        <v>464</v>
      </c>
      <c r="F20" s="29" t="b">
        <v>1</v>
      </c>
      <c r="G20" s="34" t="s">
        <v>465</v>
      </c>
      <c r="H20" s="34" t="s">
        <v>299</v>
      </c>
      <c r="I20" s="34"/>
      <c r="J20" s="34"/>
      <c r="K20" s="34"/>
      <c r="L20" s="34"/>
      <c r="M20" s="48"/>
      <c r="N20" s="50">
        <v>0.0</v>
      </c>
      <c r="O20" s="39"/>
      <c r="P20" s="34"/>
      <c r="Q20" s="21" t="s">
        <v>203</v>
      </c>
      <c r="R20" s="39"/>
      <c r="S20" s="43"/>
      <c r="T20" s="54" t="str">
        <f t="array" ref="T20">_xlfn.XLOOKUP(records_CAGass_2[roomNo], dCAGass[Room no.], dCAGass[Room Name])</f>
        <v>COATING 1</v>
      </c>
      <c r="U20" s="56" t="str">
        <f t="array" ref="U20">_xlfn.XLOOKUP(records_CAGass_2[roomNo], dCAGass[Room no.], dCAGass[Bld])</f>
        <v>Building 10</v>
      </c>
      <c r="V20" s="56" t="str">
        <f t="array" ref="V20">if(A20="","",_xlfn.XLOOKUP(records_CAGass_2[roomNo], dCAGass[Room no.], dCAGass[Floor]))</f>
        <v>Floor 3</v>
      </c>
      <c r="W20" s="43">
        <f t="array" ref="W20">_xlfn.XLOOKUP(records_CAGass_2[roomNo], dCAGass[Room no.], dCAGass[Spec])</f>
        <v>5</v>
      </c>
      <c r="X20" s="43">
        <f t="array" ref="X20">if(N20="","",IFERROR(_xlfn.xlookup(records_CAGass_2[ColonyCount]&amp;records_CAGass_2[AirSampler],feller[code],feller[Vc]),_xlfn.xlookup(9999&amp;records_CAGass_2[AirSampler],feller[code],feller[Vc])))</f>
        <v>0</v>
      </c>
      <c r="Y20" s="29" t="b">
        <v>0</v>
      </c>
      <c r="Z20" s="39" t="s">
        <v>280</v>
      </c>
      <c r="AA20" s="46"/>
      <c r="AB20" s="46" t="s">
        <v>457</v>
      </c>
      <c r="AC20" s="46"/>
      <c r="AD20" s="46"/>
      <c r="AE20" s="46"/>
      <c r="AF20" s="46"/>
      <c r="AG20" s="46"/>
      <c r="AH20" s="46"/>
      <c r="AI20" s="46"/>
    </row>
    <row r="21" ht="22.5" customHeight="1">
      <c r="A21" s="27">
        <v>45999.0</v>
      </c>
      <c r="B21" s="34" t="str">
        <f t="shared" si="1"/>
        <v>12-2025</v>
      </c>
      <c r="C21" s="34" t="s">
        <v>471</v>
      </c>
      <c r="D21" s="36" t="s">
        <v>191</v>
      </c>
      <c r="E21" s="36" t="s">
        <v>472</v>
      </c>
      <c r="F21" s="29" t="b">
        <v>1</v>
      </c>
      <c r="G21" s="34" t="s">
        <v>473</v>
      </c>
      <c r="H21" s="34" t="s">
        <v>474</v>
      </c>
      <c r="I21" s="34"/>
      <c r="J21" s="34"/>
      <c r="K21" s="34"/>
      <c r="L21" s="34"/>
      <c r="M21" s="48"/>
      <c r="N21" s="50">
        <v>0.0</v>
      </c>
      <c r="O21" s="39"/>
      <c r="P21" s="34"/>
      <c r="Q21" s="21" t="s">
        <v>203</v>
      </c>
      <c r="R21" s="39"/>
      <c r="S21" s="43"/>
      <c r="T21" s="54" t="str">
        <f t="array" ref="T21">_xlfn.XLOOKUP(records_CAGass_2[roomNo], dCAGass[Room no.], dCAGass[Room Name])</f>
        <v>COATING SOLUTION PREPARATION 1</v>
      </c>
      <c r="U21" s="56" t="str">
        <f t="array" ref="U21">_xlfn.XLOOKUP(records_CAGass_2[roomNo], dCAGass[Room no.], dCAGass[Bld])</f>
        <v>Building 10</v>
      </c>
      <c r="V21" s="56" t="str">
        <f t="array" ref="V21">if(A21="","",_xlfn.XLOOKUP(records_CAGass_2[roomNo], dCAGass[Room no.], dCAGass[Floor]))</f>
        <v>Floor 3</v>
      </c>
      <c r="W21" s="43">
        <f t="array" ref="W21">_xlfn.XLOOKUP(records_CAGass_2[roomNo], dCAGass[Room no.], dCAGass[Spec])</f>
        <v>5</v>
      </c>
      <c r="X21" s="43">
        <f t="array" ref="X21">if(N21="","",IFERROR(_xlfn.xlookup(records_CAGass_2[ColonyCount]&amp;records_CAGass_2[AirSampler],feller[code],feller[Vc]),_xlfn.xlookup(9999&amp;records_CAGass_2[AirSampler],feller[code],feller[Vc])))</f>
        <v>0</v>
      </c>
      <c r="Y21" s="29" t="b">
        <v>0</v>
      </c>
      <c r="Z21" s="39" t="s">
        <v>280</v>
      </c>
      <c r="AA21" s="46"/>
      <c r="AB21" s="46" t="s">
        <v>464</v>
      </c>
      <c r="AC21" s="46"/>
      <c r="AD21" s="46"/>
      <c r="AE21" s="46"/>
      <c r="AF21" s="46"/>
      <c r="AG21" s="46"/>
      <c r="AH21" s="46"/>
      <c r="AI21" s="46"/>
    </row>
    <row r="22" ht="22.5" customHeight="1">
      <c r="A22" s="27">
        <v>45999.0</v>
      </c>
      <c r="B22" s="34" t="str">
        <f t="shared" si="1"/>
        <v>12-2025</v>
      </c>
      <c r="C22" s="34" t="s">
        <v>187</v>
      </c>
      <c r="D22" s="36" t="s">
        <v>191</v>
      </c>
      <c r="E22" s="36" t="s">
        <v>480</v>
      </c>
      <c r="F22" s="29" t="b">
        <v>1</v>
      </c>
      <c r="G22" s="34" t="s">
        <v>344</v>
      </c>
      <c r="H22" s="34" t="s">
        <v>481</v>
      </c>
      <c r="I22" s="34"/>
      <c r="J22" s="34"/>
      <c r="K22" s="34"/>
      <c r="L22" s="34"/>
      <c r="M22" s="48"/>
      <c r="N22" s="50">
        <v>1.0</v>
      </c>
      <c r="O22" s="39"/>
      <c r="P22" s="34"/>
      <c r="Q22" s="21" t="s">
        <v>203</v>
      </c>
      <c r="R22" s="39"/>
      <c r="S22" s="43"/>
      <c r="T22" s="54" t="str">
        <f t="array" ref="T22">_xlfn.XLOOKUP(records_CAGass_2[roomNo], dCAGass[Room no.], dCAGass[Room Name])</f>
        <v>COATING SOLUTION PREPARATION 2</v>
      </c>
      <c r="U22" s="56" t="str">
        <f t="array" ref="U22">_xlfn.XLOOKUP(records_CAGass_2[roomNo], dCAGass[Room no.], dCAGass[Bld])</f>
        <v>Building 10</v>
      </c>
      <c r="V22" s="56" t="str">
        <f t="array" ref="V22">if(A22="","",_xlfn.XLOOKUP(records_CAGass_2[roomNo], dCAGass[Room no.], dCAGass[Floor]))</f>
        <v>Floor 3</v>
      </c>
      <c r="W22" s="43">
        <f t="array" ref="W22">_xlfn.XLOOKUP(records_CAGass_2[roomNo], dCAGass[Room no.], dCAGass[Spec])</f>
        <v>5</v>
      </c>
      <c r="X22" s="43">
        <f t="array" ref="X22">if(N22="","",IFERROR(_xlfn.xlookup(records_CAGass_2[ColonyCount]&amp;records_CAGass_2[AirSampler],feller[code],feller[Vc]),_xlfn.xlookup(9999&amp;records_CAGass_2[AirSampler],feller[code],feller[Vc])))</f>
        <v>1</v>
      </c>
      <c r="Y22" s="29" t="b">
        <v>0</v>
      </c>
      <c r="Z22" s="39" t="s">
        <v>280</v>
      </c>
      <c r="AA22" s="46"/>
      <c r="AB22" s="46" t="s">
        <v>472</v>
      </c>
      <c r="AC22" s="46"/>
      <c r="AD22" s="46"/>
      <c r="AE22" s="46"/>
      <c r="AF22" s="46"/>
      <c r="AG22" s="46"/>
      <c r="AH22" s="46"/>
      <c r="AI22" s="46"/>
    </row>
    <row r="23" ht="22.5" customHeight="1">
      <c r="A23" s="27">
        <v>45999.0</v>
      </c>
      <c r="B23" s="34" t="str">
        <f t="shared" si="1"/>
        <v>12-2025</v>
      </c>
      <c r="C23" s="34" t="s">
        <v>249</v>
      </c>
      <c r="D23" s="36" t="s">
        <v>191</v>
      </c>
      <c r="E23" s="36" t="s">
        <v>487</v>
      </c>
      <c r="F23" s="29" t="b">
        <v>1</v>
      </c>
      <c r="G23" s="34" t="s">
        <v>252</v>
      </c>
      <c r="H23" s="34" t="s">
        <v>488</v>
      </c>
      <c r="I23" s="34"/>
      <c r="J23" s="34"/>
      <c r="K23" s="34"/>
      <c r="L23" s="34"/>
      <c r="M23" s="48"/>
      <c r="N23" s="50">
        <v>0.0</v>
      </c>
      <c r="O23" s="39"/>
      <c r="P23" s="34"/>
      <c r="Q23" s="21" t="s">
        <v>203</v>
      </c>
      <c r="R23" s="39"/>
      <c r="S23" s="43"/>
      <c r="T23" s="54" t="str">
        <f t="array" ref="T23">_xlfn.XLOOKUP(records_CAGass_2[roomNo], dCAGass[Room no.], dCAGass[Room Name])</f>
        <v>COATING 2</v>
      </c>
      <c r="U23" s="56" t="str">
        <f t="array" ref="U23">_xlfn.XLOOKUP(records_CAGass_2[roomNo], dCAGass[Room no.], dCAGass[Bld])</f>
        <v>Building 10</v>
      </c>
      <c r="V23" s="56" t="str">
        <f t="array" ref="V23">if(A23="","",_xlfn.XLOOKUP(records_CAGass_2[roomNo], dCAGass[Room no.], dCAGass[Floor]))</f>
        <v>Floor 3</v>
      </c>
      <c r="W23" s="43">
        <f t="array" ref="W23">_xlfn.XLOOKUP(records_CAGass_2[roomNo], dCAGass[Room no.], dCAGass[Spec])</f>
        <v>5</v>
      </c>
      <c r="X23" s="43">
        <f t="array" ref="X23">if(N23="","",IFERROR(_xlfn.xlookup(records_CAGass_2[ColonyCount]&amp;records_CAGass_2[AirSampler],feller[code],feller[Vc]),_xlfn.xlookup(9999&amp;records_CAGass_2[AirSampler],feller[code],feller[Vc])))</f>
        <v>0</v>
      </c>
      <c r="Y23" s="29" t="b">
        <v>0</v>
      </c>
      <c r="Z23" s="39" t="s">
        <v>280</v>
      </c>
      <c r="AA23" s="46"/>
      <c r="AB23" s="46" t="s">
        <v>480</v>
      </c>
      <c r="AC23" s="46"/>
      <c r="AD23" s="46"/>
      <c r="AE23" s="46"/>
      <c r="AF23" s="46"/>
      <c r="AG23" s="46"/>
      <c r="AH23" s="46"/>
      <c r="AI23" s="46"/>
    </row>
    <row r="24" ht="22.5" customHeight="1">
      <c r="A24" s="27">
        <v>45904.0</v>
      </c>
      <c r="B24" s="34" t="str">
        <f t="shared" si="1"/>
        <v>09-2025</v>
      </c>
      <c r="C24" s="34" t="s">
        <v>492</v>
      </c>
      <c r="D24" s="36" t="s">
        <v>191</v>
      </c>
      <c r="E24" s="36" t="s">
        <v>493</v>
      </c>
      <c r="F24" s="29" t="b">
        <v>1</v>
      </c>
      <c r="G24" s="34" t="s">
        <v>494</v>
      </c>
      <c r="H24" s="34" t="s">
        <v>495</v>
      </c>
      <c r="I24" s="34"/>
      <c r="J24" s="34"/>
      <c r="K24" s="34"/>
      <c r="L24" s="34"/>
      <c r="M24" s="48"/>
      <c r="N24" s="50">
        <v>0.0</v>
      </c>
      <c r="O24" s="39"/>
      <c r="P24" s="34"/>
      <c r="Q24" s="21" t="s">
        <v>203</v>
      </c>
      <c r="R24" s="39"/>
      <c r="S24" s="43"/>
      <c r="T24" s="54" t="str">
        <f t="array" ref="T24">_xlfn.XLOOKUP(records_CAGass_2[roomNo], dCAGass[Room no.], dCAGass[Room Name])</f>
        <v>COATING 3</v>
      </c>
      <c r="U24" s="56" t="str">
        <f t="array" ref="U24">_xlfn.XLOOKUP(records_CAGass_2[roomNo], dCAGass[Room no.], dCAGass[Bld])</f>
        <v>Building 10</v>
      </c>
      <c r="V24" s="56" t="str">
        <f t="array" ref="V24">if(A24="","",_xlfn.XLOOKUP(records_CAGass_2[roomNo], dCAGass[Room no.], dCAGass[Floor]))</f>
        <v>Floor 3</v>
      </c>
      <c r="W24" s="43">
        <f t="array" ref="W24">_xlfn.XLOOKUP(records_CAGass_2[roomNo], dCAGass[Room no.], dCAGass[Spec])</f>
        <v>5</v>
      </c>
      <c r="X24" s="43">
        <f t="array" ref="X24">if(N24="","",IFERROR(_xlfn.xlookup(records_CAGass_2[ColonyCount]&amp;records_CAGass_2[AirSampler],feller[code],feller[Vc]),_xlfn.xlookup(9999&amp;records_CAGass_2[AirSampler],feller[code],feller[Vc])))</f>
        <v>0</v>
      </c>
      <c r="Y24" s="29" t="b">
        <v>0</v>
      </c>
      <c r="Z24" s="39" t="s">
        <v>280</v>
      </c>
      <c r="AA24" s="46"/>
      <c r="AB24" s="46" t="s">
        <v>487</v>
      </c>
      <c r="AC24" s="46"/>
      <c r="AD24" s="46"/>
      <c r="AE24" s="46"/>
      <c r="AF24" s="46"/>
      <c r="AG24" s="46"/>
      <c r="AH24" s="46"/>
      <c r="AI24" s="46"/>
    </row>
    <row r="25" ht="22.5" customHeight="1">
      <c r="A25" s="27">
        <v>45903.0</v>
      </c>
      <c r="B25" s="34" t="str">
        <f t="shared" si="1"/>
        <v>09-2025</v>
      </c>
      <c r="C25" s="34" t="s">
        <v>498</v>
      </c>
      <c r="D25" s="36" t="s">
        <v>191</v>
      </c>
      <c r="E25" s="36" t="s">
        <v>499</v>
      </c>
      <c r="F25" s="29" t="b">
        <v>1</v>
      </c>
      <c r="G25" s="34" t="s">
        <v>500</v>
      </c>
      <c r="H25" s="34" t="s">
        <v>501</v>
      </c>
      <c r="I25" s="34"/>
      <c r="J25" s="34"/>
      <c r="K25" s="34"/>
      <c r="L25" s="34"/>
      <c r="M25" s="48"/>
      <c r="N25" s="50">
        <v>0.0</v>
      </c>
      <c r="O25" s="39"/>
      <c r="P25" s="34"/>
      <c r="Q25" s="21" t="s">
        <v>203</v>
      </c>
      <c r="R25" s="39"/>
      <c r="S25" s="43"/>
      <c r="T25" s="54" t="str">
        <f t="array" ref="T25">_xlfn.XLOOKUP(records_CAGass_2[roomNo], dCAGass[Room no.], dCAGass[Room Name])</f>
        <v>COATING 4</v>
      </c>
      <c r="U25" s="56" t="str">
        <f t="array" ref="U25">_xlfn.XLOOKUP(records_CAGass_2[roomNo], dCAGass[Room no.], dCAGass[Bld])</f>
        <v>Building 10</v>
      </c>
      <c r="V25" s="56" t="str">
        <f t="array" ref="V25">if(A25="","",_xlfn.XLOOKUP(records_CAGass_2[roomNo], dCAGass[Room no.], dCAGass[Floor]))</f>
        <v>Floor 3</v>
      </c>
      <c r="W25" s="43">
        <f t="array" ref="W25">_xlfn.XLOOKUP(records_CAGass_2[roomNo], dCAGass[Room no.], dCAGass[Spec])</f>
        <v>5</v>
      </c>
      <c r="X25" s="43">
        <f t="array" ref="X25">if(N25="","",IFERROR(_xlfn.xlookup(records_CAGass_2[ColonyCount]&amp;records_CAGass_2[AirSampler],feller[code],feller[Vc]),_xlfn.xlookup(9999&amp;records_CAGass_2[AirSampler],feller[code],feller[Vc])))</f>
        <v>0</v>
      </c>
      <c r="Y25" s="29" t="b">
        <v>0</v>
      </c>
      <c r="Z25" s="39" t="s">
        <v>280</v>
      </c>
      <c r="AA25" s="46"/>
      <c r="AB25" s="46" t="s">
        <v>493</v>
      </c>
      <c r="AC25" s="46"/>
      <c r="AD25" s="46"/>
      <c r="AE25" s="46"/>
      <c r="AF25" s="46"/>
      <c r="AG25" s="46"/>
      <c r="AH25" s="46"/>
      <c r="AI25" s="46"/>
    </row>
    <row r="26" ht="22.5" customHeight="1">
      <c r="A26" s="27">
        <v>45904.0</v>
      </c>
      <c r="B26" s="34" t="str">
        <f t="shared" si="1"/>
        <v>09-2025</v>
      </c>
      <c r="C26" s="34" t="s">
        <v>505</v>
      </c>
      <c r="D26" s="36" t="s">
        <v>191</v>
      </c>
      <c r="E26" s="36" t="s">
        <v>506</v>
      </c>
      <c r="F26" s="29" t="b">
        <v>1</v>
      </c>
      <c r="G26" s="34" t="s">
        <v>508</v>
      </c>
      <c r="H26" s="34" t="s">
        <v>509</v>
      </c>
      <c r="I26" s="34"/>
      <c r="J26" s="34"/>
      <c r="K26" s="34"/>
      <c r="L26" s="34"/>
      <c r="M26" s="48"/>
      <c r="N26" s="50">
        <v>0.0</v>
      </c>
      <c r="O26" s="39"/>
      <c r="P26" s="34"/>
      <c r="Q26" s="21" t="s">
        <v>203</v>
      </c>
      <c r="R26" s="39"/>
      <c r="S26" s="43"/>
      <c r="T26" s="54" t="str">
        <f t="array" ref="T26">_xlfn.XLOOKUP(records_CAGass_2[roomNo], dCAGass[Room no.], dCAGass[Room Name])</f>
        <v>COATING 5</v>
      </c>
      <c r="U26" s="56" t="str">
        <f t="array" ref="U26">_xlfn.XLOOKUP(records_CAGass_2[roomNo], dCAGass[Room no.], dCAGass[Bld])</f>
        <v>Building 10</v>
      </c>
      <c r="V26" s="56" t="str">
        <f t="array" ref="V26">if(A26="","",_xlfn.XLOOKUP(records_CAGass_2[roomNo], dCAGass[Room no.], dCAGass[Floor]))</f>
        <v>Floor 3</v>
      </c>
      <c r="W26" s="43">
        <f t="array" ref="W26">_xlfn.XLOOKUP(records_CAGass_2[roomNo], dCAGass[Room no.], dCAGass[Spec])</f>
        <v>5</v>
      </c>
      <c r="X26" s="43">
        <f t="array" ref="X26">if(N26="","",IFERROR(_xlfn.xlookup(records_CAGass_2[ColonyCount]&amp;records_CAGass_2[AirSampler],feller[code],feller[Vc]),_xlfn.xlookup(9999&amp;records_CAGass_2[AirSampler],feller[code],feller[Vc])))</f>
        <v>0</v>
      </c>
      <c r="Y26" s="29" t="b">
        <v>0</v>
      </c>
      <c r="Z26" s="39" t="s">
        <v>280</v>
      </c>
      <c r="AA26" s="46"/>
      <c r="AB26" s="46" t="s">
        <v>499</v>
      </c>
      <c r="AC26" s="46"/>
      <c r="AD26" s="46"/>
      <c r="AE26" s="46"/>
      <c r="AF26" s="46"/>
      <c r="AG26" s="46"/>
      <c r="AH26" s="46"/>
      <c r="AI26" s="46"/>
    </row>
    <row r="27" ht="22.5" customHeight="1">
      <c r="A27" s="27">
        <v>45903.0</v>
      </c>
      <c r="B27" s="34" t="str">
        <f t="shared" si="1"/>
        <v>09-2025</v>
      </c>
      <c r="C27" s="34" t="s">
        <v>195</v>
      </c>
      <c r="D27" s="36" t="s">
        <v>191</v>
      </c>
      <c r="E27" s="36" t="s">
        <v>517</v>
      </c>
      <c r="F27" s="29" t="b">
        <v>1</v>
      </c>
      <c r="G27" s="34" t="s">
        <v>303</v>
      </c>
      <c r="H27" s="34" t="s">
        <v>518</v>
      </c>
      <c r="I27" s="34"/>
      <c r="J27" s="34"/>
      <c r="K27" s="34"/>
      <c r="L27" s="34"/>
      <c r="M27" s="48"/>
      <c r="N27" s="50">
        <v>0.0</v>
      </c>
      <c r="O27" s="39"/>
      <c r="P27" s="34"/>
      <c r="Q27" s="21" t="s">
        <v>203</v>
      </c>
      <c r="R27" s="39"/>
      <c r="S27" s="43"/>
      <c r="T27" s="54" t="str">
        <f t="array" ref="T27">_xlfn.XLOOKUP(records_CAGass_2[roomNo], dCAGass[Room no.], dCAGass[Room Name])</f>
        <v>COATING SOLUTION PREPARATION 3</v>
      </c>
      <c r="U27" s="56" t="str">
        <f t="array" ref="U27">_xlfn.XLOOKUP(records_CAGass_2[roomNo], dCAGass[Room no.], dCAGass[Bld])</f>
        <v>Building 10</v>
      </c>
      <c r="V27" s="56" t="str">
        <f t="array" ref="V27">if(A27="","",_xlfn.XLOOKUP(records_CAGass_2[roomNo], dCAGass[Room no.], dCAGass[Floor]))</f>
        <v>Floor 3</v>
      </c>
      <c r="W27" s="43">
        <f t="array" ref="W27">_xlfn.XLOOKUP(records_CAGass_2[roomNo], dCAGass[Room no.], dCAGass[Spec])</f>
        <v>5</v>
      </c>
      <c r="X27" s="43">
        <f t="array" ref="X27">if(N27="","",IFERROR(_xlfn.xlookup(records_CAGass_2[ColonyCount]&amp;records_CAGass_2[AirSampler],feller[code],feller[Vc]),_xlfn.xlookup(9999&amp;records_CAGass_2[AirSampler],feller[code],feller[Vc])))</f>
        <v>0</v>
      </c>
      <c r="Y27" s="29" t="b">
        <v>0</v>
      </c>
      <c r="Z27" s="39" t="s">
        <v>280</v>
      </c>
      <c r="AA27" s="46"/>
      <c r="AB27" s="46" t="s">
        <v>506</v>
      </c>
      <c r="AC27" s="46"/>
      <c r="AD27" s="46"/>
      <c r="AE27" s="46"/>
      <c r="AF27" s="46"/>
      <c r="AG27" s="46"/>
      <c r="AH27" s="46"/>
      <c r="AI27" s="46"/>
    </row>
    <row r="28" ht="22.5" customHeight="1">
      <c r="A28" s="27">
        <v>45903.0</v>
      </c>
      <c r="B28" s="34" t="str">
        <f t="shared" si="1"/>
        <v>09-2025</v>
      </c>
      <c r="C28" s="34" t="s">
        <v>208</v>
      </c>
      <c r="D28" s="36" t="s">
        <v>191</v>
      </c>
      <c r="E28" s="36" t="s">
        <v>524</v>
      </c>
      <c r="F28" s="29" t="b">
        <v>1</v>
      </c>
      <c r="G28" s="34" t="s">
        <v>452</v>
      </c>
      <c r="H28" s="34" t="s">
        <v>526</v>
      </c>
      <c r="I28" s="34"/>
      <c r="J28" s="34"/>
      <c r="K28" s="34"/>
      <c r="L28" s="34"/>
      <c r="M28" s="48"/>
      <c r="N28" s="50">
        <v>0.0</v>
      </c>
      <c r="O28" s="39"/>
      <c r="P28" s="34"/>
      <c r="Q28" s="21" t="s">
        <v>203</v>
      </c>
      <c r="R28" s="39"/>
      <c r="S28" s="43"/>
      <c r="T28" s="54" t="str">
        <f t="array" ref="T28">_xlfn.XLOOKUP(records_CAGass_2[roomNo], dCAGass[Room no.], dCAGass[Room Name])</f>
        <v>COATING SOLUTION PREPARATION 4</v>
      </c>
      <c r="U28" s="56" t="str">
        <f t="array" ref="U28">_xlfn.XLOOKUP(records_CAGass_2[roomNo], dCAGass[Room no.], dCAGass[Bld])</f>
        <v>Building 10</v>
      </c>
      <c r="V28" s="56" t="str">
        <f t="array" ref="V28">if(A28="","",_xlfn.XLOOKUP(records_CAGass_2[roomNo], dCAGass[Room no.], dCAGass[Floor]))</f>
        <v>Floor 3</v>
      </c>
      <c r="W28" s="43">
        <f t="array" ref="W28">_xlfn.XLOOKUP(records_CAGass_2[roomNo], dCAGass[Room no.], dCAGass[Spec])</f>
        <v>5</v>
      </c>
      <c r="X28" s="43">
        <f t="array" ref="X28">if(N28="","",IFERROR(_xlfn.xlookup(records_CAGass_2[ColonyCount]&amp;records_CAGass_2[AirSampler],feller[code],feller[Vc]),_xlfn.xlookup(9999&amp;records_CAGass_2[AirSampler],feller[code],feller[Vc])))</f>
        <v>0</v>
      </c>
      <c r="Y28" s="29" t="b">
        <v>0</v>
      </c>
      <c r="Z28" s="39" t="s">
        <v>280</v>
      </c>
      <c r="AA28" s="46"/>
      <c r="AB28" s="46" t="s">
        <v>517</v>
      </c>
      <c r="AC28" s="46"/>
      <c r="AD28" s="46"/>
      <c r="AE28" s="46"/>
      <c r="AF28" s="46"/>
      <c r="AG28" s="46"/>
      <c r="AH28" s="46"/>
      <c r="AI28" s="46"/>
    </row>
    <row r="29" ht="22.5" customHeight="1">
      <c r="A29" s="27">
        <v>45903.0</v>
      </c>
      <c r="B29" s="34" t="str">
        <f t="shared" si="1"/>
        <v>09-2025</v>
      </c>
      <c r="C29" s="34" t="s">
        <v>533</v>
      </c>
      <c r="D29" s="36" t="s">
        <v>191</v>
      </c>
      <c r="E29" s="36" t="s">
        <v>535</v>
      </c>
      <c r="F29" s="29" t="b">
        <v>1</v>
      </c>
      <c r="G29" s="34" t="s">
        <v>303</v>
      </c>
      <c r="H29" s="34" t="s">
        <v>536</v>
      </c>
      <c r="I29" s="34"/>
      <c r="J29" s="34"/>
      <c r="K29" s="34"/>
      <c r="L29" s="34"/>
      <c r="M29" s="48"/>
      <c r="N29" s="50">
        <v>0.0</v>
      </c>
      <c r="O29" s="39"/>
      <c r="P29" s="34"/>
      <c r="Q29" s="21" t="s">
        <v>203</v>
      </c>
      <c r="R29" s="39"/>
      <c r="S29" s="43"/>
      <c r="T29" s="54" t="str">
        <f t="array" ref="T29">_xlfn.XLOOKUP(records_CAGass_2[roomNo], dCAGass[Room no.], dCAGass[Room Name])</f>
        <v>COATING 6</v>
      </c>
      <c r="U29" s="56" t="str">
        <f t="array" ref="U29">_xlfn.XLOOKUP(records_CAGass_2[roomNo], dCAGass[Room no.], dCAGass[Bld])</f>
        <v>Building 10</v>
      </c>
      <c r="V29" s="56" t="str">
        <f t="array" ref="V29">if(A29="","",_xlfn.XLOOKUP(records_CAGass_2[roomNo], dCAGass[Room no.], dCAGass[Floor]))</f>
        <v>Floor 3</v>
      </c>
      <c r="W29" s="43">
        <f t="array" ref="W29">_xlfn.XLOOKUP(records_CAGass_2[roomNo], dCAGass[Room no.], dCAGass[Spec])</f>
        <v>5</v>
      </c>
      <c r="X29" s="43">
        <f t="array" ref="X29">if(N29="","",IFERROR(_xlfn.xlookup(records_CAGass_2[ColonyCount]&amp;records_CAGass_2[AirSampler],feller[code],feller[Vc]),_xlfn.xlookup(9999&amp;records_CAGass_2[AirSampler],feller[code],feller[Vc])))</f>
        <v>0</v>
      </c>
      <c r="Y29" s="29" t="b">
        <v>0</v>
      </c>
      <c r="Z29" s="39" t="s">
        <v>280</v>
      </c>
      <c r="AA29" s="46"/>
      <c r="AB29" s="46" t="s">
        <v>524</v>
      </c>
      <c r="AC29" s="46"/>
      <c r="AD29" s="46"/>
      <c r="AE29" s="46"/>
      <c r="AF29" s="46"/>
      <c r="AG29" s="46"/>
      <c r="AH29" s="46"/>
      <c r="AI29" s="46"/>
    </row>
    <row r="30" ht="22.5" customHeight="1">
      <c r="A30" s="27">
        <v>45904.0</v>
      </c>
      <c r="B30" s="34" t="str">
        <f t="shared" si="1"/>
        <v>09-2025</v>
      </c>
      <c r="C30" s="34" t="s">
        <v>219</v>
      </c>
      <c r="D30" s="36" t="s">
        <v>191</v>
      </c>
      <c r="E30" s="36" t="s">
        <v>538</v>
      </c>
      <c r="F30" s="29" t="b">
        <v>1</v>
      </c>
      <c r="G30" s="34" t="s">
        <v>539</v>
      </c>
      <c r="H30" s="34" t="s">
        <v>540</v>
      </c>
      <c r="I30" s="34"/>
      <c r="J30" s="34"/>
      <c r="K30" s="34"/>
      <c r="L30" s="34"/>
      <c r="M30" s="48"/>
      <c r="N30" s="50">
        <v>0.0</v>
      </c>
      <c r="O30" s="39"/>
      <c r="P30" s="34"/>
      <c r="Q30" s="21" t="s">
        <v>203</v>
      </c>
      <c r="R30" s="39"/>
      <c r="S30" s="43"/>
      <c r="T30" s="54" t="str">
        <f t="array" ref="T30">_xlfn.XLOOKUP(records_CAGass_2[roomNo], dCAGass[Room no.], dCAGass[Room Name])</f>
        <v>DRY GRANULATION 1</v>
      </c>
      <c r="U30" s="56" t="str">
        <f t="array" ref="U30">_xlfn.XLOOKUP(records_CAGass_2[roomNo], dCAGass[Room no.], dCAGass[Bld])</f>
        <v>Building 10</v>
      </c>
      <c r="V30" s="56" t="str">
        <f t="array" ref="V30">if(A30="","",_xlfn.XLOOKUP(records_CAGass_2[roomNo], dCAGass[Room no.], dCAGass[Floor]))</f>
        <v>Floor 3</v>
      </c>
      <c r="W30" s="43">
        <f t="array" ref="W30">_xlfn.XLOOKUP(records_CAGass_2[roomNo], dCAGass[Room no.], dCAGass[Spec])</f>
        <v>5</v>
      </c>
      <c r="X30" s="43">
        <f t="array" ref="X30">if(N30="","",IFERROR(_xlfn.xlookup(records_CAGass_2[ColonyCount]&amp;records_CAGass_2[AirSampler],feller[code],feller[Vc]),_xlfn.xlookup(9999&amp;records_CAGass_2[AirSampler],feller[code],feller[Vc])))</f>
        <v>0</v>
      </c>
      <c r="Y30" s="29" t="b">
        <v>0</v>
      </c>
      <c r="Z30" s="39" t="s">
        <v>280</v>
      </c>
      <c r="AA30" s="46"/>
      <c r="AB30" s="46" t="s">
        <v>535</v>
      </c>
      <c r="AC30" s="46"/>
      <c r="AD30" s="46"/>
      <c r="AE30" s="46"/>
      <c r="AF30" s="46"/>
      <c r="AG30" s="46"/>
      <c r="AH30" s="46"/>
      <c r="AI30" s="46"/>
    </row>
    <row r="31" ht="22.5" customHeight="1">
      <c r="A31" s="27">
        <v>45951.0</v>
      </c>
      <c r="B31" s="34" t="str">
        <f t="shared" si="1"/>
        <v>10-2025</v>
      </c>
      <c r="C31" s="34" t="s">
        <v>228</v>
      </c>
      <c r="D31" s="36" t="s">
        <v>191</v>
      </c>
      <c r="E31" s="36" t="s">
        <v>545</v>
      </c>
      <c r="F31" s="29" t="b">
        <v>1</v>
      </c>
      <c r="G31" s="34" t="s">
        <v>546</v>
      </c>
      <c r="H31" s="34" t="s">
        <v>547</v>
      </c>
      <c r="I31" s="34"/>
      <c r="J31" s="34"/>
      <c r="K31" s="34"/>
      <c r="L31" s="34"/>
      <c r="M31" s="48"/>
      <c r="N31" s="50">
        <v>0.0</v>
      </c>
      <c r="O31" s="39"/>
      <c r="P31" s="34"/>
      <c r="Q31" s="21" t="s">
        <v>203</v>
      </c>
      <c r="R31" s="39"/>
      <c r="S31" s="43"/>
      <c r="T31" s="54" t="str">
        <f t="array" ref="T31">_xlfn.XLOOKUP(records_CAGass_2[roomNo], dCAGass[Room no.], dCAGass[Room Name])</f>
        <v>DRY GRANULATION 2 (LOW RH)</v>
      </c>
      <c r="U31" s="56" t="str">
        <f t="array" ref="U31">_xlfn.XLOOKUP(records_CAGass_2[roomNo], dCAGass[Room no.], dCAGass[Bld])</f>
        <v>Building 10</v>
      </c>
      <c r="V31" s="56" t="str">
        <f t="array" ref="V31">if(A31="","",_xlfn.XLOOKUP(records_CAGass_2[roomNo], dCAGass[Room no.], dCAGass[Floor]))</f>
        <v>Floor 3</v>
      </c>
      <c r="W31" s="43">
        <f t="array" ref="W31">_xlfn.XLOOKUP(records_CAGass_2[roomNo], dCAGass[Room no.], dCAGass[Spec])</f>
        <v>5</v>
      </c>
      <c r="X31" s="43">
        <f t="array" ref="X31">if(N31="","",IFERROR(_xlfn.xlookup(records_CAGass_2[ColonyCount]&amp;records_CAGass_2[AirSampler],feller[code],feller[Vc]),_xlfn.xlookup(9999&amp;records_CAGass_2[AirSampler],feller[code],feller[Vc])))</f>
        <v>0</v>
      </c>
      <c r="Y31" s="29" t="b">
        <v>0</v>
      </c>
      <c r="Z31" s="39" t="s">
        <v>280</v>
      </c>
      <c r="AA31" s="46"/>
      <c r="AB31" s="46" t="s">
        <v>538</v>
      </c>
      <c r="AC31" s="46"/>
      <c r="AD31" s="46"/>
      <c r="AE31" s="46"/>
      <c r="AF31" s="46"/>
      <c r="AG31" s="46"/>
      <c r="AH31" s="46"/>
      <c r="AI31" s="46"/>
    </row>
    <row r="32" ht="22.5" customHeight="1">
      <c r="A32" s="27">
        <v>45904.0</v>
      </c>
      <c r="B32" s="34" t="str">
        <f t="shared" si="1"/>
        <v>09-2025</v>
      </c>
      <c r="C32" s="34" t="s">
        <v>236</v>
      </c>
      <c r="D32" s="36" t="s">
        <v>191</v>
      </c>
      <c r="E32" s="36" t="s">
        <v>553</v>
      </c>
      <c r="F32" s="29" t="b">
        <v>1</v>
      </c>
      <c r="G32" s="34" t="s">
        <v>344</v>
      </c>
      <c r="H32" s="34" t="s">
        <v>481</v>
      </c>
      <c r="I32" s="34"/>
      <c r="J32" s="34"/>
      <c r="K32" s="34"/>
      <c r="L32" s="34"/>
      <c r="M32" s="48"/>
      <c r="N32" s="50">
        <v>0.0</v>
      </c>
      <c r="O32" s="39"/>
      <c r="P32" s="34"/>
      <c r="Q32" s="21" t="s">
        <v>203</v>
      </c>
      <c r="R32" s="39"/>
      <c r="S32" s="43"/>
      <c r="T32" s="54" t="str">
        <f t="array" ref="T32">_xlfn.XLOOKUP(records_CAGass_2[roomNo], dCAGass[Room no.], dCAGass[Room Name])</f>
        <v>DRY GRANULATION 3 (LOW RH)</v>
      </c>
      <c r="U32" s="56" t="str">
        <f t="array" ref="U32">_xlfn.XLOOKUP(records_CAGass_2[roomNo], dCAGass[Room no.], dCAGass[Bld])</f>
        <v>Building 10</v>
      </c>
      <c r="V32" s="56" t="str">
        <f t="array" ref="V32">if(A32="","",_xlfn.XLOOKUP(records_CAGass_2[roomNo], dCAGass[Room no.], dCAGass[Floor]))</f>
        <v>Floor 3</v>
      </c>
      <c r="W32" s="43">
        <f t="array" ref="W32">_xlfn.XLOOKUP(records_CAGass_2[roomNo], dCAGass[Room no.], dCAGass[Spec])</f>
        <v>5</v>
      </c>
      <c r="X32" s="43">
        <f t="array" ref="X32">if(N32="","",IFERROR(_xlfn.xlookup(records_CAGass_2[ColonyCount]&amp;records_CAGass_2[AirSampler],feller[code],feller[Vc]),_xlfn.xlookup(9999&amp;records_CAGass_2[AirSampler],feller[code],feller[Vc])))</f>
        <v>0</v>
      </c>
      <c r="Y32" s="29" t="b">
        <v>0</v>
      </c>
      <c r="Z32" s="39" t="s">
        <v>280</v>
      </c>
      <c r="AA32" s="46"/>
      <c r="AB32" s="46" t="s">
        <v>545</v>
      </c>
      <c r="AC32" s="46"/>
      <c r="AD32" s="46"/>
      <c r="AE32" s="46"/>
      <c r="AF32" s="46"/>
      <c r="AG32" s="46"/>
      <c r="AH32" s="46"/>
      <c r="AI32" s="46"/>
    </row>
    <row r="33" ht="22.5" customHeight="1">
      <c r="A33" s="27">
        <v>45951.0</v>
      </c>
      <c r="B33" s="34" t="str">
        <f t="shared" si="1"/>
        <v>10-2025</v>
      </c>
      <c r="C33" s="34" t="s">
        <v>243</v>
      </c>
      <c r="D33" s="36" t="s">
        <v>191</v>
      </c>
      <c r="E33" s="36" t="s">
        <v>558</v>
      </c>
      <c r="F33" s="29" t="b">
        <v>1</v>
      </c>
      <c r="G33" s="34" t="s">
        <v>344</v>
      </c>
      <c r="H33" s="34" t="s">
        <v>488</v>
      </c>
      <c r="I33" s="34"/>
      <c r="J33" s="34"/>
      <c r="K33" s="34"/>
      <c r="L33" s="34"/>
      <c r="M33" s="48"/>
      <c r="N33" s="50">
        <v>1.0</v>
      </c>
      <c r="O33" s="39"/>
      <c r="P33" s="34"/>
      <c r="Q33" s="21" t="s">
        <v>203</v>
      </c>
      <c r="R33" s="39"/>
      <c r="S33" s="43"/>
      <c r="T33" s="54" t="str">
        <f t="array" ref="T33">_xlfn.XLOOKUP(records_CAGass_2[roomNo], dCAGass[Room no.], dCAGass[Room Name])</f>
        <v>DRYING</v>
      </c>
      <c r="U33" s="56" t="str">
        <f t="array" ref="U33">_xlfn.XLOOKUP(records_CAGass_2[roomNo], dCAGass[Room no.], dCAGass[Bld])</f>
        <v>Building 10</v>
      </c>
      <c r="V33" s="56" t="str">
        <f t="array" ref="V33">if(A33="","",_xlfn.XLOOKUP(records_CAGass_2[roomNo], dCAGass[Room no.], dCAGass[Floor]))</f>
        <v>Floor 3</v>
      </c>
      <c r="W33" s="43">
        <f t="array" ref="W33">_xlfn.XLOOKUP(records_CAGass_2[roomNo], dCAGass[Room no.], dCAGass[Spec])</f>
        <v>5</v>
      </c>
      <c r="X33" s="43">
        <f t="array" ref="X33">if(N33="","",IFERROR(_xlfn.xlookup(records_CAGass_2[ColonyCount]&amp;records_CAGass_2[AirSampler],feller[code],feller[Vc]),_xlfn.xlookup(9999&amp;records_CAGass_2[AirSampler],feller[code],feller[Vc])))</f>
        <v>1</v>
      </c>
      <c r="Y33" s="29" t="b">
        <v>0</v>
      </c>
      <c r="Z33" s="39" t="s">
        <v>280</v>
      </c>
      <c r="AA33" s="46"/>
      <c r="AB33" s="46" t="s">
        <v>553</v>
      </c>
      <c r="AC33" s="46"/>
      <c r="AD33" s="46"/>
      <c r="AE33" s="46"/>
      <c r="AF33" s="46"/>
      <c r="AG33" s="46"/>
      <c r="AH33" s="46"/>
      <c r="AI33" s="46"/>
    </row>
    <row r="34" ht="22.5" customHeight="1">
      <c r="A34" s="27">
        <v>45951.0</v>
      </c>
      <c r="B34" s="34" t="str">
        <f t="shared" si="1"/>
        <v>10-2025</v>
      </c>
      <c r="C34" s="34" t="s">
        <v>251</v>
      </c>
      <c r="D34" s="36" t="s">
        <v>191</v>
      </c>
      <c r="E34" s="36" t="s">
        <v>561</v>
      </c>
      <c r="F34" s="29" t="b">
        <v>1</v>
      </c>
      <c r="G34" s="34" t="s">
        <v>546</v>
      </c>
      <c r="H34" s="34" t="s">
        <v>563</v>
      </c>
      <c r="I34" s="34"/>
      <c r="J34" s="34"/>
      <c r="K34" s="34"/>
      <c r="L34" s="34"/>
      <c r="M34" s="48"/>
      <c r="N34" s="50">
        <v>0.0</v>
      </c>
      <c r="O34" s="39"/>
      <c r="P34" s="34"/>
      <c r="Q34" s="21" t="s">
        <v>203</v>
      </c>
      <c r="R34" s="39"/>
      <c r="S34" s="43"/>
      <c r="T34" s="54" t="str">
        <f t="array" ref="T34">_xlfn.XLOOKUP(records_CAGass_2[roomNo], dCAGass[Room no.], dCAGass[Room Name])</f>
        <v>DRYING</v>
      </c>
      <c r="U34" s="56" t="str">
        <f t="array" ref="U34">_xlfn.XLOOKUP(records_CAGass_2[roomNo], dCAGass[Room no.], dCAGass[Bld])</f>
        <v>Building 10</v>
      </c>
      <c r="V34" s="56" t="str">
        <f t="array" ref="V34">if(A34="","",_xlfn.XLOOKUP(records_CAGass_2[roomNo], dCAGass[Room no.], dCAGass[Floor]))</f>
        <v>Floor 3</v>
      </c>
      <c r="W34" s="43">
        <f t="array" ref="W34">_xlfn.XLOOKUP(records_CAGass_2[roomNo], dCAGass[Room no.], dCAGass[Spec])</f>
        <v>5</v>
      </c>
      <c r="X34" s="43">
        <f t="array" ref="X34">if(N34="","",IFERROR(_xlfn.xlookup(records_CAGass_2[ColonyCount]&amp;records_CAGass_2[AirSampler],feller[code],feller[Vc]),_xlfn.xlookup(9999&amp;records_CAGass_2[AirSampler],feller[code],feller[Vc])))</f>
        <v>0</v>
      </c>
      <c r="Y34" s="29" t="b">
        <v>0</v>
      </c>
      <c r="Z34" s="39" t="s">
        <v>280</v>
      </c>
      <c r="AA34" s="46"/>
      <c r="AB34" s="46" t="s">
        <v>558</v>
      </c>
      <c r="AC34" s="46"/>
      <c r="AD34" s="46"/>
      <c r="AE34" s="46"/>
      <c r="AF34" s="46"/>
      <c r="AG34" s="46"/>
      <c r="AH34" s="46"/>
      <c r="AI34" s="46"/>
    </row>
    <row r="35" ht="22.5" customHeight="1">
      <c r="A35" s="27">
        <v>45951.0</v>
      </c>
      <c r="B35" s="34" t="str">
        <f t="shared" si="1"/>
        <v>10-2025</v>
      </c>
      <c r="C35" s="34" t="s">
        <v>565</v>
      </c>
      <c r="D35" s="36" t="s">
        <v>191</v>
      </c>
      <c r="E35" s="36" t="s">
        <v>566</v>
      </c>
      <c r="F35" s="29" t="b">
        <v>1</v>
      </c>
      <c r="G35" s="34" t="s">
        <v>303</v>
      </c>
      <c r="H35" s="34" t="s">
        <v>356</v>
      </c>
      <c r="I35" s="34"/>
      <c r="J35" s="34"/>
      <c r="K35" s="34"/>
      <c r="L35" s="34"/>
      <c r="M35" s="48"/>
      <c r="N35" s="50">
        <v>0.0</v>
      </c>
      <c r="O35" s="39"/>
      <c r="P35" s="34"/>
      <c r="Q35" s="21" t="s">
        <v>203</v>
      </c>
      <c r="R35" s="39"/>
      <c r="S35" s="43"/>
      <c r="T35" s="54" t="str">
        <f t="array" ref="T35">_xlfn.XLOOKUP(records_CAGass_2[roomNo], dCAGass[Room no.], dCAGass[Room Name])</f>
        <v>TOOL WASHING</v>
      </c>
      <c r="U35" s="56" t="str">
        <f t="array" ref="U35">_xlfn.XLOOKUP(records_CAGass_2[roomNo], dCAGass[Room no.], dCAGass[Bld])</f>
        <v>Building 10</v>
      </c>
      <c r="V35" s="56" t="str">
        <f t="array" ref="V35">if(A35="","",_xlfn.XLOOKUP(records_CAGass_2[roomNo], dCAGass[Room no.], dCAGass[Floor]))</f>
        <v>Floor 3</v>
      </c>
      <c r="W35" s="43">
        <f t="array" ref="W35">_xlfn.XLOOKUP(records_CAGass_2[roomNo], dCAGass[Room no.], dCAGass[Spec])</f>
        <v>5</v>
      </c>
      <c r="X35" s="43">
        <f t="array" ref="X35">if(N35="","",IFERROR(_xlfn.xlookup(records_CAGass_2[ColonyCount]&amp;records_CAGass_2[AirSampler],feller[code],feller[Vc]),_xlfn.xlookup(9999&amp;records_CAGass_2[AirSampler],feller[code],feller[Vc])))</f>
        <v>0</v>
      </c>
      <c r="Y35" s="29" t="b">
        <v>0</v>
      </c>
      <c r="Z35" s="39" t="s">
        <v>280</v>
      </c>
      <c r="AA35" s="46"/>
      <c r="AB35" s="46" t="s">
        <v>561</v>
      </c>
      <c r="AC35" s="46"/>
      <c r="AD35" s="46"/>
      <c r="AE35" s="46"/>
      <c r="AF35" s="46"/>
      <c r="AG35" s="46"/>
      <c r="AH35" s="46"/>
      <c r="AI35" s="46"/>
    </row>
    <row r="36" ht="22.5" customHeight="1">
      <c r="A36" s="27">
        <v>45951.0</v>
      </c>
      <c r="B36" s="34" t="str">
        <f t="shared" si="1"/>
        <v>10-2025</v>
      </c>
      <c r="C36" s="34" t="s">
        <v>573</v>
      </c>
      <c r="D36" s="36" t="s">
        <v>191</v>
      </c>
      <c r="E36" s="36" t="s">
        <v>574</v>
      </c>
      <c r="F36" s="29" t="b">
        <v>1</v>
      </c>
      <c r="G36" s="34" t="s">
        <v>339</v>
      </c>
      <c r="H36" s="34" t="s">
        <v>575</v>
      </c>
      <c r="I36" s="34"/>
      <c r="J36" s="34"/>
      <c r="K36" s="34"/>
      <c r="L36" s="34"/>
      <c r="M36" s="48"/>
      <c r="N36" s="50">
        <v>0.0</v>
      </c>
      <c r="O36" s="39"/>
      <c r="P36" s="34"/>
      <c r="Q36" s="21" t="s">
        <v>203</v>
      </c>
      <c r="R36" s="39"/>
      <c r="S36" s="43"/>
      <c r="T36" s="54" t="str">
        <f t="array" ref="T36">_xlfn.XLOOKUP(records_CAGass_2[roomNo], dCAGass[Room no.], dCAGass[Room Name])</f>
        <v>BINDER PREPARATION</v>
      </c>
      <c r="U36" s="56" t="str">
        <f t="array" ref="U36">_xlfn.XLOOKUP(records_CAGass_2[roomNo], dCAGass[Room no.], dCAGass[Bld])</f>
        <v>Building 10</v>
      </c>
      <c r="V36" s="56" t="str">
        <f t="array" ref="V36">if(A36="","",_xlfn.XLOOKUP(records_CAGass_2[roomNo], dCAGass[Room no.], dCAGass[Floor]))</f>
        <v>Floor 3</v>
      </c>
      <c r="W36" s="43">
        <f t="array" ref="W36">_xlfn.XLOOKUP(records_CAGass_2[roomNo], dCAGass[Room no.], dCAGass[Spec])</f>
        <v>5</v>
      </c>
      <c r="X36" s="43">
        <f t="array" ref="X36">if(N36="","",IFERROR(_xlfn.xlookup(records_CAGass_2[ColonyCount]&amp;records_CAGass_2[AirSampler],feller[code],feller[Vc]),_xlfn.xlookup(9999&amp;records_CAGass_2[AirSampler],feller[code],feller[Vc])))</f>
        <v>0</v>
      </c>
      <c r="Y36" s="29" t="b">
        <v>0</v>
      </c>
      <c r="Z36" s="39" t="s">
        <v>280</v>
      </c>
      <c r="AA36" s="46"/>
      <c r="AB36" s="46" t="s">
        <v>566</v>
      </c>
      <c r="AC36" s="46"/>
      <c r="AD36" s="46"/>
      <c r="AE36" s="46"/>
      <c r="AF36" s="46"/>
      <c r="AG36" s="46"/>
      <c r="AH36" s="46"/>
      <c r="AI36" s="46"/>
    </row>
    <row r="37" ht="22.5" customHeight="1">
      <c r="A37" s="27">
        <v>45954.0</v>
      </c>
      <c r="B37" s="34" t="str">
        <f t="shared" si="1"/>
        <v>10-2025</v>
      </c>
      <c r="C37" s="34" t="s">
        <v>257</v>
      </c>
      <c r="D37" s="36" t="s">
        <v>191</v>
      </c>
      <c r="E37" s="36" t="s">
        <v>579</v>
      </c>
      <c r="F37" s="29" t="b">
        <v>1</v>
      </c>
      <c r="G37" s="34" t="s">
        <v>580</v>
      </c>
      <c r="H37" s="34" t="s">
        <v>580</v>
      </c>
      <c r="I37" s="34"/>
      <c r="J37" s="34"/>
      <c r="K37" s="34"/>
      <c r="L37" s="34"/>
      <c r="M37" s="48"/>
      <c r="N37" s="50">
        <v>0.0</v>
      </c>
      <c r="O37" s="39"/>
      <c r="P37" s="34"/>
      <c r="Q37" s="21" t="s">
        <v>203</v>
      </c>
      <c r="R37" s="39"/>
      <c r="S37" s="43"/>
      <c r="T37" s="54" t="str">
        <f t="array" ref="T37">_xlfn.XLOOKUP(records_CAGass_2[roomNo], dCAGass[Room no.], dCAGass[Room Name])</f>
        <v>WET GRANULATION 2 (LOW RH)</v>
      </c>
      <c r="U37" s="56" t="str">
        <f t="array" ref="U37">_xlfn.XLOOKUP(records_CAGass_2[roomNo], dCAGass[Room no.], dCAGass[Bld])</f>
        <v>Building 10</v>
      </c>
      <c r="V37" s="56" t="str">
        <f t="array" ref="V37">if(A37="","",_xlfn.XLOOKUP(records_CAGass_2[roomNo], dCAGass[Room no.], dCAGass[Floor]))</f>
        <v>Floor 3</v>
      </c>
      <c r="W37" s="43">
        <f t="array" ref="W37">_xlfn.XLOOKUP(records_CAGass_2[roomNo], dCAGass[Room no.], dCAGass[Spec])</f>
        <v>5</v>
      </c>
      <c r="X37" s="43">
        <f t="array" ref="X37">if(N37="","",IFERROR(_xlfn.xlookup(records_CAGass_2[ColonyCount]&amp;records_CAGass_2[AirSampler],feller[code],feller[Vc]),_xlfn.xlookup(9999&amp;records_CAGass_2[AirSampler],feller[code],feller[Vc])))</f>
        <v>0</v>
      </c>
      <c r="Y37" s="29" t="b">
        <v>0</v>
      </c>
      <c r="Z37" s="39" t="s">
        <v>280</v>
      </c>
      <c r="AA37" s="46"/>
      <c r="AB37" s="46" t="s">
        <v>574</v>
      </c>
      <c r="AC37" s="46"/>
      <c r="AD37" s="46"/>
      <c r="AE37" s="46"/>
      <c r="AF37" s="46"/>
      <c r="AG37" s="46"/>
      <c r="AH37" s="46"/>
      <c r="AI37" s="46"/>
    </row>
    <row r="38" ht="22.5" customHeight="1">
      <c r="A38" s="27">
        <v>45951.0</v>
      </c>
      <c r="B38" s="34" t="str">
        <f t="shared" si="1"/>
        <v>10-2025</v>
      </c>
      <c r="C38" s="34" t="s">
        <v>267</v>
      </c>
      <c r="D38" s="36" t="s">
        <v>191</v>
      </c>
      <c r="E38" s="36" t="s">
        <v>583</v>
      </c>
      <c r="F38" s="29" t="b">
        <v>1</v>
      </c>
      <c r="G38" s="34" t="s">
        <v>452</v>
      </c>
      <c r="H38" s="34" t="s">
        <v>584</v>
      </c>
      <c r="I38" s="34"/>
      <c r="J38" s="34"/>
      <c r="K38" s="34"/>
      <c r="L38" s="34"/>
      <c r="M38" s="48"/>
      <c r="N38" s="50">
        <v>0.0</v>
      </c>
      <c r="O38" s="39"/>
      <c r="P38" s="34"/>
      <c r="Q38" s="21" t="s">
        <v>203</v>
      </c>
      <c r="R38" s="39"/>
      <c r="S38" s="43"/>
      <c r="T38" s="54" t="str">
        <f t="array" ref="T38">_xlfn.XLOOKUP(records_CAGass_2[roomNo], dCAGass[Room no.], dCAGass[Room Name])</f>
        <v>COMPRESSION 1</v>
      </c>
      <c r="U38" s="56" t="str">
        <f t="array" ref="U38">_xlfn.XLOOKUP(records_CAGass_2[roomNo], dCAGass[Room no.], dCAGass[Bld])</f>
        <v>Building 10</v>
      </c>
      <c r="V38" s="56" t="str">
        <f t="array" ref="V38">if(A38="","",_xlfn.XLOOKUP(records_CAGass_2[roomNo], dCAGass[Room no.], dCAGass[Floor]))</f>
        <v>Floor 3</v>
      </c>
      <c r="W38" s="43">
        <f t="array" ref="W38">_xlfn.XLOOKUP(records_CAGass_2[roomNo], dCAGass[Room no.], dCAGass[Spec])</f>
        <v>5</v>
      </c>
      <c r="X38" s="43">
        <f t="array" ref="X38">if(N38="","",IFERROR(_xlfn.xlookup(records_CAGass_2[ColonyCount]&amp;records_CAGass_2[AirSampler],feller[code],feller[Vc]),_xlfn.xlookup(9999&amp;records_CAGass_2[AirSampler],feller[code],feller[Vc])))</f>
        <v>0</v>
      </c>
      <c r="Y38" s="29" t="b">
        <v>0</v>
      </c>
      <c r="Z38" s="39" t="s">
        <v>280</v>
      </c>
      <c r="AA38" s="46"/>
      <c r="AB38" s="46" t="s">
        <v>579</v>
      </c>
      <c r="AC38" s="46"/>
      <c r="AD38" s="46"/>
      <c r="AE38" s="46"/>
      <c r="AF38" s="46"/>
      <c r="AG38" s="46"/>
      <c r="AH38" s="46"/>
      <c r="AI38" s="46"/>
    </row>
    <row r="39" ht="22.5" customHeight="1">
      <c r="A39" s="27">
        <v>45951.0</v>
      </c>
      <c r="B39" s="34" t="str">
        <f t="shared" si="1"/>
        <v>10-2025</v>
      </c>
      <c r="C39" s="34" t="s">
        <v>270</v>
      </c>
      <c r="D39" s="36" t="s">
        <v>191</v>
      </c>
      <c r="E39" s="36" t="s">
        <v>586</v>
      </c>
      <c r="F39" s="29" t="b">
        <v>1</v>
      </c>
      <c r="G39" s="34" t="s">
        <v>587</v>
      </c>
      <c r="H39" s="34" t="s">
        <v>588</v>
      </c>
      <c r="I39" s="34"/>
      <c r="J39" s="34"/>
      <c r="K39" s="34"/>
      <c r="L39" s="34"/>
      <c r="M39" s="48"/>
      <c r="N39" s="50">
        <v>0.0</v>
      </c>
      <c r="O39" s="39"/>
      <c r="P39" s="34"/>
      <c r="Q39" s="21" t="s">
        <v>203</v>
      </c>
      <c r="R39" s="39"/>
      <c r="S39" s="43"/>
      <c r="T39" s="54" t="str">
        <f t="array" ref="T39">_xlfn.XLOOKUP(records_CAGass_2[roomNo], dCAGass[Room no.], dCAGass[Room Name])</f>
        <v>COMPRESSION 2</v>
      </c>
      <c r="U39" s="56" t="str">
        <f t="array" ref="U39">_xlfn.XLOOKUP(records_CAGass_2[roomNo], dCAGass[Room no.], dCAGass[Bld])</f>
        <v>Building 10</v>
      </c>
      <c r="V39" s="56" t="str">
        <f t="array" ref="V39">if(A39="","",_xlfn.XLOOKUP(records_CAGass_2[roomNo], dCAGass[Room no.], dCAGass[Floor]))</f>
        <v>Floor 3</v>
      </c>
      <c r="W39" s="43">
        <f t="array" ref="W39">_xlfn.XLOOKUP(records_CAGass_2[roomNo], dCAGass[Room no.], dCAGass[Spec])</f>
        <v>5</v>
      </c>
      <c r="X39" s="43">
        <f t="array" ref="X39">if(N39="","",IFERROR(_xlfn.xlookup(records_CAGass_2[ColonyCount]&amp;records_CAGass_2[AirSampler],feller[code],feller[Vc]),_xlfn.xlookup(9999&amp;records_CAGass_2[AirSampler],feller[code],feller[Vc])))</f>
        <v>0</v>
      </c>
      <c r="Y39" s="29" t="b">
        <v>0</v>
      </c>
      <c r="Z39" s="39" t="s">
        <v>280</v>
      </c>
      <c r="AA39" s="46"/>
      <c r="AB39" s="46" t="s">
        <v>583</v>
      </c>
      <c r="AC39" s="46"/>
      <c r="AD39" s="46"/>
      <c r="AE39" s="46"/>
      <c r="AF39" s="46"/>
      <c r="AG39" s="46"/>
      <c r="AH39" s="46"/>
      <c r="AI39" s="46"/>
    </row>
    <row r="40" ht="22.5" customHeight="1">
      <c r="A40" s="27">
        <v>45903.0</v>
      </c>
      <c r="B40" s="34" t="str">
        <f t="shared" si="1"/>
        <v>09-2025</v>
      </c>
      <c r="C40" s="34" t="s">
        <v>200</v>
      </c>
      <c r="D40" s="36" t="s">
        <v>191</v>
      </c>
      <c r="E40" s="36" t="s">
        <v>595</v>
      </c>
      <c r="F40" s="29" t="b">
        <v>1</v>
      </c>
      <c r="G40" s="34" t="s">
        <v>596</v>
      </c>
      <c r="H40" s="34" t="s">
        <v>597</v>
      </c>
      <c r="I40" s="34"/>
      <c r="J40" s="34"/>
      <c r="K40" s="34"/>
      <c r="L40" s="34"/>
      <c r="M40" s="48"/>
      <c r="N40" s="50">
        <v>0.0</v>
      </c>
      <c r="O40" s="39"/>
      <c r="P40" s="34"/>
      <c r="Q40" s="21" t="s">
        <v>203</v>
      </c>
      <c r="R40" s="39"/>
      <c r="S40" s="43"/>
      <c r="T40" s="54" t="str">
        <f t="array" ref="T40">_xlfn.XLOOKUP(records_CAGass_2[roomNo], dCAGass[Room no.], dCAGass[Room Name])</f>
        <v>COMPRESSION 3 (LOW RH)</v>
      </c>
      <c r="U40" s="56" t="str">
        <f t="array" ref="U40">_xlfn.XLOOKUP(records_CAGass_2[roomNo], dCAGass[Room no.], dCAGass[Bld])</f>
        <v>Building 10</v>
      </c>
      <c r="V40" s="56" t="str">
        <f t="array" ref="V40">if(A40="","",_xlfn.XLOOKUP(records_CAGass_2[roomNo], dCAGass[Room no.], dCAGass[Floor]))</f>
        <v>Floor 3</v>
      </c>
      <c r="W40" s="43">
        <f t="array" ref="W40">_xlfn.XLOOKUP(records_CAGass_2[roomNo], dCAGass[Room no.], dCAGass[Spec])</f>
        <v>5</v>
      </c>
      <c r="X40" s="43">
        <f t="array" ref="X40">if(N40="","",IFERROR(_xlfn.xlookup(records_CAGass_2[ColonyCount]&amp;records_CAGass_2[AirSampler],feller[code],feller[Vc]),_xlfn.xlookup(9999&amp;records_CAGass_2[AirSampler],feller[code],feller[Vc])))</f>
        <v>0</v>
      </c>
      <c r="Y40" s="29" t="b">
        <v>0</v>
      </c>
      <c r="Z40" s="39" t="s">
        <v>280</v>
      </c>
      <c r="AA40" s="46"/>
      <c r="AB40" s="46" t="s">
        <v>586</v>
      </c>
      <c r="AC40" s="46"/>
      <c r="AD40" s="46"/>
      <c r="AE40" s="46"/>
      <c r="AF40" s="46"/>
      <c r="AG40" s="46"/>
      <c r="AH40" s="46"/>
      <c r="AI40" s="46"/>
    </row>
    <row r="41" ht="22.5" customHeight="1">
      <c r="A41" s="27">
        <v>45903.0</v>
      </c>
      <c r="B41" s="34" t="str">
        <f t="shared" si="1"/>
        <v>09-2025</v>
      </c>
      <c r="C41" s="34" t="s">
        <v>205</v>
      </c>
      <c r="D41" s="36" t="s">
        <v>191</v>
      </c>
      <c r="E41" s="36" t="s">
        <v>604</v>
      </c>
      <c r="F41" s="29" t="b">
        <v>1</v>
      </c>
      <c r="G41" s="34" t="s">
        <v>596</v>
      </c>
      <c r="H41" s="34" t="s">
        <v>605</v>
      </c>
      <c r="I41" s="34"/>
      <c r="J41" s="34"/>
      <c r="K41" s="34"/>
      <c r="L41" s="34"/>
      <c r="M41" s="48"/>
      <c r="N41" s="50">
        <v>0.0</v>
      </c>
      <c r="O41" s="39"/>
      <c r="P41" s="34"/>
      <c r="Q41" s="21" t="s">
        <v>203</v>
      </c>
      <c r="R41" s="39"/>
      <c r="S41" s="43"/>
      <c r="T41" s="54" t="str">
        <f t="array" ref="T41">_xlfn.XLOOKUP(records_CAGass_2[roomNo], dCAGass[Room no.], dCAGass[Room Name])</f>
        <v>COMPRESSION 4</v>
      </c>
      <c r="U41" s="56" t="str">
        <f t="array" ref="U41">_xlfn.XLOOKUP(records_CAGass_2[roomNo], dCAGass[Room no.], dCAGass[Bld])</f>
        <v>Building 10</v>
      </c>
      <c r="V41" s="56" t="str">
        <f t="array" ref="V41">if(A41="","",_xlfn.XLOOKUP(records_CAGass_2[roomNo], dCAGass[Room no.], dCAGass[Floor]))</f>
        <v>Floor 3</v>
      </c>
      <c r="W41" s="43">
        <f t="array" ref="W41">_xlfn.XLOOKUP(records_CAGass_2[roomNo], dCAGass[Room no.], dCAGass[Spec])</f>
        <v>5</v>
      </c>
      <c r="X41" s="43">
        <f t="array" ref="X41">if(N41="","",IFERROR(_xlfn.xlookup(records_CAGass_2[ColonyCount]&amp;records_CAGass_2[AirSampler],feller[code],feller[Vc]),_xlfn.xlookup(9999&amp;records_CAGass_2[AirSampler],feller[code],feller[Vc])))</f>
        <v>0</v>
      </c>
      <c r="Y41" s="29" t="b">
        <v>0</v>
      </c>
      <c r="Z41" s="39" t="s">
        <v>280</v>
      </c>
      <c r="AA41" s="46"/>
      <c r="AB41" s="46" t="s">
        <v>595</v>
      </c>
      <c r="AC41" s="46"/>
      <c r="AD41" s="46"/>
      <c r="AE41" s="46"/>
      <c r="AF41" s="46"/>
      <c r="AG41" s="46"/>
      <c r="AH41" s="46"/>
      <c r="AI41" s="46"/>
    </row>
    <row r="42" ht="22.5" customHeight="1">
      <c r="A42" s="27">
        <v>45951.0</v>
      </c>
      <c r="B42" s="34" t="str">
        <f t="shared" si="1"/>
        <v>10-2025</v>
      </c>
      <c r="C42" s="34" t="s">
        <v>609</v>
      </c>
      <c r="D42" s="36" t="s">
        <v>191</v>
      </c>
      <c r="E42" s="36" t="s">
        <v>611</v>
      </c>
      <c r="F42" s="29" t="b">
        <v>1</v>
      </c>
      <c r="G42" s="34" t="s">
        <v>310</v>
      </c>
      <c r="H42" s="34" t="s">
        <v>612</v>
      </c>
      <c r="I42" s="34"/>
      <c r="J42" s="34"/>
      <c r="K42" s="34"/>
      <c r="L42" s="34"/>
      <c r="M42" s="48"/>
      <c r="N42" s="50">
        <v>0.0</v>
      </c>
      <c r="O42" s="39"/>
      <c r="P42" s="34"/>
      <c r="Q42" s="21" t="s">
        <v>203</v>
      </c>
      <c r="R42" s="39"/>
      <c r="S42" s="43"/>
      <c r="T42" s="54" t="str">
        <f t="array" ref="T42">_xlfn.XLOOKUP(records_CAGass_2[roomNo], dCAGass[Room no.], dCAGass[Room Name])</f>
        <v>COMPRESSION 5</v>
      </c>
      <c r="U42" s="56" t="str">
        <f t="array" ref="U42">_xlfn.XLOOKUP(records_CAGass_2[roomNo], dCAGass[Room no.], dCAGass[Bld])</f>
        <v>Building 10</v>
      </c>
      <c r="V42" s="56" t="str">
        <f t="array" ref="V42">if(A42="","",_xlfn.XLOOKUP(records_CAGass_2[roomNo], dCAGass[Room no.], dCAGass[Floor]))</f>
        <v>Floor 3</v>
      </c>
      <c r="W42" s="43">
        <f t="array" ref="W42">_xlfn.XLOOKUP(records_CAGass_2[roomNo], dCAGass[Room no.], dCAGass[Spec])</f>
        <v>5</v>
      </c>
      <c r="X42" s="43">
        <f t="array" ref="X42">if(N42="","",IFERROR(_xlfn.xlookup(records_CAGass_2[ColonyCount]&amp;records_CAGass_2[AirSampler],feller[code],feller[Vc]),_xlfn.xlookup(9999&amp;records_CAGass_2[AirSampler],feller[code],feller[Vc])))</f>
        <v>0</v>
      </c>
      <c r="Y42" s="29" t="b">
        <v>0</v>
      </c>
      <c r="Z42" s="39" t="s">
        <v>280</v>
      </c>
      <c r="AA42" s="46"/>
      <c r="AB42" s="46" t="s">
        <v>604</v>
      </c>
      <c r="AC42" s="46"/>
      <c r="AD42" s="46"/>
      <c r="AE42" s="46"/>
      <c r="AF42" s="46"/>
      <c r="AG42" s="46"/>
      <c r="AH42" s="46"/>
      <c r="AI42" s="46"/>
    </row>
    <row r="43" ht="22.5" customHeight="1">
      <c r="A43" s="27">
        <v>45903.0</v>
      </c>
      <c r="B43" s="34" t="str">
        <f t="shared" si="1"/>
        <v>09-2025</v>
      </c>
      <c r="C43" s="34" t="s">
        <v>212</v>
      </c>
      <c r="D43" s="36" t="s">
        <v>191</v>
      </c>
      <c r="E43" s="36" t="s">
        <v>619</v>
      </c>
      <c r="F43" s="29" t="b">
        <v>1</v>
      </c>
      <c r="G43" s="34" t="s">
        <v>580</v>
      </c>
      <c r="H43" s="34" t="s">
        <v>580</v>
      </c>
      <c r="I43" s="34"/>
      <c r="J43" s="34"/>
      <c r="K43" s="34"/>
      <c r="L43" s="34"/>
      <c r="M43" s="48"/>
      <c r="N43" s="50">
        <v>0.0</v>
      </c>
      <c r="O43" s="39"/>
      <c r="P43" s="34"/>
      <c r="Q43" s="21" t="s">
        <v>203</v>
      </c>
      <c r="R43" s="39"/>
      <c r="S43" s="43"/>
      <c r="T43" s="54" t="str">
        <f t="array" ref="T43">_xlfn.XLOOKUP(records_CAGass_2[roomNo], dCAGass[Room no.], dCAGass[Room Name])</f>
        <v>COMPRESSION 6</v>
      </c>
      <c r="U43" s="56" t="str">
        <f t="array" ref="U43">_xlfn.XLOOKUP(records_CAGass_2[roomNo], dCAGass[Room no.], dCAGass[Bld])</f>
        <v>Building 10</v>
      </c>
      <c r="V43" s="56" t="str">
        <f t="array" ref="V43">if(A43="","",_xlfn.XLOOKUP(records_CAGass_2[roomNo], dCAGass[Room no.], dCAGass[Floor]))</f>
        <v>Floor 3</v>
      </c>
      <c r="W43" s="43">
        <f t="array" ref="W43">_xlfn.XLOOKUP(records_CAGass_2[roomNo], dCAGass[Room no.], dCAGass[Spec])</f>
        <v>5</v>
      </c>
      <c r="X43" s="43">
        <f t="array" ref="X43">if(N43="","",IFERROR(_xlfn.xlookup(records_CAGass_2[ColonyCount]&amp;records_CAGass_2[AirSampler],feller[code],feller[Vc]),_xlfn.xlookup(9999&amp;records_CAGass_2[AirSampler],feller[code],feller[Vc])))</f>
        <v>0</v>
      </c>
      <c r="Y43" s="29" t="b">
        <v>0</v>
      </c>
      <c r="Z43" s="39" t="s">
        <v>280</v>
      </c>
      <c r="AA43" s="46"/>
      <c r="AB43" s="46" t="s">
        <v>611</v>
      </c>
      <c r="AC43" s="46"/>
      <c r="AD43" s="46"/>
      <c r="AE43" s="46"/>
      <c r="AF43" s="46"/>
      <c r="AG43" s="46"/>
      <c r="AH43" s="46"/>
      <c r="AI43" s="46"/>
    </row>
    <row r="44" ht="22.5" customHeight="1">
      <c r="A44" s="27">
        <v>45903.0</v>
      </c>
      <c r="B44" s="34" t="str">
        <f t="shared" si="1"/>
        <v>09-2025</v>
      </c>
      <c r="C44" s="34" t="s">
        <v>217</v>
      </c>
      <c r="D44" s="36" t="s">
        <v>191</v>
      </c>
      <c r="E44" s="36" t="s">
        <v>623</v>
      </c>
      <c r="F44" s="29" t="b">
        <v>1</v>
      </c>
      <c r="G44" s="34" t="s">
        <v>452</v>
      </c>
      <c r="H44" s="34" t="s">
        <v>624</v>
      </c>
      <c r="I44" s="34"/>
      <c r="J44" s="34"/>
      <c r="K44" s="34"/>
      <c r="L44" s="34"/>
      <c r="M44" s="48"/>
      <c r="N44" s="50">
        <v>0.0</v>
      </c>
      <c r="O44" s="39"/>
      <c r="P44" s="34"/>
      <c r="Q44" s="21" t="s">
        <v>203</v>
      </c>
      <c r="R44" s="39"/>
      <c r="S44" s="43"/>
      <c r="T44" s="54" t="str">
        <f t="array" ref="T44">_xlfn.XLOOKUP(records_CAGass_2[roomNo], dCAGass[Room no.], dCAGass[Room Name])</f>
        <v>COMPRESSION 7</v>
      </c>
      <c r="U44" s="56" t="str">
        <f t="array" ref="U44">_xlfn.XLOOKUP(records_CAGass_2[roomNo], dCAGass[Room no.], dCAGass[Bld])</f>
        <v>Building 10</v>
      </c>
      <c r="V44" s="56" t="str">
        <f t="array" ref="V44">if(A44="","",_xlfn.XLOOKUP(records_CAGass_2[roomNo], dCAGass[Room no.], dCAGass[Floor]))</f>
        <v>Floor 3</v>
      </c>
      <c r="W44" s="43">
        <f t="array" ref="W44">_xlfn.XLOOKUP(records_CAGass_2[roomNo], dCAGass[Room no.], dCAGass[Spec])</f>
        <v>5</v>
      </c>
      <c r="X44" s="43">
        <f t="array" ref="X44">if(N44="","",IFERROR(_xlfn.xlookup(records_CAGass_2[ColonyCount]&amp;records_CAGass_2[AirSampler],feller[code],feller[Vc]),_xlfn.xlookup(9999&amp;records_CAGass_2[AirSampler],feller[code],feller[Vc])))</f>
        <v>0</v>
      </c>
      <c r="Y44" s="29" t="b">
        <v>0</v>
      </c>
      <c r="Z44" s="39" t="s">
        <v>280</v>
      </c>
      <c r="AA44" s="46"/>
      <c r="AB44" s="46" t="s">
        <v>619</v>
      </c>
      <c r="AC44" s="46"/>
      <c r="AD44" s="46"/>
      <c r="AE44" s="46"/>
      <c r="AF44" s="46"/>
      <c r="AG44" s="46"/>
      <c r="AH44" s="46"/>
      <c r="AI44" s="46"/>
    </row>
    <row r="45" ht="22.5" customHeight="1">
      <c r="A45" s="27">
        <v>45903.0</v>
      </c>
      <c r="B45" s="34" t="str">
        <f t="shared" si="1"/>
        <v>09-2025</v>
      </c>
      <c r="C45" s="34" t="s">
        <v>222</v>
      </c>
      <c r="D45" s="36" t="s">
        <v>191</v>
      </c>
      <c r="E45" s="36" t="s">
        <v>627</v>
      </c>
      <c r="F45" s="29" t="b">
        <v>1</v>
      </c>
      <c r="G45" s="34" t="s">
        <v>458</v>
      </c>
      <c r="H45" s="34" t="s">
        <v>628</v>
      </c>
      <c r="I45" s="34"/>
      <c r="J45" s="34"/>
      <c r="K45" s="34"/>
      <c r="L45" s="34"/>
      <c r="M45" s="48"/>
      <c r="N45" s="50">
        <v>0.0</v>
      </c>
      <c r="O45" s="39"/>
      <c r="P45" s="34"/>
      <c r="Q45" s="21" t="s">
        <v>203</v>
      </c>
      <c r="R45" s="39"/>
      <c r="S45" s="43"/>
      <c r="T45" s="54" t="str">
        <f t="array" ref="T45">_xlfn.XLOOKUP(records_CAGass_2[roomNo], dCAGass[Room no.], dCAGass[Room Name])</f>
        <v>COMPRESSION 8</v>
      </c>
      <c r="U45" s="56" t="str">
        <f t="array" ref="U45">_xlfn.XLOOKUP(records_CAGass_2[roomNo], dCAGass[Room no.], dCAGass[Bld])</f>
        <v>Building 10</v>
      </c>
      <c r="V45" s="56" t="str">
        <f t="array" ref="V45">if(A45="","",_xlfn.XLOOKUP(records_CAGass_2[roomNo], dCAGass[Room no.], dCAGass[Floor]))</f>
        <v>Floor 3</v>
      </c>
      <c r="W45" s="43">
        <f t="array" ref="W45">_xlfn.XLOOKUP(records_CAGass_2[roomNo], dCAGass[Room no.], dCAGass[Spec])</f>
        <v>5</v>
      </c>
      <c r="X45" s="43">
        <f t="array" ref="X45">if(N45="","",IFERROR(_xlfn.xlookup(records_CAGass_2[ColonyCount]&amp;records_CAGass_2[AirSampler],feller[code],feller[Vc]),_xlfn.xlookup(9999&amp;records_CAGass_2[AirSampler],feller[code],feller[Vc])))</f>
        <v>0</v>
      </c>
      <c r="Y45" s="29" t="b">
        <v>0</v>
      </c>
      <c r="Z45" s="39" t="s">
        <v>280</v>
      </c>
      <c r="AA45" s="46"/>
      <c r="AB45" s="46" t="s">
        <v>623</v>
      </c>
      <c r="AC45" s="46"/>
      <c r="AD45" s="46"/>
      <c r="AE45" s="46"/>
      <c r="AF45" s="46"/>
      <c r="AG45" s="46"/>
      <c r="AH45" s="46"/>
      <c r="AI45" s="46"/>
    </row>
    <row r="46" ht="22.5" customHeight="1">
      <c r="A46" s="27">
        <v>45954.0</v>
      </c>
      <c r="B46" s="34" t="str">
        <f t="shared" si="1"/>
        <v>10-2025</v>
      </c>
      <c r="C46" s="34" t="s">
        <v>168</v>
      </c>
      <c r="D46" s="36" t="s">
        <v>191</v>
      </c>
      <c r="E46" s="36" t="s">
        <v>630</v>
      </c>
      <c r="F46" s="29" t="b">
        <v>1</v>
      </c>
      <c r="G46" s="34" t="s">
        <v>458</v>
      </c>
      <c r="H46" s="34" t="s">
        <v>631</v>
      </c>
      <c r="I46" s="34"/>
      <c r="J46" s="34"/>
      <c r="K46" s="34"/>
      <c r="L46" s="34"/>
      <c r="M46" s="48"/>
      <c r="N46" s="50">
        <v>0.0</v>
      </c>
      <c r="O46" s="39"/>
      <c r="P46" s="34"/>
      <c r="Q46" s="21" t="s">
        <v>203</v>
      </c>
      <c r="R46" s="39"/>
      <c r="S46" s="43"/>
      <c r="T46" s="54" t="str">
        <f t="array" ref="T46">_xlfn.XLOOKUP(records_CAGass_2[roomNo], dCAGass[Room no.], dCAGass[Room Name])</f>
        <v>TABLET INSPECTION-P (LOW RH)</v>
      </c>
      <c r="U46" s="56" t="str">
        <f t="array" ref="U46">_xlfn.XLOOKUP(records_CAGass_2[roomNo], dCAGass[Room no.], dCAGass[Bld])</f>
        <v>Building 10</v>
      </c>
      <c r="V46" s="56" t="str">
        <f t="array" ref="V46">if(A46="","",_xlfn.XLOOKUP(records_CAGass_2[roomNo], dCAGass[Room no.], dCAGass[Floor]))</f>
        <v>Floor 3</v>
      </c>
      <c r="W46" s="43">
        <f t="array" ref="W46">_xlfn.XLOOKUP(records_CAGass_2[roomNo], dCAGass[Room no.], dCAGass[Spec])</f>
        <v>5</v>
      </c>
      <c r="X46" s="43">
        <f t="array" ref="X46">if(N46="","",IFERROR(_xlfn.xlookup(records_CAGass_2[ColonyCount]&amp;records_CAGass_2[AirSampler],feller[code],feller[Vc]),_xlfn.xlookup(9999&amp;records_CAGass_2[AirSampler],feller[code],feller[Vc])))</f>
        <v>0</v>
      </c>
      <c r="Y46" s="29" t="b">
        <v>0</v>
      </c>
      <c r="Z46" s="39" t="s">
        <v>280</v>
      </c>
      <c r="AA46" s="46"/>
      <c r="AB46" s="46" t="s">
        <v>627</v>
      </c>
      <c r="AC46" s="46"/>
      <c r="AD46" s="46"/>
      <c r="AE46" s="46"/>
      <c r="AF46" s="46"/>
      <c r="AG46" s="46"/>
      <c r="AH46" s="46"/>
      <c r="AI46" s="46"/>
    </row>
    <row r="47" ht="22.5" customHeight="1">
      <c r="A47" s="27">
        <v>45999.0</v>
      </c>
      <c r="B47" s="34" t="str">
        <f t="shared" si="1"/>
        <v>12-2025</v>
      </c>
      <c r="C47" s="34" t="s">
        <v>226</v>
      </c>
      <c r="D47" s="36" t="s">
        <v>191</v>
      </c>
      <c r="E47" s="36" t="s">
        <v>637</v>
      </c>
      <c r="F47" s="29" t="b">
        <v>1</v>
      </c>
      <c r="G47" s="34" t="s">
        <v>638</v>
      </c>
      <c r="H47" s="34" t="s">
        <v>639</v>
      </c>
      <c r="I47" s="34"/>
      <c r="J47" s="34"/>
      <c r="K47" s="34"/>
      <c r="L47" s="34"/>
      <c r="M47" s="48"/>
      <c r="N47" s="50">
        <v>0.0</v>
      </c>
      <c r="O47" s="39"/>
      <c r="P47" s="34"/>
      <c r="Q47" s="21" t="s">
        <v>203</v>
      </c>
      <c r="R47" s="39"/>
      <c r="S47" s="43"/>
      <c r="T47" s="54" t="str">
        <f t="array" ref="T47">_xlfn.XLOOKUP(records_CAGass_2[roomNo], dCAGass[Room no.], dCAGass[Room Name])</f>
        <v>COATING SOLUTION PREPARATION-P</v>
      </c>
      <c r="U47" s="56" t="str">
        <f t="array" ref="U47">_xlfn.XLOOKUP(records_CAGass_2[roomNo], dCAGass[Room no.], dCAGass[Bld])</f>
        <v>Building 10</v>
      </c>
      <c r="V47" s="56" t="str">
        <f t="array" ref="V47">if(A47="","",_xlfn.XLOOKUP(records_CAGass_2[roomNo], dCAGass[Room no.], dCAGass[Floor]))</f>
        <v>Floor 3</v>
      </c>
      <c r="W47" s="43">
        <f t="array" ref="W47">_xlfn.XLOOKUP(records_CAGass_2[roomNo], dCAGass[Room no.], dCAGass[Spec])</f>
        <v>5</v>
      </c>
      <c r="X47" s="43">
        <f t="array" ref="X47">if(N47="","",IFERROR(_xlfn.xlookup(records_CAGass_2[ColonyCount]&amp;records_CAGass_2[AirSampler],feller[code],feller[Vc]),_xlfn.xlookup(9999&amp;records_CAGass_2[AirSampler],feller[code],feller[Vc])))</f>
        <v>0</v>
      </c>
      <c r="Y47" s="29" t="b">
        <v>0</v>
      </c>
      <c r="Z47" s="39" t="s">
        <v>280</v>
      </c>
      <c r="AA47" s="46"/>
      <c r="AB47" s="46" t="s">
        <v>630</v>
      </c>
      <c r="AC47" s="46"/>
      <c r="AD47" s="46"/>
      <c r="AE47" s="46"/>
      <c r="AF47" s="46"/>
      <c r="AG47" s="46"/>
      <c r="AH47" s="46"/>
      <c r="AI47" s="46"/>
    </row>
    <row r="48" ht="22.5" customHeight="1">
      <c r="A48" s="27">
        <v>45999.0</v>
      </c>
      <c r="B48" s="34" t="str">
        <f t="shared" si="1"/>
        <v>12-2025</v>
      </c>
      <c r="C48" s="34" t="s">
        <v>643</v>
      </c>
      <c r="D48" s="36" t="s">
        <v>191</v>
      </c>
      <c r="E48" s="36" t="s">
        <v>644</v>
      </c>
      <c r="F48" s="29" t="b">
        <v>1</v>
      </c>
      <c r="G48" s="34" t="s">
        <v>645</v>
      </c>
      <c r="H48" s="34" t="s">
        <v>646</v>
      </c>
      <c r="I48" s="34"/>
      <c r="J48" s="34"/>
      <c r="K48" s="34"/>
      <c r="L48" s="34"/>
      <c r="M48" s="48"/>
      <c r="N48" s="50">
        <v>0.0</v>
      </c>
      <c r="O48" s="39"/>
      <c r="P48" s="34"/>
      <c r="Q48" s="21" t="s">
        <v>203</v>
      </c>
      <c r="R48" s="39"/>
      <c r="S48" s="43"/>
      <c r="T48" s="54" t="str">
        <f t="array" ref="T48">_xlfn.XLOOKUP(records_CAGass_2[roomNo], dCAGass[Room no.], dCAGass[Room Name])</f>
        <v>COATING-P</v>
      </c>
      <c r="U48" s="56" t="str">
        <f t="array" ref="U48">_xlfn.XLOOKUP(records_CAGass_2[roomNo], dCAGass[Room no.], dCAGass[Bld])</f>
        <v>Building 10</v>
      </c>
      <c r="V48" s="56" t="str">
        <f t="array" ref="V48">if(A48="","",_xlfn.XLOOKUP(records_CAGass_2[roomNo], dCAGass[Room no.], dCAGass[Floor]))</f>
        <v>Floor 3</v>
      </c>
      <c r="W48" s="43">
        <f t="array" ref="W48">_xlfn.XLOOKUP(records_CAGass_2[roomNo], dCAGass[Room no.], dCAGass[Spec])</f>
        <v>5</v>
      </c>
      <c r="X48" s="43">
        <f t="array" ref="X48">if(N48="","",IFERROR(_xlfn.xlookup(records_CAGass_2[ColonyCount]&amp;records_CAGass_2[AirSampler],feller[code],feller[Vc]),_xlfn.xlookup(9999&amp;records_CAGass_2[AirSampler],feller[code],feller[Vc])))</f>
        <v>0</v>
      </c>
      <c r="Y48" s="29" t="b">
        <v>0</v>
      </c>
      <c r="Z48" s="39" t="s">
        <v>280</v>
      </c>
      <c r="AA48" s="46"/>
      <c r="AB48" s="46" t="s">
        <v>637</v>
      </c>
      <c r="AC48" s="46"/>
      <c r="AD48" s="46"/>
      <c r="AE48" s="46"/>
      <c r="AF48" s="46"/>
      <c r="AG48" s="46"/>
      <c r="AH48" s="46"/>
      <c r="AI48" s="46"/>
    </row>
    <row r="49" ht="22.5" customHeight="1">
      <c r="A49" s="27">
        <v>45954.0</v>
      </c>
      <c r="B49" s="34" t="str">
        <f t="shared" si="1"/>
        <v>10-2025</v>
      </c>
      <c r="C49" s="34" t="s">
        <v>177</v>
      </c>
      <c r="D49" s="36" t="s">
        <v>191</v>
      </c>
      <c r="E49" s="36" t="s">
        <v>651</v>
      </c>
      <c r="F49" s="29" t="b">
        <v>1</v>
      </c>
      <c r="G49" s="34" t="s">
        <v>652</v>
      </c>
      <c r="H49" s="34" t="s">
        <v>654</v>
      </c>
      <c r="I49" s="34"/>
      <c r="J49" s="34"/>
      <c r="K49" s="34"/>
      <c r="L49" s="34"/>
      <c r="M49" s="48"/>
      <c r="N49" s="50">
        <v>0.0</v>
      </c>
      <c r="O49" s="39"/>
      <c r="P49" s="34"/>
      <c r="Q49" s="21" t="s">
        <v>203</v>
      </c>
      <c r="R49" s="39"/>
      <c r="S49" s="43"/>
      <c r="T49" s="54" t="str">
        <f t="array" ref="T49">_xlfn.XLOOKUP(records_CAGass_2[roomNo], dCAGass[Room no.], dCAGass[Room Name])</f>
        <v>COMPRESSION 1-P (LOW RH)</v>
      </c>
      <c r="U49" s="56" t="str">
        <f t="array" ref="U49">_xlfn.XLOOKUP(records_CAGass_2[roomNo], dCAGass[Room no.], dCAGass[Bld])</f>
        <v>Building 10</v>
      </c>
      <c r="V49" s="56" t="str">
        <f t="array" ref="V49">if(A49="","",_xlfn.XLOOKUP(records_CAGass_2[roomNo], dCAGass[Room no.], dCAGass[Floor]))</f>
        <v>Floor 3</v>
      </c>
      <c r="W49" s="43">
        <f t="array" ref="W49">_xlfn.XLOOKUP(records_CAGass_2[roomNo], dCAGass[Room no.], dCAGass[Spec])</f>
        <v>5</v>
      </c>
      <c r="X49" s="43">
        <f t="array" ref="X49">if(N49="","",IFERROR(_xlfn.xlookup(records_CAGass_2[ColonyCount]&amp;records_CAGass_2[AirSampler],feller[code],feller[Vc]),_xlfn.xlookup(9999&amp;records_CAGass_2[AirSampler],feller[code],feller[Vc])))</f>
        <v>0</v>
      </c>
      <c r="Y49" s="29" t="b">
        <v>0</v>
      </c>
      <c r="Z49" s="39" t="s">
        <v>280</v>
      </c>
      <c r="AA49" s="46"/>
      <c r="AB49" s="46" t="s">
        <v>644</v>
      </c>
      <c r="AC49" s="46"/>
      <c r="AD49" s="46"/>
      <c r="AE49" s="46"/>
      <c r="AF49" s="46"/>
      <c r="AG49" s="46"/>
      <c r="AH49" s="46"/>
      <c r="AI49" s="46"/>
    </row>
    <row r="50" ht="22.5" customHeight="1">
      <c r="A50" s="27">
        <v>45960.0</v>
      </c>
      <c r="B50" s="34" t="str">
        <f t="shared" si="1"/>
        <v>10-2025</v>
      </c>
      <c r="C50" s="34" t="s">
        <v>660</v>
      </c>
      <c r="D50" s="36" t="s">
        <v>191</v>
      </c>
      <c r="E50" s="36" t="s">
        <v>606</v>
      </c>
      <c r="F50" s="29" t="b">
        <v>1</v>
      </c>
      <c r="G50" s="34" t="s">
        <v>381</v>
      </c>
      <c r="H50" s="34" t="s">
        <v>661</v>
      </c>
      <c r="I50" s="34"/>
      <c r="J50" s="34"/>
      <c r="K50" s="34"/>
      <c r="L50" s="34"/>
      <c r="M50" s="48"/>
      <c r="N50" s="50">
        <v>0.0</v>
      </c>
      <c r="O50" s="39"/>
      <c r="P50" s="34"/>
      <c r="Q50" s="21" t="s">
        <v>203</v>
      </c>
      <c r="R50" s="39"/>
      <c r="S50" s="43"/>
      <c r="T50" s="54" t="str">
        <f t="array" ref="T50">_xlfn.XLOOKUP(records_CAGass_2[roomNo], dCAGass[Room no.], dCAGass[Room Name])</f>
        <v>BOTTLE FILLING (LOW RH)</v>
      </c>
      <c r="U50" s="56" t="str">
        <f t="array" ref="U50">_xlfn.XLOOKUP(records_CAGass_2[roomNo], dCAGass[Room no.], dCAGass[Bld])</f>
        <v>Building 10</v>
      </c>
      <c r="V50" s="56" t="str">
        <f t="array" ref="V50">if(A50="","",_xlfn.XLOOKUP(records_CAGass_2[roomNo], dCAGass[Room no.], dCAGass[Floor]))</f>
        <v>Floor 1</v>
      </c>
      <c r="W50" s="43">
        <f t="array" ref="W50">_xlfn.XLOOKUP(records_CAGass_2[roomNo], dCAGass[Room no.], dCAGass[Spec])</f>
        <v>5</v>
      </c>
      <c r="X50" s="43">
        <f t="array" ref="X50">if(N50="","",IFERROR(_xlfn.xlookup(records_CAGass_2[ColonyCount]&amp;records_CAGass_2[AirSampler],feller[code],feller[Vc]),_xlfn.xlookup(9999&amp;records_CAGass_2[AirSampler],feller[code],feller[Vc])))</f>
        <v>0</v>
      </c>
      <c r="Y50" s="29" t="b">
        <v>0</v>
      </c>
      <c r="Z50" s="39" t="s">
        <v>280</v>
      </c>
      <c r="AA50" s="46"/>
      <c r="AB50" s="46" t="s">
        <v>651</v>
      </c>
      <c r="AC50" s="46"/>
      <c r="AD50" s="46"/>
      <c r="AE50" s="46"/>
      <c r="AF50" s="46"/>
      <c r="AG50" s="46"/>
      <c r="AH50" s="46"/>
      <c r="AI50" s="46"/>
    </row>
    <row r="51" ht="22.5" customHeight="1">
      <c r="A51" s="27">
        <v>45954.0</v>
      </c>
      <c r="B51" s="34" t="str">
        <f t="shared" si="1"/>
        <v>10-2025</v>
      </c>
      <c r="C51" s="34" t="s">
        <v>183</v>
      </c>
      <c r="D51" s="36" t="s">
        <v>191</v>
      </c>
      <c r="E51" s="36" t="s">
        <v>666</v>
      </c>
      <c r="F51" s="29" t="b">
        <v>1</v>
      </c>
      <c r="G51" s="34" t="s">
        <v>317</v>
      </c>
      <c r="H51" s="34" t="s">
        <v>667</v>
      </c>
      <c r="I51" s="34"/>
      <c r="J51" s="34"/>
      <c r="K51" s="34"/>
      <c r="L51" s="34"/>
      <c r="M51" s="48"/>
      <c r="N51" s="50">
        <v>0.0</v>
      </c>
      <c r="O51" s="39"/>
      <c r="P51" s="34"/>
      <c r="Q51" s="21" t="s">
        <v>203</v>
      </c>
      <c r="R51" s="39"/>
      <c r="S51" s="43"/>
      <c r="T51" s="54" t="str">
        <f t="array" ref="T51">_xlfn.XLOOKUP(records_CAGass_2[roomNo], dCAGass[Room no.], dCAGass[Room Name])</f>
        <v>COMPRESSION 2-P</v>
      </c>
      <c r="U51" s="56" t="str">
        <f t="array" ref="U51">_xlfn.XLOOKUP(records_CAGass_2[roomNo], dCAGass[Room no.], dCAGass[Bld])</f>
        <v>Building 10</v>
      </c>
      <c r="V51" s="56" t="str">
        <f t="array" ref="V51">if(A51="","",_xlfn.XLOOKUP(records_CAGass_2[roomNo], dCAGass[Room no.], dCAGass[Floor]))</f>
        <v>Floor 3</v>
      </c>
      <c r="W51" s="43">
        <f t="array" ref="W51">_xlfn.XLOOKUP(records_CAGass_2[roomNo], dCAGass[Room no.], dCAGass[Spec])</f>
        <v>5</v>
      </c>
      <c r="X51" s="43">
        <f t="array" ref="X51">if(N51="","",IFERROR(_xlfn.xlookup(records_CAGass_2[ColonyCount]&amp;records_CAGass_2[AirSampler],feller[code],feller[Vc]),_xlfn.xlookup(9999&amp;records_CAGass_2[AirSampler],feller[code],feller[Vc])))</f>
        <v>0</v>
      </c>
      <c r="Y51" s="29" t="b">
        <v>0</v>
      </c>
      <c r="Z51" s="39" t="s">
        <v>280</v>
      </c>
      <c r="AA51" s="46"/>
      <c r="AB51" s="46" t="s">
        <v>606</v>
      </c>
      <c r="AC51" s="46"/>
      <c r="AD51" s="46"/>
      <c r="AE51" s="46"/>
      <c r="AF51" s="46"/>
      <c r="AG51" s="46"/>
      <c r="AH51" s="46"/>
      <c r="AI51" s="46"/>
    </row>
    <row r="52" ht="22.5" customHeight="1">
      <c r="A52" s="27">
        <v>45954.0</v>
      </c>
      <c r="B52" s="34" t="str">
        <f t="shared" si="1"/>
        <v>10-2025</v>
      </c>
      <c r="C52" s="34" t="s">
        <v>231</v>
      </c>
      <c r="D52" s="36" t="s">
        <v>191</v>
      </c>
      <c r="E52" s="36" t="s">
        <v>670</v>
      </c>
      <c r="F52" s="29" t="b">
        <v>1</v>
      </c>
      <c r="G52" s="34" t="s">
        <v>671</v>
      </c>
      <c r="H52" s="34" t="s">
        <v>672</v>
      </c>
      <c r="I52" s="34"/>
      <c r="J52" s="34"/>
      <c r="K52" s="34"/>
      <c r="L52" s="34"/>
      <c r="M52" s="48"/>
      <c r="N52" s="50">
        <v>0.0</v>
      </c>
      <c r="O52" s="39"/>
      <c r="P52" s="34"/>
      <c r="Q52" s="21" t="s">
        <v>203</v>
      </c>
      <c r="R52" s="39"/>
      <c r="S52" s="43"/>
      <c r="T52" s="54" t="str">
        <f t="array" ref="T52">_xlfn.XLOOKUP(records_CAGass_2[roomNo], dCAGass[Room no.], dCAGass[Room Name])</f>
        <v>BINDER PREPARATION-P</v>
      </c>
      <c r="U52" s="56" t="str">
        <f t="array" ref="U52">_xlfn.XLOOKUP(records_CAGass_2[roomNo], dCAGass[Room no.], dCAGass[Bld])</f>
        <v>Building 10</v>
      </c>
      <c r="V52" s="56" t="str">
        <f t="array" ref="V52">if(A52="","",_xlfn.XLOOKUP(records_CAGass_2[roomNo], dCAGass[Room no.], dCAGass[Floor]))</f>
        <v>Floor 3</v>
      </c>
      <c r="W52" s="43">
        <f t="array" ref="W52">_xlfn.XLOOKUP(records_CAGass_2[roomNo], dCAGass[Room no.], dCAGass[Spec])</f>
        <v>5</v>
      </c>
      <c r="X52" s="43">
        <f t="array" ref="X52">if(N52="","",IFERROR(_xlfn.xlookup(records_CAGass_2[ColonyCount]&amp;records_CAGass_2[AirSampler],feller[code],feller[Vc]),_xlfn.xlookup(9999&amp;records_CAGass_2[AirSampler],feller[code],feller[Vc])))</f>
        <v>0</v>
      </c>
      <c r="Y52" s="29" t="b">
        <v>0</v>
      </c>
      <c r="Z52" s="39" t="s">
        <v>280</v>
      </c>
      <c r="AA52" s="46"/>
      <c r="AB52" s="46" t="s">
        <v>666</v>
      </c>
      <c r="AC52" s="46"/>
      <c r="AD52" s="46"/>
      <c r="AE52" s="46"/>
      <c r="AF52" s="46"/>
      <c r="AG52" s="46"/>
      <c r="AH52" s="46"/>
      <c r="AI52" s="46"/>
    </row>
    <row r="53" ht="22.5" customHeight="1">
      <c r="A53" s="27">
        <v>45954.0</v>
      </c>
      <c r="B53" s="34" t="str">
        <f t="shared" si="1"/>
        <v>10-2025</v>
      </c>
      <c r="C53" s="34" t="s">
        <v>233</v>
      </c>
      <c r="D53" s="36" t="s">
        <v>191</v>
      </c>
      <c r="E53" s="36" t="s">
        <v>674</v>
      </c>
      <c r="F53" s="29" t="b">
        <v>1</v>
      </c>
      <c r="G53" s="34" t="s">
        <v>252</v>
      </c>
      <c r="H53" s="34" t="s">
        <v>260</v>
      </c>
      <c r="I53" s="34"/>
      <c r="J53" s="34"/>
      <c r="K53" s="34"/>
      <c r="L53" s="34"/>
      <c r="M53" s="48"/>
      <c r="N53" s="50">
        <v>0.0</v>
      </c>
      <c r="O53" s="39"/>
      <c r="P53" s="34"/>
      <c r="Q53" s="21" t="s">
        <v>203</v>
      </c>
      <c r="R53" s="39"/>
      <c r="S53" s="43"/>
      <c r="T53" s="54" t="str">
        <f t="array" ref="T53">_xlfn.XLOOKUP(records_CAGass_2[roomNo], dCAGass[Room no.], dCAGass[Room Name])</f>
        <v>DRY GRANULATION-P (LOW RH)</v>
      </c>
      <c r="U53" s="56" t="str">
        <f t="array" ref="U53">_xlfn.XLOOKUP(records_CAGass_2[roomNo], dCAGass[Room no.], dCAGass[Bld])</f>
        <v>Building 10</v>
      </c>
      <c r="V53" s="56" t="str">
        <f t="array" ref="V53">if(A53="","",_xlfn.XLOOKUP(records_CAGass_2[roomNo], dCAGass[Room no.], dCAGass[Floor]))</f>
        <v>Floor 3</v>
      </c>
      <c r="W53" s="43">
        <f t="array" ref="W53">_xlfn.XLOOKUP(records_CAGass_2[roomNo], dCAGass[Room no.], dCAGass[Spec])</f>
        <v>5</v>
      </c>
      <c r="X53" s="43">
        <f t="array" ref="X53">if(N53="","",IFERROR(_xlfn.xlookup(records_CAGass_2[ColonyCount]&amp;records_CAGass_2[AirSampler],feller[code],feller[Vc]),_xlfn.xlookup(9999&amp;records_CAGass_2[AirSampler],feller[code],feller[Vc])))</f>
        <v>0</v>
      </c>
      <c r="Y53" s="29" t="b">
        <v>0</v>
      </c>
      <c r="Z53" s="39" t="s">
        <v>280</v>
      </c>
      <c r="AA53" s="46"/>
      <c r="AB53" s="46" t="s">
        <v>670</v>
      </c>
      <c r="AC53" s="46"/>
      <c r="AD53" s="46"/>
      <c r="AE53" s="46"/>
      <c r="AF53" s="46"/>
      <c r="AG53" s="46"/>
      <c r="AH53" s="46"/>
      <c r="AI53" s="46"/>
    </row>
    <row r="54" ht="22.5" customHeight="1">
      <c r="A54" s="27">
        <v>45954.0</v>
      </c>
      <c r="B54" s="34" t="str">
        <f t="shared" si="1"/>
        <v>10-2025</v>
      </c>
      <c r="C54" s="34" t="s">
        <v>239</v>
      </c>
      <c r="D54" s="36" t="s">
        <v>191</v>
      </c>
      <c r="E54" s="36" t="s">
        <v>679</v>
      </c>
      <c r="F54" s="29" t="b">
        <v>1</v>
      </c>
      <c r="G54" s="34" t="s">
        <v>681</v>
      </c>
      <c r="H54" s="34" t="s">
        <v>682</v>
      </c>
      <c r="I54" s="34"/>
      <c r="J54" s="34"/>
      <c r="K54" s="34"/>
      <c r="L54" s="34"/>
      <c r="M54" s="48"/>
      <c r="N54" s="50">
        <v>0.0</v>
      </c>
      <c r="O54" s="39"/>
      <c r="P54" s="34"/>
      <c r="Q54" s="21" t="s">
        <v>203</v>
      </c>
      <c r="R54" s="39"/>
      <c r="S54" s="43"/>
      <c r="T54" s="54" t="str">
        <f t="array" ref="T54">_xlfn.XLOOKUP(records_CAGass_2[roomNo], dCAGass[Room no.], dCAGass[Room Name])</f>
        <v>DRYING-P</v>
      </c>
      <c r="U54" s="56" t="str">
        <f t="array" ref="U54">_xlfn.XLOOKUP(records_CAGass_2[roomNo], dCAGass[Room no.], dCAGass[Bld])</f>
        <v>Building 10</v>
      </c>
      <c r="V54" s="56" t="str">
        <f t="array" ref="V54">if(A54="","",_xlfn.XLOOKUP(records_CAGass_2[roomNo], dCAGass[Room no.], dCAGass[Floor]))</f>
        <v>Floor 3</v>
      </c>
      <c r="W54" s="43">
        <f t="array" ref="W54">_xlfn.XLOOKUP(records_CAGass_2[roomNo], dCAGass[Room no.], dCAGass[Spec])</f>
        <v>5</v>
      </c>
      <c r="X54" s="43">
        <f t="array" ref="X54">if(N54="","",IFERROR(_xlfn.xlookup(records_CAGass_2[ColonyCount]&amp;records_CAGass_2[AirSampler],feller[code],feller[Vc]),_xlfn.xlookup(9999&amp;records_CAGass_2[AirSampler],feller[code],feller[Vc])))</f>
        <v>0</v>
      </c>
      <c r="Y54" s="29" t="b">
        <v>0</v>
      </c>
      <c r="Z54" s="39" t="s">
        <v>280</v>
      </c>
      <c r="AA54" s="46"/>
      <c r="AB54" s="46" t="s">
        <v>674</v>
      </c>
      <c r="AC54" s="46"/>
      <c r="AD54" s="46"/>
      <c r="AE54" s="46"/>
      <c r="AF54" s="46"/>
      <c r="AG54" s="46"/>
      <c r="AH54" s="46"/>
      <c r="AI54" s="46"/>
    </row>
    <row r="55" ht="22.5" customHeight="1">
      <c r="A55" s="27">
        <v>45954.0</v>
      </c>
      <c r="B55" s="34" t="str">
        <f t="shared" si="1"/>
        <v>10-2025</v>
      </c>
      <c r="C55" s="34" t="s">
        <v>241</v>
      </c>
      <c r="D55" s="36" t="s">
        <v>191</v>
      </c>
      <c r="E55" s="36" t="s">
        <v>686</v>
      </c>
      <c r="F55" s="29" t="b">
        <v>1</v>
      </c>
      <c r="G55" s="34" t="s">
        <v>687</v>
      </c>
      <c r="H55" s="34" t="s">
        <v>455</v>
      </c>
      <c r="I55" s="34"/>
      <c r="J55" s="34"/>
      <c r="K55" s="34"/>
      <c r="L55" s="34"/>
      <c r="M55" s="48"/>
      <c r="N55" s="50">
        <v>0.0</v>
      </c>
      <c r="O55" s="39"/>
      <c r="P55" s="34"/>
      <c r="Q55" s="21" t="s">
        <v>203</v>
      </c>
      <c r="R55" s="39"/>
      <c r="S55" s="43"/>
      <c r="T55" s="54" t="str">
        <f t="array" ref="T55">_xlfn.XLOOKUP(records_CAGass_2[roomNo], dCAGass[Room no.], dCAGass[Room Name])</f>
        <v>TOOLS WASHING-P</v>
      </c>
      <c r="U55" s="56" t="str">
        <f t="array" ref="U55">_xlfn.XLOOKUP(records_CAGass_2[roomNo], dCAGass[Room no.], dCAGass[Bld])</f>
        <v>Building 10</v>
      </c>
      <c r="V55" s="56" t="str">
        <f t="array" ref="V55">if(A55="","",_xlfn.XLOOKUP(records_CAGass_2[roomNo], dCAGass[Room no.], dCAGass[Floor]))</f>
        <v>Floor 3</v>
      </c>
      <c r="W55" s="43">
        <f t="array" ref="W55">_xlfn.XLOOKUP(records_CAGass_2[roomNo], dCAGass[Room no.], dCAGass[Spec])</f>
        <v>5</v>
      </c>
      <c r="X55" s="43">
        <f t="array" ref="X55">if(N55="","",IFERROR(_xlfn.xlookup(records_CAGass_2[ColonyCount]&amp;records_CAGass_2[AirSampler],feller[code],feller[Vc]),_xlfn.xlookup(9999&amp;records_CAGass_2[AirSampler],feller[code],feller[Vc])))</f>
        <v>0</v>
      </c>
      <c r="Y55" s="29" t="b">
        <v>0</v>
      </c>
      <c r="Z55" s="39" t="s">
        <v>280</v>
      </c>
      <c r="AA55" s="46"/>
      <c r="AB55" s="46" t="s">
        <v>679</v>
      </c>
      <c r="AC55" s="46"/>
      <c r="AD55" s="46"/>
      <c r="AE55" s="46"/>
      <c r="AF55" s="46"/>
      <c r="AG55" s="46"/>
      <c r="AH55" s="46"/>
      <c r="AI55" s="46"/>
    </row>
    <row r="56" ht="22.5" customHeight="1">
      <c r="A56" s="27">
        <v>45954.0</v>
      </c>
      <c r="B56" s="34" t="str">
        <f t="shared" si="1"/>
        <v>10-2025</v>
      </c>
      <c r="C56" s="34" t="s">
        <v>246</v>
      </c>
      <c r="D56" s="36" t="s">
        <v>191</v>
      </c>
      <c r="E56" s="36" t="s">
        <v>694</v>
      </c>
      <c r="F56" s="29" t="b">
        <v>1</v>
      </c>
      <c r="G56" s="34" t="s">
        <v>252</v>
      </c>
      <c r="H56" s="34" t="s">
        <v>354</v>
      </c>
      <c r="I56" s="34"/>
      <c r="J56" s="34"/>
      <c r="K56" s="34"/>
      <c r="L56" s="34"/>
      <c r="M56" s="48"/>
      <c r="N56" s="50">
        <v>0.0</v>
      </c>
      <c r="O56" s="39"/>
      <c r="P56" s="34"/>
      <c r="Q56" s="21" t="s">
        <v>203</v>
      </c>
      <c r="R56" s="39"/>
      <c r="S56" s="43"/>
      <c r="T56" s="54" t="str">
        <f t="array" ref="T56">_xlfn.XLOOKUP(records_CAGass_2[roomNo], dCAGass[Room no.], dCAGass[Room Name])</f>
        <v>DISPENSING 2-P</v>
      </c>
      <c r="U56" s="56" t="str">
        <f t="array" ref="U56">_xlfn.XLOOKUP(records_CAGass_2[roomNo], dCAGass[Room no.], dCAGass[Bld])</f>
        <v>Building 10</v>
      </c>
      <c r="V56" s="56" t="str">
        <f t="array" ref="V56">if(A56="","",_xlfn.XLOOKUP(records_CAGass_2[roomNo], dCAGass[Room no.], dCAGass[Floor]))</f>
        <v>Floor 3</v>
      </c>
      <c r="W56" s="43">
        <f t="array" ref="W56">_xlfn.XLOOKUP(records_CAGass_2[roomNo], dCAGass[Room no.], dCAGass[Spec])</f>
        <v>5</v>
      </c>
      <c r="X56" s="43">
        <f t="array" ref="X56">if(N56="","",IFERROR(_xlfn.xlookup(records_CAGass_2[ColonyCount]&amp;records_CAGass_2[AirSampler],feller[code],feller[Vc]),_xlfn.xlookup(9999&amp;records_CAGass_2[AirSampler],feller[code],feller[Vc])))</f>
        <v>0</v>
      </c>
      <c r="Y56" s="29" t="b">
        <v>0</v>
      </c>
      <c r="Z56" s="39" t="s">
        <v>280</v>
      </c>
      <c r="AA56" s="46"/>
      <c r="AB56" s="46" t="s">
        <v>686</v>
      </c>
      <c r="AC56" s="46"/>
      <c r="AD56" s="46"/>
      <c r="AE56" s="46"/>
      <c r="AF56" s="46"/>
      <c r="AG56" s="46"/>
      <c r="AH56" s="46"/>
      <c r="AI56" s="46"/>
    </row>
    <row r="57" ht="22.5" customHeight="1">
      <c r="A57" s="27">
        <v>46000.0</v>
      </c>
      <c r="B57" s="34" t="str">
        <f t="shared" si="1"/>
        <v>12-2025</v>
      </c>
      <c r="C57" s="34" t="s">
        <v>698</v>
      </c>
      <c r="D57" s="36" t="s">
        <v>191</v>
      </c>
      <c r="E57" s="36" t="s">
        <v>614</v>
      </c>
      <c r="F57" s="29" t="b">
        <v>1</v>
      </c>
      <c r="G57" s="34"/>
      <c r="H57" s="34"/>
      <c r="I57" s="34"/>
      <c r="J57" s="34"/>
      <c r="K57" s="34"/>
      <c r="L57" s="34"/>
      <c r="M57" s="48"/>
      <c r="N57" s="50">
        <v>0.0</v>
      </c>
      <c r="O57" s="39"/>
      <c r="P57" s="34"/>
      <c r="Q57" s="21" t="s">
        <v>203</v>
      </c>
      <c r="R57" s="39"/>
      <c r="S57" s="43"/>
      <c r="T57" s="54" t="str">
        <f t="array" ref="T57">_xlfn.XLOOKUP(records_CAGass_2[roomNo], dCAGass[Room no.], dCAGass[Room Name])</f>
        <v>USED EQUIPMENT</v>
      </c>
      <c r="U57" s="56" t="str">
        <f t="array" ref="U57">_xlfn.XLOOKUP(records_CAGass_2[roomNo], dCAGass[Room no.], dCAGass[Bld])</f>
        <v>Building 10</v>
      </c>
      <c r="V57" s="56" t="str">
        <f t="array" ref="V57">if(A57="","",_xlfn.XLOOKUP(records_CAGass_2[roomNo], dCAGass[Room no.], dCAGass[Floor]))</f>
        <v>Floor 1</v>
      </c>
      <c r="W57" s="43">
        <f t="array" ref="W57">_xlfn.XLOOKUP(records_CAGass_2[roomNo], dCAGass[Room no.], dCAGass[Spec])</f>
        <v>5</v>
      </c>
      <c r="X57" s="43">
        <f t="array" ref="X57">if(N57="","",IFERROR(_xlfn.xlookup(records_CAGass_2[ColonyCount]&amp;records_CAGass_2[AirSampler],feller[code],feller[Vc]),_xlfn.xlookup(9999&amp;records_CAGass_2[AirSampler],feller[code],feller[Vc])))</f>
        <v>0</v>
      </c>
      <c r="Y57" s="29" t="b">
        <v>0</v>
      </c>
      <c r="Z57" s="39" t="s">
        <v>280</v>
      </c>
      <c r="AA57" s="46"/>
      <c r="AB57" s="46" t="s">
        <v>694</v>
      </c>
      <c r="AC57" s="46"/>
      <c r="AD57" s="46"/>
      <c r="AE57" s="46"/>
      <c r="AF57" s="46"/>
      <c r="AG57" s="46"/>
      <c r="AH57" s="46"/>
      <c r="AI57" s="46"/>
    </row>
    <row r="58" ht="22.5" customHeight="1">
      <c r="A58" s="27">
        <v>46000.0</v>
      </c>
      <c r="B58" s="34" t="str">
        <f t="shared" si="1"/>
        <v>12-2025</v>
      </c>
      <c r="C58" s="34" t="s">
        <v>555</v>
      </c>
      <c r="D58" s="36" t="s">
        <v>191</v>
      </c>
      <c r="E58" s="36" t="s">
        <v>699</v>
      </c>
      <c r="F58" s="29" t="b">
        <v>1</v>
      </c>
      <c r="G58" s="34"/>
      <c r="H58" s="34"/>
      <c r="I58" s="34"/>
      <c r="J58" s="34"/>
      <c r="K58" s="34"/>
      <c r="L58" s="34"/>
      <c r="M58" s="48"/>
      <c r="N58" s="50">
        <v>0.0</v>
      </c>
      <c r="O58" s="39"/>
      <c r="P58" s="34"/>
      <c r="Q58" s="21" t="s">
        <v>203</v>
      </c>
      <c r="R58" s="39"/>
      <c r="S58" s="43"/>
      <c r="T58" s="54" t="str">
        <f t="array" ref="T58">_xlfn.XLOOKUP(records_CAGass_2[roomNo], dCAGass[Room no.], dCAGass[Room Name])</f>
        <v>BOTTLE CLEANING-P</v>
      </c>
      <c r="U58" s="56" t="str">
        <f t="array" ref="U58">_xlfn.XLOOKUP(records_CAGass_2[roomNo], dCAGass[Room no.], dCAGass[Bld])</f>
        <v>Building 10</v>
      </c>
      <c r="V58" s="56" t="str">
        <f t="array" ref="V58">if(A58="","",_xlfn.XLOOKUP(records_CAGass_2[roomNo], dCAGass[Room no.], dCAGass[Floor]))</f>
        <v>Floor 1</v>
      </c>
      <c r="W58" s="43">
        <f t="array" ref="W58">_xlfn.XLOOKUP(records_CAGass_2[roomNo], dCAGass[Room no.], dCAGass[Spec])</f>
        <v>5</v>
      </c>
      <c r="X58" s="43">
        <f t="array" ref="X58">if(N58="","",IFERROR(_xlfn.xlookup(records_CAGass_2[ColonyCount]&amp;records_CAGass_2[AirSampler],feller[code],feller[Vc]),_xlfn.xlookup(9999&amp;records_CAGass_2[AirSampler],feller[code],feller[Vc])))</f>
        <v>0</v>
      </c>
      <c r="Y58" s="29" t="b">
        <v>0</v>
      </c>
      <c r="Z58" s="39" t="s">
        <v>280</v>
      </c>
      <c r="AA58" s="46"/>
      <c r="AB58" s="46" t="s">
        <v>614</v>
      </c>
      <c r="AC58" s="46"/>
      <c r="AD58" s="46"/>
      <c r="AE58" s="46"/>
      <c r="AF58" s="46"/>
      <c r="AG58" s="46"/>
      <c r="AH58" s="46"/>
      <c r="AI58" s="46"/>
    </row>
    <row r="59" ht="22.5" customHeight="1">
      <c r="A59" s="27">
        <v>46000.0</v>
      </c>
      <c r="B59" s="34" t="str">
        <f t="shared" si="1"/>
        <v>12-2025</v>
      </c>
      <c r="C59" s="34" t="s">
        <v>589</v>
      </c>
      <c r="D59" s="36" t="s">
        <v>191</v>
      </c>
      <c r="E59" s="36" t="s">
        <v>703</v>
      </c>
      <c r="F59" s="29" t="b">
        <v>1</v>
      </c>
      <c r="G59" s="34"/>
      <c r="H59" s="34"/>
      <c r="I59" s="34"/>
      <c r="J59" s="34"/>
      <c r="K59" s="34"/>
      <c r="L59" s="34"/>
      <c r="M59" s="48"/>
      <c r="N59" s="50">
        <v>0.0</v>
      </c>
      <c r="O59" s="39"/>
      <c r="P59" s="34"/>
      <c r="Q59" s="21" t="s">
        <v>203</v>
      </c>
      <c r="R59" s="39"/>
      <c r="S59" s="43"/>
      <c r="T59" s="54" t="str">
        <f t="array" ref="T59">_xlfn.XLOOKUP(records_CAGass_2[roomNo], dCAGass[Room no.], dCAGass[Room Name])</f>
        <v>BOTTLE FILLING-P (LOW RH)</v>
      </c>
      <c r="U59" s="56" t="str">
        <f t="array" ref="U59">_xlfn.XLOOKUP(records_CAGass_2[roomNo], dCAGass[Room no.], dCAGass[Bld])</f>
        <v>Building 10</v>
      </c>
      <c r="V59" s="56" t="str">
        <f t="array" ref="V59">if(A59="","",_xlfn.XLOOKUP(records_CAGass_2[roomNo], dCAGass[Room no.], dCAGass[Floor]))</f>
        <v>Floor 1</v>
      </c>
      <c r="W59" s="43">
        <f t="array" ref="W59">_xlfn.XLOOKUP(records_CAGass_2[roomNo], dCAGass[Room no.], dCAGass[Spec])</f>
        <v>5</v>
      </c>
      <c r="X59" s="43">
        <f t="array" ref="X59">if(N59="","",IFERROR(_xlfn.xlookup(records_CAGass_2[ColonyCount]&amp;records_CAGass_2[AirSampler],feller[code],feller[Vc]),_xlfn.xlookup(9999&amp;records_CAGass_2[AirSampler],feller[code],feller[Vc])))</f>
        <v>0</v>
      </c>
      <c r="Y59" s="29" t="b">
        <v>0</v>
      </c>
      <c r="Z59" s="39" t="s">
        <v>280</v>
      </c>
      <c r="AA59" s="46"/>
      <c r="AB59" s="46" t="s">
        <v>699</v>
      </c>
      <c r="AC59" s="46"/>
      <c r="AD59" s="46"/>
      <c r="AE59" s="46"/>
      <c r="AF59" s="46"/>
      <c r="AG59" s="46"/>
      <c r="AH59" s="46"/>
      <c r="AI59" s="46"/>
    </row>
    <row r="60" ht="22.5" customHeight="1">
      <c r="A60" s="27">
        <v>46000.0</v>
      </c>
      <c r="B60" s="34" t="str">
        <f t="shared" si="1"/>
        <v>12-2025</v>
      </c>
      <c r="C60" s="34" t="s">
        <v>607</v>
      </c>
      <c r="D60" s="36" t="s">
        <v>191</v>
      </c>
      <c r="E60" s="36" t="s">
        <v>709</v>
      </c>
      <c r="F60" s="29" t="b">
        <v>1</v>
      </c>
      <c r="G60" s="34"/>
      <c r="H60" s="34"/>
      <c r="I60" s="34"/>
      <c r="J60" s="34"/>
      <c r="K60" s="34"/>
      <c r="L60" s="34"/>
      <c r="M60" s="48"/>
      <c r="N60" s="50">
        <v>0.0</v>
      </c>
      <c r="O60" s="39"/>
      <c r="P60" s="34"/>
      <c r="Q60" s="21" t="s">
        <v>203</v>
      </c>
      <c r="R60" s="39"/>
      <c r="S60" s="43"/>
      <c r="T60" s="54" t="str">
        <f t="array" ref="T60">_xlfn.XLOOKUP(records_CAGass_2[roomNo], dCAGass[Room no.], dCAGass[Room Name])</f>
        <v>STRIP PACKING-P (LOW RH)</v>
      </c>
      <c r="U60" s="56" t="str">
        <f t="array" ref="U60">_xlfn.XLOOKUP(records_CAGass_2[roomNo], dCAGass[Room no.], dCAGass[Bld])</f>
        <v>Building 10</v>
      </c>
      <c r="V60" s="56" t="str">
        <f t="array" ref="V60">if(A60="","",_xlfn.XLOOKUP(records_CAGass_2[roomNo], dCAGass[Room no.], dCAGass[Floor]))</f>
        <v>Floor 1</v>
      </c>
      <c r="W60" s="43">
        <f t="array" ref="W60">_xlfn.XLOOKUP(records_CAGass_2[roomNo], dCAGass[Room no.], dCAGass[Spec])</f>
        <v>5</v>
      </c>
      <c r="X60" s="43">
        <f t="array" ref="X60">if(N60="","",IFERROR(_xlfn.xlookup(records_CAGass_2[ColonyCount]&amp;records_CAGass_2[AirSampler],feller[code],feller[Vc]),_xlfn.xlookup(9999&amp;records_CAGass_2[AirSampler],feller[code],feller[Vc])))</f>
        <v>0</v>
      </c>
      <c r="Y60" s="29" t="b">
        <v>0</v>
      </c>
      <c r="Z60" s="39" t="s">
        <v>280</v>
      </c>
      <c r="AA60" s="46"/>
      <c r="AB60" s="46" t="s">
        <v>703</v>
      </c>
      <c r="AC60" s="46"/>
      <c r="AD60" s="46"/>
      <c r="AE60" s="46"/>
      <c r="AF60" s="46"/>
      <c r="AG60" s="46"/>
      <c r="AH60" s="46"/>
      <c r="AI60" s="46"/>
    </row>
    <row r="61" ht="22.5" customHeight="1">
      <c r="A61" s="27">
        <v>46000.0</v>
      </c>
      <c r="B61" s="34" t="str">
        <f t="shared" si="1"/>
        <v>12-2025</v>
      </c>
      <c r="C61" s="34" t="s">
        <v>598</v>
      </c>
      <c r="D61" s="36" t="s">
        <v>191</v>
      </c>
      <c r="E61" s="36" t="s">
        <v>711</v>
      </c>
      <c r="F61" s="29" t="b">
        <v>1</v>
      </c>
      <c r="G61" s="34"/>
      <c r="H61" s="34"/>
      <c r="I61" s="34"/>
      <c r="J61" s="34"/>
      <c r="K61" s="34"/>
      <c r="L61" s="34"/>
      <c r="M61" s="48"/>
      <c r="N61" s="50">
        <v>0.0</v>
      </c>
      <c r="O61" s="39"/>
      <c r="P61" s="34"/>
      <c r="Q61" s="21" t="s">
        <v>203</v>
      </c>
      <c r="R61" s="39"/>
      <c r="S61" s="43"/>
      <c r="T61" s="54" t="str">
        <f t="array" ref="T61">_xlfn.XLOOKUP(records_CAGass_2[roomNo], dCAGass[Room no.], dCAGass[Room Name])</f>
        <v>BLISTER PACKING-P (LOW RH)</v>
      </c>
      <c r="U61" s="56" t="str">
        <f t="array" ref="U61">_xlfn.XLOOKUP(records_CAGass_2[roomNo], dCAGass[Room no.], dCAGass[Bld])</f>
        <v>Building 10</v>
      </c>
      <c r="V61" s="56" t="str">
        <f t="array" ref="V61">if(A61="","",_xlfn.XLOOKUP(records_CAGass_2[roomNo], dCAGass[Room no.], dCAGass[Floor]))</f>
        <v>Floor 1</v>
      </c>
      <c r="W61" s="43">
        <f t="array" ref="W61">_xlfn.XLOOKUP(records_CAGass_2[roomNo], dCAGass[Room no.], dCAGass[Spec])</f>
        <v>5</v>
      </c>
      <c r="X61" s="43">
        <f t="array" ref="X61">if(N61="","",IFERROR(_xlfn.xlookup(records_CAGass_2[ColonyCount]&amp;records_CAGass_2[AirSampler],feller[code],feller[Vc]),_xlfn.xlookup(9999&amp;records_CAGass_2[AirSampler],feller[code],feller[Vc])))</f>
        <v>0</v>
      </c>
      <c r="Y61" s="29" t="b">
        <v>0</v>
      </c>
      <c r="Z61" s="39" t="s">
        <v>280</v>
      </c>
      <c r="AA61" s="46"/>
      <c r="AB61" s="46" t="s">
        <v>709</v>
      </c>
      <c r="AC61" s="46"/>
      <c r="AD61" s="46"/>
      <c r="AE61" s="46"/>
      <c r="AF61" s="46"/>
      <c r="AG61" s="46"/>
      <c r="AH61" s="46"/>
      <c r="AI61" s="46"/>
    </row>
    <row r="62" ht="22.5" customHeight="1">
      <c r="A62" s="27">
        <v>46000.0</v>
      </c>
      <c r="B62" s="34" t="str">
        <f t="shared" si="1"/>
        <v>12-2025</v>
      </c>
      <c r="C62" s="67" t="s">
        <v>715</v>
      </c>
      <c r="D62" s="36" t="s">
        <v>191</v>
      </c>
      <c r="E62" s="36" t="s">
        <v>716</v>
      </c>
      <c r="F62" s="29" t="b">
        <v>1</v>
      </c>
      <c r="G62" s="34"/>
      <c r="H62" s="34"/>
      <c r="I62" s="34"/>
      <c r="J62" s="34"/>
      <c r="K62" s="34"/>
      <c r="L62" s="34"/>
      <c r="M62" s="48"/>
      <c r="N62" s="50">
        <v>0.0</v>
      </c>
      <c r="O62" s="39"/>
      <c r="P62" s="34"/>
      <c r="Q62" s="21" t="s">
        <v>203</v>
      </c>
      <c r="R62" s="39"/>
      <c r="S62" s="43"/>
      <c r="T62" s="54" t="str">
        <f t="array" ref="T62">_xlfn.XLOOKUP(records_CAGass_2[roomNo], dCAGass[Room no.], dCAGass[Room Name])</f>
        <v>#N/A</v>
      </c>
      <c r="U62" s="56" t="str">
        <f t="array" ref="U62">_xlfn.XLOOKUP(records_CAGass_2[roomNo], dCAGass[Room no.], dCAGass[Bld])</f>
        <v>#N/A</v>
      </c>
      <c r="V62" s="56" t="str">
        <f t="array" ref="V62">if(A62="","",_xlfn.XLOOKUP(records_CAGass_2[roomNo], dCAGass[Room no.], dCAGass[Floor]))</f>
        <v>#N/A</v>
      </c>
      <c r="W62" s="43" t="str">
        <f t="array" ref="W62">_xlfn.XLOOKUP(records_CAGass_2[roomNo], dCAGass[Room no.], dCAGass[Spec])</f>
        <v>#N/A</v>
      </c>
      <c r="X62" s="43">
        <f t="array" ref="X62">if(N62="","",IFERROR(_xlfn.xlookup(records_CAGass_2[ColonyCount]&amp;records_CAGass_2[AirSampler],feller[code],feller[Vc]),_xlfn.xlookup(9999&amp;records_CAGass_2[AirSampler],feller[code],feller[Vc])))</f>
        <v>0</v>
      </c>
      <c r="Y62" s="29" t="b">
        <v>0</v>
      </c>
      <c r="Z62" s="39" t="s">
        <v>280</v>
      </c>
      <c r="AA62" s="46"/>
      <c r="AB62" s="46" t="s">
        <v>711</v>
      </c>
      <c r="AC62" s="46"/>
      <c r="AD62" s="46"/>
      <c r="AE62" s="46"/>
      <c r="AF62" s="46"/>
      <c r="AG62" s="46"/>
      <c r="AH62" s="46"/>
      <c r="AI62" s="46"/>
    </row>
    <row r="63" ht="22.5" customHeight="1">
      <c r="A63" s="27">
        <v>46002.0</v>
      </c>
      <c r="B63" s="34" t="str">
        <f t="shared" si="1"/>
        <v>12-2025</v>
      </c>
      <c r="C63" s="34" t="s">
        <v>720</v>
      </c>
      <c r="D63" s="36" t="s">
        <v>191</v>
      </c>
      <c r="E63" s="36" t="s">
        <v>629</v>
      </c>
      <c r="F63" s="29" t="b">
        <v>1</v>
      </c>
      <c r="G63" s="34"/>
      <c r="H63" s="34"/>
      <c r="I63" s="34"/>
      <c r="J63" s="34"/>
      <c r="K63" s="34"/>
      <c r="L63" s="34"/>
      <c r="M63" s="48"/>
      <c r="N63" s="50">
        <v>0.0</v>
      </c>
      <c r="O63" s="39"/>
      <c r="P63" s="34"/>
      <c r="Q63" s="21" t="s">
        <v>203</v>
      </c>
      <c r="R63" s="39"/>
      <c r="S63" s="43"/>
      <c r="T63" s="54" t="str">
        <f t="array" ref="T63">_xlfn.XLOOKUP(records_CAGass_2[roomNo], dCAGass[Room no.], dCAGass[Room Name])</f>
        <v>BOTTLE CLEANING</v>
      </c>
      <c r="U63" s="56" t="str">
        <f t="array" ref="U63">_xlfn.XLOOKUP(records_CAGass_2[roomNo], dCAGass[Room no.], dCAGass[Bld])</f>
        <v>Building 10</v>
      </c>
      <c r="V63" s="56" t="str">
        <f t="array" ref="V63">if(A63="","",_xlfn.XLOOKUP(records_CAGass_2[roomNo], dCAGass[Room no.], dCAGass[Floor]))</f>
        <v>Floor 1</v>
      </c>
      <c r="W63" s="43">
        <f t="array" ref="W63">_xlfn.XLOOKUP(records_CAGass_2[roomNo], dCAGass[Room no.], dCAGass[Spec])</f>
        <v>5</v>
      </c>
      <c r="X63" s="43">
        <f t="array" ref="X63">if(N63="","",IFERROR(_xlfn.xlookup(records_CAGass_2[ColonyCount]&amp;records_CAGass_2[AirSampler],feller[code],feller[Vc]),_xlfn.xlookup(9999&amp;records_CAGass_2[AirSampler],feller[code],feller[Vc])))</f>
        <v>0</v>
      </c>
      <c r="Y63" s="29" t="b">
        <v>0</v>
      </c>
      <c r="Z63" s="39" t="s">
        <v>280</v>
      </c>
      <c r="AA63" s="46"/>
      <c r="AB63" s="46" t="s">
        <v>716</v>
      </c>
      <c r="AC63" s="46"/>
      <c r="AD63" s="46"/>
      <c r="AE63" s="46"/>
      <c r="AF63" s="46"/>
      <c r="AG63" s="46"/>
      <c r="AH63" s="46"/>
      <c r="AI63" s="46"/>
    </row>
    <row r="64" ht="22.5" customHeight="1">
      <c r="A64" s="27">
        <v>46002.0</v>
      </c>
      <c r="B64" s="34" t="str">
        <f t="shared" si="1"/>
        <v>12-2025</v>
      </c>
      <c r="C64" s="34" t="s">
        <v>705</v>
      </c>
      <c r="D64" s="36" t="s">
        <v>191</v>
      </c>
      <c r="E64" s="36" t="s">
        <v>663</v>
      </c>
      <c r="F64" s="29" t="b">
        <v>1</v>
      </c>
      <c r="G64" s="34"/>
      <c r="H64" s="34"/>
      <c r="I64" s="34"/>
      <c r="J64" s="34"/>
      <c r="K64" s="34"/>
      <c r="L64" s="34"/>
      <c r="M64" s="48"/>
      <c r="N64" s="50">
        <v>0.0</v>
      </c>
      <c r="O64" s="39"/>
      <c r="P64" s="34"/>
      <c r="Q64" s="21" t="s">
        <v>203</v>
      </c>
      <c r="R64" s="39"/>
      <c r="S64" s="43"/>
      <c r="T64" s="54" t="str">
        <f t="array" ref="T64">_xlfn.XLOOKUP(records_CAGass_2[roomNo], dCAGass[Room no.], dCAGass[Room Name])</f>
        <v>STRIP PACKING 2</v>
      </c>
      <c r="U64" s="56" t="str">
        <f t="array" ref="U64">_xlfn.XLOOKUP(records_CAGass_2[roomNo], dCAGass[Room no.], dCAGass[Bld])</f>
        <v>Building 10</v>
      </c>
      <c r="V64" s="56" t="str">
        <f t="array" ref="V64">if(A64="","",_xlfn.XLOOKUP(records_CAGass_2[roomNo], dCAGass[Room no.], dCAGass[Floor]))</f>
        <v>Floor 1</v>
      </c>
      <c r="W64" s="43">
        <f t="array" ref="W64">_xlfn.XLOOKUP(records_CAGass_2[roomNo], dCAGass[Room no.], dCAGass[Spec])</f>
        <v>5</v>
      </c>
      <c r="X64" s="43">
        <f t="array" ref="X64">if(N64="","",IFERROR(_xlfn.xlookup(records_CAGass_2[ColonyCount]&amp;records_CAGass_2[AirSampler],feller[code],feller[Vc]),_xlfn.xlookup(9999&amp;records_CAGass_2[AirSampler],feller[code],feller[Vc])))</f>
        <v>0</v>
      </c>
      <c r="Y64" s="29" t="b">
        <v>0</v>
      </c>
      <c r="Z64" s="39" t="s">
        <v>280</v>
      </c>
      <c r="AA64" s="46"/>
      <c r="AB64" s="46" t="s">
        <v>629</v>
      </c>
      <c r="AC64" s="46"/>
      <c r="AD64" s="46"/>
      <c r="AE64" s="46"/>
      <c r="AF64" s="46"/>
      <c r="AG64" s="46"/>
      <c r="AH64" s="46"/>
      <c r="AI64" s="46"/>
    </row>
    <row r="65" ht="22.5" customHeight="1">
      <c r="A65" s="68">
        <v>46028.0</v>
      </c>
      <c r="B65" s="69" t="str">
        <f t="shared" si="1"/>
        <v>01-2026</v>
      </c>
      <c r="C65" s="70" t="s">
        <v>729</v>
      </c>
      <c r="D65" s="71" t="s">
        <v>191</v>
      </c>
      <c r="E65" s="71" t="s">
        <v>730</v>
      </c>
      <c r="F65" s="29" t="b">
        <v>1</v>
      </c>
      <c r="G65" s="72" t="s">
        <v>194</v>
      </c>
      <c r="H65" s="72" t="s">
        <v>194</v>
      </c>
      <c r="I65" s="72" t="s">
        <v>194</v>
      </c>
      <c r="J65" s="72" t="s">
        <v>194</v>
      </c>
      <c r="K65" s="70" t="s">
        <v>263</v>
      </c>
      <c r="L65" s="70" t="s">
        <v>264</v>
      </c>
      <c r="M65" s="73">
        <v>46267.0</v>
      </c>
      <c r="N65" s="74">
        <v>0.0</v>
      </c>
      <c r="O65" s="75"/>
      <c r="P65" s="70" t="s">
        <v>731</v>
      </c>
      <c r="Q65" s="21" t="s">
        <v>203</v>
      </c>
      <c r="R65" s="33"/>
      <c r="S65" s="33"/>
      <c r="T65" s="77" t="str">
        <f t="array" ref="T65">_xlfn.XLOOKUP(records_CAGass_2[roomNo], dCAGass[Room no.], dCAGass[Room Name])</f>
        <v>FILTRATION 2</v>
      </c>
      <c r="U65" s="77" t="str">
        <f t="array" ref="U65">_xlfn.XLOOKUP(records_CAGass_2[roomNo], dCAGass[Room no.], dCAGass[Bld])</f>
        <v>Building 16</v>
      </c>
      <c r="V65" s="77" t="str">
        <f t="array" ref="V65">if(A65="","",_xlfn.XLOOKUP(records_CAGass_2[roomNo], dCAGass[Room no.], dCAGass[Floor]))</f>
        <v>Floor 1</v>
      </c>
      <c r="W65" s="78">
        <f t="array" ref="W65">_xlfn.XLOOKUP(records_CAGass_2[roomNo], dCAGass[Room no.], dCAGass[Spec])</f>
        <v>0</v>
      </c>
      <c r="X65" s="43">
        <f t="array" ref="X65">if(N65="","",IFERROR(_xlfn.xlookup(records_CAGass_2[ColonyCount]&amp;records_CAGass_2[AirSampler],feller[code],feller[Vc]),_xlfn.xlookup(9999&amp;records_CAGass_2[AirSampler],feller[code],feller[Vc])))</f>
        <v>0</v>
      </c>
      <c r="Y65" s="29" t="b">
        <v>0</v>
      </c>
      <c r="Z65" s="39" t="s">
        <v>280</v>
      </c>
      <c r="AA65" s="46"/>
      <c r="AB65" s="46" t="s">
        <v>663</v>
      </c>
      <c r="AC65" s="46"/>
      <c r="AD65" s="46"/>
      <c r="AE65" s="46"/>
      <c r="AF65" s="46"/>
      <c r="AG65" s="46"/>
      <c r="AH65" s="46"/>
      <c r="AI65" s="46"/>
    </row>
    <row r="66" ht="22.5" customHeight="1">
      <c r="A66" s="18">
        <v>46028.0</v>
      </c>
      <c r="B66" s="79" t="str">
        <f t="shared" si="1"/>
        <v>01-2026</v>
      </c>
      <c r="C66" s="20" t="s">
        <v>736</v>
      </c>
      <c r="D66" s="21" t="s">
        <v>191</v>
      </c>
      <c r="E66" s="21" t="s">
        <v>737</v>
      </c>
      <c r="F66" s="29" t="b">
        <v>1</v>
      </c>
      <c r="G66" s="32" t="s">
        <v>194</v>
      </c>
      <c r="H66" s="32" t="s">
        <v>194</v>
      </c>
      <c r="I66" s="32" t="s">
        <v>194</v>
      </c>
      <c r="J66" s="32" t="s">
        <v>194</v>
      </c>
      <c r="K66" s="20" t="s">
        <v>263</v>
      </c>
      <c r="L66" s="20" t="s">
        <v>264</v>
      </c>
      <c r="M66" s="30">
        <v>46267.0</v>
      </c>
      <c r="N66" s="31">
        <v>0.0</v>
      </c>
      <c r="O66" s="80"/>
      <c r="P66" s="20" t="s">
        <v>731</v>
      </c>
      <c r="Q66" s="21" t="s">
        <v>203</v>
      </c>
      <c r="R66" s="33"/>
      <c r="S66" s="33"/>
      <c r="T66" s="35" t="str">
        <f t="array" ref="T66">_xlfn.XLOOKUP(records_CAGass_2[roomNo], dCAGass[Room no.], dCAGass[Room Name])</f>
        <v>WASHING</v>
      </c>
      <c r="U66" s="38" t="str">
        <f t="array" ref="U66">_xlfn.XLOOKUP(records_CAGass_2[roomNo], dCAGass[Room no.], dCAGass[Bld])</f>
        <v>Building 16</v>
      </c>
      <c r="V66" s="38" t="str">
        <f t="array" ref="V66">if(A66="","",_xlfn.XLOOKUP(records_CAGass_2[roomNo], dCAGass[Room no.], dCAGass[Floor]))</f>
        <v>Floor 1</v>
      </c>
      <c r="W66" s="43">
        <f t="array" ref="W66">_xlfn.XLOOKUP(records_CAGass_2[roomNo], dCAGass[Room no.], dCAGass[Spec])</f>
        <v>0</v>
      </c>
      <c r="X66" s="43">
        <f t="array" ref="X66">if(N66="","",IFERROR(_xlfn.xlookup(records_CAGass_2[ColonyCount]&amp;records_CAGass_2[AirSampler],feller[code],feller[Vc]),_xlfn.xlookup(9999&amp;records_CAGass_2[AirSampler],feller[code],feller[Vc])))</f>
        <v>0</v>
      </c>
      <c r="Y66" s="29" t="b">
        <v>0</v>
      </c>
      <c r="Z66" s="39" t="s">
        <v>280</v>
      </c>
      <c r="AA66" s="46"/>
      <c r="AB66" s="46" t="s">
        <v>730</v>
      </c>
      <c r="AC66" s="46"/>
      <c r="AD66" s="46"/>
      <c r="AE66" s="46"/>
      <c r="AF66" s="46"/>
      <c r="AG66" s="46"/>
      <c r="AH66" s="46"/>
      <c r="AI66" s="46"/>
    </row>
    <row r="67" ht="22.5" customHeight="1">
      <c r="A67" s="27">
        <v>46028.0</v>
      </c>
      <c r="B67" s="80" t="str">
        <f t="shared" si="1"/>
        <v>01-2026</v>
      </c>
      <c r="C67" s="34" t="s">
        <v>740</v>
      </c>
      <c r="D67" s="36" t="s">
        <v>191</v>
      </c>
      <c r="E67" s="36" t="s">
        <v>741</v>
      </c>
      <c r="F67" s="29" t="b">
        <v>1</v>
      </c>
      <c r="G67" s="39" t="s">
        <v>194</v>
      </c>
      <c r="H67" s="39" t="s">
        <v>194</v>
      </c>
      <c r="I67" s="39" t="s">
        <v>194</v>
      </c>
      <c r="J67" s="39" t="s">
        <v>194</v>
      </c>
      <c r="K67" s="34" t="s">
        <v>263</v>
      </c>
      <c r="L67" s="34" t="s">
        <v>264</v>
      </c>
      <c r="M67" s="48">
        <v>46267.0</v>
      </c>
      <c r="N67" s="50">
        <v>0.0</v>
      </c>
      <c r="O67" s="80"/>
      <c r="P67" s="34" t="s">
        <v>731</v>
      </c>
      <c r="Q67" s="21" t="s">
        <v>203</v>
      </c>
      <c r="R67" s="33"/>
      <c r="S67" s="33"/>
      <c r="T67" s="54" t="str">
        <f t="array" ref="T67">_xlfn.XLOOKUP(records_CAGass_2[roomNo], dCAGass[Room no.], dCAGass[Room Name])</f>
        <v>FILTRATION 1</v>
      </c>
      <c r="U67" s="56" t="str">
        <f t="array" ref="U67">_xlfn.XLOOKUP(records_CAGass_2[roomNo], dCAGass[Room no.], dCAGass[Bld])</f>
        <v>Building 16</v>
      </c>
      <c r="V67" s="56" t="str">
        <f t="array" ref="V67">if(A67="","",_xlfn.XLOOKUP(records_CAGass_2[roomNo], dCAGass[Room no.], dCAGass[Floor]))</f>
        <v>Floor 1</v>
      </c>
      <c r="W67" s="43">
        <f t="array" ref="W67">_xlfn.XLOOKUP(records_CAGass_2[roomNo], dCAGass[Room no.], dCAGass[Spec])</f>
        <v>0</v>
      </c>
      <c r="X67" s="43">
        <f t="array" ref="X67">if(N67="","",IFERROR(_xlfn.xlookup(records_CAGass_2[ColonyCount]&amp;records_CAGass_2[AirSampler],feller[code],feller[Vc]),_xlfn.xlookup(9999&amp;records_CAGass_2[AirSampler],feller[code],feller[Vc])))</f>
        <v>0</v>
      </c>
      <c r="Y67" s="29" t="b">
        <v>0</v>
      </c>
      <c r="Z67" s="39" t="s">
        <v>280</v>
      </c>
      <c r="AA67" s="46"/>
      <c r="AB67" s="46" t="s">
        <v>737</v>
      </c>
      <c r="AC67" s="46"/>
      <c r="AD67" s="46"/>
      <c r="AE67" s="46"/>
      <c r="AF67" s="46"/>
      <c r="AG67" s="46"/>
      <c r="AH67" s="46"/>
      <c r="AI67" s="46"/>
    </row>
    <row r="68" ht="22.5" customHeight="1">
      <c r="A68" s="27">
        <v>46028.0</v>
      </c>
      <c r="B68" s="80" t="str">
        <f t="shared" si="1"/>
        <v>01-2026</v>
      </c>
      <c r="C68" s="34" t="s">
        <v>745</v>
      </c>
      <c r="D68" s="36" t="s">
        <v>191</v>
      </c>
      <c r="E68" s="36" t="s">
        <v>746</v>
      </c>
      <c r="F68" s="29" t="b">
        <v>1</v>
      </c>
      <c r="G68" s="39" t="s">
        <v>194</v>
      </c>
      <c r="H68" s="39" t="s">
        <v>194</v>
      </c>
      <c r="I68" s="39" t="s">
        <v>194</v>
      </c>
      <c r="J68" s="39" t="s">
        <v>194</v>
      </c>
      <c r="K68" s="34" t="s">
        <v>263</v>
      </c>
      <c r="L68" s="34" t="s">
        <v>264</v>
      </c>
      <c r="M68" s="48">
        <v>46267.0</v>
      </c>
      <c r="N68" s="50">
        <v>0.0</v>
      </c>
      <c r="O68" s="80"/>
      <c r="P68" s="34" t="s">
        <v>731</v>
      </c>
      <c r="Q68" s="21" t="s">
        <v>203</v>
      </c>
      <c r="R68" s="33"/>
      <c r="S68" s="33"/>
      <c r="T68" s="54" t="str">
        <f t="array" ref="T68">_xlfn.XLOOKUP(records_CAGass_2[roomNo], dCAGass[Room no.], dCAGass[Room Name])</f>
        <v>WASHING / TUNNEL 2</v>
      </c>
      <c r="U68" s="56" t="str">
        <f t="array" ref="U68">_xlfn.XLOOKUP(records_CAGass_2[roomNo], dCAGass[Room no.], dCAGass[Bld])</f>
        <v>Building 16</v>
      </c>
      <c r="V68" s="56" t="str">
        <f t="array" ref="V68">if(A68="","",_xlfn.XLOOKUP(records_CAGass_2[roomNo], dCAGass[Room no.], dCAGass[Floor]))</f>
        <v>Floor 1</v>
      </c>
      <c r="W68" s="43">
        <f t="array" ref="W68">_xlfn.XLOOKUP(records_CAGass_2[roomNo], dCAGass[Room no.], dCAGass[Spec])</f>
        <v>0</v>
      </c>
      <c r="X68" s="43">
        <f t="array" ref="X68">if(N68="","",IFERROR(_xlfn.xlookup(records_CAGass_2[ColonyCount]&amp;records_CAGass_2[AirSampler],feller[code],feller[Vc]),_xlfn.xlookup(9999&amp;records_CAGass_2[AirSampler],feller[code],feller[Vc])))</f>
        <v>0</v>
      </c>
      <c r="Y68" s="29" t="b">
        <v>0</v>
      </c>
      <c r="Z68" s="39" t="s">
        <v>280</v>
      </c>
      <c r="AA68" s="46"/>
      <c r="AB68" s="46" t="s">
        <v>741</v>
      </c>
      <c r="AC68" s="46"/>
      <c r="AD68" s="46"/>
      <c r="AE68" s="46"/>
      <c r="AF68" s="46"/>
      <c r="AG68" s="46"/>
      <c r="AH68" s="46"/>
      <c r="AI68" s="46"/>
    </row>
    <row r="69" ht="22.5" customHeight="1">
      <c r="A69" s="27">
        <v>46028.0</v>
      </c>
      <c r="B69" s="80" t="str">
        <f t="shared" si="1"/>
        <v>01-2026</v>
      </c>
      <c r="C69" s="34" t="s">
        <v>749</v>
      </c>
      <c r="D69" s="36" t="s">
        <v>191</v>
      </c>
      <c r="E69" s="36" t="s">
        <v>750</v>
      </c>
      <c r="F69" s="29" t="b">
        <v>1</v>
      </c>
      <c r="G69" s="39" t="s">
        <v>194</v>
      </c>
      <c r="H69" s="39" t="s">
        <v>194</v>
      </c>
      <c r="I69" s="39" t="s">
        <v>194</v>
      </c>
      <c r="J69" s="39" t="s">
        <v>194</v>
      </c>
      <c r="K69" s="34" t="s">
        <v>263</v>
      </c>
      <c r="L69" s="34" t="s">
        <v>264</v>
      </c>
      <c r="M69" s="48">
        <v>46267.0</v>
      </c>
      <c r="N69" s="50">
        <v>15.0</v>
      </c>
      <c r="O69" s="80"/>
      <c r="P69" s="34" t="s">
        <v>731</v>
      </c>
      <c r="Q69" s="21" t="s">
        <v>203</v>
      </c>
      <c r="R69" s="33"/>
      <c r="S69" s="33"/>
      <c r="T69" s="54" t="str">
        <f t="array" ref="T69">_xlfn.XLOOKUP(records_CAGass_2[roomNo], dCAGass[Room no.], dCAGass[Room Name])</f>
        <v>CIP/SIP</v>
      </c>
      <c r="U69" s="56" t="str">
        <f t="array" ref="U69">_xlfn.XLOOKUP(records_CAGass_2[roomNo], dCAGass[Room no.], dCAGass[Bld])</f>
        <v>Building 16</v>
      </c>
      <c r="V69" s="56" t="str">
        <f t="array" ref="V69">if(A69="","",_xlfn.XLOOKUP(records_CAGass_2[roomNo], dCAGass[Room no.], dCAGass[Floor]))</f>
        <v>Floor 1</v>
      </c>
      <c r="W69" s="43">
        <f t="array" ref="W69">_xlfn.XLOOKUP(records_CAGass_2[roomNo], dCAGass[Room no.], dCAGass[Spec])</f>
        <v>0</v>
      </c>
      <c r="X69" s="43">
        <f t="array" ref="X69">if(N69="","",IFERROR(_xlfn.xlookup(records_CAGass_2[ColonyCount]&amp;records_CAGass_2[AirSampler],feller[code],feller[Vc]),_xlfn.xlookup(9999&amp;records_CAGass_2[AirSampler],feller[code],feller[Vc])))</f>
        <v>15</v>
      </c>
      <c r="Y69" s="29" t="b">
        <v>1</v>
      </c>
      <c r="Z69" s="39" t="s">
        <v>280</v>
      </c>
      <c r="AA69" s="46"/>
      <c r="AB69" s="46" t="s">
        <v>746</v>
      </c>
      <c r="AC69" s="46"/>
      <c r="AD69" s="46"/>
      <c r="AE69" s="46"/>
      <c r="AF69" s="46"/>
      <c r="AG69" s="46"/>
      <c r="AH69" s="46"/>
      <c r="AI69" s="46"/>
    </row>
    <row r="70" ht="22.5" customHeight="1">
      <c r="A70" s="27">
        <v>46028.0</v>
      </c>
      <c r="B70" s="80" t="str">
        <f t="shared" si="1"/>
        <v>01-2026</v>
      </c>
      <c r="C70" s="34" t="s">
        <v>754</v>
      </c>
      <c r="D70" s="36" t="s">
        <v>191</v>
      </c>
      <c r="E70" s="36" t="s">
        <v>756</v>
      </c>
      <c r="F70" s="29" t="b">
        <v>1</v>
      </c>
      <c r="G70" s="39" t="s">
        <v>194</v>
      </c>
      <c r="H70" s="39" t="s">
        <v>194</v>
      </c>
      <c r="I70" s="39" t="s">
        <v>194</v>
      </c>
      <c r="J70" s="39" t="s">
        <v>194</v>
      </c>
      <c r="K70" s="34" t="s">
        <v>263</v>
      </c>
      <c r="L70" s="34" t="s">
        <v>264</v>
      </c>
      <c r="M70" s="48">
        <v>46267.0</v>
      </c>
      <c r="N70" s="50">
        <v>0.0</v>
      </c>
      <c r="O70" s="80"/>
      <c r="P70" s="34" t="s">
        <v>731</v>
      </c>
      <c r="Q70" s="21" t="s">
        <v>203</v>
      </c>
      <c r="R70" s="33"/>
      <c r="S70" s="33"/>
      <c r="T70" s="54" t="str">
        <f t="array" ref="T70">_xlfn.XLOOKUP(records_CAGass_2[roomNo], dCAGass[Room no.], dCAGass[Room Name])</f>
        <v>WASHING / TUNNEL 1</v>
      </c>
      <c r="U70" s="56" t="str">
        <f t="array" ref="U70">_xlfn.XLOOKUP(records_CAGass_2[roomNo], dCAGass[Room no.], dCAGass[Bld])</f>
        <v>Building 16</v>
      </c>
      <c r="V70" s="56" t="str">
        <f t="array" ref="V70">if(A70="","",_xlfn.XLOOKUP(records_CAGass_2[roomNo], dCAGass[Room no.], dCAGass[Floor]))</f>
        <v>Floor 1</v>
      </c>
      <c r="W70" s="43">
        <f t="array" ref="W70">_xlfn.XLOOKUP(records_CAGass_2[roomNo], dCAGass[Room no.], dCAGass[Spec])</f>
        <v>0</v>
      </c>
      <c r="X70" s="43">
        <f t="array" ref="X70">if(N70="","",IFERROR(_xlfn.xlookup(records_CAGass_2[ColonyCount]&amp;records_CAGass_2[AirSampler],feller[code],feller[Vc]),_xlfn.xlookup(9999&amp;records_CAGass_2[AirSampler],feller[code],feller[Vc])))</f>
        <v>0</v>
      </c>
      <c r="Y70" s="29" t="b">
        <v>0</v>
      </c>
      <c r="Z70" s="39" t="s">
        <v>280</v>
      </c>
      <c r="AA70" s="46"/>
      <c r="AB70" s="46" t="s">
        <v>750</v>
      </c>
      <c r="AC70" s="46"/>
      <c r="AD70" s="46"/>
      <c r="AE70" s="46"/>
      <c r="AF70" s="46"/>
      <c r="AG70" s="46"/>
      <c r="AH70" s="46"/>
      <c r="AI70" s="46"/>
    </row>
    <row r="71" ht="22.5" customHeight="1">
      <c r="A71" s="27">
        <v>46028.0</v>
      </c>
      <c r="B71" s="80" t="str">
        <f t="shared" si="1"/>
        <v>01-2026</v>
      </c>
      <c r="C71" s="34" t="s">
        <v>763</v>
      </c>
      <c r="D71" s="36" t="s">
        <v>191</v>
      </c>
      <c r="E71" s="36" t="s">
        <v>766</v>
      </c>
      <c r="F71" s="29" t="b">
        <v>1</v>
      </c>
      <c r="G71" s="39" t="s">
        <v>194</v>
      </c>
      <c r="H71" s="39" t="s">
        <v>194</v>
      </c>
      <c r="I71" s="39" t="s">
        <v>194</v>
      </c>
      <c r="J71" s="39" t="s">
        <v>194</v>
      </c>
      <c r="K71" s="34" t="s">
        <v>263</v>
      </c>
      <c r="L71" s="34" t="s">
        <v>264</v>
      </c>
      <c r="M71" s="48">
        <v>46267.0</v>
      </c>
      <c r="N71" s="50">
        <v>0.0</v>
      </c>
      <c r="O71" s="80"/>
      <c r="P71" s="34" t="s">
        <v>731</v>
      </c>
      <c r="Q71" s="21" t="s">
        <v>203</v>
      </c>
      <c r="R71" s="33"/>
      <c r="S71" s="33"/>
      <c r="T71" s="54" t="str">
        <f t="array" ref="T71">_xlfn.XLOOKUP(records_CAGass_2[roomNo], dCAGass[Room no.], dCAGass[Room Name])</f>
        <v>COMPOUNDING 1</v>
      </c>
      <c r="U71" s="56" t="str">
        <f t="array" ref="U71">_xlfn.XLOOKUP(records_CAGass_2[roomNo], dCAGass[Room no.], dCAGass[Bld])</f>
        <v>Building 16</v>
      </c>
      <c r="V71" s="56" t="str">
        <f t="array" ref="V71">if(A71="","",_xlfn.XLOOKUP(records_CAGass_2[roomNo], dCAGass[Room no.], dCAGass[Floor]))</f>
        <v>Floor 1</v>
      </c>
      <c r="W71" s="43">
        <f t="array" ref="W71">_xlfn.XLOOKUP(records_CAGass_2[roomNo], dCAGass[Room no.], dCAGass[Spec])</f>
        <v>0</v>
      </c>
      <c r="X71" s="43">
        <f t="array" ref="X71">if(N71="","",IFERROR(_xlfn.xlookup(records_CAGass_2[ColonyCount]&amp;records_CAGass_2[AirSampler],feller[code],feller[Vc]),_xlfn.xlookup(9999&amp;records_CAGass_2[AirSampler],feller[code],feller[Vc])))</f>
        <v>0</v>
      </c>
      <c r="Y71" s="29" t="b">
        <v>0</v>
      </c>
      <c r="Z71" s="39" t="s">
        <v>280</v>
      </c>
      <c r="AA71" s="46"/>
      <c r="AB71" s="46" t="s">
        <v>756</v>
      </c>
      <c r="AC71" s="46"/>
      <c r="AD71" s="46"/>
      <c r="AE71" s="46"/>
      <c r="AF71" s="46"/>
      <c r="AG71" s="46"/>
      <c r="AH71" s="46"/>
      <c r="AI71" s="46"/>
    </row>
    <row r="72" ht="22.5" customHeight="1">
      <c r="A72" s="27">
        <v>46028.0</v>
      </c>
      <c r="B72" s="80" t="str">
        <f t="shared" si="1"/>
        <v>01-2026</v>
      </c>
      <c r="C72" s="34" t="s">
        <v>769</v>
      </c>
      <c r="D72" s="36" t="s">
        <v>191</v>
      </c>
      <c r="E72" s="36" t="s">
        <v>771</v>
      </c>
      <c r="F72" s="29" t="b">
        <v>1</v>
      </c>
      <c r="G72" s="39" t="s">
        <v>194</v>
      </c>
      <c r="H72" s="39" t="s">
        <v>194</v>
      </c>
      <c r="I72" s="39" t="s">
        <v>194</v>
      </c>
      <c r="J72" s="39" t="s">
        <v>194</v>
      </c>
      <c r="K72" s="34" t="s">
        <v>263</v>
      </c>
      <c r="L72" s="34" t="s">
        <v>264</v>
      </c>
      <c r="M72" s="48">
        <v>46267.0</v>
      </c>
      <c r="N72" s="50">
        <v>0.0</v>
      </c>
      <c r="O72" s="80"/>
      <c r="P72" s="34" t="s">
        <v>731</v>
      </c>
      <c r="Q72" s="21" t="s">
        <v>203</v>
      </c>
      <c r="R72" s="33"/>
      <c r="S72" s="33"/>
      <c r="T72" s="54" t="str">
        <f t="array" ref="T72">_xlfn.XLOOKUP(records_CAGass_2[roomNo], dCAGass[Room no.], dCAGass[Room Name])</f>
        <v>DRYING</v>
      </c>
      <c r="U72" s="56" t="str">
        <f t="array" ref="U72">_xlfn.XLOOKUP(records_CAGass_2[roomNo], dCAGass[Room no.], dCAGass[Bld])</f>
        <v>Building 16</v>
      </c>
      <c r="V72" s="56" t="str">
        <f t="array" ref="V72">if(A72="","",_xlfn.XLOOKUP(records_CAGass_2[roomNo], dCAGass[Room no.], dCAGass[Floor]))</f>
        <v>Floor 1</v>
      </c>
      <c r="W72" s="43">
        <f t="array" ref="W72">_xlfn.XLOOKUP(records_CAGass_2[roomNo], dCAGass[Room no.], dCAGass[Spec])</f>
        <v>0</v>
      </c>
      <c r="X72" s="43">
        <f t="array" ref="X72">if(N72="","",IFERROR(_xlfn.xlookup(records_CAGass_2[ColonyCount]&amp;records_CAGass_2[AirSampler],feller[code],feller[Vc]),_xlfn.xlookup(9999&amp;records_CAGass_2[AirSampler],feller[code],feller[Vc])))</f>
        <v>0</v>
      </c>
      <c r="Y72" s="29" t="b">
        <v>0</v>
      </c>
      <c r="Z72" s="39" t="s">
        <v>280</v>
      </c>
      <c r="AA72" s="46"/>
      <c r="AB72" s="46" t="s">
        <v>766</v>
      </c>
      <c r="AC72" s="46"/>
      <c r="AD72" s="46"/>
      <c r="AE72" s="46"/>
      <c r="AF72" s="46"/>
      <c r="AG72" s="46"/>
      <c r="AH72" s="46"/>
      <c r="AI72" s="46"/>
    </row>
    <row r="73" ht="22.5" customHeight="1">
      <c r="A73" s="27">
        <v>46028.0</v>
      </c>
      <c r="B73" s="80" t="str">
        <f t="shared" si="1"/>
        <v>01-2026</v>
      </c>
      <c r="C73" s="34" t="s">
        <v>776</v>
      </c>
      <c r="D73" s="36" t="s">
        <v>191</v>
      </c>
      <c r="E73" s="36" t="s">
        <v>777</v>
      </c>
      <c r="F73" s="29" t="b">
        <v>1</v>
      </c>
      <c r="G73" s="39" t="s">
        <v>194</v>
      </c>
      <c r="H73" s="39" t="s">
        <v>194</v>
      </c>
      <c r="I73" s="39" t="s">
        <v>194</v>
      </c>
      <c r="J73" s="39" t="s">
        <v>194</v>
      </c>
      <c r="K73" s="34" t="s">
        <v>263</v>
      </c>
      <c r="L73" s="34" t="s">
        <v>264</v>
      </c>
      <c r="M73" s="48">
        <v>46267.0</v>
      </c>
      <c r="N73" s="50">
        <v>0.0</v>
      </c>
      <c r="O73" s="80"/>
      <c r="P73" s="34" t="s">
        <v>731</v>
      </c>
      <c r="Q73" s="21" t="s">
        <v>203</v>
      </c>
      <c r="R73" s="33"/>
      <c r="S73" s="33"/>
      <c r="T73" s="54" t="str">
        <f t="array" ref="T73">_xlfn.XLOOKUP(records_CAGass_2[roomNo], dCAGass[Room no.], dCAGass[Room Name])</f>
        <v>COMPOUNDING 2</v>
      </c>
      <c r="U73" s="56" t="str">
        <f t="array" ref="U73">_xlfn.XLOOKUP(records_CAGass_2[roomNo], dCAGass[Room no.], dCAGass[Bld])</f>
        <v>Building 16</v>
      </c>
      <c r="V73" s="56" t="str">
        <f t="array" ref="V73">if(A73="","",_xlfn.XLOOKUP(records_CAGass_2[roomNo], dCAGass[Room no.], dCAGass[Floor]))</f>
        <v>Floor 1</v>
      </c>
      <c r="W73" s="43">
        <f t="array" ref="W73">_xlfn.XLOOKUP(records_CAGass_2[roomNo], dCAGass[Room no.], dCAGass[Spec])</f>
        <v>0</v>
      </c>
      <c r="X73" s="43">
        <f t="array" ref="X73">if(N73="","",IFERROR(_xlfn.xlookup(records_CAGass_2[ColonyCount]&amp;records_CAGass_2[AirSampler],feller[code],feller[Vc]),_xlfn.xlookup(9999&amp;records_CAGass_2[AirSampler],feller[code],feller[Vc])))</f>
        <v>0</v>
      </c>
      <c r="Y73" s="29" t="b">
        <v>0</v>
      </c>
      <c r="Z73" s="39" t="s">
        <v>280</v>
      </c>
      <c r="AA73" s="46"/>
      <c r="AB73" s="46" t="s">
        <v>771</v>
      </c>
      <c r="AC73" s="46"/>
      <c r="AD73" s="46"/>
      <c r="AE73" s="46"/>
      <c r="AF73" s="46"/>
      <c r="AG73" s="46"/>
      <c r="AH73" s="46"/>
      <c r="AI73" s="46"/>
    </row>
    <row r="74" ht="22.5" customHeight="1">
      <c r="A74" s="68">
        <v>46034.0</v>
      </c>
      <c r="B74" s="69" t="str">
        <f t="shared" si="1"/>
        <v>01-2026</v>
      </c>
      <c r="C74" s="70" t="s">
        <v>779</v>
      </c>
      <c r="D74" s="71" t="s">
        <v>191</v>
      </c>
      <c r="E74" s="71" t="s">
        <v>780</v>
      </c>
      <c r="F74" s="29" t="b">
        <v>1</v>
      </c>
      <c r="G74" s="70" t="s">
        <v>330</v>
      </c>
      <c r="H74" s="70" t="s">
        <v>781</v>
      </c>
      <c r="I74" s="70" t="s">
        <v>782</v>
      </c>
      <c r="J74" s="70" t="s">
        <v>194</v>
      </c>
      <c r="K74" s="70" t="s">
        <v>263</v>
      </c>
      <c r="L74" s="70" t="s">
        <v>264</v>
      </c>
      <c r="M74" s="73">
        <v>46267.0</v>
      </c>
      <c r="N74" s="74">
        <v>0.0</v>
      </c>
      <c r="O74" s="75"/>
      <c r="P74" s="70" t="s">
        <v>783</v>
      </c>
      <c r="Q74" s="21" t="s">
        <v>203</v>
      </c>
      <c r="R74" s="33"/>
      <c r="S74" s="33"/>
      <c r="T74" s="77" t="str">
        <f t="array" ref="T74">_xlfn.XLOOKUP(records_CAGass_2[roomNo], dCAGass[Room no.], dCAGass[Room Name])</f>
        <v>DRYING</v>
      </c>
      <c r="U74" s="81" t="str">
        <f t="array" ref="U74">_xlfn.XLOOKUP(records_CAGass_2[roomNo], dCAGass[Room no.], dCAGass[Bld])</f>
        <v>Building 12</v>
      </c>
      <c r="V74" s="81" t="str">
        <f t="array" ref="V74">if(A74="","",_xlfn.XLOOKUP(records_CAGass_2[roomNo], dCAGass[Room no.], dCAGass[Floor]))</f>
        <v>Floor 1</v>
      </c>
      <c r="W74" s="43">
        <f t="array" ref="W74">_xlfn.XLOOKUP(records_CAGass_2[roomNo], dCAGass[Room no.], dCAGass[Spec])</f>
        <v>5</v>
      </c>
      <c r="X74" s="43">
        <f t="array" ref="X74">if(N74="","",IFERROR(_xlfn.xlookup(records_CAGass_2[ColonyCount]&amp;records_CAGass_2[AirSampler],feller[code],feller[Vc]),_xlfn.xlookup(9999&amp;records_CAGass_2[AirSampler],feller[code],feller[Vc])))</f>
        <v>0</v>
      </c>
      <c r="Y74" s="29" t="b">
        <v>0</v>
      </c>
      <c r="Z74" s="39" t="s">
        <v>280</v>
      </c>
      <c r="AA74" s="46"/>
      <c r="AB74" s="46" t="s">
        <v>777</v>
      </c>
      <c r="AC74" s="46"/>
      <c r="AD74" s="46"/>
      <c r="AE74" s="46"/>
      <c r="AF74" s="46"/>
      <c r="AG74" s="46"/>
      <c r="AH74" s="46"/>
      <c r="AI74" s="46"/>
    </row>
    <row r="75" ht="22.5" customHeight="1">
      <c r="A75" s="27">
        <v>46034.0</v>
      </c>
      <c r="B75" s="80" t="str">
        <f t="shared" si="1"/>
        <v>01-2026</v>
      </c>
      <c r="C75" s="34" t="s">
        <v>789</v>
      </c>
      <c r="D75" s="36" t="s">
        <v>191</v>
      </c>
      <c r="E75" s="36" t="s">
        <v>790</v>
      </c>
      <c r="F75" s="29" t="b">
        <v>1</v>
      </c>
      <c r="G75" s="34" t="s">
        <v>791</v>
      </c>
      <c r="H75" s="34" t="s">
        <v>792</v>
      </c>
      <c r="I75" s="34" t="s">
        <v>793</v>
      </c>
      <c r="J75" s="34" t="s">
        <v>194</v>
      </c>
      <c r="K75" s="34" t="s">
        <v>263</v>
      </c>
      <c r="L75" s="34" t="s">
        <v>264</v>
      </c>
      <c r="M75" s="48">
        <v>46267.0</v>
      </c>
      <c r="N75" s="50">
        <v>0.0</v>
      </c>
      <c r="O75" s="80"/>
      <c r="P75" s="34" t="s">
        <v>783</v>
      </c>
      <c r="Q75" s="21" t="s">
        <v>203</v>
      </c>
      <c r="R75" s="33"/>
      <c r="S75" s="33"/>
      <c r="T75" s="54" t="str">
        <f t="array" ref="T75">_xlfn.XLOOKUP(records_CAGass_2[roomNo], dCAGass[Room no.], dCAGass[Room Name])</f>
        <v>WASHING</v>
      </c>
      <c r="U75" s="56" t="str">
        <f t="array" ref="U75">_xlfn.XLOOKUP(records_CAGass_2[roomNo], dCAGass[Room no.], dCAGass[Bld])</f>
        <v>Building 12</v>
      </c>
      <c r="V75" s="56" t="str">
        <f t="array" ref="V75">if(A75="","",_xlfn.XLOOKUP(records_CAGass_2[roomNo], dCAGass[Room no.], dCAGass[Floor]))</f>
        <v>Floor 1</v>
      </c>
      <c r="W75" s="43">
        <f t="array" ref="W75">_xlfn.XLOOKUP(records_CAGass_2[roomNo], dCAGass[Room no.], dCAGass[Spec])</f>
        <v>5</v>
      </c>
      <c r="X75" s="43">
        <f t="array" ref="X75">if(N75="","",IFERROR(_xlfn.xlookup(records_CAGass_2[ColonyCount]&amp;records_CAGass_2[AirSampler],feller[code],feller[Vc]),_xlfn.xlookup(9999&amp;records_CAGass_2[AirSampler],feller[code],feller[Vc])))</f>
        <v>0</v>
      </c>
      <c r="Y75" s="29" t="b">
        <v>0</v>
      </c>
      <c r="Z75" s="39" t="s">
        <v>280</v>
      </c>
      <c r="AA75" s="46"/>
      <c r="AB75" s="46" t="s">
        <v>780</v>
      </c>
      <c r="AC75" s="46"/>
      <c r="AD75" s="46"/>
      <c r="AE75" s="46"/>
      <c r="AF75" s="46"/>
      <c r="AG75" s="46"/>
      <c r="AH75" s="46"/>
      <c r="AI75" s="46"/>
    </row>
    <row r="76" ht="22.5" customHeight="1">
      <c r="A76" s="27">
        <v>46034.0</v>
      </c>
      <c r="B76" s="80" t="str">
        <f t="shared" si="1"/>
        <v>01-2026</v>
      </c>
      <c r="C76" s="34" t="s">
        <v>796</v>
      </c>
      <c r="D76" s="36" t="s">
        <v>191</v>
      </c>
      <c r="E76" s="36" t="s">
        <v>797</v>
      </c>
      <c r="F76" s="29" t="b">
        <v>1</v>
      </c>
      <c r="G76" s="34" t="s">
        <v>798</v>
      </c>
      <c r="H76" s="34" t="s">
        <v>799</v>
      </c>
      <c r="I76" s="34" t="s">
        <v>800</v>
      </c>
      <c r="J76" s="34" t="s">
        <v>194</v>
      </c>
      <c r="K76" s="34" t="s">
        <v>263</v>
      </c>
      <c r="L76" s="34" t="s">
        <v>264</v>
      </c>
      <c r="M76" s="48">
        <v>46267.0</v>
      </c>
      <c r="N76" s="50">
        <v>0.0</v>
      </c>
      <c r="O76" s="80"/>
      <c r="P76" s="34" t="s">
        <v>783</v>
      </c>
      <c r="Q76" s="21" t="s">
        <v>203</v>
      </c>
      <c r="R76" s="33"/>
      <c r="S76" s="33"/>
      <c r="T76" s="54" t="str">
        <f t="array" ref="T76">_xlfn.XLOOKUP(records_CAGass_2[roomNo], dCAGass[Room no.], dCAGass[Room Name])</f>
        <v>BOTTLE CLEANING 1</v>
      </c>
      <c r="U76" s="56" t="str">
        <f t="array" ref="U76">_xlfn.XLOOKUP(records_CAGass_2[roomNo], dCAGass[Room no.], dCAGass[Bld])</f>
        <v>Building 12</v>
      </c>
      <c r="V76" s="56" t="str">
        <f t="array" ref="V76">if(A76="","",_xlfn.XLOOKUP(records_CAGass_2[roomNo], dCAGass[Room no.], dCAGass[Floor]))</f>
        <v>Floor 1</v>
      </c>
      <c r="W76" s="43">
        <f t="array" ref="W76">_xlfn.XLOOKUP(records_CAGass_2[roomNo], dCAGass[Room no.], dCAGass[Spec])</f>
        <v>5</v>
      </c>
      <c r="X76" s="43">
        <f t="array" ref="X76">if(N76="","",IFERROR(_xlfn.xlookup(records_CAGass_2[ColonyCount]&amp;records_CAGass_2[AirSampler],feller[code],feller[Vc]),_xlfn.xlookup(9999&amp;records_CAGass_2[AirSampler],feller[code],feller[Vc])))</f>
        <v>0</v>
      </c>
      <c r="Y76" s="29" t="b">
        <v>0</v>
      </c>
      <c r="Z76" s="39" t="s">
        <v>280</v>
      </c>
      <c r="AA76" s="46"/>
      <c r="AB76" s="46" t="s">
        <v>790</v>
      </c>
      <c r="AC76" s="46"/>
      <c r="AD76" s="46"/>
      <c r="AE76" s="46"/>
      <c r="AF76" s="46"/>
      <c r="AG76" s="46"/>
      <c r="AH76" s="46"/>
      <c r="AI76" s="46"/>
    </row>
    <row r="77" ht="22.5" customHeight="1">
      <c r="A77" s="27">
        <v>46034.0</v>
      </c>
      <c r="B77" s="80" t="str">
        <f t="shared" si="1"/>
        <v>01-2026</v>
      </c>
      <c r="C77" s="34" t="s">
        <v>804</v>
      </c>
      <c r="D77" s="36" t="s">
        <v>191</v>
      </c>
      <c r="E77" s="36" t="s">
        <v>805</v>
      </c>
      <c r="F77" s="29" t="b">
        <v>1</v>
      </c>
      <c r="G77" s="34" t="s">
        <v>500</v>
      </c>
      <c r="H77" s="34" t="s">
        <v>806</v>
      </c>
      <c r="I77" s="34" t="s">
        <v>807</v>
      </c>
      <c r="J77" s="34" t="s">
        <v>194</v>
      </c>
      <c r="K77" s="34" t="s">
        <v>263</v>
      </c>
      <c r="L77" s="34" t="s">
        <v>264</v>
      </c>
      <c r="M77" s="48">
        <v>46267.0</v>
      </c>
      <c r="N77" s="50">
        <v>0.0</v>
      </c>
      <c r="O77" s="80"/>
      <c r="P77" s="34" t="s">
        <v>783</v>
      </c>
      <c r="Q77" s="21" t="s">
        <v>203</v>
      </c>
      <c r="R77" s="33"/>
      <c r="S77" s="33"/>
      <c r="T77" s="54" t="str">
        <f t="array" ref="T77">_xlfn.XLOOKUP(records_CAGass_2[roomNo], dCAGass[Room no.], dCAGass[Room Name])</f>
        <v>BOTTLE CLEANING 2</v>
      </c>
      <c r="U77" s="56" t="str">
        <f t="array" ref="U77">_xlfn.XLOOKUP(records_CAGass_2[roomNo], dCAGass[Room no.], dCAGass[Bld])</f>
        <v>Building 12</v>
      </c>
      <c r="V77" s="56" t="str">
        <f t="array" ref="V77">if(A77="","",_xlfn.XLOOKUP(records_CAGass_2[roomNo], dCAGass[Room no.], dCAGass[Floor]))</f>
        <v>Floor 1</v>
      </c>
      <c r="W77" s="43">
        <f t="array" ref="W77">_xlfn.XLOOKUP(records_CAGass_2[roomNo], dCAGass[Room no.], dCAGass[Spec])</f>
        <v>5</v>
      </c>
      <c r="X77" s="43">
        <f t="array" ref="X77">if(N77="","",IFERROR(_xlfn.xlookup(records_CAGass_2[ColonyCount]&amp;records_CAGass_2[AirSampler],feller[code],feller[Vc]),_xlfn.xlookup(9999&amp;records_CAGass_2[AirSampler],feller[code],feller[Vc])))</f>
        <v>0</v>
      </c>
      <c r="Y77" s="29" t="b">
        <v>0</v>
      </c>
      <c r="Z77" s="39" t="s">
        <v>280</v>
      </c>
      <c r="AA77" s="46"/>
      <c r="AB77" s="46" t="s">
        <v>797</v>
      </c>
      <c r="AC77" s="46"/>
      <c r="AD77" s="46"/>
      <c r="AE77" s="46"/>
      <c r="AF77" s="46"/>
      <c r="AG77" s="46"/>
      <c r="AH77" s="46"/>
      <c r="AI77" s="46"/>
    </row>
    <row r="78" ht="22.5" customHeight="1">
      <c r="A78" s="27">
        <v>46034.0</v>
      </c>
      <c r="B78" s="34" t="str">
        <f t="shared" si="1"/>
        <v>01-2026</v>
      </c>
      <c r="C78" s="39" t="s">
        <v>812</v>
      </c>
      <c r="D78" s="36" t="s">
        <v>191</v>
      </c>
      <c r="E78" s="36" t="s">
        <v>813</v>
      </c>
      <c r="F78" s="29" t="b">
        <v>1</v>
      </c>
      <c r="G78" s="34" t="s">
        <v>194</v>
      </c>
      <c r="H78" s="34" t="s">
        <v>194</v>
      </c>
      <c r="I78" s="34" t="s">
        <v>420</v>
      </c>
      <c r="J78" s="34" t="s">
        <v>194</v>
      </c>
      <c r="K78" s="34" t="s">
        <v>263</v>
      </c>
      <c r="L78" s="34" t="s">
        <v>264</v>
      </c>
      <c r="M78" s="48">
        <v>46267.0</v>
      </c>
      <c r="N78" s="50">
        <v>0.0</v>
      </c>
      <c r="O78" s="80"/>
      <c r="P78" s="34" t="s">
        <v>783</v>
      </c>
      <c r="Q78" s="21" t="s">
        <v>203</v>
      </c>
      <c r="R78" s="33"/>
      <c r="S78" s="33"/>
      <c r="T78" s="54" t="str">
        <f t="array" ref="T78">_xlfn.XLOOKUP(records_CAGass_2[roomNo], dCAGass[Room no.], dCAGass[Room Name])</f>
        <v>BOTTLE CLEANING 3</v>
      </c>
      <c r="U78" s="56" t="str">
        <f t="array" ref="U78">_xlfn.XLOOKUP(records_CAGass_2[roomNo], dCAGass[Room no.], dCAGass[Bld])</f>
        <v>Building 12</v>
      </c>
      <c r="V78" s="56" t="str">
        <f t="array" ref="V78">if(A78="","",_xlfn.XLOOKUP(records_CAGass_2[roomNo], dCAGass[Room no.], dCAGass[Floor]))</f>
        <v>Floor 1</v>
      </c>
      <c r="W78" s="43">
        <f t="array" ref="W78">_xlfn.XLOOKUP(records_CAGass_2[roomNo], dCAGass[Room no.], dCAGass[Spec])</f>
        <v>5</v>
      </c>
      <c r="X78" s="43">
        <f t="array" ref="X78">if(N78="","",IFERROR(_xlfn.xlookup(records_CAGass_2[ColonyCount]&amp;records_CAGass_2[AirSampler],feller[code],feller[Vc]),_xlfn.xlookup(9999&amp;records_CAGass_2[AirSampler],feller[code],feller[Vc])))</f>
        <v>0</v>
      </c>
      <c r="Y78" s="29" t="b">
        <v>0</v>
      </c>
      <c r="Z78" s="39" t="s">
        <v>280</v>
      </c>
      <c r="AA78" s="46"/>
      <c r="AB78" s="46" t="s">
        <v>805</v>
      </c>
      <c r="AC78" s="46"/>
      <c r="AD78" s="46"/>
      <c r="AE78" s="46"/>
      <c r="AF78" s="46"/>
      <c r="AG78" s="46"/>
      <c r="AH78" s="46"/>
      <c r="AI78" s="46"/>
    </row>
    <row r="79" ht="22.5" customHeight="1">
      <c r="A79" s="27">
        <v>46034.0</v>
      </c>
      <c r="B79" s="34" t="str">
        <f t="shared" si="1"/>
        <v>01-2026</v>
      </c>
      <c r="C79" s="39" t="s">
        <v>815</v>
      </c>
      <c r="D79" s="36" t="s">
        <v>191</v>
      </c>
      <c r="E79" s="36" t="s">
        <v>816</v>
      </c>
      <c r="F79" s="29" t="b">
        <v>1</v>
      </c>
      <c r="G79" s="34" t="s">
        <v>428</v>
      </c>
      <c r="H79" s="34" t="s">
        <v>817</v>
      </c>
      <c r="I79" s="34" t="s">
        <v>818</v>
      </c>
      <c r="J79" s="34" t="s">
        <v>194</v>
      </c>
      <c r="K79" s="34" t="s">
        <v>263</v>
      </c>
      <c r="L79" s="34" t="s">
        <v>264</v>
      </c>
      <c r="M79" s="48">
        <v>46267.0</v>
      </c>
      <c r="N79" s="50">
        <v>0.0</v>
      </c>
      <c r="O79" s="80"/>
      <c r="P79" s="34" t="s">
        <v>783</v>
      </c>
      <c r="Q79" s="21" t="s">
        <v>203</v>
      </c>
      <c r="R79" s="33"/>
      <c r="S79" s="33"/>
      <c r="T79" s="54" t="str">
        <f t="array" ref="T79">_xlfn.XLOOKUP(records_CAGass_2[roomNo], dCAGass[Room no.], dCAGass[Room Name])</f>
        <v>BOTTLE CLEANING 4</v>
      </c>
      <c r="U79" s="56" t="str">
        <f t="array" ref="U79">_xlfn.XLOOKUP(records_CAGass_2[roomNo], dCAGass[Room no.], dCAGass[Bld])</f>
        <v>Building 12</v>
      </c>
      <c r="V79" s="56" t="str">
        <f t="array" ref="V79">if(A79="","",_xlfn.XLOOKUP(records_CAGass_2[roomNo], dCAGass[Room no.], dCAGass[Floor]))</f>
        <v>Floor 1</v>
      </c>
      <c r="W79" s="43">
        <f t="array" ref="W79">_xlfn.XLOOKUP(records_CAGass_2[roomNo], dCAGass[Room no.], dCAGass[Spec])</f>
        <v>5</v>
      </c>
      <c r="X79" s="43">
        <f t="array" ref="X79">if(N79="","",IFERROR(_xlfn.xlookup(records_CAGass_2[ColonyCount]&amp;records_CAGass_2[AirSampler],feller[code],feller[Vc]),_xlfn.xlookup(9999&amp;records_CAGass_2[AirSampler],feller[code],feller[Vc])))</f>
        <v>0</v>
      </c>
      <c r="Y79" s="29" t="b">
        <v>0</v>
      </c>
      <c r="Z79" s="39" t="s">
        <v>280</v>
      </c>
      <c r="AA79" s="46"/>
      <c r="AB79" s="46" t="s">
        <v>813</v>
      </c>
      <c r="AC79" s="46"/>
      <c r="AD79" s="46"/>
      <c r="AE79" s="46"/>
      <c r="AF79" s="46"/>
      <c r="AG79" s="46"/>
      <c r="AH79" s="46"/>
      <c r="AI79" s="46"/>
    </row>
    <row r="80" ht="22.5" customHeight="1">
      <c r="A80" s="27">
        <v>46034.0</v>
      </c>
      <c r="B80" s="34" t="str">
        <f t="shared" si="1"/>
        <v>01-2026</v>
      </c>
      <c r="C80" s="39" t="s">
        <v>404</v>
      </c>
      <c r="D80" s="36" t="s">
        <v>191</v>
      </c>
      <c r="E80" s="36" t="s">
        <v>822</v>
      </c>
      <c r="F80" s="29" t="b">
        <v>1</v>
      </c>
      <c r="G80" s="34" t="s">
        <v>381</v>
      </c>
      <c r="H80" s="34" t="s">
        <v>253</v>
      </c>
      <c r="I80" s="34" t="s">
        <v>823</v>
      </c>
      <c r="J80" s="34" t="s">
        <v>194</v>
      </c>
      <c r="K80" s="34" t="s">
        <v>263</v>
      </c>
      <c r="L80" s="34" t="s">
        <v>264</v>
      </c>
      <c r="M80" s="48">
        <v>46267.0</v>
      </c>
      <c r="N80" s="50">
        <v>0.0</v>
      </c>
      <c r="O80" s="80"/>
      <c r="P80" s="34" t="s">
        <v>783</v>
      </c>
      <c r="Q80" s="21" t="s">
        <v>203</v>
      </c>
      <c r="R80" s="33"/>
      <c r="S80" s="33"/>
      <c r="T80" s="54" t="str">
        <f t="array" ref="T80">_xlfn.XLOOKUP(records_CAGass_2[roomNo], dCAGass[Room no.], dCAGass[Room Name])</f>
        <v>OPIUM TINCTURE</v>
      </c>
      <c r="U80" s="56" t="str">
        <f t="array" ref="U80">_xlfn.XLOOKUP(records_CAGass_2[roomNo], dCAGass[Room no.], dCAGass[Bld])</f>
        <v>Building 12</v>
      </c>
      <c r="V80" s="56" t="str">
        <f t="array" ref="V80">if(A80="","",_xlfn.XLOOKUP(records_CAGass_2[roomNo], dCAGass[Room no.], dCAGass[Floor]))</f>
        <v>Floor 2</v>
      </c>
      <c r="W80" s="43">
        <f t="array" ref="W80">_xlfn.XLOOKUP(records_CAGass_2[roomNo], dCAGass[Room no.], dCAGass[Spec])</f>
        <v>5</v>
      </c>
      <c r="X80" s="43">
        <f t="array" ref="X80">if(N80="","",IFERROR(_xlfn.xlookup(records_CAGass_2[ColonyCount]&amp;records_CAGass_2[AirSampler],feller[code],feller[Vc]),_xlfn.xlookup(9999&amp;records_CAGass_2[AirSampler],feller[code],feller[Vc])))</f>
        <v>0</v>
      </c>
      <c r="Y80" s="29" t="b">
        <v>0</v>
      </c>
      <c r="Z80" s="39" t="s">
        <v>280</v>
      </c>
      <c r="AA80" s="46"/>
      <c r="AB80" s="46" t="s">
        <v>816</v>
      </c>
      <c r="AC80" s="46"/>
      <c r="AD80" s="46"/>
      <c r="AE80" s="46"/>
      <c r="AF80" s="46"/>
      <c r="AG80" s="46"/>
      <c r="AH80" s="46"/>
      <c r="AI80" s="46"/>
    </row>
    <row r="81" ht="22.5" customHeight="1">
      <c r="A81" s="27">
        <v>46034.0</v>
      </c>
      <c r="B81" s="34" t="str">
        <f t="shared" si="1"/>
        <v>01-2026</v>
      </c>
      <c r="C81" s="39" t="s">
        <v>530</v>
      </c>
      <c r="D81" s="36" t="s">
        <v>191</v>
      </c>
      <c r="E81" s="36" t="s">
        <v>826</v>
      </c>
      <c r="F81" s="29" t="b">
        <v>1</v>
      </c>
      <c r="G81" s="34" t="s">
        <v>339</v>
      </c>
      <c r="H81" s="34" t="s">
        <v>799</v>
      </c>
      <c r="I81" s="34" t="s">
        <v>827</v>
      </c>
      <c r="J81" s="34" t="s">
        <v>194</v>
      </c>
      <c r="K81" s="34" t="s">
        <v>263</v>
      </c>
      <c r="L81" s="34" t="s">
        <v>264</v>
      </c>
      <c r="M81" s="48">
        <v>46267.0</v>
      </c>
      <c r="N81" s="50">
        <v>0.0</v>
      </c>
      <c r="O81" s="80"/>
      <c r="P81" s="34" t="s">
        <v>783</v>
      </c>
      <c r="Q81" s="21" t="s">
        <v>203</v>
      </c>
      <c r="R81" s="33"/>
      <c r="S81" s="33"/>
      <c r="T81" s="54" t="str">
        <f t="array" ref="T81">_xlfn.XLOOKUP(records_CAGass_2[roomNo], dCAGass[Room no.], dCAGass[Room Name])</f>
        <v>MFG 3</v>
      </c>
      <c r="U81" s="56" t="str">
        <f t="array" ref="U81">_xlfn.XLOOKUP(records_CAGass_2[roomNo], dCAGass[Room no.], dCAGass[Bld])</f>
        <v>Building 12</v>
      </c>
      <c r="V81" s="56" t="str">
        <f t="array" ref="V81">if(A81="","",_xlfn.XLOOKUP(records_CAGass_2[roomNo], dCAGass[Room no.], dCAGass[Floor]))</f>
        <v>Floor 2</v>
      </c>
      <c r="W81" s="43">
        <f t="array" ref="W81">_xlfn.XLOOKUP(records_CAGass_2[roomNo], dCAGass[Room no.], dCAGass[Spec])</f>
        <v>5</v>
      </c>
      <c r="X81" s="43">
        <f t="array" ref="X81">if(N81="","",IFERROR(_xlfn.xlookup(records_CAGass_2[ColonyCount]&amp;records_CAGass_2[AirSampler],feller[code],feller[Vc]),_xlfn.xlookup(9999&amp;records_CAGass_2[AirSampler],feller[code],feller[Vc])))</f>
        <v>0</v>
      </c>
      <c r="Y81" s="29" t="b">
        <v>0</v>
      </c>
      <c r="Z81" s="39" t="s">
        <v>280</v>
      </c>
      <c r="AA81" s="46"/>
      <c r="AB81" s="46" t="s">
        <v>822</v>
      </c>
      <c r="AC81" s="46"/>
      <c r="AD81" s="46"/>
      <c r="AE81" s="46"/>
      <c r="AF81" s="46"/>
      <c r="AG81" s="46"/>
      <c r="AH81" s="46"/>
      <c r="AI81" s="46"/>
    </row>
    <row r="82" ht="22.5" customHeight="1">
      <c r="A82" s="27">
        <v>46034.0</v>
      </c>
      <c r="B82" s="34" t="str">
        <f t="shared" si="1"/>
        <v>01-2026</v>
      </c>
      <c r="C82" s="39" t="s">
        <v>749</v>
      </c>
      <c r="D82" s="36" t="s">
        <v>191</v>
      </c>
      <c r="E82" s="36" t="s">
        <v>750</v>
      </c>
      <c r="F82" s="29" t="b">
        <v>1</v>
      </c>
      <c r="G82" s="34" t="s">
        <v>681</v>
      </c>
      <c r="H82" s="34" t="s">
        <v>832</v>
      </c>
      <c r="I82" s="34" t="s">
        <v>602</v>
      </c>
      <c r="J82" s="34" t="s">
        <v>194</v>
      </c>
      <c r="K82" s="34" t="s">
        <v>263</v>
      </c>
      <c r="L82" s="34" t="s">
        <v>264</v>
      </c>
      <c r="M82" s="48">
        <v>46267.0</v>
      </c>
      <c r="N82" s="50">
        <v>0.0</v>
      </c>
      <c r="O82" s="80"/>
      <c r="P82" s="34" t="s">
        <v>833</v>
      </c>
      <c r="Q82" s="21" t="s">
        <v>203</v>
      </c>
      <c r="R82" s="33"/>
      <c r="S82" s="33"/>
      <c r="T82" s="54" t="str">
        <f t="array" ref="T82">_xlfn.XLOOKUP(records_CAGass_2[roomNo], dCAGass[Room no.], dCAGass[Room Name])</f>
        <v>CIP/SIP</v>
      </c>
      <c r="U82" s="56" t="str">
        <f t="array" ref="U82">_xlfn.XLOOKUP(records_CAGass_2[roomNo], dCAGass[Room no.], dCAGass[Bld])</f>
        <v>Building 16</v>
      </c>
      <c r="V82" s="56" t="str">
        <f t="array" ref="V82">if(A82="","",_xlfn.XLOOKUP(records_CAGass_2[roomNo], dCAGass[Room no.], dCAGass[Floor]))</f>
        <v>Floor 1</v>
      </c>
      <c r="W82" s="43">
        <f t="array" ref="W82">_xlfn.XLOOKUP(records_CAGass_2[roomNo], dCAGass[Room no.], dCAGass[Spec])</f>
        <v>0</v>
      </c>
      <c r="X82" s="43">
        <f t="array" ref="X82">if(N82="","",IFERROR(_xlfn.xlookup(records_CAGass_2[ColonyCount]&amp;records_CAGass_2[AirSampler],feller[code],feller[Vc]),_xlfn.xlookup(9999&amp;records_CAGass_2[AirSampler],feller[code],feller[Vc])))</f>
        <v>0</v>
      </c>
      <c r="Y82" s="29" t="b">
        <v>0</v>
      </c>
      <c r="Z82" s="39" t="s">
        <v>280</v>
      </c>
      <c r="AA82" s="46"/>
      <c r="AB82" s="46" t="s">
        <v>826</v>
      </c>
      <c r="AC82" s="46"/>
      <c r="AD82" s="46"/>
      <c r="AE82" s="46"/>
      <c r="AF82" s="46"/>
      <c r="AG82" s="46"/>
      <c r="AH82" s="46"/>
      <c r="AI82" s="46"/>
    </row>
    <row r="83" ht="22.5" customHeight="1">
      <c r="A83" s="68">
        <v>46036.0</v>
      </c>
      <c r="B83" s="70" t="str">
        <f t="shared" si="1"/>
        <v>01-2026</v>
      </c>
      <c r="C83" s="72" t="s">
        <v>421</v>
      </c>
      <c r="D83" s="71" t="s">
        <v>191</v>
      </c>
      <c r="E83" s="71" t="s">
        <v>841</v>
      </c>
      <c r="F83" s="29" t="b">
        <v>1</v>
      </c>
      <c r="G83" s="70" t="s">
        <v>396</v>
      </c>
      <c r="H83" s="70" t="s">
        <v>842</v>
      </c>
      <c r="I83" s="70" t="s">
        <v>677</v>
      </c>
      <c r="J83" s="70" t="s">
        <v>194</v>
      </c>
      <c r="K83" s="70" t="s">
        <v>263</v>
      </c>
      <c r="L83" s="70" t="s">
        <v>264</v>
      </c>
      <c r="M83" s="73">
        <v>46267.0</v>
      </c>
      <c r="N83" s="74">
        <v>0.0</v>
      </c>
      <c r="O83" s="75"/>
      <c r="P83" s="70" t="s">
        <v>843</v>
      </c>
      <c r="Q83" s="21" t="s">
        <v>203</v>
      </c>
      <c r="R83" s="33"/>
      <c r="S83" s="33"/>
      <c r="T83" s="77" t="str">
        <f t="array" ref="T83">_xlfn.XLOOKUP(records_CAGass_2[roomNo], dCAGass[Room no.], dCAGass[Room Name])</f>
        <v>CAMPHORATED OPIUM TINCTURE</v>
      </c>
      <c r="U83" s="81" t="str">
        <f t="array" ref="U83">_xlfn.XLOOKUP(records_CAGass_2[roomNo], dCAGass[Room no.], dCAGass[Bld])</f>
        <v>Building 12</v>
      </c>
      <c r="V83" s="81" t="str">
        <f t="array" ref="V83">if(A83="","",_xlfn.XLOOKUP(records_CAGass_2[roomNo], dCAGass[Room no.], dCAGass[Floor]))</f>
        <v>Floor 2</v>
      </c>
      <c r="W83" s="43">
        <f t="array" ref="W83">_xlfn.XLOOKUP(records_CAGass_2[roomNo], dCAGass[Room no.], dCAGass[Spec])</f>
        <v>5</v>
      </c>
      <c r="X83" s="43">
        <f t="array" ref="X83">if(N83="","",IFERROR(_xlfn.xlookup(records_CAGass_2[ColonyCount]&amp;records_CAGass_2[AirSampler],feller[code],feller[Vc]),_xlfn.xlookup(9999&amp;records_CAGass_2[AirSampler],feller[code],feller[Vc])))</f>
        <v>0</v>
      </c>
      <c r="Y83" s="29" t="b">
        <v>0</v>
      </c>
      <c r="Z83" s="39" t="s">
        <v>280</v>
      </c>
      <c r="AA83" s="46"/>
      <c r="AB83" s="46" t="s">
        <v>841</v>
      </c>
      <c r="AC83" s="46"/>
      <c r="AD83" s="46"/>
      <c r="AE83" s="46"/>
      <c r="AF83" s="46"/>
      <c r="AG83" s="46"/>
      <c r="AH83" s="46"/>
      <c r="AI83" s="46"/>
    </row>
    <row r="84" ht="22.5" customHeight="1">
      <c r="A84" s="27">
        <v>46036.0</v>
      </c>
      <c r="B84" s="34" t="str">
        <f t="shared" si="1"/>
        <v>01-2026</v>
      </c>
      <c r="C84" s="39" t="s">
        <v>442</v>
      </c>
      <c r="D84" s="36" t="s">
        <v>191</v>
      </c>
      <c r="E84" s="36" t="s">
        <v>844</v>
      </c>
      <c r="F84" s="29" t="b">
        <v>1</v>
      </c>
      <c r="G84" s="34" t="s">
        <v>194</v>
      </c>
      <c r="H84" s="34" t="s">
        <v>194</v>
      </c>
      <c r="I84" s="34" t="s">
        <v>194</v>
      </c>
      <c r="J84" s="34" t="s">
        <v>194</v>
      </c>
      <c r="K84" s="34" t="s">
        <v>263</v>
      </c>
      <c r="L84" s="34" t="s">
        <v>264</v>
      </c>
      <c r="M84" s="48">
        <v>46267.0</v>
      </c>
      <c r="N84" s="50">
        <v>0.0</v>
      </c>
      <c r="O84" s="80"/>
      <c r="P84" s="34" t="s">
        <v>843</v>
      </c>
      <c r="Q84" s="21" t="s">
        <v>203</v>
      </c>
      <c r="R84" s="33"/>
      <c r="S84" s="33"/>
      <c r="T84" s="54" t="str">
        <f t="array" ref="T84">_xlfn.XLOOKUP(records_CAGass_2[roomNo], dCAGass[Room no.], dCAGass[Room Name])</f>
        <v>SYRUP PREPARATION</v>
      </c>
      <c r="U84" s="56" t="str">
        <f t="array" ref="U84">_xlfn.XLOOKUP(records_CAGass_2[roomNo], dCAGass[Room no.], dCAGass[Bld])</f>
        <v>Building 12</v>
      </c>
      <c r="V84" s="56" t="str">
        <f t="array" ref="V84">if(A84="","",_xlfn.XLOOKUP(records_CAGass_2[roomNo], dCAGass[Room no.], dCAGass[Floor]))</f>
        <v>Floor 2</v>
      </c>
      <c r="W84" s="43">
        <f t="array" ref="W84">_xlfn.XLOOKUP(records_CAGass_2[roomNo], dCAGass[Room no.], dCAGass[Spec])</f>
        <v>5</v>
      </c>
      <c r="X84" s="43">
        <f t="array" ref="X84">if(N84="","",IFERROR(_xlfn.xlookup(records_CAGass_2[ColonyCount]&amp;records_CAGass_2[AirSampler],feller[code],feller[Vc]),_xlfn.xlookup(9999&amp;records_CAGass_2[AirSampler],feller[code],feller[Vc])))</f>
        <v>0</v>
      </c>
      <c r="Y84" s="29" t="b">
        <v>0</v>
      </c>
      <c r="Z84" s="39" t="s">
        <v>280</v>
      </c>
      <c r="AA84" s="46"/>
      <c r="AB84" s="46" t="s">
        <v>844</v>
      </c>
      <c r="AC84" s="46"/>
      <c r="AD84" s="46"/>
      <c r="AE84" s="46"/>
      <c r="AF84" s="46"/>
      <c r="AG84" s="46"/>
      <c r="AH84" s="46"/>
      <c r="AI84" s="46"/>
    </row>
    <row r="85" ht="22.5" customHeight="1">
      <c r="A85" s="27">
        <v>46036.0</v>
      </c>
      <c r="B85" s="34" t="str">
        <f t="shared" si="1"/>
        <v>01-2026</v>
      </c>
      <c r="C85" s="39" t="s">
        <v>456</v>
      </c>
      <c r="D85" s="36" t="s">
        <v>191</v>
      </c>
      <c r="E85" s="36" t="s">
        <v>848</v>
      </c>
      <c r="F85" s="29" t="b">
        <v>1</v>
      </c>
      <c r="G85" s="34" t="s">
        <v>194</v>
      </c>
      <c r="H85" s="34" t="s">
        <v>194</v>
      </c>
      <c r="I85" s="34" t="s">
        <v>194</v>
      </c>
      <c r="J85" s="34" t="s">
        <v>194</v>
      </c>
      <c r="K85" s="34" t="s">
        <v>263</v>
      </c>
      <c r="L85" s="34" t="s">
        <v>264</v>
      </c>
      <c r="M85" s="48">
        <v>46267.0</v>
      </c>
      <c r="N85" s="50">
        <v>2.0</v>
      </c>
      <c r="O85" s="80"/>
      <c r="P85" s="34" t="s">
        <v>843</v>
      </c>
      <c r="Q85" s="21" t="s">
        <v>203</v>
      </c>
      <c r="R85" s="33"/>
      <c r="S85" s="33"/>
      <c r="T85" s="54" t="str">
        <f t="array" ref="T85">_xlfn.XLOOKUP(records_CAGass_2[roomNo], dCAGass[Room no.], dCAGass[Room Name])</f>
        <v>CIP 1</v>
      </c>
      <c r="U85" s="56" t="str">
        <f t="array" ref="U85">_xlfn.XLOOKUP(records_CAGass_2[roomNo], dCAGass[Room no.], dCAGass[Bld])</f>
        <v>Building 12</v>
      </c>
      <c r="V85" s="56" t="str">
        <f t="array" ref="V85">if(A85="","",_xlfn.XLOOKUP(records_CAGass_2[roomNo], dCAGass[Room no.], dCAGass[Floor]))</f>
        <v>Floor 2</v>
      </c>
      <c r="W85" s="43">
        <f t="array" ref="W85">_xlfn.XLOOKUP(records_CAGass_2[roomNo], dCAGass[Room no.], dCAGass[Spec])</f>
        <v>5</v>
      </c>
      <c r="X85" s="43">
        <f t="array" ref="X85">if(N85="","",IFERROR(_xlfn.xlookup(records_CAGass_2[ColonyCount]&amp;records_CAGass_2[AirSampler],feller[code],feller[Vc]),_xlfn.xlookup(9999&amp;records_CAGass_2[AirSampler],feller[code],feller[Vc])))</f>
        <v>2</v>
      </c>
      <c r="Y85" s="29" t="b">
        <v>0</v>
      </c>
      <c r="Z85" s="39" t="s">
        <v>280</v>
      </c>
      <c r="AA85" s="46"/>
      <c r="AB85" s="46" t="s">
        <v>848</v>
      </c>
      <c r="AC85" s="46"/>
      <c r="AD85" s="46"/>
      <c r="AE85" s="46"/>
      <c r="AF85" s="46"/>
      <c r="AG85" s="46"/>
      <c r="AH85" s="46"/>
      <c r="AI85" s="46"/>
    </row>
    <row r="86" ht="22.5" customHeight="1">
      <c r="A86" s="27">
        <v>46036.0</v>
      </c>
      <c r="B86" s="34" t="str">
        <f t="shared" si="1"/>
        <v>01-2026</v>
      </c>
      <c r="C86" s="39" t="s">
        <v>486</v>
      </c>
      <c r="D86" s="36" t="s">
        <v>191</v>
      </c>
      <c r="E86" s="36" t="s">
        <v>853</v>
      </c>
      <c r="F86" s="29" t="b">
        <v>1</v>
      </c>
      <c r="G86" s="34" t="s">
        <v>194</v>
      </c>
      <c r="H86" s="34" t="s">
        <v>194</v>
      </c>
      <c r="I86" s="34" t="s">
        <v>194</v>
      </c>
      <c r="J86" s="34" t="s">
        <v>194</v>
      </c>
      <c r="K86" s="34" t="s">
        <v>263</v>
      </c>
      <c r="L86" s="34" t="s">
        <v>264</v>
      </c>
      <c r="M86" s="48">
        <v>46267.0</v>
      </c>
      <c r="N86" s="50">
        <v>0.0</v>
      </c>
      <c r="O86" s="80"/>
      <c r="P86" s="34" t="s">
        <v>843</v>
      </c>
      <c r="Q86" s="21" t="s">
        <v>203</v>
      </c>
      <c r="R86" s="33"/>
      <c r="S86" s="33"/>
      <c r="T86" s="54" t="str">
        <f t="array" ref="T86">_xlfn.XLOOKUP(records_CAGass_2[roomNo], dCAGass[Room no.], dCAGass[Room Name])</f>
        <v>MFG 1</v>
      </c>
      <c r="U86" s="56" t="str">
        <f t="array" ref="U86">_xlfn.XLOOKUP(records_CAGass_2[roomNo], dCAGass[Room no.], dCAGass[Bld])</f>
        <v>Building 12</v>
      </c>
      <c r="V86" s="56" t="str">
        <f t="array" ref="V86">if(A86="","",_xlfn.XLOOKUP(records_CAGass_2[roomNo], dCAGass[Room no.], dCAGass[Floor]))</f>
        <v>Floor 2</v>
      </c>
      <c r="W86" s="43">
        <f t="array" ref="W86">_xlfn.XLOOKUP(records_CAGass_2[roomNo], dCAGass[Room no.], dCAGass[Spec])</f>
        <v>5</v>
      </c>
      <c r="X86" s="43">
        <f t="array" ref="X86">if(N86="","",IFERROR(_xlfn.xlookup(records_CAGass_2[ColonyCount]&amp;records_CAGass_2[AirSampler],feller[code],feller[Vc]),_xlfn.xlookup(9999&amp;records_CAGass_2[AirSampler],feller[code],feller[Vc])))</f>
        <v>0</v>
      </c>
      <c r="Y86" s="29" t="b">
        <v>0</v>
      </c>
      <c r="Z86" s="39" t="s">
        <v>280</v>
      </c>
      <c r="AA86" s="46"/>
      <c r="AB86" s="46" t="s">
        <v>853</v>
      </c>
      <c r="AC86" s="46"/>
      <c r="AD86" s="46"/>
      <c r="AE86" s="46"/>
      <c r="AF86" s="46"/>
      <c r="AG86" s="46"/>
      <c r="AH86" s="46"/>
      <c r="AI86" s="46"/>
    </row>
    <row r="87" ht="22.5" customHeight="1">
      <c r="A87" s="27">
        <v>46036.0</v>
      </c>
      <c r="B87" s="34" t="str">
        <f t="shared" si="1"/>
        <v>01-2026</v>
      </c>
      <c r="C87" s="39" t="s">
        <v>507</v>
      </c>
      <c r="D87" s="36" t="s">
        <v>191</v>
      </c>
      <c r="E87" s="36" t="s">
        <v>862</v>
      </c>
      <c r="F87" s="29" t="b">
        <v>1</v>
      </c>
      <c r="G87" s="34" t="s">
        <v>194</v>
      </c>
      <c r="H87" s="34" t="s">
        <v>194</v>
      </c>
      <c r="I87" s="34" t="s">
        <v>194</v>
      </c>
      <c r="J87" s="34" t="s">
        <v>194</v>
      </c>
      <c r="K87" s="34" t="s">
        <v>263</v>
      </c>
      <c r="L87" s="34" t="s">
        <v>264</v>
      </c>
      <c r="M87" s="48">
        <v>46267.0</v>
      </c>
      <c r="N87" s="50">
        <v>0.0</v>
      </c>
      <c r="O87" s="80"/>
      <c r="P87" s="34" t="s">
        <v>843</v>
      </c>
      <c r="Q87" s="21" t="s">
        <v>203</v>
      </c>
      <c r="R87" s="33"/>
      <c r="S87" s="33"/>
      <c r="T87" s="54" t="str">
        <f t="array" ref="T87">_xlfn.XLOOKUP(records_CAGass_2[roomNo], dCAGass[Room no.], dCAGass[Room Name])</f>
        <v>MFG 2</v>
      </c>
      <c r="U87" s="56" t="str">
        <f t="array" ref="U87">_xlfn.XLOOKUP(records_CAGass_2[roomNo], dCAGass[Room no.], dCAGass[Bld])</f>
        <v>Building 12</v>
      </c>
      <c r="V87" s="56" t="str">
        <f t="array" ref="V87">if(A87="","",_xlfn.XLOOKUP(records_CAGass_2[roomNo], dCAGass[Room no.], dCAGass[Floor]))</f>
        <v>Floor 2</v>
      </c>
      <c r="W87" s="43">
        <f t="array" ref="W87">_xlfn.XLOOKUP(records_CAGass_2[roomNo], dCAGass[Room no.], dCAGass[Spec])</f>
        <v>5</v>
      </c>
      <c r="X87" s="43">
        <f t="array" ref="X87">if(N87="","",IFERROR(_xlfn.xlookup(records_CAGass_2[ColonyCount]&amp;records_CAGass_2[AirSampler],feller[code],feller[Vc]),_xlfn.xlookup(9999&amp;records_CAGass_2[AirSampler],feller[code],feller[Vc])))</f>
        <v>0</v>
      </c>
      <c r="Y87" s="29" t="b">
        <v>0</v>
      </c>
      <c r="Z87" s="39" t="s">
        <v>280</v>
      </c>
      <c r="AA87" s="46"/>
      <c r="AB87" s="46" t="s">
        <v>862</v>
      </c>
      <c r="AC87" s="46"/>
      <c r="AD87" s="46"/>
      <c r="AE87" s="46"/>
      <c r="AF87" s="46"/>
      <c r="AG87" s="46"/>
      <c r="AH87" s="46"/>
      <c r="AI87" s="46"/>
    </row>
    <row r="88" ht="22.5" customHeight="1">
      <c r="A88" s="27">
        <v>46036.0</v>
      </c>
      <c r="B88" s="34" t="str">
        <f t="shared" si="1"/>
        <v>01-2026</v>
      </c>
      <c r="C88" s="39" t="s">
        <v>552</v>
      </c>
      <c r="D88" s="36" t="s">
        <v>191</v>
      </c>
      <c r="E88" s="36" t="s">
        <v>873</v>
      </c>
      <c r="F88" s="29" t="b">
        <v>1</v>
      </c>
      <c r="G88" s="34" t="s">
        <v>874</v>
      </c>
      <c r="H88" s="34" t="s">
        <v>875</v>
      </c>
      <c r="I88" s="34" t="s">
        <v>877</v>
      </c>
      <c r="J88" s="34" t="s">
        <v>194</v>
      </c>
      <c r="K88" s="34" t="s">
        <v>263</v>
      </c>
      <c r="L88" s="34" t="s">
        <v>264</v>
      </c>
      <c r="M88" s="48">
        <v>46267.0</v>
      </c>
      <c r="N88" s="50">
        <v>0.0</v>
      </c>
      <c r="O88" s="80"/>
      <c r="P88" s="34" t="s">
        <v>843</v>
      </c>
      <c r="Q88" s="21" t="s">
        <v>203</v>
      </c>
      <c r="R88" s="33"/>
      <c r="S88" s="33"/>
      <c r="T88" s="54" t="str">
        <f t="array" ref="T88">_xlfn.XLOOKUP(records_CAGass_2[roomNo], dCAGass[Room no.], dCAGass[Room Name])</f>
        <v>MFG 4</v>
      </c>
      <c r="U88" s="56" t="str">
        <f t="array" ref="U88">_xlfn.XLOOKUP(records_CAGass_2[roomNo], dCAGass[Room no.], dCAGass[Bld])</f>
        <v>Building 12</v>
      </c>
      <c r="V88" s="56" t="str">
        <f t="array" ref="V88">if(A88="","",_xlfn.XLOOKUP(records_CAGass_2[roomNo], dCAGass[Room no.], dCAGass[Floor]))</f>
        <v>Floor 2</v>
      </c>
      <c r="W88" s="43">
        <f t="array" ref="W88">_xlfn.XLOOKUP(records_CAGass_2[roomNo], dCAGass[Room no.], dCAGass[Spec])</f>
        <v>5</v>
      </c>
      <c r="X88" s="43">
        <f t="array" ref="X88">if(N88="","",IFERROR(_xlfn.xlookup(records_CAGass_2[ColonyCount]&amp;records_CAGass_2[AirSampler],feller[code],feller[Vc]),_xlfn.xlookup(9999&amp;records_CAGass_2[AirSampler],feller[code],feller[Vc])))</f>
        <v>0</v>
      </c>
      <c r="Y88" s="29" t="b">
        <v>0</v>
      </c>
      <c r="Z88" s="39" t="s">
        <v>280</v>
      </c>
      <c r="AA88" s="46"/>
      <c r="AB88" s="46" t="s">
        <v>873</v>
      </c>
      <c r="AC88" s="46"/>
      <c r="AD88" s="46"/>
      <c r="AE88" s="46"/>
      <c r="AF88" s="46"/>
      <c r="AG88" s="46"/>
      <c r="AH88" s="46"/>
      <c r="AI88" s="46"/>
    </row>
    <row r="89" ht="22.5" customHeight="1">
      <c r="A89" s="27">
        <v>46036.0</v>
      </c>
      <c r="B89" s="34" t="str">
        <f t="shared" si="1"/>
        <v>01-2026</v>
      </c>
      <c r="C89" s="39" t="s">
        <v>648</v>
      </c>
      <c r="D89" s="36" t="s">
        <v>191</v>
      </c>
      <c r="E89" s="36" t="s">
        <v>890</v>
      </c>
      <c r="F89" s="29" t="b">
        <v>1</v>
      </c>
      <c r="G89" s="34" t="s">
        <v>891</v>
      </c>
      <c r="H89" s="34" t="s">
        <v>893</v>
      </c>
      <c r="I89" s="34" t="s">
        <v>894</v>
      </c>
      <c r="J89" s="34" t="s">
        <v>194</v>
      </c>
      <c r="K89" s="34" t="s">
        <v>263</v>
      </c>
      <c r="L89" s="34" t="s">
        <v>264</v>
      </c>
      <c r="M89" s="48">
        <v>46267.0</v>
      </c>
      <c r="N89" s="50">
        <v>0.0</v>
      </c>
      <c r="O89" s="80"/>
      <c r="P89" s="34" t="s">
        <v>843</v>
      </c>
      <c r="Q89" s="21" t="s">
        <v>203</v>
      </c>
      <c r="R89" s="33"/>
      <c r="S89" s="33"/>
      <c r="T89" s="54" t="str">
        <f t="array" ref="T89">_xlfn.XLOOKUP(records_CAGass_2[roomNo], dCAGass[Room no.], dCAGass[Room Name])</f>
        <v>CIP 2</v>
      </c>
      <c r="U89" s="56" t="str">
        <f t="array" ref="U89">_xlfn.XLOOKUP(records_CAGass_2[roomNo], dCAGass[Room no.], dCAGass[Bld])</f>
        <v>Building 12</v>
      </c>
      <c r="V89" s="56" t="str">
        <f t="array" ref="V89">if(A89="","",_xlfn.XLOOKUP(records_CAGass_2[roomNo], dCAGass[Room no.], dCAGass[Floor]))</f>
        <v>Floor 2</v>
      </c>
      <c r="W89" s="43">
        <f t="array" ref="W89">_xlfn.XLOOKUP(records_CAGass_2[roomNo], dCAGass[Room no.], dCAGass[Spec])</f>
        <v>5</v>
      </c>
      <c r="X89" s="43">
        <f t="array" ref="X89">if(N89="","",IFERROR(_xlfn.xlookup(records_CAGass_2[ColonyCount]&amp;records_CAGass_2[AirSampler],feller[code],feller[Vc]),_xlfn.xlookup(9999&amp;records_CAGass_2[AirSampler],feller[code],feller[Vc])))</f>
        <v>0</v>
      </c>
      <c r="Y89" s="29" t="b">
        <v>0</v>
      </c>
      <c r="Z89" s="39" t="s">
        <v>280</v>
      </c>
      <c r="AA89" s="46"/>
      <c r="AB89" s="46" t="s">
        <v>890</v>
      </c>
      <c r="AC89" s="46"/>
      <c r="AD89" s="46"/>
      <c r="AE89" s="46"/>
      <c r="AF89" s="46"/>
      <c r="AG89" s="46"/>
      <c r="AH89" s="46"/>
      <c r="AI89" s="46"/>
    </row>
    <row r="90" ht="22.5" customHeight="1">
      <c r="A90" s="27">
        <v>46036.0</v>
      </c>
      <c r="B90" s="34" t="str">
        <f t="shared" si="1"/>
        <v>01-2026</v>
      </c>
      <c r="C90" s="39" t="s">
        <v>655</v>
      </c>
      <c r="D90" s="36" t="s">
        <v>191</v>
      </c>
      <c r="E90" s="36" t="s">
        <v>907</v>
      </c>
      <c r="F90" s="29" t="b">
        <v>1</v>
      </c>
      <c r="G90" s="34" t="s">
        <v>681</v>
      </c>
      <c r="H90" s="34" t="s">
        <v>908</v>
      </c>
      <c r="I90" s="34" t="s">
        <v>909</v>
      </c>
      <c r="J90" s="34" t="s">
        <v>194</v>
      </c>
      <c r="K90" s="34" t="s">
        <v>263</v>
      </c>
      <c r="L90" s="34" t="s">
        <v>264</v>
      </c>
      <c r="M90" s="48">
        <v>46267.0</v>
      </c>
      <c r="N90" s="50">
        <v>0.0</v>
      </c>
      <c r="O90" s="80"/>
      <c r="P90" s="34" t="s">
        <v>843</v>
      </c>
      <c r="Q90" s="21" t="s">
        <v>203</v>
      </c>
      <c r="R90" s="33"/>
      <c r="S90" s="33"/>
      <c r="T90" s="54" t="str">
        <f t="array" ref="T90">_xlfn.XLOOKUP(records_CAGass_2[roomNo], dCAGass[Room no.], dCAGass[Room Name])</f>
        <v>STAGING 1</v>
      </c>
      <c r="U90" s="56" t="str">
        <f t="array" ref="U90">_xlfn.XLOOKUP(records_CAGass_2[roomNo], dCAGass[Room no.], dCAGass[Bld])</f>
        <v>Building 12</v>
      </c>
      <c r="V90" s="56" t="str">
        <f t="array" ref="V90">if(A90="","",_xlfn.XLOOKUP(records_CAGass_2[roomNo], dCAGass[Room no.], dCAGass[Floor]))</f>
        <v>Floor 2</v>
      </c>
      <c r="W90" s="43">
        <f t="array" ref="W90">_xlfn.XLOOKUP(records_CAGass_2[roomNo], dCAGass[Room no.], dCAGass[Spec])</f>
        <v>5</v>
      </c>
      <c r="X90" s="43">
        <f t="array" ref="X90">if(N90="","",IFERROR(_xlfn.xlookup(records_CAGass_2[ColonyCount]&amp;records_CAGass_2[AirSampler],feller[code],feller[Vc]),_xlfn.xlookup(9999&amp;records_CAGass_2[AirSampler],feller[code],feller[Vc])))</f>
        <v>0</v>
      </c>
      <c r="Y90" s="29" t="b">
        <v>0</v>
      </c>
      <c r="Z90" s="39" t="s">
        <v>280</v>
      </c>
      <c r="AA90" s="46"/>
      <c r="AB90" s="46" t="s">
        <v>907</v>
      </c>
      <c r="AC90" s="46"/>
      <c r="AD90" s="46"/>
      <c r="AE90" s="46"/>
      <c r="AF90" s="46"/>
      <c r="AG90" s="46"/>
      <c r="AH90" s="46"/>
      <c r="AI90" s="46"/>
    </row>
    <row r="91" ht="22.5" customHeight="1">
      <c r="A91" s="27">
        <v>46036.0</v>
      </c>
      <c r="B91" s="34" t="str">
        <f t="shared" si="1"/>
        <v>01-2026</v>
      </c>
      <c r="C91" s="39" t="s">
        <v>719</v>
      </c>
      <c r="D91" s="36" t="s">
        <v>191</v>
      </c>
      <c r="E91" s="36" t="s">
        <v>922</v>
      </c>
      <c r="F91" s="29" t="b">
        <v>1</v>
      </c>
      <c r="G91" s="34" t="s">
        <v>638</v>
      </c>
      <c r="H91" s="34" t="s">
        <v>893</v>
      </c>
      <c r="I91" s="34" t="s">
        <v>431</v>
      </c>
      <c r="J91" s="34" t="s">
        <v>194</v>
      </c>
      <c r="K91" s="34" t="s">
        <v>263</v>
      </c>
      <c r="L91" s="34" t="s">
        <v>264</v>
      </c>
      <c r="M91" s="48">
        <v>46267.0</v>
      </c>
      <c r="N91" s="50">
        <v>0.0</v>
      </c>
      <c r="O91" s="80"/>
      <c r="P91" s="34" t="s">
        <v>843</v>
      </c>
      <c r="Q91" s="21" t="s">
        <v>203</v>
      </c>
      <c r="R91" s="33"/>
      <c r="S91" s="33"/>
      <c r="T91" s="54" t="str">
        <f t="array" ref="T91">_xlfn.XLOOKUP(records_CAGass_2[roomNo], dCAGass[Room no.], dCAGass[Room Name])</f>
        <v>WASHING</v>
      </c>
      <c r="U91" s="56" t="str">
        <f t="array" ref="U91">_xlfn.XLOOKUP(records_CAGass_2[roomNo], dCAGass[Room no.], dCAGass[Bld])</f>
        <v>Building 12</v>
      </c>
      <c r="V91" s="56" t="str">
        <f t="array" ref="V91">if(A91="","",_xlfn.XLOOKUP(records_CAGass_2[roomNo], dCAGass[Room no.], dCAGass[Floor]))</f>
        <v>Floor 2</v>
      </c>
      <c r="W91" s="43">
        <f t="array" ref="W91">_xlfn.XLOOKUP(records_CAGass_2[roomNo], dCAGass[Room no.], dCAGass[Spec])</f>
        <v>5</v>
      </c>
      <c r="X91" s="43">
        <f t="array" ref="X91">if(N91="","",IFERROR(_xlfn.xlookup(records_CAGass_2[ColonyCount]&amp;records_CAGass_2[AirSampler],feller[code],feller[Vc]),_xlfn.xlookup(9999&amp;records_CAGass_2[AirSampler],feller[code],feller[Vc])))</f>
        <v>0</v>
      </c>
      <c r="Y91" s="29" t="b">
        <v>0</v>
      </c>
      <c r="Z91" s="39" t="s">
        <v>280</v>
      </c>
      <c r="AA91" s="46"/>
      <c r="AB91" s="46" t="s">
        <v>922</v>
      </c>
      <c r="AC91" s="46"/>
      <c r="AD91" s="46"/>
      <c r="AE91" s="46"/>
      <c r="AF91" s="46"/>
      <c r="AG91" s="46"/>
      <c r="AH91" s="46"/>
      <c r="AI91" s="46"/>
    </row>
    <row r="92" ht="22.5" customHeight="1">
      <c r="A92" s="27">
        <v>46036.0</v>
      </c>
      <c r="B92" s="34" t="str">
        <f t="shared" si="1"/>
        <v>01-2026</v>
      </c>
      <c r="C92" s="39" t="s">
        <v>725</v>
      </c>
      <c r="D92" s="36" t="s">
        <v>191</v>
      </c>
      <c r="E92" s="36" t="s">
        <v>937</v>
      </c>
      <c r="F92" s="29" t="b">
        <v>1</v>
      </c>
      <c r="G92" s="34" t="s">
        <v>452</v>
      </c>
      <c r="H92" s="34" t="s">
        <v>938</v>
      </c>
      <c r="I92" s="34" t="s">
        <v>939</v>
      </c>
      <c r="J92" s="34" t="s">
        <v>194</v>
      </c>
      <c r="K92" s="34" t="s">
        <v>263</v>
      </c>
      <c r="L92" s="34" t="s">
        <v>264</v>
      </c>
      <c r="M92" s="48">
        <v>46267.0</v>
      </c>
      <c r="N92" s="50">
        <v>0.0</v>
      </c>
      <c r="O92" s="80"/>
      <c r="P92" s="34" t="s">
        <v>843</v>
      </c>
      <c r="Q92" s="21" t="s">
        <v>203</v>
      </c>
      <c r="R92" s="33"/>
      <c r="S92" s="33"/>
      <c r="T92" s="54" t="str">
        <f t="array" ref="T92">_xlfn.XLOOKUP(records_CAGass_2[roomNo], dCAGass[Room no.], dCAGass[Room Name])</f>
        <v>DRYING</v>
      </c>
      <c r="U92" s="56" t="str">
        <f t="array" ref="U92">_xlfn.XLOOKUP(records_CAGass_2[roomNo], dCAGass[Room no.], dCAGass[Bld])</f>
        <v>Building 12</v>
      </c>
      <c r="V92" s="56" t="str">
        <f t="array" ref="V92">if(A92="","",_xlfn.XLOOKUP(records_CAGass_2[roomNo], dCAGass[Room no.], dCAGass[Floor]))</f>
        <v>Floor 2</v>
      </c>
      <c r="W92" s="43">
        <f t="array" ref="W92">_xlfn.XLOOKUP(records_CAGass_2[roomNo], dCAGass[Room no.], dCAGass[Spec])</f>
        <v>5</v>
      </c>
      <c r="X92" s="43">
        <f t="array" ref="X92">if(N92="","",IFERROR(_xlfn.xlookup(records_CAGass_2[ColonyCount]&amp;records_CAGass_2[AirSampler],feller[code],feller[Vc]),_xlfn.xlookup(9999&amp;records_CAGass_2[AirSampler],feller[code],feller[Vc])))</f>
        <v>0</v>
      </c>
      <c r="Y92" s="29" t="b">
        <v>0</v>
      </c>
      <c r="Z92" s="39" t="s">
        <v>280</v>
      </c>
      <c r="AA92" s="46"/>
      <c r="AB92" s="46" t="s">
        <v>937</v>
      </c>
      <c r="AC92" s="46"/>
      <c r="AD92" s="46"/>
      <c r="AE92" s="46"/>
      <c r="AF92" s="46"/>
      <c r="AG92" s="46"/>
      <c r="AH92" s="46"/>
      <c r="AI92" s="46"/>
    </row>
    <row r="93" ht="22.5" customHeight="1">
      <c r="A93" s="68">
        <v>46037.0</v>
      </c>
      <c r="B93" s="70" t="str">
        <f t="shared" si="1"/>
        <v>01-2026</v>
      </c>
      <c r="C93" s="72" t="s">
        <v>945</v>
      </c>
      <c r="D93" s="71" t="s">
        <v>191</v>
      </c>
      <c r="E93" s="71" t="s">
        <v>947</v>
      </c>
      <c r="F93" s="29" t="b">
        <v>1</v>
      </c>
      <c r="G93" s="70" t="s">
        <v>339</v>
      </c>
      <c r="H93" s="70" t="s">
        <v>952</v>
      </c>
      <c r="I93" s="70" t="s">
        <v>954</v>
      </c>
      <c r="J93" s="70" t="s">
        <v>194</v>
      </c>
      <c r="K93" s="70" t="s">
        <v>263</v>
      </c>
      <c r="L93" s="70" t="s">
        <v>264</v>
      </c>
      <c r="M93" s="73">
        <v>46267.0</v>
      </c>
      <c r="N93" s="74">
        <v>1.0</v>
      </c>
      <c r="O93" s="75"/>
      <c r="P93" s="70" t="s">
        <v>956</v>
      </c>
      <c r="Q93" s="21" t="s">
        <v>203</v>
      </c>
      <c r="R93" s="33"/>
      <c r="S93" s="33"/>
      <c r="T93" s="77" t="str">
        <f t="array" ref="T93">_xlfn.XLOOKUP(records_CAGass_2[roomNo], dCAGass[Room no.], dCAGass[Room Name])</f>
        <v>SOLVENTS UNLOADING</v>
      </c>
      <c r="U93" s="81" t="str">
        <f t="array" ref="U93">_xlfn.XLOOKUP(records_CAGass_2[roomNo], dCAGass[Room no.], dCAGass[Bld])</f>
        <v>Building 12</v>
      </c>
      <c r="V93" s="81" t="str">
        <f t="array" ref="V93">if(A93="","",_xlfn.XLOOKUP(records_CAGass_2[roomNo], dCAGass[Room no.], dCAGass[Floor]))</f>
        <v>Floor 1</v>
      </c>
      <c r="W93" s="43">
        <f t="array" ref="W93">_xlfn.XLOOKUP(records_CAGass_2[roomNo], dCAGass[Room no.], dCAGass[Spec])</f>
        <v>5</v>
      </c>
      <c r="X93" s="43">
        <f t="array" ref="X93">if(N93="","",IFERROR(_xlfn.xlookup(records_CAGass_2[ColonyCount]&amp;records_CAGass_2[AirSampler],feller[code],feller[Vc]),_xlfn.xlookup(9999&amp;records_CAGass_2[AirSampler],feller[code],feller[Vc])))</f>
        <v>1</v>
      </c>
      <c r="Y93" s="29" t="b">
        <v>0</v>
      </c>
      <c r="Z93" s="39" t="s">
        <v>280</v>
      </c>
      <c r="AA93" s="46"/>
      <c r="AB93" s="46" t="s">
        <v>947</v>
      </c>
      <c r="AC93" s="46"/>
      <c r="AD93" s="46"/>
      <c r="AE93" s="46"/>
      <c r="AF93" s="46"/>
      <c r="AG93" s="46"/>
      <c r="AH93" s="46"/>
      <c r="AI93" s="46"/>
    </row>
    <row r="94" ht="22.5" customHeight="1">
      <c r="A94" s="27">
        <v>46037.0</v>
      </c>
      <c r="B94" s="34" t="str">
        <f t="shared" si="1"/>
        <v>01-2026</v>
      </c>
      <c r="C94" s="39" t="s">
        <v>321</v>
      </c>
      <c r="D94" s="36" t="s">
        <v>191</v>
      </c>
      <c r="E94" s="36" t="s">
        <v>949</v>
      </c>
      <c r="F94" s="29" t="b">
        <v>1</v>
      </c>
      <c r="G94" s="34" t="s">
        <v>353</v>
      </c>
      <c r="H94" s="34" t="s">
        <v>971</v>
      </c>
      <c r="I94" s="34" t="s">
        <v>972</v>
      </c>
      <c r="J94" s="34" t="s">
        <v>194</v>
      </c>
      <c r="K94" s="34" t="s">
        <v>263</v>
      </c>
      <c r="L94" s="34" t="s">
        <v>264</v>
      </c>
      <c r="M94" s="48">
        <v>46267.0</v>
      </c>
      <c r="N94" s="50">
        <v>251.0</v>
      </c>
      <c r="O94" s="80"/>
      <c r="P94" s="34" t="s">
        <v>956</v>
      </c>
      <c r="Q94" s="21" t="s">
        <v>203</v>
      </c>
      <c r="R94" s="33"/>
      <c r="S94" s="33"/>
      <c r="T94" s="54" t="str">
        <f t="array" ref="T94">_xlfn.XLOOKUP(records_CAGass_2[roomNo], dCAGass[Room no.], dCAGass[Room Name])</f>
        <v>LIQUORICE EXTRACT</v>
      </c>
      <c r="U94" s="56" t="str">
        <f t="array" ref="U94">_xlfn.XLOOKUP(records_CAGass_2[roomNo], dCAGass[Room no.], dCAGass[Bld])</f>
        <v>Building 12</v>
      </c>
      <c r="V94" s="56" t="str">
        <f t="array" ref="V94">if(A94="","",_xlfn.XLOOKUP(records_CAGass_2[roomNo], dCAGass[Room no.], dCAGass[Floor]))</f>
        <v>Floor 2</v>
      </c>
      <c r="W94" s="43">
        <f t="array" ref="W94">_xlfn.XLOOKUP(records_CAGass_2[roomNo], dCAGass[Room no.], dCAGass[Spec])</f>
        <v>5</v>
      </c>
      <c r="X94" s="43">
        <f t="array" ref="X94">if(N94="","",IFERROR(_xlfn.xlookup(records_CAGass_2[ColonyCount]&amp;records_CAGass_2[AirSampler],feller[code],feller[Vc]),_xlfn.xlookup(9999&amp;records_CAGass_2[AirSampler],feller[code],feller[Vc])))</f>
        <v>9999</v>
      </c>
      <c r="Y94" s="29" t="b">
        <v>1</v>
      </c>
      <c r="Z94" s="39" t="s">
        <v>280</v>
      </c>
      <c r="AA94" s="46"/>
      <c r="AB94" s="46" t="s">
        <v>949</v>
      </c>
      <c r="AC94" s="46"/>
      <c r="AD94" s="46"/>
      <c r="AE94" s="46"/>
      <c r="AF94" s="46"/>
      <c r="AG94" s="46"/>
      <c r="AH94" s="46"/>
      <c r="AI94" s="46"/>
    </row>
    <row r="95" ht="22.5" customHeight="1">
      <c r="A95" s="27">
        <v>46037.0</v>
      </c>
      <c r="B95" s="34" t="str">
        <f t="shared" si="1"/>
        <v>01-2026</v>
      </c>
      <c r="C95" s="39" t="s">
        <v>626</v>
      </c>
      <c r="D95" s="36" t="s">
        <v>191</v>
      </c>
      <c r="E95" s="36" t="s">
        <v>965</v>
      </c>
      <c r="F95" s="29" t="b">
        <v>1</v>
      </c>
      <c r="G95" s="34" t="s">
        <v>791</v>
      </c>
      <c r="H95" s="34" t="s">
        <v>983</v>
      </c>
      <c r="I95" s="34" t="s">
        <v>690</v>
      </c>
      <c r="J95" s="34" t="s">
        <v>194</v>
      </c>
      <c r="K95" s="34" t="s">
        <v>263</v>
      </c>
      <c r="L95" s="34" t="s">
        <v>264</v>
      </c>
      <c r="M95" s="48">
        <v>46267.0</v>
      </c>
      <c r="N95" s="50">
        <v>0.0</v>
      </c>
      <c r="O95" s="80"/>
      <c r="P95" s="34" t="s">
        <v>956</v>
      </c>
      <c r="Q95" s="21" t="s">
        <v>203</v>
      </c>
      <c r="R95" s="33"/>
      <c r="S95" s="33"/>
      <c r="T95" s="54" t="str">
        <f t="array" ref="T95">_xlfn.XLOOKUP(records_CAGass_2[roomNo], dCAGass[Room no.], dCAGass[Room Name])</f>
        <v>STAGING 3</v>
      </c>
      <c r="U95" s="56" t="str">
        <f t="array" ref="U95">_xlfn.XLOOKUP(records_CAGass_2[roomNo], dCAGass[Room no.], dCAGass[Bld])</f>
        <v>Building 12</v>
      </c>
      <c r="V95" s="56" t="str">
        <f t="array" ref="V95">if(A95="","",_xlfn.XLOOKUP(records_CAGass_2[roomNo], dCAGass[Room no.], dCAGass[Floor]))</f>
        <v>Floor 2</v>
      </c>
      <c r="W95" s="43">
        <f t="array" ref="W95">_xlfn.XLOOKUP(records_CAGass_2[roomNo], dCAGass[Room no.], dCAGass[Spec])</f>
        <v>5</v>
      </c>
      <c r="X95" s="43">
        <f t="array" ref="X95">if(N95="","",IFERROR(_xlfn.xlookup(records_CAGass_2[ColonyCount]&amp;records_CAGass_2[AirSampler],feller[code],feller[Vc]),_xlfn.xlookup(9999&amp;records_CAGass_2[AirSampler],feller[code],feller[Vc])))</f>
        <v>0</v>
      </c>
      <c r="Y95" s="29" t="b">
        <v>0</v>
      </c>
      <c r="Z95" s="39" t="s">
        <v>280</v>
      </c>
      <c r="AA95" s="46"/>
      <c r="AB95" s="46" t="s">
        <v>965</v>
      </c>
      <c r="AC95" s="46"/>
      <c r="AD95" s="46"/>
      <c r="AE95" s="46"/>
      <c r="AF95" s="46"/>
      <c r="AG95" s="46"/>
      <c r="AH95" s="46"/>
      <c r="AI95" s="46"/>
    </row>
    <row r="96" ht="22.5" customHeight="1">
      <c r="A96" s="27">
        <v>46037.0</v>
      </c>
      <c r="B96" s="34" t="str">
        <f t="shared" si="1"/>
        <v>01-2026</v>
      </c>
      <c r="C96" s="39" t="s">
        <v>635</v>
      </c>
      <c r="D96" s="36" t="s">
        <v>191</v>
      </c>
      <c r="E96" s="36" t="s">
        <v>967</v>
      </c>
      <c r="F96" s="29" t="b">
        <v>1</v>
      </c>
      <c r="G96" s="34" t="s">
        <v>787</v>
      </c>
      <c r="H96" s="34" t="s">
        <v>999</v>
      </c>
      <c r="I96" s="34" t="s">
        <v>571</v>
      </c>
      <c r="J96" s="34" t="s">
        <v>194</v>
      </c>
      <c r="K96" s="34" t="s">
        <v>263</v>
      </c>
      <c r="L96" s="34" t="s">
        <v>264</v>
      </c>
      <c r="M96" s="48">
        <v>46267.0</v>
      </c>
      <c r="N96" s="50">
        <v>0.0</v>
      </c>
      <c r="O96" s="80"/>
      <c r="P96" s="34" t="s">
        <v>956</v>
      </c>
      <c r="Q96" s="21" t="s">
        <v>203</v>
      </c>
      <c r="R96" s="33"/>
      <c r="S96" s="33"/>
      <c r="T96" s="54" t="str">
        <f t="array" ref="T96">_xlfn.XLOOKUP(records_CAGass_2[roomNo], dCAGass[Room no.], dCAGass[Room Name])</f>
        <v>CIP 3</v>
      </c>
      <c r="U96" s="56" t="str">
        <f t="array" ref="U96">_xlfn.XLOOKUP(records_CAGass_2[roomNo], dCAGass[Room no.], dCAGass[Bld])</f>
        <v>Building 12</v>
      </c>
      <c r="V96" s="56" t="str">
        <f t="array" ref="V96">if(A96="","",_xlfn.XLOOKUP(records_CAGass_2[roomNo], dCAGass[Room no.], dCAGass[Floor]))</f>
        <v>Floor 2</v>
      </c>
      <c r="W96" s="43">
        <f t="array" ref="W96">_xlfn.XLOOKUP(records_CAGass_2[roomNo], dCAGass[Room no.], dCAGass[Spec])</f>
        <v>5</v>
      </c>
      <c r="X96" s="43">
        <f t="array" ref="X96">if(N96="","",IFERROR(_xlfn.xlookup(records_CAGass_2[ColonyCount]&amp;records_CAGass_2[AirSampler],feller[code],feller[Vc]),_xlfn.xlookup(9999&amp;records_CAGass_2[AirSampler],feller[code],feller[Vc])))</f>
        <v>0</v>
      </c>
      <c r="Y96" s="29" t="b">
        <v>0</v>
      </c>
      <c r="Z96" s="39" t="s">
        <v>280</v>
      </c>
      <c r="AA96" s="46"/>
      <c r="AB96" s="46" t="s">
        <v>967</v>
      </c>
      <c r="AC96" s="46"/>
      <c r="AD96" s="46"/>
      <c r="AE96" s="46"/>
      <c r="AF96" s="46"/>
      <c r="AG96" s="46"/>
      <c r="AH96" s="46"/>
      <c r="AI96" s="46"/>
    </row>
    <row r="97" ht="22.5" customHeight="1">
      <c r="A97" s="27">
        <v>46037.0</v>
      </c>
      <c r="B97" s="34" t="str">
        <f t="shared" si="1"/>
        <v>01-2026</v>
      </c>
      <c r="C97" s="39" t="s">
        <v>642</v>
      </c>
      <c r="D97" s="36" t="s">
        <v>191</v>
      </c>
      <c r="E97" s="36" t="s">
        <v>969</v>
      </c>
      <c r="F97" s="29" t="b">
        <v>1</v>
      </c>
      <c r="G97" s="34" t="s">
        <v>330</v>
      </c>
      <c r="H97" s="34" t="s">
        <v>1012</v>
      </c>
      <c r="I97" s="34" t="s">
        <v>1013</v>
      </c>
      <c r="J97" s="34" t="s">
        <v>194</v>
      </c>
      <c r="K97" s="34" t="s">
        <v>263</v>
      </c>
      <c r="L97" s="34" t="s">
        <v>264</v>
      </c>
      <c r="M97" s="48">
        <v>46267.0</v>
      </c>
      <c r="N97" s="50">
        <v>0.0</v>
      </c>
      <c r="O97" s="80"/>
      <c r="P97" s="34" t="s">
        <v>956</v>
      </c>
      <c r="Q97" s="21" t="s">
        <v>203</v>
      </c>
      <c r="R97" s="33"/>
      <c r="S97" s="33"/>
      <c r="T97" s="54" t="str">
        <f t="array" ref="T97">_xlfn.XLOOKUP(records_CAGass_2[roomNo], dCAGass[Room no.], dCAGass[Room Name])</f>
        <v>STAGING 2</v>
      </c>
      <c r="U97" s="56" t="str">
        <f t="array" ref="U97">_xlfn.XLOOKUP(records_CAGass_2[roomNo], dCAGass[Room no.], dCAGass[Bld])</f>
        <v>Building 12</v>
      </c>
      <c r="V97" s="56" t="str">
        <f t="array" ref="V97">if(A97="","",_xlfn.XLOOKUP(records_CAGass_2[roomNo], dCAGass[Room no.], dCAGass[Floor]))</f>
        <v>Floor 2</v>
      </c>
      <c r="W97" s="43">
        <f t="array" ref="W97">_xlfn.XLOOKUP(records_CAGass_2[roomNo], dCAGass[Room no.], dCAGass[Spec])</f>
        <v>5</v>
      </c>
      <c r="X97" s="43">
        <f t="array" ref="X97">if(N97="","",IFERROR(_xlfn.xlookup(records_CAGass_2[ColonyCount]&amp;records_CAGass_2[AirSampler],feller[code],feller[Vc]),_xlfn.xlookup(9999&amp;records_CAGass_2[AirSampler],feller[code],feller[Vc])))</f>
        <v>0</v>
      </c>
      <c r="Y97" s="29" t="b">
        <v>0</v>
      </c>
      <c r="Z97" s="39" t="s">
        <v>280</v>
      </c>
      <c r="AA97" s="46"/>
      <c r="AB97" s="46" t="s">
        <v>969</v>
      </c>
      <c r="AC97" s="46"/>
      <c r="AD97" s="46"/>
      <c r="AE97" s="46"/>
      <c r="AF97" s="46"/>
      <c r="AG97" s="46"/>
      <c r="AH97" s="46"/>
      <c r="AI97" s="46"/>
    </row>
    <row r="98" ht="22.5" customHeight="1">
      <c r="A98" s="68">
        <v>46042.0</v>
      </c>
      <c r="B98" s="70" t="str">
        <f t="shared" si="1"/>
        <v>01-2026</v>
      </c>
      <c r="C98" s="95" t="s">
        <v>932</v>
      </c>
      <c r="D98" s="71" t="s">
        <v>191</v>
      </c>
      <c r="E98" s="71" t="s">
        <v>934</v>
      </c>
      <c r="F98" s="29" t="b">
        <v>1</v>
      </c>
      <c r="G98" s="70" t="s">
        <v>194</v>
      </c>
      <c r="H98" s="70" t="s">
        <v>194</v>
      </c>
      <c r="I98" s="70" t="s">
        <v>194</v>
      </c>
      <c r="J98" s="70" t="s">
        <v>194</v>
      </c>
      <c r="K98" s="70" t="s">
        <v>263</v>
      </c>
      <c r="L98" s="70" t="s">
        <v>264</v>
      </c>
      <c r="M98" s="73">
        <v>46267.0</v>
      </c>
      <c r="N98" s="74">
        <v>0.0</v>
      </c>
      <c r="O98" s="97"/>
      <c r="P98" s="70" t="s">
        <v>1032</v>
      </c>
      <c r="Q98" s="21" t="s">
        <v>203</v>
      </c>
      <c r="R98" s="33"/>
      <c r="S98" s="33"/>
      <c r="T98" s="77" t="str">
        <f t="array" ref="T98">_xlfn.XLOOKUP(records_CAGass_2[roomNo], dCAGass[Room no.], dCAGass[Room Name])</f>
        <v>TECHNICAL AREA Bld.11</v>
      </c>
      <c r="U98" s="81" t="str">
        <f t="array" ref="U98">_xlfn.XLOOKUP(records_CAGass_2[roomNo], dCAGass[Room no.], dCAGass[Bld])</f>
        <v>Building 11</v>
      </c>
      <c r="V98" s="81" t="str">
        <f t="array" ref="V98">if(A98="","",_xlfn.XLOOKUP(records_CAGass_2[roomNo], dCAGass[Room no.], dCAGass[Floor]))</f>
        <v>Floor 2</v>
      </c>
      <c r="W98" s="43">
        <f t="array" ref="W98">_xlfn.XLOOKUP(records_CAGass_2[roomNo], dCAGass[Room no.], dCAGass[Spec])</f>
        <v>5</v>
      </c>
      <c r="X98" s="43">
        <f t="array" ref="X98">if(N98="","",IFERROR(_xlfn.xlookup(records_CAGass_2[ColonyCount]&amp;records_CAGass_2[AirSampler],feller[code],feller[Vc]),_xlfn.xlookup(9999&amp;records_CAGass_2[AirSampler],feller[code],feller[Vc])))</f>
        <v>0</v>
      </c>
      <c r="Y98" s="29" t="b">
        <v>0</v>
      </c>
      <c r="Z98" s="39" t="s">
        <v>280</v>
      </c>
      <c r="AA98" s="46"/>
      <c r="AB98" s="46" t="s">
        <v>934</v>
      </c>
      <c r="AC98" s="46"/>
      <c r="AD98" s="46"/>
      <c r="AE98" s="46"/>
      <c r="AF98" s="46"/>
      <c r="AG98" s="46"/>
      <c r="AH98" s="46"/>
      <c r="AI98" s="46"/>
    </row>
    <row r="99" ht="22.5" customHeight="1">
      <c r="A99" s="68">
        <v>46051.0</v>
      </c>
      <c r="B99" s="70" t="str">
        <f t="shared" si="1"/>
        <v>01-2026</v>
      </c>
      <c r="C99" s="72" t="s">
        <v>945</v>
      </c>
      <c r="D99" s="71" t="s">
        <v>191</v>
      </c>
      <c r="E99" s="71" t="s">
        <v>947</v>
      </c>
      <c r="F99" s="29" t="b">
        <v>1</v>
      </c>
      <c r="G99" s="70" t="s">
        <v>484</v>
      </c>
      <c r="H99" s="70" t="s">
        <v>563</v>
      </c>
      <c r="I99" s="70" t="s">
        <v>1033</v>
      </c>
      <c r="J99" s="70" t="s">
        <v>194</v>
      </c>
      <c r="K99" s="70" t="s">
        <v>263</v>
      </c>
      <c r="L99" s="70" t="s">
        <v>264</v>
      </c>
      <c r="M99" s="73">
        <v>46267.0</v>
      </c>
      <c r="N99" s="74">
        <v>0.0</v>
      </c>
      <c r="O99" s="80"/>
      <c r="P99" s="70" t="s">
        <v>1034</v>
      </c>
      <c r="Q99" s="21" t="s">
        <v>203</v>
      </c>
      <c r="R99" s="33"/>
      <c r="S99" s="33"/>
      <c r="T99" s="77" t="str">
        <f t="array" ref="T99">_xlfn.XLOOKUP(records_CAGass_2[roomNo], dCAGass[Room no.], dCAGass[Room Name])</f>
        <v>SOLVENTS UNLOADING</v>
      </c>
      <c r="U99" s="81" t="str">
        <f t="array" ref="U99">_xlfn.XLOOKUP(records_CAGass_2[roomNo], dCAGass[Room no.], dCAGass[Bld])</f>
        <v>Building 12</v>
      </c>
      <c r="V99" s="81" t="str">
        <f t="array" ref="V99">if(A99="","",_xlfn.XLOOKUP(records_CAGass_2[roomNo], dCAGass[Room no.], dCAGass[Floor]))</f>
        <v>Floor 1</v>
      </c>
      <c r="W99" s="43">
        <f t="array" ref="W99">_xlfn.XLOOKUP(records_CAGass_2[roomNo], dCAGass[Room no.], dCAGass[Spec])</f>
        <v>5</v>
      </c>
      <c r="X99" s="43">
        <f t="array" ref="X99">if(N99="","",IFERROR(_xlfn.xlookup(records_CAGass_2[ColonyCount]&amp;records_CAGass_2[AirSampler],feller[code],feller[Vc]),_xlfn.xlookup(9999&amp;records_CAGass_2[AirSampler],feller[code],feller[Vc])))</f>
        <v>0</v>
      </c>
      <c r="Y99" s="29" t="b">
        <v>0</v>
      </c>
      <c r="Z99" s="39" t="s">
        <v>280</v>
      </c>
      <c r="AA99" s="46"/>
      <c r="AB99" s="46" t="s">
        <v>1026</v>
      </c>
      <c r="AC99" s="46"/>
      <c r="AD99" s="46"/>
      <c r="AE99" s="46"/>
      <c r="AF99" s="46"/>
      <c r="AG99" s="46"/>
      <c r="AH99" s="46"/>
      <c r="AI99" s="46"/>
    </row>
    <row r="100" ht="22.5" customHeight="1">
      <c r="A100" s="27">
        <v>46051.0</v>
      </c>
      <c r="B100" s="34" t="str">
        <f t="shared" si="1"/>
        <v>01-2026</v>
      </c>
      <c r="C100" s="39" t="s">
        <v>321</v>
      </c>
      <c r="D100" s="36" t="s">
        <v>191</v>
      </c>
      <c r="E100" s="36" t="s">
        <v>949</v>
      </c>
      <c r="F100" s="29" t="b">
        <v>1</v>
      </c>
      <c r="G100" s="34" t="s">
        <v>344</v>
      </c>
      <c r="H100" s="34" t="s">
        <v>1035</v>
      </c>
      <c r="I100" s="34" t="s">
        <v>1036</v>
      </c>
      <c r="J100" s="34" t="s">
        <v>194</v>
      </c>
      <c r="K100" s="34" t="s">
        <v>263</v>
      </c>
      <c r="L100" s="34" t="s">
        <v>264</v>
      </c>
      <c r="M100" s="48">
        <v>46267.0</v>
      </c>
      <c r="N100" s="50">
        <v>0.0</v>
      </c>
      <c r="O100" s="80"/>
      <c r="P100" s="34" t="s">
        <v>1034</v>
      </c>
      <c r="Q100" s="21" t="s">
        <v>203</v>
      </c>
      <c r="R100" s="33"/>
      <c r="S100" s="33"/>
      <c r="T100" s="54" t="str">
        <f t="array" ref="T100">_xlfn.XLOOKUP(records_CAGass_2[roomNo], dCAGass[Room no.], dCAGass[Room Name])</f>
        <v>LIQUORICE EXTRACT</v>
      </c>
      <c r="U100" s="56" t="str">
        <f t="array" ref="U100">_xlfn.XLOOKUP(records_CAGass_2[roomNo], dCAGass[Room no.], dCAGass[Bld])</f>
        <v>Building 12</v>
      </c>
      <c r="V100" s="56" t="str">
        <f t="array" ref="V100">if(A100="","",_xlfn.XLOOKUP(records_CAGass_2[roomNo], dCAGass[Room no.], dCAGass[Floor]))</f>
        <v>Floor 2</v>
      </c>
      <c r="W100" s="43">
        <f t="array" ref="W100">_xlfn.XLOOKUP(records_CAGass_2[roomNo], dCAGass[Room no.], dCAGass[Spec])</f>
        <v>5</v>
      </c>
      <c r="X100" s="43">
        <f t="array" ref="X100">if(N100="","",IFERROR(_xlfn.xlookup(records_CAGass_2[ColonyCount]&amp;records_CAGass_2[AirSampler],feller[code],feller[Vc]),_xlfn.xlookup(9999&amp;records_CAGass_2[AirSampler],feller[code],feller[Vc])))</f>
        <v>0</v>
      </c>
      <c r="Y100" s="29" t="b">
        <v>0</v>
      </c>
      <c r="Z100" s="39" t="s">
        <v>280</v>
      </c>
      <c r="AA100" s="46"/>
      <c r="AB100" s="46" t="s">
        <v>1028</v>
      </c>
      <c r="AC100" s="46"/>
      <c r="AD100" s="46"/>
      <c r="AE100" s="46"/>
      <c r="AF100" s="46"/>
      <c r="AG100" s="46"/>
      <c r="AH100" s="46"/>
      <c r="AI100" s="46"/>
    </row>
    <row r="101" ht="22.5" customHeight="1">
      <c r="A101" s="27">
        <v>46051.0</v>
      </c>
      <c r="B101" s="34" t="str">
        <f t="shared" si="1"/>
        <v>01-2026</v>
      </c>
      <c r="C101" s="39" t="s">
        <v>1024</v>
      </c>
      <c r="D101" s="36" t="s">
        <v>1021</v>
      </c>
      <c r="E101" s="36" t="s">
        <v>1026</v>
      </c>
      <c r="F101" s="29" t="b">
        <v>1</v>
      </c>
      <c r="G101" s="34" t="s">
        <v>194</v>
      </c>
      <c r="H101" s="34" t="s">
        <v>194</v>
      </c>
      <c r="I101" s="34" t="s">
        <v>369</v>
      </c>
      <c r="J101" s="34" t="s">
        <v>194</v>
      </c>
      <c r="K101" s="34" t="s">
        <v>263</v>
      </c>
      <c r="L101" s="34" t="s">
        <v>264</v>
      </c>
      <c r="M101" s="48">
        <v>46267.0</v>
      </c>
      <c r="N101" s="50">
        <v>0.0</v>
      </c>
      <c r="O101" s="80"/>
      <c r="P101" s="34" t="s">
        <v>1039</v>
      </c>
      <c r="Q101" s="21" t="s">
        <v>203</v>
      </c>
      <c r="R101" s="33"/>
      <c r="S101" s="33"/>
      <c r="T101" s="54" t="str">
        <f t="array" ref="T101">_xlfn.XLOOKUP(records_CAGass_2[roomNo], dCAGass[Room no.], dCAGass[Room Name])</f>
        <v>DISINFECTANT PREPARATION</v>
      </c>
      <c r="U101" s="56" t="str">
        <f t="array" ref="U101">_xlfn.XLOOKUP(records_CAGass_2[roomNo], dCAGass[Room no.], dCAGass[Bld])</f>
        <v>Building 16</v>
      </c>
      <c r="V101" s="56" t="str">
        <f t="array" ref="V101">if(A101="","",_xlfn.XLOOKUP(records_CAGass_2[roomNo], dCAGass[Room no.], dCAGass[Floor]))</f>
        <v>Floor 1</v>
      </c>
      <c r="W101" s="43">
        <f t="array" ref="W101">_xlfn.XLOOKUP(records_CAGass_2[roomNo], dCAGass[Room no.], dCAGass[Spec])</f>
        <v>0</v>
      </c>
      <c r="X101" s="43">
        <f t="array" ref="X101">if(N101="","",IFERROR(_xlfn.xlookup(records_CAGass_2[ColonyCount]&amp;records_CAGass_2[AirSampler],feller[code],feller[Vc]),_xlfn.xlookup(9999&amp;records_CAGass_2[AirSampler],feller[code],feller[Vc])))</f>
        <v>0</v>
      </c>
      <c r="Y101" s="29" t="b">
        <v>0</v>
      </c>
      <c r="Z101" s="39" t="s">
        <v>280</v>
      </c>
      <c r="AA101" s="46"/>
      <c r="AB101" s="46" t="s">
        <v>1030</v>
      </c>
      <c r="AC101" s="46"/>
      <c r="AD101" s="46"/>
      <c r="AE101" s="46"/>
      <c r="AF101" s="46"/>
      <c r="AG101" s="46"/>
      <c r="AH101" s="46"/>
      <c r="AI101" s="46"/>
    </row>
    <row r="102" ht="22.5" customHeight="1">
      <c r="A102" s="18">
        <v>46057.0</v>
      </c>
      <c r="B102" s="20" t="str">
        <f t="shared" si="1"/>
        <v>02-2026</v>
      </c>
      <c r="C102" s="32" t="s">
        <v>729</v>
      </c>
      <c r="D102" s="21" t="s">
        <v>1021</v>
      </c>
      <c r="E102" s="21" t="s">
        <v>1028</v>
      </c>
      <c r="F102" s="29" t="b">
        <v>1</v>
      </c>
      <c r="G102" s="20" t="s">
        <v>194</v>
      </c>
      <c r="H102" s="20" t="s">
        <v>194</v>
      </c>
      <c r="I102" s="20" t="s">
        <v>954</v>
      </c>
      <c r="J102" s="20" t="s">
        <v>194</v>
      </c>
      <c r="K102" s="20" t="s">
        <v>263</v>
      </c>
      <c r="L102" s="20" t="s">
        <v>264</v>
      </c>
      <c r="M102" s="30">
        <v>46267.0</v>
      </c>
      <c r="N102" s="31">
        <v>0.0</v>
      </c>
      <c r="O102" s="80"/>
      <c r="P102" s="20" t="s">
        <v>1042</v>
      </c>
      <c r="Q102" s="21" t="s">
        <v>203</v>
      </c>
      <c r="R102" s="33"/>
      <c r="S102" s="33"/>
      <c r="T102" s="35" t="str">
        <f t="array" ref="T102">_xlfn.XLOOKUP(records_CAGass_2[roomNo], dCAGass[Room no.], dCAGass[Room Name])</f>
        <v>FILTRATION 2</v>
      </c>
      <c r="U102" s="38" t="str">
        <f t="array" ref="U102">_xlfn.XLOOKUP(records_CAGass_2[roomNo], dCAGass[Room no.], dCAGass[Bld])</f>
        <v>Building 16</v>
      </c>
      <c r="V102" s="38" t="str">
        <f t="array" ref="V102">if(A102="","",_xlfn.XLOOKUP(records_CAGass_2[roomNo], dCAGass[Room no.], dCAGass[Floor]))</f>
        <v>Floor 1</v>
      </c>
      <c r="W102" s="43">
        <f t="array" ref="W102">_xlfn.XLOOKUP(records_CAGass_2[roomNo], dCAGass[Room no.], dCAGass[Spec])</f>
        <v>0</v>
      </c>
      <c r="X102" s="43">
        <f t="array" ref="X102">if(N102="","",IFERROR(_xlfn.xlookup(records_CAGass_2[ColonyCount]&amp;records_CAGass_2[AirSampler],feller[code],feller[Vc]),_xlfn.xlookup(9999&amp;records_CAGass_2[AirSampler],feller[code],feller[Vc])))</f>
        <v>0</v>
      </c>
      <c r="Y102" s="29" t="b">
        <v>0</v>
      </c>
      <c r="Z102" s="39" t="s">
        <v>280</v>
      </c>
      <c r="AA102" s="46"/>
      <c r="AB102" s="46" t="s">
        <v>1023</v>
      </c>
      <c r="AC102" s="46"/>
      <c r="AD102" s="46"/>
      <c r="AE102" s="46"/>
      <c r="AF102" s="46"/>
      <c r="AG102" s="46"/>
      <c r="AH102" s="46"/>
      <c r="AI102" s="46"/>
    </row>
    <row r="103" ht="22.5" customHeight="1">
      <c r="A103" s="68">
        <v>46058.0</v>
      </c>
      <c r="B103" s="70" t="str">
        <f t="shared" si="1"/>
        <v>02-2026</v>
      </c>
      <c r="C103" s="72" t="s">
        <v>765</v>
      </c>
      <c r="D103" s="71" t="s">
        <v>1021</v>
      </c>
      <c r="E103" s="71" t="s">
        <v>1030</v>
      </c>
      <c r="F103" s="29" t="b">
        <v>1</v>
      </c>
      <c r="G103" s="70" t="s">
        <v>569</v>
      </c>
      <c r="H103" s="70" t="s">
        <v>608</v>
      </c>
      <c r="I103" s="70" t="s">
        <v>194</v>
      </c>
      <c r="J103" s="70" t="s">
        <v>194</v>
      </c>
      <c r="K103" s="70" t="s">
        <v>263</v>
      </c>
      <c r="L103" s="70" t="s">
        <v>264</v>
      </c>
      <c r="M103" s="73">
        <v>46267.0</v>
      </c>
      <c r="N103" s="74">
        <v>0.0</v>
      </c>
      <c r="O103" s="80"/>
      <c r="P103" s="70" t="s">
        <v>1046</v>
      </c>
      <c r="Q103" s="21" t="s">
        <v>203</v>
      </c>
      <c r="R103" s="33"/>
      <c r="S103" s="33"/>
      <c r="T103" s="77" t="str">
        <f t="array" ref="T103">_xlfn.XLOOKUP(records_CAGass_2[roomNo], dCAGass[Room no.], dCAGass[Room Name])</f>
        <v>FILLING 2</v>
      </c>
      <c r="U103" s="81" t="str">
        <f t="array" ref="U103">_xlfn.XLOOKUP(records_CAGass_2[roomNo], dCAGass[Room no.], dCAGass[Bld])</f>
        <v>Building 16</v>
      </c>
      <c r="V103" s="81" t="str">
        <f t="array" ref="V103">if(A103="","",_xlfn.XLOOKUP(records_CAGass_2[roomNo], dCAGass[Room no.], dCAGass[Floor]))</f>
        <v>Floor 1</v>
      </c>
      <c r="W103" s="43">
        <f t="array" ref="W103">_xlfn.XLOOKUP(records_CAGass_2[roomNo], dCAGass[Room no.], dCAGass[Spec])</f>
        <v>0</v>
      </c>
      <c r="X103" s="43">
        <f t="array" ref="X103">if(N103="","",IFERROR(_xlfn.xlookup(records_CAGass_2[ColonyCount]&amp;records_CAGass_2[AirSampler],feller[code],feller[Vc]),_xlfn.xlookup(9999&amp;records_CAGass_2[AirSampler],feller[code],feller[Vc])))</f>
        <v>0</v>
      </c>
      <c r="Y103" s="29" t="b">
        <v>0</v>
      </c>
      <c r="Z103" s="39" t="s">
        <v>280</v>
      </c>
      <c r="AA103" s="46"/>
      <c r="AB103" s="46" t="s">
        <v>1020</v>
      </c>
      <c r="AC103" s="46"/>
      <c r="AD103" s="46"/>
      <c r="AE103" s="46"/>
      <c r="AF103" s="46"/>
      <c r="AG103" s="46"/>
      <c r="AH103" s="46"/>
      <c r="AI103" s="46"/>
    </row>
    <row r="104" ht="22.5" customHeight="1">
      <c r="A104" s="27">
        <v>46058.0</v>
      </c>
      <c r="B104" s="34" t="str">
        <f t="shared" si="1"/>
        <v>02-2026</v>
      </c>
      <c r="C104" s="39" t="s">
        <v>740</v>
      </c>
      <c r="D104" s="36" t="s">
        <v>1021</v>
      </c>
      <c r="E104" s="36" t="s">
        <v>1023</v>
      </c>
      <c r="F104" s="29" t="b">
        <v>1</v>
      </c>
      <c r="G104" s="34" t="s">
        <v>317</v>
      </c>
      <c r="H104" s="34" t="s">
        <v>407</v>
      </c>
      <c r="I104" s="34" t="s">
        <v>194</v>
      </c>
      <c r="J104" s="34" t="s">
        <v>194</v>
      </c>
      <c r="K104" s="34" t="s">
        <v>263</v>
      </c>
      <c r="L104" s="34" t="s">
        <v>264</v>
      </c>
      <c r="M104" s="48">
        <v>46267.0</v>
      </c>
      <c r="N104" s="50">
        <v>0.0</v>
      </c>
      <c r="O104" s="80"/>
      <c r="P104" s="34" t="s">
        <v>1046</v>
      </c>
      <c r="Q104" s="21" t="s">
        <v>203</v>
      </c>
      <c r="R104" s="33"/>
      <c r="S104" s="33"/>
      <c r="T104" s="54" t="str">
        <f t="array" ref="T104">_xlfn.XLOOKUP(records_CAGass_2[roomNo], dCAGass[Room no.], dCAGass[Room Name])</f>
        <v>FILTRATION 1</v>
      </c>
      <c r="U104" s="56" t="str">
        <f t="array" ref="U104">_xlfn.XLOOKUP(records_CAGass_2[roomNo], dCAGass[Room no.], dCAGass[Bld])</f>
        <v>Building 16</v>
      </c>
      <c r="V104" s="56" t="str">
        <f t="array" ref="V104">if(A104="","",_xlfn.XLOOKUP(records_CAGass_2[roomNo], dCAGass[Room no.], dCAGass[Floor]))</f>
        <v>Floor 1</v>
      </c>
      <c r="W104" s="43">
        <f t="array" ref="W104">_xlfn.XLOOKUP(records_CAGass_2[roomNo], dCAGass[Room no.], dCAGass[Spec])</f>
        <v>0</v>
      </c>
      <c r="X104" s="43">
        <f t="array" ref="X104">if(N104="","",IFERROR(_xlfn.xlookup(records_CAGass_2[ColonyCount]&amp;records_CAGass_2[AirSampler],feller[code],feller[Vc]),_xlfn.xlookup(9999&amp;records_CAGass_2[AirSampler],feller[code],feller[Vc])))</f>
        <v>0</v>
      </c>
      <c r="Y104" s="29" t="b">
        <v>0</v>
      </c>
      <c r="Z104" s="39" t="s">
        <v>280</v>
      </c>
      <c r="AA104" s="46"/>
      <c r="AB104" s="46" t="s">
        <v>1022</v>
      </c>
      <c r="AC104" s="46"/>
      <c r="AD104" s="46"/>
      <c r="AE104" s="46"/>
      <c r="AF104" s="46"/>
      <c r="AG104" s="46"/>
      <c r="AH104" s="46"/>
      <c r="AI104" s="46"/>
    </row>
    <row r="105" ht="22.5" customHeight="1">
      <c r="A105" s="27">
        <v>46058.0</v>
      </c>
      <c r="B105" s="34" t="str">
        <f t="shared" si="1"/>
        <v>02-2026</v>
      </c>
      <c r="C105" s="39" t="s">
        <v>774</v>
      </c>
      <c r="D105" s="36" t="s">
        <v>1021</v>
      </c>
      <c r="E105" s="36" t="s">
        <v>1020</v>
      </c>
      <c r="F105" s="29" t="b">
        <v>1</v>
      </c>
      <c r="G105" s="34" t="s">
        <v>314</v>
      </c>
      <c r="H105" s="34" t="s">
        <v>1054</v>
      </c>
      <c r="I105" s="34" t="s">
        <v>194</v>
      </c>
      <c r="J105" s="34" t="s">
        <v>194</v>
      </c>
      <c r="K105" s="34" t="s">
        <v>263</v>
      </c>
      <c r="L105" s="34" t="s">
        <v>264</v>
      </c>
      <c r="M105" s="48">
        <v>46267.0</v>
      </c>
      <c r="N105" s="50">
        <v>0.0</v>
      </c>
      <c r="O105" s="80"/>
      <c r="P105" s="34" t="s">
        <v>1046</v>
      </c>
      <c r="Q105" s="21" t="s">
        <v>203</v>
      </c>
      <c r="R105" s="33"/>
      <c r="S105" s="33"/>
      <c r="T105" s="54" t="str">
        <f t="array" ref="T105">_xlfn.XLOOKUP(records_CAGass_2[roomNo], dCAGass[Room no.], dCAGass[Room Name])</f>
        <v>FILLING 1</v>
      </c>
      <c r="U105" s="56" t="str">
        <f t="array" ref="U105">_xlfn.XLOOKUP(records_CAGass_2[roomNo], dCAGass[Room no.], dCAGass[Bld])</f>
        <v>Building 16</v>
      </c>
      <c r="V105" s="56" t="str">
        <f t="array" ref="V105">if(A105="","",_xlfn.XLOOKUP(records_CAGass_2[roomNo], dCAGass[Room no.], dCAGass[Floor]))</f>
        <v>Floor 1</v>
      </c>
      <c r="W105" s="43">
        <f t="array" ref="W105">_xlfn.XLOOKUP(records_CAGass_2[roomNo], dCAGass[Room no.], dCAGass[Spec])</f>
        <v>0</v>
      </c>
      <c r="X105" s="43">
        <f t="array" ref="X105">if(N105="","",IFERROR(_xlfn.xlookup(records_CAGass_2[ColonyCount]&amp;records_CAGass_2[AirSampler],feller[code],feller[Vc]),_xlfn.xlookup(9999&amp;records_CAGass_2[AirSampler],feller[code],feller[Vc])))</f>
        <v>0</v>
      </c>
      <c r="Y105" s="29" t="b">
        <v>0</v>
      </c>
      <c r="Z105" s="39" t="s">
        <v>280</v>
      </c>
      <c r="AA105" s="46"/>
      <c r="AB105" s="46" t="s">
        <v>1027</v>
      </c>
      <c r="AC105" s="46"/>
      <c r="AD105" s="46"/>
      <c r="AE105" s="46"/>
      <c r="AF105" s="46"/>
      <c r="AG105" s="46"/>
      <c r="AH105" s="46"/>
      <c r="AI105" s="46"/>
    </row>
    <row r="106" ht="22.5" customHeight="1">
      <c r="A106" s="27">
        <v>46058.0</v>
      </c>
      <c r="B106" s="34" t="str">
        <f t="shared" si="1"/>
        <v>02-2026</v>
      </c>
      <c r="C106" s="39" t="s">
        <v>763</v>
      </c>
      <c r="D106" s="36" t="s">
        <v>1021</v>
      </c>
      <c r="E106" s="36" t="s">
        <v>1022</v>
      </c>
      <c r="F106" s="29" t="b">
        <v>1</v>
      </c>
      <c r="G106" s="34" t="s">
        <v>292</v>
      </c>
      <c r="H106" s="34" t="s">
        <v>1072</v>
      </c>
      <c r="I106" s="34" t="s">
        <v>194</v>
      </c>
      <c r="J106" s="34" t="s">
        <v>194</v>
      </c>
      <c r="K106" s="34" t="s">
        <v>263</v>
      </c>
      <c r="L106" s="34" t="s">
        <v>264</v>
      </c>
      <c r="M106" s="48">
        <v>46267.0</v>
      </c>
      <c r="N106" s="50">
        <v>0.0</v>
      </c>
      <c r="O106" s="80"/>
      <c r="P106" s="34" t="s">
        <v>1046</v>
      </c>
      <c r="Q106" s="21" t="s">
        <v>203</v>
      </c>
      <c r="R106" s="33"/>
      <c r="S106" s="33"/>
      <c r="T106" s="54" t="str">
        <f t="array" ref="T106">_xlfn.XLOOKUP(records_CAGass_2[roomNo], dCAGass[Room no.], dCAGass[Room Name])</f>
        <v>COMPOUNDING 1</v>
      </c>
      <c r="U106" s="56" t="str">
        <f t="array" ref="U106">_xlfn.XLOOKUP(records_CAGass_2[roomNo], dCAGass[Room no.], dCAGass[Bld])</f>
        <v>Building 16</v>
      </c>
      <c r="V106" s="56" t="str">
        <f t="array" ref="V106">if(A106="","",_xlfn.XLOOKUP(records_CAGass_2[roomNo], dCAGass[Room no.], dCAGass[Floor]))</f>
        <v>Floor 1</v>
      </c>
      <c r="W106" s="43">
        <f t="array" ref="W106">_xlfn.XLOOKUP(records_CAGass_2[roomNo], dCAGass[Room no.], dCAGass[Spec])</f>
        <v>0</v>
      </c>
      <c r="X106" s="43">
        <f t="array" ref="X106">if(N106="","",IFERROR(_xlfn.xlookup(records_CAGass_2[ColonyCount]&amp;records_CAGass_2[AirSampler],feller[code],feller[Vc]),_xlfn.xlookup(9999&amp;records_CAGass_2[AirSampler],feller[code],feller[Vc])))</f>
        <v>0</v>
      </c>
      <c r="Y106" s="29" t="b">
        <v>0</v>
      </c>
      <c r="Z106" s="39" t="s">
        <v>280</v>
      </c>
      <c r="AA106" s="46"/>
      <c r="AB106" s="46" t="s">
        <v>988</v>
      </c>
      <c r="AC106" s="46"/>
      <c r="AD106" s="46"/>
      <c r="AE106" s="46"/>
      <c r="AF106" s="46"/>
      <c r="AG106" s="46"/>
      <c r="AH106" s="46"/>
      <c r="AI106" s="46"/>
    </row>
    <row r="107" ht="22.5" customHeight="1">
      <c r="A107" s="18">
        <v>46058.0</v>
      </c>
      <c r="B107" s="20" t="str">
        <f t="shared" si="1"/>
        <v>02-2026</v>
      </c>
      <c r="C107" s="32" t="s">
        <v>776</v>
      </c>
      <c r="D107" s="21" t="s">
        <v>1021</v>
      </c>
      <c r="E107" s="21" t="s">
        <v>1027</v>
      </c>
      <c r="F107" s="29" t="b">
        <v>1</v>
      </c>
      <c r="G107" s="20" t="s">
        <v>1087</v>
      </c>
      <c r="H107" s="20" t="s">
        <v>1088</v>
      </c>
      <c r="I107" s="20" t="s">
        <v>194</v>
      </c>
      <c r="J107" s="20" t="s">
        <v>194</v>
      </c>
      <c r="K107" s="20" t="s">
        <v>263</v>
      </c>
      <c r="L107" s="20" t="s">
        <v>264</v>
      </c>
      <c r="M107" s="30">
        <v>46267.0</v>
      </c>
      <c r="N107" s="31">
        <v>0.0</v>
      </c>
      <c r="O107" s="80"/>
      <c r="P107" s="34" t="s">
        <v>1046</v>
      </c>
      <c r="Q107" s="21" t="s">
        <v>203</v>
      </c>
      <c r="R107" s="33"/>
      <c r="S107" s="33"/>
      <c r="T107" s="35" t="str">
        <f t="array" ref="T107">_xlfn.XLOOKUP(records_CAGass_2[roomNo], dCAGass[Room no.], dCAGass[Room Name])</f>
        <v>COMPOUNDING 2</v>
      </c>
      <c r="U107" s="38" t="str">
        <f t="array" ref="U107">_xlfn.XLOOKUP(records_CAGass_2[roomNo], dCAGass[Room no.], dCAGass[Bld])</f>
        <v>Building 16</v>
      </c>
      <c r="V107" s="38" t="str">
        <f t="array" ref="V107">if(A107="","",_xlfn.XLOOKUP(records_CAGass_2[roomNo], dCAGass[Room no.], dCAGass[Floor]))</f>
        <v>Floor 1</v>
      </c>
      <c r="W107" s="43">
        <f t="array" ref="W107">_xlfn.XLOOKUP(records_CAGass_2[roomNo], dCAGass[Room no.], dCAGass[Spec])</f>
        <v>0</v>
      </c>
      <c r="X107" s="43">
        <f t="array" ref="X107">if(N107="","",IFERROR(_xlfn.xlookup(records_CAGass_2[ColonyCount]&amp;records_CAGass_2[AirSampler],feller[code],feller[Vc]),_xlfn.xlookup(9999&amp;records_CAGass_2[AirSampler],feller[code],feller[Vc])))</f>
        <v>0</v>
      </c>
      <c r="Y107" s="29" t="b">
        <v>0</v>
      </c>
      <c r="Z107" s="39" t="s">
        <v>280</v>
      </c>
      <c r="AA107" s="46"/>
      <c r="AB107" s="46" t="s">
        <v>993</v>
      </c>
      <c r="AC107" s="46"/>
      <c r="AD107" s="46"/>
      <c r="AE107" s="46"/>
      <c r="AF107" s="46"/>
      <c r="AG107" s="46"/>
      <c r="AH107" s="46"/>
      <c r="AI107" s="46"/>
    </row>
    <row r="108" ht="22.5" customHeight="1">
      <c r="A108" s="68">
        <v>46065.0</v>
      </c>
      <c r="B108" s="70" t="str">
        <f t="shared" si="1"/>
        <v>02-2026</v>
      </c>
      <c r="C108" s="70" t="s">
        <v>987</v>
      </c>
      <c r="D108" s="71" t="s">
        <v>191</v>
      </c>
      <c r="E108" s="71" t="s">
        <v>988</v>
      </c>
      <c r="F108" s="29" t="b">
        <v>1</v>
      </c>
      <c r="G108" s="70" t="s">
        <v>194</v>
      </c>
      <c r="H108" s="70" t="s">
        <v>194</v>
      </c>
      <c r="I108" s="70" t="s">
        <v>194</v>
      </c>
      <c r="J108" s="70" t="s">
        <v>194</v>
      </c>
      <c r="K108" s="70" t="s">
        <v>837</v>
      </c>
      <c r="L108" s="70" t="s">
        <v>1099</v>
      </c>
      <c r="M108" s="73">
        <v>46025.0</v>
      </c>
      <c r="N108" s="74">
        <v>0.0</v>
      </c>
      <c r="O108" s="68" t="s">
        <v>988</v>
      </c>
      <c r="P108" s="70" t="s">
        <v>1101</v>
      </c>
      <c r="Q108" s="21" t="s">
        <v>203</v>
      </c>
      <c r="R108" s="68"/>
      <c r="S108" s="68"/>
      <c r="T108" s="70" t="str">
        <f t="array" ref="T108">_xlfn.XLOOKUP(records_CAGass_2[roomNo], dCAGass[Room no.], dCAGass[Room Name])</f>
        <v>MFG 1</v>
      </c>
      <c r="U108" s="70" t="str">
        <f t="array" ref="U108">_xlfn.XLOOKUP(records_CAGass_2[roomNo], dCAGass[Room no.], dCAGass[Bld])</f>
        <v>Building 16</v>
      </c>
      <c r="V108" s="70" t="str">
        <f t="array" ref="V108">if(A108="","",_xlfn.XLOOKUP(records_CAGass_2[roomNo], dCAGass[Room no.], dCAGass[Floor]))</f>
        <v>Floor 3</v>
      </c>
      <c r="W108" s="75">
        <f t="array" ref="W108">_xlfn.XLOOKUP(records_CAGass_2[roomNo], dCAGass[Room no.], dCAGass[Spec])</f>
        <v>5</v>
      </c>
      <c r="X108" s="75">
        <f t="array" ref="X108">if(N108="","",IFERROR(_xlfn.xlookup(records_CAGass_2[ColonyCount]&amp;records_CAGass_2[AirSampler],feller[code],feller[Vc]),_xlfn.xlookup(9999&amp;records_CAGass_2[AirSampler],feller[code],feller[Vc])))</f>
        <v>0</v>
      </c>
      <c r="Y108" s="101" t="b">
        <v>0</v>
      </c>
      <c r="Z108" s="102" t="s">
        <v>280</v>
      </c>
      <c r="AA108" s="46"/>
      <c r="AB108" s="46" t="s">
        <v>1008</v>
      </c>
      <c r="AC108" s="46"/>
      <c r="AD108" s="46"/>
      <c r="AE108" s="46"/>
      <c r="AF108" s="46"/>
      <c r="AG108" s="46"/>
      <c r="AH108" s="46"/>
      <c r="AI108" s="46"/>
    </row>
    <row r="109" ht="22.5" customHeight="1">
      <c r="A109" s="18">
        <v>46065.0</v>
      </c>
      <c r="B109" s="20" t="str">
        <f t="shared" si="1"/>
        <v>02-2026</v>
      </c>
      <c r="C109" s="32" t="s">
        <v>991</v>
      </c>
      <c r="D109" s="21" t="s">
        <v>191</v>
      </c>
      <c r="E109" s="21" t="s">
        <v>993</v>
      </c>
      <c r="F109" s="29" t="b">
        <v>1</v>
      </c>
      <c r="G109" s="20" t="s">
        <v>194</v>
      </c>
      <c r="H109" s="20" t="s">
        <v>194</v>
      </c>
      <c r="I109" s="20" t="s">
        <v>194</v>
      </c>
      <c r="J109" s="20" t="s">
        <v>194</v>
      </c>
      <c r="K109" s="20" t="s">
        <v>837</v>
      </c>
      <c r="L109" s="20" t="s">
        <v>1099</v>
      </c>
      <c r="M109" s="30">
        <v>46025.0</v>
      </c>
      <c r="N109" s="50">
        <v>0.0</v>
      </c>
      <c r="O109" s="39" t="s">
        <v>993</v>
      </c>
      <c r="P109" s="34" t="s">
        <v>1101</v>
      </c>
      <c r="Q109" s="21" t="s">
        <v>203</v>
      </c>
      <c r="R109" s="39"/>
      <c r="S109" s="43"/>
      <c r="T109" s="35" t="str">
        <f t="array" ref="T109">_xlfn.XLOOKUP(records_CAGass_2[roomNo], dCAGass[Room no.], dCAGass[Room Name])</f>
        <v>MFG 5</v>
      </c>
      <c r="U109" s="38" t="str">
        <f t="array" ref="U109">_xlfn.XLOOKUP(records_CAGass_2[roomNo], dCAGass[Room no.], dCAGass[Bld])</f>
        <v>Building 16</v>
      </c>
      <c r="V109" s="38" t="str">
        <f t="array" ref="V109">if(A109="","",_xlfn.XLOOKUP(records_CAGass_2[roomNo], dCAGass[Room no.], dCAGass[Floor]))</f>
        <v>Floor 3</v>
      </c>
      <c r="W109" s="43">
        <f t="array" ref="W109">_xlfn.XLOOKUP(records_CAGass_2[roomNo], dCAGass[Room no.], dCAGass[Spec])</f>
        <v>5</v>
      </c>
      <c r="X109" s="43">
        <f t="array" ref="X109">if(N109="","",IFERROR(_xlfn.xlookup(records_CAGass_2[ColonyCount]&amp;records_CAGass_2[AirSampler],feller[code],feller[Vc]),_xlfn.xlookup(9999&amp;records_CAGass_2[AirSampler],feller[code],feller[Vc])))</f>
        <v>0</v>
      </c>
      <c r="Y109" s="29" t="b">
        <v>0</v>
      </c>
      <c r="Z109" s="39" t="s">
        <v>280</v>
      </c>
      <c r="AA109" s="46"/>
      <c r="AB109" s="46" t="s">
        <v>1011</v>
      </c>
      <c r="AC109" s="46"/>
      <c r="AD109" s="46"/>
      <c r="AE109" s="46"/>
      <c r="AF109" s="46"/>
      <c r="AG109" s="46"/>
      <c r="AH109" s="46"/>
      <c r="AI109" s="46"/>
    </row>
    <row r="110" ht="22.5" customHeight="1">
      <c r="A110" s="27">
        <v>46065.0</v>
      </c>
      <c r="B110" s="34" t="str">
        <f t="shared" si="1"/>
        <v>02-2026</v>
      </c>
      <c r="C110" s="39" t="s">
        <v>1007</v>
      </c>
      <c r="D110" s="36" t="s">
        <v>191</v>
      </c>
      <c r="E110" s="36" t="s">
        <v>1008</v>
      </c>
      <c r="F110" s="29" t="b">
        <v>1</v>
      </c>
      <c r="G110" s="34" t="s">
        <v>194</v>
      </c>
      <c r="H110" s="34" t="s">
        <v>194</v>
      </c>
      <c r="I110" s="34" t="s">
        <v>194</v>
      </c>
      <c r="J110" s="34" t="s">
        <v>194</v>
      </c>
      <c r="K110" s="34" t="s">
        <v>837</v>
      </c>
      <c r="L110" s="34" t="s">
        <v>1099</v>
      </c>
      <c r="M110" s="48">
        <v>46025.0</v>
      </c>
      <c r="N110" s="50">
        <v>0.0</v>
      </c>
      <c r="O110" s="39" t="s">
        <v>1008</v>
      </c>
      <c r="P110" s="34" t="s">
        <v>1101</v>
      </c>
      <c r="Q110" s="21" t="s">
        <v>203</v>
      </c>
      <c r="R110" s="39"/>
      <c r="S110" s="43"/>
      <c r="T110" s="54" t="str">
        <f t="array" ref="T110">_xlfn.XLOOKUP(records_CAGass_2[roomNo], dCAGass[Room no.], dCAGass[Room Name])</f>
        <v>STAGING 1</v>
      </c>
      <c r="U110" s="56" t="str">
        <f t="array" ref="U110">_xlfn.XLOOKUP(records_CAGass_2[roomNo], dCAGass[Room no.], dCAGass[Bld])</f>
        <v>Building 16</v>
      </c>
      <c r="V110" s="56" t="str">
        <f t="array" ref="V110">if(A110="","",_xlfn.XLOOKUP(records_CAGass_2[roomNo], dCAGass[Room no.], dCAGass[Floor]))</f>
        <v>Floor 3</v>
      </c>
      <c r="W110" s="43">
        <f t="array" ref="W110">_xlfn.XLOOKUP(records_CAGass_2[roomNo], dCAGass[Room no.], dCAGass[Spec])</f>
        <v>5</v>
      </c>
      <c r="X110" s="43">
        <f t="array" ref="X110">if(N110="","",IFERROR(_xlfn.xlookup(records_CAGass_2[ColonyCount]&amp;records_CAGass_2[AirSampler],feller[code],feller[Vc]),_xlfn.xlookup(9999&amp;records_CAGass_2[AirSampler],feller[code],feller[Vc])))</f>
        <v>0</v>
      </c>
      <c r="Y110" s="29" t="b">
        <v>0</v>
      </c>
      <c r="Z110" s="39" t="s">
        <v>280</v>
      </c>
      <c r="AA110" s="46"/>
      <c r="AB110" s="46" t="s">
        <v>1017</v>
      </c>
      <c r="AC110" s="46"/>
      <c r="AD110" s="46"/>
      <c r="AE110" s="46"/>
      <c r="AF110" s="46"/>
      <c r="AG110" s="46"/>
      <c r="AH110" s="46"/>
      <c r="AI110" s="46"/>
    </row>
    <row r="111" ht="22.5" customHeight="1">
      <c r="A111" s="27">
        <v>46065.0</v>
      </c>
      <c r="B111" s="34" t="str">
        <f t="shared" si="1"/>
        <v>02-2026</v>
      </c>
      <c r="C111" s="39" t="s">
        <v>1009</v>
      </c>
      <c r="D111" s="36" t="s">
        <v>191</v>
      </c>
      <c r="E111" s="36" t="s">
        <v>1011</v>
      </c>
      <c r="F111" s="29" t="b">
        <v>1</v>
      </c>
      <c r="G111" s="34" t="s">
        <v>194</v>
      </c>
      <c r="H111" s="34" t="s">
        <v>194</v>
      </c>
      <c r="I111" s="34" t="s">
        <v>194</v>
      </c>
      <c r="J111" s="34" t="s">
        <v>194</v>
      </c>
      <c r="K111" s="34" t="s">
        <v>837</v>
      </c>
      <c r="L111" s="34" t="s">
        <v>1099</v>
      </c>
      <c r="M111" s="48">
        <v>46025.0</v>
      </c>
      <c r="N111" s="50">
        <v>0.0</v>
      </c>
      <c r="O111" s="39" t="s">
        <v>1011</v>
      </c>
      <c r="P111" s="34" t="s">
        <v>1101</v>
      </c>
      <c r="Q111" s="21" t="s">
        <v>203</v>
      </c>
      <c r="R111" s="39"/>
      <c r="S111" s="43"/>
      <c r="T111" s="54" t="str">
        <f t="array" ref="T111">_xlfn.XLOOKUP(records_CAGass_2[roomNo], dCAGass[Room no.], dCAGass[Room Name])</f>
        <v>PPM CLEANING</v>
      </c>
      <c r="U111" s="56" t="str">
        <f t="array" ref="U111">_xlfn.XLOOKUP(records_CAGass_2[roomNo], dCAGass[Room no.], dCAGass[Bld])</f>
        <v>Building 16</v>
      </c>
      <c r="V111" s="56" t="str">
        <f t="array" ref="V111">if(A111="","",_xlfn.XLOOKUP(records_CAGass_2[roomNo], dCAGass[Room no.], dCAGass[Floor]))</f>
        <v>Floor 3</v>
      </c>
      <c r="W111" s="43">
        <f t="array" ref="W111">_xlfn.XLOOKUP(records_CAGass_2[roomNo], dCAGass[Room no.], dCAGass[Spec])</f>
        <v>5</v>
      </c>
      <c r="X111" s="43">
        <f t="array" ref="X111">if(N111="","",IFERROR(_xlfn.xlookup(records_CAGass_2[ColonyCount]&amp;records_CAGass_2[AirSampler],feller[code],feller[Vc]),_xlfn.xlookup(9999&amp;records_CAGass_2[AirSampler],feller[code],feller[Vc])))</f>
        <v>0</v>
      </c>
      <c r="Y111" s="29" t="b">
        <v>0</v>
      </c>
      <c r="Z111" s="39" t="s">
        <v>280</v>
      </c>
      <c r="AA111" s="46"/>
      <c r="AB111" s="46" t="s">
        <v>1016</v>
      </c>
      <c r="AC111" s="46"/>
      <c r="AD111" s="46"/>
      <c r="AE111" s="46"/>
      <c r="AF111" s="46"/>
      <c r="AG111" s="46"/>
      <c r="AH111" s="46"/>
      <c r="AI111" s="46"/>
    </row>
    <row r="112" ht="22.5" customHeight="1">
      <c r="A112" s="27">
        <v>46065.0</v>
      </c>
      <c r="B112" s="34" t="str">
        <f t="shared" si="1"/>
        <v>02-2026</v>
      </c>
      <c r="C112" s="39" t="s">
        <v>1014</v>
      </c>
      <c r="D112" s="36" t="s">
        <v>191</v>
      </c>
      <c r="E112" s="36" t="s">
        <v>1017</v>
      </c>
      <c r="F112" s="29" t="b">
        <v>1</v>
      </c>
      <c r="G112" s="34" t="s">
        <v>194</v>
      </c>
      <c r="H112" s="34" t="s">
        <v>194</v>
      </c>
      <c r="I112" s="34" t="s">
        <v>194</v>
      </c>
      <c r="J112" s="34" t="s">
        <v>194</v>
      </c>
      <c r="K112" s="34" t="s">
        <v>837</v>
      </c>
      <c r="L112" s="34" t="s">
        <v>1099</v>
      </c>
      <c r="M112" s="48">
        <v>46025.0</v>
      </c>
      <c r="N112" s="50">
        <v>0.0</v>
      </c>
      <c r="O112" s="39" t="s">
        <v>1017</v>
      </c>
      <c r="P112" s="34" t="s">
        <v>1101</v>
      </c>
      <c r="Q112" s="21" t="s">
        <v>203</v>
      </c>
      <c r="R112" s="39"/>
      <c r="S112" s="43"/>
      <c r="T112" s="54" t="str">
        <f t="array" ref="T112">_xlfn.XLOOKUP(records_CAGass_2[roomNo], dCAGass[Room no.], dCAGass[Room Name])</f>
        <v>FILLING 1</v>
      </c>
      <c r="U112" s="56" t="str">
        <f t="array" ref="U112">_xlfn.XLOOKUP(records_CAGass_2[roomNo], dCAGass[Room no.], dCAGass[Bld])</f>
        <v>Building 16</v>
      </c>
      <c r="V112" s="56" t="str">
        <f t="array" ref="V112">if(A112="","",_xlfn.XLOOKUP(records_CAGass_2[roomNo], dCAGass[Room no.], dCAGass[Floor]))</f>
        <v>Floor 3</v>
      </c>
      <c r="W112" s="43">
        <f t="array" ref="W112">_xlfn.XLOOKUP(records_CAGass_2[roomNo], dCAGass[Room no.], dCAGass[Spec])</f>
        <v>5</v>
      </c>
      <c r="X112" s="43">
        <f t="array" ref="X112">if(N112="","",IFERROR(_xlfn.xlookup(records_CAGass_2[ColonyCount]&amp;records_CAGass_2[AirSampler],feller[code],feller[Vc]),_xlfn.xlookup(9999&amp;records_CAGass_2[AirSampler],feller[code],feller[Vc])))</f>
        <v>0</v>
      </c>
      <c r="Y112" s="29" t="b">
        <v>0</v>
      </c>
      <c r="Z112" s="39" t="s">
        <v>280</v>
      </c>
      <c r="AA112" s="46"/>
      <c r="AB112" s="46" t="s">
        <v>186</v>
      </c>
      <c r="AC112" s="46"/>
      <c r="AD112" s="46"/>
      <c r="AE112" s="46"/>
      <c r="AF112" s="46"/>
      <c r="AG112" s="46"/>
      <c r="AH112" s="46"/>
      <c r="AI112" s="46"/>
    </row>
    <row r="113" ht="22.5" customHeight="1">
      <c r="A113" s="27">
        <v>46065.0</v>
      </c>
      <c r="B113" s="34" t="str">
        <f t="shared" si="1"/>
        <v>02-2026</v>
      </c>
      <c r="C113" s="34" t="s">
        <v>1014</v>
      </c>
      <c r="D113" s="36" t="s">
        <v>191</v>
      </c>
      <c r="E113" s="36" t="s">
        <v>1016</v>
      </c>
      <c r="F113" s="29" t="b">
        <v>1</v>
      </c>
      <c r="G113" s="34" t="s">
        <v>194</v>
      </c>
      <c r="H113" s="34" t="s">
        <v>194</v>
      </c>
      <c r="I113" s="34" t="s">
        <v>194</v>
      </c>
      <c r="J113" s="34" t="s">
        <v>194</v>
      </c>
      <c r="K113" s="34" t="s">
        <v>837</v>
      </c>
      <c r="L113" s="34" t="s">
        <v>1099</v>
      </c>
      <c r="M113" s="48">
        <v>46025.0</v>
      </c>
      <c r="N113" s="50">
        <v>0.0</v>
      </c>
      <c r="O113" s="39" t="s">
        <v>1016</v>
      </c>
      <c r="P113" s="34" t="s">
        <v>1101</v>
      </c>
      <c r="Q113" s="21" t="s">
        <v>203</v>
      </c>
      <c r="R113" s="39"/>
      <c r="S113" s="43"/>
      <c r="T113" s="54" t="str">
        <f t="array" ref="T113">_xlfn.XLOOKUP(records_CAGass_2[roomNo], dCAGass[Room no.], dCAGass[Room Name])</f>
        <v>FILLING 1</v>
      </c>
      <c r="U113" s="56" t="str">
        <f t="array" ref="U113">_xlfn.XLOOKUP(records_CAGass_2[roomNo], dCAGass[Room no.], dCAGass[Bld])</f>
        <v>Building 16</v>
      </c>
      <c r="V113" s="56" t="str">
        <f t="array" ref="V113">if(A113="","",_xlfn.XLOOKUP(records_CAGass_2[roomNo], dCAGass[Room no.], dCAGass[Floor]))</f>
        <v>Floor 3</v>
      </c>
      <c r="W113" s="43">
        <f t="array" ref="W113">_xlfn.XLOOKUP(records_CAGass_2[roomNo], dCAGass[Room no.], dCAGass[Spec])</f>
        <v>5</v>
      </c>
      <c r="X113" s="43">
        <f t="array" ref="X113">if(N113="","",IFERROR(_xlfn.xlookup(records_CAGass_2[ColonyCount]&amp;records_CAGass_2[AirSampler],feller[code],feller[Vc]),_xlfn.xlookup(9999&amp;records_CAGass_2[AirSampler],feller[code],feller[Vc])))</f>
        <v>0</v>
      </c>
      <c r="Y113" s="29" t="b">
        <v>0</v>
      </c>
      <c r="Z113" s="39" t="s">
        <v>280</v>
      </c>
      <c r="AA113" s="46"/>
      <c r="AB113" s="46" t="s">
        <v>247</v>
      </c>
      <c r="AC113" s="46"/>
      <c r="AD113" s="46"/>
      <c r="AE113" s="46"/>
      <c r="AF113" s="46"/>
      <c r="AG113" s="46"/>
      <c r="AH113" s="46"/>
      <c r="AI113" s="46"/>
    </row>
    <row r="114" ht="22.5" customHeight="1">
      <c r="A114" s="103">
        <v>46071.0</v>
      </c>
      <c r="B114" s="104" t="str">
        <f t="shared" si="1"/>
        <v>02-2026</v>
      </c>
      <c r="C114" s="104" t="s">
        <v>985</v>
      </c>
      <c r="D114" s="105" t="s">
        <v>191</v>
      </c>
      <c r="E114" s="105" t="s">
        <v>186</v>
      </c>
      <c r="F114" s="29" t="b">
        <v>1</v>
      </c>
      <c r="G114" s="104" t="s">
        <v>194</v>
      </c>
      <c r="H114" s="104" t="s">
        <v>194</v>
      </c>
      <c r="I114" s="104" t="s">
        <v>197</v>
      </c>
      <c r="J114" s="104" t="s">
        <v>194</v>
      </c>
      <c r="K114" s="104" t="s">
        <v>199</v>
      </c>
      <c r="L114" s="104" t="s">
        <v>201</v>
      </c>
      <c r="M114" s="106">
        <v>46057.0</v>
      </c>
      <c r="N114" s="107">
        <v>0.0</v>
      </c>
      <c r="O114" s="108" t="s">
        <v>202</v>
      </c>
      <c r="P114" s="104" t="s">
        <v>12</v>
      </c>
      <c r="Q114" s="105" t="s">
        <v>203</v>
      </c>
      <c r="R114" s="108"/>
      <c r="S114" s="109"/>
      <c r="T114" s="110" t="str">
        <f t="array" ref="T114">_xlfn.XLOOKUP(records_CAGass_2[roomNo], dCAGass[Room no.], dCAGass[Room Name])</f>
        <v>TECHNICAL AREA Bld.16</v>
      </c>
      <c r="U114" s="111" t="str">
        <f t="array" ref="U114">_xlfn.XLOOKUP(records_CAGass_2[roomNo], dCAGass[Room no.], dCAGass[Bld])</f>
        <v>Building 16</v>
      </c>
      <c r="V114" s="111" t="str">
        <f t="array" ref="V114">if(A114="","",_xlfn.XLOOKUP(records_CAGass_2[roomNo], dCAGass[Room no.], dCAGass[Floor]))</f>
        <v>Floor 2</v>
      </c>
      <c r="W114" s="43">
        <f t="array" ref="W114">_xlfn.XLOOKUP(records_CAGass_2[roomNo], dCAGass[Room no.], dCAGass[Spec])</f>
        <v>5</v>
      </c>
      <c r="X114" s="43">
        <f t="array" ref="X114">if(N114="","",IFERROR(_xlfn.xlookup(records_CAGass_2[ColonyCount]&amp;records_CAGass_2[AirSampler],feller[code],feller[Vc]),_xlfn.xlookup(9999&amp;records_CAGass_2[AirSampler],feller[code],feller[Vc])))</f>
        <v>0</v>
      </c>
      <c r="Y114" s="29" t="b">
        <v>0</v>
      </c>
      <c r="Z114" s="39" t="s">
        <v>280</v>
      </c>
      <c r="AA114" s="46"/>
      <c r="AB114" s="46" t="s">
        <v>278</v>
      </c>
      <c r="AC114" s="46"/>
      <c r="AD114" s="46"/>
      <c r="AE114" s="46"/>
      <c r="AF114" s="46"/>
      <c r="AG114" s="46"/>
      <c r="AH114" s="46"/>
      <c r="AI114" s="46"/>
    </row>
    <row r="115" ht="22.5" customHeight="1">
      <c r="A115" s="27">
        <v>46071.0</v>
      </c>
      <c r="B115" s="34" t="str">
        <f t="shared" si="1"/>
        <v>02-2026</v>
      </c>
      <c r="C115" s="34" t="s">
        <v>989</v>
      </c>
      <c r="D115" s="36" t="s">
        <v>191</v>
      </c>
      <c r="E115" s="36" t="s">
        <v>247</v>
      </c>
      <c r="F115" s="29" t="b">
        <v>1</v>
      </c>
      <c r="G115" s="34" t="s">
        <v>252</v>
      </c>
      <c r="H115" s="34" t="s">
        <v>253</v>
      </c>
      <c r="I115" s="34" t="s">
        <v>254</v>
      </c>
      <c r="J115" s="34" t="s">
        <v>194</v>
      </c>
      <c r="K115" s="34" t="s">
        <v>199</v>
      </c>
      <c r="L115" s="34" t="s">
        <v>201</v>
      </c>
      <c r="M115" s="48">
        <v>46057.0</v>
      </c>
      <c r="N115" s="50">
        <v>1.0</v>
      </c>
      <c r="O115" s="39"/>
      <c r="P115" s="34" t="s">
        <v>12</v>
      </c>
      <c r="Q115" s="21" t="s">
        <v>203</v>
      </c>
      <c r="R115" s="39"/>
      <c r="S115" s="43"/>
      <c r="T115" s="54" t="str">
        <f t="array" ref="T115">_xlfn.XLOOKUP(records_CAGass_2[roomNo], dCAGass[Room no.], dCAGass[Room Name])</f>
        <v>MFG 3</v>
      </c>
      <c r="U115" s="56" t="str">
        <f t="array" ref="U115">_xlfn.XLOOKUP(records_CAGass_2[roomNo], dCAGass[Room no.], dCAGass[Bld])</f>
        <v>Building 16</v>
      </c>
      <c r="V115" s="56" t="str">
        <f t="array" ref="V115">if(A115="","",_xlfn.XLOOKUP(records_CAGass_2[roomNo], dCAGass[Room no.], dCAGass[Floor]))</f>
        <v>Floor 3</v>
      </c>
      <c r="W115" s="43">
        <f t="array" ref="W115">_xlfn.XLOOKUP(records_CAGass_2[roomNo], dCAGass[Room no.], dCAGass[Spec])</f>
        <v>5</v>
      </c>
      <c r="X115" s="43">
        <f t="array" ref="X115">if(N115="","",IFERROR(_xlfn.xlookup(records_CAGass_2[ColonyCount]&amp;records_CAGass_2[AirSampler],feller[code],feller[Vc]),_xlfn.xlookup(9999&amp;records_CAGass_2[AirSampler],feller[code],feller[Vc])))</f>
        <v>1</v>
      </c>
      <c r="Y115" s="29" t="b">
        <v>0</v>
      </c>
      <c r="Z115" s="39" t="s">
        <v>280</v>
      </c>
      <c r="AA115" s="46"/>
      <c r="AB115" s="46" t="s">
        <v>297</v>
      </c>
      <c r="AC115" s="46"/>
      <c r="AD115" s="46"/>
      <c r="AE115" s="46"/>
      <c r="AF115" s="46"/>
      <c r="AG115" s="46"/>
      <c r="AH115" s="46"/>
      <c r="AI115" s="46"/>
    </row>
    <row r="116" ht="22.5" customHeight="1">
      <c r="A116" s="27">
        <v>46071.0</v>
      </c>
      <c r="B116" s="34" t="str">
        <f t="shared" si="1"/>
        <v>02-2026</v>
      </c>
      <c r="C116" s="34" t="s">
        <v>990</v>
      </c>
      <c r="D116" s="36" t="s">
        <v>191</v>
      </c>
      <c r="E116" s="36" t="s">
        <v>278</v>
      </c>
      <c r="F116" s="29" t="b">
        <v>1</v>
      </c>
      <c r="G116" s="34" t="s">
        <v>252</v>
      </c>
      <c r="H116" s="34" t="s">
        <v>284</v>
      </c>
      <c r="I116" s="34" t="s">
        <v>285</v>
      </c>
      <c r="J116" s="34" t="s">
        <v>194</v>
      </c>
      <c r="K116" s="34" t="s">
        <v>199</v>
      </c>
      <c r="L116" s="34" t="s">
        <v>201</v>
      </c>
      <c r="M116" s="48">
        <v>46057.0</v>
      </c>
      <c r="N116" s="50">
        <v>0.0</v>
      </c>
      <c r="O116" s="39"/>
      <c r="P116" s="34" t="s">
        <v>12</v>
      </c>
      <c r="Q116" s="21" t="s">
        <v>203</v>
      </c>
      <c r="R116" s="39"/>
      <c r="S116" s="43"/>
      <c r="T116" s="54" t="str">
        <f t="array" ref="T116">_xlfn.XLOOKUP(records_CAGass_2[roomNo], dCAGass[Room no.], dCAGass[Room Name])</f>
        <v>MFG 4</v>
      </c>
      <c r="U116" s="56" t="str">
        <f t="array" ref="U116">_xlfn.XLOOKUP(records_CAGass_2[roomNo], dCAGass[Room no.], dCAGass[Bld])</f>
        <v>Building 16</v>
      </c>
      <c r="V116" s="56" t="str">
        <f t="array" ref="V116">if(A116="","",_xlfn.XLOOKUP(records_CAGass_2[roomNo], dCAGass[Room no.], dCAGass[Floor]))</f>
        <v>Floor 3</v>
      </c>
      <c r="W116" s="43">
        <f t="array" ref="W116">_xlfn.XLOOKUP(records_CAGass_2[roomNo], dCAGass[Room no.], dCAGass[Spec])</f>
        <v>5</v>
      </c>
      <c r="X116" s="43">
        <f t="array" ref="X116">if(N116="","",IFERROR(_xlfn.xlookup(records_CAGass_2[ColonyCount]&amp;records_CAGass_2[AirSampler],feller[code],feller[Vc]),_xlfn.xlookup(9999&amp;records_CAGass_2[AirSampler],feller[code],feller[Vc])))</f>
        <v>0</v>
      </c>
      <c r="Y116" s="29" t="b">
        <v>0</v>
      </c>
      <c r="Z116" s="39" t="s">
        <v>280</v>
      </c>
      <c r="AA116" s="46"/>
      <c r="AB116" s="46" t="s">
        <v>305</v>
      </c>
      <c r="AC116" s="46"/>
      <c r="AD116" s="46"/>
      <c r="AE116" s="46"/>
      <c r="AF116" s="46"/>
      <c r="AG116" s="46"/>
      <c r="AH116" s="46"/>
      <c r="AI116" s="46"/>
    </row>
    <row r="117" ht="22.5" customHeight="1">
      <c r="A117" s="27">
        <v>46071.0</v>
      </c>
      <c r="B117" s="34" t="str">
        <f t="shared" si="1"/>
        <v>02-2026</v>
      </c>
      <c r="C117" s="34" t="s">
        <v>994</v>
      </c>
      <c r="D117" s="36" t="s">
        <v>191</v>
      </c>
      <c r="E117" s="36" t="s">
        <v>297</v>
      </c>
      <c r="F117" s="29" t="b">
        <v>1</v>
      </c>
      <c r="G117" s="34" t="s">
        <v>298</v>
      </c>
      <c r="H117" s="34" t="s">
        <v>299</v>
      </c>
      <c r="I117" s="34" t="s">
        <v>300</v>
      </c>
      <c r="J117" s="34" t="s">
        <v>194</v>
      </c>
      <c r="K117" s="34" t="s">
        <v>199</v>
      </c>
      <c r="L117" s="34" t="s">
        <v>201</v>
      </c>
      <c r="M117" s="48">
        <v>46057.0</v>
      </c>
      <c r="N117" s="50">
        <v>0.0</v>
      </c>
      <c r="O117" s="39"/>
      <c r="P117" s="34" t="s">
        <v>12</v>
      </c>
      <c r="Q117" s="21" t="s">
        <v>203</v>
      </c>
      <c r="R117" s="39"/>
      <c r="S117" s="43"/>
      <c r="T117" s="54" t="str">
        <f t="array" ref="T117">_xlfn.XLOOKUP(records_CAGass_2[roomNo], dCAGass[Room no.], dCAGass[Room Name])</f>
        <v>STAGING 6</v>
      </c>
      <c r="U117" s="56" t="str">
        <f t="array" ref="U117">_xlfn.XLOOKUP(records_CAGass_2[roomNo], dCAGass[Room no.], dCAGass[Bld])</f>
        <v>Building 16</v>
      </c>
      <c r="V117" s="56" t="str">
        <f t="array" ref="V117">if(A117="","",_xlfn.XLOOKUP(records_CAGass_2[roomNo], dCAGass[Room no.], dCAGass[Floor]))</f>
        <v>Floor 3</v>
      </c>
      <c r="W117" s="43">
        <f t="array" ref="W117">_xlfn.XLOOKUP(records_CAGass_2[roomNo], dCAGass[Room no.], dCAGass[Spec])</f>
        <v>5</v>
      </c>
      <c r="X117" s="43">
        <f t="array" ref="X117">if(N117="","",IFERROR(_xlfn.xlookup(records_CAGass_2[ColonyCount]&amp;records_CAGass_2[AirSampler],feller[code],feller[Vc]),_xlfn.xlookup(9999&amp;records_CAGass_2[AirSampler],feller[code],feller[Vc])))</f>
        <v>0</v>
      </c>
      <c r="Y117" s="29" t="b">
        <v>0</v>
      </c>
      <c r="Z117" s="39" t="s">
        <v>280</v>
      </c>
      <c r="AA117" s="46"/>
      <c r="AB117" s="46" t="s">
        <v>312</v>
      </c>
      <c r="AC117" s="46"/>
      <c r="AD117" s="46"/>
      <c r="AE117" s="46"/>
      <c r="AF117" s="46"/>
      <c r="AG117" s="46"/>
      <c r="AH117" s="46"/>
      <c r="AI117" s="46"/>
    </row>
    <row r="118" ht="22.5" customHeight="1">
      <c r="A118" s="27">
        <v>46071.0</v>
      </c>
      <c r="B118" s="34" t="str">
        <f t="shared" si="1"/>
        <v>02-2026</v>
      </c>
      <c r="C118" s="34" t="s">
        <v>996</v>
      </c>
      <c r="D118" s="36" t="s">
        <v>191</v>
      </c>
      <c r="E118" s="36" t="s">
        <v>305</v>
      </c>
      <c r="F118" s="29" t="b">
        <v>1</v>
      </c>
      <c r="G118" s="34" t="s">
        <v>298</v>
      </c>
      <c r="H118" s="34" t="s">
        <v>306</v>
      </c>
      <c r="I118" s="34" t="s">
        <v>307</v>
      </c>
      <c r="J118" s="34" t="s">
        <v>194</v>
      </c>
      <c r="K118" s="34" t="s">
        <v>199</v>
      </c>
      <c r="L118" s="34" t="s">
        <v>201</v>
      </c>
      <c r="M118" s="48">
        <v>46057.0</v>
      </c>
      <c r="N118" s="50">
        <v>0.0</v>
      </c>
      <c r="O118" s="39"/>
      <c r="P118" s="34" t="s">
        <v>12</v>
      </c>
      <c r="Q118" s="21" t="s">
        <v>203</v>
      </c>
      <c r="R118" s="39"/>
      <c r="S118" s="43"/>
      <c r="T118" s="54" t="str">
        <f t="array" ref="T118">_xlfn.XLOOKUP(records_CAGass_2[roomNo], dCAGass[Room no.], dCAGass[Room Name])</f>
        <v>STAGING 5</v>
      </c>
      <c r="U118" s="56" t="str">
        <f t="array" ref="U118">_xlfn.XLOOKUP(records_CAGass_2[roomNo], dCAGass[Room no.], dCAGass[Bld])</f>
        <v>Building 16</v>
      </c>
      <c r="V118" s="56" t="str">
        <f t="array" ref="V118">if(A118="","",_xlfn.XLOOKUP(records_CAGass_2[roomNo], dCAGass[Room no.], dCAGass[Floor]))</f>
        <v>Floor 3</v>
      </c>
      <c r="W118" s="43">
        <f t="array" ref="W118">_xlfn.XLOOKUP(records_CAGass_2[roomNo], dCAGass[Room no.], dCAGass[Spec])</f>
        <v>5</v>
      </c>
      <c r="X118" s="43">
        <f t="array" ref="X118">if(N118="","",IFERROR(_xlfn.xlookup(records_CAGass_2[ColonyCount]&amp;records_CAGass_2[AirSampler],feller[code],feller[Vc]),_xlfn.xlookup(9999&amp;records_CAGass_2[AirSampler],feller[code],feller[Vc])))</f>
        <v>0</v>
      </c>
      <c r="Y118" s="29" t="b">
        <v>0</v>
      </c>
      <c r="Z118" s="39" t="s">
        <v>280</v>
      </c>
      <c r="AA118" s="46"/>
      <c r="AB118" s="46" t="s">
        <v>325</v>
      </c>
      <c r="AC118" s="46"/>
      <c r="AD118" s="46"/>
      <c r="AE118" s="46"/>
      <c r="AF118" s="46"/>
      <c r="AG118" s="46"/>
      <c r="AH118" s="46"/>
      <c r="AI118" s="46"/>
    </row>
    <row r="119" ht="22.5" customHeight="1">
      <c r="A119" s="27">
        <v>46071.0</v>
      </c>
      <c r="B119" s="34" t="str">
        <f t="shared" si="1"/>
        <v>02-2026</v>
      </c>
      <c r="C119" s="34" t="s">
        <v>998</v>
      </c>
      <c r="D119" s="36" t="s">
        <v>191</v>
      </c>
      <c r="E119" s="36" t="s">
        <v>312</v>
      </c>
      <c r="F119" s="29" t="b">
        <v>1</v>
      </c>
      <c r="G119" s="34" t="s">
        <v>314</v>
      </c>
      <c r="H119" s="34" t="s">
        <v>315</v>
      </c>
      <c r="I119" s="34" t="s">
        <v>316</v>
      </c>
      <c r="J119" s="34" t="s">
        <v>194</v>
      </c>
      <c r="K119" s="34" t="s">
        <v>199</v>
      </c>
      <c r="L119" s="34" t="s">
        <v>201</v>
      </c>
      <c r="M119" s="48">
        <v>46057.0</v>
      </c>
      <c r="N119" s="50">
        <v>0.0</v>
      </c>
      <c r="O119" s="39"/>
      <c r="P119" s="34" t="s">
        <v>12</v>
      </c>
      <c r="Q119" s="21" t="s">
        <v>203</v>
      </c>
      <c r="R119" s="39"/>
      <c r="S119" s="43"/>
      <c r="T119" s="54" t="str">
        <f t="array" ref="T119">_xlfn.XLOOKUP(records_CAGass_2[roomNo], dCAGass[Room no.], dCAGass[Room Name])</f>
        <v>CIP 3</v>
      </c>
      <c r="U119" s="56" t="str">
        <f t="array" ref="U119">_xlfn.XLOOKUP(records_CAGass_2[roomNo], dCAGass[Room no.], dCAGass[Bld])</f>
        <v>Building 16</v>
      </c>
      <c r="V119" s="56" t="str">
        <f t="array" ref="V119">if(A119="","",_xlfn.XLOOKUP(records_CAGass_2[roomNo], dCAGass[Room no.], dCAGass[Floor]))</f>
        <v>Floor 3</v>
      </c>
      <c r="W119" s="43">
        <f t="array" ref="W119">_xlfn.XLOOKUP(records_CAGass_2[roomNo], dCAGass[Room no.], dCAGass[Spec])</f>
        <v>5</v>
      </c>
      <c r="X119" s="43">
        <f t="array" ref="X119">if(N119="","",IFERROR(_xlfn.xlookup(records_CAGass_2[ColonyCount]&amp;records_CAGass_2[AirSampler],feller[code],feller[Vc]),_xlfn.xlookup(9999&amp;records_CAGass_2[AirSampler],feller[code],feller[Vc])))</f>
        <v>0</v>
      </c>
      <c r="Y119" s="29" t="b">
        <v>0</v>
      </c>
      <c r="Z119" s="39" t="s">
        <v>280</v>
      </c>
      <c r="AA119" s="46"/>
      <c r="AB119" s="46" t="s">
        <v>335</v>
      </c>
      <c r="AC119" s="46"/>
      <c r="AD119" s="46"/>
      <c r="AE119" s="46"/>
      <c r="AF119" s="46"/>
      <c r="AG119" s="46"/>
      <c r="AH119" s="46"/>
      <c r="AI119" s="46"/>
    </row>
    <row r="120" ht="22.5" customHeight="1">
      <c r="A120" s="27">
        <v>46071.0</v>
      </c>
      <c r="B120" s="34" t="str">
        <f t="shared" si="1"/>
        <v>02-2026</v>
      </c>
      <c r="C120" s="34" t="s">
        <v>1000</v>
      </c>
      <c r="D120" s="36" t="s">
        <v>191</v>
      </c>
      <c r="E120" s="36" t="s">
        <v>325</v>
      </c>
      <c r="F120" s="29" t="b">
        <v>1</v>
      </c>
      <c r="G120" s="34" t="s">
        <v>326</v>
      </c>
      <c r="H120" s="34" t="s">
        <v>327</v>
      </c>
      <c r="I120" s="34" t="s">
        <v>328</v>
      </c>
      <c r="J120" s="34" t="s">
        <v>194</v>
      </c>
      <c r="K120" s="34" t="s">
        <v>199</v>
      </c>
      <c r="L120" s="34" t="s">
        <v>201</v>
      </c>
      <c r="M120" s="48">
        <v>46057.0</v>
      </c>
      <c r="N120" s="50">
        <v>0.0</v>
      </c>
      <c r="O120" s="39"/>
      <c r="P120" s="34" t="s">
        <v>12</v>
      </c>
      <c r="Q120" s="21" t="s">
        <v>203</v>
      </c>
      <c r="R120" s="39"/>
      <c r="S120" s="43"/>
      <c r="T120" s="54" t="str">
        <f t="array" ref="T120">_xlfn.XLOOKUP(records_CAGass_2[roomNo], dCAGass[Room no.], dCAGass[Room Name])</f>
        <v>STAGING 4</v>
      </c>
      <c r="U120" s="56" t="str">
        <f t="array" ref="U120">_xlfn.XLOOKUP(records_CAGass_2[roomNo], dCAGass[Room no.], dCAGass[Bld])</f>
        <v>Building 16</v>
      </c>
      <c r="V120" s="56" t="str">
        <f t="array" ref="V120">if(A120="","",_xlfn.XLOOKUP(records_CAGass_2[roomNo], dCAGass[Room no.], dCAGass[Floor]))</f>
        <v>Floor 3</v>
      </c>
      <c r="W120" s="43">
        <f t="array" ref="W120">_xlfn.XLOOKUP(records_CAGass_2[roomNo], dCAGass[Room no.], dCAGass[Spec])</f>
        <v>5</v>
      </c>
      <c r="X120" s="43">
        <f t="array" ref="X120">if(N120="","",IFERROR(_xlfn.xlookup(records_CAGass_2[ColonyCount]&amp;records_CAGass_2[AirSampler],feller[code],feller[Vc]),_xlfn.xlookup(9999&amp;records_CAGass_2[AirSampler],feller[code],feller[Vc])))</f>
        <v>0</v>
      </c>
      <c r="Y120" s="29" t="b">
        <v>0</v>
      </c>
      <c r="Z120" s="39" t="s">
        <v>280</v>
      </c>
      <c r="AA120" s="46"/>
      <c r="AB120" s="46" t="s">
        <v>341</v>
      </c>
      <c r="AC120" s="46"/>
      <c r="AD120" s="46"/>
      <c r="AE120" s="46"/>
      <c r="AF120" s="46"/>
      <c r="AG120" s="46"/>
      <c r="AH120" s="46"/>
      <c r="AI120" s="46"/>
    </row>
    <row r="121" ht="22.5" customHeight="1">
      <c r="A121" s="27">
        <v>46071.0</v>
      </c>
      <c r="B121" s="34" t="str">
        <f t="shared" si="1"/>
        <v>02-2026</v>
      </c>
      <c r="C121" s="34" t="s">
        <v>1002</v>
      </c>
      <c r="D121" s="36" t="s">
        <v>191</v>
      </c>
      <c r="E121" s="36" t="s">
        <v>335</v>
      </c>
      <c r="F121" s="29" t="b">
        <v>1</v>
      </c>
      <c r="G121" s="34" t="s">
        <v>314</v>
      </c>
      <c r="H121" s="34" t="s">
        <v>327</v>
      </c>
      <c r="I121" s="34" t="s">
        <v>336</v>
      </c>
      <c r="J121" s="34" t="s">
        <v>194</v>
      </c>
      <c r="K121" s="34" t="s">
        <v>199</v>
      </c>
      <c r="L121" s="34" t="s">
        <v>201</v>
      </c>
      <c r="M121" s="48">
        <v>46057.0</v>
      </c>
      <c r="N121" s="50">
        <v>0.0</v>
      </c>
      <c r="O121" s="39"/>
      <c r="P121" s="34" t="s">
        <v>12</v>
      </c>
      <c r="Q121" s="21" t="s">
        <v>203</v>
      </c>
      <c r="R121" s="39"/>
      <c r="S121" s="43"/>
      <c r="T121" s="54" t="str">
        <f t="array" ref="T121">_xlfn.XLOOKUP(records_CAGass_2[roomNo], dCAGass[Room no.], dCAGass[Room Name])</f>
        <v>CIP 2</v>
      </c>
      <c r="U121" s="56" t="str">
        <f t="array" ref="U121">_xlfn.XLOOKUP(records_CAGass_2[roomNo], dCAGass[Room no.], dCAGass[Bld])</f>
        <v>Building 16</v>
      </c>
      <c r="V121" s="56" t="str">
        <f t="array" ref="V121">if(A121="","",_xlfn.XLOOKUP(records_CAGass_2[roomNo], dCAGass[Room no.], dCAGass[Floor]))</f>
        <v>Floor 3</v>
      </c>
      <c r="W121" s="43">
        <f t="array" ref="W121">_xlfn.XLOOKUP(records_CAGass_2[roomNo], dCAGass[Room no.], dCAGass[Spec])</f>
        <v>5</v>
      </c>
      <c r="X121" s="43">
        <f t="array" ref="X121">if(N121="","",IFERROR(_xlfn.xlookup(records_CAGass_2[ColonyCount]&amp;records_CAGass_2[AirSampler],feller[code],feller[Vc]),_xlfn.xlookup(9999&amp;records_CAGass_2[AirSampler],feller[code],feller[Vc])))</f>
        <v>0</v>
      </c>
      <c r="Y121" s="29" t="b">
        <v>0</v>
      </c>
      <c r="Z121" s="39" t="s">
        <v>280</v>
      </c>
      <c r="AA121" s="46"/>
      <c r="AB121" s="46" t="s">
        <v>351</v>
      </c>
      <c r="AC121" s="46"/>
      <c r="AD121" s="46"/>
      <c r="AE121" s="46"/>
      <c r="AF121" s="46"/>
      <c r="AG121" s="46"/>
      <c r="AH121" s="46"/>
      <c r="AI121" s="46"/>
    </row>
    <row r="122" ht="22.5" customHeight="1">
      <c r="A122" s="27">
        <v>46071.0</v>
      </c>
      <c r="B122" s="34" t="str">
        <f t="shared" si="1"/>
        <v>02-2026</v>
      </c>
      <c r="C122" s="34" t="s">
        <v>1003</v>
      </c>
      <c r="D122" s="36" t="s">
        <v>191</v>
      </c>
      <c r="E122" s="36" t="s">
        <v>341</v>
      </c>
      <c r="F122" s="29" t="b">
        <v>1</v>
      </c>
      <c r="G122" s="34" t="s">
        <v>344</v>
      </c>
      <c r="H122" s="34" t="s">
        <v>345</v>
      </c>
      <c r="I122" s="34" t="s">
        <v>346</v>
      </c>
      <c r="J122" s="34" t="s">
        <v>194</v>
      </c>
      <c r="K122" s="34" t="s">
        <v>199</v>
      </c>
      <c r="L122" s="34" t="s">
        <v>201</v>
      </c>
      <c r="M122" s="48">
        <v>46057.0</v>
      </c>
      <c r="N122" s="50">
        <v>0.0</v>
      </c>
      <c r="O122" s="39"/>
      <c r="P122" s="34" t="s">
        <v>12</v>
      </c>
      <c r="Q122" s="21" t="s">
        <v>203</v>
      </c>
      <c r="R122" s="39"/>
      <c r="S122" s="43"/>
      <c r="T122" s="54" t="str">
        <f t="array" ref="T122">_xlfn.XLOOKUP(records_CAGass_2[roomNo], dCAGass[Room no.], dCAGass[Room Name])</f>
        <v>STAGING 3</v>
      </c>
      <c r="U122" s="56" t="str">
        <f t="array" ref="U122">_xlfn.XLOOKUP(records_CAGass_2[roomNo], dCAGass[Room no.], dCAGass[Bld])</f>
        <v>Building 16</v>
      </c>
      <c r="V122" s="56" t="str">
        <f t="array" ref="V122">if(A122="","",_xlfn.XLOOKUP(records_CAGass_2[roomNo], dCAGass[Room no.], dCAGass[Floor]))</f>
        <v>Floor 3</v>
      </c>
      <c r="W122" s="43">
        <f t="array" ref="W122">_xlfn.XLOOKUP(records_CAGass_2[roomNo], dCAGass[Room no.], dCAGass[Spec])</f>
        <v>5</v>
      </c>
      <c r="X122" s="43">
        <f t="array" ref="X122">if(N122="","",IFERROR(_xlfn.xlookup(records_CAGass_2[ColonyCount]&amp;records_CAGass_2[AirSampler],feller[code],feller[Vc]),_xlfn.xlookup(9999&amp;records_CAGass_2[AirSampler],feller[code],feller[Vc])))</f>
        <v>0</v>
      </c>
      <c r="Y122" s="29" t="b">
        <v>0</v>
      </c>
      <c r="Z122" s="39" t="s">
        <v>280</v>
      </c>
      <c r="AA122" s="46"/>
      <c r="AB122" s="46" t="s">
        <v>361</v>
      </c>
      <c r="AC122" s="46"/>
      <c r="AD122" s="46"/>
      <c r="AE122" s="46"/>
      <c r="AF122" s="46"/>
      <c r="AG122" s="46"/>
      <c r="AH122" s="46"/>
      <c r="AI122" s="46"/>
    </row>
    <row r="123" ht="22.5" customHeight="1">
      <c r="A123" s="27">
        <v>46071.0</v>
      </c>
      <c r="B123" s="34" t="str">
        <f t="shared" si="1"/>
        <v>02-2026</v>
      </c>
      <c r="C123" s="34" t="s">
        <v>1004</v>
      </c>
      <c r="D123" s="36" t="s">
        <v>191</v>
      </c>
      <c r="E123" s="36" t="s">
        <v>351</v>
      </c>
      <c r="F123" s="29" t="b">
        <v>1</v>
      </c>
      <c r="G123" s="34" t="s">
        <v>353</v>
      </c>
      <c r="H123" s="34" t="s">
        <v>354</v>
      </c>
      <c r="I123" s="34" t="s">
        <v>355</v>
      </c>
      <c r="J123" s="34" t="s">
        <v>194</v>
      </c>
      <c r="K123" s="34" t="s">
        <v>199</v>
      </c>
      <c r="L123" s="34" t="s">
        <v>201</v>
      </c>
      <c r="M123" s="48">
        <v>46057.0</v>
      </c>
      <c r="N123" s="50">
        <v>0.0</v>
      </c>
      <c r="O123" s="39"/>
      <c r="P123" s="34" t="s">
        <v>12</v>
      </c>
      <c r="Q123" s="21" t="s">
        <v>203</v>
      </c>
      <c r="R123" s="39"/>
      <c r="S123" s="43"/>
      <c r="T123" s="54" t="str">
        <f t="array" ref="T123">_xlfn.XLOOKUP(records_CAGass_2[roomNo], dCAGass[Room no.], dCAGass[Room Name])</f>
        <v>CIP 1</v>
      </c>
      <c r="U123" s="56" t="str">
        <f t="array" ref="U123">_xlfn.XLOOKUP(records_CAGass_2[roomNo], dCAGass[Room no.], dCAGass[Bld])</f>
        <v>Building 16</v>
      </c>
      <c r="V123" s="56" t="str">
        <f t="array" ref="V123">if(A123="","",_xlfn.XLOOKUP(records_CAGass_2[roomNo], dCAGass[Room no.], dCAGass[Floor]))</f>
        <v>Floor 3</v>
      </c>
      <c r="W123" s="43">
        <f t="array" ref="W123">_xlfn.XLOOKUP(records_CAGass_2[roomNo], dCAGass[Room no.], dCAGass[Spec])</f>
        <v>5</v>
      </c>
      <c r="X123" s="43">
        <f t="array" ref="X123">if(N123="","",IFERROR(_xlfn.xlookup(records_CAGass_2[ColonyCount]&amp;records_CAGass_2[AirSampler],feller[code],feller[Vc]),_xlfn.xlookup(9999&amp;records_CAGass_2[AirSampler],feller[code],feller[Vc])))</f>
        <v>0</v>
      </c>
      <c r="Y123" s="29" t="b">
        <v>0</v>
      </c>
      <c r="Z123" s="39" t="s">
        <v>280</v>
      </c>
      <c r="AA123" s="46"/>
      <c r="AB123" s="46" t="s">
        <v>372</v>
      </c>
      <c r="AC123" s="46"/>
      <c r="AD123" s="46"/>
      <c r="AE123" s="46"/>
      <c r="AF123" s="46"/>
      <c r="AG123" s="46"/>
      <c r="AH123" s="46"/>
      <c r="AI123" s="46"/>
    </row>
    <row r="124" ht="22.5" customHeight="1">
      <c r="A124" s="27">
        <v>46071.0</v>
      </c>
      <c r="B124" s="34" t="str">
        <f t="shared" si="1"/>
        <v>02-2026</v>
      </c>
      <c r="C124" s="34" t="s">
        <v>1009</v>
      </c>
      <c r="D124" s="36" t="s">
        <v>191</v>
      </c>
      <c r="E124" s="36" t="s">
        <v>361</v>
      </c>
      <c r="F124" s="29" t="b">
        <v>1</v>
      </c>
      <c r="G124" s="34" t="s">
        <v>314</v>
      </c>
      <c r="H124" s="34" t="s">
        <v>362</v>
      </c>
      <c r="I124" s="34" t="s">
        <v>363</v>
      </c>
      <c r="J124" s="34" t="s">
        <v>194</v>
      </c>
      <c r="K124" s="34" t="s">
        <v>199</v>
      </c>
      <c r="L124" s="34" t="s">
        <v>201</v>
      </c>
      <c r="M124" s="48">
        <v>46057.0</v>
      </c>
      <c r="N124" s="50">
        <v>0.0</v>
      </c>
      <c r="O124" s="39"/>
      <c r="P124" s="34" t="s">
        <v>12</v>
      </c>
      <c r="Q124" s="21" t="s">
        <v>203</v>
      </c>
      <c r="R124" s="39"/>
      <c r="S124" s="43"/>
      <c r="T124" s="54" t="str">
        <f t="array" ref="T124">_xlfn.XLOOKUP(records_CAGass_2[roomNo], dCAGass[Room no.], dCAGass[Room Name])</f>
        <v>PPM CLEANING</v>
      </c>
      <c r="U124" s="56" t="str">
        <f t="array" ref="U124">_xlfn.XLOOKUP(records_CAGass_2[roomNo], dCAGass[Room no.], dCAGass[Bld])</f>
        <v>Building 16</v>
      </c>
      <c r="V124" s="56" t="str">
        <f t="array" ref="V124">if(A124="","",_xlfn.XLOOKUP(records_CAGass_2[roomNo], dCAGass[Room no.], dCAGass[Floor]))</f>
        <v>Floor 3</v>
      </c>
      <c r="W124" s="43">
        <f t="array" ref="W124">_xlfn.XLOOKUP(records_CAGass_2[roomNo], dCAGass[Room no.], dCAGass[Spec])</f>
        <v>5</v>
      </c>
      <c r="X124" s="43">
        <f t="array" ref="X124">if(N124="","",IFERROR(_xlfn.xlookup(records_CAGass_2[ColonyCount]&amp;records_CAGass_2[AirSampler],feller[code],feller[Vc]),_xlfn.xlookup(9999&amp;records_CAGass_2[AirSampler],feller[code],feller[Vc])))</f>
        <v>0</v>
      </c>
      <c r="Y124" s="29" t="b">
        <v>0</v>
      </c>
      <c r="Z124" s="39" t="s">
        <v>280</v>
      </c>
      <c r="AA124" s="46"/>
      <c r="AB124" s="46" t="s">
        <v>380</v>
      </c>
      <c r="AC124" s="46"/>
      <c r="AD124" s="46"/>
      <c r="AE124" s="46"/>
      <c r="AF124" s="46"/>
      <c r="AG124" s="46"/>
      <c r="AH124" s="46"/>
      <c r="AI124" s="46"/>
    </row>
    <row r="125" ht="22.5" customHeight="1">
      <c r="A125" s="27">
        <v>46071.0</v>
      </c>
      <c r="B125" s="34" t="str">
        <f t="shared" si="1"/>
        <v>02-2026</v>
      </c>
      <c r="C125" s="34" t="s">
        <v>1009</v>
      </c>
      <c r="D125" s="36" t="s">
        <v>191</v>
      </c>
      <c r="E125" s="36" t="s">
        <v>372</v>
      </c>
      <c r="F125" s="29" t="b">
        <v>1</v>
      </c>
      <c r="G125" s="34" t="s">
        <v>314</v>
      </c>
      <c r="H125" s="34" t="s">
        <v>362</v>
      </c>
      <c r="I125" s="34" t="s">
        <v>373</v>
      </c>
      <c r="J125" s="34" t="s">
        <v>194</v>
      </c>
      <c r="K125" s="34" t="s">
        <v>199</v>
      </c>
      <c r="L125" s="34" t="s">
        <v>201</v>
      </c>
      <c r="M125" s="48">
        <v>46057.0</v>
      </c>
      <c r="N125" s="50">
        <v>0.0</v>
      </c>
      <c r="O125" s="39"/>
      <c r="P125" s="34" t="s">
        <v>12</v>
      </c>
      <c r="Q125" s="21" t="s">
        <v>203</v>
      </c>
      <c r="R125" s="39"/>
      <c r="S125" s="43"/>
      <c r="T125" s="54" t="str">
        <f t="array" ref="T125">_xlfn.XLOOKUP(records_CAGass_2[roomNo], dCAGass[Room no.], dCAGass[Room Name])</f>
        <v>PPM CLEANING</v>
      </c>
      <c r="U125" s="56" t="str">
        <f t="array" ref="U125">_xlfn.XLOOKUP(records_CAGass_2[roomNo], dCAGass[Room no.], dCAGass[Bld])</f>
        <v>Building 16</v>
      </c>
      <c r="V125" s="56" t="str">
        <f t="array" ref="V125">if(A125="","",_xlfn.XLOOKUP(records_CAGass_2[roomNo], dCAGass[Room no.], dCAGass[Floor]))</f>
        <v>Floor 3</v>
      </c>
      <c r="W125" s="43">
        <f t="array" ref="W125">_xlfn.XLOOKUP(records_CAGass_2[roomNo], dCAGass[Room no.], dCAGass[Spec])</f>
        <v>5</v>
      </c>
      <c r="X125" s="43">
        <f t="array" ref="X125">if(N125="","",IFERROR(_xlfn.xlookup(records_CAGass_2[ColonyCount]&amp;records_CAGass_2[AirSampler],feller[code],feller[Vc]),_xlfn.xlookup(9999&amp;records_CAGass_2[AirSampler],feller[code],feller[Vc])))</f>
        <v>0</v>
      </c>
      <c r="Y125" s="29" t="b">
        <v>0</v>
      </c>
      <c r="Z125" s="39" t="s">
        <v>280</v>
      </c>
      <c r="AA125" s="46"/>
      <c r="AB125" s="46"/>
      <c r="AC125" s="46"/>
      <c r="AD125" s="46"/>
      <c r="AE125" s="46"/>
      <c r="AF125" s="46"/>
      <c r="AG125" s="46"/>
      <c r="AH125" s="46"/>
      <c r="AI125" s="46"/>
    </row>
    <row r="126" ht="22.5" customHeight="1">
      <c r="A126" s="27">
        <v>46071.0</v>
      </c>
      <c r="B126" s="34" t="str">
        <f t="shared" si="1"/>
        <v>02-2026</v>
      </c>
      <c r="C126" s="34" t="s">
        <v>1018</v>
      </c>
      <c r="D126" s="36" t="s">
        <v>191</v>
      </c>
      <c r="E126" s="36" t="s">
        <v>380</v>
      </c>
      <c r="F126" s="29" t="b">
        <v>1</v>
      </c>
      <c r="G126" s="34" t="s">
        <v>381</v>
      </c>
      <c r="H126" s="34" t="s">
        <v>382</v>
      </c>
      <c r="I126" s="34" t="s">
        <v>383</v>
      </c>
      <c r="J126" s="34" t="s">
        <v>194</v>
      </c>
      <c r="K126" s="34" t="s">
        <v>199</v>
      </c>
      <c r="L126" s="34" t="s">
        <v>201</v>
      </c>
      <c r="M126" s="48">
        <v>46057.0</v>
      </c>
      <c r="N126" s="50">
        <v>0.0</v>
      </c>
      <c r="O126" s="39"/>
      <c r="P126" s="34" t="s">
        <v>12</v>
      </c>
      <c r="Q126" s="21" t="s">
        <v>203</v>
      </c>
      <c r="R126" s="39"/>
      <c r="S126" s="43"/>
      <c r="T126" s="54" t="str">
        <f t="array" ref="T126">_xlfn.XLOOKUP(records_CAGass_2[roomNo], dCAGass[Room no.], dCAGass[Room Name])</f>
        <v>FILLING 7</v>
      </c>
      <c r="U126" s="56" t="str">
        <f t="array" ref="U126">_xlfn.XLOOKUP(records_CAGass_2[roomNo], dCAGass[Room no.], dCAGass[Bld])</f>
        <v>Building 16</v>
      </c>
      <c r="V126" s="56" t="str">
        <f t="array" ref="V126">if(A126="","",_xlfn.XLOOKUP(records_CAGass_2[roomNo], dCAGass[Room no.], dCAGass[Floor]))</f>
        <v>Floor 3</v>
      </c>
      <c r="W126" s="43">
        <f t="array" ref="W126">_xlfn.XLOOKUP(records_CAGass_2[roomNo], dCAGass[Room no.], dCAGass[Spec])</f>
        <v>5</v>
      </c>
      <c r="X126" s="43">
        <f t="array" ref="X126">if(N126="","",IFERROR(_xlfn.xlookup(records_CAGass_2[ColonyCount]&amp;records_CAGass_2[AirSampler],feller[code],feller[Vc]),_xlfn.xlookup(9999&amp;records_CAGass_2[AirSampler],feller[code],feller[Vc])))</f>
        <v>0</v>
      </c>
      <c r="Y126" s="29" t="b">
        <v>0</v>
      </c>
      <c r="Z126" s="39" t="s">
        <v>280</v>
      </c>
      <c r="AA126" s="46"/>
      <c r="AB126" s="46"/>
      <c r="AC126" s="46"/>
      <c r="AD126" s="46"/>
      <c r="AE126" s="46"/>
      <c r="AF126" s="46"/>
      <c r="AG126" s="46"/>
      <c r="AH126" s="46"/>
      <c r="AI126" s="46"/>
    </row>
  </sheetData>
  <conditionalFormatting sqref="B2:C13">
    <cfRule type="containsBlanks" dxfId="6" priority="1">
      <formula>LEN(TRIM(B2))=0</formula>
    </cfRule>
  </conditionalFormatting>
  <dataValidations>
    <dataValidation type="custom" allowBlank="1" showDropDown="1" sqref="A2:A126 M2:M126">
      <formula1>OR(NOT(ISERROR(DATEVALUE(A2))), AND(ISNUMBER(A2), LEFT(CELL("format", A2))="D"))</formula1>
    </dataValidation>
    <dataValidation type="custom" allowBlank="1" showDropDown="1" sqref="N2:N126">
      <formula1>AND(ISNUMBER(N2),(NOT(OR(NOT(ISERROR(DATEVALUE(N2))), AND(ISNUMBER(N2), LEFT(CELL("format", N2))="D")))))</formula1>
    </dataValidation>
    <dataValidation type="list" allowBlank="1" sqref="D2:D126">
      <formula1>"N2,CA"</formula1>
    </dataValidation>
    <dataValidation allowBlank="1" showDropDown="1" sqref="C2:C126 G2:L126 P2:P126 T2:V126"/>
    <dataValidation type="list" allowBlank="1" sqref="E2:E126">
      <formula1>#REF!</formula1>
    </dataValidation>
    <dataValidation type="list" allowBlank="1" sqref="Q2:Q126">
      <formula1>"miniCapt"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5"/>
    <col customWidth="1" min="4" max="4" width="33.0"/>
    <col customWidth="1" min="5" max="5" width="21.63"/>
  </cols>
  <sheetData>
    <row r="1" ht="22.5" customHeight="1">
      <c r="A1" s="86" t="s">
        <v>849</v>
      </c>
      <c r="B1" s="86" t="s">
        <v>850</v>
      </c>
      <c r="C1" s="87" t="s">
        <v>92</v>
      </c>
      <c r="D1" s="88" t="s">
        <v>851</v>
      </c>
      <c r="E1" s="86" t="s">
        <v>77</v>
      </c>
      <c r="F1" s="4" t="s">
        <v>107</v>
      </c>
      <c r="G1" s="89" t="s">
        <v>180</v>
      </c>
      <c r="H1" s="89" t="s">
        <v>167</v>
      </c>
      <c r="I1" s="89" t="s">
        <v>852</v>
      </c>
    </row>
    <row r="2" ht="22.5" customHeight="1">
      <c r="A2" s="90" t="str">
        <f t="shared" ref="A2:A123" si="1">"Building " &amp; left(C2, 2)</f>
        <v>Building 10</v>
      </c>
      <c r="B2" s="90" t="str">
        <f t="shared" ref="B2:B123" si="2">"Floor " &amp; mid(C2, 4, 1)</f>
        <v>Floor 1</v>
      </c>
      <c r="C2" s="91" t="s">
        <v>308</v>
      </c>
      <c r="D2" s="90" t="s">
        <v>854</v>
      </c>
      <c r="E2" s="90" t="s">
        <v>525</v>
      </c>
      <c r="F2" s="11" t="s">
        <v>191</v>
      </c>
      <c r="G2" s="92" t="s">
        <v>855</v>
      </c>
      <c r="H2" s="23">
        <v>5.0</v>
      </c>
      <c r="I2" s="93"/>
      <c r="M2" s="94"/>
    </row>
    <row r="3" ht="22.5" customHeight="1">
      <c r="A3" s="90" t="str">
        <f t="shared" si="1"/>
        <v>Building 10</v>
      </c>
      <c r="B3" s="90" t="str">
        <f t="shared" si="2"/>
        <v>Floor 1</v>
      </c>
      <c r="C3" s="91" t="s">
        <v>322</v>
      </c>
      <c r="D3" s="90" t="s">
        <v>856</v>
      </c>
      <c r="E3" s="90" t="s">
        <v>537</v>
      </c>
      <c r="F3" s="11" t="s">
        <v>191</v>
      </c>
      <c r="G3" s="92" t="s">
        <v>855</v>
      </c>
      <c r="H3" s="23">
        <v>5.0</v>
      </c>
      <c r="I3" s="93"/>
      <c r="M3" s="94"/>
    </row>
    <row r="4" ht="22.5" customHeight="1">
      <c r="A4" s="90" t="str">
        <f t="shared" si="1"/>
        <v>Building 10</v>
      </c>
      <c r="B4" s="90" t="str">
        <f t="shared" si="2"/>
        <v>Floor 1</v>
      </c>
      <c r="C4" s="91" t="s">
        <v>322</v>
      </c>
      <c r="D4" s="90" t="s">
        <v>856</v>
      </c>
      <c r="E4" s="90" t="s">
        <v>541</v>
      </c>
      <c r="F4" s="11" t="s">
        <v>191</v>
      </c>
      <c r="G4" s="92" t="s">
        <v>855</v>
      </c>
      <c r="H4" s="23">
        <v>5.0</v>
      </c>
      <c r="I4" s="93"/>
      <c r="M4" s="94"/>
    </row>
    <row r="5" ht="22.5" customHeight="1">
      <c r="A5" s="90" t="str">
        <f t="shared" si="1"/>
        <v>Building 10</v>
      </c>
      <c r="B5" s="90" t="str">
        <f t="shared" si="2"/>
        <v>Floor 1</v>
      </c>
      <c r="C5" s="91" t="s">
        <v>340</v>
      </c>
      <c r="D5" s="90" t="s">
        <v>858</v>
      </c>
      <c r="E5" s="90" t="s">
        <v>548</v>
      </c>
      <c r="F5" s="11" t="s">
        <v>191</v>
      </c>
      <c r="G5" s="92" t="s">
        <v>855</v>
      </c>
      <c r="H5" s="23">
        <v>5.0</v>
      </c>
      <c r="I5" s="93"/>
      <c r="M5" s="94"/>
    </row>
    <row r="6" ht="22.5" customHeight="1">
      <c r="A6" s="90" t="str">
        <f t="shared" si="1"/>
        <v>Building 10</v>
      </c>
      <c r="B6" s="90" t="str">
        <f t="shared" si="2"/>
        <v>Floor 1</v>
      </c>
      <c r="C6" s="91" t="s">
        <v>348</v>
      </c>
      <c r="D6" s="90" t="s">
        <v>859</v>
      </c>
      <c r="E6" s="90" t="s">
        <v>554</v>
      </c>
      <c r="F6" s="11" t="s">
        <v>191</v>
      </c>
      <c r="G6" s="92" t="s">
        <v>855</v>
      </c>
      <c r="H6" s="23">
        <v>5.0</v>
      </c>
      <c r="I6" s="93"/>
      <c r="M6" s="94"/>
    </row>
    <row r="7" ht="22.5" customHeight="1">
      <c r="A7" s="90" t="str">
        <f t="shared" si="1"/>
        <v>Building 10</v>
      </c>
      <c r="B7" s="90" t="str">
        <f t="shared" si="2"/>
        <v>Floor 1</v>
      </c>
      <c r="C7" s="91" t="s">
        <v>357</v>
      </c>
      <c r="D7" s="90" t="s">
        <v>860</v>
      </c>
      <c r="E7" s="90" t="s">
        <v>647</v>
      </c>
      <c r="F7" s="11" t="s">
        <v>191</v>
      </c>
      <c r="G7" s="92" t="s">
        <v>855</v>
      </c>
      <c r="H7" s="23">
        <v>5.0</v>
      </c>
      <c r="I7" s="93"/>
      <c r="M7" s="94"/>
    </row>
    <row r="8" ht="22.5" customHeight="1">
      <c r="A8" s="90" t="str">
        <f t="shared" si="1"/>
        <v>Building 10</v>
      </c>
      <c r="B8" s="90" t="str">
        <f t="shared" si="2"/>
        <v>Floor 1</v>
      </c>
      <c r="C8" s="91" t="s">
        <v>370</v>
      </c>
      <c r="D8" s="90" t="s">
        <v>861</v>
      </c>
      <c r="E8" s="90" t="s">
        <v>559</v>
      </c>
      <c r="F8" s="11" t="s">
        <v>191</v>
      </c>
      <c r="G8" s="92" t="s">
        <v>855</v>
      </c>
      <c r="H8" s="23">
        <v>5.0</v>
      </c>
      <c r="I8" s="93"/>
      <c r="M8" s="94"/>
    </row>
    <row r="9" ht="22.5" customHeight="1">
      <c r="A9" s="90" t="str">
        <f t="shared" si="1"/>
        <v>Building 10</v>
      </c>
      <c r="B9" s="90" t="str">
        <f t="shared" si="2"/>
        <v>Floor 1</v>
      </c>
      <c r="C9" s="91" t="s">
        <v>374</v>
      </c>
      <c r="D9" s="90" t="s">
        <v>863</v>
      </c>
      <c r="E9" s="90" t="s">
        <v>567</v>
      </c>
      <c r="F9" s="11" t="s">
        <v>191</v>
      </c>
      <c r="G9" s="92" t="s">
        <v>855</v>
      </c>
      <c r="H9" s="23">
        <v>5.0</v>
      </c>
      <c r="I9" s="93"/>
      <c r="M9" s="94"/>
    </row>
    <row r="10" ht="22.5" customHeight="1">
      <c r="A10" s="90" t="str">
        <f t="shared" si="1"/>
        <v>Building 10</v>
      </c>
      <c r="B10" s="90" t="str">
        <f t="shared" si="2"/>
        <v>Floor 1</v>
      </c>
      <c r="C10" s="91" t="s">
        <v>384</v>
      </c>
      <c r="D10" s="90" t="s">
        <v>864</v>
      </c>
      <c r="E10" s="90" t="s">
        <v>576</v>
      </c>
      <c r="F10" s="11" t="s">
        <v>191</v>
      </c>
      <c r="G10" s="92" t="s">
        <v>855</v>
      </c>
      <c r="H10" s="23">
        <v>5.0</v>
      </c>
      <c r="I10" s="93"/>
      <c r="M10" s="94"/>
    </row>
    <row r="11" ht="22.5" customHeight="1">
      <c r="A11" s="90" t="str">
        <f t="shared" si="1"/>
        <v>Building 10</v>
      </c>
      <c r="B11" s="90" t="str">
        <f t="shared" si="2"/>
        <v>Floor 1</v>
      </c>
      <c r="C11" s="91" t="s">
        <v>400</v>
      </c>
      <c r="D11" s="90" t="s">
        <v>865</v>
      </c>
      <c r="E11" s="90" t="s">
        <v>594</v>
      </c>
      <c r="F11" s="11" t="s">
        <v>191</v>
      </c>
      <c r="G11" s="92" t="s">
        <v>855</v>
      </c>
      <c r="H11" s="23">
        <v>5.0</v>
      </c>
      <c r="I11" s="93"/>
      <c r="M11" s="94"/>
    </row>
    <row r="12" ht="22.5" customHeight="1">
      <c r="A12" s="90" t="str">
        <f t="shared" si="1"/>
        <v>Building 10</v>
      </c>
      <c r="B12" s="90" t="str">
        <f t="shared" si="2"/>
        <v>Floor 1</v>
      </c>
      <c r="C12" s="91" t="s">
        <v>408</v>
      </c>
      <c r="D12" s="90" t="s">
        <v>868</v>
      </c>
      <c r="E12" s="90" t="s">
        <v>497</v>
      </c>
      <c r="F12" s="11" t="s">
        <v>191</v>
      </c>
      <c r="G12" s="92" t="s">
        <v>855</v>
      </c>
      <c r="H12" s="23">
        <v>5.0</v>
      </c>
      <c r="I12" s="93"/>
    </row>
    <row r="13" ht="22.5" customHeight="1">
      <c r="A13" s="90" t="str">
        <f t="shared" si="1"/>
        <v>Building 10</v>
      </c>
      <c r="B13" s="90" t="str">
        <f t="shared" si="2"/>
        <v>Floor 1</v>
      </c>
      <c r="C13" s="91" t="s">
        <v>394</v>
      </c>
      <c r="D13" s="90" t="s">
        <v>869</v>
      </c>
      <c r="E13" s="90" t="s">
        <v>653</v>
      </c>
      <c r="F13" s="11" t="s">
        <v>191</v>
      </c>
      <c r="G13" s="92" t="s">
        <v>855</v>
      </c>
      <c r="H13" s="23">
        <v>5.0</v>
      </c>
      <c r="I13" s="93"/>
    </row>
    <row r="14" ht="22.5" customHeight="1">
      <c r="A14" s="90" t="str">
        <f t="shared" si="1"/>
        <v>Building 10</v>
      </c>
      <c r="B14" s="90" t="str">
        <f t="shared" si="2"/>
        <v>Floor 1</v>
      </c>
      <c r="C14" s="91" t="s">
        <v>413</v>
      </c>
      <c r="D14" s="90" t="s">
        <v>870</v>
      </c>
      <c r="E14" s="90" t="s">
        <v>659</v>
      </c>
      <c r="F14" s="11" t="s">
        <v>191</v>
      </c>
      <c r="G14" s="92" t="s">
        <v>855</v>
      </c>
      <c r="H14" s="23">
        <v>5.0</v>
      </c>
      <c r="I14" s="93"/>
    </row>
    <row r="15" ht="22.5" customHeight="1">
      <c r="A15" s="90" t="str">
        <f t="shared" si="1"/>
        <v>Building 10</v>
      </c>
      <c r="B15" s="90" t="str">
        <f t="shared" si="2"/>
        <v>Floor 1</v>
      </c>
      <c r="C15" s="91" t="s">
        <v>660</v>
      </c>
      <c r="D15" s="90" t="s">
        <v>871</v>
      </c>
      <c r="E15" s="90" t="s">
        <v>603</v>
      </c>
      <c r="F15" s="11" t="s">
        <v>191</v>
      </c>
      <c r="G15" s="92" t="s">
        <v>855</v>
      </c>
      <c r="H15" s="23">
        <v>5.0</v>
      </c>
      <c r="I15" s="93"/>
    </row>
    <row r="16" ht="22.5" customHeight="1">
      <c r="A16" s="90" t="str">
        <f t="shared" si="1"/>
        <v>Building 10</v>
      </c>
      <c r="B16" s="90" t="str">
        <f t="shared" si="2"/>
        <v>Floor 1</v>
      </c>
      <c r="C16" s="91" t="s">
        <v>720</v>
      </c>
      <c r="D16" s="90" t="s">
        <v>868</v>
      </c>
      <c r="E16" s="90" t="s">
        <v>483</v>
      </c>
      <c r="F16" s="11" t="s">
        <v>191</v>
      </c>
      <c r="G16" s="92" t="s">
        <v>855</v>
      </c>
      <c r="H16" s="23">
        <v>5.0</v>
      </c>
      <c r="I16" s="93"/>
    </row>
    <row r="17" ht="22.5" customHeight="1">
      <c r="A17" s="90" t="str">
        <f t="shared" si="1"/>
        <v>Building 10</v>
      </c>
      <c r="B17" s="90" t="str">
        <f t="shared" si="2"/>
        <v>Floor 1</v>
      </c>
      <c r="C17" s="91" t="s">
        <v>422</v>
      </c>
      <c r="D17" s="90" t="s">
        <v>872</v>
      </c>
      <c r="E17" s="90" t="s">
        <v>491</v>
      </c>
      <c r="F17" s="11" t="s">
        <v>191</v>
      </c>
      <c r="G17" s="92" t="s">
        <v>855</v>
      </c>
      <c r="H17" s="23">
        <v>5.0</v>
      </c>
      <c r="I17" s="93"/>
    </row>
    <row r="18" ht="22.5" customHeight="1">
      <c r="A18" s="90" t="str">
        <f t="shared" si="1"/>
        <v>Building 10</v>
      </c>
      <c r="B18" s="90" t="str">
        <f t="shared" si="2"/>
        <v>Floor 1</v>
      </c>
      <c r="C18" s="91" t="s">
        <v>433</v>
      </c>
      <c r="D18" s="90" t="s">
        <v>876</v>
      </c>
      <c r="E18" s="90" t="s">
        <v>620</v>
      </c>
      <c r="F18" s="11" t="s">
        <v>191</v>
      </c>
      <c r="G18" s="92" t="s">
        <v>855</v>
      </c>
      <c r="H18" s="23">
        <v>5.0</v>
      </c>
      <c r="I18" s="93"/>
    </row>
    <row r="19" ht="22.5" customHeight="1">
      <c r="A19" s="90" t="str">
        <f t="shared" si="1"/>
        <v>Building 10</v>
      </c>
      <c r="B19" s="90" t="str">
        <f t="shared" si="2"/>
        <v>Floor 1</v>
      </c>
      <c r="C19" s="91" t="s">
        <v>698</v>
      </c>
      <c r="D19" s="90" t="s">
        <v>879</v>
      </c>
      <c r="E19" s="90" t="s">
        <v>613</v>
      </c>
      <c r="F19" s="11" t="s">
        <v>191</v>
      </c>
      <c r="G19" s="92" t="s">
        <v>855</v>
      </c>
      <c r="H19" s="23">
        <v>5.0</v>
      </c>
      <c r="I19" s="93"/>
    </row>
    <row r="20" ht="22.5" customHeight="1">
      <c r="A20" s="90" t="str">
        <f t="shared" si="1"/>
        <v>Building 10</v>
      </c>
      <c r="B20" s="90" t="str">
        <f t="shared" si="2"/>
        <v>Floor 1</v>
      </c>
      <c r="C20" s="91" t="s">
        <v>443</v>
      </c>
      <c r="D20" s="90" t="s">
        <v>880</v>
      </c>
      <c r="E20" s="90" t="s">
        <v>636</v>
      </c>
      <c r="F20" s="11" t="s">
        <v>191</v>
      </c>
      <c r="G20" s="92" t="s">
        <v>855</v>
      </c>
      <c r="H20" s="23">
        <v>5.0</v>
      </c>
      <c r="I20" s="93"/>
    </row>
    <row r="21" ht="22.5" customHeight="1">
      <c r="A21" s="90" t="str">
        <f t="shared" si="1"/>
        <v>Building 10</v>
      </c>
      <c r="B21" s="90" t="str">
        <f t="shared" si="2"/>
        <v>Floor 1</v>
      </c>
      <c r="C21" s="91" t="s">
        <v>705</v>
      </c>
      <c r="D21" s="90" t="s">
        <v>881</v>
      </c>
      <c r="E21" s="90" t="s">
        <v>662</v>
      </c>
      <c r="F21" s="11" t="s">
        <v>191</v>
      </c>
      <c r="G21" s="92" t="s">
        <v>855</v>
      </c>
      <c r="H21" s="23">
        <v>5.0</v>
      </c>
      <c r="I21" s="93"/>
    </row>
    <row r="22" ht="22.5" customHeight="1">
      <c r="A22" s="90" t="str">
        <f t="shared" si="1"/>
        <v>Building 10</v>
      </c>
      <c r="B22" s="90" t="str">
        <f t="shared" si="2"/>
        <v>Floor 1</v>
      </c>
      <c r="C22" s="91" t="s">
        <v>555</v>
      </c>
      <c r="D22" s="90" t="s">
        <v>882</v>
      </c>
      <c r="E22" s="90" t="s">
        <v>405</v>
      </c>
      <c r="F22" s="11" t="s">
        <v>191</v>
      </c>
      <c r="G22" s="92" t="s">
        <v>855</v>
      </c>
      <c r="H22" s="23">
        <v>5.0</v>
      </c>
      <c r="I22" s="93"/>
    </row>
    <row r="23" ht="22.5" customHeight="1">
      <c r="A23" s="90" t="str">
        <f t="shared" si="1"/>
        <v>Building 10</v>
      </c>
      <c r="B23" s="90" t="str">
        <f t="shared" si="2"/>
        <v>Floor 1</v>
      </c>
      <c r="C23" s="91" t="s">
        <v>589</v>
      </c>
      <c r="D23" s="90" t="s">
        <v>883</v>
      </c>
      <c r="E23" s="90" t="s">
        <v>411</v>
      </c>
      <c r="F23" s="11" t="s">
        <v>191</v>
      </c>
      <c r="G23" s="92" t="s">
        <v>855</v>
      </c>
      <c r="H23" s="23">
        <v>5.0</v>
      </c>
      <c r="I23" s="93"/>
    </row>
    <row r="24" ht="22.5" customHeight="1">
      <c r="A24" s="90" t="str">
        <f t="shared" si="1"/>
        <v>Building 10</v>
      </c>
      <c r="B24" s="90" t="str">
        <f t="shared" si="2"/>
        <v>Floor 1</v>
      </c>
      <c r="C24" s="91" t="s">
        <v>607</v>
      </c>
      <c r="D24" s="90" t="s">
        <v>884</v>
      </c>
      <c r="E24" s="90" t="s">
        <v>678</v>
      </c>
      <c r="F24" s="11" t="s">
        <v>191</v>
      </c>
      <c r="G24" s="92" t="s">
        <v>855</v>
      </c>
      <c r="H24" s="23">
        <v>5.0</v>
      </c>
      <c r="I24" s="93"/>
    </row>
    <row r="25" ht="22.5" customHeight="1">
      <c r="A25" s="90" t="str">
        <f t="shared" si="1"/>
        <v>Building 10</v>
      </c>
      <c r="B25" s="90" t="str">
        <f t="shared" si="2"/>
        <v>Floor 1</v>
      </c>
      <c r="C25" s="91" t="s">
        <v>598</v>
      </c>
      <c r="D25" s="90" t="s">
        <v>885</v>
      </c>
      <c r="E25" s="90" t="s">
        <v>683</v>
      </c>
      <c r="F25" s="11" t="s">
        <v>191</v>
      </c>
      <c r="G25" s="92" t="s">
        <v>855</v>
      </c>
      <c r="H25" s="23">
        <v>5.0</v>
      </c>
      <c r="I25" s="93"/>
    </row>
    <row r="26" ht="22.5" customHeight="1">
      <c r="A26" s="90" t="str">
        <f t="shared" si="1"/>
        <v>Building 10</v>
      </c>
      <c r="B26" s="90" t="str">
        <f t="shared" si="2"/>
        <v>Floor 3</v>
      </c>
      <c r="C26" s="91" t="s">
        <v>173</v>
      </c>
      <c r="D26" s="90" t="s">
        <v>886</v>
      </c>
      <c r="E26" s="90" t="s">
        <v>172</v>
      </c>
      <c r="F26" s="11" t="s">
        <v>191</v>
      </c>
      <c r="G26" s="92" t="s">
        <v>855</v>
      </c>
      <c r="H26" s="23">
        <v>5.0</v>
      </c>
      <c r="I26" s="93"/>
    </row>
    <row r="27" ht="22.5" customHeight="1">
      <c r="A27" s="90" t="str">
        <f t="shared" si="1"/>
        <v>Building 10</v>
      </c>
      <c r="B27" s="90" t="str">
        <f t="shared" si="2"/>
        <v>Floor 3</v>
      </c>
      <c r="C27" s="91" t="s">
        <v>179</v>
      </c>
      <c r="D27" s="90" t="s">
        <v>872</v>
      </c>
      <c r="E27" s="90" t="s">
        <v>178</v>
      </c>
      <c r="F27" s="11" t="s">
        <v>191</v>
      </c>
      <c r="G27" s="92" t="s">
        <v>855</v>
      </c>
      <c r="H27" s="23">
        <v>5.0</v>
      </c>
      <c r="I27" s="93"/>
    </row>
    <row r="28" ht="22.5" customHeight="1">
      <c r="A28" s="90" t="str">
        <f t="shared" si="1"/>
        <v>Building 10</v>
      </c>
      <c r="B28" s="90" t="str">
        <f t="shared" si="2"/>
        <v>Floor 3</v>
      </c>
      <c r="C28" s="91" t="s">
        <v>463</v>
      </c>
      <c r="D28" s="90" t="s">
        <v>887</v>
      </c>
      <c r="E28" s="90" t="s">
        <v>390</v>
      </c>
      <c r="F28" s="11" t="s">
        <v>191</v>
      </c>
      <c r="G28" s="92" t="s">
        <v>855</v>
      </c>
      <c r="H28" s="23">
        <v>5.0</v>
      </c>
      <c r="I28" s="93"/>
    </row>
    <row r="29" ht="22.5" customHeight="1">
      <c r="A29" s="90" t="str">
        <f t="shared" si="1"/>
        <v>Building 10</v>
      </c>
      <c r="B29" s="90" t="str">
        <f t="shared" si="2"/>
        <v>Floor 3</v>
      </c>
      <c r="C29" s="91" t="s">
        <v>471</v>
      </c>
      <c r="D29" s="90" t="s">
        <v>888</v>
      </c>
      <c r="E29" s="90" t="s">
        <v>889</v>
      </c>
      <c r="F29" s="11" t="s">
        <v>191</v>
      </c>
      <c r="G29" s="92" t="s">
        <v>855</v>
      </c>
      <c r="H29" s="23">
        <v>5.0</v>
      </c>
      <c r="I29" s="93"/>
    </row>
    <row r="30" ht="22.5" customHeight="1">
      <c r="A30" s="90" t="str">
        <f t="shared" si="1"/>
        <v>Building 10</v>
      </c>
      <c r="B30" s="90" t="str">
        <f t="shared" si="2"/>
        <v>Floor 3</v>
      </c>
      <c r="C30" s="91" t="s">
        <v>187</v>
      </c>
      <c r="D30" s="90" t="s">
        <v>892</v>
      </c>
      <c r="E30" s="90" t="s">
        <v>185</v>
      </c>
      <c r="F30" s="11" t="s">
        <v>191</v>
      </c>
      <c r="G30" s="92" t="s">
        <v>855</v>
      </c>
      <c r="H30" s="23">
        <v>5.0</v>
      </c>
      <c r="I30" s="93"/>
    </row>
    <row r="31" ht="22.5" customHeight="1">
      <c r="A31" s="90" t="str">
        <f t="shared" si="1"/>
        <v>Building 10</v>
      </c>
      <c r="B31" s="90" t="str">
        <f t="shared" si="2"/>
        <v>Floor 3</v>
      </c>
      <c r="C31" s="91" t="s">
        <v>249</v>
      </c>
      <c r="D31" s="90" t="s">
        <v>895</v>
      </c>
      <c r="E31" s="90" t="s">
        <v>248</v>
      </c>
      <c r="F31" s="11" t="s">
        <v>191</v>
      </c>
      <c r="G31" s="92" t="s">
        <v>855</v>
      </c>
      <c r="H31" s="23">
        <v>5.0</v>
      </c>
      <c r="I31" s="93"/>
    </row>
    <row r="32" ht="22.5" customHeight="1">
      <c r="A32" s="90" t="str">
        <f t="shared" si="1"/>
        <v>Building 10</v>
      </c>
      <c r="B32" s="90" t="str">
        <f t="shared" si="2"/>
        <v>Floor 3</v>
      </c>
      <c r="C32" s="91" t="s">
        <v>492</v>
      </c>
      <c r="D32" s="90" t="s">
        <v>896</v>
      </c>
      <c r="E32" s="90" t="s">
        <v>426</v>
      </c>
      <c r="F32" s="11" t="s">
        <v>191</v>
      </c>
      <c r="G32" s="92" t="s">
        <v>855</v>
      </c>
      <c r="H32" s="23">
        <v>5.0</v>
      </c>
      <c r="I32" s="93"/>
    </row>
    <row r="33" ht="22.5" customHeight="1">
      <c r="A33" s="90" t="str">
        <f t="shared" si="1"/>
        <v>Building 10</v>
      </c>
      <c r="B33" s="90" t="str">
        <f t="shared" si="2"/>
        <v>Floor 3</v>
      </c>
      <c r="C33" s="91" t="s">
        <v>498</v>
      </c>
      <c r="D33" s="90" t="s">
        <v>897</v>
      </c>
      <c r="E33" s="90" t="s">
        <v>447</v>
      </c>
      <c r="F33" s="11" t="s">
        <v>191</v>
      </c>
      <c r="G33" s="92" t="s">
        <v>855</v>
      </c>
      <c r="H33" s="23">
        <v>5.0</v>
      </c>
      <c r="I33" s="93"/>
    </row>
    <row r="34" ht="22.5" customHeight="1">
      <c r="A34" s="90" t="str">
        <f t="shared" si="1"/>
        <v>Building 10</v>
      </c>
      <c r="B34" s="90" t="str">
        <f t="shared" si="2"/>
        <v>Floor 3</v>
      </c>
      <c r="C34" s="91" t="s">
        <v>505</v>
      </c>
      <c r="D34" s="90" t="s">
        <v>899</v>
      </c>
      <c r="E34" s="90" t="s">
        <v>453</v>
      </c>
      <c r="F34" s="11" t="s">
        <v>191</v>
      </c>
      <c r="G34" s="92" t="s">
        <v>855</v>
      </c>
      <c r="H34" s="23">
        <v>5.0</v>
      </c>
      <c r="I34" s="93"/>
    </row>
    <row r="35" ht="22.5" customHeight="1">
      <c r="A35" s="90" t="str">
        <f t="shared" si="1"/>
        <v>Building 10</v>
      </c>
      <c r="B35" s="90" t="str">
        <f t="shared" si="2"/>
        <v>Floor 3</v>
      </c>
      <c r="C35" s="91" t="s">
        <v>195</v>
      </c>
      <c r="D35" s="90" t="s">
        <v>900</v>
      </c>
      <c r="E35" s="90" t="s">
        <v>193</v>
      </c>
      <c r="F35" s="11" t="s">
        <v>191</v>
      </c>
      <c r="G35" s="92" t="s">
        <v>855</v>
      </c>
      <c r="H35" s="23">
        <v>5.0</v>
      </c>
      <c r="I35" s="93"/>
    </row>
    <row r="36" ht="22.5" customHeight="1">
      <c r="A36" s="90" t="str">
        <f t="shared" si="1"/>
        <v>Building 10</v>
      </c>
      <c r="B36" s="90" t="str">
        <f t="shared" si="2"/>
        <v>Floor 3</v>
      </c>
      <c r="C36" s="91" t="s">
        <v>208</v>
      </c>
      <c r="D36" s="90" t="s">
        <v>901</v>
      </c>
      <c r="E36" s="90" t="s">
        <v>206</v>
      </c>
      <c r="F36" s="11" t="s">
        <v>191</v>
      </c>
      <c r="G36" s="92" t="s">
        <v>855</v>
      </c>
      <c r="H36" s="23">
        <v>5.0</v>
      </c>
      <c r="I36" s="93"/>
    </row>
    <row r="37" ht="22.5" customHeight="1">
      <c r="A37" s="90" t="str">
        <f t="shared" si="1"/>
        <v>Building 10</v>
      </c>
      <c r="B37" s="90" t="str">
        <f t="shared" si="2"/>
        <v>Floor 3</v>
      </c>
      <c r="C37" s="91" t="s">
        <v>533</v>
      </c>
      <c r="D37" s="90" t="s">
        <v>903</v>
      </c>
      <c r="E37" s="90" t="s">
        <v>460</v>
      </c>
      <c r="F37" s="11" t="s">
        <v>191</v>
      </c>
      <c r="G37" s="92" t="s">
        <v>855</v>
      </c>
      <c r="H37" s="23">
        <v>5.0</v>
      </c>
      <c r="I37" s="93"/>
    </row>
    <row r="38" ht="22.5" customHeight="1">
      <c r="A38" s="90" t="str">
        <f t="shared" si="1"/>
        <v>Building 10</v>
      </c>
      <c r="B38" s="90" t="str">
        <f t="shared" si="2"/>
        <v>Floor 3</v>
      </c>
      <c r="C38" s="91" t="s">
        <v>219</v>
      </c>
      <c r="D38" s="90" t="s">
        <v>904</v>
      </c>
      <c r="E38" s="90" t="s">
        <v>218</v>
      </c>
      <c r="F38" s="11" t="s">
        <v>191</v>
      </c>
      <c r="G38" s="92" t="s">
        <v>855</v>
      </c>
      <c r="H38" s="23">
        <v>5.0</v>
      </c>
      <c r="I38" s="93"/>
    </row>
    <row r="39" ht="22.5" customHeight="1">
      <c r="A39" s="90" t="str">
        <f t="shared" si="1"/>
        <v>Building 10</v>
      </c>
      <c r="B39" s="90" t="str">
        <f t="shared" si="2"/>
        <v>Floor 3</v>
      </c>
      <c r="C39" s="91" t="s">
        <v>228</v>
      </c>
      <c r="D39" s="90" t="s">
        <v>905</v>
      </c>
      <c r="E39" s="90" t="s">
        <v>227</v>
      </c>
      <c r="F39" s="11" t="s">
        <v>191</v>
      </c>
      <c r="G39" s="92" t="s">
        <v>855</v>
      </c>
      <c r="H39" s="23">
        <v>5.0</v>
      </c>
      <c r="I39" s="93"/>
    </row>
    <row r="40" ht="22.5" customHeight="1">
      <c r="A40" s="90" t="str">
        <f t="shared" si="1"/>
        <v>Building 10</v>
      </c>
      <c r="B40" s="90" t="str">
        <f t="shared" si="2"/>
        <v>Floor 3</v>
      </c>
      <c r="C40" s="91" t="s">
        <v>236</v>
      </c>
      <c r="D40" s="90" t="s">
        <v>906</v>
      </c>
      <c r="E40" s="90" t="s">
        <v>234</v>
      </c>
      <c r="F40" s="11" t="s">
        <v>191</v>
      </c>
      <c r="G40" s="92" t="s">
        <v>855</v>
      </c>
      <c r="H40" s="23">
        <v>5.0</v>
      </c>
      <c r="I40" s="93"/>
    </row>
    <row r="41" ht="22.5" customHeight="1">
      <c r="A41" s="90" t="str">
        <f t="shared" si="1"/>
        <v>Building 10</v>
      </c>
      <c r="B41" s="90" t="str">
        <f t="shared" si="2"/>
        <v>Floor 3</v>
      </c>
      <c r="C41" s="91" t="s">
        <v>243</v>
      </c>
      <c r="D41" s="90" t="s">
        <v>244</v>
      </c>
      <c r="E41" s="90" t="s">
        <v>242</v>
      </c>
      <c r="F41" s="11" t="s">
        <v>191</v>
      </c>
      <c r="G41" s="92" t="s">
        <v>855</v>
      </c>
      <c r="H41" s="23">
        <v>5.0</v>
      </c>
      <c r="I41" s="93"/>
    </row>
    <row r="42" ht="22.5" customHeight="1">
      <c r="A42" s="90" t="str">
        <f t="shared" si="1"/>
        <v>Building 10</v>
      </c>
      <c r="B42" s="90" t="str">
        <f t="shared" si="2"/>
        <v>Floor 3</v>
      </c>
      <c r="C42" s="91" t="s">
        <v>251</v>
      </c>
      <c r="D42" s="90" t="s">
        <v>244</v>
      </c>
      <c r="E42" s="90" t="s">
        <v>250</v>
      </c>
      <c r="F42" s="11" t="s">
        <v>191</v>
      </c>
      <c r="G42" s="92" t="s">
        <v>855</v>
      </c>
      <c r="H42" s="23">
        <v>5.0</v>
      </c>
      <c r="I42" s="93"/>
    </row>
    <row r="43" ht="22.5" customHeight="1">
      <c r="A43" s="90" t="str">
        <f t="shared" si="1"/>
        <v>Building 10</v>
      </c>
      <c r="B43" s="90" t="str">
        <f t="shared" si="2"/>
        <v>Floor 3</v>
      </c>
      <c r="C43" s="91" t="s">
        <v>565</v>
      </c>
      <c r="D43" s="90" t="s">
        <v>910</v>
      </c>
      <c r="E43" s="90" t="s">
        <v>475</v>
      </c>
      <c r="F43" s="11" t="s">
        <v>191</v>
      </c>
      <c r="G43" s="92" t="s">
        <v>855</v>
      </c>
      <c r="H43" s="23">
        <v>5.0</v>
      </c>
      <c r="I43" s="93"/>
    </row>
    <row r="44" ht="22.5" customHeight="1">
      <c r="A44" s="90" t="str">
        <f t="shared" si="1"/>
        <v>Building 10</v>
      </c>
      <c r="B44" s="90" t="str">
        <f t="shared" si="2"/>
        <v>Floor 3</v>
      </c>
      <c r="C44" s="91" t="s">
        <v>573</v>
      </c>
      <c r="D44" s="90" t="s">
        <v>911</v>
      </c>
      <c r="E44" s="90" t="s">
        <v>519</v>
      </c>
      <c r="F44" s="11" t="s">
        <v>191</v>
      </c>
      <c r="G44" s="92" t="s">
        <v>855</v>
      </c>
      <c r="H44" s="23">
        <v>5.0</v>
      </c>
      <c r="I44" s="93"/>
    </row>
    <row r="45" ht="22.5" customHeight="1">
      <c r="A45" s="90" t="str">
        <f t="shared" si="1"/>
        <v>Building 10</v>
      </c>
      <c r="B45" s="90" t="str">
        <f t="shared" si="2"/>
        <v>Floor 3</v>
      </c>
      <c r="C45" s="91" t="s">
        <v>257</v>
      </c>
      <c r="D45" s="90" t="s">
        <v>258</v>
      </c>
      <c r="E45" s="90" t="s">
        <v>256</v>
      </c>
      <c r="F45" s="11" t="s">
        <v>191</v>
      </c>
      <c r="G45" s="92" t="s">
        <v>855</v>
      </c>
      <c r="H45" s="23">
        <v>5.0</v>
      </c>
      <c r="I45" s="93"/>
    </row>
    <row r="46" ht="22.5" customHeight="1">
      <c r="A46" s="90" t="str">
        <f t="shared" si="1"/>
        <v>Building 10</v>
      </c>
      <c r="B46" s="90" t="str">
        <f t="shared" si="2"/>
        <v>Floor 3</v>
      </c>
      <c r="C46" s="91" t="s">
        <v>267</v>
      </c>
      <c r="D46" s="90" t="s">
        <v>912</v>
      </c>
      <c r="E46" s="90" t="s">
        <v>266</v>
      </c>
      <c r="F46" s="11" t="s">
        <v>191</v>
      </c>
      <c r="G46" s="92" t="s">
        <v>855</v>
      </c>
      <c r="H46" s="23">
        <v>5.0</v>
      </c>
      <c r="I46" s="93"/>
    </row>
    <row r="47" ht="22.5" customHeight="1">
      <c r="A47" s="90" t="str">
        <f t="shared" si="1"/>
        <v>Building 10</v>
      </c>
      <c r="B47" s="90" t="str">
        <f t="shared" si="2"/>
        <v>Floor 3</v>
      </c>
      <c r="C47" s="91" t="s">
        <v>270</v>
      </c>
      <c r="D47" s="90" t="s">
        <v>913</v>
      </c>
      <c r="E47" s="90" t="s">
        <v>269</v>
      </c>
      <c r="F47" s="11" t="s">
        <v>191</v>
      </c>
      <c r="G47" s="92" t="s">
        <v>855</v>
      </c>
      <c r="H47" s="23">
        <v>5.0</v>
      </c>
      <c r="I47" s="93"/>
    </row>
    <row r="48" ht="22.5" customHeight="1">
      <c r="A48" s="90" t="str">
        <f t="shared" si="1"/>
        <v>Building 10</v>
      </c>
      <c r="B48" s="90" t="str">
        <f t="shared" si="2"/>
        <v>Floor 3</v>
      </c>
      <c r="C48" s="91" t="s">
        <v>200</v>
      </c>
      <c r="D48" s="90" t="s">
        <v>914</v>
      </c>
      <c r="E48" s="90" t="s">
        <v>198</v>
      </c>
      <c r="F48" s="11" t="s">
        <v>191</v>
      </c>
      <c r="G48" s="92" t="s">
        <v>855</v>
      </c>
      <c r="H48" s="23">
        <v>5.0</v>
      </c>
      <c r="I48" s="93"/>
    </row>
    <row r="49" ht="22.5" customHeight="1">
      <c r="A49" s="90" t="str">
        <f t="shared" si="1"/>
        <v>Building 10</v>
      </c>
      <c r="B49" s="90" t="str">
        <f t="shared" si="2"/>
        <v>Floor 3</v>
      </c>
      <c r="C49" s="91" t="s">
        <v>205</v>
      </c>
      <c r="D49" s="90" t="s">
        <v>915</v>
      </c>
      <c r="E49" s="90" t="s">
        <v>204</v>
      </c>
      <c r="F49" s="11" t="s">
        <v>191</v>
      </c>
      <c r="G49" s="92" t="s">
        <v>855</v>
      </c>
      <c r="H49" s="23">
        <v>5.0</v>
      </c>
      <c r="I49" s="93"/>
    </row>
    <row r="50" ht="22.5" customHeight="1">
      <c r="A50" s="90" t="str">
        <f t="shared" si="1"/>
        <v>Building 10</v>
      </c>
      <c r="B50" s="90" t="str">
        <f t="shared" si="2"/>
        <v>Floor 3</v>
      </c>
      <c r="C50" s="91" t="s">
        <v>609</v>
      </c>
      <c r="D50" s="90" t="s">
        <v>916</v>
      </c>
      <c r="E50" s="90" t="s">
        <v>467</v>
      </c>
      <c r="F50" s="11" t="s">
        <v>191</v>
      </c>
      <c r="G50" s="92" t="s">
        <v>855</v>
      </c>
      <c r="H50" s="23">
        <v>5.0</v>
      </c>
      <c r="I50" s="93"/>
    </row>
    <row r="51" ht="22.5" customHeight="1">
      <c r="A51" s="90" t="str">
        <f t="shared" si="1"/>
        <v>Building 10</v>
      </c>
      <c r="B51" s="90" t="str">
        <f t="shared" si="2"/>
        <v>Floor 3</v>
      </c>
      <c r="C51" s="91" t="s">
        <v>212</v>
      </c>
      <c r="D51" s="90" t="s">
        <v>917</v>
      </c>
      <c r="E51" s="90" t="s">
        <v>211</v>
      </c>
      <c r="F51" s="11" t="s">
        <v>191</v>
      </c>
      <c r="G51" s="92" t="s">
        <v>855</v>
      </c>
      <c r="H51" s="23">
        <v>5.0</v>
      </c>
      <c r="I51" s="93"/>
    </row>
    <row r="52" ht="22.5" customHeight="1">
      <c r="A52" s="90" t="str">
        <f t="shared" si="1"/>
        <v>Building 10</v>
      </c>
      <c r="B52" s="90" t="str">
        <f t="shared" si="2"/>
        <v>Floor 3</v>
      </c>
      <c r="C52" s="91" t="s">
        <v>217</v>
      </c>
      <c r="D52" s="90" t="s">
        <v>918</v>
      </c>
      <c r="E52" s="90" t="s">
        <v>216</v>
      </c>
      <c r="F52" s="11" t="s">
        <v>191</v>
      </c>
      <c r="G52" s="92" t="s">
        <v>855</v>
      </c>
      <c r="H52" s="23">
        <v>5.0</v>
      </c>
      <c r="I52" s="93"/>
    </row>
    <row r="53" ht="22.5" customHeight="1">
      <c r="A53" s="90" t="str">
        <f t="shared" si="1"/>
        <v>Building 10</v>
      </c>
      <c r="B53" s="90" t="str">
        <f t="shared" si="2"/>
        <v>Floor 3</v>
      </c>
      <c r="C53" s="91" t="s">
        <v>222</v>
      </c>
      <c r="D53" s="90" t="s">
        <v>920</v>
      </c>
      <c r="E53" s="90" t="s">
        <v>221</v>
      </c>
      <c r="F53" s="11" t="s">
        <v>191</v>
      </c>
      <c r="G53" s="92" t="s">
        <v>855</v>
      </c>
      <c r="H53" s="23">
        <v>5.0</v>
      </c>
      <c r="I53" s="93"/>
    </row>
    <row r="54" ht="22.5" customHeight="1">
      <c r="A54" s="90" t="str">
        <f t="shared" si="1"/>
        <v>Building 10</v>
      </c>
      <c r="B54" s="90" t="str">
        <f t="shared" si="2"/>
        <v>Floor 3</v>
      </c>
      <c r="C54" s="91" t="s">
        <v>168</v>
      </c>
      <c r="D54" s="90" t="s">
        <v>921</v>
      </c>
      <c r="E54" s="90" t="s">
        <v>166</v>
      </c>
      <c r="F54" s="11" t="s">
        <v>191</v>
      </c>
      <c r="G54" s="92" t="s">
        <v>855</v>
      </c>
      <c r="H54" s="23">
        <v>5.0</v>
      </c>
      <c r="I54" s="93"/>
    </row>
    <row r="55" ht="22.5" customHeight="1">
      <c r="A55" s="90" t="str">
        <f t="shared" si="1"/>
        <v>Building 10</v>
      </c>
      <c r="B55" s="90" t="str">
        <f t="shared" si="2"/>
        <v>Floor 3</v>
      </c>
      <c r="C55" s="91" t="s">
        <v>226</v>
      </c>
      <c r="D55" s="90" t="s">
        <v>923</v>
      </c>
      <c r="E55" s="90" t="s">
        <v>225</v>
      </c>
      <c r="F55" s="11" t="s">
        <v>191</v>
      </c>
      <c r="G55" s="92" t="s">
        <v>855</v>
      </c>
      <c r="H55" s="23">
        <v>5.0</v>
      </c>
      <c r="I55" s="93"/>
    </row>
    <row r="56" ht="22.5" customHeight="1">
      <c r="A56" s="90" t="str">
        <f t="shared" si="1"/>
        <v>Building 10</v>
      </c>
      <c r="B56" s="90" t="str">
        <f t="shared" si="2"/>
        <v>Floor 3</v>
      </c>
      <c r="C56" s="91" t="s">
        <v>643</v>
      </c>
      <c r="D56" s="90" t="s">
        <v>924</v>
      </c>
      <c r="E56" s="90" t="s">
        <v>437</v>
      </c>
      <c r="F56" s="11" t="s">
        <v>191</v>
      </c>
      <c r="G56" s="92" t="s">
        <v>855</v>
      </c>
      <c r="H56" s="23">
        <v>5.0</v>
      </c>
      <c r="I56" s="93"/>
    </row>
    <row r="57" ht="22.5" customHeight="1">
      <c r="A57" s="90" t="str">
        <f t="shared" si="1"/>
        <v>Building 10</v>
      </c>
      <c r="B57" s="90" t="str">
        <f t="shared" si="2"/>
        <v>Floor 3</v>
      </c>
      <c r="C57" s="91" t="s">
        <v>177</v>
      </c>
      <c r="D57" s="90" t="s">
        <v>925</v>
      </c>
      <c r="E57" s="90" t="s">
        <v>176</v>
      </c>
      <c r="F57" s="11" t="s">
        <v>191</v>
      </c>
      <c r="G57" s="92" t="s">
        <v>855</v>
      </c>
      <c r="H57" s="23">
        <v>5.0</v>
      </c>
      <c r="I57" s="93"/>
    </row>
    <row r="58" ht="22.5" customHeight="1">
      <c r="A58" s="90" t="str">
        <f t="shared" si="1"/>
        <v>Building 10</v>
      </c>
      <c r="B58" s="90" t="str">
        <f t="shared" si="2"/>
        <v>Floor 3</v>
      </c>
      <c r="C58" s="91" t="s">
        <v>183</v>
      </c>
      <c r="D58" s="90" t="s">
        <v>926</v>
      </c>
      <c r="E58" s="90" t="s">
        <v>182</v>
      </c>
      <c r="F58" s="11" t="s">
        <v>191</v>
      </c>
      <c r="G58" s="92" t="s">
        <v>855</v>
      </c>
      <c r="H58" s="23">
        <v>5.0</v>
      </c>
      <c r="I58" s="93"/>
    </row>
    <row r="59" ht="22.5" customHeight="1">
      <c r="A59" s="90" t="str">
        <f t="shared" si="1"/>
        <v>Building 10</v>
      </c>
      <c r="B59" s="90" t="str">
        <f t="shared" si="2"/>
        <v>Floor 3</v>
      </c>
      <c r="C59" s="91" t="s">
        <v>231</v>
      </c>
      <c r="D59" s="90" t="s">
        <v>927</v>
      </c>
      <c r="E59" s="90" t="s">
        <v>230</v>
      </c>
      <c r="F59" s="11" t="s">
        <v>191</v>
      </c>
      <c r="G59" s="92" t="s">
        <v>855</v>
      </c>
      <c r="H59" s="23">
        <v>5.0</v>
      </c>
      <c r="I59" s="93"/>
    </row>
    <row r="60" ht="22.5" customHeight="1">
      <c r="A60" s="90" t="str">
        <f t="shared" si="1"/>
        <v>Building 10</v>
      </c>
      <c r="B60" s="90" t="str">
        <f t="shared" si="2"/>
        <v>Floor 3</v>
      </c>
      <c r="C60" s="91" t="s">
        <v>233</v>
      </c>
      <c r="D60" s="90" t="s">
        <v>928</v>
      </c>
      <c r="E60" s="90" t="s">
        <v>232</v>
      </c>
      <c r="F60" s="11" t="s">
        <v>191</v>
      </c>
      <c r="G60" s="92" t="s">
        <v>855</v>
      </c>
      <c r="H60" s="23">
        <v>5.0</v>
      </c>
      <c r="I60" s="93"/>
    </row>
    <row r="61" ht="22.5" customHeight="1">
      <c r="A61" s="90" t="str">
        <f t="shared" si="1"/>
        <v>Building 10</v>
      </c>
      <c r="B61" s="90" t="str">
        <f t="shared" si="2"/>
        <v>Floor 3</v>
      </c>
      <c r="C61" s="91" t="s">
        <v>239</v>
      </c>
      <c r="D61" s="90" t="s">
        <v>293</v>
      </c>
      <c r="E61" s="90" t="s">
        <v>238</v>
      </c>
      <c r="F61" s="11" t="s">
        <v>191</v>
      </c>
      <c r="G61" s="92" t="s">
        <v>855</v>
      </c>
      <c r="H61" s="23">
        <v>5.0</v>
      </c>
      <c r="I61" s="93"/>
    </row>
    <row r="62" ht="22.5" customHeight="1">
      <c r="A62" s="90" t="str">
        <f t="shared" si="1"/>
        <v>Building 10</v>
      </c>
      <c r="B62" s="90" t="str">
        <f t="shared" si="2"/>
        <v>Floor 3</v>
      </c>
      <c r="C62" s="91" t="s">
        <v>241</v>
      </c>
      <c r="D62" s="90" t="s">
        <v>295</v>
      </c>
      <c r="E62" s="90" t="s">
        <v>240</v>
      </c>
      <c r="F62" s="11" t="s">
        <v>191</v>
      </c>
      <c r="G62" s="92" t="s">
        <v>855</v>
      </c>
      <c r="H62" s="23">
        <v>5.0</v>
      </c>
      <c r="I62" s="93"/>
    </row>
    <row r="63" ht="22.5" customHeight="1">
      <c r="A63" s="90" t="str">
        <f t="shared" si="1"/>
        <v>Building 10</v>
      </c>
      <c r="B63" s="90" t="str">
        <f t="shared" si="2"/>
        <v>Floor 3</v>
      </c>
      <c r="C63" s="91" t="s">
        <v>246</v>
      </c>
      <c r="D63" s="90" t="s">
        <v>929</v>
      </c>
      <c r="E63" s="90" t="s">
        <v>245</v>
      </c>
      <c r="F63" s="11" t="s">
        <v>191</v>
      </c>
      <c r="G63" s="92" t="s">
        <v>855</v>
      </c>
      <c r="H63" s="23">
        <v>5.0</v>
      </c>
      <c r="I63" s="93"/>
    </row>
    <row r="64" ht="22.5" customHeight="1">
      <c r="A64" s="90" t="str">
        <f t="shared" si="1"/>
        <v>Building 10</v>
      </c>
      <c r="B64" s="90" t="str">
        <f t="shared" si="2"/>
        <v>Floor 2</v>
      </c>
      <c r="C64" s="91" t="s">
        <v>930</v>
      </c>
      <c r="D64" s="90" t="s">
        <v>931</v>
      </c>
      <c r="E64" s="90" t="s">
        <v>510</v>
      </c>
      <c r="F64" s="11" t="s">
        <v>191</v>
      </c>
      <c r="G64" s="92" t="s">
        <v>855</v>
      </c>
      <c r="H64" s="23">
        <v>5.0</v>
      </c>
      <c r="I64" s="93"/>
    </row>
    <row r="65" ht="22.5" customHeight="1">
      <c r="A65" s="90" t="str">
        <f t="shared" si="1"/>
        <v>Building 11</v>
      </c>
      <c r="B65" s="90" t="str">
        <f t="shared" si="2"/>
        <v>Floor 2</v>
      </c>
      <c r="C65" s="91" t="s">
        <v>932</v>
      </c>
      <c r="D65" s="90" t="s">
        <v>933</v>
      </c>
      <c r="E65" s="90" t="s">
        <v>934</v>
      </c>
      <c r="F65" s="11" t="s">
        <v>191</v>
      </c>
      <c r="G65" s="92" t="s">
        <v>855</v>
      </c>
      <c r="H65" s="23">
        <v>5.0</v>
      </c>
      <c r="I65" s="93"/>
    </row>
    <row r="66" ht="22.5" customHeight="1">
      <c r="A66" s="90" t="str">
        <f t="shared" si="1"/>
        <v>Building 12</v>
      </c>
      <c r="B66" s="90" t="str">
        <f t="shared" si="2"/>
        <v>Floor 1</v>
      </c>
      <c r="C66" s="91" t="s">
        <v>779</v>
      </c>
      <c r="D66" s="90" t="s">
        <v>244</v>
      </c>
      <c r="E66" s="90" t="s">
        <v>780</v>
      </c>
      <c r="F66" s="11" t="s">
        <v>191</v>
      </c>
      <c r="G66" s="92" t="s">
        <v>855</v>
      </c>
      <c r="H66" s="23">
        <v>5.0</v>
      </c>
      <c r="I66" s="93"/>
    </row>
    <row r="67" ht="22.5" customHeight="1">
      <c r="A67" s="90" t="str">
        <f t="shared" si="1"/>
        <v>Building 12</v>
      </c>
      <c r="B67" s="90" t="str">
        <f t="shared" si="2"/>
        <v>Floor 1</v>
      </c>
      <c r="C67" s="91" t="s">
        <v>789</v>
      </c>
      <c r="D67" s="90" t="s">
        <v>940</v>
      </c>
      <c r="E67" s="90" t="s">
        <v>790</v>
      </c>
      <c r="F67" s="11" t="s">
        <v>191</v>
      </c>
      <c r="G67" s="92" t="s">
        <v>855</v>
      </c>
      <c r="H67" s="23">
        <v>5.0</v>
      </c>
      <c r="I67" s="93"/>
    </row>
    <row r="68" ht="22.5" customHeight="1">
      <c r="A68" s="90" t="str">
        <f t="shared" si="1"/>
        <v>Building 12</v>
      </c>
      <c r="B68" s="90" t="str">
        <f t="shared" si="2"/>
        <v>Floor 1</v>
      </c>
      <c r="C68" s="91" t="s">
        <v>796</v>
      </c>
      <c r="D68" s="90" t="s">
        <v>941</v>
      </c>
      <c r="E68" s="90" t="s">
        <v>797</v>
      </c>
      <c r="F68" s="11" t="s">
        <v>191</v>
      </c>
      <c r="G68" s="92" t="s">
        <v>855</v>
      </c>
      <c r="H68" s="23">
        <v>5.0</v>
      </c>
      <c r="I68" s="93"/>
    </row>
    <row r="69" ht="22.5" customHeight="1">
      <c r="A69" s="90" t="str">
        <f t="shared" si="1"/>
        <v>Building 12</v>
      </c>
      <c r="B69" s="90" t="str">
        <f t="shared" si="2"/>
        <v>Floor 1</v>
      </c>
      <c r="C69" s="91" t="s">
        <v>804</v>
      </c>
      <c r="D69" s="90" t="s">
        <v>942</v>
      </c>
      <c r="E69" s="90" t="s">
        <v>805</v>
      </c>
      <c r="F69" s="11" t="s">
        <v>191</v>
      </c>
      <c r="G69" s="92" t="s">
        <v>855</v>
      </c>
      <c r="H69" s="23">
        <v>5.0</v>
      </c>
      <c r="I69" s="93"/>
    </row>
    <row r="70" ht="22.5" customHeight="1">
      <c r="A70" s="90" t="str">
        <f t="shared" si="1"/>
        <v>Building 12</v>
      </c>
      <c r="B70" s="90" t="str">
        <f t="shared" si="2"/>
        <v>Floor 1</v>
      </c>
      <c r="C70" s="91" t="s">
        <v>812</v>
      </c>
      <c r="D70" s="90" t="s">
        <v>943</v>
      </c>
      <c r="E70" s="90" t="s">
        <v>813</v>
      </c>
      <c r="F70" s="11" t="s">
        <v>191</v>
      </c>
      <c r="G70" s="92" t="s">
        <v>855</v>
      </c>
      <c r="H70" s="23">
        <v>5.0</v>
      </c>
      <c r="I70" s="93"/>
    </row>
    <row r="71" ht="22.5" customHeight="1">
      <c r="A71" s="90" t="str">
        <f t="shared" si="1"/>
        <v>Building 12</v>
      </c>
      <c r="B71" s="90" t="str">
        <f t="shared" si="2"/>
        <v>Floor 1</v>
      </c>
      <c r="C71" s="91" t="s">
        <v>815</v>
      </c>
      <c r="D71" s="90" t="s">
        <v>944</v>
      </c>
      <c r="E71" s="90" t="s">
        <v>816</v>
      </c>
      <c r="F71" s="11" t="s">
        <v>191</v>
      </c>
      <c r="G71" s="92" t="s">
        <v>855</v>
      </c>
      <c r="H71" s="23">
        <v>5.0</v>
      </c>
      <c r="I71" s="93"/>
    </row>
    <row r="72" ht="22.5" customHeight="1">
      <c r="A72" s="90" t="str">
        <f t="shared" si="1"/>
        <v>Building 12</v>
      </c>
      <c r="B72" s="90" t="str">
        <f t="shared" si="2"/>
        <v>Floor 1</v>
      </c>
      <c r="C72" s="91" t="s">
        <v>945</v>
      </c>
      <c r="D72" s="90" t="s">
        <v>946</v>
      </c>
      <c r="E72" s="90" t="s">
        <v>947</v>
      </c>
      <c r="F72" s="11" t="s">
        <v>191</v>
      </c>
      <c r="G72" s="92" t="s">
        <v>855</v>
      </c>
      <c r="H72" s="23">
        <v>5.0</v>
      </c>
      <c r="I72" s="93"/>
    </row>
    <row r="73" ht="22.5" customHeight="1">
      <c r="A73" s="90" t="str">
        <f t="shared" si="1"/>
        <v>Building 12</v>
      </c>
      <c r="B73" s="90" t="str">
        <f t="shared" si="2"/>
        <v>Floor 2</v>
      </c>
      <c r="C73" s="91" t="s">
        <v>321</v>
      </c>
      <c r="D73" s="90" t="s">
        <v>948</v>
      </c>
      <c r="E73" s="90" t="s">
        <v>949</v>
      </c>
      <c r="F73" s="11" t="s">
        <v>191</v>
      </c>
      <c r="G73" s="92" t="s">
        <v>855</v>
      </c>
      <c r="H73" s="23">
        <v>5.0</v>
      </c>
      <c r="I73" s="93"/>
    </row>
    <row r="74" ht="22.5" customHeight="1">
      <c r="A74" s="90" t="str">
        <f t="shared" si="1"/>
        <v>Building 12</v>
      </c>
      <c r="B74" s="90" t="str">
        <f t="shared" si="2"/>
        <v>Floor 2</v>
      </c>
      <c r="C74" s="91" t="s">
        <v>404</v>
      </c>
      <c r="D74" s="90" t="s">
        <v>950</v>
      </c>
      <c r="E74" s="90" t="s">
        <v>822</v>
      </c>
      <c r="F74" s="11" t="s">
        <v>191</v>
      </c>
      <c r="G74" s="92" t="s">
        <v>855</v>
      </c>
      <c r="H74" s="23">
        <v>5.0</v>
      </c>
      <c r="I74" s="93"/>
    </row>
    <row r="75" ht="22.5" customHeight="1">
      <c r="A75" s="90" t="str">
        <f t="shared" si="1"/>
        <v>Building 12</v>
      </c>
      <c r="B75" s="90" t="str">
        <f t="shared" si="2"/>
        <v>Floor 2</v>
      </c>
      <c r="C75" s="91" t="s">
        <v>421</v>
      </c>
      <c r="D75" s="90" t="s">
        <v>951</v>
      </c>
      <c r="E75" s="90" t="s">
        <v>841</v>
      </c>
      <c r="F75" s="11" t="s">
        <v>191</v>
      </c>
      <c r="G75" s="92" t="s">
        <v>855</v>
      </c>
      <c r="H75" s="23">
        <v>5.0</v>
      </c>
      <c r="I75" s="93"/>
    </row>
    <row r="76" ht="22.5" customHeight="1">
      <c r="A76" s="90" t="str">
        <f t="shared" si="1"/>
        <v>Building 12</v>
      </c>
      <c r="B76" s="90" t="str">
        <f t="shared" si="2"/>
        <v>Floor 2</v>
      </c>
      <c r="C76" s="91" t="s">
        <v>442</v>
      </c>
      <c r="D76" s="90" t="s">
        <v>953</v>
      </c>
      <c r="E76" s="90" t="s">
        <v>844</v>
      </c>
      <c r="F76" s="11" t="s">
        <v>191</v>
      </c>
      <c r="G76" s="92" t="s">
        <v>855</v>
      </c>
      <c r="H76" s="23">
        <v>5.0</v>
      </c>
      <c r="I76" s="93"/>
    </row>
    <row r="77" ht="22.5" customHeight="1">
      <c r="A77" s="90" t="str">
        <f t="shared" si="1"/>
        <v>Building 12</v>
      </c>
      <c r="B77" s="90" t="str">
        <f t="shared" si="2"/>
        <v>Floor 2</v>
      </c>
      <c r="C77" s="91" t="s">
        <v>456</v>
      </c>
      <c r="D77" s="90" t="s">
        <v>955</v>
      </c>
      <c r="E77" s="90" t="s">
        <v>848</v>
      </c>
      <c r="F77" s="11" t="s">
        <v>191</v>
      </c>
      <c r="G77" s="92" t="s">
        <v>855</v>
      </c>
      <c r="H77" s="23">
        <v>5.0</v>
      </c>
      <c r="I77" s="93"/>
    </row>
    <row r="78" ht="22.5" customHeight="1">
      <c r="A78" s="90" t="str">
        <f t="shared" si="1"/>
        <v>Building 12</v>
      </c>
      <c r="B78" s="90" t="str">
        <f t="shared" si="2"/>
        <v>Floor 2</v>
      </c>
      <c r="C78" s="91" t="s">
        <v>486</v>
      </c>
      <c r="D78" s="90" t="s">
        <v>957</v>
      </c>
      <c r="E78" s="90" t="s">
        <v>853</v>
      </c>
      <c r="F78" s="11" t="s">
        <v>191</v>
      </c>
      <c r="G78" s="92" t="s">
        <v>855</v>
      </c>
      <c r="H78" s="23">
        <v>5.0</v>
      </c>
      <c r="I78" s="93"/>
    </row>
    <row r="79" ht="22.5" customHeight="1">
      <c r="A79" s="90" t="str">
        <f t="shared" si="1"/>
        <v>Building 12</v>
      </c>
      <c r="B79" s="90" t="str">
        <f t="shared" si="2"/>
        <v>Floor 2</v>
      </c>
      <c r="C79" s="91" t="s">
        <v>507</v>
      </c>
      <c r="D79" s="90" t="s">
        <v>960</v>
      </c>
      <c r="E79" s="90" t="s">
        <v>862</v>
      </c>
      <c r="F79" s="11" t="s">
        <v>191</v>
      </c>
      <c r="G79" s="92" t="s">
        <v>855</v>
      </c>
      <c r="H79" s="23">
        <v>5.0</v>
      </c>
      <c r="I79" s="93"/>
    </row>
    <row r="80" ht="22.5" customHeight="1">
      <c r="A80" s="90" t="str">
        <f t="shared" si="1"/>
        <v>Building 12</v>
      </c>
      <c r="B80" s="90" t="str">
        <f t="shared" si="2"/>
        <v>Floor 2</v>
      </c>
      <c r="C80" s="91" t="s">
        <v>530</v>
      </c>
      <c r="D80" s="90" t="s">
        <v>962</v>
      </c>
      <c r="E80" s="90" t="s">
        <v>826</v>
      </c>
      <c r="F80" s="11" t="s">
        <v>191</v>
      </c>
      <c r="G80" s="92" t="s">
        <v>855</v>
      </c>
      <c r="H80" s="23">
        <v>5.0</v>
      </c>
      <c r="I80" s="93"/>
    </row>
    <row r="81" ht="22.5" customHeight="1">
      <c r="A81" s="90" t="str">
        <f t="shared" si="1"/>
        <v>Building 12</v>
      </c>
      <c r="B81" s="90" t="str">
        <f t="shared" si="2"/>
        <v>Floor 2</v>
      </c>
      <c r="C81" s="91" t="s">
        <v>552</v>
      </c>
      <c r="D81" s="90" t="s">
        <v>963</v>
      </c>
      <c r="E81" s="90" t="s">
        <v>873</v>
      </c>
      <c r="F81" s="11" t="s">
        <v>191</v>
      </c>
      <c r="G81" s="92" t="s">
        <v>855</v>
      </c>
      <c r="H81" s="23">
        <v>5.0</v>
      </c>
      <c r="I81" s="93"/>
    </row>
    <row r="82" ht="22.5" customHeight="1">
      <c r="A82" s="90" t="str">
        <f t="shared" si="1"/>
        <v>Building 12</v>
      </c>
      <c r="B82" s="90" t="str">
        <f t="shared" si="2"/>
        <v>Floor 2</v>
      </c>
      <c r="C82" s="91" t="s">
        <v>626</v>
      </c>
      <c r="D82" s="90" t="s">
        <v>964</v>
      </c>
      <c r="E82" s="90" t="s">
        <v>965</v>
      </c>
      <c r="F82" s="11" t="s">
        <v>191</v>
      </c>
      <c r="G82" s="92" t="s">
        <v>855</v>
      </c>
      <c r="H82" s="23">
        <v>5.0</v>
      </c>
      <c r="I82" s="93"/>
    </row>
    <row r="83" ht="22.5" customHeight="1">
      <c r="A83" s="90" t="str">
        <f t="shared" si="1"/>
        <v>Building 12</v>
      </c>
      <c r="B83" s="90" t="str">
        <f t="shared" si="2"/>
        <v>Floor 2</v>
      </c>
      <c r="C83" s="91" t="s">
        <v>635</v>
      </c>
      <c r="D83" s="90" t="s">
        <v>966</v>
      </c>
      <c r="E83" s="90" t="s">
        <v>967</v>
      </c>
      <c r="F83" s="11" t="s">
        <v>191</v>
      </c>
      <c r="G83" s="92" t="s">
        <v>855</v>
      </c>
      <c r="H83" s="23">
        <v>5.0</v>
      </c>
      <c r="I83" s="93"/>
    </row>
    <row r="84" ht="22.5" customHeight="1">
      <c r="A84" s="90" t="str">
        <f t="shared" si="1"/>
        <v>Building 12</v>
      </c>
      <c r="B84" s="90" t="str">
        <f t="shared" si="2"/>
        <v>Floor 2</v>
      </c>
      <c r="C84" s="91" t="s">
        <v>642</v>
      </c>
      <c r="D84" s="90" t="s">
        <v>968</v>
      </c>
      <c r="E84" s="90" t="s">
        <v>969</v>
      </c>
      <c r="F84" s="11" t="s">
        <v>191</v>
      </c>
      <c r="G84" s="92" t="s">
        <v>855</v>
      </c>
      <c r="H84" s="23">
        <v>5.0</v>
      </c>
      <c r="I84" s="93"/>
    </row>
    <row r="85" ht="22.5" customHeight="1">
      <c r="A85" s="90" t="str">
        <f t="shared" si="1"/>
        <v>Building 12</v>
      </c>
      <c r="B85" s="90" t="str">
        <f t="shared" si="2"/>
        <v>Floor 2</v>
      </c>
      <c r="C85" s="91" t="s">
        <v>648</v>
      </c>
      <c r="D85" s="90" t="s">
        <v>970</v>
      </c>
      <c r="E85" s="90" t="s">
        <v>890</v>
      </c>
      <c r="F85" s="11" t="s">
        <v>191</v>
      </c>
      <c r="G85" s="92" t="s">
        <v>855</v>
      </c>
      <c r="H85" s="23">
        <v>5.0</v>
      </c>
      <c r="I85" s="93"/>
    </row>
    <row r="86" ht="22.5" customHeight="1">
      <c r="A86" s="90" t="str">
        <f t="shared" si="1"/>
        <v>Building 12</v>
      </c>
      <c r="B86" s="90" t="str">
        <f t="shared" si="2"/>
        <v>Floor 2</v>
      </c>
      <c r="C86" s="91" t="s">
        <v>655</v>
      </c>
      <c r="D86" s="90" t="s">
        <v>973</v>
      </c>
      <c r="E86" s="90" t="s">
        <v>907</v>
      </c>
      <c r="F86" s="11" t="s">
        <v>191</v>
      </c>
      <c r="G86" s="92" t="s">
        <v>855</v>
      </c>
      <c r="H86" s="23">
        <v>5.0</v>
      </c>
      <c r="I86" s="93"/>
    </row>
    <row r="87" ht="22.5" customHeight="1">
      <c r="A87" s="90" t="str">
        <f t="shared" si="1"/>
        <v>Building 12</v>
      </c>
      <c r="B87" s="90" t="str">
        <f t="shared" si="2"/>
        <v>Floor 2</v>
      </c>
      <c r="C87" s="91" t="s">
        <v>719</v>
      </c>
      <c r="D87" s="90" t="s">
        <v>940</v>
      </c>
      <c r="E87" s="90" t="s">
        <v>922</v>
      </c>
      <c r="F87" s="11" t="s">
        <v>191</v>
      </c>
      <c r="G87" s="92" t="s">
        <v>855</v>
      </c>
      <c r="H87" s="23">
        <v>5.0</v>
      </c>
      <c r="I87" s="93"/>
    </row>
    <row r="88" ht="22.5" customHeight="1">
      <c r="A88" s="90" t="str">
        <f t="shared" si="1"/>
        <v>Building 12</v>
      </c>
      <c r="B88" s="90" t="str">
        <f t="shared" si="2"/>
        <v>Floor 2</v>
      </c>
      <c r="C88" s="91" t="s">
        <v>725</v>
      </c>
      <c r="D88" s="90" t="s">
        <v>244</v>
      </c>
      <c r="E88" s="90" t="s">
        <v>937</v>
      </c>
      <c r="F88" s="11" t="s">
        <v>191</v>
      </c>
      <c r="G88" s="92" t="s">
        <v>855</v>
      </c>
      <c r="H88" s="23">
        <v>5.0</v>
      </c>
      <c r="I88" s="93"/>
    </row>
    <row r="89" ht="22.5" customHeight="1">
      <c r="A89" s="90" t="str">
        <f t="shared" si="1"/>
        <v>Building 16</v>
      </c>
      <c r="B89" s="90" t="str">
        <f t="shared" si="2"/>
        <v>Floor 1</v>
      </c>
      <c r="C89" s="91" t="s">
        <v>729</v>
      </c>
      <c r="D89" s="90" t="s">
        <v>974</v>
      </c>
      <c r="E89" s="90" t="s">
        <v>730</v>
      </c>
      <c r="F89" s="11" t="s">
        <v>191</v>
      </c>
      <c r="G89" s="92" t="s">
        <v>975</v>
      </c>
      <c r="H89" s="23">
        <v>0.0</v>
      </c>
      <c r="I89" s="93"/>
    </row>
    <row r="90" ht="22.5" customHeight="1">
      <c r="A90" s="90" t="str">
        <f t="shared" si="1"/>
        <v>Building 16</v>
      </c>
      <c r="B90" s="90" t="str">
        <f t="shared" si="2"/>
        <v>Floor 1</v>
      </c>
      <c r="C90" s="91" t="s">
        <v>736</v>
      </c>
      <c r="D90" s="90" t="s">
        <v>940</v>
      </c>
      <c r="E90" s="90" t="s">
        <v>737</v>
      </c>
      <c r="F90" s="11" t="s">
        <v>191</v>
      </c>
      <c r="G90" s="92" t="s">
        <v>975</v>
      </c>
      <c r="H90" s="23">
        <v>0.0</v>
      </c>
      <c r="I90" s="93"/>
    </row>
    <row r="91" ht="22.5" customHeight="1">
      <c r="A91" s="90" t="str">
        <f t="shared" si="1"/>
        <v>Building 16</v>
      </c>
      <c r="B91" s="90" t="str">
        <f t="shared" si="2"/>
        <v>Floor 1</v>
      </c>
      <c r="C91" s="91" t="s">
        <v>740</v>
      </c>
      <c r="D91" s="90" t="s">
        <v>976</v>
      </c>
      <c r="E91" s="90" t="s">
        <v>741</v>
      </c>
      <c r="F91" s="11" t="s">
        <v>191</v>
      </c>
      <c r="G91" s="92" t="s">
        <v>975</v>
      </c>
      <c r="H91" s="23">
        <v>0.0</v>
      </c>
      <c r="I91" s="93"/>
    </row>
    <row r="92" ht="22.5" customHeight="1">
      <c r="A92" s="90" t="str">
        <f t="shared" si="1"/>
        <v>Building 16</v>
      </c>
      <c r="B92" s="90" t="str">
        <f t="shared" si="2"/>
        <v>Floor 1</v>
      </c>
      <c r="C92" s="91" t="s">
        <v>745</v>
      </c>
      <c r="D92" s="90" t="s">
        <v>977</v>
      </c>
      <c r="E92" s="90" t="s">
        <v>746</v>
      </c>
      <c r="F92" s="11" t="s">
        <v>191</v>
      </c>
      <c r="G92" s="92" t="s">
        <v>975</v>
      </c>
      <c r="H92" s="23">
        <v>0.0</v>
      </c>
      <c r="I92" s="93"/>
    </row>
    <row r="93" ht="22.5" customHeight="1">
      <c r="A93" s="90" t="str">
        <f t="shared" si="1"/>
        <v>Building 16</v>
      </c>
      <c r="B93" s="90" t="str">
        <f t="shared" si="2"/>
        <v>Floor 1</v>
      </c>
      <c r="C93" s="91" t="s">
        <v>749</v>
      </c>
      <c r="D93" s="90" t="s">
        <v>978</v>
      </c>
      <c r="E93" s="90" t="s">
        <v>750</v>
      </c>
      <c r="F93" s="11" t="s">
        <v>191</v>
      </c>
      <c r="G93" s="92" t="s">
        <v>975</v>
      </c>
      <c r="H93" s="23">
        <v>0.0</v>
      </c>
      <c r="I93" s="93"/>
    </row>
    <row r="94" ht="22.5" customHeight="1">
      <c r="A94" s="90" t="str">
        <f t="shared" si="1"/>
        <v>Building 16</v>
      </c>
      <c r="B94" s="90" t="str">
        <f t="shared" si="2"/>
        <v>Floor 1</v>
      </c>
      <c r="C94" s="91" t="s">
        <v>754</v>
      </c>
      <c r="D94" s="90" t="s">
        <v>979</v>
      </c>
      <c r="E94" s="90" t="s">
        <v>756</v>
      </c>
      <c r="F94" s="11" t="s">
        <v>191</v>
      </c>
      <c r="G94" s="92" t="s">
        <v>975</v>
      </c>
      <c r="H94" s="23">
        <v>0.0</v>
      </c>
      <c r="I94" s="93"/>
    </row>
    <row r="95" ht="22.5" customHeight="1">
      <c r="A95" s="90" t="str">
        <f t="shared" si="1"/>
        <v>Building 16</v>
      </c>
      <c r="B95" s="90" t="str">
        <f t="shared" si="2"/>
        <v>Floor 1</v>
      </c>
      <c r="C95" s="91" t="s">
        <v>763</v>
      </c>
      <c r="D95" s="90" t="s">
        <v>981</v>
      </c>
      <c r="E95" s="90" t="s">
        <v>766</v>
      </c>
      <c r="F95" s="11" t="s">
        <v>191</v>
      </c>
      <c r="G95" s="92" t="s">
        <v>975</v>
      </c>
      <c r="H95" s="23">
        <v>0.0</v>
      </c>
      <c r="I95" s="93"/>
    </row>
    <row r="96" ht="22.5" customHeight="1">
      <c r="A96" s="90" t="str">
        <f t="shared" si="1"/>
        <v>Building 16</v>
      </c>
      <c r="B96" s="90" t="str">
        <f t="shared" si="2"/>
        <v>Floor 1</v>
      </c>
      <c r="C96" s="91" t="s">
        <v>769</v>
      </c>
      <c r="D96" s="90" t="s">
        <v>244</v>
      </c>
      <c r="E96" s="90" t="s">
        <v>771</v>
      </c>
      <c r="F96" s="11" t="s">
        <v>191</v>
      </c>
      <c r="G96" s="92" t="s">
        <v>975</v>
      </c>
      <c r="H96" s="23">
        <v>0.0</v>
      </c>
      <c r="I96" s="93"/>
    </row>
    <row r="97" ht="22.5" customHeight="1">
      <c r="A97" s="90" t="str">
        <f t="shared" si="1"/>
        <v>Building 16</v>
      </c>
      <c r="B97" s="90" t="str">
        <f t="shared" si="2"/>
        <v>Floor 1</v>
      </c>
      <c r="C97" s="91" t="s">
        <v>776</v>
      </c>
      <c r="D97" s="90" t="s">
        <v>984</v>
      </c>
      <c r="E97" s="90" t="s">
        <v>777</v>
      </c>
      <c r="F97" s="11" t="s">
        <v>191</v>
      </c>
      <c r="G97" s="92" t="s">
        <v>975</v>
      </c>
      <c r="H97" s="23">
        <v>0.0</v>
      </c>
      <c r="I97" s="93"/>
    </row>
    <row r="98" ht="22.5" customHeight="1">
      <c r="A98" s="90" t="str">
        <f t="shared" si="1"/>
        <v>Building 16</v>
      </c>
      <c r="B98" s="90" t="str">
        <f t="shared" si="2"/>
        <v>Floor 2</v>
      </c>
      <c r="C98" s="91" t="s">
        <v>985</v>
      </c>
      <c r="D98" s="90" t="s">
        <v>986</v>
      </c>
      <c r="E98" s="90" t="s">
        <v>186</v>
      </c>
      <c r="F98" s="11" t="s">
        <v>191</v>
      </c>
      <c r="G98" s="92" t="s">
        <v>855</v>
      </c>
      <c r="H98" s="23">
        <v>5.0</v>
      </c>
      <c r="I98" s="93"/>
    </row>
    <row r="99" ht="22.5" customHeight="1">
      <c r="A99" s="90" t="str">
        <f t="shared" si="1"/>
        <v>Building 16</v>
      </c>
      <c r="B99" s="90" t="str">
        <f t="shared" si="2"/>
        <v>Floor 3</v>
      </c>
      <c r="C99" s="91" t="s">
        <v>987</v>
      </c>
      <c r="D99" s="90" t="s">
        <v>957</v>
      </c>
      <c r="E99" s="90" t="s">
        <v>988</v>
      </c>
      <c r="F99" s="11" t="s">
        <v>191</v>
      </c>
      <c r="G99" s="92" t="s">
        <v>855</v>
      </c>
      <c r="H99" s="23">
        <v>5.0</v>
      </c>
      <c r="I99" s="93"/>
    </row>
    <row r="100" ht="22.5" customHeight="1">
      <c r="A100" s="90" t="str">
        <f t="shared" si="1"/>
        <v>Building 16</v>
      </c>
      <c r="B100" s="90" t="str">
        <f t="shared" si="2"/>
        <v>Floor 3</v>
      </c>
      <c r="C100" s="91" t="s">
        <v>989</v>
      </c>
      <c r="D100" s="90" t="s">
        <v>962</v>
      </c>
      <c r="E100" s="90" t="s">
        <v>247</v>
      </c>
      <c r="F100" s="11" t="s">
        <v>191</v>
      </c>
      <c r="G100" s="92" t="s">
        <v>855</v>
      </c>
      <c r="H100" s="23">
        <v>5.0</v>
      </c>
      <c r="I100" s="93"/>
    </row>
    <row r="101" ht="22.5" customHeight="1">
      <c r="A101" s="90" t="str">
        <f t="shared" si="1"/>
        <v>Building 16</v>
      </c>
      <c r="B101" s="90" t="str">
        <f t="shared" si="2"/>
        <v>Floor 3</v>
      </c>
      <c r="C101" s="91" t="s">
        <v>990</v>
      </c>
      <c r="D101" s="90" t="s">
        <v>963</v>
      </c>
      <c r="E101" s="90" t="s">
        <v>278</v>
      </c>
      <c r="F101" s="11" t="s">
        <v>191</v>
      </c>
      <c r="G101" s="92" t="s">
        <v>855</v>
      </c>
      <c r="H101" s="23">
        <v>5.0</v>
      </c>
      <c r="I101" s="93"/>
    </row>
    <row r="102" ht="22.5" customHeight="1">
      <c r="A102" s="90" t="str">
        <f t="shared" si="1"/>
        <v>Building 16</v>
      </c>
      <c r="B102" s="90" t="str">
        <f t="shared" si="2"/>
        <v>Floor 3</v>
      </c>
      <c r="C102" s="91" t="s">
        <v>991</v>
      </c>
      <c r="D102" s="90" t="s">
        <v>992</v>
      </c>
      <c r="E102" s="90" t="s">
        <v>993</v>
      </c>
      <c r="F102" s="11" t="s">
        <v>191</v>
      </c>
      <c r="G102" s="92" t="s">
        <v>855</v>
      </c>
      <c r="H102" s="23">
        <v>5.0</v>
      </c>
      <c r="I102" s="93"/>
    </row>
    <row r="103" ht="22.5" customHeight="1">
      <c r="A103" s="90" t="str">
        <f t="shared" si="1"/>
        <v>Building 16</v>
      </c>
      <c r="B103" s="90" t="str">
        <f t="shared" si="2"/>
        <v>Floor 3</v>
      </c>
      <c r="C103" s="91" t="s">
        <v>994</v>
      </c>
      <c r="D103" s="90" t="s">
        <v>995</v>
      </c>
      <c r="E103" s="90" t="s">
        <v>297</v>
      </c>
      <c r="F103" s="11" t="s">
        <v>191</v>
      </c>
      <c r="G103" s="92" t="s">
        <v>855</v>
      </c>
      <c r="H103" s="23">
        <v>5.0</v>
      </c>
      <c r="I103" s="93"/>
    </row>
    <row r="104" ht="22.5" customHeight="1">
      <c r="A104" s="90" t="str">
        <f t="shared" si="1"/>
        <v>Building 16</v>
      </c>
      <c r="B104" s="90" t="str">
        <f t="shared" si="2"/>
        <v>Floor 3</v>
      </c>
      <c r="C104" s="91" t="s">
        <v>996</v>
      </c>
      <c r="D104" s="90" t="s">
        <v>997</v>
      </c>
      <c r="E104" s="90" t="s">
        <v>305</v>
      </c>
      <c r="F104" s="11" t="s">
        <v>191</v>
      </c>
      <c r="G104" s="92" t="s">
        <v>855</v>
      </c>
      <c r="H104" s="23">
        <v>5.0</v>
      </c>
      <c r="I104" s="93"/>
    </row>
    <row r="105" ht="22.5" customHeight="1">
      <c r="A105" s="90" t="str">
        <f t="shared" si="1"/>
        <v>Building 16</v>
      </c>
      <c r="B105" s="90" t="str">
        <f t="shared" si="2"/>
        <v>Floor 3</v>
      </c>
      <c r="C105" s="91" t="s">
        <v>998</v>
      </c>
      <c r="D105" s="90" t="s">
        <v>966</v>
      </c>
      <c r="E105" s="90" t="s">
        <v>312</v>
      </c>
      <c r="F105" s="11" t="s">
        <v>191</v>
      </c>
      <c r="G105" s="92" t="s">
        <v>855</v>
      </c>
      <c r="H105" s="23">
        <v>5.0</v>
      </c>
      <c r="I105" s="93"/>
    </row>
    <row r="106" ht="22.5" customHeight="1">
      <c r="A106" s="90" t="str">
        <f t="shared" si="1"/>
        <v>Building 16</v>
      </c>
      <c r="B106" s="90" t="str">
        <f t="shared" si="2"/>
        <v>Floor 3</v>
      </c>
      <c r="C106" s="91" t="s">
        <v>1000</v>
      </c>
      <c r="D106" s="90" t="s">
        <v>1001</v>
      </c>
      <c r="E106" s="90" t="s">
        <v>325</v>
      </c>
      <c r="F106" s="11" t="s">
        <v>191</v>
      </c>
      <c r="G106" s="92" t="s">
        <v>855</v>
      </c>
      <c r="H106" s="23">
        <v>5.0</v>
      </c>
      <c r="I106" s="93"/>
    </row>
    <row r="107" ht="22.5" customHeight="1">
      <c r="A107" s="90" t="str">
        <f t="shared" si="1"/>
        <v>Building 16</v>
      </c>
      <c r="B107" s="90" t="str">
        <f t="shared" si="2"/>
        <v>Floor 3</v>
      </c>
      <c r="C107" s="91" t="s">
        <v>1002</v>
      </c>
      <c r="D107" s="90" t="s">
        <v>970</v>
      </c>
      <c r="E107" s="90" t="s">
        <v>335</v>
      </c>
      <c r="F107" s="11" t="s">
        <v>191</v>
      </c>
      <c r="G107" s="92" t="s">
        <v>855</v>
      </c>
      <c r="H107" s="23">
        <v>5.0</v>
      </c>
      <c r="I107" s="93"/>
    </row>
    <row r="108" ht="22.5" customHeight="1">
      <c r="A108" s="90" t="str">
        <f t="shared" si="1"/>
        <v>Building 16</v>
      </c>
      <c r="B108" s="90" t="str">
        <f t="shared" si="2"/>
        <v>Floor 3</v>
      </c>
      <c r="C108" s="91" t="s">
        <v>1003</v>
      </c>
      <c r="D108" s="90" t="s">
        <v>964</v>
      </c>
      <c r="E108" s="90" t="s">
        <v>341</v>
      </c>
      <c r="F108" s="11" t="s">
        <v>191</v>
      </c>
      <c r="G108" s="92" t="s">
        <v>855</v>
      </c>
      <c r="H108" s="23">
        <v>5.0</v>
      </c>
      <c r="I108" s="93"/>
    </row>
    <row r="109" ht="22.5" customHeight="1">
      <c r="A109" s="90" t="str">
        <f t="shared" si="1"/>
        <v>Building 16</v>
      </c>
      <c r="B109" s="90" t="str">
        <f t="shared" si="2"/>
        <v>Floor 3</v>
      </c>
      <c r="C109" s="91" t="s">
        <v>1004</v>
      </c>
      <c r="D109" s="90" t="s">
        <v>955</v>
      </c>
      <c r="E109" s="90" t="s">
        <v>351</v>
      </c>
      <c r="F109" s="11" t="s">
        <v>191</v>
      </c>
      <c r="G109" s="92" t="s">
        <v>855</v>
      </c>
      <c r="H109" s="23">
        <v>5.0</v>
      </c>
      <c r="I109" s="93"/>
    </row>
    <row r="110" ht="22.5" customHeight="1">
      <c r="A110" s="90" t="str">
        <f t="shared" si="1"/>
        <v>Building 16</v>
      </c>
      <c r="B110" s="90" t="str">
        <f t="shared" si="2"/>
        <v>Floor 3</v>
      </c>
      <c r="C110" s="91" t="s">
        <v>1007</v>
      </c>
      <c r="D110" s="90" t="s">
        <v>973</v>
      </c>
      <c r="E110" s="90" t="s">
        <v>1008</v>
      </c>
      <c r="F110" s="11" t="s">
        <v>191</v>
      </c>
      <c r="G110" s="92" t="s">
        <v>855</v>
      </c>
      <c r="H110" s="23">
        <v>5.0</v>
      </c>
      <c r="I110" s="93"/>
    </row>
    <row r="111" ht="22.5" customHeight="1">
      <c r="A111" s="90" t="str">
        <f t="shared" si="1"/>
        <v>Building 16</v>
      </c>
      <c r="B111" s="90" t="str">
        <f t="shared" si="2"/>
        <v>Floor 3</v>
      </c>
      <c r="C111" s="91" t="s">
        <v>1009</v>
      </c>
      <c r="D111" s="90" t="s">
        <v>1010</v>
      </c>
      <c r="E111" s="90" t="s">
        <v>361</v>
      </c>
      <c r="F111" s="11" t="s">
        <v>191</v>
      </c>
      <c r="G111" s="92" t="s">
        <v>855</v>
      </c>
      <c r="H111" s="23">
        <v>5.0</v>
      </c>
      <c r="I111" s="93"/>
    </row>
    <row r="112" ht="22.5" customHeight="1">
      <c r="A112" s="90" t="str">
        <f t="shared" si="1"/>
        <v>Building 16</v>
      </c>
      <c r="B112" s="90" t="str">
        <f t="shared" si="2"/>
        <v>Floor 3</v>
      </c>
      <c r="C112" s="91" t="s">
        <v>1009</v>
      </c>
      <c r="D112" s="90" t="s">
        <v>1010</v>
      </c>
      <c r="E112" s="90" t="s">
        <v>1011</v>
      </c>
      <c r="F112" s="11" t="s">
        <v>191</v>
      </c>
      <c r="G112" s="92" t="s">
        <v>855</v>
      </c>
      <c r="H112" s="23">
        <v>5.0</v>
      </c>
      <c r="I112" s="93"/>
    </row>
    <row r="113" ht="22.5" customHeight="1">
      <c r="A113" s="90" t="str">
        <f t="shared" si="1"/>
        <v>Building 16</v>
      </c>
      <c r="B113" s="90" t="str">
        <f t="shared" si="2"/>
        <v>Floor 3</v>
      </c>
      <c r="C113" s="91" t="s">
        <v>1009</v>
      </c>
      <c r="D113" s="90" t="s">
        <v>1010</v>
      </c>
      <c r="E113" s="90" t="s">
        <v>372</v>
      </c>
      <c r="F113" s="11" t="s">
        <v>191</v>
      </c>
      <c r="G113" s="92" t="s">
        <v>855</v>
      </c>
      <c r="H113" s="23">
        <v>5.0</v>
      </c>
      <c r="I113" s="93"/>
    </row>
    <row r="114" ht="22.5" customHeight="1">
      <c r="A114" s="90" t="str">
        <f t="shared" si="1"/>
        <v>Building 16</v>
      </c>
      <c r="B114" s="90" t="str">
        <f t="shared" si="2"/>
        <v>Floor 3</v>
      </c>
      <c r="C114" s="91" t="s">
        <v>1014</v>
      </c>
      <c r="D114" s="90" t="s">
        <v>1015</v>
      </c>
      <c r="E114" s="90" t="s">
        <v>1016</v>
      </c>
      <c r="F114" s="11" t="s">
        <v>191</v>
      </c>
      <c r="G114" s="92" t="s">
        <v>855</v>
      </c>
      <c r="H114" s="23">
        <v>5.0</v>
      </c>
      <c r="I114" s="93"/>
    </row>
    <row r="115" ht="22.5" customHeight="1">
      <c r="A115" s="90" t="str">
        <f t="shared" si="1"/>
        <v>Building 16</v>
      </c>
      <c r="B115" s="90" t="str">
        <f t="shared" si="2"/>
        <v>Floor 3</v>
      </c>
      <c r="C115" s="91" t="s">
        <v>1014</v>
      </c>
      <c r="D115" s="90" t="s">
        <v>1015</v>
      </c>
      <c r="E115" s="90" t="s">
        <v>1017</v>
      </c>
      <c r="F115" s="11" t="s">
        <v>191</v>
      </c>
      <c r="G115" s="92" t="s">
        <v>855</v>
      </c>
      <c r="H115" s="23">
        <v>5.0</v>
      </c>
      <c r="I115" s="93"/>
    </row>
    <row r="116" ht="22.5" customHeight="1">
      <c r="A116" s="90" t="str">
        <f t="shared" si="1"/>
        <v>Building 16</v>
      </c>
      <c r="B116" s="90" t="str">
        <f t="shared" si="2"/>
        <v>Floor 3</v>
      </c>
      <c r="C116" s="91" t="s">
        <v>1018</v>
      </c>
      <c r="D116" s="90" t="s">
        <v>1019</v>
      </c>
      <c r="E116" s="90" t="s">
        <v>380</v>
      </c>
      <c r="F116" s="11" t="s">
        <v>191</v>
      </c>
      <c r="G116" s="92" t="s">
        <v>855</v>
      </c>
      <c r="H116" s="23">
        <v>5.0</v>
      </c>
      <c r="I116" s="93"/>
    </row>
    <row r="117" ht="22.5" customHeight="1">
      <c r="A117" s="90" t="str">
        <f t="shared" si="1"/>
        <v>Building 16</v>
      </c>
      <c r="B117" s="90" t="str">
        <f t="shared" si="2"/>
        <v>Floor 1</v>
      </c>
      <c r="C117" s="91" t="s">
        <v>774</v>
      </c>
      <c r="D117" s="90" t="s">
        <v>1015</v>
      </c>
      <c r="E117" s="90" t="s">
        <v>1020</v>
      </c>
      <c r="F117" s="11" t="s">
        <v>1021</v>
      </c>
      <c r="G117" s="92" t="s">
        <v>975</v>
      </c>
      <c r="H117" s="23">
        <v>0.0</v>
      </c>
      <c r="I117" s="93"/>
    </row>
    <row r="118" ht="22.5" customHeight="1">
      <c r="A118" s="90" t="str">
        <f t="shared" si="1"/>
        <v>Building 16</v>
      </c>
      <c r="B118" s="90" t="str">
        <f t="shared" si="2"/>
        <v>Floor 1</v>
      </c>
      <c r="C118" s="91" t="s">
        <v>763</v>
      </c>
      <c r="D118" s="90" t="s">
        <v>981</v>
      </c>
      <c r="E118" s="90" t="s">
        <v>1022</v>
      </c>
      <c r="F118" s="11" t="s">
        <v>1021</v>
      </c>
      <c r="G118" s="92" t="s">
        <v>975</v>
      </c>
      <c r="H118" s="23">
        <v>0.0</v>
      </c>
      <c r="I118" s="93"/>
    </row>
    <row r="119" ht="22.5" customHeight="1">
      <c r="A119" s="90" t="str">
        <f t="shared" si="1"/>
        <v>Building 16</v>
      </c>
      <c r="B119" s="90" t="str">
        <f t="shared" si="2"/>
        <v>Floor 1</v>
      </c>
      <c r="C119" s="91" t="s">
        <v>740</v>
      </c>
      <c r="D119" s="90" t="s">
        <v>976</v>
      </c>
      <c r="E119" s="90" t="s">
        <v>1023</v>
      </c>
      <c r="F119" s="11" t="s">
        <v>1021</v>
      </c>
      <c r="G119" s="92" t="s">
        <v>975</v>
      </c>
      <c r="H119" s="23">
        <v>0.0</v>
      </c>
      <c r="I119" s="93"/>
    </row>
    <row r="120" ht="22.5" customHeight="1">
      <c r="A120" s="90" t="str">
        <f t="shared" si="1"/>
        <v>Building 16</v>
      </c>
      <c r="B120" s="90" t="str">
        <f t="shared" si="2"/>
        <v>Floor 1</v>
      </c>
      <c r="C120" s="91" t="s">
        <v>1024</v>
      </c>
      <c r="D120" s="90" t="s">
        <v>1025</v>
      </c>
      <c r="E120" s="90" t="s">
        <v>1026</v>
      </c>
      <c r="F120" s="11" t="s">
        <v>1021</v>
      </c>
      <c r="G120" s="92" t="s">
        <v>975</v>
      </c>
      <c r="H120" s="23">
        <v>0.0</v>
      </c>
      <c r="I120" s="93"/>
    </row>
    <row r="121" ht="22.5" customHeight="1">
      <c r="A121" s="90" t="str">
        <f t="shared" si="1"/>
        <v>Building 16</v>
      </c>
      <c r="B121" s="90" t="str">
        <f t="shared" si="2"/>
        <v>Floor 1</v>
      </c>
      <c r="C121" s="91" t="s">
        <v>776</v>
      </c>
      <c r="D121" s="90" t="s">
        <v>984</v>
      </c>
      <c r="E121" s="90" t="s">
        <v>1027</v>
      </c>
      <c r="F121" s="11" t="s">
        <v>1021</v>
      </c>
      <c r="G121" s="92" t="s">
        <v>975</v>
      </c>
      <c r="H121" s="23">
        <v>0.0</v>
      </c>
      <c r="I121" s="93"/>
    </row>
    <row r="122" ht="22.5" customHeight="1">
      <c r="A122" s="90" t="str">
        <f t="shared" si="1"/>
        <v>Building 16</v>
      </c>
      <c r="B122" s="90" t="str">
        <f t="shared" si="2"/>
        <v>Floor 1</v>
      </c>
      <c r="C122" s="91" t="s">
        <v>729</v>
      </c>
      <c r="D122" s="90" t="s">
        <v>974</v>
      </c>
      <c r="E122" s="90" t="s">
        <v>1028</v>
      </c>
      <c r="F122" s="11" t="s">
        <v>1021</v>
      </c>
      <c r="G122" s="92" t="s">
        <v>975</v>
      </c>
      <c r="H122" s="23">
        <v>0.0</v>
      </c>
      <c r="I122" s="93"/>
    </row>
    <row r="123" ht="22.5" customHeight="1">
      <c r="A123" s="90" t="str">
        <f t="shared" si="1"/>
        <v>Building 16</v>
      </c>
      <c r="B123" s="90" t="str">
        <f t="shared" si="2"/>
        <v>Floor 1</v>
      </c>
      <c r="C123" s="91" t="s">
        <v>765</v>
      </c>
      <c r="D123" s="90" t="s">
        <v>1029</v>
      </c>
      <c r="E123" s="90" t="s">
        <v>1030</v>
      </c>
      <c r="F123" s="11" t="s">
        <v>1021</v>
      </c>
      <c r="G123" s="92" t="s">
        <v>975</v>
      </c>
      <c r="H123" s="23">
        <v>0.0</v>
      </c>
      <c r="I123" s="93"/>
    </row>
    <row r="124">
      <c r="C124" s="96"/>
      <c r="G124" s="96"/>
    </row>
    <row r="125">
      <c r="C125" s="96"/>
      <c r="G125" s="96"/>
    </row>
    <row r="126">
      <c r="C126" s="96"/>
      <c r="G126" s="96"/>
    </row>
    <row r="127">
      <c r="C127" s="96"/>
      <c r="G127" s="96"/>
    </row>
    <row r="128">
      <c r="C128" s="96"/>
      <c r="G128" s="96"/>
    </row>
    <row r="129">
      <c r="C129" s="96"/>
      <c r="G129" s="96"/>
    </row>
    <row r="130">
      <c r="C130" s="96"/>
      <c r="G130" s="96"/>
    </row>
    <row r="131">
      <c r="C131" s="96"/>
      <c r="G131" s="96"/>
    </row>
    <row r="132">
      <c r="C132" s="96"/>
      <c r="G132" s="96"/>
    </row>
    <row r="133">
      <c r="C133" s="96"/>
      <c r="G133" s="96"/>
    </row>
    <row r="134">
      <c r="C134" s="96"/>
      <c r="G134" s="96"/>
    </row>
    <row r="135">
      <c r="C135" s="96"/>
      <c r="G135" s="96"/>
    </row>
    <row r="136">
      <c r="C136" s="96"/>
      <c r="G136" s="96"/>
    </row>
    <row r="137">
      <c r="C137" s="96"/>
      <c r="G137" s="96"/>
    </row>
    <row r="138">
      <c r="C138" s="96"/>
      <c r="G138" s="96"/>
    </row>
    <row r="139">
      <c r="C139" s="96"/>
      <c r="G139" s="96"/>
    </row>
    <row r="140">
      <c r="C140" s="96"/>
      <c r="G140" s="96"/>
    </row>
    <row r="141">
      <c r="C141" s="96"/>
      <c r="G141" s="96"/>
    </row>
    <row r="142">
      <c r="C142" s="96"/>
      <c r="G142" s="96"/>
    </row>
    <row r="143">
      <c r="C143" s="96"/>
      <c r="G143" s="96"/>
    </row>
    <row r="144">
      <c r="C144" s="96"/>
      <c r="G144" s="96"/>
    </row>
    <row r="145">
      <c r="C145" s="96"/>
      <c r="G145" s="96"/>
    </row>
    <row r="146">
      <c r="C146" s="96"/>
      <c r="G146" s="96"/>
    </row>
    <row r="147">
      <c r="C147" s="96"/>
      <c r="G147" s="96"/>
    </row>
    <row r="148">
      <c r="C148" s="96"/>
      <c r="G148" s="96"/>
    </row>
    <row r="149">
      <c r="C149" s="96"/>
      <c r="G149" s="96"/>
    </row>
    <row r="150">
      <c r="C150" s="96"/>
      <c r="G150" s="96"/>
    </row>
    <row r="151">
      <c r="C151" s="96"/>
      <c r="G151" s="96"/>
    </row>
    <row r="152">
      <c r="C152" s="96"/>
      <c r="G152" s="96"/>
    </row>
    <row r="153">
      <c r="C153" s="96"/>
      <c r="G153" s="96"/>
    </row>
    <row r="154">
      <c r="C154" s="96"/>
      <c r="G154" s="96"/>
    </row>
    <row r="155">
      <c r="C155" s="96"/>
      <c r="G155" s="96"/>
    </row>
    <row r="156">
      <c r="C156" s="96"/>
      <c r="G156" s="96"/>
    </row>
    <row r="157">
      <c r="C157" s="96"/>
      <c r="G157" s="96"/>
    </row>
    <row r="158">
      <c r="C158" s="96"/>
      <c r="G158" s="96"/>
    </row>
    <row r="159">
      <c r="C159" s="96"/>
      <c r="G159" s="96"/>
    </row>
    <row r="160">
      <c r="C160" s="96"/>
      <c r="G160" s="96"/>
    </row>
    <row r="161">
      <c r="C161" s="96"/>
      <c r="G161" s="96"/>
    </row>
    <row r="162">
      <c r="C162" s="96"/>
      <c r="G162" s="96"/>
    </row>
    <row r="163">
      <c r="C163" s="96"/>
      <c r="G163" s="96"/>
    </row>
    <row r="164">
      <c r="C164" s="96"/>
      <c r="G164" s="96"/>
    </row>
    <row r="165">
      <c r="C165" s="96"/>
      <c r="G165" s="96"/>
    </row>
    <row r="166">
      <c r="C166" s="96"/>
      <c r="G166" s="96"/>
    </row>
    <row r="167">
      <c r="C167" s="96"/>
      <c r="G167" s="96"/>
    </row>
    <row r="168">
      <c r="C168" s="96"/>
      <c r="G168" s="96"/>
    </row>
    <row r="169">
      <c r="C169" s="96"/>
      <c r="G169" s="96"/>
    </row>
    <row r="170">
      <c r="C170" s="96"/>
      <c r="G170" s="96"/>
    </row>
    <row r="171">
      <c r="C171" s="96"/>
      <c r="G171" s="96"/>
    </row>
    <row r="172">
      <c r="C172" s="96"/>
      <c r="G172" s="96"/>
    </row>
    <row r="173">
      <c r="C173" s="96"/>
      <c r="G173" s="96"/>
    </row>
    <row r="174">
      <c r="C174" s="96"/>
      <c r="G174" s="96"/>
    </row>
    <row r="175">
      <c r="C175" s="96"/>
      <c r="G175" s="96"/>
    </row>
    <row r="176">
      <c r="C176" s="96"/>
      <c r="G176" s="96"/>
    </row>
    <row r="177">
      <c r="C177" s="96"/>
      <c r="G177" s="96"/>
    </row>
    <row r="178">
      <c r="C178" s="96"/>
      <c r="G178" s="96"/>
    </row>
    <row r="179">
      <c r="C179" s="96"/>
      <c r="G179" s="96"/>
    </row>
    <row r="180">
      <c r="C180" s="96"/>
      <c r="G180" s="96"/>
    </row>
    <row r="181">
      <c r="C181" s="96"/>
      <c r="G181" s="96"/>
    </row>
    <row r="182">
      <c r="C182" s="96"/>
      <c r="G182" s="96"/>
    </row>
    <row r="183">
      <c r="C183" s="96"/>
      <c r="G183" s="96"/>
    </row>
    <row r="184">
      <c r="C184" s="96"/>
      <c r="G184" s="96"/>
    </row>
    <row r="185">
      <c r="C185" s="96"/>
      <c r="G185" s="96"/>
    </row>
    <row r="186">
      <c r="C186" s="96"/>
      <c r="G186" s="96"/>
    </row>
    <row r="187">
      <c r="C187" s="96"/>
      <c r="G187" s="96"/>
    </row>
    <row r="188">
      <c r="C188" s="96"/>
      <c r="G188" s="96"/>
    </row>
    <row r="189">
      <c r="C189" s="96"/>
      <c r="G189" s="96"/>
    </row>
    <row r="190">
      <c r="C190" s="96"/>
      <c r="G190" s="96"/>
    </row>
    <row r="191">
      <c r="C191" s="96"/>
      <c r="G191" s="96"/>
    </row>
    <row r="192">
      <c r="C192" s="96"/>
      <c r="G192" s="96"/>
    </row>
    <row r="193">
      <c r="C193" s="96"/>
      <c r="G193" s="96"/>
    </row>
    <row r="194">
      <c r="C194" s="96"/>
      <c r="G194" s="96"/>
    </row>
    <row r="195">
      <c r="C195" s="96"/>
      <c r="G195" s="96"/>
    </row>
    <row r="196">
      <c r="C196" s="96"/>
      <c r="G196" s="96"/>
    </row>
    <row r="197">
      <c r="C197" s="96"/>
      <c r="G197" s="96"/>
    </row>
    <row r="198">
      <c r="C198" s="96"/>
      <c r="G198" s="96"/>
    </row>
    <row r="199">
      <c r="C199" s="96"/>
      <c r="G199" s="96"/>
    </row>
    <row r="200">
      <c r="C200" s="96"/>
      <c r="G200" s="96"/>
    </row>
    <row r="201">
      <c r="C201" s="96"/>
      <c r="G201" s="96"/>
    </row>
    <row r="202">
      <c r="C202" s="96"/>
      <c r="G202" s="96"/>
    </row>
    <row r="203">
      <c r="C203" s="96"/>
      <c r="G203" s="96"/>
    </row>
    <row r="204">
      <c r="C204" s="96"/>
      <c r="G204" s="96"/>
    </row>
    <row r="205">
      <c r="C205" s="96"/>
      <c r="G205" s="96"/>
    </row>
    <row r="206">
      <c r="C206" s="96"/>
      <c r="G206" s="96"/>
    </row>
    <row r="207">
      <c r="C207" s="96"/>
      <c r="G207" s="96"/>
    </row>
    <row r="208">
      <c r="C208" s="96"/>
      <c r="G208" s="96"/>
    </row>
    <row r="209">
      <c r="C209" s="96"/>
      <c r="G209" s="96"/>
    </row>
    <row r="210">
      <c r="C210" s="96"/>
      <c r="G210" s="96"/>
    </row>
    <row r="211">
      <c r="C211" s="96"/>
      <c r="G211" s="96"/>
    </row>
    <row r="212">
      <c r="C212" s="96"/>
      <c r="G212" s="96"/>
    </row>
    <row r="213">
      <c r="C213" s="96"/>
      <c r="G213" s="96"/>
    </row>
    <row r="214">
      <c r="C214" s="96"/>
      <c r="G214" s="96"/>
    </row>
    <row r="215">
      <c r="C215" s="96"/>
      <c r="G215" s="96"/>
    </row>
    <row r="216">
      <c r="C216" s="96"/>
      <c r="G216" s="96"/>
    </row>
    <row r="217">
      <c r="C217" s="96"/>
      <c r="G217" s="96"/>
    </row>
    <row r="218">
      <c r="C218" s="96"/>
      <c r="G218" s="96"/>
    </row>
    <row r="219">
      <c r="C219" s="96"/>
      <c r="G219" s="96"/>
    </row>
    <row r="220">
      <c r="C220" s="96"/>
      <c r="G220" s="96"/>
    </row>
    <row r="221">
      <c r="C221" s="96"/>
      <c r="G221" s="96"/>
    </row>
    <row r="222">
      <c r="C222" s="96"/>
      <c r="G222" s="96"/>
    </row>
    <row r="223">
      <c r="C223" s="96"/>
      <c r="G223" s="96"/>
    </row>
    <row r="224">
      <c r="C224" s="96"/>
      <c r="G224" s="96"/>
    </row>
    <row r="225">
      <c r="C225" s="96"/>
      <c r="G225" s="96"/>
    </row>
    <row r="226">
      <c r="C226" s="96"/>
      <c r="G226" s="96"/>
    </row>
    <row r="227">
      <c r="C227" s="96"/>
      <c r="G227" s="96"/>
    </row>
    <row r="228">
      <c r="C228" s="96"/>
      <c r="G228" s="96"/>
    </row>
    <row r="229">
      <c r="C229" s="96"/>
      <c r="G229" s="96"/>
    </row>
    <row r="230">
      <c r="C230" s="96"/>
      <c r="G230" s="96"/>
    </row>
    <row r="231">
      <c r="C231" s="96"/>
      <c r="G231" s="96"/>
    </row>
    <row r="232">
      <c r="C232" s="96"/>
      <c r="G232" s="96"/>
    </row>
    <row r="233">
      <c r="C233" s="96"/>
      <c r="G233" s="96"/>
    </row>
    <row r="234">
      <c r="C234" s="96"/>
      <c r="G234" s="96"/>
    </row>
    <row r="235">
      <c r="C235" s="96"/>
      <c r="G235" s="96"/>
    </row>
    <row r="236">
      <c r="C236" s="96"/>
      <c r="G236" s="96"/>
    </row>
    <row r="237">
      <c r="C237" s="96"/>
      <c r="G237" s="96"/>
    </row>
    <row r="238">
      <c r="C238" s="96"/>
      <c r="G238" s="96"/>
    </row>
    <row r="239">
      <c r="C239" s="96"/>
      <c r="G239" s="96"/>
    </row>
    <row r="240">
      <c r="C240" s="96"/>
      <c r="G240" s="96"/>
    </row>
    <row r="241">
      <c r="C241" s="96"/>
      <c r="G241" s="96"/>
    </row>
    <row r="242">
      <c r="C242" s="96"/>
      <c r="G242" s="96"/>
    </row>
    <row r="243">
      <c r="C243" s="96"/>
      <c r="G243" s="96"/>
    </row>
    <row r="244">
      <c r="C244" s="96"/>
      <c r="G244" s="96"/>
    </row>
    <row r="245">
      <c r="C245" s="96"/>
      <c r="G245" s="96"/>
    </row>
    <row r="246">
      <c r="C246" s="96"/>
      <c r="G246" s="96"/>
    </row>
    <row r="247">
      <c r="C247" s="96"/>
      <c r="G247" s="96"/>
    </row>
    <row r="248">
      <c r="C248" s="96"/>
      <c r="G248" s="96"/>
    </row>
    <row r="249">
      <c r="C249" s="96"/>
      <c r="G249" s="96"/>
    </row>
    <row r="250">
      <c r="C250" s="96"/>
      <c r="G250" s="96"/>
    </row>
    <row r="251">
      <c r="C251" s="96"/>
      <c r="G251" s="96"/>
    </row>
    <row r="252">
      <c r="C252" s="96"/>
      <c r="G252" s="96"/>
    </row>
    <row r="253">
      <c r="C253" s="96"/>
      <c r="G253" s="96"/>
    </row>
    <row r="254">
      <c r="C254" s="96"/>
      <c r="G254" s="96"/>
    </row>
    <row r="255">
      <c r="C255" s="96"/>
      <c r="G255" s="96"/>
    </row>
    <row r="256">
      <c r="C256" s="96"/>
      <c r="G256" s="96"/>
    </row>
    <row r="257">
      <c r="C257" s="96"/>
      <c r="G257" s="96"/>
    </row>
    <row r="258">
      <c r="C258" s="96"/>
      <c r="G258" s="96"/>
    </row>
    <row r="259">
      <c r="C259" s="96"/>
      <c r="G259" s="96"/>
    </row>
    <row r="260">
      <c r="C260" s="96"/>
      <c r="G260" s="96"/>
    </row>
    <row r="261">
      <c r="C261" s="96"/>
      <c r="G261" s="96"/>
    </row>
    <row r="262">
      <c r="C262" s="96"/>
      <c r="G262" s="96"/>
    </row>
    <row r="263">
      <c r="C263" s="96"/>
      <c r="G263" s="96"/>
    </row>
    <row r="264">
      <c r="C264" s="96"/>
      <c r="G264" s="96"/>
    </row>
    <row r="265">
      <c r="C265" s="96"/>
      <c r="G265" s="96"/>
    </row>
    <row r="266">
      <c r="C266" s="96"/>
      <c r="G266" s="96"/>
    </row>
    <row r="267">
      <c r="C267" s="96"/>
      <c r="G267" s="96"/>
    </row>
    <row r="268">
      <c r="C268" s="96"/>
      <c r="G268" s="96"/>
    </row>
    <row r="269">
      <c r="C269" s="96"/>
      <c r="G269" s="96"/>
    </row>
    <row r="270">
      <c r="C270" s="96"/>
      <c r="G270" s="96"/>
    </row>
    <row r="271">
      <c r="C271" s="96"/>
      <c r="G271" s="96"/>
    </row>
    <row r="272">
      <c r="C272" s="96"/>
      <c r="G272" s="96"/>
    </row>
    <row r="273">
      <c r="C273" s="96"/>
      <c r="G273" s="96"/>
    </row>
    <row r="274">
      <c r="C274" s="96"/>
      <c r="G274" s="96"/>
    </row>
    <row r="275">
      <c r="C275" s="96"/>
      <c r="G275" s="96"/>
    </row>
    <row r="276">
      <c r="C276" s="96"/>
      <c r="G276" s="96"/>
    </row>
    <row r="277">
      <c r="C277" s="96"/>
      <c r="G277" s="96"/>
    </row>
    <row r="278">
      <c r="C278" s="96"/>
      <c r="G278" s="96"/>
    </row>
    <row r="279">
      <c r="C279" s="96"/>
      <c r="G279" s="96"/>
    </row>
    <row r="280">
      <c r="C280" s="96"/>
      <c r="G280" s="96"/>
    </row>
    <row r="281">
      <c r="C281" s="96"/>
      <c r="G281" s="96"/>
    </row>
    <row r="282">
      <c r="C282" s="96"/>
      <c r="G282" s="96"/>
    </row>
    <row r="283">
      <c r="C283" s="96"/>
      <c r="G283" s="96"/>
    </row>
    <row r="284">
      <c r="C284" s="96"/>
      <c r="G284" s="96"/>
    </row>
    <row r="285">
      <c r="C285" s="96"/>
      <c r="G285" s="96"/>
    </row>
    <row r="286">
      <c r="C286" s="96"/>
      <c r="G286" s="96"/>
    </row>
    <row r="287">
      <c r="C287" s="96"/>
      <c r="G287" s="96"/>
    </row>
    <row r="288">
      <c r="C288" s="96"/>
      <c r="G288" s="96"/>
    </row>
    <row r="289">
      <c r="C289" s="96"/>
      <c r="G289" s="96"/>
    </row>
    <row r="290">
      <c r="C290" s="96"/>
      <c r="G290" s="96"/>
    </row>
    <row r="291">
      <c r="C291" s="96"/>
      <c r="G291" s="96"/>
    </row>
    <row r="292">
      <c r="C292" s="96"/>
      <c r="G292" s="96"/>
    </row>
    <row r="293">
      <c r="C293" s="96"/>
      <c r="G293" s="96"/>
    </row>
    <row r="294">
      <c r="C294" s="96"/>
      <c r="G294" s="96"/>
    </row>
    <row r="295">
      <c r="C295" s="96"/>
      <c r="G295" s="96"/>
    </row>
    <row r="296">
      <c r="C296" s="96"/>
      <c r="G296" s="96"/>
    </row>
    <row r="297">
      <c r="C297" s="96"/>
      <c r="G297" s="96"/>
    </row>
    <row r="298">
      <c r="C298" s="96"/>
      <c r="G298" s="96"/>
    </row>
    <row r="299">
      <c r="C299" s="96"/>
      <c r="G299" s="96"/>
    </row>
    <row r="300">
      <c r="C300" s="96"/>
      <c r="G300" s="96"/>
    </row>
    <row r="301">
      <c r="C301" s="96"/>
      <c r="G301" s="96"/>
    </row>
    <row r="302">
      <c r="C302" s="96"/>
      <c r="G302" s="96"/>
    </row>
    <row r="303">
      <c r="C303" s="96"/>
      <c r="G303" s="96"/>
    </row>
    <row r="304">
      <c r="C304" s="96"/>
      <c r="G304" s="96"/>
    </row>
    <row r="305">
      <c r="C305" s="96"/>
      <c r="G305" s="96"/>
    </row>
    <row r="306">
      <c r="C306" s="96"/>
      <c r="G306" s="96"/>
    </row>
    <row r="307">
      <c r="C307" s="96"/>
      <c r="G307" s="96"/>
    </row>
    <row r="308">
      <c r="C308" s="96"/>
      <c r="G308" s="96"/>
    </row>
    <row r="309">
      <c r="C309" s="96"/>
      <c r="G309" s="96"/>
    </row>
    <row r="310">
      <c r="C310" s="96"/>
      <c r="G310" s="96"/>
    </row>
    <row r="311">
      <c r="C311" s="96"/>
      <c r="G311" s="96"/>
    </row>
    <row r="312">
      <c r="C312" s="96"/>
      <c r="G312" s="96"/>
    </row>
    <row r="313">
      <c r="C313" s="96"/>
      <c r="G313" s="96"/>
    </row>
    <row r="314">
      <c r="C314" s="96"/>
      <c r="G314" s="96"/>
    </row>
    <row r="315">
      <c r="C315" s="96"/>
      <c r="G315" s="96"/>
    </row>
    <row r="316">
      <c r="C316" s="96"/>
      <c r="G316" s="96"/>
    </row>
    <row r="317">
      <c r="C317" s="96"/>
      <c r="G317" s="96"/>
    </row>
    <row r="318">
      <c r="C318" s="96"/>
      <c r="G318" s="96"/>
    </row>
    <row r="319">
      <c r="C319" s="96"/>
      <c r="G319" s="96"/>
    </row>
    <row r="320">
      <c r="C320" s="96"/>
      <c r="G320" s="96"/>
    </row>
    <row r="321">
      <c r="C321" s="96"/>
      <c r="G321" s="96"/>
    </row>
    <row r="322">
      <c r="C322" s="96"/>
      <c r="G322" s="96"/>
    </row>
    <row r="323">
      <c r="C323" s="96"/>
      <c r="G323" s="96"/>
    </row>
    <row r="324">
      <c r="C324" s="96"/>
      <c r="G324" s="96"/>
    </row>
    <row r="325">
      <c r="C325" s="96"/>
      <c r="G325" s="96"/>
    </row>
    <row r="326">
      <c r="C326" s="96"/>
      <c r="G326" s="96"/>
    </row>
    <row r="327">
      <c r="C327" s="96"/>
      <c r="G327" s="96"/>
    </row>
    <row r="328">
      <c r="C328" s="96"/>
      <c r="G328" s="96"/>
    </row>
    <row r="329">
      <c r="C329" s="96"/>
      <c r="G329" s="96"/>
    </row>
    <row r="330">
      <c r="C330" s="96"/>
      <c r="G330" s="96"/>
    </row>
    <row r="331">
      <c r="C331" s="96"/>
      <c r="G331" s="96"/>
    </row>
    <row r="332">
      <c r="C332" s="96"/>
      <c r="G332" s="96"/>
    </row>
    <row r="333">
      <c r="C333" s="96"/>
      <c r="G333" s="96"/>
    </row>
    <row r="334">
      <c r="C334" s="96"/>
      <c r="G334" s="96"/>
    </row>
    <row r="335">
      <c r="C335" s="96"/>
      <c r="G335" s="96"/>
    </row>
    <row r="336">
      <c r="C336" s="96"/>
      <c r="G336" s="96"/>
    </row>
    <row r="337">
      <c r="C337" s="96"/>
      <c r="G337" s="96"/>
    </row>
    <row r="338">
      <c r="C338" s="96"/>
      <c r="G338" s="96"/>
    </row>
    <row r="339">
      <c r="C339" s="96"/>
      <c r="G339" s="96"/>
    </row>
    <row r="340">
      <c r="C340" s="96"/>
      <c r="G340" s="96"/>
    </row>
    <row r="341">
      <c r="C341" s="96"/>
      <c r="G341" s="96"/>
    </row>
    <row r="342">
      <c r="C342" s="96"/>
      <c r="G342" s="96"/>
    </row>
    <row r="343">
      <c r="C343" s="96"/>
      <c r="G343" s="96"/>
    </row>
    <row r="344">
      <c r="C344" s="96"/>
      <c r="G344" s="96"/>
    </row>
    <row r="345">
      <c r="C345" s="96"/>
      <c r="G345" s="96"/>
    </row>
    <row r="346">
      <c r="C346" s="96"/>
      <c r="G346" s="96"/>
    </row>
    <row r="347">
      <c r="C347" s="96"/>
      <c r="G347" s="96"/>
    </row>
    <row r="348">
      <c r="C348" s="96"/>
      <c r="G348" s="96"/>
    </row>
    <row r="349">
      <c r="C349" s="96"/>
      <c r="G349" s="96"/>
    </row>
    <row r="350">
      <c r="C350" s="96"/>
      <c r="G350" s="96"/>
    </row>
    <row r="351">
      <c r="C351" s="96"/>
      <c r="G351" s="96"/>
    </row>
    <row r="352">
      <c r="C352" s="96"/>
      <c r="G352" s="96"/>
    </row>
    <row r="353">
      <c r="C353" s="96"/>
      <c r="G353" s="96"/>
    </row>
    <row r="354">
      <c r="C354" s="96"/>
      <c r="G354" s="96"/>
    </row>
    <row r="355">
      <c r="C355" s="96"/>
      <c r="G355" s="96"/>
    </row>
    <row r="356">
      <c r="C356" s="96"/>
      <c r="G356" s="96"/>
    </row>
    <row r="357">
      <c r="C357" s="96"/>
      <c r="G357" s="96"/>
    </row>
    <row r="358">
      <c r="C358" s="96"/>
      <c r="G358" s="96"/>
    </row>
    <row r="359">
      <c r="C359" s="96"/>
      <c r="G359" s="96"/>
    </row>
    <row r="360">
      <c r="C360" s="96"/>
      <c r="G360" s="96"/>
    </row>
    <row r="361">
      <c r="C361" s="96"/>
      <c r="G361" s="96"/>
    </row>
    <row r="362">
      <c r="C362" s="96"/>
      <c r="G362" s="96"/>
    </row>
    <row r="363">
      <c r="C363" s="96"/>
      <c r="G363" s="96"/>
    </row>
    <row r="364">
      <c r="C364" s="96"/>
      <c r="G364" s="96"/>
    </row>
    <row r="365">
      <c r="C365" s="96"/>
      <c r="G365" s="96"/>
    </row>
    <row r="366">
      <c r="C366" s="96"/>
      <c r="G366" s="96"/>
    </row>
    <row r="367">
      <c r="C367" s="96"/>
      <c r="G367" s="96"/>
    </row>
    <row r="368">
      <c r="C368" s="96"/>
      <c r="G368" s="96"/>
    </row>
    <row r="369">
      <c r="C369" s="96"/>
      <c r="G369" s="96"/>
    </row>
    <row r="370">
      <c r="C370" s="96"/>
      <c r="G370" s="96"/>
    </row>
    <row r="371">
      <c r="C371" s="96"/>
      <c r="G371" s="96"/>
    </row>
    <row r="372">
      <c r="C372" s="96"/>
      <c r="G372" s="96"/>
    </row>
    <row r="373">
      <c r="C373" s="96"/>
      <c r="G373" s="96"/>
    </row>
    <row r="374">
      <c r="C374" s="96"/>
      <c r="G374" s="96"/>
    </row>
    <row r="375">
      <c r="C375" s="96"/>
      <c r="G375" s="96"/>
    </row>
    <row r="376">
      <c r="C376" s="96"/>
      <c r="G376" s="96"/>
    </row>
    <row r="377">
      <c r="C377" s="96"/>
      <c r="G377" s="96"/>
    </row>
    <row r="378">
      <c r="C378" s="96"/>
      <c r="G378" s="96"/>
    </row>
    <row r="379">
      <c r="C379" s="96"/>
      <c r="G379" s="96"/>
    </row>
    <row r="380">
      <c r="C380" s="96"/>
      <c r="G380" s="96"/>
    </row>
    <row r="381">
      <c r="C381" s="96"/>
      <c r="G381" s="96"/>
    </row>
    <row r="382">
      <c r="C382" s="96"/>
      <c r="G382" s="96"/>
    </row>
    <row r="383">
      <c r="C383" s="96"/>
      <c r="G383" s="96"/>
    </row>
    <row r="384">
      <c r="C384" s="96"/>
      <c r="G384" s="96"/>
    </row>
    <row r="385">
      <c r="C385" s="96"/>
      <c r="G385" s="96"/>
    </row>
    <row r="386">
      <c r="C386" s="96"/>
      <c r="G386" s="96"/>
    </row>
    <row r="387">
      <c r="C387" s="96"/>
      <c r="G387" s="96"/>
    </row>
    <row r="388">
      <c r="C388" s="96"/>
      <c r="G388" s="96"/>
    </row>
    <row r="389">
      <c r="C389" s="96"/>
      <c r="G389" s="96"/>
    </row>
    <row r="390">
      <c r="C390" s="96"/>
      <c r="G390" s="96"/>
    </row>
    <row r="391">
      <c r="C391" s="96"/>
      <c r="G391" s="96"/>
    </row>
    <row r="392">
      <c r="C392" s="96"/>
      <c r="G392" s="96"/>
    </row>
    <row r="393">
      <c r="C393" s="96"/>
      <c r="G393" s="96"/>
    </row>
    <row r="394">
      <c r="C394" s="96"/>
      <c r="G394" s="96"/>
    </row>
    <row r="395">
      <c r="C395" s="96"/>
      <c r="G395" s="96"/>
    </row>
    <row r="396">
      <c r="C396" s="96"/>
      <c r="G396" s="96"/>
    </row>
    <row r="397">
      <c r="C397" s="96"/>
      <c r="G397" s="96"/>
    </row>
    <row r="398">
      <c r="C398" s="96"/>
      <c r="G398" s="96"/>
    </row>
    <row r="399">
      <c r="C399" s="96"/>
      <c r="G399" s="96"/>
    </row>
    <row r="400">
      <c r="C400" s="96"/>
      <c r="G400" s="96"/>
    </row>
    <row r="401">
      <c r="C401" s="96"/>
      <c r="G401" s="96"/>
    </row>
    <row r="402">
      <c r="C402" s="96"/>
      <c r="G402" s="96"/>
    </row>
    <row r="403">
      <c r="C403" s="96"/>
      <c r="G403" s="96"/>
    </row>
    <row r="404">
      <c r="C404" s="96"/>
      <c r="G404" s="96"/>
    </row>
    <row r="405">
      <c r="C405" s="96"/>
      <c r="G405" s="96"/>
    </row>
    <row r="406">
      <c r="C406" s="96"/>
      <c r="G406" s="96"/>
    </row>
    <row r="407">
      <c r="C407" s="96"/>
      <c r="G407" s="96"/>
    </row>
    <row r="408">
      <c r="C408" s="96"/>
      <c r="G408" s="96"/>
    </row>
    <row r="409">
      <c r="C409" s="96"/>
      <c r="G409" s="96"/>
    </row>
    <row r="410">
      <c r="C410" s="96"/>
      <c r="G410" s="96"/>
    </row>
    <row r="411">
      <c r="C411" s="96"/>
      <c r="G411" s="96"/>
    </row>
    <row r="412">
      <c r="C412" s="96"/>
      <c r="G412" s="96"/>
    </row>
    <row r="413">
      <c r="C413" s="96"/>
      <c r="G413" s="96"/>
    </row>
    <row r="414">
      <c r="C414" s="96"/>
      <c r="G414" s="96"/>
    </row>
    <row r="415">
      <c r="C415" s="96"/>
      <c r="G415" s="96"/>
    </row>
    <row r="416">
      <c r="C416" s="96"/>
      <c r="G416" s="96"/>
    </row>
    <row r="417">
      <c r="C417" s="96"/>
      <c r="G417" s="96"/>
    </row>
    <row r="418">
      <c r="C418" s="96"/>
      <c r="G418" s="96"/>
    </row>
    <row r="419">
      <c r="C419" s="96"/>
      <c r="G419" s="96"/>
    </row>
    <row r="420">
      <c r="C420" s="96"/>
      <c r="G420" s="96"/>
    </row>
    <row r="421">
      <c r="C421" s="96"/>
      <c r="G421" s="96"/>
    </row>
    <row r="422">
      <c r="C422" s="96"/>
      <c r="G422" s="96"/>
    </row>
    <row r="423">
      <c r="C423" s="96"/>
      <c r="G423" s="96"/>
    </row>
    <row r="424">
      <c r="C424" s="96"/>
      <c r="G424" s="96"/>
    </row>
    <row r="425">
      <c r="C425" s="96"/>
      <c r="G425" s="96"/>
    </row>
    <row r="426">
      <c r="C426" s="96"/>
      <c r="G426" s="96"/>
    </row>
    <row r="427">
      <c r="C427" s="96"/>
      <c r="G427" s="96"/>
    </row>
    <row r="428">
      <c r="C428" s="96"/>
      <c r="G428" s="96"/>
    </row>
    <row r="429">
      <c r="C429" s="96"/>
      <c r="G429" s="96"/>
    </row>
    <row r="430">
      <c r="C430" s="96"/>
      <c r="G430" s="96"/>
    </row>
    <row r="431">
      <c r="C431" s="96"/>
      <c r="G431" s="96"/>
    </row>
    <row r="432">
      <c r="C432" s="96"/>
      <c r="G432" s="96"/>
    </row>
    <row r="433">
      <c r="C433" s="96"/>
      <c r="G433" s="96"/>
    </row>
    <row r="434">
      <c r="C434" s="96"/>
      <c r="G434" s="96"/>
    </row>
    <row r="435">
      <c r="C435" s="96"/>
      <c r="G435" s="96"/>
    </row>
    <row r="436">
      <c r="C436" s="96"/>
      <c r="G436" s="96"/>
    </row>
    <row r="437">
      <c r="C437" s="96"/>
      <c r="G437" s="96"/>
    </row>
    <row r="438">
      <c r="C438" s="96"/>
      <c r="G438" s="96"/>
    </row>
    <row r="439">
      <c r="C439" s="96"/>
      <c r="G439" s="96"/>
    </row>
    <row r="440">
      <c r="C440" s="96"/>
      <c r="G440" s="96"/>
    </row>
    <row r="441">
      <c r="C441" s="96"/>
      <c r="G441" s="96"/>
    </row>
    <row r="442">
      <c r="C442" s="96"/>
      <c r="G442" s="96"/>
    </row>
    <row r="443">
      <c r="C443" s="96"/>
      <c r="G443" s="96"/>
    </row>
    <row r="444">
      <c r="C444" s="96"/>
      <c r="G444" s="96"/>
    </row>
    <row r="445">
      <c r="C445" s="96"/>
      <c r="G445" s="96"/>
    </row>
    <row r="446">
      <c r="C446" s="96"/>
      <c r="G446" s="96"/>
    </row>
    <row r="447">
      <c r="C447" s="96"/>
      <c r="G447" s="96"/>
    </row>
    <row r="448">
      <c r="C448" s="96"/>
      <c r="G448" s="96"/>
    </row>
    <row r="449">
      <c r="C449" s="96"/>
      <c r="G449" s="96"/>
    </row>
    <row r="450">
      <c r="C450" s="96"/>
      <c r="G450" s="96"/>
    </row>
    <row r="451">
      <c r="C451" s="96"/>
      <c r="G451" s="96"/>
    </row>
    <row r="452">
      <c r="C452" s="96"/>
      <c r="G452" s="96"/>
    </row>
    <row r="453">
      <c r="C453" s="96"/>
      <c r="G453" s="96"/>
    </row>
    <row r="454">
      <c r="C454" s="96"/>
      <c r="G454" s="96"/>
    </row>
    <row r="455">
      <c r="C455" s="96"/>
      <c r="G455" s="96"/>
    </row>
    <row r="456">
      <c r="C456" s="96"/>
      <c r="G456" s="96"/>
    </row>
    <row r="457">
      <c r="C457" s="96"/>
      <c r="G457" s="96"/>
    </row>
    <row r="458">
      <c r="C458" s="96"/>
      <c r="G458" s="96"/>
    </row>
    <row r="459">
      <c r="C459" s="96"/>
      <c r="G459" s="96"/>
    </row>
    <row r="460">
      <c r="C460" s="96"/>
      <c r="G460" s="96"/>
    </row>
    <row r="461">
      <c r="C461" s="96"/>
      <c r="G461" s="96"/>
    </row>
    <row r="462">
      <c r="C462" s="96"/>
      <c r="G462" s="96"/>
    </row>
    <row r="463">
      <c r="C463" s="96"/>
      <c r="G463" s="96"/>
    </row>
    <row r="464">
      <c r="C464" s="96"/>
      <c r="G464" s="96"/>
    </row>
    <row r="465">
      <c r="C465" s="96"/>
      <c r="G465" s="96"/>
    </row>
    <row r="466">
      <c r="C466" s="96"/>
      <c r="G466" s="96"/>
    </row>
    <row r="467">
      <c r="C467" s="96"/>
      <c r="G467" s="96"/>
    </row>
    <row r="468">
      <c r="C468" s="96"/>
      <c r="G468" s="96"/>
    </row>
    <row r="469">
      <c r="C469" s="96"/>
      <c r="G469" s="96"/>
    </row>
    <row r="470">
      <c r="C470" s="96"/>
      <c r="G470" s="96"/>
    </row>
    <row r="471">
      <c r="C471" s="96"/>
      <c r="G471" s="96"/>
    </row>
    <row r="472">
      <c r="C472" s="96"/>
      <c r="G472" s="96"/>
    </row>
    <row r="473">
      <c r="C473" s="96"/>
      <c r="G473" s="96"/>
    </row>
    <row r="474">
      <c r="C474" s="96"/>
      <c r="G474" s="96"/>
    </row>
    <row r="475">
      <c r="C475" s="96"/>
      <c r="G475" s="96"/>
    </row>
    <row r="476">
      <c r="C476" s="96"/>
      <c r="G476" s="96"/>
    </row>
    <row r="477">
      <c r="C477" s="96"/>
      <c r="G477" s="96"/>
    </row>
    <row r="478">
      <c r="C478" s="96"/>
      <c r="G478" s="96"/>
    </row>
    <row r="479">
      <c r="C479" s="96"/>
      <c r="G479" s="96"/>
    </row>
    <row r="480">
      <c r="C480" s="96"/>
      <c r="G480" s="96"/>
    </row>
    <row r="481">
      <c r="C481" s="96"/>
      <c r="G481" s="96"/>
    </row>
    <row r="482">
      <c r="C482" s="96"/>
      <c r="G482" s="96"/>
    </row>
    <row r="483">
      <c r="C483" s="96"/>
      <c r="G483" s="96"/>
    </row>
    <row r="484">
      <c r="C484" s="96"/>
      <c r="G484" s="96"/>
    </row>
    <row r="485">
      <c r="C485" s="96"/>
      <c r="G485" s="96"/>
    </row>
    <row r="486">
      <c r="C486" s="96"/>
      <c r="G486" s="96"/>
    </row>
    <row r="487">
      <c r="C487" s="96"/>
      <c r="G487" s="96"/>
    </row>
    <row r="488">
      <c r="C488" s="96"/>
      <c r="G488" s="96"/>
    </row>
    <row r="489">
      <c r="C489" s="96"/>
      <c r="G489" s="96"/>
    </row>
    <row r="490">
      <c r="C490" s="96"/>
      <c r="G490" s="96"/>
    </row>
    <row r="491">
      <c r="C491" s="96"/>
      <c r="G491" s="96"/>
    </row>
    <row r="492">
      <c r="C492" s="96"/>
      <c r="G492" s="96"/>
    </row>
    <row r="493">
      <c r="C493" s="96"/>
      <c r="G493" s="96"/>
    </row>
    <row r="494">
      <c r="C494" s="96"/>
      <c r="G494" s="96"/>
    </row>
    <row r="495">
      <c r="C495" s="96"/>
      <c r="G495" s="96"/>
    </row>
    <row r="496">
      <c r="C496" s="96"/>
      <c r="G496" s="96"/>
    </row>
    <row r="497">
      <c r="C497" s="96"/>
      <c r="G497" s="96"/>
    </row>
    <row r="498">
      <c r="C498" s="96"/>
      <c r="G498" s="96"/>
    </row>
    <row r="499">
      <c r="C499" s="96"/>
      <c r="G499" s="96"/>
    </row>
    <row r="500">
      <c r="C500" s="96"/>
      <c r="G500" s="96"/>
    </row>
    <row r="501">
      <c r="C501" s="96"/>
      <c r="G501" s="96"/>
    </row>
    <row r="502">
      <c r="C502" s="96"/>
      <c r="G502" s="96"/>
    </row>
    <row r="503">
      <c r="C503" s="96"/>
      <c r="G503" s="96"/>
    </row>
    <row r="504">
      <c r="C504" s="96"/>
      <c r="G504" s="96"/>
    </row>
    <row r="505">
      <c r="C505" s="96"/>
      <c r="G505" s="96"/>
    </row>
    <row r="506">
      <c r="C506" s="96"/>
      <c r="G506" s="96"/>
    </row>
    <row r="507">
      <c r="C507" s="96"/>
      <c r="G507" s="96"/>
    </row>
    <row r="508">
      <c r="C508" s="96"/>
      <c r="G508" s="96"/>
    </row>
    <row r="509">
      <c r="C509" s="96"/>
      <c r="G509" s="96"/>
    </row>
    <row r="510">
      <c r="C510" s="96"/>
      <c r="G510" s="96"/>
    </row>
    <row r="511">
      <c r="C511" s="96"/>
      <c r="G511" s="96"/>
    </row>
    <row r="512">
      <c r="C512" s="96"/>
      <c r="G512" s="96"/>
    </row>
    <row r="513">
      <c r="C513" s="96"/>
      <c r="G513" s="96"/>
    </row>
    <row r="514">
      <c r="C514" s="96"/>
      <c r="G514" s="96"/>
    </row>
    <row r="515">
      <c r="C515" s="96"/>
      <c r="G515" s="96"/>
    </row>
    <row r="516">
      <c r="C516" s="96"/>
      <c r="G516" s="96"/>
    </row>
    <row r="517">
      <c r="C517" s="96"/>
      <c r="G517" s="96"/>
    </row>
    <row r="518">
      <c r="C518" s="96"/>
      <c r="G518" s="96"/>
    </row>
    <row r="519">
      <c r="C519" s="96"/>
      <c r="G519" s="96"/>
    </row>
    <row r="520">
      <c r="C520" s="96"/>
      <c r="G520" s="96"/>
    </row>
    <row r="521">
      <c r="C521" s="96"/>
      <c r="G521" s="96"/>
    </row>
    <row r="522">
      <c r="C522" s="96"/>
      <c r="G522" s="96"/>
    </row>
    <row r="523">
      <c r="C523" s="96"/>
      <c r="G523" s="96"/>
    </row>
    <row r="524">
      <c r="C524" s="96"/>
      <c r="G524" s="96"/>
    </row>
    <row r="525">
      <c r="C525" s="96"/>
      <c r="G525" s="96"/>
    </row>
    <row r="526">
      <c r="C526" s="96"/>
      <c r="G526" s="96"/>
    </row>
    <row r="527">
      <c r="C527" s="96"/>
      <c r="G527" s="96"/>
    </row>
    <row r="528">
      <c r="C528" s="96"/>
      <c r="G528" s="96"/>
    </row>
    <row r="529">
      <c r="C529" s="96"/>
      <c r="G529" s="96"/>
    </row>
    <row r="530">
      <c r="C530" s="96"/>
      <c r="G530" s="96"/>
    </row>
    <row r="531">
      <c r="C531" s="96"/>
      <c r="G531" s="96"/>
    </row>
    <row r="532">
      <c r="C532" s="96"/>
      <c r="G532" s="96"/>
    </row>
    <row r="533">
      <c r="C533" s="96"/>
      <c r="G533" s="96"/>
    </row>
    <row r="534">
      <c r="C534" s="96"/>
      <c r="G534" s="96"/>
    </row>
    <row r="535">
      <c r="C535" s="96"/>
      <c r="G535" s="96"/>
    </row>
    <row r="536">
      <c r="C536" s="96"/>
      <c r="G536" s="96"/>
    </row>
    <row r="537">
      <c r="C537" s="96"/>
      <c r="G537" s="96"/>
    </row>
    <row r="538">
      <c r="C538" s="96"/>
      <c r="G538" s="96"/>
    </row>
    <row r="539">
      <c r="C539" s="96"/>
      <c r="G539" s="96"/>
    </row>
    <row r="540">
      <c r="C540" s="96"/>
      <c r="G540" s="96"/>
    </row>
    <row r="541">
      <c r="C541" s="96"/>
      <c r="G541" s="96"/>
    </row>
    <row r="542">
      <c r="C542" s="96"/>
      <c r="G542" s="96"/>
    </row>
    <row r="543">
      <c r="C543" s="96"/>
      <c r="G543" s="96"/>
    </row>
    <row r="544">
      <c r="C544" s="96"/>
      <c r="G544" s="96"/>
    </row>
    <row r="545">
      <c r="C545" s="96"/>
      <c r="G545" s="96"/>
    </row>
    <row r="546">
      <c r="C546" s="96"/>
      <c r="G546" s="96"/>
    </row>
    <row r="547">
      <c r="C547" s="96"/>
      <c r="G547" s="96"/>
    </row>
    <row r="548">
      <c r="C548" s="96"/>
      <c r="G548" s="96"/>
    </row>
    <row r="549">
      <c r="C549" s="96"/>
      <c r="G549" s="96"/>
    </row>
    <row r="550">
      <c r="C550" s="96"/>
      <c r="G550" s="96"/>
    </row>
    <row r="551">
      <c r="C551" s="96"/>
      <c r="G551" s="96"/>
    </row>
    <row r="552">
      <c r="C552" s="96"/>
      <c r="G552" s="96"/>
    </row>
    <row r="553">
      <c r="C553" s="96"/>
      <c r="G553" s="96"/>
    </row>
    <row r="554">
      <c r="C554" s="96"/>
      <c r="G554" s="96"/>
    </row>
    <row r="555">
      <c r="C555" s="96"/>
      <c r="G555" s="96"/>
    </row>
    <row r="556">
      <c r="C556" s="96"/>
      <c r="G556" s="96"/>
    </row>
    <row r="557">
      <c r="C557" s="96"/>
      <c r="G557" s="96"/>
    </row>
    <row r="558">
      <c r="C558" s="96"/>
      <c r="G558" s="96"/>
    </row>
    <row r="559">
      <c r="C559" s="96"/>
      <c r="G559" s="96"/>
    </row>
    <row r="560">
      <c r="C560" s="96"/>
      <c r="G560" s="96"/>
    </row>
    <row r="561">
      <c r="C561" s="96"/>
      <c r="G561" s="96"/>
    </row>
    <row r="562">
      <c r="C562" s="96"/>
      <c r="G562" s="96"/>
    </row>
    <row r="563">
      <c r="C563" s="96"/>
      <c r="G563" s="96"/>
    </row>
    <row r="564">
      <c r="C564" s="96"/>
      <c r="G564" s="96"/>
    </row>
    <row r="565">
      <c r="C565" s="96"/>
      <c r="G565" s="96"/>
    </row>
    <row r="566">
      <c r="C566" s="96"/>
      <c r="G566" s="96"/>
    </row>
    <row r="567">
      <c r="C567" s="96"/>
      <c r="G567" s="96"/>
    </row>
    <row r="568">
      <c r="C568" s="96"/>
      <c r="G568" s="96"/>
    </row>
    <row r="569">
      <c r="C569" s="96"/>
      <c r="G569" s="96"/>
    </row>
    <row r="570">
      <c r="C570" s="96"/>
      <c r="G570" s="96"/>
    </row>
    <row r="571">
      <c r="C571" s="96"/>
      <c r="G571" s="96"/>
    </row>
    <row r="572">
      <c r="C572" s="96"/>
      <c r="G572" s="96"/>
    </row>
    <row r="573">
      <c r="C573" s="96"/>
      <c r="G573" s="96"/>
    </row>
    <row r="574">
      <c r="C574" s="96"/>
      <c r="G574" s="96"/>
    </row>
    <row r="575">
      <c r="C575" s="96"/>
      <c r="G575" s="96"/>
    </row>
    <row r="576">
      <c r="C576" s="96"/>
      <c r="G576" s="96"/>
    </row>
    <row r="577">
      <c r="C577" s="96"/>
      <c r="G577" s="96"/>
    </row>
    <row r="578">
      <c r="C578" s="96"/>
      <c r="G578" s="96"/>
    </row>
    <row r="579">
      <c r="C579" s="96"/>
      <c r="G579" s="96"/>
    </row>
    <row r="580">
      <c r="C580" s="96"/>
      <c r="G580" s="96"/>
    </row>
    <row r="581">
      <c r="C581" s="96"/>
      <c r="G581" s="96"/>
    </row>
    <row r="582">
      <c r="C582" s="96"/>
      <c r="G582" s="96"/>
    </row>
    <row r="583">
      <c r="C583" s="96"/>
      <c r="G583" s="96"/>
    </row>
    <row r="584">
      <c r="C584" s="96"/>
      <c r="G584" s="96"/>
    </row>
    <row r="585">
      <c r="C585" s="96"/>
      <c r="G585" s="96"/>
    </row>
    <row r="586">
      <c r="C586" s="96"/>
      <c r="G586" s="96"/>
    </row>
    <row r="587">
      <c r="C587" s="96"/>
      <c r="G587" s="96"/>
    </row>
    <row r="588">
      <c r="C588" s="96"/>
      <c r="G588" s="96"/>
    </row>
    <row r="589">
      <c r="C589" s="96"/>
      <c r="G589" s="96"/>
    </row>
    <row r="590">
      <c r="C590" s="96"/>
      <c r="G590" s="96"/>
    </row>
    <row r="591">
      <c r="C591" s="96"/>
      <c r="G591" s="96"/>
    </row>
    <row r="592">
      <c r="C592" s="96"/>
      <c r="G592" s="96"/>
    </row>
    <row r="593">
      <c r="C593" s="96"/>
      <c r="G593" s="96"/>
    </row>
    <row r="594">
      <c r="C594" s="96"/>
      <c r="G594" s="96"/>
    </row>
    <row r="595">
      <c r="C595" s="96"/>
      <c r="G595" s="96"/>
    </row>
    <row r="596">
      <c r="C596" s="96"/>
      <c r="G596" s="96"/>
    </row>
    <row r="597">
      <c r="C597" s="96"/>
      <c r="G597" s="96"/>
    </row>
    <row r="598">
      <c r="C598" s="96"/>
      <c r="G598" s="96"/>
    </row>
    <row r="599">
      <c r="C599" s="96"/>
      <c r="G599" s="96"/>
    </row>
    <row r="600">
      <c r="C600" s="96"/>
      <c r="G600" s="96"/>
    </row>
    <row r="601">
      <c r="C601" s="96"/>
      <c r="G601" s="96"/>
    </row>
    <row r="602">
      <c r="C602" s="96"/>
      <c r="G602" s="96"/>
    </row>
    <row r="603">
      <c r="C603" s="96"/>
      <c r="G603" s="96"/>
    </row>
    <row r="604">
      <c r="C604" s="96"/>
      <c r="G604" s="96"/>
    </row>
    <row r="605">
      <c r="C605" s="96"/>
      <c r="G605" s="96"/>
    </row>
    <row r="606">
      <c r="C606" s="96"/>
      <c r="G606" s="96"/>
    </row>
    <row r="607">
      <c r="C607" s="96"/>
      <c r="G607" s="96"/>
    </row>
    <row r="608">
      <c r="C608" s="96"/>
      <c r="G608" s="96"/>
    </row>
    <row r="609">
      <c r="C609" s="96"/>
      <c r="G609" s="96"/>
    </row>
    <row r="610">
      <c r="C610" s="96"/>
      <c r="G610" s="96"/>
    </row>
    <row r="611">
      <c r="C611" s="96"/>
      <c r="G611" s="96"/>
    </row>
    <row r="612">
      <c r="C612" s="96"/>
      <c r="G612" s="96"/>
    </row>
    <row r="613">
      <c r="C613" s="96"/>
      <c r="G613" s="96"/>
    </row>
    <row r="614">
      <c r="C614" s="96"/>
      <c r="G614" s="96"/>
    </row>
    <row r="615">
      <c r="C615" s="96"/>
      <c r="G615" s="96"/>
    </row>
    <row r="616">
      <c r="C616" s="96"/>
      <c r="G616" s="96"/>
    </row>
    <row r="617">
      <c r="C617" s="96"/>
      <c r="G617" s="96"/>
    </row>
    <row r="618">
      <c r="C618" s="96"/>
      <c r="G618" s="96"/>
    </row>
    <row r="619">
      <c r="C619" s="96"/>
      <c r="G619" s="96"/>
    </row>
    <row r="620">
      <c r="C620" s="96"/>
      <c r="G620" s="96"/>
    </row>
    <row r="621">
      <c r="C621" s="96"/>
      <c r="G621" s="96"/>
    </row>
    <row r="622">
      <c r="C622" s="96"/>
      <c r="G622" s="96"/>
    </row>
    <row r="623">
      <c r="C623" s="96"/>
      <c r="G623" s="96"/>
    </row>
    <row r="624">
      <c r="C624" s="96"/>
      <c r="G624" s="96"/>
    </row>
    <row r="625">
      <c r="C625" s="96"/>
      <c r="G625" s="96"/>
    </row>
    <row r="626">
      <c r="C626" s="96"/>
      <c r="G626" s="96"/>
    </row>
    <row r="627">
      <c r="C627" s="96"/>
      <c r="G627" s="96"/>
    </row>
    <row r="628">
      <c r="C628" s="96"/>
      <c r="G628" s="96"/>
    </row>
    <row r="629">
      <c r="C629" s="96"/>
      <c r="G629" s="96"/>
    </row>
    <row r="630">
      <c r="C630" s="96"/>
      <c r="G630" s="96"/>
    </row>
    <row r="631">
      <c r="C631" s="96"/>
      <c r="G631" s="96"/>
    </row>
    <row r="632">
      <c r="C632" s="96"/>
      <c r="G632" s="96"/>
    </row>
    <row r="633">
      <c r="C633" s="96"/>
      <c r="G633" s="96"/>
    </row>
    <row r="634">
      <c r="C634" s="96"/>
      <c r="G634" s="96"/>
    </row>
    <row r="635">
      <c r="C635" s="96"/>
      <c r="G635" s="96"/>
    </row>
    <row r="636">
      <c r="C636" s="96"/>
      <c r="G636" s="96"/>
    </row>
    <row r="637">
      <c r="C637" s="96"/>
      <c r="G637" s="96"/>
    </row>
    <row r="638">
      <c r="C638" s="96"/>
      <c r="G638" s="96"/>
    </row>
    <row r="639">
      <c r="C639" s="96"/>
      <c r="G639" s="96"/>
    </row>
    <row r="640">
      <c r="C640" s="96"/>
      <c r="G640" s="96"/>
    </row>
    <row r="641">
      <c r="C641" s="96"/>
      <c r="G641" s="96"/>
    </row>
    <row r="642">
      <c r="C642" s="96"/>
      <c r="G642" s="96"/>
    </row>
    <row r="643">
      <c r="C643" s="96"/>
      <c r="G643" s="96"/>
    </row>
    <row r="644">
      <c r="C644" s="96"/>
      <c r="G644" s="96"/>
    </row>
    <row r="645">
      <c r="C645" s="96"/>
      <c r="G645" s="96"/>
    </row>
    <row r="646">
      <c r="C646" s="96"/>
      <c r="G646" s="96"/>
    </row>
    <row r="647">
      <c r="C647" s="96"/>
      <c r="G647" s="96"/>
    </row>
    <row r="648">
      <c r="C648" s="96"/>
      <c r="G648" s="96"/>
    </row>
    <row r="649">
      <c r="C649" s="96"/>
      <c r="G649" s="96"/>
    </row>
    <row r="650">
      <c r="C650" s="96"/>
      <c r="G650" s="96"/>
    </row>
    <row r="651">
      <c r="C651" s="96"/>
      <c r="G651" s="96"/>
    </row>
    <row r="652">
      <c r="C652" s="96"/>
      <c r="G652" s="96"/>
    </row>
    <row r="653">
      <c r="C653" s="96"/>
      <c r="G653" s="96"/>
    </row>
    <row r="654">
      <c r="C654" s="96"/>
      <c r="G654" s="96"/>
    </row>
    <row r="655">
      <c r="C655" s="96"/>
      <c r="G655" s="96"/>
    </row>
    <row r="656">
      <c r="C656" s="96"/>
      <c r="G656" s="96"/>
    </row>
    <row r="657">
      <c r="C657" s="96"/>
      <c r="G657" s="96"/>
    </row>
    <row r="658">
      <c r="C658" s="96"/>
      <c r="G658" s="96"/>
    </row>
    <row r="659">
      <c r="C659" s="96"/>
      <c r="G659" s="96"/>
    </row>
    <row r="660">
      <c r="C660" s="96"/>
      <c r="G660" s="96"/>
    </row>
    <row r="661">
      <c r="C661" s="96"/>
      <c r="G661" s="96"/>
    </row>
    <row r="662">
      <c r="C662" s="96"/>
      <c r="G662" s="96"/>
    </row>
    <row r="663">
      <c r="C663" s="96"/>
      <c r="G663" s="96"/>
    </row>
    <row r="664">
      <c r="C664" s="96"/>
      <c r="G664" s="96"/>
    </row>
    <row r="665">
      <c r="C665" s="96"/>
      <c r="G665" s="96"/>
    </row>
    <row r="666">
      <c r="C666" s="96"/>
      <c r="G666" s="96"/>
    </row>
    <row r="667">
      <c r="C667" s="96"/>
      <c r="G667" s="96"/>
    </row>
    <row r="668">
      <c r="C668" s="96"/>
      <c r="G668" s="96"/>
    </row>
    <row r="669">
      <c r="C669" s="96"/>
      <c r="G669" s="96"/>
    </row>
    <row r="670">
      <c r="C670" s="96"/>
      <c r="G670" s="96"/>
    </row>
    <row r="671">
      <c r="C671" s="96"/>
      <c r="G671" s="96"/>
    </row>
    <row r="672">
      <c r="C672" s="96"/>
      <c r="G672" s="96"/>
    </row>
    <row r="673">
      <c r="C673" s="96"/>
      <c r="G673" s="96"/>
    </row>
    <row r="674">
      <c r="C674" s="96"/>
      <c r="G674" s="96"/>
    </row>
    <row r="675">
      <c r="C675" s="96"/>
      <c r="G675" s="96"/>
    </row>
    <row r="676">
      <c r="C676" s="96"/>
      <c r="G676" s="96"/>
    </row>
    <row r="677">
      <c r="C677" s="96"/>
      <c r="G677" s="96"/>
    </row>
    <row r="678">
      <c r="C678" s="96"/>
      <c r="G678" s="96"/>
    </row>
    <row r="679">
      <c r="C679" s="96"/>
      <c r="G679" s="96"/>
    </row>
    <row r="680">
      <c r="C680" s="96"/>
      <c r="G680" s="96"/>
    </row>
    <row r="681">
      <c r="C681" s="96"/>
      <c r="G681" s="96"/>
    </row>
    <row r="682">
      <c r="C682" s="96"/>
      <c r="G682" s="96"/>
    </row>
    <row r="683">
      <c r="C683" s="96"/>
      <c r="G683" s="96"/>
    </row>
    <row r="684">
      <c r="C684" s="96"/>
      <c r="G684" s="96"/>
    </row>
    <row r="685">
      <c r="C685" s="96"/>
      <c r="G685" s="96"/>
    </row>
    <row r="686">
      <c r="C686" s="96"/>
      <c r="G686" s="96"/>
    </row>
    <row r="687">
      <c r="C687" s="96"/>
      <c r="G687" s="96"/>
    </row>
    <row r="688">
      <c r="C688" s="96"/>
      <c r="G688" s="96"/>
    </row>
    <row r="689">
      <c r="C689" s="96"/>
      <c r="G689" s="96"/>
    </row>
    <row r="690">
      <c r="C690" s="96"/>
      <c r="G690" s="96"/>
    </row>
    <row r="691">
      <c r="C691" s="96"/>
      <c r="G691" s="96"/>
    </row>
    <row r="692">
      <c r="C692" s="96"/>
      <c r="G692" s="96"/>
    </row>
    <row r="693">
      <c r="C693" s="96"/>
      <c r="G693" s="96"/>
    </row>
    <row r="694">
      <c r="C694" s="96"/>
      <c r="G694" s="96"/>
    </row>
    <row r="695">
      <c r="C695" s="96"/>
      <c r="G695" s="96"/>
    </row>
    <row r="696">
      <c r="C696" s="96"/>
      <c r="G696" s="96"/>
    </row>
    <row r="697">
      <c r="C697" s="96"/>
      <c r="G697" s="96"/>
    </row>
    <row r="698">
      <c r="C698" s="96"/>
      <c r="G698" s="96"/>
    </row>
    <row r="699">
      <c r="C699" s="96"/>
      <c r="G699" s="96"/>
    </row>
    <row r="700">
      <c r="C700" s="96"/>
      <c r="G700" s="96"/>
    </row>
    <row r="701">
      <c r="C701" s="96"/>
      <c r="G701" s="96"/>
    </row>
    <row r="702">
      <c r="C702" s="96"/>
      <c r="G702" s="96"/>
    </row>
    <row r="703">
      <c r="C703" s="96"/>
      <c r="G703" s="96"/>
    </row>
    <row r="704">
      <c r="C704" s="96"/>
      <c r="G704" s="96"/>
    </row>
    <row r="705">
      <c r="C705" s="96"/>
      <c r="G705" s="96"/>
    </row>
    <row r="706">
      <c r="C706" s="96"/>
      <c r="G706" s="96"/>
    </row>
    <row r="707">
      <c r="C707" s="96"/>
      <c r="G707" s="96"/>
    </row>
    <row r="708">
      <c r="C708" s="96"/>
      <c r="G708" s="96"/>
    </row>
    <row r="709">
      <c r="C709" s="96"/>
      <c r="G709" s="96"/>
    </row>
    <row r="710">
      <c r="C710" s="96"/>
      <c r="G710" s="96"/>
    </row>
    <row r="711">
      <c r="C711" s="96"/>
      <c r="G711" s="96"/>
    </row>
    <row r="712">
      <c r="C712" s="96"/>
      <c r="G712" s="96"/>
    </row>
    <row r="713">
      <c r="C713" s="96"/>
      <c r="G713" s="96"/>
    </row>
    <row r="714">
      <c r="C714" s="96"/>
      <c r="G714" s="96"/>
    </row>
    <row r="715">
      <c r="C715" s="96"/>
      <c r="G715" s="96"/>
    </row>
    <row r="716">
      <c r="C716" s="96"/>
      <c r="G716" s="96"/>
    </row>
    <row r="717">
      <c r="C717" s="96"/>
      <c r="G717" s="96"/>
    </row>
    <row r="718">
      <c r="C718" s="96"/>
      <c r="G718" s="96"/>
    </row>
    <row r="719">
      <c r="C719" s="96"/>
      <c r="G719" s="96"/>
    </row>
    <row r="720">
      <c r="C720" s="96"/>
      <c r="G720" s="96"/>
    </row>
    <row r="721">
      <c r="C721" s="96"/>
      <c r="G721" s="96"/>
    </row>
    <row r="722">
      <c r="C722" s="96"/>
      <c r="G722" s="96"/>
    </row>
    <row r="723">
      <c r="C723" s="96"/>
      <c r="G723" s="96"/>
    </row>
    <row r="724">
      <c r="C724" s="96"/>
      <c r="G724" s="96"/>
    </row>
    <row r="725">
      <c r="C725" s="96"/>
      <c r="G725" s="96"/>
    </row>
    <row r="726">
      <c r="C726" s="96"/>
      <c r="G726" s="96"/>
    </row>
    <row r="727">
      <c r="C727" s="96"/>
      <c r="G727" s="96"/>
    </row>
    <row r="728">
      <c r="C728" s="96"/>
      <c r="G728" s="96"/>
    </row>
    <row r="729">
      <c r="C729" s="96"/>
      <c r="G729" s="96"/>
    </row>
    <row r="730">
      <c r="C730" s="96"/>
      <c r="G730" s="96"/>
    </row>
    <row r="731">
      <c r="C731" s="96"/>
      <c r="G731" s="96"/>
    </row>
    <row r="732">
      <c r="C732" s="96"/>
      <c r="G732" s="96"/>
    </row>
    <row r="733">
      <c r="C733" s="96"/>
      <c r="G733" s="96"/>
    </row>
    <row r="734">
      <c r="C734" s="96"/>
      <c r="G734" s="96"/>
    </row>
    <row r="735">
      <c r="C735" s="96"/>
      <c r="G735" s="96"/>
    </row>
    <row r="736">
      <c r="C736" s="96"/>
      <c r="G736" s="96"/>
    </row>
    <row r="737">
      <c r="C737" s="96"/>
      <c r="G737" s="96"/>
    </row>
    <row r="738">
      <c r="C738" s="96"/>
      <c r="G738" s="96"/>
    </row>
    <row r="739">
      <c r="C739" s="96"/>
      <c r="G739" s="96"/>
    </row>
    <row r="740">
      <c r="C740" s="96"/>
      <c r="G740" s="96"/>
    </row>
    <row r="741">
      <c r="C741" s="96"/>
      <c r="G741" s="96"/>
    </row>
    <row r="742">
      <c r="C742" s="96"/>
      <c r="G742" s="96"/>
    </row>
    <row r="743">
      <c r="C743" s="96"/>
      <c r="G743" s="96"/>
    </row>
    <row r="744">
      <c r="C744" s="96"/>
      <c r="G744" s="96"/>
    </row>
    <row r="745">
      <c r="C745" s="96"/>
      <c r="G745" s="96"/>
    </row>
    <row r="746">
      <c r="C746" s="96"/>
      <c r="G746" s="96"/>
    </row>
    <row r="747">
      <c r="C747" s="96"/>
      <c r="G747" s="96"/>
    </row>
    <row r="748">
      <c r="C748" s="96"/>
      <c r="G748" s="96"/>
    </row>
    <row r="749">
      <c r="C749" s="96"/>
      <c r="G749" s="96"/>
    </row>
    <row r="750">
      <c r="C750" s="96"/>
      <c r="G750" s="96"/>
    </row>
    <row r="751">
      <c r="C751" s="96"/>
      <c r="G751" s="96"/>
    </row>
    <row r="752">
      <c r="C752" s="96"/>
      <c r="G752" s="96"/>
    </row>
    <row r="753">
      <c r="C753" s="96"/>
      <c r="G753" s="96"/>
    </row>
    <row r="754">
      <c r="C754" s="96"/>
      <c r="G754" s="96"/>
    </row>
    <row r="755">
      <c r="C755" s="96"/>
      <c r="G755" s="96"/>
    </row>
    <row r="756">
      <c r="C756" s="96"/>
      <c r="G756" s="96"/>
    </row>
    <row r="757">
      <c r="C757" s="96"/>
      <c r="G757" s="96"/>
    </row>
    <row r="758">
      <c r="C758" s="96"/>
      <c r="G758" s="96"/>
    </row>
    <row r="759">
      <c r="C759" s="96"/>
      <c r="G759" s="96"/>
    </row>
    <row r="760">
      <c r="C760" s="96"/>
      <c r="G760" s="96"/>
    </row>
    <row r="761">
      <c r="C761" s="96"/>
      <c r="G761" s="96"/>
    </row>
    <row r="762">
      <c r="C762" s="96"/>
      <c r="G762" s="96"/>
    </row>
    <row r="763">
      <c r="C763" s="96"/>
      <c r="G763" s="96"/>
    </row>
    <row r="764">
      <c r="C764" s="96"/>
      <c r="G764" s="96"/>
    </row>
    <row r="765">
      <c r="C765" s="96"/>
      <c r="G765" s="96"/>
    </row>
    <row r="766">
      <c r="C766" s="96"/>
      <c r="G766" s="96"/>
    </row>
    <row r="767">
      <c r="C767" s="96"/>
      <c r="G767" s="96"/>
    </row>
    <row r="768">
      <c r="C768" s="96"/>
      <c r="G768" s="96"/>
    </row>
    <row r="769">
      <c r="C769" s="96"/>
      <c r="G769" s="96"/>
    </row>
    <row r="770">
      <c r="C770" s="96"/>
      <c r="G770" s="96"/>
    </row>
    <row r="771">
      <c r="C771" s="96"/>
      <c r="G771" s="96"/>
    </row>
    <row r="772">
      <c r="C772" s="96"/>
      <c r="G772" s="96"/>
    </row>
    <row r="773">
      <c r="C773" s="96"/>
      <c r="G773" s="96"/>
    </row>
    <row r="774">
      <c r="C774" s="96"/>
      <c r="G774" s="96"/>
    </row>
    <row r="775">
      <c r="C775" s="96"/>
      <c r="G775" s="96"/>
    </row>
    <row r="776">
      <c r="C776" s="96"/>
      <c r="G776" s="96"/>
    </row>
    <row r="777">
      <c r="C777" s="96"/>
      <c r="G777" s="96"/>
    </row>
    <row r="778">
      <c r="C778" s="96"/>
      <c r="G778" s="96"/>
    </row>
    <row r="779">
      <c r="C779" s="96"/>
      <c r="G779" s="96"/>
    </row>
    <row r="780">
      <c r="C780" s="96"/>
      <c r="G780" s="96"/>
    </row>
    <row r="781">
      <c r="C781" s="96"/>
      <c r="G781" s="96"/>
    </row>
    <row r="782">
      <c r="C782" s="96"/>
      <c r="G782" s="96"/>
    </row>
    <row r="783">
      <c r="C783" s="96"/>
      <c r="G783" s="96"/>
    </row>
    <row r="784">
      <c r="C784" s="96"/>
      <c r="G784" s="96"/>
    </row>
    <row r="785">
      <c r="C785" s="96"/>
      <c r="G785" s="96"/>
    </row>
    <row r="786">
      <c r="C786" s="96"/>
      <c r="G786" s="96"/>
    </row>
    <row r="787">
      <c r="C787" s="96"/>
      <c r="G787" s="96"/>
    </row>
    <row r="788">
      <c r="C788" s="96"/>
      <c r="G788" s="96"/>
    </row>
    <row r="789">
      <c r="C789" s="96"/>
      <c r="G789" s="96"/>
    </row>
    <row r="790">
      <c r="C790" s="96"/>
      <c r="G790" s="96"/>
    </row>
    <row r="791">
      <c r="C791" s="96"/>
      <c r="G791" s="96"/>
    </row>
    <row r="792">
      <c r="C792" s="96"/>
      <c r="G792" s="96"/>
    </row>
    <row r="793">
      <c r="C793" s="96"/>
      <c r="G793" s="96"/>
    </row>
    <row r="794">
      <c r="C794" s="96"/>
      <c r="G794" s="96"/>
    </row>
    <row r="795">
      <c r="C795" s="96"/>
      <c r="G795" s="96"/>
    </row>
    <row r="796">
      <c r="C796" s="96"/>
      <c r="G796" s="96"/>
    </row>
    <row r="797">
      <c r="C797" s="96"/>
      <c r="G797" s="96"/>
    </row>
    <row r="798">
      <c r="C798" s="96"/>
      <c r="G798" s="96"/>
    </row>
    <row r="799">
      <c r="C799" s="96"/>
      <c r="G799" s="96"/>
    </row>
    <row r="800">
      <c r="C800" s="96"/>
      <c r="G800" s="96"/>
    </row>
    <row r="801">
      <c r="C801" s="96"/>
      <c r="G801" s="96"/>
    </row>
    <row r="802">
      <c r="C802" s="96"/>
      <c r="G802" s="96"/>
    </row>
    <row r="803">
      <c r="C803" s="96"/>
      <c r="G803" s="96"/>
    </row>
    <row r="804">
      <c r="C804" s="96"/>
      <c r="G804" s="96"/>
    </row>
    <row r="805">
      <c r="C805" s="96"/>
      <c r="G805" s="96"/>
    </row>
    <row r="806">
      <c r="C806" s="96"/>
      <c r="G806" s="96"/>
    </row>
    <row r="807">
      <c r="C807" s="96"/>
      <c r="G807" s="96"/>
    </row>
    <row r="808">
      <c r="C808" s="96"/>
      <c r="G808" s="96"/>
    </row>
    <row r="809">
      <c r="C809" s="96"/>
      <c r="G809" s="96"/>
    </row>
    <row r="810">
      <c r="C810" s="96"/>
      <c r="G810" s="96"/>
    </row>
    <row r="811">
      <c r="C811" s="96"/>
      <c r="G811" s="96"/>
    </row>
    <row r="812">
      <c r="C812" s="96"/>
      <c r="G812" s="96"/>
    </row>
    <row r="813">
      <c r="C813" s="96"/>
      <c r="G813" s="96"/>
    </row>
    <row r="814">
      <c r="C814" s="96"/>
      <c r="G814" s="96"/>
    </row>
    <row r="815">
      <c r="C815" s="96"/>
      <c r="G815" s="96"/>
    </row>
    <row r="816">
      <c r="C816" s="96"/>
      <c r="G816" s="96"/>
    </row>
    <row r="817">
      <c r="C817" s="96"/>
      <c r="G817" s="96"/>
    </row>
    <row r="818">
      <c r="C818" s="96"/>
      <c r="G818" s="96"/>
    </row>
    <row r="819">
      <c r="C819" s="96"/>
      <c r="G819" s="96"/>
    </row>
    <row r="820">
      <c r="C820" s="96"/>
      <c r="G820" s="96"/>
    </row>
    <row r="821">
      <c r="C821" s="96"/>
      <c r="G821" s="96"/>
    </row>
    <row r="822">
      <c r="C822" s="96"/>
      <c r="G822" s="96"/>
    </row>
    <row r="823">
      <c r="C823" s="96"/>
      <c r="G823" s="96"/>
    </row>
    <row r="824">
      <c r="C824" s="96"/>
      <c r="G824" s="96"/>
    </row>
    <row r="825">
      <c r="C825" s="96"/>
      <c r="G825" s="96"/>
    </row>
    <row r="826">
      <c r="C826" s="96"/>
      <c r="G826" s="96"/>
    </row>
    <row r="827">
      <c r="C827" s="96"/>
      <c r="G827" s="96"/>
    </row>
    <row r="828">
      <c r="C828" s="96"/>
      <c r="G828" s="96"/>
    </row>
    <row r="829">
      <c r="C829" s="96"/>
      <c r="G829" s="96"/>
    </row>
    <row r="830">
      <c r="C830" s="96"/>
      <c r="G830" s="96"/>
    </row>
    <row r="831">
      <c r="C831" s="96"/>
      <c r="G831" s="96"/>
    </row>
    <row r="832">
      <c r="C832" s="96"/>
      <c r="G832" s="96"/>
    </row>
    <row r="833">
      <c r="C833" s="96"/>
      <c r="G833" s="96"/>
    </row>
    <row r="834">
      <c r="C834" s="96"/>
      <c r="G834" s="96"/>
    </row>
    <row r="835">
      <c r="C835" s="96"/>
      <c r="G835" s="96"/>
    </row>
    <row r="836">
      <c r="C836" s="96"/>
      <c r="G836" s="96"/>
    </row>
    <row r="837">
      <c r="C837" s="96"/>
      <c r="G837" s="96"/>
    </row>
    <row r="838">
      <c r="C838" s="96"/>
      <c r="G838" s="96"/>
    </row>
    <row r="839">
      <c r="C839" s="96"/>
      <c r="G839" s="96"/>
    </row>
    <row r="840">
      <c r="C840" s="96"/>
      <c r="G840" s="96"/>
    </row>
    <row r="841">
      <c r="C841" s="96"/>
      <c r="G841" s="96"/>
    </row>
    <row r="842">
      <c r="C842" s="96"/>
      <c r="G842" s="96"/>
    </row>
    <row r="843">
      <c r="C843" s="96"/>
      <c r="G843" s="96"/>
    </row>
    <row r="844">
      <c r="C844" s="96"/>
      <c r="G844" s="96"/>
    </row>
    <row r="845">
      <c r="C845" s="96"/>
      <c r="G845" s="96"/>
    </row>
    <row r="846">
      <c r="C846" s="96"/>
      <c r="G846" s="96"/>
    </row>
    <row r="847">
      <c r="C847" s="96"/>
      <c r="G847" s="96"/>
    </row>
    <row r="848">
      <c r="C848" s="96"/>
      <c r="G848" s="96"/>
    </row>
    <row r="849">
      <c r="C849" s="96"/>
      <c r="G849" s="96"/>
    </row>
    <row r="850">
      <c r="C850" s="96"/>
      <c r="G850" s="96"/>
    </row>
    <row r="851">
      <c r="C851" s="96"/>
      <c r="G851" s="96"/>
    </row>
    <row r="852">
      <c r="C852" s="96"/>
      <c r="G852" s="96"/>
    </row>
    <row r="853">
      <c r="C853" s="96"/>
      <c r="G853" s="96"/>
    </row>
    <row r="854">
      <c r="C854" s="96"/>
      <c r="G854" s="96"/>
    </row>
    <row r="855">
      <c r="C855" s="96"/>
      <c r="G855" s="96"/>
    </row>
    <row r="856">
      <c r="C856" s="96"/>
      <c r="G856" s="96"/>
    </row>
    <row r="857">
      <c r="C857" s="96"/>
      <c r="G857" s="96"/>
    </row>
    <row r="858">
      <c r="C858" s="96"/>
      <c r="G858" s="96"/>
    </row>
    <row r="859">
      <c r="C859" s="96"/>
      <c r="G859" s="96"/>
    </row>
    <row r="860">
      <c r="C860" s="96"/>
      <c r="G860" s="96"/>
    </row>
    <row r="861">
      <c r="C861" s="96"/>
      <c r="G861" s="96"/>
    </row>
    <row r="862">
      <c r="C862" s="96"/>
      <c r="G862" s="96"/>
    </row>
    <row r="863">
      <c r="C863" s="96"/>
      <c r="G863" s="96"/>
    </row>
    <row r="864">
      <c r="C864" s="96"/>
      <c r="G864" s="96"/>
    </row>
    <row r="865">
      <c r="C865" s="96"/>
      <c r="G865" s="96"/>
    </row>
    <row r="866">
      <c r="C866" s="96"/>
      <c r="G866" s="96"/>
    </row>
    <row r="867">
      <c r="C867" s="96"/>
      <c r="G867" s="96"/>
    </row>
    <row r="868">
      <c r="C868" s="96"/>
      <c r="G868" s="96"/>
    </row>
    <row r="869">
      <c r="C869" s="96"/>
      <c r="G869" s="96"/>
    </row>
    <row r="870">
      <c r="C870" s="96"/>
      <c r="G870" s="96"/>
    </row>
    <row r="871">
      <c r="C871" s="96"/>
      <c r="G871" s="96"/>
    </row>
    <row r="872">
      <c r="C872" s="96"/>
      <c r="G872" s="96"/>
    </row>
    <row r="873">
      <c r="C873" s="96"/>
      <c r="G873" s="96"/>
    </row>
    <row r="874">
      <c r="C874" s="96"/>
      <c r="G874" s="96"/>
    </row>
    <row r="875">
      <c r="C875" s="96"/>
      <c r="G875" s="96"/>
    </row>
    <row r="876">
      <c r="C876" s="96"/>
      <c r="G876" s="96"/>
    </row>
    <row r="877">
      <c r="C877" s="96"/>
      <c r="G877" s="96"/>
    </row>
    <row r="878">
      <c r="C878" s="96"/>
      <c r="G878" s="96"/>
    </row>
    <row r="879">
      <c r="C879" s="96"/>
      <c r="G879" s="96"/>
    </row>
    <row r="880">
      <c r="C880" s="96"/>
      <c r="G880" s="96"/>
    </row>
    <row r="881">
      <c r="C881" s="96"/>
      <c r="G881" s="96"/>
    </row>
    <row r="882">
      <c r="C882" s="96"/>
      <c r="G882" s="96"/>
    </row>
    <row r="883">
      <c r="C883" s="96"/>
      <c r="G883" s="96"/>
    </row>
    <row r="884">
      <c r="C884" s="96"/>
      <c r="G884" s="96"/>
    </row>
    <row r="885">
      <c r="C885" s="96"/>
      <c r="G885" s="96"/>
    </row>
    <row r="886">
      <c r="C886" s="96"/>
      <c r="G886" s="96"/>
    </row>
    <row r="887">
      <c r="C887" s="96"/>
      <c r="G887" s="96"/>
    </row>
    <row r="888">
      <c r="C888" s="96"/>
      <c r="G888" s="96"/>
    </row>
    <row r="889">
      <c r="C889" s="96"/>
      <c r="G889" s="96"/>
    </row>
    <row r="890">
      <c r="C890" s="96"/>
      <c r="G890" s="96"/>
    </row>
    <row r="891">
      <c r="C891" s="96"/>
      <c r="G891" s="96"/>
    </row>
    <row r="892">
      <c r="C892" s="96"/>
      <c r="G892" s="96"/>
    </row>
    <row r="893">
      <c r="C893" s="96"/>
      <c r="G893" s="96"/>
    </row>
    <row r="894">
      <c r="C894" s="96"/>
      <c r="G894" s="96"/>
    </row>
    <row r="895">
      <c r="C895" s="96"/>
      <c r="G895" s="96"/>
    </row>
    <row r="896">
      <c r="C896" s="96"/>
      <c r="G896" s="96"/>
    </row>
    <row r="897">
      <c r="C897" s="96"/>
      <c r="G897" s="96"/>
    </row>
    <row r="898">
      <c r="C898" s="96"/>
      <c r="G898" s="96"/>
    </row>
    <row r="899">
      <c r="C899" s="96"/>
      <c r="G899" s="96"/>
    </row>
    <row r="900">
      <c r="C900" s="96"/>
      <c r="G900" s="96"/>
    </row>
    <row r="901">
      <c r="C901" s="96"/>
      <c r="G901" s="96"/>
    </row>
    <row r="902">
      <c r="C902" s="96"/>
      <c r="G902" s="96"/>
    </row>
    <row r="903">
      <c r="C903" s="96"/>
      <c r="G903" s="96"/>
    </row>
    <row r="904">
      <c r="C904" s="96"/>
      <c r="G904" s="96"/>
    </row>
    <row r="905">
      <c r="C905" s="96"/>
      <c r="G905" s="96"/>
    </row>
    <row r="906">
      <c r="C906" s="96"/>
      <c r="G906" s="96"/>
    </row>
    <row r="907">
      <c r="C907" s="96"/>
      <c r="G907" s="96"/>
    </row>
    <row r="908">
      <c r="C908" s="96"/>
      <c r="G908" s="96"/>
    </row>
    <row r="909">
      <c r="C909" s="96"/>
      <c r="G909" s="96"/>
    </row>
    <row r="910">
      <c r="C910" s="96"/>
      <c r="G910" s="96"/>
    </row>
    <row r="911">
      <c r="C911" s="96"/>
      <c r="G911" s="96"/>
    </row>
    <row r="912">
      <c r="C912" s="96"/>
      <c r="G912" s="96"/>
    </row>
    <row r="913">
      <c r="C913" s="96"/>
      <c r="G913" s="96"/>
    </row>
    <row r="914">
      <c r="C914" s="96"/>
      <c r="G914" s="96"/>
    </row>
    <row r="915">
      <c r="C915" s="96"/>
      <c r="G915" s="96"/>
    </row>
    <row r="916">
      <c r="C916" s="96"/>
      <c r="G916" s="96"/>
    </row>
    <row r="917">
      <c r="C917" s="96"/>
      <c r="G917" s="96"/>
    </row>
    <row r="918">
      <c r="C918" s="96"/>
      <c r="G918" s="96"/>
    </row>
    <row r="919">
      <c r="C919" s="96"/>
      <c r="G919" s="96"/>
    </row>
    <row r="920">
      <c r="C920" s="96"/>
      <c r="G920" s="96"/>
    </row>
    <row r="921">
      <c r="C921" s="96"/>
      <c r="G921" s="96"/>
    </row>
    <row r="922">
      <c r="C922" s="96"/>
      <c r="G922" s="96"/>
    </row>
    <row r="923">
      <c r="C923" s="96"/>
      <c r="G923" s="96"/>
    </row>
    <row r="924">
      <c r="C924" s="96"/>
      <c r="G924" s="96"/>
    </row>
    <row r="925">
      <c r="C925" s="96"/>
      <c r="G925" s="96"/>
    </row>
    <row r="926">
      <c r="C926" s="96"/>
      <c r="G926" s="96"/>
    </row>
    <row r="927">
      <c r="C927" s="96"/>
      <c r="G927" s="96"/>
    </row>
    <row r="928">
      <c r="C928" s="96"/>
      <c r="G928" s="96"/>
    </row>
    <row r="929">
      <c r="C929" s="96"/>
      <c r="G929" s="96"/>
    </row>
    <row r="930">
      <c r="C930" s="96"/>
      <c r="G930" s="96"/>
    </row>
    <row r="931">
      <c r="C931" s="96"/>
      <c r="G931" s="96"/>
    </row>
    <row r="932">
      <c r="C932" s="96"/>
      <c r="G932" s="96"/>
    </row>
    <row r="933">
      <c r="C933" s="96"/>
      <c r="G933" s="96"/>
    </row>
    <row r="934">
      <c r="C934" s="96"/>
      <c r="G934" s="96"/>
    </row>
    <row r="935">
      <c r="C935" s="96"/>
      <c r="G935" s="96"/>
    </row>
    <row r="936">
      <c r="C936" s="96"/>
      <c r="G936" s="96"/>
    </row>
    <row r="937">
      <c r="C937" s="96"/>
      <c r="G937" s="96"/>
    </row>
    <row r="938">
      <c r="C938" s="96"/>
      <c r="G938" s="96"/>
    </row>
    <row r="939">
      <c r="C939" s="96"/>
      <c r="G939" s="96"/>
    </row>
    <row r="940">
      <c r="C940" s="96"/>
      <c r="G940" s="96"/>
    </row>
    <row r="941">
      <c r="C941" s="96"/>
      <c r="G941" s="96"/>
    </row>
    <row r="942">
      <c r="C942" s="96"/>
      <c r="G942" s="96"/>
    </row>
    <row r="943">
      <c r="C943" s="96"/>
      <c r="G943" s="96"/>
    </row>
    <row r="944">
      <c r="C944" s="96"/>
      <c r="G944" s="96"/>
    </row>
    <row r="945">
      <c r="C945" s="96"/>
      <c r="G945" s="96"/>
    </row>
    <row r="946">
      <c r="C946" s="96"/>
      <c r="G946" s="96"/>
    </row>
    <row r="947">
      <c r="C947" s="96"/>
      <c r="G947" s="96"/>
    </row>
    <row r="948">
      <c r="C948" s="96"/>
      <c r="G948" s="96"/>
    </row>
    <row r="949">
      <c r="C949" s="96"/>
      <c r="G949" s="96"/>
    </row>
    <row r="950">
      <c r="C950" s="96"/>
      <c r="G950" s="96"/>
    </row>
    <row r="951">
      <c r="C951" s="96"/>
      <c r="G951" s="96"/>
    </row>
    <row r="952">
      <c r="C952" s="96"/>
      <c r="G952" s="96"/>
    </row>
    <row r="953">
      <c r="C953" s="96"/>
      <c r="G953" s="96"/>
    </row>
    <row r="954">
      <c r="C954" s="96"/>
      <c r="G954" s="96"/>
    </row>
    <row r="955">
      <c r="C955" s="96"/>
      <c r="G955" s="96"/>
    </row>
    <row r="956">
      <c r="C956" s="96"/>
      <c r="G956" s="96"/>
    </row>
    <row r="957">
      <c r="C957" s="96"/>
      <c r="G957" s="96"/>
    </row>
    <row r="958">
      <c r="C958" s="96"/>
      <c r="G958" s="96"/>
    </row>
    <row r="959">
      <c r="C959" s="96"/>
      <c r="G959" s="96"/>
    </row>
    <row r="960">
      <c r="C960" s="96"/>
      <c r="G960" s="96"/>
    </row>
    <row r="961">
      <c r="C961" s="96"/>
      <c r="G961" s="96"/>
    </row>
    <row r="962">
      <c r="C962" s="96"/>
      <c r="G962" s="96"/>
    </row>
    <row r="963">
      <c r="C963" s="96"/>
      <c r="G963" s="96"/>
    </row>
    <row r="964">
      <c r="C964" s="96"/>
      <c r="G964" s="96"/>
    </row>
    <row r="965">
      <c r="C965" s="96"/>
      <c r="G965" s="96"/>
    </row>
    <row r="966">
      <c r="C966" s="96"/>
      <c r="G966" s="96"/>
    </row>
    <row r="967">
      <c r="C967" s="96"/>
      <c r="G967" s="96"/>
    </row>
    <row r="968">
      <c r="C968" s="96"/>
      <c r="G968" s="96"/>
    </row>
    <row r="969">
      <c r="C969" s="96"/>
      <c r="G969" s="96"/>
    </row>
    <row r="970">
      <c r="C970" s="96"/>
      <c r="G970" s="96"/>
    </row>
    <row r="971">
      <c r="C971" s="96"/>
      <c r="G971" s="96"/>
    </row>
    <row r="972">
      <c r="C972" s="96"/>
      <c r="G972" s="96"/>
    </row>
    <row r="973">
      <c r="C973" s="96"/>
      <c r="G973" s="96"/>
    </row>
    <row r="974">
      <c r="C974" s="96"/>
      <c r="G974" s="96"/>
    </row>
    <row r="975">
      <c r="C975" s="96"/>
      <c r="G975" s="96"/>
    </row>
    <row r="976">
      <c r="C976" s="96"/>
      <c r="G976" s="96"/>
    </row>
    <row r="977">
      <c r="C977" s="96"/>
      <c r="G977" s="96"/>
    </row>
    <row r="978">
      <c r="C978" s="96"/>
      <c r="G978" s="96"/>
    </row>
    <row r="979">
      <c r="C979" s="96"/>
      <c r="G979" s="96"/>
    </row>
    <row r="980">
      <c r="C980" s="96"/>
      <c r="G980" s="96"/>
    </row>
    <row r="981">
      <c r="C981" s="96"/>
      <c r="G981" s="96"/>
    </row>
    <row r="982">
      <c r="C982" s="96"/>
      <c r="G982" s="96"/>
    </row>
    <row r="983">
      <c r="C983" s="96"/>
      <c r="G983" s="96"/>
    </row>
    <row r="984">
      <c r="C984" s="96"/>
      <c r="G984" s="96"/>
    </row>
    <row r="985">
      <c r="C985" s="96"/>
      <c r="G985" s="96"/>
    </row>
    <row r="986">
      <c r="C986" s="96"/>
      <c r="G986" s="96"/>
    </row>
    <row r="987">
      <c r="C987" s="96"/>
      <c r="G987" s="96"/>
    </row>
    <row r="988">
      <c r="C988" s="96"/>
      <c r="G988" s="96"/>
    </row>
    <row r="989">
      <c r="C989" s="96"/>
      <c r="G989" s="96"/>
    </row>
    <row r="990">
      <c r="C990" s="96"/>
      <c r="G990" s="96"/>
    </row>
    <row r="991">
      <c r="C991" s="96"/>
      <c r="G991" s="96"/>
    </row>
    <row r="992">
      <c r="C992" s="96"/>
      <c r="G992" s="96"/>
    </row>
    <row r="993">
      <c r="C993" s="96"/>
      <c r="G993" s="96"/>
    </row>
    <row r="994">
      <c r="C994" s="96"/>
      <c r="G994" s="96"/>
    </row>
    <row r="995">
      <c r="C995" s="96"/>
      <c r="G995" s="96"/>
    </row>
    <row r="996">
      <c r="C996" s="96"/>
      <c r="G996" s="96"/>
    </row>
    <row r="997">
      <c r="C997" s="96"/>
      <c r="G997" s="96"/>
    </row>
    <row r="998">
      <c r="C998" s="96"/>
      <c r="G998" s="96"/>
    </row>
    <row r="999">
      <c r="C999" s="96"/>
      <c r="G999" s="96"/>
    </row>
    <row r="1000">
      <c r="C1000" s="96"/>
      <c r="G1000" s="96"/>
    </row>
  </sheetData>
  <dataValidations>
    <dataValidation allowBlank="1" showDropDown="1" sqref="C2:C123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3.0"/>
  </cols>
  <sheetData>
    <row r="1" ht="22.5" customHeight="1">
      <c r="A1" s="4" t="s">
        <v>81</v>
      </c>
      <c r="B1" s="4" t="s">
        <v>162</v>
      </c>
      <c r="C1" s="4" t="s">
        <v>163</v>
      </c>
      <c r="D1" s="4" t="s">
        <v>164</v>
      </c>
      <c r="E1" s="4" t="s">
        <v>180</v>
      </c>
      <c r="G1" s="4" t="s">
        <v>175</v>
      </c>
      <c r="H1" s="4" t="s">
        <v>112</v>
      </c>
      <c r="I1" s="4" t="s">
        <v>180</v>
      </c>
      <c r="J1" s="4" t="s">
        <v>184</v>
      </c>
      <c r="K1" s="4" t="s">
        <v>167</v>
      </c>
    </row>
    <row r="2" ht="22.5" customHeight="1">
      <c r="A2" s="98" t="s">
        <v>255</v>
      </c>
      <c r="B2" s="11" t="s">
        <v>1048</v>
      </c>
      <c r="C2" s="11" t="s">
        <v>1049</v>
      </c>
      <c r="D2" s="11" t="s">
        <v>1050</v>
      </c>
      <c r="E2" s="11" t="s">
        <v>855</v>
      </c>
      <c r="G2" s="11" t="s">
        <v>1051</v>
      </c>
      <c r="H2" s="11" t="s">
        <v>531</v>
      </c>
      <c r="I2" s="11" t="s">
        <v>975</v>
      </c>
      <c r="J2" s="11" t="s">
        <v>1053</v>
      </c>
      <c r="K2" s="11">
        <v>0.0</v>
      </c>
      <c r="N2" s="1" t="s">
        <v>975</v>
      </c>
      <c r="O2" s="99">
        <f>COUNTIF(dAir[Class],N2)</f>
        <v>9</v>
      </c>
      <c r="P2" s="99">
        <f t="shared" ref="P2:P3" si="1">O2*4</f>
        <v>36</v>
      </c>
    </row>
    <row r="3" ht="22.5" customHeight="1">
      <c r="A3" s="100" t="s">
        <v>290</v>
      </c>
      <c r="B3" s="11" t="s">
        <v>1055</v>
      </c>
      <c r="C3" s="11" t="s">
        <v>1049</v>
      </c>
      <c r="D3" s="11" t="s">
        <v>1050</v>
      </c>
      <c r="E3" s="11" t="s">
        <v>855</v>
      </c>
      <c r="G3" s="11" t="s">
        <v>1056</v>
      </c>
      <c r="H3" s="11" t="s">
        <v>531</v>
      </c>
      <c r="I3" s="11" t="s">
        <v>1057</v>
      </c>
      <c r="J3" s="11" t="s">
        <v>1053</v>
      </c>
      <c r="K3" s="11">
        <v>10.0</v>
      </c>
      <c r="N3" s="1" t="s">
        <v>1057</v>
      </c>
      <c r="O3" s="99">
        <f>COUNTIF(dAir[Class],N3)</f>
        <v>5</v>
      </c>
      <c r="P3" s="99">
        <f t="shared" si="1"/>
        <v>20</v>
      </c>
    </row>
    <row r="4" ht="22.5" customHeight="1">
      <c r="A4" s="98" t="s">
        <v>301</v>
      </c>
      <c r="B4" s="11" t="s">
        <v>1058</v>
      </c>
      <c r="C4" s="11" t="s">
        <v>1049</v>
      </c>
      <c r="D4" s="11" t="s">
        <v>1050</v>
      </c>
      <c r="E4" s="11" t="s">
        <v>855</v>
      </c>
      <c r="G4" s="11" t="s">
        <v>1059</v>
      </c>
      <c r="H4" s="11" t="s">
        <v>531</v>
      </c>
      <c r="I4" s="11" t="s">
        <v>1060</v>
      </c>
      <c r="J4" s="11" t="s">
        <v>1053</v>
      </c>
      <c r="K4" s="11">
        <v>100.0</v>
      </c>
      <c r="N4" s="1" t="s">
        <v>1060</v>
      </c>
      <c r="O4" s="99">
        <f>COUNTIF(dAir[Class],N4)</f>
        <v>53</v>
      </c>
      <c r="P4" s="99">
        <f>O4+5</f>
        <v>58</v>
      </c>
    </row>
    <row r="5" ht="22.5" customHeight="1">
      <c r="A5" s="100" t="s">
        <v>313</v>
      </c>
      <c r="B5" s="11" t="s">
        <v>1061</v>
      </c>
      <c r="C5" s="11" t="s">
        <v>1049</v>
      </c>
      <c r="D5" s="11" t="s">
        <v>1050</v>
      </c>
      <c r="E5" s="11" t="s">
        <v>855</v>
      </c>
      <c r="G5" s="11" t="s">
        <v>1062</v>
      </c>
      <c r="H5" s="11" t="s">
        <v>531</v>
      </c>
      <c r="I5" s="11" t="s">
        <v>855</v>
      </c>
      <c r="J5" s="11" t="s">
        <v>1053</v>
      </c>
      <c r="K5" s="11">
        <v>200.0</v>
      </c>
      <c r="N5" s="1" t="s">
        <v>855</v>
      </c>
      <c r="O5" s="99">
        <f>COUNTIF(dAir[Class],N5)</f>
        <v>406</v>
      </c>
      <c r="P5" s="99">
        <f>O5-5</f>
        <v>401</v>
      </c>
    </row>
    <row r="6" ht="22.5" customHeight="1">
      <c r="A6" s="98" t="s">
        <v>329</v>
      </c>
      <c r="B6" s="11" t="s">
        <v>1063</v>
      </c>
      <c r="C6" s="11" t="s">
        <v>1049</v>
      </c>
      <c r="D6" s="11" t="s">
        <v>1050</v>
      </c>
      <c r="E6" s="11" t="s">
        <v>855</v>
      </c>
      <c r="G6" s="11" t="s">
        <v>1064</v>
      </c>
      <c r="H6" s="11" t="s">
        <v>213</v>
      </c>
      <c r="I6" s="11" t="s">
        <v>975</v>
      </c>
      <c r="J6" s="11" t="s">
        <v>1065</v>
      </c>
      <c r="K6" s="11">
        <v>0.0</v>
      </c>
    </row>
    <row r="7" ht="22.5" customHeight="1">
      <c r="A7" s="100" t="s">
        <v>338</v>
      </c>
      <c r="B7" s="11" t="s">
        <v>1066</v>
      </c>
      <c r="C7" s="11" t="s">
        <v>1049</v>
      </c>
      <c r="D7" s="11" t="s">
        <v>1050</v>
      </c>
      <c r="E7" s="11" t="s">
        <v>855</v>
      </c>
      <c r="G7" s="11" t="s">
        <v>1067</v>
      </c>
      <c r="H7" s="11" t="s">
        <v>213</v>
      </c>
      <c r="I7" s="11" t="s">
        <v>1057</v>
      </c>
      <c r="J7" s="11" t="s">
        <v>1065</v>
      </c>
      <c r="K7" s="11">
        <v>5.0</v>
      </c>
    </row>
    <row r="8" ht="22.5" customHeight="1">
      <c r="A8" s="98" t="s">
        <v>352</v>
      </c>
      <c r="B8" s="11" t="s">
        <v>1069</v>
      </c>
      <c r="C8" s="11" t="s">
        <v>1049</v>
      </c>
      <c r="D8" s="11" t="s">
        <v>1050</v>
      </c>
      <c r="E8" s="11" t="s">
        <v>855</v>
      </c>
      <c r="G8" s="11" t="s">
        <v>1070</v>
      </c>
      <c r="H8" s="11" t="s">
        <v>213</v>
      </c>
      <c r="I8" s="11" t="s">
        <v>1060</v>
      </c>
      <c r="J8" s="11" t="s">
        <v>1065</v>
      </c>
      <c r="K8" s="11">
        <v>50.0</v>
      </c>
    </row>
    <row r="9" ht="22.5" customHeight="1">
      <c r="A9" s="100" t="s">
        <v>364</v>
      </c>
      <c r="B9" s="11" t="s">
        <v>1071</v>
      </c>
      <c r="C9" s="11" t="s">
        <v>1049</v>
      </c>
      <c r="D9" s="11" t="s">
        <v>1050</v>
      </c>
      <c r="E9" s="11" t="s">
        <v>855</v>
      </c>
      <c r="G9" s="11" t="s">
        <v>1073</v>
      </c>
      <c r="H9" s="11" t="s">
        <v>213</v>
      </c>
      <c r="I9" s="11" t="s">
        <v>855</v>
      </c>
      <c r="J9" s="11" t="s">
        <v>1065</v>
      </c>
      <c r="K9" s="11">
        <v>100.0</v>
      </c>
    </row>
    <row r="10" ht="22.5" customHeight="1">
      <c r="A10" s="98" t="s">
        <v>1074</v>
      </c>
      <c r="B10" s="11" t="s">
        <v>1069</v>
      </c>
      <c r="C10" s="11" t="s">
        <v>1049</v>
      </c>
      <c r="D10" s="11" t="s">
        <v>1050</v>
      </c>
      <c r="E10" s="11" t="s">
        <v>855</v>
      </c>
    </row>
    <row r="11" ht="22.5" customHeight="1">
      <c r="A11" s="100" t="s">
        <v>375</v>
      </c>
      <c r="B11" s="11" t="s">
        <v>1075</v>
      </c>
      <c r="C11" s="11" t="s">
        <v>1049</v>
      </c>
      <c r="D11" s="11" t="s">
        <v>1050</v>
      </c>
      <c r="E11" s="11" t="s">
        <v>855</v>
      </c>
    </row>
    <row r="12" ht="22.5" customHeight="1">
      <c r="A12" s="98" t="s">
        <v>388</v>
      </c>
      <c r="B12" s="11" t="s">
        <v>1076</v>
      </c>
      <c r="C12" s="11" t="s">
        <v>1049</v>
      </c>
      <c r="D12" s="11" t="s">
        <v>1050</v>
      </c>
      <c r="E12" s="11" t="s">
        <v>855</v>
      </c>
    </row>
    <row r="13" ht="22.5" customHeight="1">
      <c r="A13" s="100" t="s">
        <v>398</v>
      </c>
      <c r="B13" s="11" t="s">
        <v>1077</v>
      </c>
      <c r="C13" s="11" t="s">
        <v>1049</v>
      </c>
      <c r="D13" s="11" t="s">
        <v>1050</v>
      </c>
      <c r="E13" s="11" t="s">
        <v>855</v>
      </c>
    </row>
    <row r="14" ht="22.5" customHeight="1">
      <c r="A14" s="98" t="s">
        <v>406</v>
      </c>
      <c r="B14" s="11" t="s">
        <v>1078</v>
      </c>
      <c r="C14" s="11" t="s">
        <v>1049</v>
      </c>
      <c r="D14" s="11" t="s">
        <v>1050</v>
      </c>
      <c r="E14" s="11" t="s">
        <v>855</v>
      </c>
    </row>
    <row r="15" ht="22.5" customHeight="1">
      <c r="A15" s="100" t="s">
        <v>417</v>
      </c>
      <c r="B15" s="11" t="s">
        <v>1080</v>
      </c>
      <c r="C15" s="11" t="s">
        <v>1049</v>
      </c>
      <c r="D15" s="11" t="s">
        <v>1050</v>
      </c>
      <c r="E15" s="11" t="s">
        <v>855</v>
      </c>
    </row>
    <row r="16" ht="22.5" customHeight="1">
      <c r="A16" s="98" t="s">
        <v>427</v>
      </c>
      <c r="B16" s="11" t="s">
        <v>1081</v>
      </c>
      <c r="C16" s="11" t="s">
        <v>1049</v>
      </c>
      <c r="D16" s="11" t="s">
        <v>1050</v>
      </c>
      <c r="E16" s="11" t="s">
        <v>855</v>
      </c>
    </row>
    <row r="17" ht="22.5" customHeight="1">
      <c r="A17" s="100" t="s">
        <v>438</v>
      </c>
      <c r="B17" s="11" t="s">
        <v>1082</v>
      </c>
      <c r="C17" s="11" t="s">
        <v>1049</v>
      </c>
      <c r="D17" s="11" t="s">
        <v>1050</v>
      </c>
      <c r="E17" s="11" t="s">
        <v>855</v>
      </c>
    </row>
    <row r="18" ht="22.5" customHeight="1">
      <c r="A18" s="98" t="s">
        <v>448</v>
      </c>
      <c r="B18" s="11" t="s">
        <v>1083</v>
      </c>
      <c r="C18" s="11" t="s">
        <v>1049</v>
      </c>
      <c r="D18" s="11" t="s">
        <v>1050</v>
      </c>
      <c r="E18" s="11" t="s">
        <v>855</v>
      </c>
    </row>
    <row r="19" ht="22.5" customHeight="1">
      <c r="A19" s="100" t="s">
        <v>454</v>
      </c>
      <c r="B19" s="11" t="s">
        <v>1084</v>
      </c>
      <c r="C19" s="11" t="s">
        <v>1049</v>
      </c>
      <c r="D19" s="11" t="s">
        <v>1050</v>
      </c>
      <c r="E19" s="11" t="s">
        <v>855</v>
      </c>
    </row>
    <row r="20" ht="22.5" customHeight="1">
      <c r="A20" s="98" t="s">
        <v>461</v>
      </c>
      <c r="B20" s="11" t="s">
        <v>1085</v>
      </c>
      <c r="C20" s="11" t="s">
        <v>1049</v>
      </c>
      <c r="D20" s="11" t="s">
        <v>1050</v>
      </c>
      <c r="E20" s="11" t="s">
        <v>855</v>
      </c>
    </row>
    <row r="21" ht="22.5" customHeight="1">
      <c r="A21" s="100" t="s">
        <v>468</v>
      </c>
      <c r="B21" s="11" t="s">
        <v>1086</v>
      </c>
      <c r="C21" s="11" t="s">
        <v>1049</v>
      </c>
      <c r="D21" s="11" t="s">
        <v>1050</v>
      </c>
      <c r="E21" s="11" t="s">
        <v>855</v>
      </c>
    </row>
    <row r="22" ht="22.5" customHeight="1">
      <c r="A22" s="98" t="s">
        <v>476</v>
      </c>
      <c r="B22" s="11" t="s">
        <v>1089</v>
      </c>
      <c r="C22" s="11" t="s">
        <v>1049</v>
      </c>
      <c r="D22" s="11" t="s">
        <v>1050</v>
      </c>
      <c r="E22" s="11" t="s">
        <v>855</v>
      </c>
    </row>
    <row r="23" ht="22.5" customHeight="1">
      <c r="A23" s="100" t="s">
        <v>482</v>
      </c>
      <c r="B23" s="11" t="s">
        <v>1083</v>
      </c>
      <c r="C23" s="11" t="s">
        <v>1049</v>
      </c>
      <c r="D23" s="11" t="s">
        <v>1050</v>
      </c>
      <c r="E23" s="11" t="s">
        <v>855</v>
      </c>
    </row>
    <row r="24" ht="22.5" customHeight="1">
      <c r="A24" s="98" t="s">
        <v>489</v>
      </c>
      <c r="B24" s="11" t="s">
        <v>1090</v>
      </c>
      <c r="C24" s="11" t="s">
        <v>1049</v>
      </c>
      <c r="D24" s="11" t="s">
        <v>1050</v>
      </c>
      <c r="E24" s="11" t="s">
        <v>855</v>
      </c>
    </row>
    <row r="25" ht="22.5" customHeight="1">
      <c r="A25" s="100" t="s">
        <v>502</v>
      </c>
      <c r="B25" s="11" t="s">
        <v>1091</v>
      </c>
      <c r="C25" s="11" t="s">
        <v>1049</v>
      </c>
      <c r="D25" s="11" t="s">
        <v>1050</v>
      </c>
      <c r="E25" s="11" t="s">
        <v>855</v>
      </c>
    </row>
    <row r="26" ht="22.5" customHeight="1">
      <c r="A26" s="98" t="s">
        <v>512</v>
      </c>
      <c r="B26" s="11" t="s">
        <v>1092</v>
      </c>
      <c r="C26" s="11" t="s">
        <v>1049</v>
      </c>
      <c r="D26" s="11" t="s">
        <v>1050</v>
      </c>
      <c r="E26" s="11" t="s">
        <v>855</v>
      </c>
    </row>
    <row r="27" ht="22.5" customHeight="1">
      <c r="A27" s="100" t="s">
        <v>521</v>
      </c>
      <c r="B27" s="11" t="s">
        <v>1093</v>
      </c>
      <c r="C27" s="11" t="s">
        <v>1049</v>
      </c>
      <c r="D27" s="11" t="s">
        <v>1050</v>
      </c>
      <c r="E27" s="11" t="s">
        <v>855</v>
      </c>
    </row>
    <row r="28" ht="22.5" customHeight="1">
      <c r="A28" s="98" t="s">
        <v>529</v>
      </c>
      <c r="B28" s="11" t="s">
        <v>1097</v>
      </c>
      <c r="C28" s="11" t="s">
        <v>1049</v>
      </c>
      <c r="D28" s="11" t="s">
        <v>1050</v>
      </c>
      <c r="E28" s="11" t="s">
        <v>855</v>
      </c>
    </row>
    <row r="29" ht="22.5" customHeight="1">
      <c r="A29" s="100" t="s">
        <v>542</v>
      </c>
      <c r="B29" s="11" t="s">
        <v>1098</v>
      </c>
      <c r="C29" s="11" t="s">
        <v>1049</v>
      </c>
      <c r="D29" s="11" t="s">
        <v>1050</v>
      </c>
      <c r="E29" s="11" t="s">
        <v>855</v>
      </c>
    </row>
    <row r="30" ht="22.5" customHeight="1">
      <c r="A30" s="98" t="s">
        <v>549</v>
      </c>
      <c r="B30" s="11" t="s">
        <v>1083</v>
      </c>
      <c r="C30" s="11" t="s">
        <v>1049</v>
      </c>
      <c r="D30" s="11" t="s">
        <v>1050</v>
      </c>
      <c r="E30" s="11" t="s">
        <v>855</v>
      </c>
    </row>
    <row r="31" ht="22.5" customHeight="1">
      <c r="A31" s="100" t="s">
        <v>555</v>
      </c>
      <c r="B31" s="11" t="s">
        <v>882</v>
      </c>
      <c r="C31" s="11" t="s">
        <v>1049</v>
      </c>
      <c r="D31" s="11" t="s">
        <v>1050</v>
      </c>
      <c r="E31" s="11" t="s">
        <v>855</v>
      </c>
    </row>
    <row r="32" ht="22.5" customHeight="1">
      <c r="A32" s="98" t="s">
        <v>560</v>
      </c>
      <c r="B32" s="11" t="s">
        <v>1100</v>
      </c>
      <c r="C32" s="11" t="s">
        <v>1049</v>
      </c>
      <c r="D32" s="11" t="s">
        <v>1050</v>
      </c>
      <c r="E32" s="11" t="s">
        <v>855</v>
      </c>
    </row>
    <row r="33" ht="22.5" customHeight="1">
      <c r="A33" s="100" t="s">
        <v>568</v>
      </c>
      <c r="B33" s="11" t="s">
        <v>1102</v>
      </c>
      <c r="C33" s="11" t="s">
        <v>1049</v>
      </c>
      <c r="D33" s="11" t="s">
        <v>1050</v>
      </c>
      <c r="E33" s="11" t="s">
        <v>855</v>
      </c>
    </row>
    <row r="34" ht="22.5" customHeight="1">
      <c r="A34" s="98" t="s">
        <v>577</v>
      </c>
      <c r="B34" s="11" t="s">
        <v>1085</v>
      </c>
      <c r="C34" s="11" t="s">
        <v>1049</v>
      </c>
      <c r="D34" s="11" t="s">
        <v>1050</v>
      </c>
      <c r="E34" s="11" t="s">
        <v>855</v>
      </c>
    </row>
    <row r="35" ht="22.5" customHeight="1">
      <c r="A35" s="100" t="s">
        <v>582</v>
      </c>
      <c r="B35" s="11" t="s">
        <v>1083</v>
      </c>
      <c r="C35" s="11" t="s">
        <v>1049</v>
      </c>
      <c r="D35" s="11" t="s">
        <v>1050</v>
      </c>
      <c r="E35" s="11" t="s">
        <v>855</v>
      </c>
    </row>
    <row r="36" ht="22.5" customHeight="1">
      <c r="A36" s="98" t="s">
        <v>589</v>
      </c>
      <c r="B36" s="11" t="s">
        <v>1103</v>
      </c>
      <c r="C36" s="11" t="s">
        <v>1049</v>
      </c>
      <c r="D36" s="11" t="s">
        <v>1050</v>
      </c>
      <c r="E36" s="11" t="s">
        <v>855</v>
      </c>
    </row>
    <row r="37" ht="22.5" customHeight="1">
      <c r="A37" s="100" t="s">
        <v>598</v>
      </c>
      <c r="B37" s="11" t="s">
        <v>1104</v>
      </c>
      <c r="C37" s="11" t="s">
        <v>1049</v>
      </c>
      <c r="D37" s="11" t="s">
        <v>1050</v>
      </c>
      <c r="E37" s="11" t="s">
        <v>855</v>
      </c>
    </row>
    <row r="38" ht="22.5" customHeight="1">
      <c r="A38" s="98" t="s">
        <v>607</v>
      </c>
      <c r="B38" s="11" t="s">
        <v>1105</v>
      </c>
      <c r="C38" s="11" t="s">
        <v>1049</v>
      </c>
      <c r="D38" s="11" t="s">
        <v>1050</v>
      </c>
      <c r="E38" s="11" t="s">
        <v>855</v>
      </c>
    </row>
    <row r="39" ht="22.5" customHeight="1">
      <c r="A39" s="100" t="s">
        <v>408</v>
      </c>
      <c r="B39" s="11" t="s">
        <v>1106</v>
      </c>
      <c r="C39" s="11" t="s">
        <v>1049</v>
      </c>
      <c r="D39" s="11" t="s">
        <v>1050</v>
      </c>
      <c r="E39" s="11" t="s">
        <v>855</v>
      </c>
    </row>
    <row r="40" ht="22.5" customHeight="1">
      <c r="A40" s="98" t="s">
        <v>400</v>
      </c>
      <c r="B40" s="11" t="s">
        <v>1107</v>
      </c>
      <c r="C40" s="11" t="s">
        <v>1049</v>
      </c>
      <c r="D40" s="11" t="s">
        <v>1050</v>
      </c>
      <c r="E40" s="11" t="s">
        <v>855</v>
      </c>
    </row>
    <row r="41" ht="22.5" customHeight="1">
      <c r="A41" s="100" t="s">
        <v>308</v>
      </c>
      <c r="B41" s="11" t="s">
        <v>1108</v>
      </c>
      <c r="C41" s="11" t="s">
        <v>1049</v>
      </c>
      <c r="D41" s="11" t="s">
        <v>1050</v>
      </c>
      <c r="E41" s="11" t="s">
        <v>855</v>
      </c>
    </row>
    <row r="42" ht="22.5" customHeight="1">
      <c r="A42" s="98" t="s">
        <v>322</v>
      </c>
      <c r="B42" s="11" t="s">
        <v>1109</v>
      </c>
      <c r="C42" s="11" t="s">
        <v>1049</v>
      </c>
      <c r="D42" s="11" t="s">
        <v>1050</v>
      </c>
      <c r="E42" s="11" t="s">
        <v>855</v>
      </c>
    </row>
    <row r="43" ht="22.5" customHeight="1">
      <c r="A43" s="100" t="s">
        <v>340</v>
      </c>
      <c r="B43" s="11" t="s">
        <v>1110</v>
      </c>
      <c r="C43" s="11" t="s">
        <v>1049</v>
      </c>
      <c r="D43" s="11" t="s">
        <v>1050</v>
      </c>
      <c r="E43" s="11" t="s">
        <v>855</v>
      </c>
    </row>
    <row r="44" ht="22.5" customHeight="1">
      <c r="A44" s="98" t="s">
        <v>348</v>
      </c>
      <c r="B44" s="11" t="s">
        <v>1111</v>
      </c>
      <c r="C44" s="11" t="s">
        <v>1049</v>
      </c>
      <c r="D44" s="11" t="s">
        <v>1050</v>
      </c>
      <c r="E44" s="11" t="s">
        <v>855</v>
      </c>
    </row>
    <row r="45" ht="22.5" customHeight="1">
      <c r="A45" s="100" t="s">
        <v>357</v>
      </c>
      <c r="B45" s="11" t="s">
        <v>1114</v>
      </c>
      <c r="C45" s="11" t="s">
        <v>1049</v>
      </c>
      <c r="D45" s="11" t="s">
        <v>1050</v>
      </c>
      <c r="E45" s="11" t="s">
        <v>855</v>
      </c>
    </row>
    <row r="46" ht="22.5" customHeight="1">
      <c r="A46" s="98" t="s">
        <v>370</v>
      </c>
      <c r="B46" s="11" t="s">
        <v>1115</v>
      </c>
      <c r="C46" s="11" t="s">
        <v>1049</v>
      </c>
      <c r="D46" s="11" t="s">
        <v>1050</v>
      </c>
      <c r="E46" s="11" t="s">
        <v>855</v>
      </c>
    </row>
    <row r="47" ht="22.5" customHeight="1">
      <c r="A47" s="100" t="s">
        <v>374</v>
      </c>
      <c r="B47" s="11" t="s">
        <v>1116</v>
      </c>
      <c r="C47" s="11" t="s">
        <v>1049</v>
      </c>
      <c r="D47" s="11" t="s">
        <v>1050</v>
      </c>
      <c r="E47" s="11" t="s">
        <v>855</v>
      </c>
    </row>
    <row r="48" ht="22.5" customHeight="1">
      <c r="A48" s="98" t="s">
        <v>384</v>
      </c>
      <c r="B48" s="11" t="s">
        <v>1117</v>
      </c>
      <c r="C48" s="11" t="s">
        <v>1049</v>
      </c>
      <c r="D48" s="11" t="s">
        <v>1050</v>
      </c>
      <c r="E48" s="11" t="s">
        <v>855</v>
      </c>
    </row>
    <row r="49" ht="22.5" customHeight="1">
      <c r="A49" s="100" t="s">
        <v>660</v>
      </c>
      <c r="B49" s="11" t="s">
        <v>1118</v>
      </c>
      <c r="C49" s="11" t="s">
        <v>1049</v>
      </c>
      <c r="D49" s="11" t="s">
        <v>1050</v>
      </c>
      <c r="E49" s="11" t="s">
        <v>855</v>
      </c>
    </row>
    <row r="50" ht="22.5" customHeight="1">
      <c r="A50" s="98" t="s">
        <v>684</v>
      </c>
      <c r="B50" s="11" t="s">
        <v>1069</v>
      </c>
      <c r="C50" s="11" t="s">
        <v>1049</v>
      </c>
      <c r="D50" s="11" t="s">
        <v>1050</v>
      </c>
      <c r="E50" s="11" t="s">
        <v>855</v>
      </c>
    </row>
    <row r="51" ht="22.5" customHeight="1">
      <c r="A51" s="100" t="s">
        <v>688</v>
      </c>
      <c r="B51" s="11" t="s">
        <v>1119</v>
      </c>
      <c r="C51" s="11" t="s">
        <v>1049</v>
      </c>
      <c r="D51" s="11" t="s">
        <v>1050</v>
      </c>
      <c r="E51" s="11" t="s">
        <v>855</v>
      </c>
    </row>
    <row r="52" ht="22.5" customHeight="1">
      <c r="A52" s="98" t="s">
        <v>394</v>
      </c>
      <c r="B52" s="11" t="s">
        <v>1120</v>
      </c>
      <c r="C52" s="11" t="s">
        <v>1049</v>
      </c>
      <c r="D52" s="11" t="s">
        <v>1050</v>
      </c>
      <c r="E52" s="11" t="s">
        <v>855</v>
      </c>
    </row>
    <row r="53" ht="22.5" customHeight="1">
      <c r="A53" s="100" t="s">
        <v>413</v>
      </c>
      <c r="B53" s="11" t="s">
        <v>1121</v>
      </c>
      <c r="C53" s="11" t="s">
        <v>1049</v>
      </c>
      <c r="D53" s="11" t="s">
        <v>1050</v>
      </c>
      <c r="E53" s="11" t="s">
        <v>855</v>
      </c>
    </row>
    <row r="54" ht="22.5" customHeight="1">
      <c r="A54" s="98" t="s">
        <v>705</v>
      </c>
      <c r="B54" s="11" t="s">
        <v>1122</v>
      </c>
      <c r="C54" s="11" t="s">
        <v>1049</v>
      </c>
      <c r="D54" s="11" t="s">
        <v>1050</v>
      </c>
      <c r="E54" s="11" t="s">
        <v>855</v>
      </c>
    </row>
    <row r="55" ht="22.5" customHeight="1">
      <c r="A55" s="100" t="s">
        <v>443</v>
      </c>
      <c r="B55" s="11" t="s">
        <v>1123</v>
      </c>
      <c r="C55" s="11" t="s">
        <v>1049</v>
      </c>
      <c r="D55" s="11" t="s">
        <v>1050</v>
      </c>
      <c r="E55" s="11" t="s">
        <v>855</v>
      </c>
    </row>
    <row r="56" ht="22.5" customHeight="1">
      <c r="A56" s="98" t="s">
        <v>717</v>
      </c>
      <c r="B56" s="11" t="s">
        <v>1069</v>
      </c>
      <c r="C56" s="11" t="s">
        <v>1049</v>
      </c>
      <c r="D56" s="11" t="s">
        <v>1050</v>
      </c>
      <c r="E56" s="11" t="s">
        <v>855</v>
      </c>
    </row>
    <row r="57" ht="22.5" customHeight="1">
      <c r="A57" s="100" t="s">
        <v>721</v>
      </c>
      <c r="B57" s="11" t="s">
        <v>1124</v>
      </c>
      <c r="C57" s="11" t="s">
        <v>1049</v>
      </c>
      <c r="D57" s="11" t="s">
        <v>1050</v>
      </c>
      <c r="E57" s="11" t="s">
        <v>855</v>
      </c>
    </row>
    <row r="58" ht="22.5" customHeight="1">
      <c r="A58" s="98" t="s">
        <v>726</v>
      </c>
      <c r="B58" s="11" t="s">
        <v>1125</v>
      </c>
      <c r="C58" s="11" t="s">
        <v>1049</v>
      </c>
      <c r="D58" s="11" t="s">
        <v>1050</v>
      </c>
      <c r="E58" s="11" t="s">
        <v>855</v>
      </c>
    </row>
    <row r="59" ht="22.5" customHeight="1">
      <c r="A59" s="100" t="s">
        <v>732</v>
      </c>
      <c r="B59" s="11" t="s">
        <v>1061</v>
      </c>
      <c r="C59" s="11" t="s">
        <v>1049</v>
      </c>
      <c r="D59" s="11" t="s">
        <v>1050</v>
      </c>
      <c r="E59" s="11" t="s">
        <v>855</v>
      </c>
    </row>
    <row r="60" ht="22.5" customHeight="1">
      <c r="A60" s="98" t="s">
        <v>739</v>
      </c>
      <c r="B60" s="11" t="s">
        <v>940</v>
      </c>
      <c r="C60" s="11" t="s">
        <v>1049</v>
      </c>
      <c r="D60" s="11" t="s">
        <v>1050</v>
      </c>
      <c r="E60" s="11" t="s">
        <v>855</v>
      </c>
    </row>
    <row r="61" ht="22.5" customHeight="1">
      <c r="A61" s="100" t="s">
        <v>747</v>
      </c>
      <c r="B61" s="11" t="s">
        <v>1048</v>
      </c>
      <c r="C61" s="11" t="s">
        <v>1049</v>
      </c>
      <c r="D61" s="11" t="s">
        <v>1050</v>
      </c>
      <c r="E61" s="11" t="s">
        <v>855</v>
      </c>
    </row>
    <row r="62" ht="22.5" customHeight="1">
      <c r="A62" s="98" t="s">
        <v>698</v>
      </c>
      <c r="B62" s="11" t="s">
        <v>879</v>
      </c>
      <c r="C62" s="11" t="s">
        <v>1049</v>
      </c>
      <c r="D62" s="11" t="s">
        <v>1050</v>
      </c>
      <c r="E62" s="11" t="s">
        <v>855</v>
      </c>
    </row>
    <row r="63" ht="22.5" customHeight="1">
      <c r="A63" s="100" t="s">
        <v>761</v>
      </c>
      <c r="B63" s="11" t="s">
        <v>1069</v>
      </c>
      <c r="C63" s="11" t="s">
        <v>1049</v>
      </c>
      <c r="D63" s="11" t="s">
        <v>1050</v>
      </c>
      <c r="E63" s="11" t="s">
        <v>855</v>
      </c>
    </row>
    <row r="64" ht="22.5" customHeight="1">
      <c r="A64" s="98" t="s">
        <v>768</v>
      </c>
      <c r="B64" s="11" t="s">
        <v>1127</v>
      </c>
      <c r="C64" s="11" t="s">
        <v>1049</v>
      </c>
      <c r="D64" s="11" t="s">
        <v>1050</v>
      </c>
      <c r="E64" s="11" t="s">
        <v>855</v>
      </c>
    </row>
    <row r="65" ht="22.5" customHeight="1">
      <c r="A65" s="100" t="s">
        <v>433</v>
      </c>
      <c r="B65" s="11" t="s">
        <v>1128</v>
      </c>
      <c r="C65" s="11" t="s">
        <v>1049</v>
      </c>
      <c r="D65" s="11" t="s">
        <v>1050</v>
      </c>
      <c r="E65" s="11" t="s">
        <v>855</v>
      </c>
    </row>
    <row r="66" ht="22.5" customHeight="1">
      <c r="A66" s="98" t="s">
        <v>422</v>
      </c>
      <c r="B66" s="11" t="s">
        <v>1129</v>
      </c>
      <c r="C66" s="11" t="s">
        <v>1049</v>
      </c>
      <c r="D66" s="11" t="s">
        <v>1050</v>
      </c>
      <c r="E66" s="11" t="s">
        <v>855</v>
      </c>
    </row>
    <row r="67" ht="22.5" customHeight="1">
      <c r="A67" s="100" t="s">
        <v>794</v>
      </c>
      <c r="B67" s="11" t="s">
        <v>1130</v>
      </c>
      <c r="C67" s="11" t="s">
        <v>1049</v>
      </c>
      <c r="D67" s="11" t="s">
        <v>1050</v>
      </c>
      <c r="E67" s="11" t="s">
        <v>855</v>
      </c>
    </row>
    <row r="68" ht="22.5" customHeight="1">
      <c r="A68" s="98" t="s">
        <v>801</v>
      </c>
      <c r="B68" s="11" t="s">
        <v>1130</v>
      </c>
      <c r="C68" s="11" t="s">
        <v>1049</v>
      </c>
      <c r="D68" s="11" t="s">
        <v>1050</v>
      </c>
      <c r="E68" s="11" t="s">
        <v>855</v>
      </c>
    </row>
    <row r="69" ht="22.5" customHeight="1">
      <c r="A69" s="100" t="s">
        <v>808</v>
      </c>
      <c r="B69" s="11" t="s">
        <v>1131</v>
      </c>
      <c r="C69" s="11" t="s">
        <v>1049</v>
      </c>
      <c r="D69" s="11" t="s">
        <v>1050</v>
      </c>
      <c r="E69" s="11" t="s">
        <v>855</v>
      </c>
    </row>
    <row r="70" ht="22.5" customHeight="1">
      <c r="A70" s="98" t="s">
        <v>720</v>
      </c>
      <c r="B70" s="11" t="s">
        <v>1106</v>
      </c>
      <c r="C70" s="11" t="s">
        <v>1049</v>
      </c>
      <c r="D70" s="11" t="s">
        <v>1050</v>
      </c>
      <c r="E70" s="11" t="s">
        <v>855</v>
      </c>
    </row>
    <row r="71" ht="22.5" customHeight="1">
      <c r="A71" s="100" t="s">
        <v>824</v>
      </c>
      <c r="B71" s="11" t="s">
        <v>1132</v>
      </c>
      <c r="C71" s="11" t="s">
        <v>1049</v>
      </c>
      <c r="D71" s="11" t="s">
        <v>1050</v>
      </c>
      <c r="E71" s="11" t="s">
        <v>855</v>
      </c>
    </row>
    <row r="72" ht="22.5" customHeight="1">
      <c r="A72" s="98" t="s">
        <v>828</v>
      </c>
      <c r="B72" s="11" t="s">
        <v>1069</v>
      </c>
      <c r="C72" s="11" t="s">
        <v>1049</v>
      </c>
      <c r="D72" s="11" t="s">
        <v>1050</v>
      </c>
      <c r="E72" s="11" t="s">
        <v>855</v>
      </c>
    </row>
    <row r="73" ht="22.5" customHeight="1">
      <c r="A73" s="100" t="s">
        <v>1133</v>
      </c>
      <c r="B73" s="11" t="s">
        <v>1130</v>
      </c>
      <c r="C73" s="11" t="s">
        <v>1049</v>
      </c>
      <c r="D73" s="11" t="s">
        <v>1050</v>
      </c>
      <c r="E73" s="11" t="s">
        <v>855</v>
      </c>
    </row>
    <row r="74" ht="22.5" customHeight="1">
      <c r="A74" s="98" t="s">
        <v>1134</v>
      </c>
      <c r="B74" s="11" t="s">
        <v>1071</v>
      </c>
      <c r="C74" s="11" t="s">
        <v>1049</v>
      </c>
      <c r="D74" s="11" t="s">
        <v>1135</v>
      </c>
      <c r="E74" s="11" t="s">
        <v>855</v>
      </c>
    </row>
    <row r="75" ht="22.5" customHeight="1">
      <c r="A75" s="100" t="s">
        <v>1136</v>
      </c>
      <c r="B75" s="11" t="s">
        <v>1075</v>
      </c>
      <c r="C75" s="11" t="s">
        <v>1049</v>
      </c>
      <c r="D75" s="11" t="s">
        <v>1135</v>
      </c>
      <c r="E75" s="11" t="s">
        <v>855</v>
      </c>
    </row>
    <row r="76" ht="22.5" customHeight="1">
      <c r="A76" s="98" t="s">
        <v>1137</v>
      </c>
      <c r="B76" s="11" t="s">
        <v>1069</v>
      </c>
      <c r="C76" s="11" t="s">
        <v>1049</v>
      </c>
      <c r="D76" s="11" t="s">
        <v>1135</v>
      </c>
      <c r="E76" s="11" t="s">
        <v>855</v>
      </c>
    </row>
    <row r="77" ht="22.5" customHeight="1">
      <c r="A77" s="100" t="s">
        <v>1139</v>
      </c>
      <c r="B77" s="11" t="s">
        <v>1048</v>
      </c>
      <c r="C77" s="11" t="s">
        <v>1049</v>
      </c>
      <c r="D77" s="11" t="s">
        <v>1135</v>
      </c>
      <c r="E77" s="11" t="s">
        <v>855</v>
      </c>
    </row>
    <row r="78" ht="22.5" customHeight="1">
      <c r="A78" s="98" t="s">
        <v>1140</v>
      </c>
      <c r="B78" s="11" t="s">
        <v>1141</v>
      </c>
      <c r="C78" s="11" t="s">
        <v>1049</v>
      </c>
      <c r="D78" s="11" t="s">
        <v>1135</v>
      </c>
      <c r="E78" s="11" t="s">
        <v>855</v>
      </c>
    </row>
    <row r="79" ht="22.5" customHeight="1">
      <c r="A79" s="100" t="s">
        <v>1142</v>
      </c>
      <c r="B79" s="11" t="s">
        <v>1066</v>
      </c>
      <c r="C79" s="11" t="s">
        <v>1049</v>
      </c>
      <c r="D79" s="11" t="s">
        <v>1135</v>
      </c>
      <c r="E79" s="11" t="s">
        <v>855</v>
      </c>
    </row>
    <row r="80" ht="22.5" customHeight="1">
      <c r="A80" s="98" t="s">
        <v>1143</v>
      </c>
      <c r="B80" s="11" t="s">
        <v>1077</v>
      </c>
      <c r="C80" s="11" t="s">
        <v>1049</v>
      </c>
      <c r="D80" s="11" t="s">
        <v>1135</v>
      </c>
      <c r="E80" s="11" t="s">
        <v>855</v>
      </c>
    </row>
    <row r="81" ht="22.5" customHeight="1">
      <c r="A81" s="100" t="s">
        <v>1144</v>
      </c>
      <c r="B81" s="11" t="s">
        <v>1069</v>
      </c>
      <c r="C81" s="11" t="s">
        <v>1049</v>
      </c>
      <c r="D81" s="11" t="s">
        <v>1135</v>
      </c>
      <c r="E81" s="11" t="s">
        <v>855</v>
      </c>
    </row>
    <row r="82" ht="22.5" customHeight="1">
      <c r="A82" s="98" t="s">
        <v>1145</v>
      </c>
      <c r="B82" s="11" t="s">
        <v>1146</v>
      </c>
      <c r="C82" s="11" t="s">
        <v>1049</v>
      </c>
      <c r="D82" s="11" t="s">
        <v>1135</v>
      </c>
      <c r="E82" s="11" t="s">
        <v>855</v>
      </c>
    </row>
    <row r="83" ht="22.5" customHeight="1">
      <c r="A83" s="100" t="s">
        <v>1147</v>
      </c>
      <c r="B83" s="11" t="s">
        <v>1048</v>
      </c>
      <c r="C83" s="11" t="s">
        <v>1049</v>
      </c>
      <c r="D83" s="11" t="s">
        <v>1135</v>
      </c>
      <c r="E83" s="11" t="s">
        <v>855</v>
      </c>
    </row>
    <row r="84" ht="22.5" customHeight="1">
      <c r="A84" s="98" t="s">
        <v>173</v>
      </c>
      <c r="B84" s="11" t="s">
        <v>1148</v>
      </c>
      <c r="C84" s="11" t="s">
        <v>1049</v>
      </c>
      <c r="D84" s="11" t="s">
        <v>1135</v>
      </c>
      <c r="E84" s="11" t="s">
        <v>855</v>
      </c>
    </row>
    <row r="85" ht="22.5" customHeight="1">
      <c r="A85" s="100" t="s">
        <v>1149</v>
      </c>
      <c r="B85" s="11" t="s">
        <v>1048</v>
      </c>
      <c r="C85" s="11" t="s">
        <v>1049</v>
      </c>
      <c r="D85" s="11" t="s">
        <v>1135</v>
      </c>
      <c r="E85" s="11" t="s">
        <v>855</v>
      </c>
    </row>
    <row r="86" ht="22.5" customHeight="1">
      <c r="A86" s="98" t="s">
        <v>179</v>
      </c>
      <c r="B86" s="11" t="s">
        <v>1150</v>
      </c>
      <c r="C86" s="11" t="s">
        <v>1049</v>
      </c>
      <c r="D86" s="11" t="s">
        <v>1135</v>
      </c>
      <c r="E86" s="11" t="s">
        <v>855</v>
      </c>
    </row>
    <row r="87" ht="22.5" customHeight="1">
      <c r="A87" s="100" t="s">
        <v>1151</v>
      </c>
      <c r="B87" s="11" t="s">
        <v>1127</v>
      </c>
      <c r="C87" s="11" t="s">
        <v>1049</v>
      </c>
      <c r="D87" s="11" t="s">
        <v>1135</v>
      </c>
      <c r="E87" s="11" t="s">
        <v>855</v>
      </c>
    </row>
    <row r="88" ht="22.5" customHeight="1">
      <c r="A88" s="98" t="s">
        <v>1152</v>
      </c>
      <c r="B88" s="11" t="s">
        <v>1048</v>
      </c>
      <c r="C88" s="11" t="s">
        <v>1049</v>
      </c>
      <c r="D88" s="11" t="s">
        <v>1135</v>
      </c>
      <c r="E88" s="11" t="s">
        <v>855</v>
      </c>
    </row>
    <row r="89" ht="22.5" customHeight="1">
      <c r="A89" s="100" t="s">
        <v>1153</v>
      </c>
      <c r="B89" s="11" t="s">
        <v>1069</v>
      </c>
      <c r="C89" s="11" t="s">
        <v>1049</v>
      </c>
      <c r="D89" s="11" t="s">
        <v>1135</v>
      </c>
      <c r="E89" s="11" t="s">
        <v>855</v>
      </c>
    </row>
    <row r="90" ht="22.5" customHeight="1">
      <c r="A90" s="98" t="s">
        <v>1154</v>
      </c>
      <c r="B90" s="11" t="s">
        <v>1048</v>
      </c>
      <c r="C90" s="11" t="s">
        <v>1049</v>
      </c>
      <c r="D90" s="11" t="s">
        <v>1135</v>
      </c>
      <c r="E90" s="11" t="s">
        <v>855</v>
      </c>
    </row>
    <row r="91" ht="22.5" customHeight="1">
      <c r="A91" s="100" t="s">
        <v>1155</v>
      </c>
      <c r="B91" s="11" t="s">
        <v>1069</v>
      </c>
      <c r="C91" s="11" t="s">
        <v>1049</v>
      </c>
      <c r="D91" s="11" t="s">
        <v>1135</v>
      </c>
      <c r="E91" s="11" t="s">
        <v>855</v>
      </c>
    </row>
    <row r="92" ht="22.5" customHeight="1">
      <c r="A92" s="98" t="s">
        <v>463</v>
      </c>
      <c r="B92" s="11" t="s">
        <v>887</v>
      </c>
      <c r="C92" s="11" t="s">
        <v>1049</v>
      </c>
      <c r="D92" s="11" t="s">
        <v>1135</v>
      </c>
      <c r="E92" s="11" t="s">
        <v>855</v>
      </c>
    </row>
    <row r="93" ht="22.5" customHeight="1">
      <c r="A93" s="100" t="s">
        <v>471</v>
      </c>
      <c r="B93" s="11" t="s">
        <v>1156</v>
      </c>
      <c r="C93" s="11" t="s">
        <v>1049</v>
      </c>
      <c r="D93" s="11" t="s">
        <v>1135</v>
      </c>
      <c r="E93" s="11" t="s">
        <v>855</v>
      </c>
    </row>
    <row r="94" ht="22.5" customHeight="1">
      <c r="A94" s="98" t="s">
        <v>187</v>
      </c>
      <c r="B94" s="11" t="s">
        <v>1159</v>
      </c>
      <c r="C94" s="11" t="s">
        <v>1049</v>
      </c>
      <c r="D94" s="11" t="s">
        <v>1135</v>
      </c>
      <c r="E94" s="11" t="s">
        <v>855</v>
      </c>
    </row>
    <row r="95" ht="22.5" customHeight="1">
      <c r="A95" s="100" t="s">
        <v>249</v>
      </c>
      <c r="B95" s="11" t="s">
        <v>895</v>
      </c>
      <c r="C95" s="11" t="s">
        <v>1049</v>
      </c>
      <c r="D95" s="11" t="s">
        <v>1135</v>
      </c>
      <c r="E95" s="11" t="s">
        <v>855</v>
      </c>
    </row>
    <row r="96" ht="22.5" customHeight="1">
      <c r="A96" s="98" t="s">
        <v>492</v>
      </c>
      <c r="B96" s="11" t="s">
        <v>896</v>
      </c>
      <c r="C96" s="11" t="s">
        <v>1049</v>
      </c>
      <c r="D96" s="11" t="s">
        <v>1135</v>
      </c>
      <c r="E96" s="11" t="s">
        <v>855</v>
      </c>
    </row>
    <row r="97" ht="22.5" customHeight="1">
      <c r="A97" s="100" t="s">
        <v>498</v>
      </c>
      <c r="B97" s="11" t="s">
        <v>897</v>
      </c>
      <c r="C97" s="11" t="s">
        <v>1049</v>
      </c>
      <c r="D97" s="11" t="s">
        <v>1135</v>
      </c>
      <c r="E97" s="11" t="s">
        <v>855</v>
      </c>
    </row>
    <row r="98" ht="22.5" customHeight="1">
      <c r="A98" s="98" t="s">
        <v>505</v>
      </c>
      <c r="B98" s="11" t="s">
        <v>899</v>
      </c>
      <c r="C98" s="11" t="s">
        <v>1049</v>
      </c>
      <c r="D98" s="11" t="s">
        <v>1135</v>
      </c>
      <c r="E98" s="11" t="s">
        <v>855</v>
      </c>
    </row>
    <row r="99" ht="22.5" customHeight="1">
      <c r="A99" s="100" t="s">
        <v>195</v>
      </c>
      <c r="B99" s="11" t="s">
        <v>1160</v>
      </c>
      <c r="C99" s="11" t="s">
        <v>1049</v>
      </c>
      <c r="D99" s="11" t="s">
        <v>1135</v>
      </c>
      <c r="E99" s="11" t="s">
        <v>855</v>
      </c>
    </row>
    <row r="100" ht="22.5" customHeight="1">
      <c r="A100" s="98" t="s">
        <v>208</v>
      </c>
      <c r="B100" s="11" t="s">
        <v>1161</v>
      </c>
      <c r="C100" s="11" t="s">
        <v>1049</v>
      </c>
      <c r="D100" s="11" t="s">
        <v>1135</v>
      </c>
      <c r="E100" s="11" t="s">
        <v>855</v>
      </c>
    </row>
    <row r="101" ht="22.5" customHeight="1">
      <c r="A101" s="100" t="s">
        <v>533</v>
      </c>
      <c r="B101" s="11" t="s">
        <v>903</v>
      </c>
      <c r="C101" s="11" t="s">
        <v>1049</v>
      </c>
      <c r="D101" s="11" t="s">
        <v>1135</v>
      </c>
      <c r="E101" s="11" t="s">
        <v>855</v>
      </c>
    </row>
    <row r="102" ht="22.5" customHeight="1">
      <c r="A102" s="98" t="s">
        <v>1163</v>
      </c>
      <c r="B102" s="11" t="s">
        <v>1055</v>
      </c>
      <c r="C102" s="11" t="s">
        <v>1049</v>
      </c>
      <c r="D102" s="11" t="s">
        <v>1135</v>
      </c>
      <c r="E102" s="11" t="s">
        <v>855</v>
      </c>
    </row>
    <row r="103" ht="22.5" customHeight="1">
      <c r="A103" s="100" t="s">
        <v>1164</v>
      </c>
      <c r="B103" s="11" t="s">
        <v>1048</v>
      </c>
      <c r="C103" s="11" t="s">
        <v>1049</v>
      </c>
      <c r="D103" s="11" t="s">
        <v>1135</v>
      </c>
      <c r="E103" s="11" t="s">
        <v>855</v>
      </c>
    </row>
    <row r="104" ht="22.5" customHeight="1">
      <c r="A104" s="98" t="s">
        <v>1165</v>
      </c>
      <c r="B104" s="11" t="s">
        <v>1069</v>
      </c>
      <c r="C104" s="11" t="s">
        <v>1049</v>
      </c>
      <c r="D104" s="11" t="s">
        <v>1135</v>
      </c>
      <c r="E104" s="11" t="s">
        <v>855</v>
      </c>
    </row>
    <row r="105" ht="22.5" customHeight="1">
      <c r="A105" s="100" t="s">
        <v>1166</v>
      </c>
      <c r="B105" s="11" t="s">
        <v>1167</v>
      </c>
      <c r="C105" s="11" t="s">
        <v>1049</v>
      </c>
      <c r="D105" s="11" t="s">
        <v>1135</v>
      </c>
      <c r="E105" s="11" t="s">
        <v>855</v>
      </c>
    </row>
    <row r="106" ht="22.5" customHeight="1">
      <c r="A106" s="98" t="s">
        <v>219</v>
      </c>
      <c r="B106" s="11" t="s">
        <v>220</v>
      </c>
      <c r="C106" s="11" t="s">
        <v>1049</v>
      </c>
      <c r="D106" s="11" t="s">
        <v>1135</v>
      </c>
      <c r="E106" s="11" t="s">
        <v>855</v>
      </c>
    </row>
    <row r="107" ht="22.5" customHeight="1">
      <c r="A107" s="100" t="s">
        <v>228</v>
      </c>
      <c r="B107" s="11" t="s">
        <v>229</v>
      </c>
      <c r="C107" s="11" t="s">
        <v>1049</v>
      </c>
      <c r="D107" s="11" t="s">
        <v>1135</v>
      </c>
      <c r="E107" s="11" t="s">
        <v>855</v>
      </c>
    </row>
    <row r="108" ht="22.5" customHeight="1">
      <c r="A108" s="98" t="s">
        <v>236</v>
      </c>
      <c r="B108" s="11" t="s">
        <v>237</v>
      </c>
      <c r="C108" s="11" t="s">
        <v>1049</v>
      </c>
      <c r="D108" s="11" t="s">
        <v>1135</v>
      </c>
      <c r="E108" s="11" t="s">
        <v>855</v>
      </c>
    </row>
    <row r="109" ht="22.5" customHeight="1">
      <c r="A109" s="100" t="s">
        <v>1168</v>
      </c>
      <c r="B109" s="11" t="s">
        <v>1169</v>
      </c>
      <c r="C109" s="11" t="s">
        <v>1049</v>
      </c>
      <c r="D109" s="11" t="s">
        <v>1135</v>
      </c>
      <c r="E109" s="11" t="s">
        <v>855</v>
      </c>
    </row>
    <row r="110" ht="22.5" customHeight="1">
      <c r="A110" s="98" t="s">
        <v>1170</v>
      </c>
      <c r="B110" s="11" t="s">
        <v>1048</v>
      </c>
      <c r="C110" s="11" t="s">
        <v>1049</v>
      </c>
      <c r="D110" s="11" t="s">
        <v>1135</v>
      </c>
      <c r="E110" s="11" t="s">
        <v>855</v>
      </c>
    </row>
    <row r="111" ht="22.5" customHeight="1">
      <c r="A111" s="100" t="s">
        <v>1171</v>
      </c>
      <c r="B111" s="11" t="s">
        <v>879</v>
      </c>
      <c r="C111" s="11" t="s">
        <v>1049</v>
      </c>
      <c r="D111" s="11" t="s">
        <v>1135</v>
      </c>
      <c r="E111" s="11" t="s">
        <v>855</v>
      </c>
    </row>
    <row r="112" ht="22.5" customHeight="1">
      <c r="A112" s="98" t="s">
        <v>1172</v>
      </c>
      <c r="B112" s="11" t="s">
        <v>940</v>
      </c>
      <c r="C112" s="11" t="s">
        <v>1049</v>
      </c>
      <c r="D112" s="11" t="s">
        <v>1135</v>
      </c>
      <c r="E112" s="11" t="s">
        <v>855</v>
      </c>
    </row>
    <row r="113" ht="22.5" customHeight="1">
      <c r="A113" s="100" t="s">
        <v>243</v>
      </c>
      <c r="B113" s="11" t="s">
        <v>244</v>
      </c>
      <c r="C113" s="11" t="s">
        <v>1049</v>
      </c>
      <c r="D113" s="11" t="s">
        <v>1135</v>
      </c>
      <c r="E113" s="11" t="s">
        <v>855</v>
      </c>
    </row>
    <row r="114" ht="22.5" customHeight="1">
      <c r="A114" s="98" t="s">
        <v>1173</v>
      </c>
      <c r="B114" s="11" t="s">
        <v>1125</v>
      </c>
      <c r="C114" s="11" t="s">
        <v>1049</v>
      </c>
      <c r="D114" s="11" t="s">
        <v>1135</v>
      </c>
      <c r="E114" s="11" t="s">
        <v>855</v>
      </c>
    </row>
    <row r="115" ht="22.5" customHeight="1">
      <c r="A115" s="100" t="s">
        <v>1175</v>
      </c>
      <c r="B115" s="11" t="s">
        <v>1061</v>
      </c>
      <c r="C115" s="11" t="s">
        <v>1049</v>
      </c>
      <c r="D115" s="11" t="s">
        <v>1135</v>
      </c>
      <c r="E115" s="11" t="s">
        <v>855</v>
      </c>
    </row>
    <row r="116" ht="22.5" customHeight="1">
      <c r="A116" s="98" t="s">
        <v>1176</v>
      </c>
      <c r="B116" s="11" t="s">
        <v>1048</v>
      </c>
      <c r="C116" s="11" t="s">
        <v>1049</v>
      </c>
      <c r="D116" s="11" t="s">
        <v>1135</v>
      </c>
      <c r="E116" s="11" t="s">
        <v>855</v>
      </c>
    </row>
    <row r="117" ht="22.5" customHeight="1">
      <c r="A117" s="100" t="s">
        <v>1177</v>
      </c>
      <c r="B117" s="11" t="s">
        <v>1069</v>
      </c>
      <c r="C117" s="11" t="s">
        <v>1049</v>
      </c>
      <c r="D117" s="11" t="s">
        <v>1135</v>
      </c>
      <c r="E117" s="11" t="s">
        <v>855</v>
      </c>
    </row>
    <row r="118" ht="22.5" customHeight="1">
      <c r="A118" s="98" t="s">
        <v>1178</v>
      </c>
      <c r="B118" s="11" t="s">
        <v>1179</v>
      </c>
      <c r="C118" s="11" t="s">
        <v>1049</v>
      </c>
      <c r="D118" s="11" t="s">
        <v>1135</v>
      </c>
      <c r="E118" s="11" t="s">
        <v>855</v>
      </c>
    </row>
    <row r="119" ht="22.5" customHeight="1">
      <c r="A119" s="100" t="s">
        <v>251</v>
      </c>
      <c r="B119" s="11" t="s">
        <v>244</v>
      </c>
      <c r="C119" s="11" t="s">
        <v>1049</v>
      </c>
      <c r="D119" s="11" t="s">
        <v>1135</v>
      </c>
      <c r="E119" s="11" t="s">
        <v>855</v>
      </c>
    </row>
    <row r="120" ht="22.5" customHeight="1">
      <c r="A120" s="98" t="s">
        <v>565</v>
      </c>
      <c r="B120" s="11" t="s">
        <v>910</v>
      </c>
      <c r="C120" s="11" t="s">
        <v>1049</v>
      </c>
      <c r="D120" s="11" t="s">
        <v>1135</v>
      </c>
      <c r="E120" s="11" t="s">
        <v>855</v>
      </c>
    </row>
    <row r="121" ht="22.5" customHeight="1">
      <c r="A121" s="100" t="s">
        <v>1180</v>
      </c>
      <c r="B121" s="11" t="s">
        <v>1048</v>
      </c>
      <c r="C121" s="11" t="s">
        <v>1049</v>
      </c>
      <c r="D121" s="11" t="s">
        <v>1135</v>
      </c>
      <c r="E121" s="11" t="s">
        <v>855</v>
      </c>
    </row>
    <row r="122" ht="22.5" customHeight="1">
      <c r="A122" s="98" t="s">
        <v>1181</v>
      </c>
      <c r="B122" s="11" t="s">
        <v>1061</v>
      </c>
      <c r="C122" s="11" t="s">
        <v>1049</v>
      </c>
      <c r="D122" s="11" t="s">
        <v>1135</v>
      </c>
      <c r="E122" s="11" t="s">
        <v>855</v>
      </c>
    </row>
    <row r="123" ht="22.5" customHeight="1">
      <c r="A123" s="100" t="s">
        <v>1182</v>
      </c>
      <c r="B123" s="11" t="s">
        <v>1183</v>
      </c>
      <c r="C123" s="11" t="s">
        <v>1049</v>
      </c>
      <c r="D123" s="11" t="s">
        <v>1135</v>
      </c>
      <c r="E123" s="11" t="s">
        <v>855</v>
      </c>
    </row>
    <row r="124" ht="22.5" customHeight="1">
      <c r="A124" s="98" t="s">
        <v>1184</v>
      </c>
      <c r="B124" s="11" t="s">
        <v>1185</v>
      </c>
      <c r="C124" s="11" t="s">
        <v>1049</v>
      </c>
      <c r="D124" s="11" t="s">
        <v>1135</v>
      </c>
      <c r="E124" s="11" t="s">
        <v>855</v>
      </c>
    </row>
    <row r="125" ht="22.5" customHeight="1">
      <c r="A125" s="100" t="s">
        <v>1186</v>
      </c>
      <c r="B125" s="11" t="s">
        <v>1187</v>
      </c>
      <c r="C125" s="11" t="s">
        <v>1049</v>
      </c>
      <c r="D125" s="11" t="s">
        <v>1135</v>
      </c>
      <c r="E125" s="11" t="s">
        <v>855</v>
      </c>
    </row>
    <row r="126" ht="22.5" customHeight="1">
      <c r="A126" s="98" t="s">
        <v>1188</v>
      </c>
      <c r="B126" s="11" t="s">
        <v>1190</v>
      </c>
      <c r="C126" s="11" t="s">
        <v>1049</v>
      </c>
      <c r="D126" s="11" t="s">
        <v>1135</v>
      </c>
      <c r="E126" s="11" t="s">
        <v>855</v>
      </c>
    </row>
    <row r="127" ht="22.5" customHeight="1">
      <c r="A127" s="100" t="s">
        <v>1191</v>
      </c>
      <c r="B127" s="11" t="s">
        <v>1192</v>
      </c>
      <c r="C127" s="11" t="s">
        <v>1049</v>
      </c>
      <c r="D127" s="11" t="s">
        <v>1135</v>
      </c>
      <c r="E127" s="11" t="s">
        <v>855</v>
      </c>
    </row>
    <row r="128" ht="22.5" customHeight="1">
      <c r="A128" s="98" t="s">
        <v>1193</v>
      </c>
      <c r="B128" s="11" t="s">
        <v>1132</v>
      </c>
      <c r="C128" s="11" t="s">
        <v>1049</v>
      </c>
      <c r="D128" s="11" t="s">
        <v>1135</v>
      </c>
      <c r="E128" s="11" t="s">
        <v>855</v>
      </c>
    </row>
    <row r="129" ht="22.5" customHeight="1">
      <c r="A129" s="100" t="s">
        <v>1195</v>
      </c>
      <c r="B129" s="11" t="s">
        <v>1196</v>
      </c>
      <c r="C129" s="11" t="s">
        <v>1049</v>
      </c>
      <c r="D129" s="11" t="s">
        <v>1135</v>
      </c>
      <c r="E129" s="11" t="s">
        <v>855</v>
      </c>
    </row>
    <row r="130" ht="22.5" customHeight="1">
      <c r="A130" s="98" t="s">
        <v>1197</v>
      </c>
      <c r="B130" s="11" t="s">
        <v>1198</v>
      </c>
      <c r="C130" s="11" t="s">
        <v>1049</v>
      </c>
      <c r="D130" s="11" t="s">
        <v>1135</v>
      </c>
      <c r="E130" s="11" t="s">
        <v>855</v>
      </c>
    </row>
    <row r="131" ht="22.5" customHeight="1">
      <c r="A131" s="100" t="s">
        <v>1199</v>
      </c>
      <c r="B131" s="11" t="s">
        <v>1200</v>
      </c>
      <c r="C131" s="11" t="s">
        <v>1049</v>
      </c>
      <c r="D131" s="11" t="s">
        <v>1135</v>
      </c>
      <c r="E131" s="11" t="s">
        <v>855</v>
      </c>
    </row>
    <row r="132" ht="22.5" customHeight="1">
      <c r="A132" s="98" t="s">
        <v>1201</v>
      </c>
      <c r="B132" s="11" t="s">
        <v>1202</v>
      </c>
      <c r="C132" s="11" t="s">
        <v>1049</v>
      </c>
      <c r="D132" s="11" t="s">
        <v>1135</v>
      </c>
      <c r="E132" s="11" t="s">
        <v>855</v>
      </c>
    </row>
    <row r="133" ht="22.5" customHeight="1">
      <c r="A133" s="100" t="s">
        <v>1203</v>
      </c>
      <c r="B133" s="11" t="s">
        <v>1204</v>
      </c>
      <c r="C133" s="11" t="s">
        <v>1049</v>
      </c>
      <c r="D133" s="11" t="s">
        <v>1135</v>
      </c>
      <c r="E133" s="11" t="s">
        <v>855</v>
      </c>
    </row>
    <row r="134" ht="22.5" customHeight="1">
      <c r="A134" s="98" t="s">
        <v>1205</v>
      </c>
      <c r="B134" s="11" t="s">
        <v>1206</v>
      </c>
      <c r="C134" s="11" t="s">
        <v>1049</v>
      </c>
      <c r="D134" s="11" t="s">
        <v>1135</v>
      </c>
      <c r="E134" s="11" t="s">
        <v>855</v>
      </c>
    </row>
    <row r="135" ht="22.5" customHeight="1">
      <c r="A135" s="100" t="s">
        <v>1207</v>
      </c>
      <c r="B135" s="11" t="s">
        <v>1208</v>
      </c>
      <c r="C135" s="11" t="s">
        <v>1049</v>
      </c>
      <c r="D135" s="11" t="s">
        <v>1135</v>
      </c>
      <c r="E135" s="11" t="s">
        <v>855</v>
      </c>
    </row>
    <row r="136" ht="22.5" customHeight="1">
      <c r="A136" s="98" t="s">
        <v>1209</v>
      </c>
      <c r="B136" s="11" t="s">
        <v>1210</v>
      </c>
      <c r="C136" s="11" t="s">
        <v>1049</v>
      </c>
      <c r="D136" s="11" t="s">
        <v>1135</v>
      </c>
      <c r="E136" s="11" t="s">
        <v>855</v>
      </c>
    </row>
    <row r="137" ht="22.5" customHeight="1">
      <c r="A137" s="100" t="s">
        <v>1211</v>
      </c>
      <c r="B137" s="11" t="s">
        <v>1212</v>
      </c>
      <c r="C137" s="11" t="s">
        <v>1049</v>
      </c>
      <c r="D137" s="11" t="s">
        <v>1135</v>
      </c>
      <c r="E137" s="11" t="s">
        <v>855</v>
      </c>
    </row>
    <row r="138" ht="22.5" customHeight="1">
      <c r="A138" s="98" t="s">
        <v>1213</v>
      </c>
      <c r="B138" s="11" t="s">
        <v>1214</v>
      </c>
      <c r="C138" s="11" t="s">
        <v>1049</v>
      </c>
      <c r="D138" s="11" t="s">
        <v>1135</v>
      </c>
      <c r="E138" s="11" t="s">
        <v>855</v>
      </c>
    </row>
    <row r="139" ht="22.5" customHeight="1">
      <c r="A139" s="100" t="s">
        <v>1215</v>
      </c>
      <c r="B139" s="11" t="s">
        <v>1078</v>
      </c>
      <c r="C139" s="11" t="s">
        <v>1049</v>
      </c>
      <c r="D139" s="11" t="s">
        <v>1135</v>
      </c>
      <c r="E139" s="11" t="s">
        <v>855</v>
      </c>
    </row>
    <row r="140" ht="22.5" customHeight="1">
      <c r="A140" s="98" t="s">
        <v>1216</v>
      </c>
      <c r="B140" s="11" t="s">
        <v>1048</v>
      </c>
      <c r="C140" s="11" t="s">
        <v>1049</v>
      </c>
      <c r="D140" s="11" t="s">
        <v>1135</v>
      </c>
      <c r="E140" s="11" t="s">
        <v>855</v>
      </c>
    </row>
    <row r="141" ht="22.5" customHeight="1">
      <c r="A141" s="100" t="s">
        <v>1217</v>
      </c>
      <c r="B141" s="11" t="s">
        <v>1069</v>
      </c>
      <c r="C141" s="11" t="s">
        <v>1049</v>
      </c>
      <c r="D141" s="11" t="s">
        <v>1135</v>
      </c>
      <c r="E141" s="11" t="s">
        <v>855</v>
      </c>
    </row>
    <row r="142" ht="22.5" customHeight="1">
      <c r="A142" s="98" t="s">
        <v>1218</v>
      </c>
      <c r="B142" s="11" t="s">
        <v>1219</v>
      </c>
      <c r="C142" s="11" t="s">
        <v>1049</v>
      </c>
      <c r="D142" s="11" t="s">
        <v>1135</v>
      </c>
      <c r="E142" s="11" t="s">
        <v>855</v>
      </c>
    </row>
    <row r="143" ht="22.5" customHeight="1">
      <c r="A143" s="100" t="s">
        <v>1220</v>
      </c>
      <c r="B143" s="11" t="s">
        <v>1221</v>
      </c>
      <c r="C143" s="11" t="s">
        <v>1049</v>
      </c>
      <c r="D143" s="11" t="s">
        <v>1135</v>
      </c>
      <c r="E143" s="11" t="s">
        <v>855</v>
      </c>
    </row>
    <row r="144" ht="22.5" customHeight="1">
      <c r="A144" s="98" t="s">
        <v>573</v>
      </c>
      <c r="B144" s="11" t="s">
        <v>1222</v>
      </c>
      <c r="C144" s="11" t="s">
        <v>1049</v>
      </c>
      <c r="D144" s="11" t="s">
        <v>1135</v>
      </c>
      <c r="E144" s="11" t="s">
        <v>855</v>
      </c>
    </row>
    <row r="145" ht="22.5" customHeight="1">
      <c r="A145" s="100" t="s">
        <v>1223</v>
      </c>
      <c r="B145" s="11" t="s">
        <v>1069</v>
      </c>
      <c r="C145" s="11" t="s">
        <v>1049</v>
      </c>
      <c r="D145" s="11" t="s">
        <v>1135</v>
      </c>
      <c r="E145" s="11" t="s">
        <v>855</v>
      </c>
    </row>
    <row r="146" ht="22.5" customHeight="1">
      <c r="A146" s="98" t="s">
        <v>1224</v>
      </c>
      <c r="B146" s="11" t="s">
        <v>1225</v>
      </c>
      <c r="C146" s="11" t="s">
        <v>1049</v>
      </c>
      <c r="D146" s="11" t="s">
        <v>1135</v>
      </c>
      <c r="E146" s="11" t="s">
        <v>855</v>
      </c>
    </row>
    <row r="147" ht="22.5" customHeight="1">
      <c r="A147" s="100" t="s">
        <v>257</v>
      </c>
      <c r="B147" s="11" t="s">
        <v>258</v>
      </c>
      <c r="C147" s="11" t="s">
        <v>1049</v>
      </c>
      <c r="D147" s="11" t="s">
        <v>1135</v>
      </c>
      <c r="E147" s="11" t="s">
        <v>855</v>
      </c>
    </row>
    <row r="148" ht="22.5" customHeight="1">
      <c r="A148" s="98" t="s">
        <v>1227</v>
      </c>
      <c r="B148" s="11" t="s">
        <v>1228</v>
      </c>
      <c r="C148" s="11" t="s">
        <v>1049</v>
      </c>
      <c r="D148" s="11" t="s">
        <v>1135</v>
      </c>
      <c r="E148" s="11" t="s">
        <v>855</v>
      </c>
    </row>
    <row r="149" ht="22.5" customHeight="1">
      <c r="A149" s="100" t="s">
        <v>1229</v>
      </c>
      <c r="B149" s="11" t="s">
        <v>1230</v>
      </c>
      <c r="C149" s="11" t="s">
        <v>1049</v>
      </c>
      <c r="D149" s="11" t="s">
        <v>1135</v>
      </c>
      <c r="E149" s="11" t="s">
        <v>855</v>
      </c>
    </row>
    <row r="150" ht="22.5" customHeight="1">
      <c r="A150" s="98" t="s">
        <v>1231</v>
      </c>
      <c r="B150" s="11" t="s">
        <v>1232</v>
      </c>
      <c r="C150" s="11" t="s">
        <v>1049</v>
      </c>
      <c r="D150" s="11" t="s">
        <v>1135</v>
      </c>
      <c r="E150" s="11" t="s">
        <v>855</v>
      </c>
    </row>
    <row r="151" ht="22.5" customHeight="1">
      <c r="A151" s="100" t="s">
        <v>1233</v>
      </c>
      <c r="B151" s="11" t="s">
        <v>1234</v>
      </c>
      <c r="C151" s="11" t="s">
        <v>1049</v>
      </c>
      <c r="D151" s="11" t="s">
        <v>1135</v>
      </c>
      <c r="E151" s="11" t="s">
        <v>855</v>
      </c>
    </row>
    <row r="152" ht="22.5" customHeight="1">
      <c r="A152" s="98" t="s">
        <v>1235</v>
      </c>
      <c r="B152" s="11" t="s">
        <v>1236</v>
      </c>
      <c r="C152" s="11" t="s">
        <v>1049</v>
      </c>
      <c r="D152" s="11" t="s">
        <v>1135</v>
      </c>
      <c r="E152" s="11" t="s">
        <v>855</v>
      </c>
    </row>
    <row r="153" ht="22.5" customHeight="1">
      <c r="A153" s="100" t="s">
        <v>1237</v>
      </c>
      <c r="B153" s="11" t="s">
        <v>1238</v>
      </c>
      <c r="C153" s="11" t="s">
        <v>1049</v>
      </c>
      <c r="D153" s="11" t="s">
        <v>1135</v>
      </c>
      <c r="E153" s="11" t="s">
        <v>855</v>
      </c>
    </row>
    <row r="154" ht="22.5" customHeight="1">
      <c r="A154" s="98" t="s">
        <v>1239</v>
      </c>
      <c r="B154" s="11" t="s">
        <v>1048</v>
      </c>
      <c r="C154" s="11" t="s">
        <v>1049</v>
      </c>
      <c r="D154" s="11" t="s">
        <v>1135</v>
      </c>
      <c r="E154" s="11" t="s">
        <v>855</v>
      </c>
    </row>
    <row r="155" ht="22.5" customHeight="1">
      <c r="A155" s="100" t="s">
        <v>1240</v>
      </c>
      <c r="B155" s="11" t="s">
        <v>1069</v>
      </c>
      <c r="C155" s="11" t="s">
        <v>1049</v>
      </c>
      <c r="D155" s="11" t="s">
        <v>1135</v>
      </c>
      <c r="E155" s="11" t="s">
        <v>855</v>
      </c>
    </row>
    <row r="156" ht="22.5" customHeight="1">
      <c r="A156" s="98" t="s">
        <v>1241</v>
      </c>
      <c r="B156" s="11" t="s">
        <v>1242</v>
      </c>
      <c r="C156" s="11" t="s">
        <v>1049</v>
      </c>
      <c r="D156" s="11" t="s">
        <v>1135</v>
      </c>
      <c r="E156" s="11" t="s">
        <v>855</v>
      </c>
    </row>
    <row r="157" ht="22.5" customHeight="1">
      <c r="A157" s="100" t="s">
        <v>1243</v>
      </c>
      <c r="B157" s="11" t="s">
        <v>1244</v>
      </c>
      <c r="C157" s="11" t="s">
        <v>1049</v>
      </c>
      <c r="D157" s="11" t="s">
        <v>1135</v>
      </c>
      <c r="E157" s="11" t="s">
        <v>855</v>
      </c>
    </row>
    <row r="158" ht="22.5" customHeight="1">
      <c r="A158" s="98" t="s">
        <v>1245</v>
      </c>
      <c r="B158" s="11" t="s">
        <v>1058</v>
      </c>
      <c r="C158" s="11" t="s">
        <v>1049</v>
      </c>
      <c r="D158" s="11" t="s">
        <v>1135</v>
      </c>
      <c r="E158" s="11" t="s">
        <v>855</v>
      </c>
    </row>
    <row r="159" ht="22.5" customHeight="1">
      <c r="A159" s="100" t="s">
        <v>1246</v>
      </c>
      <c r="B159" s="11" t="s">
        <v>1069</v>
      </c>
      <c r="C159" s="11" t="s">
        <v>1049</v>
      </c>
      <c r="D159" s="11" t="s">
        <v>1135</v>
      </c>
      <c r="E159" s="11" t="s">
        <v>855</v>
      </c>
    </row>
    <row r="160" ht="22.5" customHeight="1">
      <c r="A160" s="98" t="s">
        <v>267</v>
      </c>
      <c r="B160" s="11" t="s">
        <v>1247</v>
      </c>
      <c r="C160" s="11" t="s">
        <v>1049</v>
      </c>
      <c r="D160" s="11" t="s">
        <v>1135</v>
      </c>
      <c r="E160" s="11" t="s">
        <v>855</v>
      </c>
    </row>
    <row r="161" ht="22.5" customHeight="1">
      <c r="A161" s="100" t="s">
        <v>270</v>
      </c>
      <c r="B161" s="11" t="s">
        <v>1248</v>
      </c>
      <c r="C161" s="11" t="s">
        <v>1049</v>
      </c>
      <c r="D161" s="11" t="s">
        <v>1135</v>
      </c>
      <c r="E161" s="11" t="s">
        <v>855</v>
      </c>
    </row>
    <row r="162" ht="22.5" customHeight="1">
      <c r="A162" s="98" t="s">
        <v>200</v>
      </c>
      <c r="B162" s="11" t="s">
        <v>272</v>
      </c>
      <c r="C162" s="11" t="s">
        <v>1049</v>
      </c>
      <c r="D162" s="11" t="s">
        <v>1135</v>
      </c>
      <c r="E162" s="11" t="s">
        <v>855</v>
      </c>
    </row>
    <row r="163" ht="22.5" customHeight="1">
      <c r="A163" s="100" t="s">
        <v>205</v>
      </c>
      <c r="B163" s="11" t="s">
        <v>273</v>
      </c>
      <c r="C163" s="11" t="s">
        <v>1049</v>
      </c>
      <c r="D163" s="11" t="s">
        <v>1135</v>
      </c>
      <c r="E163" s="11" t="s">
        <v>855</v>
      </c>
    </row>
    <row r="164" ht="22.5" customHeight="1">
      <c r="A164" s="98" t="s">
        <v>609</v>
      </c>
      <c r="B164" s="11" t="s">
        <v>1249</v>
      </c>
      <c r="C164" s="11" t="s">
        <v>1049</v>
      </c>
      <c r="D164" s="11" t="s">
        <v>1135</v>
      </c>
      <c r="E164" s="11" t="s">
        <v>855</v>
      </c>
    </row>
    <row r="165" ht="22.5" customHeight="1">
      <c r="A165" s="100" t="s">
        <v>212</v>
      </c>
      <c r="B165" s="11" t="s">
        <v>1251</v>
      </c>
      <c r="C165" s="11" t="s">
        <v>1049</v>
      </c>
      <c r="D165" s="11" t="s">
        <v>1135</v>
      </c>
      <c r="E165" s="11" t="s">
        <v>855</v>
      </c>
    </row>
    <row r="166" ht="22.5" customHeight="1">
      <c r="A166" s="98" t="s">
        <v>217</v>
      </c>
      <c r="B166" s="11" t="s">
        <v>1252</v>
      </c>
      <c r="C166" s="11" t="s">
        <v>1049</v>
      </c>
      <c r="D166" s="11" t="s">
        <v>1135</v>
      </c>
      <c r="E166" s="11" t="s">
        <v>855</v>
      </c>
    </row>
    <row r="167" ht="22.5" customHeight="1">
      <c r="A167" s="100" t="s">
        <v>222</v>
      </c>
      <c r="B167" s="11" t="s">
        <v>1253</v>
      </c>
      <c r="C167" s="11" t="s">
        <v>1049</v>
      </c>
      <c r="D167" s="11" t="s">
        <v>1135</v>
      </c>
      <c r="E167" s="11" t="s">
        <v>855</v>
      </c>
    </row>
    <row r="168" ht="22.5" customHeight="1">
      <c r="A168" s="98" t="s">
        <v>1254</v>
      </c>
      <c r="B168" s="11" t="s">
        <v>1080</v>
      </c>
      <c r="C168" s="11" t="s">
        <v>1049</v>
      </c>
      <c r="D168" s="11" t="s">
        <v>1135</v>
      </c>
      <c r="E168" s="11" t="s">
        <v>855</v>
      </c>
    </row>
    <row r="169" ht="22.5" customHeight="1">
      <c r="A169" s="100" t="s">
        <v>1255</v>
      </c>
      <c r="B169" s="11" t="s">
        <v>1083</v>
      </c>
      <c r="C169" s="11" t="s">
        <v>1049</v>
      </c>
      <c r="D169" s="11" t="s">
        <v>1135</v>
      </c>
      <c r="E169" s="11" t="s">
        <v>855</v>
      </c>
    </row>
    <row r="170" ht="22.5" customHeight="1">
      <c r="A170" s="98" t="s">
        <v>1256</v>
      </c>
      <c r="B170" s="11" t="s">
        <v>1084</v>
      </c>
      <c r="C170" s="11" t="s">
        <v>1049</v>
      </c>
      <c r="D170" s="11" t="s">
        <v>1135</v>
      </c>
      <c r="E170" s="11" t="s">
        <v>855</v>
      </c>
    </row>
    <row r="171" ht="22.5" customHeight="1">
      <c r="A171" s="100" t="s">
        <v>1257</v>
      </c>
      <c r="B171" s="11" t="s">
        <v>1258</v>
      </c>
      <c r="C171" s="11" t="s">
        <v>1049</v>
      </c>
      <c r="D171" s="11" t="s">
        <v>1135</v>
      </c>
      <c r="E171" s="11" t="s">
        <v>855</v>
      </c>
    </row>
    <row r="172" ht="22.5" customHeight="1">
      <c r="A172" s="98" t="s">
        <v>1259</v>
      </c>
      <c r="B172" s="11" t="s">
        <v>1260</v>
      </c>
      <c r="C172" s="11" t="s">
        <v>1049</v>
      </c>
      <c r="D172" s="11" t="s">
        <v>1135</v>
      </c>
      <c r="E172" s="11" t="s">
        <v>855</v>
      </c>
    </row>
    <row r="173" ht="22.5" customHeight="1">
      <c r="A173" s="100" t="s">
        <v>1261</v>
      </c>
      <c r="B173" s="11" t="s">
        <v>1262</v>
      </c>
      <c r="C173" s="11" t="s">
        <v>1049</v>
      </c>
      <c r="D173" s="11" t="s">
        <v>1135</v>
      </c>
      <c r="E173" s="11" t="s">
        <v>855</v>
      </c>
    </row>
    <row r="174" ht="22.5" customHeight="1">
      <c r="A174" s="98" t="s">
        <v>1263</v>
      </c>
      <c r="B174" s="11" t="s">
        <v>1258</v>
      </c>
      <c r="C174" s="11" t="s">
        <v>1049</v>
      </c>
      <c r="D174" s="11" t="s">
        <v>1135</v>
      </c>
      <c r="E174" s="11" t="s">
        <v>855</v>
      </c>
    </row>
    <row r="175" ht="22.5" customHeight="1">
      <c r="A175" s="100" t="s">
        <v>168</v>
      </c>
      <c r="B175" s="11" t="s">
        <v>279</v>
      </c>
      <c r="C175" s="11" t="s">
        <v>1049</v>
      </c>
      <c r="D175" s="11" t="s">
        <v>1135</v>
      </c>
      <c r="E175" s="11" t="s">
        <v>855</v>
      </c>
    </row>
    <row r="176" ht="22.5" customHeight="1">
      <c r="A176" s="98" t="s">
        <v>1264</v>
      </c>
      <c r="B176" s="11" t="s">
        <v>1258</v>
      </c>
      <c r="C176" s="11" t="s">
        <v>1049</v>
      </c>
      <c r="D176" s="11" t="s">
        <v>1135</v>
      </c>
      <c r="E176" s="11" t="s">
        <v>855</v>
      </c>
    </row>
    <row r="177" ht="22.5" customHeight="1">
      <c r="A177" s="100" t="s">
        <v>1265</v>
      </c>
      <c r="B177" s="11" t="s">
        <v>1266</v>
      </c>
      <c r="C177" s="11" t="s">
        <v>1049</v>
      </c>
      <c r="D177" s="11" t="s">
        <v>1135</v>
      </c>
      <c r="E177" s="11" t="s">
        <v>855</v>
      </c>
    </row>
    <row r="178" ht="22.5" customHeight="1">
      <c r="A178" s="98" t="s">
        <v>1267</v>
      </c>
      <c r="B178" s="11" t="s">
        <v>1081</v>
      </c>
      <c r="C178" s="11" t="s">
        <v>1049</v>
      </c>
      <c r="D178" s="11" t="s">
        <v>1135</v>
      </c>
      <c r="E178" s="11" t="s">
        <v>855</v>
      </c>
    </row>
    <row r="179" ht="22.5" customHeight="1">
      <c r="A179" s="100" t="s">
        <v>1268</v>
      </c>
      <c r="B179" s="11" t="s">
        <v>1083</v>
      </c>
      <c r="C179" s="11" t="s">
        <v>1049</v>
      </c>
      <c r="D179" s="11" t="s">
        <v>1135</v>
      </c>
      <c r="E179" s="11" t="s">
        <v>855</v>
      </c>
    </row>
    <row r="180" ht="22.5" customHeight="1">
      <c r="A180" s="98" t="s">
        <v>1269</v>
      </c>
      <c r="B180" s="11" t="s">
        <v>1258</v>
      </c>
      <c r="C180" s="11" t="s">
        <v>1049</v>
      </c>
      <c r="D180" s="11" t="s">
        <v>1135</v>
      </c>
      <c r="E180" s="11" t="s">
        <v>855</v>
      </c>
    </row>
    <row r="181" ht="22.5" customHeight="1">
      <c r="A181" s="100" t="s">
        <v>1270</v>
      </c>
      <c r="B181" s="11" t="s">
        <v>1083</v>
      </c>
      <c r="C181" s="11" t="s">
        <v>1049</v>
      </c>
      <c r="D181" s="11" t="s">
        <v>1135</v>
      </c>
      <c r="E181" s="11" t="s">
        <v>855</v>
      </c>
    </row>
    <row r="182" ht="22.5" customHeight="1">
      <c r="A182" s="98" t="s">
        <v>226</v>
      </c>
      <c r="B182" s="11" t="s">
        <v>281</v>
      </c>
      <c r="C182" s="11" t="s">
        <v>1049</v>
      </c>
      <c r="D182" s="11" t="s">
        <v>1135</v>
      </c>
      <c r="E182" s="11" t="s">
        <v>855</v>
      </c>
    </row>
    <row r="183" ht="22.5" customHeight="1">
      <c r="A183" s="100" t="s">
        <v>643</v>
      </c>
      <c r="B183" s="11" t="s">
        <v>924</v>
      </c>
      <c r="C183" s="11" t="s">
        <v>1049</v>
      </c>
      <c r="D183" s="11" t="s">
        <v>1135</v>
      </c>
      <c r="E183" s="11" t="s">
        <v>855</v>
      </c>
    </row>
    <row r="184" ht="22.5" customHeight="1">
      <c r="A184" s="98" t="s">
        <v>177</v>
      </c>
      <c r="B184" s="11" t="s">
        <v>283</v>
      </c>
      <c r="C184" s="11" t="s">
        <v>1049</v>
      </c>
      <c r="D184" s="11" t="s">
        <v>1135</v>
      </c>
      <c r="E184" s="11" t="s">
        <v>855</v>
      </c>
    </row>
    <row r="185" ht="22.5" customHeight="1">
      <c r="A185" s="100" t="s">
        <v>1274</v>
      </c>
      <c r="B185" s="11" t="s">
        <v>1275</v>
      </c>
      <c r="C185" s="11" t="s">
        <v>1049</v>
      </c>
      <c r="D185" s="11" t="s">
        <v>1135</v>
      </c>
      <c r="E185" s="11" t="s">
        <v>855</v>
      </c>
    </row>
    <row r="186" ht="22.5" customHeight="1">
      <c r="A186" s="98" t="s">
        <v>183</v>
      </c>
      <c r="B186" s="11" t="s">
        <v>286</v>
      </c>
      <c r="C186" s="11" t="s">
        <v>1049</v>
      </c>
      <c r="D186" s="11" t="s">
        <v>1135</v>
      </c>
      <c r="E186" s="11" t="s">
        <v>855</v>
      </c>
    </row>
    <row r="187" ht="22.5" customHeight="1">
      <c r="A187" s="100" t="s">
        <v>1276</v>
      </c>
      <c r="B187" s="11" t="s">
        <v>1277</v>
      </c>
      <c r="C187" s="11" t="s">
        <v>1049</v>
      </c>
      <c r="D187" s="11" t="s">
        <v>1135</v>
      </c>
      <c r="E187" s="11" t="s">
        <v>855</v>
      </c>
    </row>
    <row r="188" ht="22.5" customHeight="1">
      <c r="A188" s="98" t="s">
        <v>1278</v>
      </c>
      <c r="B188" s="11" t="s">
        <v>1279</v>
      </c>
      <c r="C188" s="11" t="s">
        <v>1049</v>
      </c>
      <c r="D188" s="11" t="s">
        <v>1135</v>
      </c>
      <c r="E188" s="11" t="s">
        <v>855</v>
      </c>
    </row>
    <row r="189" ht="22.5" customHeight="1">
      <c r="A189" s="100" t="s">
        <v>1280</v>
      </c>
      <c r="B189" s="11" t="s">
        <v>1258</v>
      </c>
      <c r="C189" s="11" t="s">
        <v>1049</v>
      </c>
      <c r="D189" s="11" t="s">
        <v>1135</v>
      </c>
      <c r="E189" s="11" t="s">
        <v>855</v>
      </c>
    </row>
    <row r="190" ht="22.5" customHeight="1">
      <c r="A190" s="98" t="s">
        <v>1281</v>
      </c>
      <c r="B190" s="11" t="s">
        <v>1092</v>
      </c>
      <c r="C190" s="11" t="s">
        <v>1049</v>
      </c>
      <c r="D190" s="11" t="s">
        <v>1135</v>
      </c>
      <c r="E190" s="11" t="s">
        <v>855</v>
      </c>
    </row>
    <row r="191" ht="22.5" customHeight="1">
      <c r="A191" s="100" t="s">
        <v>1282</v>
      </c>
      <c r="B191" s="11" t="s">
        <v>1097</v>
      </c>
      <c r="C191" s="11" t="s">
        <v>1049</v>
      </c>
      <c r="D191" s="11" t="s">
        <v>1135</v>
      </c>
      <c r="E191" s="11" t="s">
        <v>855</v>
      </c>
    </row>
    <row r="192" ht="22.5" customHeight="1">
      <c r="A192" s="98" t="s">
        <v>1283</v>
      </c>
      <c r="B192" s="11" t="s">
        <v>1100</v>
      </c>
      <c r="C192" s="11" t="s">
        <v>1049</v>
      </c>
      <c r="D192" s="11" t="s">
        <v>1135</v>
      </c>
      <c r="E192" s="11" t="s">
        <v>855</v>
      </c>
    </row>
    <row r="193" ht="22.5" customHeight="1">
      <c r="A193" s="100" t="s">
        <v>1284</v>
      </c>
      <c r="B193" s="11" t="s">
        <v>1098</v>
      </c>
      <c r="C193" s="11" t="s">
        <v>1049</v>
      </c>
      <c r="D193" s="11" t="s">
        <v>1135</v>
      </c>
      <c r="E193" s="11" t="s">
        <v>855</v>
      </c>
    </row>
    <row r="194" ht="22.5" customHeight="1">
      <c r="A194" s="98" t="s">
        <v>1285</v>
      </c>
      <c r="B194" s="11" t="s">
        <v>1090</v>
      </c>
      <c r="C194" s="11" t="s">
        <v>1049</v>
      </c>
      <c r="D194" s="11" t="s">
        <v>1135</v>
      </c>
      <c r="E194" s="11" t="s">
        <v>855</v>
      </c>
    </row>
    <row r="195" ht="22.5" customHeight="1">
      <c r="A195" s="100" t="s">
        <v>1286</v>
      </c>
      <c r="B195" s="11" t="s">
        <v>1258</v>
      </c>
      <c r="C195" s="11" t="s">
        <v>1049</v>
      </c>
      <c r="D195" s="11" t="s">
        <v>1135</v>
      </c>
      <c r="E195" s="11" t="s">
        <v>855</v>
      </c>
    </row>
    <row r="196" ht="22.5" customHeight="1">
      <c r="A196" s="98" t="s">
        <v>1287</v>
      </c>
      <c r="B196" s="11" t="s">
        <v>1083</v>
      </c>
      <c r="C196" s="11" t="s">
        <v>1049</v>
      </c>
      <c r="D196" s="11" t="s">
        <v>1135</v>
      </c>
      <c r="E196" s="11" t="s">
        <v>855</v>
      </c>
    </row>
    <row r="197" ht="22.5" customHeight="1">
      <c r="A197" s="100" t="s">
        <v>1288</v>
      </c>
      <c r="B197" s="11" t="s">
        <v>1289</v>
      </c>
      <c r="C197" s="11" t="s">
        <v>1049</v>
      </c>
      <c r="D197" s="11" t="s">
        <v>1135</v>
      </c>
      <c r="E197" s="11" t="s">
        <v>855</v>
      </c>
    </row>
    <row r="198" ht="22.5" customHeight="1">
      <c r="A198" s="98" t="s">
        <v>231</v>
      </c>
      <c r="B198" s="11" t="s">
        <v>1290</v>
      </c>
      <c r="C198" s="11" t="s">
        <v>1049</v>
      </c>
      <c r="D198" s="11" t="s">
        <v>1135</v>
      </c>
      <c r="E198" s="11" t="s">
        <v>855</v>
      </c>
    </row>
    <row r="199" ht="22.5" customHeight="1">
      <c r="A199" s="100" t="s">
        <v>233</v>
      </c>
      <c r="B199" s="11" t="s">
        <v>291</v>
      </c>
      <c r="C199" s="11" t="s">
        <v>1049</v>
      </c>
      <c r="D199" s="11" t="s">
        <v>1135</v>
      </c>
      <c r="E199" s="11" t="s">
        <v>855</v>
      </c>
    </row>
    <row r="200" ht="22.5" customHeight="1">
      <c r="A200" s="98" t="s">
        <v>1291</v>
      </c>
      <c r="B200" s="11" t="s">
        <v>1292</v>
      </c>
      <c r="C200" s="11" t="s">
        <v>1049</v>
      </c>
      <c r="D200" s="11" t="s">
        <v>1135</v>
      </c>
      <c r="E200" s="11" t="s">
        <v>855</v>
      </c>
    </row>
    <row r="201" ht="22.5" customHeight="1">
      <c r="A201" s="100" t="s">
        <v>1293</v>
      </c>
      <c r="B201" s="11" t="s">
        <v>1294</v>
      </c>
      <c r="C201" s="11" t="s">
        <v>1049</v>
      </c>
      <c r="D201" s="11" t="s">
        <v>1135</v>
      </c>
      <c r="E201" s="11" t="s">
        <v>855</v>
      </c>
    </row>
    <row r="202" ht="22.5" customHeight="1">
      <c r="A202" s="98" t="s">
        <v>1295</v>
      </c>
      <c r="B202" s="11" t="s">
        <v>1297</v>
      </c>
      <c r="C202" s="11" t="s">
        <v>1049</v>
      </c>
      <c r="D202" s="11" t="s">
        <v>1135</v>
      </c>
      <c r="E202" s="11" t="s">
        <v>855</v>
      </c>
    </row>
    <row r="203" ht="22.5" customHeight="1">
      <c r="A203" s="100" t="s">
        <v>1298</v>
      </c>
      <c r="B203" s="11" t="s">
        <v>1299</v>
      </c>
      <c r="C203" s="11" t="s">
        <v>1049</v>
      </c>
      <c r="D203" s="11" t="s">
        <v>1135</v>
      </c>
      <c r="E203" s="11" t="s">
        <v>855</v>
      </c>
    </row>
    <row r="204" ht="22.5" customHeight="1">
      <c r="A204" s="98" t="s">
        <v>1300</v>
      </c>
      <c r="B204" s="11" t="s">
        <v>1258</v>
      </c>
      <c r="C204" s="11" t="s">
        <v>1049</v>
      </c>
      <c r="D204" s="11" t="s">
        <v>1135</v>
      </c>
      <c r="E204" s="11" t="s">
        <v>855</v>
      </c>
    </row>
    <row r="205" ht="22.5" customHeight="1">
      <c r="A205" s="100" t="s">
        <v>1301</v>
      </c>
      <c r="B205" s="11" t="s">
        <v>1083</v>
      </c>
      <c r="C205" s="11" t="s">
        <v>1049</v>
      </c>
      <c r="D205" s="11" t="s">
        <v>1135</v>
      </c>
      <c r="E205" s="11" t="s">
        <v>855</v>
      </c>
    </row>
    <row r="206" ht="22.5" customHeight="1">
      <c r="A206" s="98" t="s">
        <v>1302</v>
      </c>
      <c r="B206" s="11" t="s">
        <v>1303</v>
      </c>
      <c r="C206" s="11" t="s">
        <v>1049</v>
      </c>
      <c r="D206" s="11" t="s">
        <v>1135</v>
      </c>
      <c r="E206" s="11" t="s">
        <v>855</v>
      </c>
    </row>
    <row r="207" ht="22.5" customHeight="1">
      <c r="A207" s="100" t="s">
        <v>1304</v>
      </c>
      <c r="B207" s="11" t="s">
        <v>1305</v>
      </c>
      <c r="C207" s="11" t="s">
        <v>1049</v>
      </c>
      <c r="D207" s="11" t="s">
        <v>1135</v>
      </c>
      <c r="E207" s="11" t="s">
        <v>855</v>
      </c>
    </row>
    <row r="208" ht="22.5" customHeight="1">
      <c r="A208" s="98" t="s">
        <v>1306</v>
      </c>
      <c r="B208" s="11" t="s">
        <v>1307</v>
      </c>
      <c r="C208" s="11" t="s">
        <v>1049</v>
      </c>
      <c r="D208" s="11" t="s">
        <v>1135</v>
      </c>
      <c r="E208" s="11" t="s">
        <v>855</v>
      </c>
    </row>
    <row r="209" ht="22.5" customHeight="1">
      <c r="A209" s="100" t="s">
        <v>1308</v>
      </c>
      <c r="B209" s="11" t="s">
        <v>1309</v>
      </c>
      <c r="C209" s="11" t="s">
        <v>1049</v>
      </c>
      <c r="D209" s="11" t="s">
        <v>1135</v>
      </c>
      <c r="E209" s="11" t="s">
        <v>855</v>
      </c>
    </row>
    <row r="210" ht="22.5" customHeight="1">
      <c r="A210" s="98" t="s">
        <v>239</v>
      </c>
      <c r="B210" s="11" t="s">
        <v>293</v>
      </c>
      <c r="C210" s="11" t="s">
        <v>1049</v>
      </c>
      <c r="D210" s="11" t="s">
        <v>1135</v>
      </c>
      <c r="E210" s="11" t="s">
        <v>855</v>
      </c>
    </row>
    <row r="211" ht="22.5" customHeight="1">
      <c r="A211" s="100" t="s">
        <v>241</v>
      </c>
      <c r="B211" s="11" t="s">
        <v>295</v>
      </c>
      <c r="C211" s="11" t="s">
        <v>1049</v>
      </c>
      <c r="D211" s="11" t="s">
        <v>1135</v>
      </c>
      <c r="E211" s="11" t="s">
        <v>855</v>
      </c>
    </row>
    <row r="212" ht="22.5" customHeight="1">
      <c r="A212" s="98" t="s">
        <v>1310</v>
      </c>
      <c r="B212" s="11" t="s">
        <v>1258</v>
      </c>
      <c r="C212" s="11" t="s">
        <v>1049</v>
      </c>
      <c r="D212" s="11" t="s">
        <v>1135</v>
      </c>
      <c r="E212" s="11" t="s">
        <v>855</v>
      </c>
    </row>
    <row r="213" ht="22.5" customHeight="1">
      <c r="A213" s="100" t="s">
        <v>1312</v>
      </c>
      <c r="B213" s="11" t="s">
        <v>1098</v>
      </c>
      <c r="C213" s="11" t="s">
        <v>1049</v>
      </c>
      <c r="D213" s="11" t="s">
        <v>1135</v>
      </c>
      <c r="E213" s="11" t="s">
        <v>855</v>
      </c>
    </row>
    <row r="214" ht="22.5" customHeight="1">
      <c r="A214" s="98" t="s">
        <v>1313</v>
      </c>
      <c r="B214" s="11" t="s">
        <v>1314</v>
      </c>
      <c r="C214" s="11" t="s">
        <v>1049</v>
      </c>
      <c r="D214" s="11" t="s">
        <v>1135</v>
      </c>
      <c r="E214" s="11" t="s">
        <v>855</v>
      </c>
    </row>
    <row r="215" ht="22.5" customHeight="1">
      <c r="A215" s="100" t="s">
        <v>246</v>
      </c>
      <c r="B215" s="11" t="s">
        <v>296</v>
      </c>
      <c r="C215" s="11" t="s">
        <v>1049</v>
      </c>
      <c r="D215" s="11" t="s">
        <v>1135</v>
      </c>
      <c r="E215" s="11" t="s">
        <v>855</v>
      </c>
    </row>
    <row r="216" ht="22.5" customHeight="1">
      <c r="A216" s="98" t="s">
        <v>1315</v>
      </c>
      <c r="B216" s="11" t="s">
        <v>1316</v>
      </c>
      <c r="C216" s="11" t="s">
        <v>1317</v>
      </c>
      <c r="D216" s="11" t="s">
        <v>1050</v>
      </c>
      <c r="E216" s="11" t="s">
        <v>855</v>
      </c>
    </row>
    <row r="217" ht="22.5" customHeight="1">
      <c r="A217" s="100" t="s">
        <v>1319</v>
      </c>
      <c r="B217" s="11" t="s">
        <v>1320</v>
      </c>
      <c r="C217" s="11" t="s">
        <v>1317</v>
      </c>
      <c r="D217" s="11" t="s">
        <v>1050</v>
      </c>
      <c r="E217" s="11" t="s">
        <v>855</v>
      </c>
    </row>
    <row r="218" ht="22.5" customHeight="1">
      <c r="A218" s="98" t="s">
        <v>1321</v>
      </c>
      <c r="B218" s="11" t="s">
        <v>1322</v>
      </c>
      <c r="C218" s="11" t="s">
        <v>1317</v>
      </c>
      <c r="D218" s="11" t="s">
        <v>1050</v>
      </c>
      <c r="E218" s="11" t="s">
        <v>855</v>
      </c>
    </row>
    <row r="219" ht="22.5" customHeight="1">
      <c r="A219" s="100" t="s">
        <v>1323</v>
      </c>
      <c r="B219" s="11" t="s">
        <v>1324</v>
      </c>
      <c r="C219" s="11" t="s">
        <v>1317</v>
      </c>
      <c r="D219" s="11" t="s">
        <v>1050</v>
      </c>
      <c r="E219" s="11" t="s">
        <v>855</v>
      </c>
    </row>
    <row r="220" ht="22.5" customHeight="1">
      <c r="A220" s="98" t="s">
        <v>1325</v>
      </c>
      <c r="B220" s="11" t="s">
        <v>1326</v>
      </c>
      <c r="C220" s="11" t="s">
        <v>1317</v>
      </c>
      <c r="D220" s="11" t="s">
        <v>1050</v>
      </c>
      <c r="E220" s="11" t="s">
        <v>855</v>
      </c>
    </row>
    <row r="221" ht="22.5" customHeight="1">
      <c r="A221" s="100" t="s">
        <v>1327</v>
      </c>
      <c r="B221" s="11" t="s">
        <v>1069</v>
      </c>
      <c r="C221" s="11" t="s">
        <v>1317</v>
      </c>
      <c r="D221" s="11" t="s">
        <v>1050</v>
      </c>
      <c r="E221" s="11" t="s">
        <v>855</v>
      </c>
    </row>
    <row r="222" ht="22.5" customHeight="1">
      <c r="A222" s="98" t="s">
        <v>1328</v>
      </c>
      <c r="B222" s="11" t="s">
        <v>1329</v>
      </c>
      <c r="C222" s="11" t="s">
        <v>1317</v>
      </c>
      <c r="D222" s="11" t="s">
        <v>1050</v>
      </c>
      <c r="E222" s="11" t="s">
        <v>855</v>
      </c>
    </row>
    <row r="223" ht="22.5" customHeight="1">
      <c r="A223" s="100" t="s">
        <v>1330</v>
      </c>
      <c r="B223" s="11" t="s">
        <v>1331</v>
      </c>
      <c r="C223" s="11" t="s">
        <v>1317</v>
      </c>
      <c r="D223" s="11" t="s">
        <v>1050</v>
      </c>
      <c r="E223" s="11" t="s">
        <v>855</v>
      </c>
    </row>
    <row r="224" ht="22.5" customHeight="1">
      <c r="A224" s="98" t="s">
        <v>1333</v>
      </c>
      <c r="B224" s="11" t="s">
        <v>1334</v>
      </c>
      <c r="C224" s="11" t="s">
        <v>1317</v>
      </c>
      <c r="D224" s="11" t="s">
        <v>1050</v>
      </c>
      <c r="E224" s="11" t="s">
        <v>855</v>
      </c>
    </row>
    <row r="225" ht="22.5" customHeight="1">
      <c r="A225" s="100" t="s">
        <v>1335</v>
      </c>
      <c r="B225" s="11" t="s">
        <v>1336</v>
      </c>
      <c r="C225" s="11" t="s">
        <v>1317</v>
      </c>
      <c r="D225" s="11" t="s">
        <v>1050</v>
      </c>
      <c r="E225" s="11" t="s">
        <v>855</v>
      </c>
    </row>
    <row r="226" ht="22.5" customHeight="1">
      <c r="A226" s="98" t="s">
        <v>1337</v>
      </c>
      <c r="B226" s="11" t="s">
        <v>1338</v>
      </c>
      <c r="C226" s="11" t="s">
        <v>1317</v>
      </c>
      <c r="D226" s="11" t="s">
        <v>1050</v>
      </c>
      <c r="E226" s="11" t="s">
        <v>1060</v>
      </c>
    </row>
    <row r="227" ht="22.5" customHeight="1">
      <c r="A227" s="100" t="s">
        <v>1339</v>
      </c>
      <c r="B227" s="11" t="s">
        <v>1048</v>
      </c>
      <c r="C227" s="11" t="s">
        <v>1317</v>
      </c>
      <c r="D227" s="11" t="s">
        <v>1050</v>
      </c>
      <c r="E227" s="11" t="s">
        <v>1060</v>
      </c>
    </row>
    <row r="228" ht="22.5" customHeight="1">
      <c r="A228" s="112" t="s">
        <v>1340</v>
      </c>
      <c r="B228" s="11" t="s">
        <v>1341</v>
      </c>
      <c r="C228" s="11" t="s">
        <v>1317</v>
      </c>
      <c r="D228" s="11" t="s">
        <v>1050</v>
      </c>
      <c r="E228" s="11" t="s">
        <v>1060</v>
      </c>
    </row>
    <row r="229" ht="22.5" customHeight="1">
      <c r="A229" s="98" t="s">
        <v>1342</v>
      </c>
      <c r="B229" s="11" t="s">
        <v>1343</v>
      </c>
      <c r="C229" s="11" t="s">
        <v>1317</v>
      </c>
      <c r="D229" s="11" t="s">
        <v>1050</v>
      </c>
      <c r="E229" s="11" t="s">
        <v>1060</v>
      </c>
    </row>
    <row r="230" ht="22.5" customHeight="1">
      <c r="A230" s="100" t="s">
        <v>1344</v>
      </c>
      <c r="B230" s="11" t="s">
        <v>1345</v>
      </c>
      <c r="C230" s="11" t="s">
        <v>1317</v>
      </c>
      <c r="D230" s="11" t="s">
        <v>1050</v>
      </c>
      <c r="E230" s="11" t="s">
        <v>1060</v>
      </c>
    </row>
    <row r="231" ht="22.5" customHeight="1">
      <c r="A231" s="98" t="s">
        <v>1346</v>
      </c>
      <c r="B231" s="11" t="s">
        <v>1347</v>
      </c>
      <c r="C231" s="11" t="s">
        <v>1317</v>
      </c>
      <c r="D231" s="11" t="s">
        <v>1050</v>
      </c>
      <c r="E231" s="11" t="s">
        <v>855</v>
      </c>
    </row>
    <row r="232" ht="22.5" customHeight="1">
      <c r="A232" s="100" t="s">
        <v>1348</v>
      </c>
      <c r="B232" s="11" t="s">
        <v>1349</v>
      </c>
      <c r="C232" s="11" t="s">
        <v>1317</v>
      </c>
      <c r="D232" s="11" t="s">
        <v>1050</v>
      </c>
      <c r="E232" s="11" t="s">
        <v>855</v>
      </c>
    </row>
    <row r="233" ht="22.5" customHeight="1">
      <c r="A233" s="98" t="s">
        <v>1351</v>
      </c>
      <c r="B233" s="11" t="s">
        <v>1069</v>
      </c>
      <c r="C233" s="11" t="s">
        <v>1317</v>
      </c>
      <c r="D233" s="11" t="s">
        <v>1050</v>
      </c>
      <c r="E233" s="11" t="s">
        <v>855</v>
      </c>
    </row>
    <row r="234" ht="22.5" customHeight="1">
      <c r="A234" s="100" t="s">
        <v>1352</v>
      </c>
      <c r="B234" s="11" t="s">
        <v>1353</v>
      </c>
      <c r="C234" s="11" t="s">
        <v>1317</v>
      </c>
      <c r="D234" s="11" t="s">
        <v>1050</v>
      </c>
      <c r="E234" s="11" t="s">
        <v>855</v>
      </c>
    </row>
    <row r="235" ht="22.5" customHeight="1">
      <c r="A235" s="98" t="s">
        <v>1355</v>
      </c>
      <c r="B235" s="11" t="s">
        <v>1356</v>
      </c>
      <c r="C235" s="11" t="s">
        <v>1317</v>
      </c>
      <c r="D235" s="11" t="s">
        <v>1050</v>
      </c>
      <c r="E235" s="11" t="s">
        <v>855</v>
      </c>
    </row>
    <row r="236" ht="22.5" customHeight="1">
      <c r="A236" s="100" t="s">
        <v>1358</v>
      </c>
      <c r="B236" s="11" t="s">
        <v>244</v>
      </c>
      <c r="C236" s="11" t="s">
        <v>1317</v>
      </c>
      <c r="D236" s="11" t="s">
        <v>1050</v>
      </c>
      <c r="E236" s="11" t="s">
        <v>855</v>
      </c>
    </row>
    <row r="237" ht="22.5" customHeight="1">
      <c r="A237" s="98" t="s">
        <v>1359</v>
      </c>
      <c r="B237" s="11" t="s">
        <v>940</v>
      </c>
      <c r="C237" s="11" t="s">
        <v>1317</v>
      </c>
      <c r="D237" s="11" t="s">
        <v>1050</v>
      </c>
      <c r="E237" s="11" t="s">
        <v>855</v>
      </c>
    </row>
    <row r="238" ht="22.5" customHeight="1">
      <c r="A238" s="100" t="s">
        <v>1360</v>
      </c>
      <c r="B238" s="11" t="s">
        <v>1338</v>
      </c>
      <c r="C238" s="11" t="s">
        <v>1361</v>
      </c>
      <c r="D238" s="11" t="s">
        <v>1050</v>
      </c>
      <c r="E238" s="11" t="s">
        <v>855</v>
      </c>
    </row>
    <row r="239" ht="22.5" customHeight="1">
      <c r="A239" s="98" t="s">
        <v>1362</v>
      </c>
      <c r="B239" s="11" t="s">
        <v>1363</v>
      </c>
      <c r="C239" s="11" t="s">
        <v>1361</v>
      </c>
      <c r="D239" s="11" t="s">
        <v>1050</v>
      </c>
      <c r="E239" s="11" t="s">
        <v>855</v>
      </c>
    </row>
    <row r="240" ht="22.5" customHeight="1">
      <c r="A240" s="112" t="s">
        <v>1364</v>
      </c>
      <c r="B240" s="11" t="s">
        <v>1132</v>
      </c>
      <c r="C240" s="11" t="s">
        <v>1317</v>
      </c>
      <c r="D240" s="11" t="s">
        <v>1050</v>
      </c>
      <c r="E240" s="11" t="s">
        <v>855</v>
      </c>
    </row>
    <row r="241" ht="22.5" customHeight="1">
      <c r="A241" s="98" t="s">
        <v>1365</v>
      </c>
      <c r="B241" s="11" t="s">
        <v>1071</v>
      </c>
      <c r="C241" s="11" t="s">
        <v>1361</v>
      </c>
      <c r="D241" s="11" t="s">
        <v>1050</v>
      </c>
      <c r="E241" s="11" t="s">
        <v>855</v>
      </c>
    </row>
    <row r="242" ht="22.5" customHeight="1">
      <c r="A242" s="100" t="s">
        <v>1366</v>
      </c>
      <c r="B242" s="11" t="s">
        <v>1069</v>
      </c>
      <c r="C242" s="11" t="s">
        <v>1361</v>
      </c>
      <c r="D242" s="11" t="s">
        <v>1050</v>
      </c>
      <c r="E242" s="11" t="s">
        <v>855</v>
      </c>
    </row>
    <row r="243" ht="22.5" customHeight="1">
      <c r="A243" s="98" t="s">
        <v>1367</v>
      </c>
      <c r="B243" s="11" t="s">
        <v>1069</v>
      </c>
      <c r="C243" s="11" t="s">
        <v>1361</v>
      </c>
      <c r="D243" s="11" t="s">
        <v>1050</v>
      </c>
      <c r="E243" s="11" t="s">
        <v>855</v>
      </c>
    </row>
    <row r="244" ht="22.5" customHeight="1">
      <c r="A244" s="100" t="s">
        <v>1368</v>
      </c>
      <c r="B244" s="11" t="s">
        <v>1066</v>
      </c>
      <c r="C244" s="11" t="s">
        <v>1361</v>
      </c>
      <c r="D244" s="11" t="s">
        <v>1050</v>
      </c>
      <c r="E244" s="11" t="s">
        <v>855</v>
      </c>
    </row>
    <row r="245" ht="22.5" customHeight="1">
      <c r="A245" s="98" t="s">
        <v>1369</v>
      </c>
      <c r="B245" s="11" t="s">
        <v>1063</v>
      </c>
      <c r="C245" s="11" t="s">
        <v>1361</v>
      </c>
      <c r="D245" s="11" t="s">
        <v>1050</v>
      </c>
      <c r="E245" s="11" t="s">
        <v>855</v>
      </c>
    </row>
    <row r="246" ht="22.5" customHeight="1">
      <c r="A246" s="100" t="s">
        <v>1370</v>
      </c>
      <c r="B246" s="11" t="s">
        <v>1371</v>
      </c>
      <c r="C246" s="11" t="s">
        <v>1361</v>
      </c>
      <c r="D246" s="11" t="s">
        <v>1050</v>
      </c>
      <c r="E246" s="11" t="s">
        <v>855</v>
      </c>
    </row>
    <row r="247" ht="22.5" customHeight="1">
      <c r="A247" s="98" t="s">
        <v>1372</v>
      </c>
      <c r="B247" s="11" t="s">
        <v>1048</v>
      </c>
      <c r="C247" s="11" t="s">
        <v>1361</v>
      </c>
      <c r="D247" s="11" t="s">
        <v>1050</v>
      </c>
      <c r="E247" s="11" t="s">
        <v>855</v>
      </c>
    </row>
    <row r="248" ht="22.5" customHeight="1">
      <c r="A248" s="100" t="s">
        <v>1373</v>
      </c>
      <c r="B248" s="11" t="s">
        <v>1048</v>
      </c>
      <c r="C248" s="11" t="s">
        <v>1361</v>
      </c>
      <c r="D248" s="11" t="s">
        <v>1050</v>
      </c>
      <c r="E248" s="11" t="s">
        <v>855</v>
      </c>
    </row>
    <row r="249" ht="22.5" customHeight="1">
      <c r="A249" s="98" t="s">
        <v>1374</v>
      </c>
      <c r="B249" s="11" t="s">
        <v>1076</v>
      </c>
      <c r="C249" s="11" t="s">
        <v>1361</v>
      </c>
      <c r="D249" s="11" t="s">
        <v>1050</v>
      </c>
      <c r="E249" s="11" t="s">
        <v>855</v>
      </c>
    </row>
    <row r="250" ht="22.5" customHeight="1">
      <c r="A250" s="100" t="s">
        <v>1375</v>
      </c>
      <c r="B250" s="11" t="s">
        <v>1376</v>
      </c>
      <c r="C250" s="11" t="s">
        <v>1361</v>
      </c>
      <c r="D250" s="11" t="s">
        <v>1050</v>
      </c>
      <c r="E250" s="11" t="s">
        <v>855</v>
      </c>
    </row>
    <row r="251" ht="22.5" customHeight="1">
      <c r="A251" s="98" t="s">
        <v>1377</v>
      </c>
      <c r="B251" s="11" t="s">
        <v>1048</v>
      </c>
      <c r="C251" s="11" t="s">
        <v>1361</v>
      </c>
      <c r="D251" s="11" t="s">
        <v>1050</v>
      </c>
      <c r="E251" s="11" t="s">
        <v>855</v>
      </c>
    </row>
    <row r="252" ht="22.5" customHeight="1">
      <c r="A252" s="100" t="s">
        <v>1378</v>
      </c>
      <c r="B252" s="11" t="s">
        <v>1069</v>
      </c>
      <c r="C252" s="11" t="s">
        <v>1361</v>
      </c>
      <c r="D252" s="11" t="s">
        <v>1050</v>
      </c>
      <c r="E252" s="11" t="s">
        <v>855</v>
      </c>
    </row>
    <row r="253" ht="22.5" customHeight="1">
      <c r="A253" s="98" t="s">
        <v>1379</v>
      </c>
      <c r="B253" s="11" t="s">
        <v>1061</v>
      </c>
      <c r="C253" s="11" t="s">
        <v>1361</v>
      </c>
      <c r="D253" s="11" t="s">
        <v>1050</v>
      </c>
      <c r="E253" s="11" t="s">
        <v>855</v>
      </c>
    </row>
    <row r="254" ht="22.5" customHeight="1">
      <c r="A254" s="100" t="s">
        <v>1383</v>
      </c>
      <c r="B254" s="11" t="s">
        <v>1125</v>
      </c>
      <c r="C254" s="11" t="s">
        <v>1361</v>
      </c>
      <c r="D254" s="11" t="s">
        <v>1050</v>
      </c>
      <c r="E254" s="11" t="s">
        <v>855</v>
      </c>
    </row>
    <row r="255" ht="22.5" customHeight="1">
      <c r="A255" s="98" t="s">
        <v>779</v>
      </c>
      <c r="B255" s="11" t="s">
        <v>244</v>
      </c>
      <c r="C255" s="11" t="s">
        <v>1361</v>
      </c>
      <c r="D255" s="11" t="s">
        <v>1050</v>
      </c>
      <c r="E255" s="11" t="s">
        <v>855</v>
      </c>
    </row>
    <row r="256" ht="22.5" customHeight="1">
      <c r="A256" s="100" t="s">
        <v>789</v>
      </c>
      <c r="B256" s="11" t="s">
        <v>940</v>
      </c>
      <c r="C256" s="11" t="s">
        <v>1361</v>
      </c>
      <c r="D256" s="11" t="s">
        <v>1050</v>
      </c>
      <c r="E256" s="11" t="s">
        <v>855</v>
      </c>
    </row>
    <row r="257" ht="22.5" customHeight="1">
      <c r="A257" s="98" t="s">
        <v>796</v>
      </c>
      <c r="B257" s="11" t="s">
        <v>941</v>
      </c>
      <c r="C257" s="11" t="s">
        <v>1361</v>
      </c>
      <c r="D257" s="11" t="s">
        <v>1050</v>
      </c>
      <c r="E257" s="11" t="s">
        <v>855</v>
      </c>
    </row>
    <row r="258" ht="22.5" customHeight="1">
      <c r="A258" s="100" t="s">
        <v>1385</v>
      </c>
      <c r="B258" s="11" t="s">
        <v>1069</v>
      </c>
      <c r="C258" s="11" t="s">
        <v>1361</v>
      </c>
      <c r="D258" s="11" t="s">
        <v>1050</v>
      </c>
      <c r="E258" s="11" t="s">
        <v>855</v>
      </c>
    </row>
    <row r="259" ht="22.5" customHeight="1">
      <c r="A259" s="98" t="s">
        <v>1386</v>
      </c>
      <c r="B259" s="11" t="s">
        <v>1387</v>
      </c>
      <c r="C259" s="11" t="s">
        <v>1361</v>
      </c>
      <c r="D259" s="11" t="s">
        <v>1050</v>
      </c>
      <c r="E259" s="11" t="s">
        <v>855</v>
      </c>
    </row>
    <row r="260" ht="22.5" customHeight="1">
      <c r="A260" s="100" t="s">
        <v>1388</v>
      </c>
      <c r="B260" s="11" t="s">
        <v>1389</v>
      </c>
      <c r="C260" s="11" t="s">
        <v>1361</v>
      </c>
      <c r="D260" s="11" t="s">
        <v>1050</v>
      </c>
      <c r="E260" s="11" t="s">
        <v>855</v>
      </c>
    </row>
    <row r="261" ht="22.5" customHeight="1">
      <c r="A261" s="98" t="s">
        <v>804</v>
      </c>
      <c r="B261" s="11" t="s">
        <v>942</v>
      </c>
      <c r="C261" s="11" t="s">
        <v>1361</v>
      </c>
      <c r="D261" s="11" t="s">
        <v>1050</v>
      </c>
      <c r="E261" s="11" t="s">
        <v>855</v>
      </c>
    </row>
    <row r="262" ht="22.5" customHeight="1">
      <c r="A262" s="100" t="s">
        <v>812</v>
      </c>
      <c r="B262" s="11" t="s">
        <v>943</v>
      </c>
      <c r="C262" s="11" t="s">
        <v>1361</v>
      </c>
      <c r="D262" s="11" t="s">
        <v>1050</v>
      </c>
      <c r="E262" s="11" t="s">
        <v>855</v>
      </c>
    </row>
    <row r="263" ht="22.5" customHeight="1">
      <c r="A263" s="98" t="s">
        <v>1390</v>
      </c>
      <c r="B263" s="11" t="s">
        <v>1069</v>
      </c>
      <c r="C263" s="11" t="s">
        <v>1361</v>
      </c>
      <c r="D263" s="11" t="s">
        <v>1050</v>
      </c>
      <c r="E263" s="11" t="s">
        <v>855</v>
      </c>
    </row>
    <row r="264" ht="22.5" customHeight="1">
      <c r="A264" s="100" t="s">
        <v>1391</v>
      </c>
      <c r="B264" s="11" t="s">
        <v>1392</v>
      </c>
      <c r="C264" s="11" t="s">
        <v>1361</v>
      </c>
      <c r="D264" s="11" t="s">
        <v>1050</v>
      </c>
      <c r="E264" s="11" t="s">
        <v>855</v>
      </c>
    </row>
    <row r="265" ht="22.5" customHeight="1">
      <c r="A265" s="98" t="s">
        <v>1393</v>
      </c>
      <c r="B265" s="11" t="s">
        <v>1394</v>
      </c>
      <c r="C265" s="11" t="s">
        <v>1361</v>
      </c>
      <c r="D265" s="11" t="s">
        <v>1050</v>
      </c>
      <c r="E265" s="11" t="s">
        <v>855</v>
      </c>
    </row>
    <row r="266" ht="22.5" customHeight="1">
      <c r="A266" s="100" t="s">
        <v>815</v>
      </c>
      <c r="B266" s="11" t="s">
        <v>944</v>
      </c>
      <c r="C266" s="11" t="s">
        <v>1361</v>
      </c>
      <c r="D266" s="11" t="s">
        <v>1050</v>
      </c>
      <c r="E266" s="11" t="s">
        <v>855</v>
      </c>
    </row>
    <row r="267" ht="22.5" customHeight="1">
      <c r="A267" s="98" t="s">
        <v>1395</v>
      </c>
      <c r="B267" s="11" t="s">
        <v>1396</v>
      </c>
      <c r="C267" s="11" t="s">
        <v>1361</v>
      </c>
      <c r="D267" s="11" t="s">
        <v>1050</v>
      </c>
      <c r="E267" s="11" t="s">
        <v>855</v>
      </c>
    </row>
    <row r="268" ht="22.5" customHeight="1">
      <c r="A268" s="100" t="s">
        <v>1397</v>
      </c>
      <c r="B268" s="11" t="s">
        <v>1132</v>
      </c>
      <c r="C268" s="11" t="s">
        <v>1361</v>
      </c>
      <c r="D268" s="11" t="s">
        <v>1050</v>
      </c>
      <c r="E268" s="11" t="s">
        <v>855</v>
      </c>
    </row>
    <row r="269" ht="22.5" customHeight="1">
      <c r="A269" s="98" t="s">
        <v>945</v>
      </c>
      <c r="B269" s="11" t="s">
        <v>946</v>
      </c>
      <c r="C269" s="11" t="s">
        <v>1361</v>
      </c>
      <c r="D269" s="11" t="s">
        <v>1050</v>
      </c>
      <c r="E269" s="11" t="s">
        <v>855</v>
      </c>
    </row>
    <row r="270" ht="22.5" customHeight="1">
      <c r="A270" s="100" t="s">
        <v>1399</v>
      </c>
      <c r="B270" s="11" t="s">
        <v>1141</v>
      </c>
      <c r="C270" s="11" t="s">
        <v>1361</v>
      </c>
      <c r="D270" s="11" t="s">
        <v>1050</v>
      </c>
      <c r="E270" s="11" t="s">
        <v>855</v>
      </c>
    </row>
    <row r="271" ht="22.5" customHeight="1">
      <c r="A271" s="98" t="s">
        <v>1400</v>
      </c>
      <c r="B271" s="11" t="s">
        <v>1069</v>
      </c>
      <c r="C271" s="11" t="s">
        <v>1361</v>
      </c>
      <c r="D271" s="11" t="s">
        <v>1050</v>
      </c>
      <c r="E271" s="11" t="s">
        <v>855</v>
      </c>
    </row>
    <row r="272" ht="22.5" customHeight="1">
      <c r="A272" s="100" t="s">
        <v>207</v>
      </c>
      <c r="B272" s="11" t="s">
        <v>1071</v>
      </c>
      <c r="C272" s="11" t="s">
        <v>1361</v>
      </c>
      <c r="D272" s="11" t="s">
        <v>1401</v>
      </c>
      <c r="E272" s="11" t="s">
        <v>855</v>
      </c>
    </row>
    <row r="273" ht="22.5" customHeight="1">
      <c r="A273" s="98" t="s">
        <v>277</v>
      </c>
      <c r="B273" s="11" t="s">
        <v>1069</v>
      </c>
      <c r="C273" s="11" t="s">
        <v>1361</v>
      </c>
      <c r="D273" s="11" t="s">
        <v>1401</v>
      </c>
      <c r="E273" s="11" t="s">
        <v>855</v>
      </c>
    </row>
    <row r="274" ht="22.5" customHeight="1">
      <c r="A274" s="100" t="s">
        <v>302</v>
      </c>
      <c r="B274" s="11" t="s">
        <v>1048</v>
      </c>
      <c r="C274" s="11" t="s">
        <v>1361</v>
      </c>
      <c r="D274" s="11" t="s">
        <v>1401</v>
      </c>
      <c r="E274" s="11" t="s">
        <v>855</v>
      </c>
    </row>
    <row r="275" ht="22.5" customHeight="1">
      <c r="A275" s="98" t="s">
        <v>321</v>
      </c>
      <c r="B275" s="11" t="s">
        <v>948</v>
      </c>
      <c r="C275" s="11" t="s">
        <v>1361</v>
      </c>
      <c r="D275" s="11" t="s">
        <v>1401</v>
      </c>
      <c r="E275" s="11" t="s">
        <v>855</v>
      </c>
    </row>
    <row r="276" ht="22.5" customHeight="1">
      <c r="A276" s="100" t="s">
        <v>337</v>
      </c>
      <c r="B276" s="11" t="s">
        <v>1402</v>
      </c>
      <c r="C276" s="11" t="s">
        <v>1361</v>
      </c>
      <c r="D276" s="11" t="s">
        <v>1401</v>
      </c>
      <c r="E276" s="11" t="s">
        <v>855</v>
      </c>
    </row>
    <row r="277" ht="22.5" customHeight="1">
      <c r="A277" s="98" t="s">
        <v>347</v>
      </c>
      <c r="B277" s="11" t="s">
        <v>1069</v>
      </c>
      <c r="C277" s="11" t="s">
        <v>1361</v>
      </c>
      <c r="D277" s="11" t="s">
        <v>1401</v>
      </c>
      <c r="E277" s="11" t="s">
        <v>855</v>
      </c>
    </row>
    <row r="278" ht="22.5" customHeight="1">
      <c r="A278" s="100" t="s">
        <v>365</v>
      </c>
      <c r="B278" s="11" t="s">
        <v>1048</v>
      </c>
      <c r="C278" s="11" t="s">
        <v>1361</v>
      </c>
      <c r="D278" s="11" t="s">
        <v>1401</v>
      </c>
      <c r="E278" s="11" t="s">
        <v>855</v>
      </c>
    </row>
    <row r="279" ht="22.5" customHeight="1">
      <c r="A279" s="98" t="s">
        <v>379</v>
      </c>
      <c r="B279" s="11" t="s">
        <v>1404</v>
      </c>
      <c r="C279" s="11" t="s">
        <v>1361</v>
      </c>
      <c r="D279" s="11" t="s">
        <v>1401</v>
      </c>
      <c r="E279" s="11" t="s">
        <v>855</v>
      </c>
    </row>
    <row r="280" ht="22.5" customHeight="1">
      <c r="A280" s="100" t="s">
        <v>391</v>
      </c>
      <c r="B280" s="11" t="s">
        <v>1048</v>
      </c>
      <c r="C280" s="11" t="s">
        <v>1361</v>
      </c>
      <c r="D280" s="11" t="s">
        <v>1401</v>
      </c>
      <c r="E280" s="11" t="s">
        <v>855</v>
      </c>
    </row>
    <row r="281" ht="22.5" customHeight="1">
      <c r="A281" s="98" t="s">
        <v>404</v>
      </c>
      <c r="B281" s="11" t="s">
        <v>950</v>
      </c>
      <c r="C281" s="11" t="s">
        <v>1361</v>
      </c>
      <c r="D281" s="11" t="s">
        <v>1401</v>
      </c>
      <c r="E281" s="11" t="s">
        <v>855</v>
      </c>
    </row>
    <row r="282" ht="22.5" customHeight="1">
      <c r="A282" s="100" t="s">
        <v>412</v>
      </c>
      <c r="B282" s="11" t="s">
        <v>1048</v>
      </c>
      <c r="C282" s="11" t="s">
        <v>1361</v>
      </c>
      <c r="D282" s="11" t="s">
        <v>1401</v>
      </c>
      <c r="E282" s="11" t="s">
        <v>855</v>
      </c>
    </row>
    <row r="283" ht="22.5" customHeight="1">
      <c r="A283" s="98" t="s">
        <v>421</v>
      </c>
      <c r="B283" s="11" t="s">
        <v>951</v>
      </c>
      <c r="C283" s="11" t="s">
        <v>1361</v>
      </c>
      <c r="D283" s="11" t="s">
        <v>1401</v>
      </c>
      <c r="E283" s="11" t="s">
        <v>855</v>
      </c>
    </row>
    <row r="284" ht="22.5" customHeight="1">
      <c r="A284" s="100" t="s">
        <v>432</v>
      </c>
      <c r="B284" s="11" t="s">
        <v>1048</v>
      </c>
      <c r="C284" s="11" t="s">
        <v>1361</v>
      </c>
      <c r="D284" s="11" t="s">
        <v>1401</v>
      </c>
      <c r="E284" s="11" t="s">
        <v>855</v>
      </c>
    </row>
    <row r="285" ht="22.5" customHeight="1">
      <c r="A285" s="98" t="s">
        <v>442</v>
      </c>
      <c r="B285" s="11" t="s">
        <v>953</v>
      </c>
      <c r="C285" s="11" t="s">
        <v>1361</v>
      </c>
      <c r="D285" s="11" t="s">
        <v>1401</v>
      </c>
      <c r="E285" s="11" t="s">
        <v>855</v>
      </c>
    </row>
    <row r="286" ht="22.5" customHeight="1">
      <c r="A286" s="100" t="s">
        <v>450</v>
      </c>
      <c r="B286" s="11" t="s">
        <v>1069</v>
      </c>
      <c r="C286" s="11" t="s">
        <v>1361</v>
      </c>
      <c r="D286" s="11" t="s">
        <v>1401</v>
      </c>
      <c r="E286" s="11" t="s">
        <v>855</v>
      </c>
    </row>
    <row r="287" ht="22.5" customHeight="1">
      <c r="A287" s="98" t="s">
        <v>456</v>
      </c>
      <c r="B287" s="11" t="s">
        <v>955</v>
      </c>
      <c r="C287" s="11" t="s">
        <v>1361</v>
      </c>
      <c r="D287" s="11" t="s">
        <v>1401</v>
      </c>
      <c r="E287" s="11" t="s">
        <v>855</v>
      </c>
    </row>
    <row r="288" ht="22.5" customHeight="1">
      <c r="A288" s="100" t="s">
        <v>466</v>
      </c>
      <c r="B288" s="11" t="s">
        <v>1214</v>
      </c>
      <c r="C288" s="11" t="s">
        <v>1361</v>
      </c>
      <c r="D288" s="11" t="s">
        <v>1401</v>
      </c>
      <c r="E288" s="11" t="s">
        <v>855</v>
      </c>
    </row>
    <row r="289" ht="22.5" customHeight="1">
      <c r="A289" s="98" t="s">
        <v>479</v>
      </c>
      <c r="B289" s="11" t="s">
        <v>1048</v>
      </c>
      <c r="C289" s="11" t="s">
        <v>1361</v>
      </c>
      <c r="D289" s="11" t="s">
        <v>1401</v>
      </c>
      <c r="E289" s="11" t="s">
        <v>855</v>
      </c>
    </row>
    <row r="290" ht="22.5" customHeight="1">
      <c r="A290" s="115" t="s">
        <v>486</v>
      </c>
      <c r="B290" s="11" t="s">
        <v>957</v>
      </c>
      <c r="C290" s="11" t="s">
        <v>1361</v>
      </c>
      <c r="D290" s="11" t="s">
        <v>1401</v>
      </c>
      <c r="E290" s="11" t="s">
        <v>855</v>
      </c>
    </row>
    <row r="291" ht="22.5" customHeight="1">
      <c r="A291" s="116" t="s">
        <v>496</v>
      </c>
      <c r="B291" s="11" t="s">
        <v>1048</v>
      </c>
      <c r="C291" s="11" t="s">
        <v>1361</v>
      </c>
      <c r="D291" s="11" t="s">
        <v>1401</v>
      </c>
      <c r="E291" s="11" t="s">
        <v>855</v>
      </c>
    </row>
    <row r="292" ht="22.5" customHeight="1">
      <c r="A292" s="115" t="s">
        <v>507</v>
      </c>
      <c r="B292" s="11" t="s">
        <v>960</v>
      </c>
      <c r="C292" s="11" t="s">
        <v>1361</v>
      </c>
      <c r="D292" s="11" t="s">
        <v>1401</v>
      </c>
      <c r="E292" s="11" t="s">
        <v>855</v>
      </c>
    </row>
    <row r="293" ht="22.5" customHeight="1">
      <c r="A293" s="116" t="s">
        <v>520</v>
      </c>
      <c r="B293" s="11" t="s">
        <v>1048</v>
      </c>
      <c r="C293" s="11" t="s">
        <v>1361</v>
      </c>
      <c r="D293" s="11" t="s">
        <v>1401</v>
      </c>
      <c r="E293" s="11" t="s">
        <v>855</v>
      </c>
    </row>
    <row r="294" ht="22.5" customHeight="1">
      <c r="A294" s="115" t="s">
        <v>530</v>
      </c>
      <c r="B294" s="11" t="s">
        <v>962</v>
      </c>
      <c r="C294" s="11" t="s">
        <v>1361</v>
      </c>
      <c r="D294" s="11" t="s">
        <v>1401</v>
      </c>
      <c r="E294" s="11" t="s">
        <v>855</v>
      </c>
    </row>
    <row r="295" ht="22.5" customHeight="1">
      <c r="A295" s="116" t="s">
        <v>543</v>
      </c>
      <c r="B295" s="11" t="s">
        <v>1048</v>
      </c>
      <c r="C295" s="11" t="s">
        <v>1361</v>
      </c>
      <c r="D295" s="11" t="s">
        <v>1401</v>
      </c>
      <c r="E295" s="11" t="s">
        <v>855</v>
      </c>
    </row>
    <row r="296" ht="22.5" customHeight="1">
      <c r="A296" s="115" t="s">
        <v>552</v>
      </c>
      <c r="B296" s="11" t="s">
        <v>963</v>
      </c>
      <c r="C296" s="11" t="s">
        <v>1361</v>
      </c>
      <c r="D296" s="11" t="s">
        <v>1401</v>
      </c>
      <c r="E296" s="11" t="s">
        <v>855</v>
      </c>
    </row>
    <row r="297" ht="22.5" customHeight="1">
      <c r="A297" s="116" t="s">
        <v>556</v>
      </c>
      <c r="B297" s="11" t="s">
        <v>1415</v>
      </c>
      <c r="C297" s="11" t="s">
        <v>1361</v>
      </c>
      <c r="D297" s="11" t="s">
        <v>1401</v>
      </c>
      <c r="E297" s="11" t="s">
        <v>855</v>
      </c>
    </row>
    <row r="298" ht="22.5" customHeight="1">
      <c r="A298" s="100" t="s">
        <v>562</v>
      </c>
      <c r="B298" s="11" t="s">
        <v>1048</v>
      </c>
      <c r="C298" s="11" t="s">
        <v>1361</v>
      </c>
      <c r="D298" s="11" t="s">
        <v>1401</v>
      </c>
      <c r="E298" s="11" t="s">
        <v>855</v>
      </c>
    </row>
    <row r="299" ht="22.5" customHeight="1">
      <c r="A299" s="116" t="s">
        <v>572</v>
      </c>
      <c r="B299" s="11" t="s">
        <v>1069</v>
      </c>
      <c r="C299" s="11" t="s">
        <v>1361</v>
      </c>
      <c r="D299" s="11" t="s">
        <v>1401</v>
      </c>
      <c r="E299" s="11" t="s">
        <v>855</v>
      </c>
    </row>
    <row r="300" ht="22.5" customHeight="1">
      <c r="A300" s="100" t="s">
        <v>581</v>
      </c>
      <c r="B300" s="11" t="s">
        <v>1066</v>
      </c>
      <c r="C300" s="11" t="s">
        <v>1361</v>
      </c>
      <c r="D300" s="11" t="s">
        <v>1401</v>
      </c>
      <c r="E300" s="11" t="s">
        <v>855</v>
      </c>
    </row>
    <row r="301" ht="22.5" customHeight="1">
      <c r="A301" s="98" t="s">
        <v>590</v>
      </c>
      <c r="B301" s="11" t="s">
        <v>1063</v>
      </c>
      <c r="C301" s="11" t="s">
        <v>1361</v>
      </c>
      <c r="D301" s="11" t="s">
        <v>1401</v>
      </c>
      <c r="E301" s="11" t="s">
        <v>855</v>
      </c>
    </row>
    <row r="302" ht="22.5" customHeight="1">
      <c r="A302" s="115" t="s">
        <v>601</v>
      </c>
      <c r="B302" s="11" t="s">
        <v>1416</v>
      </c>
      <c r="C302" s="11" t="s">
        <v>1361</v>
      </c>
      <c r="D302" s="11" t="s">
        <v>1401</v>
      </c>
      <c r="E302" s="11" t="s">
        <v>855</v>
      </c>
    </row>
    <row r="303" ht="22.5" customHeight="1">
      <c r="A303" s="116" t="s">
        <v>610</v>
      </c>
      <c r="B303" s="11" t="s">
        <v>1069</v>
      </c>
      <c r="C303" s="11" t="s">
        <v>1361</v>
      </c>
      <c r="D303" s="11" t="s">
        <v>1401</v>
      </c>
      <c r="E303" s="11" t="s">
        <v>855</v>
      </c>
    </row>
    <row r="304" ht="22.5" customHeight="1">
      <c r="A304" s="115" t="s">
        <v>622</v>
      </c>
      <c r="B304" s="11" t="s">
        <v>1076</v>
      </c>
      <c r="C304" s="11" t="s">
        <v>1361</v>
      </c>
      <c r="D304" s="11" t="s">
        <v>1401</v>
      </c>
      <c r="E304" s="11" t="s">
        <v>855</v>
      </c>
    </row>
    <row r="305" ht="22.5" customHeight="1">
      <c r="A305" s="98" t="s">
        <v>626</v>
      </c>
      <c r="B305" s="11" t="s">
        <v>964</v>
      </c>
      <c r="C305" s="11" t="s">
        <v>1361</v>
      </c>
      <c r="D305" s="11" t="s">
        <v>1401</v>
      </c>
      <c r="E305" s="11" t="s">
        <v>855</v>
      </c>
    </row>
    <row r="306" ht="22.5" customHeight="1">
      <c r="A306" s="100" t="s">
        <v>635</v>
      </c>
      <c r="B306" s="11" t="s">
        <v>966</v>
      </c>
      <c r="C306" s="11" t="s">
        <v>1361</v>
      </c>
      <c r="D306" s="11" t="s">
        <v>1401</v>
      </c>
      <c r="E306" s="11" t="s">
        <v>855</v>
      </c>
    </row>
    <row r="307" ht="22.5" customHeight="1">
      <c r="A307" s="98" t="s">
        <v>642</v>
      </c>
      <c r="B307" s="11" t="s">
        <v>968</v>
      </c>
      <c r="C307" s="11" t="s">
        <v>1361</v>
      </c>
      <c r="D307" s="11" t="s">
        <v>1401</v>
      </c>
      <c r="E307" s="11" t="s">
        <v>855</v>
      </c>
    </row>
    <row r="308" ht="22.5" customHeight="1">
      <c r="A308" s="100" t="s">
        <v>648</v>
      </c>
      <c r="B308" s="11" t="s">
        <v>970</v>
      </c>
      <c r="C308" s="11" t="s">
        <v>1361</v>
      </c>
      <c r="D308" s="11" t="s">
        <v>1401</v>
      </c>
      <c r="E308" s="11" t="s">
        <v>855</v>
      </c>
    </row>
    <row r="309" ht="22.5" customHeight="1">
      <c r="A309" s="98" t="s">
        <v>655</v>
      </c>
      <c r="B309" s="11" t="s">
        <v>973</v>
      </c>
      <c r="C309" s="11" t="s">
        <v>1361</v>
      </c>
      <c r="D309" s="11" t="s">
        <v>1401</v>
      </c>
      <c r="E309" s="11" t="s">
        <v>855</v>
      </c>
    </row>
    <row r="310" ht="22.5" customHeight="1">
      <c r="A310" s="115" t="s">
        <v>665</v>
      </c>
      <c r="B310" s="11" t="s">
        <v>1069</v>
      </c>
      <c r="C310" s="11" t="s">
        <v>1361</v>
      </c>
      <c r="D310" s="11" t="s">
        <v>1401</v>
      </c>
      <c r="E310" s="11" t="s">
        <v>855</v>
      </c>
    </row>
    <row r="311" ht="22.5" customHeight="1">
      <c r="A311" s="116" t="s">
        <v>673</v>
      </c>
      <c r="B311" s="11" t="s">
        <v>1183</v>
      </c>
      <c r="C311" s="11" t="s">
        <v>1361</v>
      </c>
      <c r="D311" s="11" t="s">
        <v>1401</v>
      </c>
      <c r="E311" s="11" t="s">
        <v>855</v>
      </c>
    </row>
    <row r="312" ht="22.5" customHeight="1">
      <c r="A312" s="100" t="s">
        <v>1418</v>
      </c>
      <c r="B312" s="11" t="s">
        <v>1185</v>
      </c>
      <c r="C312" s="11" t="s">
        <v>1361</v>
      </c>
      <c r="D312" s="11" t="s">
        <v>1401</v>
      </c>
      <c r="E312" s="11" t="s">
        <v>855</v>
      </c>
    </row>
    <row r="313" ht="22.5" customHeight="1">
      <c r="A313" s="116" t="s">
        <v>689</v>
      </c>
      <c r="B313" s="11" t="s">
        <v>1187</v>
      </c>
      <c r="C313" s="11" t="s">
        <v>1361</v>
      </c>
      <c r="D313" s="11" t="s">
        <v>1401</v>
      </c>
      <c r="E313" s="11" t="s">
        <v>855</v>
      </c>
    </row>
    <row r="314" ht="22.5" customHeight="1">
      <c r="A314" s="117" t="s">
        <v>1419</v>
      </c>
      <c r="B314" s="11" t="s">
        <v>1190</v>
      </c>
      <c r="C314" s="11" t="s">
        <v>1361</v>
      </c>
      <c r="D314" s="11" t="s">
        <v>1401</v>
      </c>
      <c r="E314" s="11" t="s">
        <v>855</v>
      </c>
    </row>
    <row r="315" ht="22.5" customHeight="1">
      <c r="A315" s="116" t="s">
        <v>704</v>
      </c>
      <c r="B315" s="11" t="s">
        <v>1192</v>
      </c>
      <c r="C315" s="11" t="s">
        <v>1361</v>
      </c>
      <c r="D315" s="11" t="s">
        <v>1401</v>
      </c>
      <c r="E315" s="11" t="s">
        <v>855</v>
      </c>
    </row>
    <row r="316" ht="22.5" customHeight="1">
      <c r="A316" s="115" t="s">
        <v>710</v>
      </c>
      <c r="B316" s="11" t="s">
        <v>1132</v>
      </c>
      <c r="C316" s="11" t="s">
        <v>1361</v>
      </c>
      <c r="D316" s="11" t="s">
        <v>1401</v>
      </c>
      <c r="E316" s="11" t="s">
        <v>855</v>
      </c>
    </row>
    <row r="317" ht="22.5" customHeight="1">
      <c r="A317" s="116" t="s">
        <v>714</v>
      </c>
      <c r="B317" s="11" t="s">
        <v>1069</v>
      </c>
      <c r="C317" s="11" t="s">
        <v>1361</v>
      </c>
      <c r="D317" s="11" t="s">
        <v>1401</v>
      </c>
      <c r="E317" s="11" t="s">
        <v>855</v>
      </c>
    </row>
    <row r="318" ht="22.5" customHeight="1">
      <c r="A318" s="115" t="s">
        <v>719</v>
      </c>
      <c r="B318" s="11" t="s">
        <v>940</v>
      </c>
      <c r="C318" s="11" t="s">
        <v>1361</v>
      </c>
      <c r="D318" s="11" t="s">
        <v>1401</v>
      </c>
      <c r="E318" s="11" t="s">
        <v>855</v>
      </c>
    </row>
    <row r="319" ht="22.5" customHeight="1">
      <c r="A319" s="116" t="s">
        <v>725</v>
      </c>
      <c r="B319" s="11" t="s">
        <v>244</v>
      </c>
      <c r="C319" s="11" t="s">
        <v>1361</v>
      </c>
      <c r="D319" s="11" t="s">
        <v>1401</v>
      </c>
      <c r="E319" s="11" t="s">
        <v>855</v>
      </c>
    </row>
    <row r="320" ht="22.5" customHeight="1">
      <c r="A320" s="115" t="s">
        <v>728</v>
      </c>
      <c r="B320" s="11" t="s">
        <v>1125</v>
      </c>
      <c r="C320" s="11" t="s">
        <v>1361</v>
      </c>
      <c r="D320" s="11" t="s">
        <v>1401</v>
      </c>
      <c r="E320" s="11" t="s">
        <v>855</v>
      </c>
    </row>
    <row r="321" ht="22.5" customHeight="1">
      <c r="A321" s="116" t="s">
        <v>735</v>
      </c>
      <c r="B321" s="11" t="s">
        <v>1061</v>
      </c>
      <c r="C321" s="11" t="s">
        <v>1361</v>
      </c>
      <c r="D321" s="11" t="s">
        <v>1401</v>
      </c>
      <c r="E321" s="11" t="s">
        <v>855</v>
      </c>
    </row>
    <row r="322" ht="22.5" customHeight="1">
      <c r="A322" s="100" t="s">
        <v>738</v>
      </c>
      <c r="B322" s="11" t="s">
        <v>1422</v>
      </c>
      <c r="C322" s="11" t="s">
        <v>1361</v>
      </c>
      <c r="D322" s="11" t="s">
        <v>1401</v>
      </c>
      <c r="E322" s="11" t="s">
        <v>855</v>
      </c>
    </row>
    <row r="323" ht="22.5" customHeight="1">
      <c r="A323" s="116" t="s">
        <v>744</v>
      </c>
      <c r="B323" s="11" t="s">
        <v>1141</v>
      </c>
      <c r="C323" s="11" t="s">
        <v>1361</v>
      </c>
      <c r="D323" s="11" t="s">
        <v>1401</v>
      </c>
      <c r="E323" s="11" t="s">
        <v>855</v>
      </c>
    </row>
    <row r="324" ht="22.5" customHeight="1">
      <c r="A324" s="100" t="s">
        <v>748</v>
      </c>
      <c r="B324" s="11" t="s">
        <v>1069</v>
      </c>
      <c r="C324" s="11" t="s">
        <v>1361</v>
      </c>
      <c r="D324" s="11" t="s">
        <v>1401</v>
      </c>
      <c r="E324" s="11" t="s">
        <v>855</v>
      </c>
    </row>
    <row r="325" ht="22.5" customHeight="1">
      <c r="A325" s="98" t="s">
        <v>795</v>
      </c>
      <c r="B325" s="11" t="s">
        <v>1338</v>
      </c>
      <c r="C325" s="11" t="s">
        <v>1361</v>
      </c>
      <c r="D325" s="11" t="s">
        <v>1135</v>
      </c>
      <c r="E325" s="11" t="s">
        <v>855</v>
      </c>
    </row>
    <row r="326" ht="22.5" customHeight="1">
      <c r="A326" s="100" t="s">
        <v>802</v>
      </c>
      <c r="B326" s="11" t="s">
        <v>1069</v>
      </c>
      <c r="C326" s="11" t="s">
        <v>1361</v>
      </c>
      <c r="D326" s="11" t="s">
        <v>1135</v>
      </c>
      <c r="E326" s="11" t="s">
        <v>855</v>
      </c>
    </row>
    <row r="327" ht="22.5" customHeight="1">
      <c r="A327" s="116" t="s">
        <v>1423</v>
      </c>
      <c r="B327" s="11" t="s">
        <v>1424</v>
      </c>
      <c r="C327" s="11" t="s">
        <v>1361</v>
      </c>
      <c r="D327" s="11" t="s">
        <v>1135</v>
      </c>
      <c r="E327" s="11" t="s">
        <v>855</v>
      </c>
    </row>
    <row r="328" ht="22.5" customHeight="1">
      <c r="A328" s="100" t="s">
        <v>1425</v>
      </c>
      <c r="B328" s="11" t="s">
        <v>1426</v>
      </c>
      <c r="C328" s="11" t="s">
        <v>1361</v>
      </c>
      <c r="D328" s="11" t="s">
        <v>1135</v>
      </c>
      <c r="E328" s="11" t="s">
        <v>855</v>
      </c>
    </row>
    <row r="329" ht="22.5" customHeight="1">
      <c r="A329" s="112" t="s">
        <v>1427</v>
      </c>
      <c r="B329" s="11" t="s">
        <v>1426</v>
      </c>
      <c r="C329" s="11" t="s">
        <v>1361</v>
      </c>
      <c r="D329" s="11" t="s">
        <v>1135</v>
      </c>
      <c r="E329" s="11" t="s">
        <v>975</v>
      </c>
    </row>
    <row r="330" ht="22.5" customHeight="1">
      <c r="A330" s="116" t="s">
        <v>809</v>
      </c>
      <c r="B330" s="11" t="s">
        <v>1428</v>
      </c>
      <c r="C330" s="11" t="s">
        <v>1361</v>
      </c>
      <c r="D330" s="11" t="s">
        <v>1135</v>
      </c>
      <c r="E330" s="11" t="s">
        <v>855</v>
      </c>
    </row>
    <row r="331" ht="22.5" customHeight="1">
      <c r="A331" s="118" t="s">
        <v>814</v>
      </c>
      <c r="B331" s="11" t="s">
        <v>1428</v>
      </c>
      <c r="C331" s="11" t="s">
        <v>1361</v>
      </c>
      <c r="D331" s="11" t="s">
        <v>1135</v>
      </c>
      <c r="E331" s="11" t="s">
        <v>975</v>
      </c>
    </row>
    <row r="332" ht="22.5" customHeight="1">
      <c r="A332" s="100" t="s">
        <v>821</v>
      </c>
      <c r="B332" s="11" t="s">
        <v>1429</v>
      </c>
      <c r="C332" s="11" t="s">
        <v>1361</v>
      </c>
      <c r="D332" s="11" t="s">
        <v>1135</v>
      </c>
      <c r="E332" s="11" t="s">
        <v>855</v>
      </c>
    </row>
    <row r="333" ht="22.5" customHeight="1">
      <c r="A333" s="112" t="s">
        <v>825</v>
      </c>
      <c r="B333" s="11" t="s">
        <v>1429</v>
      </c>
      <c r="C333" s="11" t="s">
        <v>1361</v>
      </c>
      <c r="D333" s="11" t="s">
        <v>1135</v>
      </c>
      <c r="E333" s="11" t="s">
        <v>975</v>
      </c>
    </row>
    <row r="334" ht="22.5" customHeight="1">
      <c r="A334" s="98" t="s">
        <v>831</v>
      </c>
      <c r="B334" s="11" t="s">
        <v>1432</v>
      </c>
      <c r="C334" s="11" t="s">
        <v>1361</v>
      </c>
      <c r="D334" s="11" t="s">
        <v>1135</v>
      </c>
      <c r="E334" s="11" t="s">
        <v>855</v>
      </c>
    </row>
    <row r="335" ht="22.5" customHeight="1">
      <c r="A335" s="100" t="s">
        <v>1433</v>
      </c>
      <c r="B335" s="11" t="s">
        <v>1434</v>
      </c>
      <c r="C335" s="11" t="s">
        <v>1361</v>
      </c>
      <c r="D335" s="11" t="s">
        <v>1135</v>
      </c>
      <c r="E335" s="11" t="s">
        <v>855</v>
      </c>
    </row>
    <row r="336" ht="22.5" customHeight="1">
      <c r="A336" s="98" t="s">
        <v>1435</v>
      </c>
      <c r="B336" s="11" t="s">
        <v>1436</v>
      </c>
      <c r="C336" s="11" t="s">
        <v>1361</v>
      </c>
      <c r="D336" s="11" t="s">
        <v>1135</v>
      </c>
      <c r="E336" s="11" t="s">
        <v>1057</v>
      </c>
    </row>
    <row r="337" ht="22.5" customHeight="1">
      <c r="A337" s="115" t="s">
        <v>1437</v>
      </c>
      <c r="B337" s="11" t="s">
        <v>1438</v>
      </c>
      <c r="C337" s="11" t="s">
        <v>1361</v>
      </c>
      <c r="D337" s="11" t="s">
        <v>1135</v>
      </c>
      <c r="E337" s="11" t="s">
        <v>1057</v>
      </c>
    </row>
    <row r="338" ht="22.5" customHeight="1">
      <c r="A338" s="98" t="s">
        <v>1439</v>
      </c>
      <c r="B338" s="11" t="s">
        <v>1069</v>
      </c>
      <c r="C338" s="11" t="s">
        <v>1361</v>
      </c>
      <c r="D338" s="11" t="s">
        <v>1135</v>
      </c>
      <c r="E338" s="11" t="s">
        <v>1057</v>
      </c>
    </row>
    <row r="339" ht="22.5" customHeight="1">
      <c r="A339" s="100" t="s">
        <v>1440</v>
      </c>
      <c r="B339" s="11" t="s">
        <v>1441</v>
      </c>
      <c r="C339" s="11" t="s">
        <v>1361</v>
      </c>
      <c r="D339" s="11" t="s">
        <v>1135</v>
      </c>
      <c r="E339" s="11" t="s">
        <v>1057</v>
      </c>
    </row>
    <row r="340" ht="22.5" customHeight="1">
      <c r="A340" s="98" t="s">
        <v>1442</v>
      </c>
      <c r="B340" s="11" t="s">
        <v>1443</v>
      </c>
      <c r="C340" s="11" t="s">
        <v>1361</v>
      </c>
      <c r="D340" s="11" t="s">
        <v>1135</v>
      </c>
      <c r="E340" s="11" t="s">
        <v>1057</v>
      </c>
    </row>
    <row r="341" ht="22.5" customHeight="1">
      <c r="A341" s="115" t="s">
        <v>1444</v>
      </c>
      <c r="B341" s="11" t="s">
        <v>1048</v>
      </c>
      <c r="C341" s="11" t="s">
        <v>1361</v>
      </c>
      <c r="D341" s="11" t="s">
        <v>1135</v>
      </c>
      <c r="E341" s="11" t="s">
        <v>855</v>
      </c>
    </row>
    <row r="342" ht="22.5" customHeight="1">
      <c r="A342" s="116" t="s">
        <v>1445</v>
      </c>
      <c r="B342" s="11" t="s">
        <v>1338</v>
      </c>
      <c r="C342" s="11" t="s">
        <v>1361</v>
      </c>
      <c r="D342" s="11" t="s">
        <v>1135</v>
      </c>
      <c r="E342" s="11" t="s">
        <v>855</v>
      </c>
    </row>
    <row r="343" ht="22.5" customHeight="1">
      <c r="A343" s="115" t="s">
        <v>1446</v>
      </c>
      <c r="B343" s="11" t="s">
        <v>1069</v>
      </c>
      <c r="C343" s="11" t="s">
        <v>1361</v>
      </c>
      <c r="D343" s="11" t="s">
        <v>1135</v>
      </c>
      <c r="E343" s="11" t="s">
        <v>855</v>
      </c>
    </row>
    <row r="344" ht="22.5" customHeight="1">
      <c r="A344" s="116" t="s">
        <v>1447</v>
      </c>
      <c r="B344" s="11" t="s">
        <v>1448</v>
      </c>
      <c r="C344" s="11" t="s">
        <v>1361</v>
      </c>
      <c r="D344" s="11" t="s">
        <v>1135</v>
      </c>
      <c r="E344" s="11" t="s">
        <v>855</v>
      </c>
    </row>
    <row r="345" ht="22.5" customHeight="1">
      <c r="A345" s="115" t="s">
        <v>1449</v>
      </c>
      <c r="B345" s="11" t="s">
        <v>1450</v>
      </c>
      <c r="C345" s="11" t="s">
        <v>1361</v>
      </c>
      <c r="D345" s="11" t="s">
        <v>1135</v>
      </c>
      <c r="E345" s="11" t="s">
        <v>855</v>
      </c>
    </row>
    <row r="346" ht="22.5" customHeight="1">
      <c r="A346" s="98" t="s">
        <v>1451</v>
      </c>
      <c r="B346" s="11" t="s">
        <v>1048</v>
      </c>
      <c r="C346" s="11" t="s">
        <v>1361</v>
      </c>
      <c r="D346" s="11" t="s">
        <v>1135</v>
      </c>
      <c r="E346" s="11" t="s">
        <v>855</v>
      </c>
    </row>
    <row r="347" ht="22.5" customHeight="1">
      <c r="A347" s="117" t="s">
        <v>840</v>
      </c>
      <c r="B347" s="11" t="s">
        <v>1455</v>
      </c>
      <c r="C347" s="11" t="s">
        <v>1456</v>
      </c>
      <c r="D347" s="11" t="s">
        <v>1050</v>
      </c>
      <c r="E347" s="11" t="s">
        <v>855</v>
      </c>
    </row>
    <row r="348" ht="22.5" customHeight="1">
      <c r="A348" s="119" t="s">
        <v>845</v>
      </c>
      <c r="B348" s="11" t="s">
        <v>1457</v>
      </c>
      <c r="C348" s="11" t="s">
        <v>1456</v>
      </c>
      <c r="D348" s="11" t="s">
        <v>1050</v>
      </c>
      <c r="E348" s="11" t="s">
        <v>1060</v>
      </c>
    </row>
    <row r="349" ht="22.5" customHeight="1">
      <c r="A349" s="117" t="s">
        <v>857</v>
      </c>
      <c r="B349" s="11" t="s">
        <v>1458</v>
      </c>
      <c r="C349" s="11" t="s">
        <v>1456</v>
      </c>
      <c r="D349" s="11" t="s">
        <v>1050</v>
      </c>
      <c r="E349" s="11" t="s">
        <v>855</v>
      </c>
    </row>
    <row r="350" ht="22.5" customHeight="1">
      <c r="A350" s="119" t="s">
        <v>878</v>
      </c>
      <c r="B350" s="11" t="s">
        <v>1459</v>
      </c>
      <c r="C350" s="11" t="s">
        <v>1456</v>
      </c>
      <c r="D350" s="11" t="s">
        <v>1050</v>
      </c>
      <c r="E350" s="11" t="s">
        <v>1060</v>
      </c>
    </row>
    <row r="351" ht="22.5" customHeight="1">
      <c r="A351" s="117" t="s">
        <v>898</v>
      </c>
      <c r="B351" s="11" t="s">
        <v>1069</v>
      </c>
      <c r="C351" s="11" t="s">
        <v>1456</v>
      </c>
      <c r="D351" s="11" t="s">
        <v>1050</v>
      </c>
      <c r="E351" s="11" t="s">
        <v>1060</v>
      </c>
    </row>
    <row r="352" ht="22.5" customHeight="1">
      <c r="A352" s="119" t="s">
        <v>919</v>
      </c>
      <c r="B352" s="11" t="s">
        <v>1048</v>
      </c>
      <c r="C352" s="11" t="s">
        <v>1456</v>
      </c>
      <c r="D352" s="11" t="s">
        <v>1050</v>
      </c>
      <c r="E352" s="11" t="s">
        <v>1060</v>
      </c>
    </row>
    <row r="353" ht="22.5" customHeight="1">
      <c r="A353" s="117" t="s">
        <v>753</v>
      </c>
      <c r="B353" s="11" t="s">
        <v>1460</v>
      </c>
      <c r="C353" s="11" t="s">
        <v>1456</v>
      </c>
      <c r="D353" s="11" t="s">
        <v>1050</v>
      </c>
      <c r="E353" s="11" t="s">
        <v>1060</v>
      </c>
    </row>
    <row r="354" ht="22.5" customHeight="1">
      <c r="A354" s="119" t="s">
        <v>1461</v>
      </c>
      <c r="B354" s="11" t="s">
        <v>1462</v>
      </c>
      <c r="C354" s="11" t="s">
        <v>1456</v>
      </c>
      <c r="D354" s="11" t="s">
        <v>1050</v>
      </c>
      <c r="E354" s="11" t="s">
        <v>975</v>
      </c>
    </row>
    <row r="355" ht="22.5" customHeight="1">
      <c r="A355" s="117" t="s">
        <v>765</v>
      </c>
      <c r="B355" s="11" t="s">
        <v>1029</v>
      </c>
      <c r="C355" s="11" t="s">
        <v>1456</v>
      </c>
      <c r="D355" s="11" t="s">
        <v>1050</v>
      </c>
      <c r="E355" s="11" t="s">
        <v>1060</v>
      </c>
    </row>
    <row r="356" ht="22.5" customHeight="1">
      <c r="A356" s="119" t="s">
        <v>1463</v>
      </c>
      <c r="B356" s="11" t="s">
        <v>1464</v>
      </c>
      <c r="C356" s="11" t="s">
        <v>1456</v>
      </c>
      <c r="D356" s="11" t="s">
        <v>1050</v>
      </c>
      <c r="E356" s="11" t="s">
        <v>975</v>
      </c>
    </row>
    <row r="357" ht="22.5" customHeight="1">
      <c r="A357" s="117" t="s">
        <v>1465</v>
      </c>
      <c r="B357" s="11" t="s">
        <v>1466</v>
      </c>
      <c r="C357" s="11" t="s">
        <v>1456</v>
      </c>
      <c r="D357" s="11" t="s">
        <v>1050</v>
      </c>
      <c r="E357" s="11" t="s">
        <v>975</v>
      </c>
    </row>
    <row r="358" ht="22.5" customHeight="1">
      <c r="A358" s="119" t="s">
        <v>729</v>
      </c>
      <c r="B358" s="11" t="s">
        <v>974</v>
      </c>
      <c r="C358" s="11" t="s">
        <v>1456</v>
      </c>
      <c r="D358" s="11" t="s">
        <v>1050</v>
      </c>
      <c r="E358" s="11" t="s">
        <v>1060</v>
      </c>
    </row>
    <row r="359" ht="22.5" customHeight="1">
      <c r="A359" s="117" t="s">
        <v>1041</v>
      </c>
      <c r="B359" s="11" t="s">
        <v>1467</v>
      </c>
      <c r="C359" s="11" t="s">
        <v>1456</v>
      </c>
      <c r="D359" s="11" t="s">
        <v>1050</v>
      </c>
      <c r="E359" s="11" t="s">
        <v>1060</v>
      </c>
    </row>
    <row r="360" ht="22.5" customHeight="1">
      <c r="A360" s="120" t="s">
        <v>1468</v>
      </c>
      <c r="B360" s="11" t="s">
        <v>1469</v>
      </c>
      <c r="C360" s="11" t="s">
        <v>1456</v>
      </c>
      <c r="D360" s="11" t="s">
        <v>1050</v>
      </c>
      <c r="E360" s="11" t="s">
        <v>1060</v>
      </c>
    </row>
    <row r="361" ht="22.5" customHeight="1">
      <c r="A361" s="119" t="s">
        <v>1047</v>
      </c>
      <c r="B361" s="11" t="s">
        <v>1441</v>
      </c>
      <c r="C361" s="11" t="s">
        <v>1456</v>
      </c>
      <c r="D361" s="11" t="s">
        <v>1050</v>
      </c>
      <c r="E361" s="11" t="s">
        <v>1060</v>
      </c>
    </row>
    <row r="362" ht="22.5" customHeight="1">
      <c r="A362" s="117" t="s">
        <v>1052</v>
      </c>
      <c r="B362" s="11" t="s">
        <v>1169</v>
      </c>
      <c r="C362" s="11" t="s">
        <v>1456</v>
      </c>
      <c r="D362" s="11" t="s">
        <v>1050</v>
      </c>
      <c r="E362" s="11" t="s">
        <v>1060</v>
      </c>
    </row>
    <row r="363" ht="22.5" customHeight="1">
      <c r="A363" s="119" t="s">
        <v>1068</v>
      </c>
      <c r="B363" s="11" t="s">
        <v>1048</v>
      </c>
      <c r="C363" s="11" t="s">
        <v>1456</v>
      </c>
      <c r="D363" s="11" t="s">
        <v>1050</v>
      </c>
      <c r="E363" s="11" t="s">
        <v>1060</v>
      </c>
    </row>
    <row r="364" ht="22.5" customHeight="1">
      <c r="A364" s="117" t="s">
        <v>736</v>
      </c>
      <c r="B364" s="11" t="s">
        <v>940</v>
      </c>
      <c r="C364" s="11" t="s">
        <v>1456</v>
      </c>
      <c r="D364" s="11" t="s">
        <v>1050</v>
      </c>
      <c r="E364" s="11" t="s">
        <v>1060</v>
      </c>
    </row>
    <row r="365" ht="22.5" customHeight="1">
      <c r="A365" s="119" t="s">
        <v>740</v>
      </c>
      <c r="B365" s="11" t="s">
        <v>976</v>
      </c>
      <c r="C365" s="11" t="s">
        <v>1456</v>
      </c>
      <c r="D365" s="11" t="s">
        <v>1050</v>
      </c>
      <c r="E365" s="11" t="s">
        <v>1060</v>
      </c>
    </row>
    <row r="366" ht="22.5" customHeight="1">
      <c r="A366" s="117" t="s">
        <v>774</v>
      </c>
      <c r="B366" s="11" t="s">
        <v>1015</v>
      </c>
      <c r="C366" s="11" t="s">
        <v>1456</v>
      </c>
      <c r="D366" s="11" t="s">
        <v>1050</v>
      </c>
      <c r="E366" s="11" t="s">
        <v>1060</v>
      </c>
    </row>
    <row r="367" ht="22.5" customHeight="1">
      <c r="A367" s="119" t="s">
        <v>1472</v>
      </c>
      <c r="B367" s="11" t="s">
        <v>1473</v>
      </c>
      <c r="C367" s="11" t="s">
        <v>1456</v>
      </c>
      <c r="D367" s="11" t="s">
        <v>1050</v>
      </c>
      <c r="E367" s="11" t="s">
        <v>975</v>
      </c>
    </row>
    <row r="368" ht="22.5" customHeight="1">
      <c r="A368" s="117" t="s">
        <v>1474</v>
      </c>
      <c r="B368" s="11" t="s">
        <v>1475</v>
      </c>
      <c r="C368" s="11" t="s">
        <v>1456</v>
      </c>
      <c r="D368" s="11" t="s">
        <v>1050</v>
      </c>
      <c r="E368" s="11" t="s">
        <v>975</v>
      </c>
    </row>
    <row r="369" ht="22.5" customHeight="1">
      <c r="A369" s="119" t="s">
        <v>1162</v>
      </c>
      <c r="B369" s="11" t="s">
        <v>1076</v>
      </c>
      <c r="C369" s="11" t="s">
        <v>1456</v>
      </c>
      <c r="D369" s="11" t="s">
        <v>1050</v>
      </c>
      <c r="E369" s="11" t="s">
        <v>1060</v>
      </c>
    </row>
    <row r="370" ht="22.5" customHeight="1">
      <c r="A370" s="117" t="s">
        <v>1174</v>
      </c>
      <c r="B370" s="11" t="s">
        <v>1125</v>
      </c>
      <c r="C370" s="11" t="s">
        <v>1456</v>
      </c>
      <c r="D370" s="11" t="s">
        <v>1050</v>
      </c>
      <c r="E370" s="11" t="s">
        <v>1060</v>
      </c>
    </row>
    <row r="371" ht="22.5" customHeight="1">
      <c r="A371" s="119" t="s">
        <v>1194</v>
      </c>
      <c r="B371" s="11" t="s">
        <v>1455</v>
      </c>
      <c r="C371" s="11" t="s">
        <v>1456</v>
      </c>
      <c r="D371" s="11" t="s">
        <v>1050</v>
      </c>
      <c r="E371" s="11" t="s">
        <v>855</v>
      </c>
    </row>
    <row r="372" ht="22.5" customHeight="1">
      <c r="A372" s="117" t="s">
        <v>1226</v>
      </c>
      <c r="B372" s="11" t="s">
        <v>1457</v>
      </c>
      <c r="C372" s="11" t="s">
        <v>1456</v>
      </c>
      <c r="D372" s="11" t="s">
        <v>1050</v>
      </c>
      <c r="E372" s="11" t="s">
        <v>1060</v>
      </c>
    </row>
    <row r="373" ht="22.5" customHeight="1">
      <c r="A373" s="119" t="s">
        <v>1250</v>
      </c>
      <c r="B373" s="11" t="s">
        <v>1458</v>
      </c>
      <c r="C373" s="11" t="s">
        <v>1456</v>
      </c>
      <c r="D373" s="11" t="s">
        <v>1050</v>
      </c>
      <c r="E373" s="11" t="s">
        <v>855</v>
      </c>
    </row>
    <row r="374" ht="22.5" customHeight="1">
      <c r="A374" s="117" t="s">
        <v>1273</v>
      </c>
      <c r="B374" s="11" t="s">
        <v>1459</v>
      </c>
      <c r="C374" s="11" t="s">
        <v>1456</v>
      </c>
      <c r="D374" s="11" t="s">
        <v>1050</v>
      </c>
      <c r="E374" s="11" t="s">
        <v>1060</v>
      </c>
    </row>
    <row r="375" ht="22.5" customHeight="1">
      <c r="A375" s="119" t="s">
        <v>1311</v>
      </c>
      <c r="B375" s="11" t="s">
        <v>1069</v>
      </c>
      <c r="C375" s="11" t="s">
        <v>1456</v>
      </c>
      <c r="D375" s="11" t="s">
        <v>1050</v>
      </c>
      <c r="E375" s="11" t="s">
        <v>1060</v>
      </c>
    </row>
    <row r="376" ht="22.5" customHeight="1">
      <c r="A376" s="117" t="s">
        <v>1476</v>
      </c>
      <c r="B376" s="11" t="s">
        <v>1477</v>
      </c>
      <c r="C376" s="11" t="s">
        <v>1456</v>
      </c>
      <c r="D376" s="11" t="s">
        <v>1050</v>
      </c>
      <c r="E376" s="11" t="s">
        <v>1060</v>
      </c>
    </row>
    <row r="377" ht="22.5" customHeight="1">
      <c r="A377" s="119" t="s">
        <v>1412</v>
      </c>
      <c r="B377" s="11" t="s">
        <v>1066</v>
      </c>
      <c r="C377" s="11" t="s">
        <v>1456</v>
      </c>
      <c r="D377" s="11" t="s">
        <v>1050</v>
      </c>
      <c r="E377" s="11" t="s">
        <v>1060</v>
      </c>
    </row>
    <row r="378" ht="22.5" customHeight="1">
      <c r="A378" s="117" t="s">
        <v>1417</v>
      </c>
      <c r="B378" s="11" t="s">
        <v>1063</v>
      </c>
      <c r="C378" s="11" t="s">
        <v>1456</v>
      </c>
      <c r="D378" s="11" t="s">
        <v>1050</v>
      </c>
      <c r="E378" s="11" t="s">
        <v>1060</v>
      </c>
    </row>
    <row r="379" ht="22.5" customHeight="1">
      <c r="A379" s="119" t="s">
        <v>1421</v>
      </c>
      <c r="B379" s="11" t="s">
        <v>1141</v>
      </c>
      <c r="C379" s="11" t="s">
        <v>1456</v>
      </c>
      <c r="D379" s="11" t="s">
        <v>1050</v>
      </c>
      <c r="E379" s="11" t="s">
        <v>1060</v>
      </c>
    </row>
    <row r="380" ht="22.5" customHeight="1">
      <c r="A380" s="117" t="s">
        <v>1431</v>
      </c>
      <c r="B380" s="11" t="s">
        <v>1061</v>
      </c>
      <c r="C380" s="11" t="s">
        <v>1456</v>
      </c>
      <c r="D380" s="11" t="s">
        <v>1050</v>
      </c>
      <c r="E380" s="11" t="s">
        <v>1060</v>
      </c>
    </row>
    <row r="381" ht="22.5" customHeight="1">
      <c r="A381" s="119" t="s">
        <v>745</v>
      </c>
      <c r="B381" s="11" t="s">
        <v>977</v>
      </c>
      <c r="C381" s="11" t="s">
        <v>1456</v>
      </c>
      <c r="D381" s="11" t="s">
        <v>1050</v>
      </c>
      <c r="E381" s="11" t="s">
        <v>1060</v>
      </c>
    </row>
    <row r="382" ht="22.5" customHeight="1">
      <c r="A382" s="117" t="s">
        <v>1471</v>
      </c>
      <c r="B382" s="11" t="s">
        <v>1480</v>
      </c>
      <c r="C382" s="11" t="s">
        <v>1456</v>
      </c>
      <c r="D382" s="11" t="s">
        <v>1050</v>
      </c>
      <c r="E382" s="11" t="s">
        <v>1060</v>
      </c>
    </row>
    <row r="383" ht="22.5" customHeight="1">
      <c r="A383" s="119" t="s">
        <v>1481</v>
      </c>
      <c r="B383" s="11" t="s">
        <v>1482</v>
      </c>
      <c r="C383" s="11" t="s">
        <v>1456</v>
      </c>
      <c r="D383" s="11" t="s">
        <v>1050</v>
      </c>
      <c r="E383" s="11" t="s">
        <v>1060</v>
      </c>
    </row>
    <row r="384" ht="22.5" customHeight="1">
      <c r="A384" s="117" t="s">
        <v>749</v>
      </c>
      <c r="B384" s="11" t="s">
        <v>978</v>
      </c>
      <c r="C384" s="11" t="s">
        <v>1456</v>
      </c>
      <c r="D384" s="11" t="s">
        <v>1050</v>
      </c>
      <c r="E384" s="11" t="s">
        <v>1060</v>
      </c>
    </row>
    <row r="385" ht="22.5" customHeight="1">
      <c r="A385" s="119" t="s">
        <v>1484</v>
      </c>
      <c r="B385" s="11" t="s">
        <v>1132</v>
      </c>
      <c r="C385" s="11" t="s">
        <v>1456</v>
      </c>
      <c r="D385" s="11" t="s">
        <v>1050</v>
      </c>
      <c r="E385" s="11" t="s">
        <v>1060</v>
      </c>
    </row>
    <row r="386" ht="22.5" customHeight="1">
      <c r="A386" s="117" t="s">
        <v>1485</v>
      </c>
      <c r="B386" s="11" t="s">
        <v>1132</v>
      </c>
      <c r="C386" s="11" t="s">
        <v>1456</v>
      </c>
      <c r="D386" s="11" t="s">
        <v>1050</v>
      </c>
      <c r="E386" s="11" t="s">
        <v>855</v>
      </c>
    </row>
    <row r="387" ht="22.5" customHeight="1">
      <c r="A387" s="119" t="s">
        <v>1486</v>
      </c>
      <c r="B387" s="11" t="s">
        <v>1048</v>
      </c>
      <c r="C387" s="11" t="s">
        <v>1456</v>
      </c>
      <c r="D387" s="11" t="s">
        <v>1050</v>
      </c>
      <c r="E387" s="11" t="s">
        <v>1060</v>
      </c>
    </row>
    <row r="388" ht="22.5" customHeight="1">
      <c r="A388" s="121" t="s">
        <v>1487</v>
      </c>
      <c r="B388" s="11" t="s">
        <v>1488</v>
      </c>
      <c r="C388" s="11" t="s">
        <v>1456</v>
      </c>
      <c r="D388" s="11" t="s">
        <v>1050</v>
      </c>
      <c r="E388" s="11" t="s">
        <v>1060</v>
      </c>
    </row>
    <row r="389" ht="22.5" customHeight="1">
      <c r="A389" s="117" t="s">
        <v>786</v>
      </c>
      <c r="B389" s="11" t="s">
        <v>1489</v>
      </c>
      <c r="C389" s="11" t="s">
        <v>1456</v>
      </c>
      <c r="D389" s="11" t="s">
        <v>1050</v>
      </c>
      <c r="E389" s="11" t="s">
        <v>1060</v>
      </c>
    </row>
    <row r="390" ht="22.5" customHeight="1">
      <c r="A390" s="119" t="s">
        <v>1490</v>
      </c>
      <c r="B390" s="11" t="s">
        <v>1491</v>
      </c>
      <c r="C390" s="11" t="s">
        <v>1456</v>
      </c>
      <c r="D390" s="11" t="s">
        <v>1050</v>
      </c>
      <c r="E390" s="11" t="s">
        <v>975</v>
      </c>
    </row>
    <row r="391" ht="22.5" customHeight="1">
      <c r="A391" s="117" t="s">
        <v>1492</v>
      </c>
      <c r="B391" s="11" t="s">
        <v>1214</v>
      </c>
      <c r="C391" s="11" t="s">
        <v>1456</v>
      </c>
      <c r="D391" s="11" t="s">
        <v>1050</v>
      </c>
      <c r="E391" s="11" t="s">
        <v>1060</v>
      </c>
    </row>
    <row r="392" ht="22.5" customHeight="1">
      <c r="A392" s="119" t="s">
        <v>1493</v>
      </c>
      <c r="B392" s="11" t="s">
        <v>1494</v>
      </c>
      <c r="C392" s="11" t="s">
        <v>1456</v>
      </c>
      <c r="D392" s="11" t="s">
        <v>1050</v>
      </c>
      <c r="E392" s="11" t="s">
        <v>1060</v>
      </c>
    </row>
    <row r="393" ht="22.5" customHeight="1">
      <c r="A393" s="121" t="s">
        <v>1496</v>
      </c>
      <c r="B393" s="11" t="s">
        <v>1497</v>
      </c>
      <c r="C393" s="11" t="s">
        <v>1456</v>
      </c>
      <c r="D393" s="11" t="s">
        <v>1050</v>
      </c>
      <c r="E393" s="11" t="s">
        <v>1060</v>
      </c>
    </row>
    <row r="394" ht="22.5" customHeight="1">
      <c r="A394" s="117" t="s">
        <v>754</v>
      </c>
      <c r="B394" s="11" t="s">
        <v>979</v>
      </c>
      <c r="C394" s="11" t="s">
        <v>1456</v>
      </c>
      <c r="D394" s="11" t="s">
        <v>1050</v>
      </c>
      <c r="E394" s="11" t="s">
        <v>1060</v>
      </c>
    </row>
    <row r="395" ht="22.5" customHeight="1">
      <c r="A395" s="119" t="s">
        <v>1498</v>
      </c>
      <c r="B395" s="11" t="s">
        <v>1048</v>
      </c>
      <c r="C395" s="11" t="s">
        <v>1456</v>
      </c>
      <c r="D395" s="11" t="s">
        <v>1050</v>
      </c>
      <c r="E395" s="11" t="s">
        <v>1060</v>
      </c>
    </row>
    <row r="396" ht="22.5" customHeight="1">
      <c r="A396" s="117" t="s">
        <v>763</v>
      </c>
      <c r="B396" s="11" t="s">
        <v>981</v>
      </c>
      <c r="C396" s="11" t="s">
        <v>1456</v>
      </c>
      <c r="D396" s="11" t="s">
        <v>1050</v>
      </c>
      <c r="E396" s="11" t="s">
        <v>1060</v>
      </c>
    </row>
    <row r="397" ht="22.5" customHeight="1">
      <c r="A397" s="119" t="s">
        <v>1499</v>
      </c>
      <c r="B397" s="11" t="s">
        <v>1125</v>
      </c>
      <c r="C397" s="11" t="s">
        <v>1456</v>
      </c>
      <c r="D397" s="11" t="s">
        <v>1050</v>
      </c>
      <c r="E397" s="11" t="s">
        <v>1060</v>
      </c>
    </row>
    <row r="398" ht="22.5" customHeight="1">
      <c r="A398" s="117" t="s">
        <v>769</v>
      </c>
      <c r="B398" s="11" t="s">
        <v>244</v>
      </c>
      <c r="C398" s="11" t="s">
        <v>1456</v>
      </c>
      <c r="D398" s="11" t="s">
        <v>1050</v>
      </c>
      <c r="E398" s="11" t="s">
        <v>1060</v>
      </c>
    </row>
    <row r="399" ht="22.5" customHeight="1">
      <c r="A399" s="119" t="s">
        <v>1024</v>
      </c>
      <c r="B399" s="11" t="s">
        <v>1025</v>
      </c>
      <c r="C399" s="11" t="s">
        <v>1456</v>
      </c>
      <c r="D399" s="11" t="s">
        <v>1050</v>
      </c>
      <c r="E399" s="11" t="s">
        <v>1060</v>
      </c>
    </row>
    <row r="400" ht="22.5" customHeight="1">
      <c r="A400" s="117" t="s">
        <v>1500</v>
      </c>
      <c r="B400" s="11" t="s">
        <v>1501</v>
      </c>
      <c r="C400" s="11" t="s">
        <v>1456</v>
      </c>
      <c r="D400" s="11" t="s">
        <v>1050</v>
      </c>
      <c r="E400" s="11" t="s">
        <v>1060</v>
      </c>
    </row>
    <row r="401" ht="22.5" customHeight="1">
      <c r="A401" s="119" t="s">
        <v>1502</v>
      </c>
      <c r="B401" s="11" t="s">
        <v>1467</v>
      </c>
      <c r="C401" s="11" t="s">
        <v>1456</v>
      </c>
      <c r="D401" s="11" t="s">
        <v>1050</v>
      </c>
      <c r="E401" s="11" t="s">
        <v>1060</v>
      </c>
    </row>
    <row r="402" ht="22.5" customHeight="1">
      <c r="A402" s="117" t="s">
        <v>1503</v>
      </c>
      <c r="B402" s="11" t="s">
        <v>1048</v>
      </c>
      <c r="C402" s="11" t="s">
        <v>1456</v>
      </c>
      <c r="D402" s="11" t="s">
        <v>1050</v>
      </c>
      <c r="E402" s="11" t="s">
        <v>1060</v>
      </c>
    </row>
    <row r="403" ht="22.5" customHeight="1">
      <c r="A403" s="119" t="s">
        <v>776</v>
      </c>
      <c r="B403" s="11" t="s">
        <v>984</v>
      </c>
      <c r="C403" s="11" t="s">
        <v>1456</v>
      </c>
      <c r="D403" s="11" t="s">
        <v>1050</v>
      </c>
      <c r="E403" s="11" t="s">
        <v>1060</v>
      </c>
    </row>
    <row r="404" ht="22.5" customHeight="1">
      <c r="A404" s="117" t="s">
        <v>1504</v>
      </c>
      <c r="B404" s="11" t="s">
        <v>1069</v>
      </c>
      <c r="C404" s="11" t="s">
        <v>1456</v>
      </c>
      <c r="D404" s="11" t="s">
        <v>1050</v>
      </c>
      <c r="E404" s="11" t="s">
        <v>1060</v>
      </c>
    </row>
    <row r="405" ht="22.5" customHeight="1">
      <c r="A405" s="119" t="s">
        <v>1505</v>
      </c>
      <c r="B405" s="11" t="s">
        <v>1069</v>
      </c>
      <c r="C405" s="11" t="s">
        <v>1456</v>
      </c>
      <c r="D405" s="11" t="s">
        <v>1050</v>
      </c>
      <c r="E405" s="11" t="s">
        <v>1060</v>
      </c>
    </row>
    <row r="406" ht="22.5" customHeight="1">
      <c r="A406" s="117" t="s">
        <v>1506</v>
      </c>
      <c r="B406" s="11" t="s">
        <v>1071</v>
      </c>
      <c r="C406" s="11" t="s">
        <v>1456</v>
      </c>
      <c r="D406" s="11" t="s">
        <v>1135</v>
      </c>
      <c r="E406" s="11" t="s">
        <v>855</v>
      </c>
    </row>
    <row r="407" ht="22.5" customHeight="1">
      <c r="A407" s="119" t="s">
        <v>1507</v>
      </c>
      <c r="B407" s="11" t="s">
        <v>1069</v>
      </c>
      <c r="C407" s="11" t="s">
        <v>1456</v>
      </c>
      <c r="D407" s="11" t="s">
        <v>1135</v>
      </c>
      <c r="E407" s="11" t="s">
        <v>855</v>
      </c>
    </row>
    <row r="408" ht="22.5" customHeight="1">
      <c r="A408" s="117" t="s">
        <v>1508</v>
      </c>
      <c r="B408" s="11" t="s">
        <v>1066</v>
      </c>
      <c r="C408" s="11" t="s">
        <v>1456</v>
      </c>
      <c r="D408" s="11" t="s">
        <v>1135</v>
      </c>
      <c r="E408" s="11" t="s">
        <v>855</v>
      </c>
    </row>
    <row r="409" ht="22.5" customHeight="1">
      <c r="A409" s="119" t="s">
        <v>1509</v>
      </c>
      <c r="B409" s="11" t="s">
        <v>1063</v>
      </c>
      <c r="C409" s="11" t="s">
        <v>1456</v>
      </c>
      <c r="D409" s="11" t="s">
        <v>1135</v>
      </c>
      <c r="E409" s="11" t="s">
        <v>855</v>
      </c>
    </row>
    <row r="410" ht="22.5" customHeight="1">
      <c r="A410" s="117" t="s">
        <v>1510</v>
      </c>
      <c r="B410" s="11" t="s">
        <v>1141</v>
      </c>
      <c r="C410" s="11" t="s">
        <v>1456</v>
      </c>
      <c r="D410" s="11" t="s">
        <v>1135</v>
      </c>
      <c r="E410" s="11" t="s">
        <v>855</v>
      </c>
    </row>
    <row r="411" ht="22.5" customHeight="1">
      <c r="A411" s="119" t="s">
        <v>1511</v>
      </c>
      <c r="B411" s="11" t="s">
        <v>1125</v>
      </c>
      <c r="C411" s="11" t="s">
        <v>1456</v>
      </c>
      <c r="D411" s="11" t="s">
        <v>1135</v>
      </c>
      <c r="E411" s="11" t="s">
        <v>855</v>
      </c>
    </row>
    <row r="412" ht="22.5" customHeight="1">
      <c r="A412" s="117" t="s">
        <v>1512</v>
      </c>
      <c r="B412" s="11" t="s">
        <v>244</v>
      </c>
      <c r="C412" s="11" t="s">
        <v>1456</v>
      </c>
      <c r="D412" s="11" t="s">
        <v>1135</v>
      </c>
      <c r="E412" s="11" t="s">
        <v>855</v>
      </c>
    </row>
    <row r="413" ht="22.5" customHeight="1">
      <c r="A413" s="119" t="s">
        <v>1513</v>
      </c>
      <c r="B413" s="11" t="s">
        <v>940</v>
      </c>
      <c r="C413" s="11" t="s">
        <v>1456</v>
      </c>
      <c r="D413" s="11" t="s">
        <v>1135</v>
      </c>
      <c r="E413" s="11" t="s">
        <v>855</v>
      </c>
    </row>
    <row r="414" ht="22.5" customHeight="1">
      <c r="A414" s="117" t="s">
        <v>1514</v>
      </c>
      <c r="B414" s="11" t="s">
        <v>1048</v>
      </c>
      <c r="C414" s="11" t="s">
        <v>1456</v>
      </c>
      <c r="D414" s="11" t="s">
        <v>1135</v>
      </c>
      <c r="E414" s="11" t="s">
        <v>855</v>
      </c>
    </row>
    <row r="415" ht="22.5" customHeight="1">
      <c r="A415" s="119" t="s">
        <v>1515</v>
      </c>
      <c r="B415" s="11" t="s">
        <v>1061</v>
      </c>
      <c r="C415" s="11" t="s">
        <v>1456</v>
      </c>
      <c r="D415" s="11" t="s">
        <v>1135</v>
      </c>
      <c r="E415" s="11" t="s">
        <v>855</v>
      </c>
    </row>
    <row r="416" ht="22.5" customHeight="1">
      <c r="A416" s="117" t="s">
        <v>1516</v>
      </c>
      <c r="B416" s="11" t="s">
        <v>1517</v>
      </c>
      <c r="C416" s="11" t="s">
        <v>1456</v>
      </c>
      <c r="D416" s="11" t="s">
        <v>1135</v>
      </c>
      <c r="E416" s="11" t="s">
        <v>855</v>
      </c>
    </row>
    <row r="417" ht="22.5" customHeight="1">
      <c r="A417" s="119" t="s">
        <v>1518</v>
      </c>
      <c r="B417" s="11" t="s">
        <v>1076</v>
      </c>
      <c r="C417" s="11" t="s">
        <v>1456</v>
      </c>
      <c r="D417" s="11" t="s">
        <v>1135</v>
      </c>
      <c r="E417" s="11" t="s">
        <v>855</v>
      </c>
    </row>
    <row r="418" ht="22.5" customHeight="1">
      <c r="A418" s="117" t="s">
        <v>1519</v>
      </c>
      <c r="B418" s="11" t="s">
        <v>1214</v>
      </c>
      <c r="C418" s="11" t="s">
        <v>1456</v>
      </c>
      <c r="D418" s="11" t="s">
        <v>1135</v>
      </c>
      <c r="E418" s="11" t="s">
        <v>855</v>
      </c>
    </row>
    <row r="419" ht="22.5" customHeight="1">
      <c r="A419" s="119" t="s">
        <v>1520</v>
      </c>
      <c r="B419" s="11" t="s">
        <v>1048</v>
      </c>
      <c r="C419" s="11" t="s">
        <v>1456</v>
      </c>
      <c r="D419" s="11" t="s">
        <v>1135</v>
      </c>
      <c r="E419" s="11" t="s">
        <v>855</v>
      </c>
    </row>
    <row r="420" ht="22.5" customHeight="1">
      <c r="A420" s="117" t="s">
        <v>1523</v>
      </c>
      <c r="B420" s="11" t="s">
        <v>1183</v>
      </c>
      <c r="C420" s="11" t="s">
        <v>1456</v>
      </c>
      <c r="D420" s="11" t="s">
        <v>1135</v>
      </c>
      <c r="E420" s="11" t="s">
        <v>855</v>
      </c>
    </row>
    <row r="421" ht="22.5" customHeight="1">
      <c r="A421" s="121" t="s">
        <v>1524</v>
      </c>
      <c r="B421" s="11" t="s">
        <v>1185</v>
      </c>
      <c r="C421" s="11" t="s">
        <v>1456</v>
      </c>
      <c r="D421" s="11" t="s">
        <v>1135</v>
      </c>
      <c r="E421" s="11" t="s">
        <v>855</v>
      </c>
    </row>
    <row r="422" ht="22.5" customHeight="1">
      <c r="A422" s="117" t="s">
        <v>1525</v>
      </c>
      <c r="B422" s="11" t="s">
        <v>1132</v>
      </c>
      <c r="C422" s="11" t="s">
        <v>1456</v>
      </c>
      <c r="D422" s="11" t="s">
        <v>1135</v>
      </c>
      <c r="E422" s="11" t="s">
        <v>855</v>
      </c>
    </row>
    <row r="423" ht="22.5" customHeight="1">
      <c r="A423" s="119" t="s">
        <v>1526</v>
      </c>
      <c r="B423" s="11" t="s">
        <v>1187</v>
      </c>
      <c r="C423" s="11" t="s">
        <v>1456</v>
      </c>
      <c r="D423" s="11" t="s">
        <v>1135</v>
      </c>
      <c r="E423" s="11" t="s">
        <v>855</v>
      </c>
    </row>
    <row r="424" ht="22.5" customHeight="1">
      <c r="A424" s="120" t="s">
        <v>1527</v>
      </c>
      <c r="B424" s="11" t="s">
        <v>1190</v>
      </c>
      <c r="C424" s="11" t="s">
        <v>1456</v>
      </c>
      <c r="D424" s="11" t="s">
        <v>1135</v>
      </c>
      <c r="E424" s="11" t="s">
        <v>855</v>
      </c>
    </row>
    <row r="425" ht="22.5" customHeight="1">
      <c r="A425" s="119" t="s">
        <v>1528</v>
      </c>
      <c r="B425" s="11" t="s">
        <v>1048</v>
      </c>
      <c r="C425" s="11" t="s">
        <v>1456</v>
      </c>
      <c r="D425" s="11" t="s">
        <v>1135</v>
      </c>
      <c r="E425" s="11" t="s">
        <v>855</v>
      </c>
    </row>
    <row r="426" ht="22.5" customHeight="1">
      <c r="A426" s="117" t="s">
        <v>1529</v>
      </c>
      <c r="B426" s="11" t="s">
        <v>1530</v>
      </c>
      <c r="C426" s="11" t="s">
        <v>1456</v>
      </c>
      <c r="D426" s="11" t="s">
        <v>1135</v>
      </c>
      <c r="E426" s="11" t="s">
        <v>855</v>
      </c>
    </row>
    <row r="427" ht="22.5" customHeight="1">
      <c r="A427" s="119" t="s">
        <v>1531</v>
      </c>
      <c r="B427" s="11" t="s">
        <v>1048</v>
      </c>
      <c r="C427" s="11" t="s">
        <v>1456</v>
      </c>
      <c r="D427" s="11" t="s">
        <v>1135</v>
      </c>
      <c r="E427" s="11" t="s">
        <v>855</v>
      </c>
    </row>
    <row r="428" ht="22.5" customHeight="1">
      <c r="A428" s="117" t="s">
        <v>987</v>
      </c>
      <c r="B428" s="11" t="s">
        <v>957</v>
      </c>
      <c r="C428" s="11" t="s">
        <v>1456</v>
      </c>
      <c r="D428" s="11" t="s">
        <v>1135</v>
      </c>
      <c r="E428" s="11" t="s">
        <v>855</v>
      </c>
    </row>
    <row r="429" ht="22.5" customHeight="1">
      <c r="A429" s="119" t="s">
        <v>1532</v>
      </c>
      <c r="B429" s="11" t="s">
        <v>1048</v>
      </c>
      <c r="C429" s="11" t="s">
        <v>1456</v>
      </c>
      <c r="D429" s="11" t="s">
        <v>1135</v>
      </c>
      <c r="E429" s="11" t="s">
        <v>855</v>
      </c>
    </row>
    <row r="430" ht="22.5" customHeight="1">
      <c r="A430" s="117" t="s">
        <v>1533</v>
      </c>
      <c r="B430" s="11" t="s">
        <v>960</v>
      </c>
      <c r="C430" s="11" t="s">
        <v>1456</v>
      </c>
      <c r="D430" s="11" t="s">
        <v>1135</v>
      </c>
      <c r="E430" s="11" t="s">
        <v>855</v>
      </c>
    </row>
    <row r="431" ht="22.5" customHeight="1">
      <c r="A431" s="119" t="s">
        <v>1534</v>
      </c>
      <c r="B431" s="11" t="s">
        <v>1048</v>
      </c>
      <c r="C431" s="11" t="s">
        <v>1456</v>
      </c>
      <c r="D431" s="11" t="s">
        <v>1135</v>
      </c>
      <c r="E431" s="11" t="s">
        <v>855</v>
      </c>
    </row>
    <row r="432" ht="22.5" customHeight="1">
      <c r="A432" s="117" t="s">
        <v>989</v>
      </c>
      <c r="B432" s="11" t="s">
        <v>962</v>
      </c>
      <c r="C432" s="11" t="s">
        <v>1456</v>
      </c>
      <c r="D432" s="11" t="s">
        <v>1135</v>
      </c>
      <c r="E432" s="11" t="s">
        <v>855</v>
      </c>
    </row>
    <row r="433" ht="22.5" customHeight="1">
      <c r="A433" s="119" t="s">
        <v>1535</v>
      </c>
      <c r="B433" s="11" t="s">
        <v>1048</v>
      </c>
      <c r="C433" s="11" t="s">
        <v>1456</v>
      </c>
      <c r="D433" s="11" t="s">
        <v>1135</v>
      </c>
      <c r="E433" s="11" t="s">
        <v>855</v>
      </c>
    </row>
    <row r="434" ht="22.5" customHeight="1">
      <c r="A434" s="117" t="s">
        <v>990</v>
      </c>
      <c r="B434" s="11" t="s">
        <v>963</v>
      </c>
      <c r="C434" s="11" t="s">
        <v>1456</v>
      </c>
      <c r="D434" s="11" t="s">
        <v>1135</v>
      </c>
      <c r="E434" s="11" t="s">
        <v>855</v>
      </c>
    </row>
    <row r="435" ht="22.5" customHeight="1">
      <c r="A435" s="119" t="s">
        <v>1536</v>
      </c>
      <c r="B435" s="11" t="s">
        <v>1048</v>
      </c>
      <c r="C435" s="11" t="s">
        <v>1456</v>
      </c>
      <c r="D435" s="11" t="s">
        <v>1135</v>
      </c>
      <c r="E435" s="11" t="s">
        <v>855</v>
      </c>
    </row>
    <row r="436" ht="22.5" customHeight="1">
      <c r="A436" s="117" t="s">
        <v>991</v>
      </c>
      <c r="B436" s="11" t="s">
        <v>992</v>
      </c>
      <c r="C436" s="11" t="s">
        <v>1456</v>
      </c>
      <c r="D436" s="11" t="s">
        <v>1135</v>
      </c>
      <c r="E436" s="11" t="s">
        <v>855</v>
      </c>
    </row>
    <row r="437" ht="22.5" customHeight="1">
      <c r="A437" s="119" t="s">
        <v>1537</v>
      </c>
      <c r="B437" s="11" t="s">
        <v>1048</v>
      </c>
      <c r="C437" s="11" t="s">
        <v>1456</v>
      </c>
      <c r="D437" s="11" t="s">
        <v>1135</v>
      </c>
      <c r="E437" s="11" t="s">
        <v>855</v>
      </c>
    </row>
    <row r="438" ht="22.5" customHeight="1">
      <c r="A438" s="117" t="s">
        <v>1538</v>
      </c>
      <c r="B438" s="11" t="s">
        <v>1539</v>
      </c>
      <c r="C438" s="11" t="s">
        <v>1456</v>
      </c>
      <c r="D438" s="11" t="s">
        <v>1135</v>
      </c>
      <c r="E438" s="11" t="s">
        <v>855</v>
      </c>
    </row>
    <row r="439" ht="22.5" customHeight="1">
      <c r="A439" s="119" t="s">
        <v>1540</v>
      </c>
      <c r="B439" s="11" t="s">
        <v>1069</v>
      </c>
      <c r="C439" s="11" t="s">
        <v>1456</v>
      </c>
      <c r="D439" s="11" t="s">
        <v>1135</v>
      </c>
      <c r="E439" s="11" t="s">
        <v>855</v>
      </c>
    </row>
    <row r="440" ht="22.5" customHeight="1">
      <c r="A440" s="117" t="s">
        <v>1541</v>
      </c>
      <c r="B440" s="11" t="s">
        <v>1069</v>
      </c>
      <c r="C440" s="11" t="s">
        <v>1456</v>
      </c>
      <c r="D440" s="11" t="s">
        <v>1135</v>
      </c>
      <c r="E440" s="11" t="s">
        <v>855</v>
      </c>
    </row>
    <row r="441" ht="22.5" customHeight="1">
      <c r="A441" s="119" t="s">
        <v>994</v>
      </c>
      <c r="B441" s="11" t="s">
        <v>995</v>
      </c>
      <c r="C441" s="11" t="s">
        <v>1456</v>
      </c>
      <c r="D441" s="11" t="s">
        <v>1135</v>
      </c>
      <c r="E441" s="11" t="s">
        <v>855</v>
      </c>
    </row>
    <row r="442" ht="22.5" customHeight="1">
      <c r="A442" s="117" t="s">
        <v>1542</v>
      </c>
      <c r="B442" s="11" t="s">
        <v>1078</v>
      </c>
      <c r="C442" s="11" t="s">
        <v>1456</v>
      </c>
      <c r="D442" s="11" t="s">
        <v>1135</v>
      </c>
      <c r="E442" s="11" t="s">
        <v>855</v>
      </c>
    </row>
    <row r="443" ht="22.5" customHeight="1">
      <c r="A443" s="119" t="s">
        <v>1543</v>
      </c>
      <c r="B443" s="11" t="s">
        <v>1048</v>
      </c>
      <c r="C443" s="11" t="s">
        <v>1456</v>
      </c>
      <c r="D443" s="11" t="s">
        <v>1135</v>
      </c>
      <c r="E443" s="11" t="s">
        <v>855</v>
      </c>
    </row>
    <row r="444" ht="22.5" customHeight="1">
      <c r="A444" s="117" t="s">
        <v>996</v>
      </c>
      <c r="B444" s="11" t="s">
        <v>997</v>
      </c>
      <c r="C444" s="11" t="s">
        <v>1456</v>
      </c>
      <c r="D444" s="11" t="s">
        <v>1135</v>
      </c>
      <c r="E444" s="11" t="s">
        <v>855</v>
      </c>
    </row>
    <row r="445" ht="22.5" customHeight="1">
      <c r="A445" s="119" t="s">
        <v>1544</v>
      </c>
      <c r="B445" s="11" t="s">
        <v>1076</v>
      </c>
      <c r="C445" s="11" t="s">
        <v>1456</v>
      </c>
      <c r="D445" s="11" t="s">
        <v>1135</v>
      </c>
      <c r="E445" s="11" t="s">
        <v>855</v>
      </c>
    </row>
    <row r="446" ht="22.5" customHeight="1">
      <c r="A446" s="117" t="s">
        <v>998</v>
      </c>
      <c r="B446" s="11" t="s">
        <v>966</v>
      </c>
      <c r="C446" s="11" t="s">
        <v>1456</v>
      </c>
      <c r="D446" s="11" t="s">
        <v>1135</v>
      </c>
      <c r="E446" s="11" t="s">
        <v>855</v>
      </c>
    </row>
    <row r="447" ht="22.5" customHeight="1">
      <c r="A447" s="119" t="s">
        <v>1000</v>
      </c>
      <c r="B447" s="11" t="s">
        <v>1001</v>
      </c>
      <c r="C447" s="11" t="s">
        <v>1456</v>
      </c>
      <c r="D447" s="11" t="s">
        <v>1135</v>
      </c>
      <c r="E447" s="11" t="s">
        <v>855</v>
      </c>
    </row>
    <row r="448" ht="22.5" customHeight="1">
      <c r="A448" s="117" t="s">
        <v>1002</v>
      </c>
      <c r="B448" s="11" t="s">
        <v>970</v>
      </c>
      <c r="C448" s="11" t="s">
        <v>1456</v>
      </c>
      <c r="D448" s="11" t="s">
        <v>1135</v>
      </c>
      <c r="E448" s="11" t="s">
        <v>855</v>
      </c>
    </row>
    <row r="449" ht="22.5" customHeight="1">
      <c r="A449" s="119" t="s">
        <v>1003</v>
      </c>
      <c r="B449" s="11" t="s">
        <v>964</v>
      </c>
      <c r="C449" s="11" t="s">
        <v>1456</v>
      </c>
      <c r="D449" s="11" t="s">
        <v>1135</v>
      </c>
      <c r="E449" s="11" t="s">
        <v>855</v>
      </c>
    </row>
    <row r="450" ht="22.5" customHeight="1">
      <c r="A450" s="117" t="s">
        <v>1545</v>
      </c>
      <c r="B450" s="11" t="s">
        <v>968</v>
      </c>
      <c r="C450" s="11" t="s">
        <v>1456</v>
      </c>
      <c r="D450" s="11" t="s">
        <v>1135</v>
      </c>
      <c r="E450" s="11" t="s">
        <v>855</v>
      </c>
    </row>
    <row r="451" ht="22.5" customHeight="1">
      <c r="A451" s="119" t="s">
        <v>1004</v>
      </c>
      <c r="B451" s="11" t="s">
        <v>955</v>
      </c>
      <c r="C451" s="11" t="s">
        <v>1456</v>
      </c>
      <c r="D451" s="11" t="s">
        <v>1135</v>
      </c>
      <c r="E451" s="11" t="s">
        <v>855</v>
      </c>
    </row>
    <row r="452" ht="22.5" customHeight="1">
      <c r="A452" s="117" t="s">
        <v>1007</v>
      </c>
      <c r="B452" s="11" t="s">
        <v>973</v>
      </c>
      <c r="C452" s="11" t="s">
        <v>1456</v>
      </c>
      <c r="D452" s="11" t="s">
        <v>1135</v>
      </c>
      <c r="E452" s="11" t="s">
        <v>855</v>
      </c>
    </row>
    <row r="453" ht="22.5" customHeight="1">
      <c r="A453" s="119" t="s">
        <v>1547</v>
      </c>
      <c r="B453" s="11" t="s">
        <v>1048</v>
      </c>
      <c r="C453" s="11" t="s">
        <v>1456</v>
      </c>
      <c r="D453" s="11" t="s">
        <v>1135</v>
      </c>
      <c r="E453" s="11" t="s">
        <v>855</v>
      </c>
    </row>
    <row r="454" ht="22.5" customHeight="1">
      <c r="A454" s="117" t="s">
        <v>1009</v>
      </c>
      <c r="B454" s="11" t="s">
        <v>1010</v>
      </c>
      <c r="C454" s="11" t="s">
        <v>1456</v>
      </c>
      <c r="D454" s="11" t="s">
        <v>1135</v>
      </c>
      <c r="E454" s="11" t="s">
        <v>855</v>
      </c>
    </row>
    <row r="455" ht="22.5" customHeight="1">
      <c r="A455" s="119" t="s">
        <v>1548</v>
      </c>
      <c r="B455" s="11" t="s">
        <v>1549</v>
      </c>
      <c r="C455" s="11" t="s">
        <v>1456</v>
      </c>
      <c r="D455" s="11" t="s">
        <v>1135</v>
      </c>
      <c r="E455" s="11" t="s">
        <v>855</v>
      </c>
    </row>
    <row r="456" ht="22.5" customHeight="1">
      <c r="A456" s="117" t="s">
        <v>1550</v>
      </c>
      <c r="B456" s="11" t="s">
        <v>1048</v>
      </c>
      <c r="C456" s="11" t="s">
        <v>1456</v>
      </c>
      <c r="D456" s="11" t="s">
        <v>1135</v>
      </c>
      <c r="E456" s="11" t="s">
        <v>855</v>
      </c>
    </row>
    <row r="457" ht="22.5" customHeight="1">
      <c r="A457" s="119" t="s">
        <v>1014</v>
      </c>
      <c r="B457" s="11" t="s">
        <v>1015</v>
      </c>
      <c r="C457" s="11" t="s">
        <v>1456</v>
      </c>
      <c r="D457" s="11" t="s">
        <v>1135</v>
      </c>
      <c r="E457" s="11" t="s">
        <v>855</v>
      </c>
    </row>
    <row r="458" ht="22.5" customHeight="1">
      <c r="A458" s="117" t="s">
        <v>1551</v>
      </c>
      <c r="B458" s="11" t="s">
        <v>1061</v>
      </c>
      <c r="C458" s="11" t="s">
        <v>1456</v>
      </c>
      <c r="D458" s="11" t="s">
        <v>1135</v>
      </c>
      <c r="E458" s="11" t="s">
        <v>855</v>
      </c>
    </row>
    <row r="459" ht="22.5" customHeight="1">
      <c r="A459" s="119" t="s">
        <v>1552</v>
      </c>
      <c r="B459" s="11" t="s">
        <v>1048</v>
      </c>
      <c r="C459" s="11" t="s">
        <v>1456</v>
      </c>
      <c r="D459" s="11" t="s">
        <v>1135</v>
      </c>
      <c r="E459" s="11" t="s">
        <v>855</v>
      </c>
    </row>
    <row r="460" ht="22.5" customHeight="1">
      <c r="A460" s="117" t="s">
        <v>1553</v>
      </c>
      <c r="B460" s="11" t="s">
        <v>1029</v>
      </c>
      <c r="C460" s="11" t="s">
        <v>1456</v>
      </c>
      <c r="D460" s="11" t="s">
        <v>1135</v>
      </c>
      <c r="E460" s="11" t="s">
        <v>855</v>
      </c>
    </row>
    <row r="461" ht="22.5" customHeight="1">
      <c r="A461" s="119" t="s">
        <v>1554</v>
      </c>
      <c r="B461" s="11" t="s">
        <v>1048</v>
      </c>
      <c r="C461" s="11" t="s">
        <v>1456</v>
      </c>
      <c r="D461" s="11" t="s">
        <v>1135</v>
      </c>
      <c r="E461" s="11" t="s">
        <v>855</v>
      </c>
    </row>
    <row r="462" ht="22.5" customHeight="1">
      <c r="A462" s="117" t="s">
        <v>1555</v>
      </c>
      <c r="B462" s="11" t="s">
        <v>1556</v>
      </c>
      <c r="C462" s="11" t="s">
        <v>1456</v>
      </c>
      <c r="D462" s="11" t="s">
        <v>1135</v>
      </c>
      <c r="E462" s="11" t="s">
        <v>855</v>
      </c>
    </row>
    <row r="463" ht="22.5" customHeight="1">
      <c r="A463" s="119" t="s">
        <v>1557</v>
      </c>
      <c r="B463" s="11" t="s">
        <v>1048</v>
      </c>
      <c r="C463" s="11" t="s">
        <v>1456</v>
      </c>
      <c r="D463" s="11" t="s">
        <v>1135</v>
      </c>
      <c r="E463" s="11" t="s">
        <v>855</v>
      </c>
    </row>
    <row r="464" ht="22.5" customHeight="1">
      <c r="A464" s="117" t="s">
        <v>1558</v>
      </c>
      <c r="B464" s="11" t="s">
        <v>1559</v>
      </c>
      <c r="C464" s="11" t="s">
        <v>1456</v>
      </c>
      <c r="D464" s="11" t="s">
        <v>1135</v>
      </c>
      <c r="E464" s="11" t="s">
        <v>855</v>
      </c>
    </row>
    <row r="465" ht="22.5" customHeight="1">
      <c r="A465" s="119" t="s">
        <v>1560</v>
      </c>
      <c r="B465" s="11" t="s">
        <v>1048</v>
      </c>
      <c r="C465" s="11" t="s">
        <v>1456</v>
      </c>
      <c r="D465" s="11" t="s">
        <v>1135</v>
      </c>
      <c r="E465" s="11" t="s">
        <v>855</v>
      </c>
    </row>
    <row r="466" ht="22.5" customHeight="1">
      <c r="A466" s="117" t="s">
        <v>1561</v>
      </c>
      <c r="B466" s="11" t="s">
        <v>1562</v>
      </c>
      <c r="C466" s="11" t="s">
        <v>1456</v>
      </c>
      <c r="D466" s="11" t="s">
        <v>1135</v>
      </c>
      <c r="E466" s="11" t="s">
        <v>855</v>
      </c>
    </row>
    <row r="467" ht="22.5" customHeight="1">
      <c r="A467" s="119" t="s">
        <v>1563</v>
      </c>
      <c r="B467" s="11" t="s">
        <v>1048</v>
      </c>
      <c r="C467" s="11" t="s">
        <v>1456</v>
      </c>
      <c r="D467" s="11" t="s">
        <v>1135</v>
      </c>
      <c r="E467" s="11" t="s">
        <v>855</v>
      </c>
    </row>
    <row r="468" ht="22.5" customHeight="1">
      <c r="A468" s="117" t="s">
        <v>1564</v>
      </c>
      <c r="B468" s="11" t="s">
        <v>1565</v>
      </c>
      <c r="C468" s="11" t="s">
        <v>1456</v>
      </c>
      <c r="D468" s="11" t="s">
        <v>1135</v>
      </c>
      <c r="E468" s="11" t="s">
        <v>855</v>
      </c>
    </row>
    <row r="469" ht="22.5" customHeight="1">
      <c r="A469" s="119" t="s">
        <v>1566</v>
      </c>
      <c r="B469" s="11" t="s">
        <v>1048</v>
      </c>
      <c r="C469" s="11" t="s">
        <v>1456</v>
      </c>
      <c r="D469" s="11" t="s">
        <v>1135</v>
      </c>
      <c r="E469" s="11" t="s">
        <v>855</v>
      </c>
    </row>
    <row r="470" ht="22.5" customHeight="1">
      <c r="A470" s="117" t="s">
        <v>1018</v>
      </c>
      <c r="B470" s="11" t="s">
        <v>1019</v>
      </c>
      <c r="C470" s="11" t="s">
        <v>1456</v>
      </c>
      <c r="D470" s="11" t="s">
        <v>1135</v>
      </c>
      <c r="E470" s="11" t="s">
        <v>855</v>
      </c>
    </row>
    <row r="471" ht="22.5" customHeight="1">
      <c r="A471" s="119" t="s">
        <v>1567</v>
      </c>
      <c r="B471" s="11" t="s">
        <v>1132</v>
      </c>
      <c r="C471" s="11" t="s">
        <v>1456</v>
      </c>
      <c r="D471" s="11" t="s">
        <v>1135</v>
      </c>
      <c r="E471" s="11" t="s">
        <v>855</v>
      </c>
    </row>
    <row r="472" ht="22.5" customHeight="1">
      <c r="A472" s="117" t="s">
        <v>1568</v>
      </c>
      <c r="B472" s="11" t="s">
        <v>1069</v>
      </c>
      <c r="C472" s="11" t="s">
        <v>1456</v>
      </c>
      <c r="D472" s="11" t="s">
        <v>1135</v>
      </c>
      <c r="E472" s="11" t="s">
        <v>855</v>
      </c>
    </row>
    <row r="473" ht="22.5" customHeight="1">
      <c r="A473" s="122" t="s">
        <v>1569</v>
      </c>
      <c r="B473" s="11" t="s">
        <v>1069</v>
      </c>
      <c r="C473" s="11" t="s">
        <v>1456</v>
      </c>
      <c r="D473" s="11" t="s">
        <v>1135</v>
      </c>
      <c r="E473" s="11" t="s">
        <v>855</v>
      </c>
    </row>
    <row r="474" ht="22.5" customHeight="1">
      <c r="A474" s="123" t="s">
        <v>795</v>
      </c>
      <c r="B474" s="23" t="s">
        <v>1338</v>
      </c>
      <c r="C474" s="23"/>
      <c r="D474" s="23"/>
      <c r="E474" s="11" t="s">
        <v>855</v>
      </c>
    </row>
    <row r="475" ht="22.5" customHeight="1">
      <c r="A475" s="124" t="s">
        <v>1570</v>
      </c>
      <c r="B475" s="23"/>
      <c r="C475" s="23"/>
      <c r="D475" s="23"/>
      <c r="E475" s="23"/>
    </row>
  </sheetData>
  <dataValidations>
    <dataValidation allowBlank="1" showDropDown="1" sqref="A2:A475"/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13" t="s">
        <v>1408</v>
      </c>
      <c r="B1" s="113" t="s">
        <v>1409</v>
      </c>
      <c r="C1" s="113" t="s">
        <v>1410</v>
      </c>
      <c r="D1" s="114" t="s">
        <v>1411</v>
      </c>
    </row>
    <row r="2" ht="22.5" customHeight="1">
      <c r="A2" s="11" t="s">
        <v>534</v>
      </c>
      <c r="B2" s="11">
        <v>0.0</v>
      </c>
      <c r="C2" s="11">
        <v>0.0</v>
      </c>
      <c r="D2" s="93" t="str">
        <f t="shared" ref="D2:D1038" si="1">B2&amp;A2</f>
        <v>0VWR</v>
      </c>
    </row>
    <row r="3" ht="22.5" customHeight="1">
      <c r="A3" s="11" t="s">
        <v>534</v>
      </c>
      <c r="B3" s="11">
        <v>1.0</v>
      </c>
      <c r="C3" s="11">
        <v>1.0</v>
      </c>
      <c r="D3" s="93" t="str">
        <f t="shared" si="1"/>
        <v>1VWR</v>
      </c>
      <c r="G3" s="99" t="str">
        <f t="array" ref="G3:G6">UNIQUE(feller[brand])</f>
        <v>VWR</v>
      </c>
    </row>
    <row r="4" ht="22.5" customHeight="1">
      <c r="A4" s="11" t="s">
        <v>534</v>
      </c>
      <c r="B4" s="11">
        <v>2.0</v>
      </c>
      <c r="C4" s="11">
        <v>2.0</v>
      </c>
      <c r="D4" s="93" t="str">
        <f t="shared" si="1"/>
        <v>2VWR</v>
      </c>
      <c r="G4" s="99" t="s">
        <v>1413</v>
      </c>
    </row>
    <row r="5" ht="22.5" customHeight="1">
      <c r="A5" s="11" t="s">
        <v>534</v>
      </c>
      <c r="B5" s="11">
        <v>3.0</v>
      </c>
      <c r="C5" s="11">
        <v>3.0</v>
      </c>
      <c r="D5" s="93" t="str">
        <f t="shared" si="1"/>
        <v>3VWR</v>
      </c>
      <c r="G5" s="99" t="s">
        <v>203</v>
      </c>
    </row>
    <row r="6" ht="22.5" customHeight="1">
      <c r="A6" s="11" t="s">
        <v>534</v>
      </c>
      <c r="B6" s="11">
        <v>4.0</v>
      </c>
      <c r="C6" s="11">
        <v>4.0</v>
      </c>
      <c r="D6" s="93" t="str">
        <f t="shared" si="1"/>
        <v>4VWR</v>
      </c>
      <c r="G6" s="99" t="s">
        <v>757</v>
      </c>
    </row>
    <row r="7" ht="22.5" customHeight="1">
      <c r="A7" s="11" t="s">
        <v>534</v>
      </c>
      <c r="B7" s="11">
        <v>5.0</v>
      </c>
      <c r="C7" s="11">
        <v>5.0</v>
      </c>
      <c r="D7" s="93" t="str">
        <f t="shared" si="1"/>
        <v>5VWR</v>
      </c>
    </row>
    <row r="8" ht="22.5" customHeight="1">
      <c r="A8" s="11" t="s">
        <v>534</v>
      </c>
      <c r="B8" s="11">
        <v>6.0</v>
      </c>
      <c r="C8" s="11">
        <v>6.0</v>
      </c>
      <c r="D8" s="93" t="str">
        <f t="shared" si="1"/>
        <v>6VWR</v>
      </c>
    </row>
    <row r="9" ht="22.5" customHeight="1">
      <c r="A9" s="11" t="s">
        <v>534</v>
      </c>
      <c r="B9" s="11">
        <v>7.0</v>
      </c>
      <c r="C9" s="11">
        <v>7.0</v>
      </c>
      <c r="D9" s="93" t="str">
        <f t="shared" si="1"/>
        <v>7VWR</v>
      </c>
    </row>
    <row r="10" ht="22.5" customHeight="1">
      <c r="A10" s="11" t="s">
        <v>534</v>
      </c>
      <c r="B10" s="11">
        <v>8.0</v>
      </c>
      <c r="C10" s="11">
        <v>8.0</v>
      </c>
      <c r="D10" s="93" t="str">
        <f t="shared" si="1"/>
        <v>8VWR</v>
      </c>
    </row>
    <row r="11" ht="22.5" customHeight="1">
      <c r="A11" s="11" t="s">
        <v>534</v>
      </c>
      <c r="B11" s="11">
        <v>9.0</v>
      </c>
      <c r="C11" s="11">
        <v>9.0</v>
      </c>
      <c r="D11" s="93" t="str">
        <f t="shared" si="1"/>
        <v>9VWR</v>
      </c>
    </row>
    <row r="12" ht="22.5" customHeight="1">
      <c r="A12" s="11" t="s">
        <v>534</v>
      </c>
      <c r="B12" s="11">
        <v>10.0</v>
      </c>
      <c r="C12" s="11">
        <v>10.0</v>
      </c>
      <c r="D12" s="93" t="str">
        <f t="shared" si="1"/>
        <v>10VWR</v>
      </c>
    </row>
    <row r="13" ht="22.5" customHeight="1">
      <c r="A13" s="11" t="s">
        <v>534</v>
      </c>
      <c r="B13" s="11">
        <v>11.0</v>
      </c>
      <c r="C13" s="11">
        <v>11.0</v>
      </c>
      <c r="D13" s="93" t="str">
        <f t="shared" si="1"/>
        <v>11VWR</v>
      </c>
    </row>
    <row r="14" ht="22.5" customHeight="1">
      <c r="A14" s="11" t="s">
        <v>534</v>
      </c>
      <c r="B14" s="11">
        <v>12.0</v>
      </c>
      <c r="C14" s="11">
        <v>12.0</v>
      </c>
      <c r="D14" s="93" t="str">
        <f t="shared" si="1"/>
        <v>12VWR</v>
      </c>
    </row>
    <row r="15" ht="22.5" customHeight="1">
      <c r="A15" s="11" t="s">
        <v>534</v>
      </c>
      <c r="B15" s="11">
        <v>13.0</v>
      </c>
      <c r="C15" s="11">
        <v>13.0</v>
      </c>
      <c r="D15" s="93" t="str">
        <f t="shared" si="1"/>
        <v>13VWR</v>
      </c>
    </row>
    <row r="16" ht="22.5" customHeight="1">
      <c r="A16" s="11" t="s">
        <v>534</v>
      </c>
      <c r="B16" s="11">
        <v>14.0</v>
      </c>
      <c r="C16" s="11">
        <v>14.0</v>
      </c>
      <c r="D16" s="93" t="str">
        <f t="shared" si="1"/>
        <v>14VWR</v>
      </c>
    </row>
    <row r="17" ht="22.5" customHeight="1">
      <c r="A17" s="11" t="s">
        <v>534</v>
      </c>
      <c r="B17" s="11">
        <v>15.0</v>
      </c>
      <c r="C17" s="11">
        <v>15.0</v>
      </c>
      <c r="D17" s="93" t="str">
        <f t="shared" si="1"/>
        <v>15VWR</v>
      </c>
    </row>
    <row r="18" ht="22.5" customHeight="1">
      <c r="A18" s="11" t="s">
        <v>534</v>
      </c>
      <c r="B18" s="11">
        <v>16.0</v>
      </c>
      <c r="C18" s="11">
        <v>17.0</v>
      </c>
      <c r="D18" s="93" t="str">
        <f t="shared" si="1"/>
        <v>16VWR</v>
      </c>
    </row>
    <row r="19" ht="22.5" customHeight="1">
      <c r="A19" s="11" t="s">
        <v>534</v>
      </c>
      <c r="B19" s="11">
        <v>17.0</v>
      </c>
      <c r="C19" s="11">
        <v>18.0</v>
      </c>
      <c r="D19" s="93" t="str">
        <f t="shared" si="1"/>
        <v>17VWR</v>
      </c>
    </row>
    <row r="20" ht="22.5" customHeight="1">
      <c r="A20" s="11" t="s">
        <v>534</v>
      </c>
      <c r="B20" s="11">
        <v>18.0</v>
      </c>
      <c r="C20" s="11">
        <v>19.0</v>
      </c>
      <c r="D20" s="93" t="str">
        <f t="shared" si="1"/>
        <v>18VWR</v>
      </c>
    </row>
    <row r="21" ht="22.5" customHeight="1">
      <c r="A21" s="11" t="s">
        <v>534</v>
      </c>
      <c r="B21" s="11">
        <v>19.0</v>
      </c>
      <c r="C21" s="11">
        <v>20.0</v>
      </c>
      <c r="D21" s="93" t="str">
        <f t="shared" si="1"/>
        <v>19VWR</v>
      </c>
    </row>
    <row r="22" ht="22.5" customHeight="1">
      <c r="A22" s="11" t="s">
        <v>534</v>
      </c>
      <c r="B22" s="11">
        <v>20.0</v>
      </c>
      <c r="C22" s="11">
        <v>21.0</v>
      </c>
      <c r="D22" s="93" t="str">
        <f t="shared" si="1"/>
        <v>20VWR</v>
      </c>
    </row>
    <row r="23" ht="22.5" customHeight="1">
      <c r="A23" s="11" t="s">
        <v>534</v>
      </c>
      <c r="B23" s="11">
        <v>21.0</v>
      </c>
      <c r="C23" s="11">
        <v>22.0</v>
      </c>
      <c r="D23" s="93" t="str">
        <f t="shared" si="1"/>
        <v>21VWR</v>
      </c>
    </row>
    <row r="24" ht="22.5" customHeight="1">
      <c r="A24" s="11" t="s">
        <v>534</v>
      </c>
      <c r="B24" s="11">
        <v>22.0</v>
      </c>
      <c r="C24" s="11">
        <v>23.0</v>
      </c>
      <c r="D24" s="93" t="str">
        <f t="shared" si="1"/>
        <v>22VWR</v>
      </c>
    </row>
    <row r="25" ht="22.5" customHeight="1">
      <c r="A25" s="11" t="s">
        <v>534</v>
      </c>
      <c r="B25" s="11">
        <v>23.0</v>
      </c>
      <c r="C25" s="11">
        <v>24.0</v>
      </c>
      <c r="D25" s="93" t="str">
        <f t="shared" si="1"/>
        <v>23VWR</v>
      </c>
    </row>
    <row r="26" ht="22.5" customHeight="1">
      <c r="A26" s="11" t="s">
        <v>534</v>
      </c>
      <c r="B26" s="11">
        <v>24.0</v>
      </c>
      <c r="C26" s="11">
        <v>25.0</v>
      </c>
      <c r="D26" s="93" t="str">
        <f t="shared" si="1"/>
        <v>24VWR</v>
      </c>
    </row>
    <row r="27" ht="22.5" customHeight="1">
      <c r="A27" s="11" t="s">
        <v>534</v>
      </c>
      <c r="B27" s="11">
        <v>25.0</v>
      </c>
      <c r="C27" s="11">
        <v>26.0</v>
      </c>
      <c r="D27" s="93" t="str">
        <f t="shared" si="1"/>
        <v>25VWR</v>
      </c>
    </row>
    <row r="28" ht="22.5" customHeight="1">
      <c r="A28" s="11" t="s">
        <v>534</v>
      </c>
      <c r="B28" s="11">
        <v>26.0</v>
      </c>
      <c r="C28" s="11">
        <v>28.0</v>
      </c>
      <c r="D28" s="93" t="str">
        <f t="shared" si="1"/>
        <v>26VWR</v>
      </c>
    </row>
    <row r="29" ht="22.5" customHeight="1">
      <c r="A29" s="11" t="s">
        <v>534</v>
      </c>
      <c r="B29" s="11">
        <v>27.0</v>
      </c>
      <c r="C29" s="11">
        <v>29.0</v>
      </c>
      <c r="D29" s="93" t="str">
        <f t="shared" si="1"/>
        <v>27VWR</v>
      </c>
    </row>
    <row r="30" ht="22.5" customHeight="1">
      <c r="A30" s="11" t="s">
        <v>534</v>
      </c>
      <c r="B30" s="11">
        <v>28.0</v>
      </c>
      <c r="C30" s="11">
        <v>30.0</v>
      </c>
      <c r="D30" s="93" t="str">
        <f t="shared" si="1"/>
        <v>28VWR</v>
      </c>
    </row>
    <row r="31" ht="22.5" customHeight="1">
      <c r="A31" s="11" t="s">
        <v>534</v>
      </c>
      <c r="B31" s="11">
        <v>29.0</v>
      </c>
      <c r="C31" s="11">
        <v>31.0</v>
      </c>
      <c r="D31" s="93" t="str">
        <f t="shared" si="1"/>
        <v>29VWR</v>
      </c>
    </row>
    <row r="32" ht="22.5" customHeight="1">
      <c r="A32" s="11" t="s">
        <v>534</v>
      </c>
      <c r="B32" s="11">
        <v>30.0</v>
      </c>
      <c r="C32" s="11">
        <v>32.0</v>
      </c>
      <c r="D32" s="93" t="str">
        <f t="shared" si="1"/>
        <v>30VWR</v>
      </c>
    </row>
    <row r="33" ht="22.5" customHeight="1">
      <c r="A33" s="11" t="s">
        <v>534</v>
      </c>
      <c r="B33" s="11">
        <v>31.0</v>
      </c>
      <c r="C33" s="11">
        <v>33.0</v>
      </c>
      <c r="D33" s="93" t="str">
        <f t="shared" si="1"/>
        <v>31VWR</v>
      </c>
    </row>
    <row r="34" ht="22.5" customHeight="1">
      <c r="A34" s="11" t="s">
        <v>534</v>
      </c>
      <c r="B34" s="11">
        <v>32.0</v>
      </c>
      <c r="C34" s="11">
        <v>34.0</v>
      </c>
      <c r="D34" s="93" t="str">
        <f t="shared" si="1"/>
        <v>32VWR</v>
      </c>
    </row>
    <row r="35" ht="22.5" customHeight="1">
      <c r="A35" s="11" t="s">
        <v>534</v>
      </c>
      <c r="B35" s="11">
        <v>33.0</v>
      </c>
      <c r="C35" s="11">
        <v>36.0</v>
      </c>
      <c r="D35" s="93" t="str">
        <f t="shared" si="1"/>
        <v>33VWR</v>
      </c>
    </row>
    <row r="36" ht="22.5" customHeight="1">
      <c r="A36" s="11" t="s">
        <v>534</v>
      </c>
      <c r="B36" s="11">
        <v>34.0</v>
      </c>
      <c r="C36" s="11">
        <v>37.0</v>
      </c>
      <c r="D36" s="93" t="str">
        <f t="shared" si="1"/>
        <v>34VWR</v>
      </c>
    </row>
    <row r="37" ht="22.5" customHeight="1">
      <c r="A37" s="11" t="s">
        <v>534</v>
      </c>
      <c r="B37" s="11">
        <v>35.0</v>
      </c>
      <c r="C37" s="11">
        <v>38.0</v>
      </c>
      <c r="D37" s="93" t="str">
        <f t="shared" si="1"/>
        <v>35VWR</v>
      </c>
    </row>
    <row r="38" ht="22.5" customHeight="1">
      <c r="A38" s="11" t="s">
        <v>534</v>
      </c>
      <c r="B38" s="11">
        <v>36.0</v>
      </c>
      <c r="C38" s="11">
        <v>39.0</v>
      </c>
      <c r="D38" s="93" t="str">
        <f t="shared" si="1"/>
        <v>36VWR</v>
      </c>
    </row>
    <row r="39" ht="22.5" customHeight="1">
      <c r="A39" s="11" t="s">
        <v>534</v>
      </c>
      <c r="B39" s="11">
        <v>37.0</v>
      </c>
      <c r="C39" s="11">
        <v>40.0</v>
      </c>
      <c r="D39" s="93" t="str">
        <f t="shared" si="1"/>
        <v>37VWR</v>
      </c>
    </row>
    <row r="40" ht="22.5" customHeight="1">
      <c r="A40" s="11" t="s">
        <v>534</v>
      </c>
      <c r="B40" s="11">
        <v>38.0</v>
      </c>
      <c r="C40" s="11">
        <v>42.0</v>
      </c>
      <c r="D40" s="93" t="str">
        <f t="shared" si="1"/>
        <v>38VWR</v>
      </c>
    </row>
    <row r="41" ht="22.5" customHeight="1">
      <c r="A41" s="11" t="s">
        <v>534</v>
      </c>
      <c r="B41" s="11">
        <v>39.0</v>
      </c>
      <c r="C41" s="11">
        <v>43.0</v>
      </c>
      <c r="D41" s="93" t="str">
        <f t="shared" si="1"/>
        <v>39VWR</v>
      </c>
    </row>
    <row r="42" ht="22.5" customHeight="1">
      <c r="A42" s="11" t="s">
        <v>534</v>
      </c>
      <c r="B42" s="11">
        <v>40.0</v>
      </c>
      <c r="C42" s="11">
        <v>44.0</v>
      </c>
      <c r="D42" s="93" t="str">
        <f t="shared" si="1"/>
        <v>40VWR</v>
      </c>
    </row>
    <row r="43" ht="22.5" customHeight="1">
      <c r="A43" s="11" t="s">
        <v>534</v>
      </c>
      <c r="B43" s="11">
        <v>41.0</v>
      </c>
      <c r="C43" s="11">
        <v>45.0</v>
      </c>
      <c r="D43" s="93" t="str">
        <f t="shared" si="1"/>
        <v>41VWR</v>
      </c>
    </row>
    <row r="44" ht="22.5" customHeight="1">
      <c r="A44" s="11" t="s">
        <v>534</v>
      </c>
      <c r="B44" s="11">
        <v>42.0</v>
      </c>
      <c r="C44" s="11">
        <v>46.0</v>
      </c>
      <c r="D44" s="93" t="str">
        <f t="shared" si="1"/>
        <v>42VWR</v>
      </c>
    </row>
    <row r="45" ht="22.5" customHeight="1">
      <c r="A45" s="11" t="s">
        <v>534</v>
      </c>
      <c r="B45" s="11">
        <v>43.0</v>
      </c>
      <c r="C45" s="11">
        <v>48.0</v>
      </c>
      <c r="D45" s="93" t="str">
        <f t="shared" si="1"/>
        <v>43VWR</v>
      </c>
    </row>
    <row r="46" ht="22.5" customHeight="1">
      <c r="A46" s="11" t="s">
        <v>534</v>
      </c>
      <c r="B46" s="11">
        <v>44.0</v>
      </c>
      <c r="C46" s="11">
        <v>49.0</v>
      </c>
      <c r="D46" s="93" t="str">
        <f t="shared" si="1"/>
        <v>44VWR</v>
      </c>
    </row>
    <row r="47" ht="22.5" customHeight="1">
      <c r="A47" s="11" t="s">
        <v>534</v>
      </c>
      <c r="B47" s="11">
        <v>45.0</v>
      </c>
      <c r="C47" s="11">
        <v>50.0</v>
      </c>
      <c r="D47" s="93" t="str">
        <f t="shared" si="1"/>
        <v>45VWR</v>
      </c>
    </row>
    <row r="48" ht="22.5" customHeight="1">
      <c r="A48" s="11" t="s">
        <v>534</v>
      </c>
      <c r="B48" s="11">
        <v>46.0</v>
      </c>
      <c r="C48" s="11">
        <v>51.0</v>
      </c>
      <c r="D48" s="93" t="str">
        <f t="shared" si="1"/>
        <v>46VWR</v>
      </c>
    </row>
    <row r="49" ht="22.5" customHeight="1">
      <c r="A49" s="11" t="s">
        <v>534</v>
      </c>
      <c r="B49" s="11">
        <v>47.0</v>
      </c>
      <c r="C49" s="11">
        <v>53.0</v>
      </c>
      <c r="D49" s="93" t="str">
        <f t="shared" si="1"/>
        <v>47VWR</v>
      </c>
    </row>
    <row r="50" ht="22.5" customHeight="1">
      <c r="A50" s="11" t="s">
        <v>534</v>
      </c>
      <c r="B50" s="11">
        <v>48.0</v>
      </c>
      <c r="C50" s="11">
        <v>54.0</v>
      </c>
      <c r="D50" s="93" t="str">
        <f t="shared" si="1"/>
        <v>48VWR</v>
      </c>
    </row>
    <row r="51" ht="22.5" customHeight="1">
      <c r="A51" s="11" t="s">
        <v>534</v>
      </c>
      <c r="B51" s="11">
        <v>49.0</v>
      </c>
      <c r="C51" s="11">
        <v>55.0</v>
      </c>
      <c r="D51" s="93" t="str">
        <f t="shared" si="1"/>
        <v>49VWR</v>
      </c>
    </row>
    <row r="52" ht="22.5" customHeight="1">
      <c r="A52" s="11" t="s">
        <v>534</v>
      </c>
      <c r="B52" s="11">
        <v>50.0</v>
      </c>
      <c r="C52" s="11">
        <v>57.0</v>
      </c>
      <c r="D52" s="93" t="str">
        <f t="shared" si="1"/>
        <v>50VWR</v>
      </c>
    </row>
    <row r="53" ht="22.5" customHeight="1">
      <c r="A53" s="11" t="s">
        <v>534</v>
      </c>
      <c r="B53" s="11">
        <v>51.0</v>
      </c>
      <c r="C53" s="11">
        <v>58.0</v>
      </c>
      <c r="D53" s="93" t="str">
        <f t="shared" si="1"/>
        <v>51VWR</v>
      </c>
    </row>
    <row r="54" ht="22.5" customHeight="1">
      <c r="A54" s="11" t="s">
        <v>534</v>
      </c>
      <c r="B54" s="11">
        <v>52.0</v>
      </c>
      <c r="C54" s="11">
        <v>59.0</v>
      </c>
      <c r="D54" s="93" t="str">
        <f t="shared" si="1"/>
        <v>52VWR</v>
      </c>
    </row>
    <row r="55" ht="22.5" customHeight="1">
      <c r="A55" s="11" t="s">
        <v>534</v>
      </c>
      <c r="B55" s="11">
        <v>53.0</v>
      </c>
      <c r="C55" s="11">
        <v>60.0</v>
      </c>
      <c r="D55" s="93" t="str">
        <f t="shared" si="1"/>
        <v>53VWR</v>
      </c>
    </row>
    <row r="56" ht="22.5" customHeight="1">
      <c r="A56" s="11" t="s">
        <v>534</v>
      </c>
      <c r="B56" s="11">
        <v>54.0</v>
      </c>
      <c r="C56" s="11">
        <v>62.0</v>
      </c>
      <c r="D56" s="93" t="str">
        <f t="shared" si="1"/>
        <v>54VWR</v>
      </c>
    </row>
    <row r="57" ht="22.5" customHeight="1">
      <c r="A57" s="11" t="s">
        <v>534</v>
      </c>
      <c r="B57" s="11">
        <v>55.0</v>
      </c>
      <c r="C57" s="11">
        <v>63.0</v>
      </c>
      <c r="D57" s="93" t="str">
        <f t="shared" si="1"/>
        <v>55VWR</v>
      </c>
    </row>
    <row r="58" ht="22.5" customHeight="1">
      <c r="A58" s="11" t="s">
        <v>534</v>
      </c>
      <c r="B58" s="11">
        <v>56.0</v>
      </c>
      <c r="C58" s="11">
        <v>64.0</v>
      </c>
      <c r="D58" s="93" t="str">
        <f t="shared" si="1"/>
        <v>56VWR</v>
      </c>
    </row>
    <row r="59" ht="22.5" customHeight="1">
      <c r="A59" s="11" t="s">
        <v>534</v>
      </c>
      <c r="B59" s="11">
        <v>57.0</v>
      </c>
      <c r="C59" s="11">
        <v>66.0</v>
      </c>
      <c r="D59" s="93" t="str">
        <f t="shared" si="1"/>
        <v>57VWR</v>
      </c>
    </row>
    <row r="60" ht="22.5" customHeight="1">
      <c r="A60" s="11" t="s">
        <v>534</v>
      </c>
      <c r="B60" s="11">
        <v>58.0</v>
      </c>
      <c r="C60" s="11">
        <v>67.0</v>
      </c>
      <c r="D60" s="93" t="str">
        <f t="shared" si="1"/>
        <v>58VWR</v>
      </c>
    </row>
    <row r="61" ht="22.5" customHeight="1">
      <c r="A61" s="11" t="s">
        <v>534</v>
      </c>
      <c r="B61" s="11">
        <v>59.0</v>
      </c>
      <c r="C61" s="11">
        <v>69.0</v>
      </c>
      <c r="D61" s="93" t="str">
        <f t="shared" si="1"/>
        <v>59VWR</v>
      </c>
    </row>
    <row r="62" ht="22.5" customHeight="1">
      <c r="A62" s="11" t="s">
        <v>534</v>
      </c>
      <c r="B62" s="11">
        <v>60.0</v>
      </c>
      <c r="C62" s="11">
        <v>70.0</v>
      </c>
      <c r="D62" s="93" t="str">
        <f t="shared" si="1"/>
        <v>60VWR</v>
      </c>
    </row>
    <row r="63" ht="22.5" customHeight="1">
      <c r="A63" s="11" t="s">
        <v>534</v>
      </c>
      <c r="B63" s="11">
        <v>61.0</v>
      </c>
      <c r="C63" s="11">
        <v>71.0</v>
      </c>
      <c r="D63" s="93" t="str">
        <f t="shared" si="1"/>
        <v>61VWR</v>
      </c>
    </row>
    <row r="64" ht="22.5" customHeight="1">
      <c r="A64" s="11" t="s">
        <v>534</v>
      </c>
      <c r="B64" s="11">
        <v>62.0</v>
      </c>
      <c r="C64" s="11">
        <v>73.0</v>
      </c>
      <c r="D64" s="93" t="str">
        <f t="shared" si="1"/>
        <v>62VWR</v>
      </c>
    </row>
    <row r="65" ht="22.5" customHeight="1">
      <c r="A65" s="11" t="s">
        <v>534</v>
      </c>
      <c r="B65" s="11">
        <v>63.0</v>
      </c>
      <c r="C65" s="11">
        <v>74.0</v>
      </c>
      <c r="D65" s="93" t="str">
        <f t="shared" si="1"/>
        <v>63VWR</v>
      </c>
    </row>
    <row r="66" ht="22.5" customHeight="1">
      <c r="A66" s="11" t="s">
        <v>534</v>
      </c>
      <c r="B66" s="11">
        <v>64.0</v>
      </c>
      <c r="C66" s="11">
        <v>76.0</v>
      </c>
      <c r="D66" s="93" t="str">
        <f t="shared" si="1"/>
        <v>64VWR</v>
      </c>
    </row>
    <row r="67" ht="22.5" customHeight="1">
      <c r="A67" s="11" t="s">
        <v>534</v>
      </c>
      <c r="B67" s="11">
        <v>65.0</v>
      </c>
      <c r="C67" s="11">
        <v>77.0</v>
      </c>
      <c r="D67" s="93" t="str">
        <f t="shared" si="1"/>
        <v>65VWR</v>
      </c>
    </row>
    <row r="68" ht="22.5" customHeight="1">
      <c r="A68" s="11" t="s">
        <v>534</v>
      </c>
      <c r="B68" s="11">
        <v>66.0</v>
      </c>
      <c r="C68" s="11">
        <v>78.0</v>
      </c>
      <c r="D68" s="93" t="str">
        <f t="shared" si="1"/>
        <v>66VWR</v>
      </c>
    </row>
    <row r="69" ht="22.5" customHeight="1">
      <c r="A69" s="11" t="s">
        <v>534</v>
      </c>
      <c r="B69" s="11">
        <v>67.0</v>
      </c>
      <c r="C69" s="11">
        <v>80.0</v>
      </c>
      <c r="D69" s="93" t="str">
        <f t="shared" si="1"/>
        <v>67VWR</v>
      </c>
    </row>
    <row r="70" ht="22.5" customHeight="1">
      <c r="A70" s="11" t="s">
        <v>534</v>
      </c>
      <c r="B70" s="11">
        <v>68.0</v>
      </c>
      <c r="C70" s="11">
        <v>81.0</v>
      </c>
      <c r="D70" s="93" t="str">
        <f t="shared" si="1"/>
        <v>68VWR</v>
      </c>
    </row>
    <row r="71" ht="22.5" customHeight="1">
      <c r="A71" s="11" t="s">
        <v>534</v>
      </c>
      <c r="B71" s="11">
        <v>69.0</v>
      </c>
      <c r="C71" s="11">
        <v>83.0</v>
      </c>
      <c r="D71" s="93" t="str">
        <f t="shared" si="1"/>
        <v>69VWR</v>
      </c>
    </row>
    <row r="72" ht="22.5" customHeight="1">
      <c r="A72" s="11" t="s">
        <v>534</v>
      </c>
      <c r="B72" s="11">
        <v>70.0</v>
      </c>
      <c r="C72" s="11">
        <v>84.0</v>
      </c>
      <c r="D72" s="93" t="str">
        <f t="shared" si="1"/>
        <v>70VWR</v>
      </c>
    </row>
    <row r="73" ht="22.5" customHeight="1">
      <c r="A73" s="11" t="s">
        <v>534</v>
      </c>
      <c r="B73" s="11">
        <v>71.0</v>
      </c>
      <c r="C73" s="11">
        <v>86.0</v>
      </c>
      <c r="D73" s="93" t="str">
        <f t="shared" si="1"/>
        <v>71VWR</v>
      </c>
    </row>
    <row r="74" ht="22.5" customHeight="1">
      <c r="A74" s="11" t="s">
        <v>534</v>
      </c>
      <c r="B74" s="11">
        <v>72.0</v>
      </c>
      <c r="C74" s="11">
        <v>87.0</v>
      </c>
      <c r="D74" s="93" t="str">
        <f t="shared" si="1"/>
        <v>72VWR</v>
      </c>
    </row>
    <row r="75" ht="22.5" customHeight="1">
      <c r="A75" s="11" t="s">
        <v>534</v>
      </c>
      <c r="B75" s="11">
        <v>73.0</v>
      </c>
      <c r="C75" s="11">
        <v>88.0</v>
      </c>
      <c r="D75" s="93" t="str">
        <f t="shared" si="1"/>
        <v>73VWR</v>
      </c>
    </row>
    <row r="76" ht="22.5" customHeight="1">
      <c r="A76" s="11" t="s">
        <v>534</v>
      </c>
      <c r="B76" s="11">
        <v>74.0</v>
      </c>
      <c r="C76" s="11">
        <v>90.0</v>
      </c>
      <c r="D76" s="93" t="str">
        <f t="shared" si="1"/>
        <v>74VWR</v>
      </c>
    </row>
    <row r="77" ht="22.5" customHeight="1">
      <c r="A77" s="11" t="s">
        <v>534</v>
      </c>
      <c r="B77" s="11">
        <v>75.0</v>
      </c>
      <c r="C77" s="11">
        <v>92.0</v>
      </c>
      <c r="D77" s="93" t="str">
        <f t="shared" si="1"/>
        <v>75VWR</v>
      </c>
    </row>
    <row r="78" ht="22.5" customHeight="1">
      <c r="A78" s="11" t="s">
        <v>534</v>
      </c>
      <c r="B78" s="11">
        <v>76.0</v>
      </c>
      <c r="C78" s="11">
        <v>93.0</v>
      </c>
      <c r="D78" s="93" t="str">
        <f t="shared" si="1"/>
        <v>76VWR</v>
      </c>
    </row>
    <row r="79" ht="22.5" customHeight="1">
      <c r="A79" s="11" t="s">
        <v>534</v>
      </c>
      <c r="B79" s="11">
        <v>77.0</v>
      </c>
      <c r="C79" s="11">
        <v>95.0</v>
      </c>
      <c r="D79" s="93" t="str">
        <f t="shared" si="1"/>
        <v>77VWR</v>
      </c>
    </row>
    <row r="80" ht="22.5" customHeight="1">
      <c r="A80" s="11" t="s">
        <v>534</v>
      </c>
      <c r="B80" s="11">
        <v>78.0</v>
      </c>
      <c r="C80" s="11">
        <v>96.0</v>
      </c>
      <c r="D80" s="93" t="str">
        <f t="shared" si="1"/>
        <v>78VWR</v>
      </c>
    </row>
    <row r="81" ht="22.5" customHeight="1">
      <c r="A81" s="11" t="s">
        <v>534</v>
      </c>
      <c r="B81" s="11">
        <v>79.0</v>
      </c>
      <c r="C81" s="11">
        <v>98.0</v>
      </c>
      <c r="D81" s="93" t="str">
        <f t="shared" si="1"/>
        <v>79VWR</v>
      </c>
    </row>
    <row r="82" ht="22.5" customHeight="1">
      <c r="A82" s="11" t="s">
        <v>534</v>
      </c>
      <c r="B82" s="11">
        <v>80.0</v>
      </c>
      <c r="C82" s="11">
        <v>99.0</v>
      </c>
      <c r="D82" s="93" t="str">
        <f t="shared" si="1"/>
        <v>80VWR</v>
      </c>
    </row>
    <row r="83" ht="22.5" customHeight="1">
      <c r="A83" s="11" t="s">
        <v>534</v>
      </c>
      <c r="B83" s="11">
        <v>81.0</v>
      </c>
      <c r="C83" s="11">
        <v>101.0</v>
      </c>
      <c r="D83" s="93" t="str">
        <f t="shared" si="1"/>
        <v>81VWR</v>
      </c>
    </row>
    <row r="84" ht="22.5" customHeight="1">
      <c r="A84" s="11" t="s">
        <v>534</v>
      </c>
      <c r="B84" s="11">
        <v>82.0</v>
      </c>
      <c r="C84" s="11">
        <v>102.0</v>
      </c>
      <c r="D84" s="93" t="str">
        <f t="shared" si="1"/>
        <v>82VWR</v>
      </c>
    </row>
    <row r="85" ht="22.5" customHeight="1">
      <c r="A85" s="11" t="s">
        <v>534</v>
      </c>
      <c r="B85" s="11">
        <v>83.0</v>
      </c>
      <c r="C85" s="11">
        <v>104.0</v>
      </c>
      <c r="D85" s="93" t="str">
        <f t="shared" si="1"/>
        <v>83VWR</v>
      </c>
    </row>
    <row r="86" ht="22.5" customHeight="1">
      <c r="A86" s="11" t="s">
        <v>534</v>
      </c>
      <c r="B86" s="11">
        <v>84.0</v>
      </c>
      <c r="C86" s="11">
        <v>106.0</v>
      </c>
      <c r="D86" s="93" t="str">
        <f t="shared" si="1"/>
        <v>84VWR</v>
      </c>
    </row>
    <row r="87" ht="22.5" customHeight="1">
      <c r="A87" s="11" t="s">
        <v>534</v>
      </c>
      <c r="B87" s="11">
        <v>85.0</v>
      </c>
      <c r="C87" s="11">
        <v>107.0</v>
      </c>
      <c r="D87" s="93" t="str">
        <f t="shared" si="1"/>
        <v>85VWR</v>
      </c>
    </row>
    <row r="88" ht="22.5" customHeight="1">
      <c r="A88" s="11" t="s">
        <v>534</v>
      </c>
      <c r="B88" s="11">
        <v>86.0</v>
      </c>
      <c r="C88" s="11">
        <v>109.0</v>
      </c>
      <c r="D88" s="93" t="str">
        <f t="shared" si="1"/>
        <v>86VWR</v>
      </c>
    </row>
    <row r="89" ht="22.5" customHeight="1">
      <c r="A89" s="11" t="s">
        <v>534</v>
      </c>
      <c r="B89" s="11">
        <v>87.0</v>
      </c>
      <c r="C89" s="11">
        <v>110.0</v>
      </c>
      <c r="D89" s="93" t="str">
        <f t="shared" si="1"/>
        <v>87VWR</v>
      </c>
    </row>
    <row r="90" ht="22.5" customHeight="1">
      <c r="A90" s="11" t="s">
        <v>534</v>
      </c>
      <c r="B90" s="11">
        <v>88.0</v>
      </c>
      <c r="C90" s="11">
        <v>112.0</v>
      </c>
      <c r="D90" s="93" t="str">
        <f t="shared" si="1"/>
        <v>88VWR</v>
      </c>
    </row>
    <row r="91" ht="22.5" customHeight="1">
      <c r="A91" s="11" t="s">
        <v>534</v>
      </c>
      <c r="B91" s="11">
        <v>89.0</v>
      </c>
      <c r="C91" s="11">
        <v>114.0</v>
      </c>
      <c r="D91" s="93" t="str">
        <f t="shared" si="1"/>
        <v>89VWR</v>
      </c>
    </row>
    <row r="92" ht="22.5" customHeight="1">
      <c r="A92" s="11" t="s">
        <v>534</v>
      </c>
      <c r="B92" s="11">
        <v>90.0</v>
      </c>
      <c r="C92" s="11">
        <v>116.0</v>
      </c>
      <c r="D92" s="93" t="str">
        <f t="shared" si="1"/>
        <v>90VWR</v>
      </c>
    </row>
    <row r="93" ht="22.5" customHeight="1">
      <c r="A93" s="11" t="s">
        <v>534</v>
      </c>
      <c r="B93" s="11">
        <v>91.0</v>
      </c>
      <c r="C93" s="11">
        <v>117.0</v>
      </c>
      <c r="D93" s="93" t="str">
        <f t="shared" si="1"/>
        <v>91VWR</v>
      </c>
    </row>
    <row r="94" ht="22.5" customHeight="1">
      <c r="A94" s="11" t="s">
        <v>534</v>
      </c>
      <c r="B94" s="11">
        <v>92.0</v>
      </c>
      <c r="C94" s="11">
        <v>119.0</v>
      </c>
      <c r="D94" s="93" t="str">
        <f t="shared" si="1"/>
        <v>92VWR</v>
      </c>
    </row>
    <row r="95" ht="22.5" customHeight="1">
      <c r="A95" s="11" t="s">
        <v>534</v>
      </c>
      <c r="B95" s="11">
        <v>93.0</v>
      </c>
      <c r="C95" s="11">
        <v>121.0</v>
      </c>
      <c r="D95" s="93" t="str">
        <f t="shared" si="1"/>
        <v>93VWR</v>
      </c>
    </row>
    <row r="96" ht="22.5" customHeight="1">
      <c r="A96" s="11" t="s">
        <v>534</v>
      </c>
      <c r="B96" s="11">
        <v>94.0</v>
      </c>
      <c r="C96" s="11">
        <v>122.0</v>
      </c>
      <c r="D96" s="93" t="str">
        <f t="shared" si="1"/>
        <v>94VWR</v>
      </c>
    </row>
    <row r="97" ht="22.5" customHeight="1">
      <c r="A97" s="11" t="s">
        <v>534</v>
      </c>
      <c r="B97" s="11">
        <v>95.0</v>
      </c>
      <c r="C97" s="11">
        <v>124.0</v>
      </c>
      <c r="D97" s="93" t="str">
        <f t="shared" si="1"/>
        <v>95VWR</v>
      </c>
    </row>
    <row r="98" ht="22.5" customHeight="1">
      <c r="A98" s="11" t="s">
        <v>534</v>
      </c>
      <c r="B98" s="11">
        <v>96.0</v>
      </c>
      <c r="C98" s="11">
        <v>126.0</v>
      </c>
      <c r="D98" s="93" t="str">
        <f t="shared" si="1"/>
        <v>96VWR</v>
      </c>
    </row>
    <row r="99" ht="22.5" customHeight="1">
      <c r="A99" s="11" t="s">
        <v>534</v>
      </c>
      <c r="B99" s="11">
        <v>97.0</v>
      </c>
      <c r="C99" s="11">
        <v>128.0</v>
      </c>
      <c r="D99" s="93" t="str">
        <f t="shared" si="1"/>
        <v>97VWR</v>
      </c>
    </row>
    <row r="100" ht="22.5" customHeight="1">
      <c r="A100" s="11" t="s">
        <v>534</v>
      </c>
      <c r="B100" s="11">
        <v>98.0</v>
      </c>
      <c r="C100" s="11">
        <v>130.0</v>
      </c>
      <c r="D100" s="93" t="str">
        <f t="shared" si="1"/>
        <v>98VWR</v>
      </c>
    </row>
    <row r="101" ht="22.5" customHeight="1">
      <c r="A101" s="11" t="s">
        <v>534</v>
      </c>
      <c r="B101" s="11">
        <v>99.0</v>
      </c>
      <c r="C101" s="11">
        <v>131.0</v>
      </c>
      <c r="D101" s="93" t="str">
        <f t="shared" si="1"/>
        <v>99VWR</v>
      </c>
    </row>
    <row r="102" ht="22.5" customHeight="1">
      <c r="A102" s="11" t="s">
        <v>534</v>
      </c>
      <c r="B102" s="11">
        <v>100.0</v>
      </c>
      <c r="C102" s="11">
        <v>133.0</v>
      </c>
      <c r="D102" s="93" t="str">
        <f t="shared" si="1"/>
        <v>100VWR</v>
      </c>
    </row>
    <row r="103" ht="22.5" customHeight="1">
      <c r="A103" s="11" t="s">
        <v>534</v>
      </c>
      <c r="B103" s="11">
        <v>101.0</v>
      </c>
      <c r="C103" s="11">
        <v>135.0</v>
      </c>
      <c r="D103" s="93" t="str">
        <f t="shared" si="1"/>
        <v>101VWR</v>
      </c>
    </row>
    <row r="104" ht="22.5" customHeight="1">
      <c r="A104" s="11" t="s">
        <v>534</v>
      </c>
      <c r="B104" s="11">
        <v>102.0</v>
      </c>
      <c r="C104" s="11">
        <v>137.0</v>
      </c>
      <c r="D104" s="93" t="str">
        <f t="shared" si="1"/>
        <v>102VWR</v>
      </c>
    </row>
    <row r="105" ht="22.5" customHeight="1">
      <c r="A105" s="11" t="s">
        <v>534</v>
      </c>
      <c r="B105" s="11">
        <v>103.0</v>
      </c>
      <c r="C105" s="11">
        <v>139.0</v>
      </c>
      <c r="D105" s="93" t="str">
        <f t="shared" si="1"/>
        <v>103VWR</v>
      </c>
    </row>
    <row r="106" ht="22.5" customHeight="1">
      <c r="A106" s="11" t="s">
        <v>534</v>
      </c>
      <c r="B106" s="11">
        <v>104.0</v>
      </c>
      <c r="C106" s="11">
        <v>141.0</v>
      </c>
      <c r="D106" s="93" t="str">
        <f t="shared" si="1"/>
        <v>104VWR</v>
      </c>
    </row>
    <row r="107" ht="22.5" customHeight="1">
      <c r="A107" s="11" t="s">
        <v>534</v>
      </c>
      <c r="B107" s="11">
        <v>105.0</v>
      </c>
      <c r="C107" s="11">
        <v>142.0</v>
      </c>
      <c r="D107" s="93" t="str">
        <f t="shared" si="1"/>
        <v>105VWR</v>
      </c>
    </row>
    <row r="108" ht="22.5" customHeight="1">
      <c r="A108" s="11" t="s">
        <v>534</v>
      </c>
      <c r="B108" s="11">
        <v>106.0</v>
      </c>
      <c r="C108" s="11">
        <v>144.0</v>
      </c>
      <c r="D108" s="93" t="str">
        <f t="shared" si="1"/>
        <v>106VWR</v>
      </c>
    </row>
    <row r="109" ht="22.5" customHeight="1">
      <c r="A109" s="11" t="s">
        <v>534</v>
      </c>
      <c r="B109" s="11">
        <v>107.0</v>
      </c>
      <c r="C109" s="11">
        <v>146.0</v>
      </c>
      <c r="D109" s="93" t="str">
        <f t="shared" si="1"/>
        <v>107VWR</v>
      </c>
    </row>
    <row r="110" ht="22.5" customHeight="1">
      <c r="A110" s="11" t="s">
        <v>534</v>
      </c>
      <c r="B110" s="11">
        <v>108.0</v>
      </c>
      <c r="C110" s="11">
        <v>148.0</v>
      </c>
      <c r="D110" s="93" t="str">
        <f t="shared" si="1"/>
        <v>108VWR</v>
      </c>
    </row>
    <row r="111" ht="22.5" customHeight="1">
      <c r="A111" s="11" t="s">
        <v>534</v>
      </c>
      <c r="B111" s="11">
        <v>109.0</v>
      </c>
      <c r="C111" s="11">
        <v>150.0</v>
      </c>
      <c r="D111" s="93" t="str">
        <f t="shared" si="1"/>
        <v>109VWR</v>
      </c>
    </row>
    <row r="112" ht="22.5" customHeight="1">
      <c r="A112" s="11" t="s">
        <v>534</v>
      </c>
      <c r="B112" s="11">
        <v>110.0</v>
      </c>
      <c r="C112" s="11">
        <v>152.0</v>
      </c>
      <c r="D112" s="93" t="str">
        <f t="shared" si="1"/>
        <v>110VWR</v>
      </c>
    </row>
    <row r="113" ht="22.5" customHeight="1">
      <c r="A113" s="11" t="s">
        <v>534</v>
      </c>
      <c r="B113" s="11">
        <v>111.0</v>
      </c>
      <c r="C113" s="11">
        <v>154.0</v>
      </c>
      <c r="D113" s="93" t="str">
        <f t="shared" si="1"/>
        <v>111VWR</v>
      </c>
    </row>
    <row r="114" ht="22.5" customHeight="1">
      <c r="A114" s="11" t="s">
        <v>534</v>
      </c>
      <c r="B114" s="11">
        <v>112.0</v>
      </c>
      <c r="C114" s="11">
        <v>156.0</v>
      </c>
      <c r="D114" s="93" t="str">
        <f t="shared" si="1"/>
        <v>112VWR</v>
      </c>
    </row>
    <row r="115" ht="22.5" customHeight="1">
      <c r="A115" s="11" t="s">
        <v>534</v>
      </c>
      <c r="B115" s="11">
        <v>113.0</v>
      </c>
      <c r="C115" s="11">
        <v>158.0</v>
      </c>
      <c r="D115" s="93" t="str">
        <f t="shared" si="1"/>
        <v>113VWR</v>
      </c>
    </row>
    <row r="116" ht="22.5" customHeight="1">
      <c r="A116" s="11" t="s">
        <v>534</v>
      </c>
      <c r="B116" s="11">
        <v>114.0</v>
      </c>
      <c r="C116" s="11">
        <v>160.0</v>
      </c>
      <c r="D116" s="93" t="str">
        <f t="shared" si="1"/>
        <v>114VWR</v>
      </c>
    </row>
    <row r="117" ht="22.5" customHeight="1">
      <c r="A117" s="11" t="s">
        <v>534</v>
      </c>
      <c r="B117" s="11">
        <v>115.0</v>
      </c>
      <c r="C117" s="11">
        <v>162.0</v>
      </c>
      <c r="D117" s="93" t="str">
        <f t="shared" si="1"/>
        <v>115VWR</v>
      </c>
    </row>
    <row r="118" ht="22.5" customHeight="1">
      <c r="A118" s="11" t="s">
        <v>534</v>
      </c>
      <c r="B118" s="11">
        <v>116.0</v>
      </c>
      <c r="C118" s="11">
        <v>165.0</v>
      </c>
      <c r="D118" s="93" t="str">
        <f t="shared" si="1"/>
        <v>116VWR</v>
      </c>
    </row>
    <row r="119" ht="22.5" customHeight="1">
      <c r="A119" s="11" t="s">
        <v>534</v>
      </c>
      <c r="B119" s="11">
        <v>117.0</v>
      </c>
      <c r="C119" s="11">
        <v>167.0</v>
      </c>
      <c r="D119" s="93" t="str">
        <f t="shared" si="1"/>
        <v>117VWR</v>
      </c>
    </row>
    <row r="120" ht="22.5" customHeight="1">
      <c r="A120" s="11" t="s">
        <v>534</v>
      </c>
      <c r="B120" s="11">
        <v>118.0</v>
      </c>
      <c r="C120" s="11">
        <v>169.0</v>
      </c>
      <c r="D120" s="93" t="str">
        <f t="shared" si="1"/>
        <v>118VWR</v>
      </c>
    </row>
    <row r="121" ht="22.5" customHeight="1">
      <c r="A121" s="11" t="s">
        <v>534</v>
      </c>
      <c r="B121" s="11">
        <v>119.0</v>
      </c>
      <c r="C121" s="11">
        <v>171.0</v>
      </c>
      <c r="D121" s="93" t="str">
        <f t="shared" si="1"/>
        <v>119VWR</v>
      </c>
    </row>
    <row r="122" ht="22.5" customHeight="1">
      <c r="A122" s="11" t="s">
        <v>534</v>
      </c>
      <c r="B122" s="11">
        <v>120.0</v>
      </c>
      <c r="C122" s="11">
        <v>173.0</v>
      </c>
      <c r="D122" s="93" t="str">
        <f t="shared" si="1"/>
        <v>120VWR</v>
      </c>
    </row>
    <row r="123" ht="22.5" customHeight="1">
      <c r="A123" s="11" t="s">
        <v>534</v>
      </c>
      <c r="B123" s="11">
        <v>121.0</v>
      </c>
      <c r="C123" s="11">
        <v>176.0</v>
      </c>
      <c r="D123" s="93" t="str">
        <f t="shared" si="1"/>
        <v>121VWR</v>
      </c>
    </row>
    <row r="124" ht="22.5" customHeight="1">
      <c r="A124" s="11" t="s">
        <v>534</v>
      </c>
      <c r="B124" s="11">
        <v>122.0</v>
      </c>
      <c r="C124" s="11">
        <v>178.0</v>
      </c>
      <c r="D124" s="93" t="str">
        <f t="shared" si="1"/>
        <v>122VWR</v>
      </c>
    </row>
    <row r="125" ht="22.5" customHeight="1">
      <c r="A125" s="11" t="s">
        <v>534</v>
      </c>
      <c r="B125" s="11">
        <v>123.0</v>
      </c>
      <c r="C125" s="11">
        <v>180.0</v>
      </c>
      <c r="D125" s="93" t="str">
        <f t="shared" si="1"/>
        <v>123VWR</v>
      </c>
    </row>
    <row r="126" ht="22.5" customHeight="1">
      <c r="A126" s="11" t="s">
        <v>534</v>
      </c>
      <c r="B126" s="11">
        <v>124.0</v>
      </c>
      <c r="C126" s="11">
        <v>182.0</v>
      </c>
      <c r="D126" s="93" t="str">
        <f t="shared" si="1"/>
        <v>124VWR</v>
      </c>
    </row>
    <row r="127" ht="22.5" customHeight="1">
      <c r="A127" s="11" t="s">
        <v>534</v>
      </c>
      <c r="B127" s="11">
        <v>125.0</v>
      </c>
      <c r="C127" s="11">
        <v>185.0</v>
      </c>
      <c r="D127" s="93" t="str">
        <f t="shared" si="1"/>
        <v>125VWR</v>
      </c>
    </row>
    <row r="128" ht="22.5" customHeight="1">
      <c r="A128" s="11" t="s">
        <v>534</v>
      </c>
      <c r="B128" s="11">
        <v>126.0</v>
      </c>
      <c r="C128" s="11">
        <v>187.0</v>
      </c>
      <c r="D128" s="93" t="str">
        <f t="shared" si="1"/>
        <v>126VWR</v>
      </c>
    </row>
    <row r="129" ht="22.5" customHeight="1">
      <c r="A129" s="11" t="s">
        <v>534</v>
      </c>
      <c r="B129" s="11">
        <v>127.0</v>
      </c>
      <c r="C129" s="11">
        <v>189.0</v>
      </c>
      <c r="D129" s="93" t="str">
        <f t="shared" si="1"/>
        <v>127VWR</v>
      </c>
    </row>
    <row r="130" ht="22.5" customHeight="1">
      <c r="A130" s="11" t="s">
        <v>534</v>
      </c>
      <c r="B130" s="11">
        <v>128.0</v>
      </c>
      <c r="C130" s="11">
        <v>192.0</v>
      </c>
      <c r="D130" s="93" t="str">
        <f t="shared" si="1"/>
        <v>128VWR</v>
      </c>
    </row>
    <row r="131" ht="22.5" customHeight="1">
      <c r="A131" s="11" t="s">
        <v>534</v>
      </c>
      <c r="B131" s="11">
        <v>129.0</v>
      </c>
      <c r="C131" s="11">
        <v>194.0</v>
      </c>
      <c r="D131" s="93" t="str">
        <f t="shared" si="1"/>
        <v>129VWR</v>
      </c>
    </row>
    <row r="132" ht="22.5" customHeight="1">
      <c r="A132" s="11" t="s">
        <v>534</v>
      </c>
      <c r="B132" s="11">
        <v>130.0</v>
      </c>
      <c r="C132" s="11">
        <v>196.0</v>
      </c>
      <c r="D132" s="93" t="str">
        <f t="shared" si="1"/>
        <v>130VWR</v>
      </c>
    </row>
    <row r="133" ht="22.5" customHeight="1">
      <c r="A133" s="11" t="s">
        <v>534</v>
      </c>
      <c r="B133" s="11">
        <v>131.0</v>
      </c>
      <c r="C133" s="11">
        <v>199.0</v>
      </c>
      <c r="D133" s="93" t="str">
        <f t="shared" si="1"/>
        <v>131VWR</v>
      </c>
    </row>
    <row r="134" ht="22.5" customHeight="1">
      <c r="A134" s="11" t="s">
        <v>534</v>
      </c>
      <c r="B134" s="11">
        <v>132.0</v>
      </c>
      <c r="C134" s="11">
        <v>201.0</v>
      </c>
      <c r="D134" s="93" t="str">
        <f t="shared" si="1"/>
        <v>132VWR</v>
      </c>
    </row>
    <row r="135" ht="22.5" customHeight="1">
      <c r="A135" s="11" t="s">
        <v>534</v>
      </c>
      <c r="B135" s="11">
        <v>133.0</v>
      </c>
      <c r="C135" s="11">
        <v>204.0</v>
      </c>
      <c r="D135" s="93" t="str">
        <f t="shared" si="1"/>
        <v>133VWR</v>
      </c>
    </row>
    <row r="136" ht="22.5" customHeight="1">
      <c r="A136" s="11" t="s">
        <v>534</v>
      </c>
      <c r="B136" s="11">
        <v>134.0</v>
      </c>
      <c r="C136" s="11">
        <v>206.0</v>
      </c>
      <c r="D136" s="93" t="str">
        <f t="shared" si="1"/>
        <v>134VWR</v>
      </c>
    </row>
    <row r="137" ht="22.5" customHeight="1">
      <c r="A137" s="11" t="s">
        <v>534</v>
      </c>
      <c r="B137" s="11">
        <v>135.0</v>
      </c>
      <c r="C137" s="11">
        <v>209.0</v>
      </c>
      <c r="D137" s="93" t="str">
        <f t="shared" si="1"/>
        <v>135VWR</v>
      </c>
    </row>
    <row r="138" ht="22.5" customHeight="1">
      <c r="A138" s="11" t="s">
        <v>534</v>
      </c>
      <c r="B138" s="11">
        <v>136.0</v>
      </c>
      <c r="C138" s="11">
        <v>212.0</v>
      </c>
      <c r="D138" s="93" t="str">
        <f t="shared" si="1"/>
        <v>136VWR</v>
      </c>
    </row>
    <row r="139" ht="22.5" customHeight="1">
      <c r="A139" s="11" t="s">
        <v>534</v>
      </c>
      <c r="B139" s="11">
        <v>137.0</v>
      </c>
      <c r="C139" s="11">
        <v>214.0</v>
      </c>
      <c r="D139" s="93" t="str">
        <f t="shared" si="1"/>
        <v>137VWR</v>
      </c>
    </row>
    <row r="140" ht="22.5" customHeight="1">
      <c r="A140" s="11" t="s">
        <v>534</v>
      </c>
      <c r="B140" s="11">
        <v>138.0</v>
      </c>
      <c r="C140" s="11">
        <v>217.0</v>
      </c>
      <c r="D140" s="93" t="str">
        <f t="shared" si="1"/>
        <v>138VWR</v>
      </c>
    </row>
    <row r="141" ht="22.5" customHeight="1">
      <c r="A141" s="11" t="s">
        <v>534</v>
      </c>
      <c r="B141" s="11">
        <v>139.0</v>
      </c>
      <c r="C141" s="11">
        <v>220.0</v>
      </c>
      <c r="D141" s="93" t="str">
        <f t="shared" si="1"/>
        <v>139VWR</v>
      </c>
    </row>
    <row r="142" ht="22.5" customHeight="1">
      <c r="A142" s="11" t="s">
        <v>534</v>
      </c>
      <c r="B142" s="11">
        <v>140.0</v>
      </c>
      <c r="C142" s="11">
        <v>222.0</v>
      </c>
      <c r="D142" s="93" t="str">
        <f t="shared" si="1"/>
        <v>140VWR</v>
      </c>
    </row>
    <row r="143" ht="22.5" customHeight="1">
      <c r="A143" s="11" t="s">
        <v>534</v>
      </c>
      <c r="B143" s="11">
        <v>141.0</v>
      </c>
      <c r="C143" s="11">
        <v>225.0</v>
      </c>
      <c r="D143" s="93" t="str">
        <f t="shared" si="1"/>
        <v>141VWR</v>
      </c>
    </row>
    <row r="144" ht="22.5" customHeight="1">
      <c r="A144" s="11" t="s">
        <v>534</v>
      </c>
      <c r="B144" s="11">
        <v>142.0</v>
      </c>
      <c r="C144" s="11">
        <v>228.0</v>
      </c>
      <c r="D144" s="93" t="str">
        <f t="shared" si="1"/>
        <v>142VWR</v>
      </c>
    </row>
    <row r="145" ht="22.5" customHeight="1">
      <c r="A145" s="11" t="s">
        <v>534</v>
      </c>
      <c r="B145" s="11">
        <v>143.0</v>
      </c>
      <c r="C145" s="11">
        <v>231.0</v>
      </c>
      <c r="D145" s="93" t="str">
        <f t="shared" si="1"/>
        <v>143VWR</v>
      </c>
    </row>
    <row r="146" ht="22.5" customHeight="1">
      <c r="A146" s="11" t="s">
        <v>534</v>
      </c>
      <c r="B146" s="11">
        <v>144.0</v>
      </c>
      <c r="C146" s="11">
        <v>234.0</v>
      </c>
      <c r="D146" s="93" t="str">
        <f t="shared" si="1"/>
        <v>144VWR</v>
      </c>
    </row>
    <row r="147" ht="22.5" customHeight="1">
      <c r="A147" s="11" t="s">
        <v>534</v>
      </c>
      <c r="B147" s="11">
        <v>145.0</v>
      </c>
      <c r="C147" s="11">
        <v>237.0</v>
      </c>
      <c r="D147" s="93" t="str">
        <f t="shared" si="1"/>
        <v>145VWR</v>
      </c>
    </row>
    <row r="148" ht="22.5" customHeight="1">
      <c r="A148" s="11" t="s">
        <v>534</v>
      </c>
      <c r="B148" s="11">
        <v>146.0</v>
      </c>
      <c r="C148" s="11">
        <v>240.0</v>
      </c>
      <c r="D148" s="93" t="str">
        <f t="shared" si="1"/>
        <v>146VWR</v>
      </c>
    </row>
    <row r="149" ht="22.5" customHeight="1">
      <c r="A149" s="11" t="s">
        <v>534</v>
      </c>
      <c r="B149" s="11">
        <v>147.0</v>
      </c>
      <c r="C149" s="11">
        <v>243.0</v>
      </c>
      <c r="D149" s="93" t="str">
        <f t="shared" si="1"/>
        <v>147VWR</v>
      </c>
    </row>
    <row r="150" ht="22.5" customHeight="1">
      <c r="A150" s="11" t="s">
        <v>534</v>
      </c>
      <c r="B150" s="11">
        <v>148.0</v>
      </c>
      <c r="C150" s="11">
        <v>246.0</v>
      </c>
      <c r="D150" s="93" t="str">
        <f t="shared" si="1"/>
        <v>148VWR</v>
      </c>
    </row>
    <row r="151" ht="22.5" customHeight="1">
      <c r="A151" s="11" t="s">
        <v>534</v>
      </c>
      <c r="B151" s="11">
        <v>149.0</v>
      </c>
      <c r="C151" s="11">
        <v>249.0</v>
      </c>
      <c r="D151" s="93" t="str">
        <f t="shared" si="1"/>
        <v>149VWR</v>
      </c>
    </row>
    <row r="152" ht="22.5" customHeight="1">
      <c r="A152" s="11" t="s">
        <v>534</v>
      </c>
      <c r="B152" s="11">
        <v>150.0</v>
      </c>
      <c r="C152" s="11">
        <v>252.0</v>
      </c>
      <c r="D152" s="93" t="str">
        <f t="shared" si="1"/>
        <v>150VWR</v>
      </c>
    </row>
    <row r="153" ht="22.5" customHeight="1">
      <c r="A153" s="11" t="s">
        <v>534</v>
      </c>
      <c r="B153" s="11">
        <v>151.0</v>
      </c>
      <c r="C153" s="11">
        <v>255.0</v>
      </c>
      <c r="D153" s="93" t="str">
        <f t="shared" si="1"/>
        <v>151VWR</v>
      </c>
    </row>
    <row r="154" ht="22.5" customHeight="1">
      <c r="A154" s="11" t="s">
        <v>534</v>
      </c>
      <c r="B154" s="11">
        <v>152.0</v>
      </c>
      <c r="C154" s="11">
        <v>258.0</v>
      </c>
      <c r="D154" s="93" t="str">
        <f t="shared" si="1"/>
        <v>152VWR</v>
      </c>
    </row>
    <row r="155" ht="22.5" customHeight="1">
      <c r="A155" s="11" t="s">
        <v>534</v>
      </c>
      <c r="B155" s="11">
        <v>153.0</v>
      </c>
      <c r="C155" s="11">
        <v>261.0</v>
      </c>
      <c r="D155" s="93" t="str">
        <f t="shared" si="1"/>
        <v>153VWR</v>
      </c>
    </row>
    <row r="156" ht="22.5" customHeight="1">
      <c r="A156" s="11" t="s">
        <v>534</v>
      </c>
      <c r="B156" s="11">
        <v>154.0</v>
      </c>
      <c r="C156" s="11">
        <v>265.0</v>
      </c>
      <c r="D156" s="93" t="str">
        <f t="shared" si="1"/>
        <v>154VWR</v>
      </c>
    </row>
    <row r="157" ht="22.5" customHeight="1">
      <c r="A157" s="11" t="s">
        <v>534</v>
      </c>
      <c r="B157" s="11">
        <v>155.0</v>
      </c>
      <c r="C157" s="11">
        <v>268.0</v>
      </c>
      <c r="D157" s="93" t="str">
        <f t="shared" si="1"/>
        <v>155VWR</v>
      </c>
    </row>
    <row r="158" ht="22.5" customHeight="1">
      <c r="A158" s="11" t="s">
        <v>534</v>
      </c>
      <c r="B158" s="11">
        <v>156.0</v>
      </c>
      <c r="C158" s="11">
        <v>271.0</v>
      </c>
      <c r="D158" s="93" t="str">
        <f t="shared" si="1"/>
        <v>156VWR</v>
      </c>
    </row>
    <row r="159" ht="22.5" customHeight="1">
      <c r="A159" s="11" t="s">
        <v>534</v>
      </c>
      <c r="B159" s="11">
        <v>157.0</v>
      </c>
      <c r="C159" s="11">
        <v>275.0</v>
      </c>
      <c r="D159" s="93" t="str">
        <f t="shared" si="1"/>
        <v>157VWR</v>
      </c>
    </row>
    <row r="160" ht="22.5" customHeight="1">
      <c r="A160" s="11" t="s">
        <v>534</v>
      </c>
      <c r="B160" s="11">
        <v>158.0</v>
      </c>
      <c r="C160" s="11">
        <v>278.0</v>
      </c>
      <c r="D160" s="93" t="str">
        <f t="shared" si="1"/>
        <v>158VWR</v>
      </c>
    </row>
    <row r="161" ht="22.5" customHeight="1">
      <c r="A161" s="11" t="s">
        <v>534</v>
      </c>
      <c r="B161" s="11">
        <v>159.0</v>
      </c>
      <c r="C161" s="11">
        <v>282.0</v>
      </c>
      <c r="D161" s="93" t="str">
        <f t="shared" si="1"/>
        <v>159VWR</v>
      </c>
    </row>
    <row r="162" ht="22.5" customHeight="1">
      <c r="A162" s="11" t="s">
        <v>534</v>
      </c>
      <c r="B162" s="11">
        <v>160.0</v>
      </c>
      <c r="C162" s="11">
        <v>286.0</v>
      </c>
      <c r="D162" s="93" t="str">
        <f t="shared" si="1"/>
        <v>160VWR</v>
      </c>
    </row>
    <row r="163" ht="22.5" customHeight="1">
      <c r="A163" s="11" t="s">
        <v>534</v>
      </c>
      <c r="B163" s="11">
        <v>161.0</v>
      </c>
      <c r="C163" s="11">
        <v>289.0</v>
      </c>
      <c r="D163" s="93" t="str">
        <f t="shared" si="1"/>
        <v>161VWR</v>
      </c>
    </row>
    <row r="164" ht="22.5" customHeight="1">
      <c r="A164" s="11" t="s">
        <v>534</v>
      </c>
      <c r="B164" s="11">
        <v>162.0</v>
      </c>
      <c r="C164" s="11">
        <v>293.0</v>
      </c>
      <c r="D164" s="93" t="str">
        <f t="shared" si="1"/>
        <v>162VWR</v>
      </c>
    </row>
    <row r="165" ht="22.5" customHeight="1">
      <c r="A165" s="11" t="s">
        <v>534</v>
      </c>
      <c r="B165" s="11">
        <v>163.0</v>
      </c>
      <c r="C165" s="11">
        <v>297.0</v>
      </c>
      <c r="D165" s="93" t="str">
        <f t="shared" si="1"/>
        <v>163VWR</v>
      </c>
    </row>
    <row r="166" ht="22.5" customHeight="1">
      <c r="A166" s="11" t="s">
        <v>534</v>
      </c>
      <c r="B166" s="11">
        <v>164.0</v>
      </c>
      <c r="C166" s="11">
        <v>301.0</v>
      </c>
      <c r="D166" s="93" t="str">
        <f t="shared" si="1"/>
        <v>164VWR</v>
      </c>
    </row>
    <row r="167" ht="22.5" customHeight="1">
      <c r="A167" s="11" t="s">
        <v>534</v>
      </c>
      <c r="B167" s="11">
        <v>165.0</v>
      </c>
      <c r="C167" s="11">
        <v>305.0</v>
      </c>
      <c r="D167" s="93" t="str">
        <f t="shared" si="1"/>
        <v>165VWR</v>
      </c>
    </row>
    <row r="168" ht="22.5" customHeight="1">
      <c r="A168" s="11" t="s">
        <v>534</v>
      </c>
      <c r="B168" s="11">
        <v>166.0</v>
      </c>
      <c r="C168" s="11">
        <v>309.0</v>
      </c>
      <c r="D168" s="93" t="str">
        <f t="shared" si="1"/>
        <v>166VWR</v>
      </c>
    </row>
    <row r="169" ht="22.5" customHeight="1">
      <c r="A169" s="11" t="s">
        <v>534</v>
      </c>
      <c r="B169" s="11">
        <v>167.0</v>
      </c>
      <c r="C169" s="11">
        <v>313.0</v>
      </c>
      <c r="D169" s="93" t="str">
        <f t="shared" si="1"/>
        <v>167VWR</v>
      </c>
    </row>
    <row r="170" ht="22.5" customHeight="1">
      <c r="A170" s="11" t="s">
        <v>534</v>
      </c>
      <c r="B170" s="11">
        <v>168.0</v>
      </c>
      <c r="C170" s="11">
        <v>317.0</v>
      </c>
      <c r="D170" s="93" t="str">
        <f t="shared" si="1"/>
        <v>168VWR</v>
      </c>
    </row>
    <row r="171" ht="22.5" customHeight="1">
      <c r="A171" s="11" t="s">
        <v>534</v>
      </c>
      <c r="B171" s="11">
        <v>169.0</v>
      </c>
      <c r="C171" s="11">
        <v>322.0</v>
      </c>
      <c r="D171" s="93" t="str">
        <f t="shared" si="1"/>
        <v>169VWR</v>
      </c>
    </row>
    <row r="172" ht="22.5" customHeight="1">
      <c r="A172" s="11" t="s">
        <v>534</v>
      </c>
      <c r="B172" s="11">
        <v>170.0</v>
      </c>
      <c r="C172" s="11">
        <v>326.0</v>
      </c>
      <c r="D172" s="93" t="str">
        <f t="shared" si="1"/>
        <v>170VWR</v>
      </c>
    </row>
    <row r="173" ht="22.5" customHeight="1">
      <c r="A173" s="11" t="s">
        <v>534</v>
      </c>
      <c r="B173" s="11">
        <v>171.0</v>
      </c>
      <c r="C173" s="11">
        <v>331.0</v>
      </c>
      <c r="D173" s="93" t="str">
        <f t="shared" si="1"/>
        <v>171VWR</v>
      </c>
    </row>
    <row r="174" ht="22.5" customHeight="1">
      <c r="A174" s="11" t="s">
        <v>534</v>
      </c>
      <c r="B174" s="11">
        <v>172.0</v>
      </c>
      <c r="C174" s="11">
        <v>335.0</v>
      </c>
      <c r="D174" s="93" t="str">
        <f t="shared" si="1"/>
        <v>172VWR</v>
      </c>
    </row>
    <row r="175" ht="22.5" customHeight="1">
      <c r="A175" s="11" t="s">
        <v>534</v>
      </c>
      <c r="B175" s="11">
        <v>173.0</v>
      </c>
      <c r="C175" s="11">
        <v>340.0</v>
      </c>
      <c r="D175" s="93" t="str">
        <f t="shared" si="1"/>
        <v>173VWR</v>
      </c>
    </row>
    <row r="176" ht="22.5" customHeight="1">
      <c r="A176" s="11" t="s">
        <v>534</v>
      </c>
      <c r="B176" s="11">
        <v>174.0</v>
      </c>
      <c r="C176" s="11">
        <v>344.0</v>
      </c>
      <c r="D176" s="93" t="str">
        <f t="shared" si="1"/>
        <v>174VWR</v>
      </c>
    </row>
    <row r="177" ht="22.5" customHeight="1">
      <c r="A177" s="11" t="s">
        <v>534</v>
      </c>
      <c r="B177" s="11">
        <v>175.0</v>
      </c>
      <c r="C177" s="11">
        <v>349.0</v>
      </c>
      <c r="D177" s="93" t="str">
        <f t="shared" si="1"/>
        <v>175VWR</v>
      </c>
    </row>
    <row r="178" ht="22.5" customHeight="1">
      <c r="A178" s="11" t="s">
        <v>534</v>
      </c>
      <c r="B178" s="11">
        <v>176.0</v>
      </c>
      <c r="C178" s="11">
        <v>354.0</v>
      </c>
      <c r="D178" s="93" t="str">
        <f t="shared" si="1"/>
        <v>176VWR</v>
      </c>
    </row>
    <row r="179" ht="22.5" customHeight="1">
      <c r="A179" s="11" t="s">
        <v>534</v>
      </c>
      <c r="B179" s="11">
        <v>177.0</v>
      </c>
      <c r="C179" s="11">
        <v>359.0</v>
      </c>
      <c r="D179" s="93" t="str">
        <f t="shared" si="1"/>
        <v>177VWR</v>
      </c>
    </row>
    <row r="180" ht="22.5" customHeight="1">
      <c r="A180" s="11" t="s">
        <v>534</v>
      </c>
      <c r="B180" s="11">
        <v>178.0</v>
      </c>
      <c r="C180" s="11">
        <v>365.0</v>
      </c>
      <c r="D180" s="93" t="str">
        <f t="shared" si="1"/>
        <v>178VWR</v>
      </c>
    </row>
    <row r="181" ht="22.5" customHeight="1">
      <c r="A181" s="11" t="s">
        <v>534</v>
      </c>
      <c r="B181" s="11">
        <v>179.0</v>
      </c>
      <c r="C181" s="11">
        <v>370.0</v>
      </c>
      <c r="D181" s="93" t="str">
        <f t="shared" si="1"/>
        <v>179VWR</v>
      </c>
    </row>
    <row r="182" ht="22.5" customHeight="1">
      <c r="A182" s="11" t="s">
        <v>534</v>
      </c>
      <c r="B182" s="11">
        <v>180.0</v>
      </c>
      <c r="C182" s="11">
        <v>375.0</v>
      </c>
      <c r="D182" s="93" t="str">
        <f t="shared" si="1"/>
        <v>180VWR</v>
      </c>
    </row>
    <row r="183" ht="22.5" customHeight="1">
      <c r="A183" s="11" t="s">
        <v>534</v>
      </c>
      <c r="B183" s="11">
        <v>181.0</v>
      </c>
      <c r="C183" s="11">
        <v>381.0</v>
      </c>
      <c r="D183" s="93" t="str">
        <f t="shared" si="1"/>
        <v>181VWR</v>
      </c>
    </row>
    <row r="184" ht="22.5" customHeight="1">
      <c r="A184" s="11" t="s">
        <v>534</v>
      </c>
      <c r="B184" s="11">
        <v>182.0</v>
      </c>
      <c r="C184" s="11">
        <v>387.0</v>
      </c>
      <c r="D184" s="93" t="str">
        <f t="shared" si="1"/>
        <v>182VWR</v>
      </c>
    </row>
    <row r="185" ht="22.5" customHeight="1">
      <c r="A185" s="11" t="s">
        <v>534</v>
      </c>
      <c r="B185" s="11">
        <v>183.0</v>
      </c>
      <c r="C185" s="11">
        <v>393.0</v>
      </c>
      <c r="D185" s="93" t="str">
        <f t="shared" si="1"/>
        <v>183VWR</v>
      </c>
    </row>
    <row r="186" ht="22.5" customHeight="1">
      <c r="A186" s="11" t="s">
        <v>534</v>
      </c>
      <c r="B186" s="11">
        <v>184.0</v>
      </c>
      <c r="C186" s="11">
        <v>399.0</v>
      </c>
      <c r="D186" s="93" t="str">
        <f t="shared" si="1"/>
        <v>184VWR</v>
      </c>
    </row>
    <row r="187" ht="22.5" customHeight="1">
      <c r="A187" s="11" t="s">
        <v>534</v>
      </c>
      <c r="B187" s="11">
        <v>185.0</v>
      </c>
      <c r="C187" s="11">
        <v>405.0</v>
      </c>
      <c r="D187" s="93" t="str">
        <f t="shared" si="1"/>
        <v>185VWR</v>
      </c>
    </row>
    <row r="188" ht="22.5" customHeight="1">
      <c r="A188" s="11" t="s">
        <v>534</v>
      </c>
      <c r="B188" s="11">
        <v>186.0</v>
      </c>
      <c r="C188" s="11">
        <v>412.0</v>
      </c>
      <c r="D188" s="93" t="str">
        <f t="shared" si="1"/>
        <v>186VWR</v>
      </c>
    </row>
    <row r="189" ht="22.5" customHeight="1">
      <c r="A189" s="11" t="s">
        <v>534</v>
      </c>
      <c r="B189" s="11">
        <v>187.0</v>
      </c>
      <c r="C189" s="11">
        <v>418.0</v>
      </c>
      <c r="D189" s="93" t="str">
        <f t="shared" si="1"/>
        <v>187VWR</v>
      </c>
    </row>
    <row r="190" ht="22.5" customHeight="1">
      <c r="A190" s="11" t="s">
        <v>534</v>
      </c>
      <c r="B190" s="11">
        <v>188.0</v>
      </c>
      <c r="C190" s="11">
        <v>425.0</v>
      </c>
      <c r="D190" s="93" t="str">
        <f t="shared" si="1"/>
        <v>188VWR</v>
      </c>
    </row>
    <row r="191" ht="22.5" customHeight="1">
      <c r="A191" s="11" t="s">
        <v>534</v>
      </c>
      <c r="B191" s="11">
        <v>189.0</v>
      </c>
      <c r="C191" s="11">
        <v>432.0</v>
      </c>
      <c r="D191" s="93" t="str">
        <f t="shared" si="1"/>
        <v>189VWR</v>
      </c>
    </row>
    <row r="192" ht="22.5" customHeight="1">
      <c r="A192" s="11" t="s">
        <v>534</v>
      </c>
      <c r="B192" s="11">
        <v>190.0</v>
      </c>
      <c r="C192" s="11">
        <v>439.0</v>
      </c>
      <c r="D192" s="93" t="str">
        <f t="shared" si="1"/>
        <v>190VWR</v>
      </c>
    </row>
    <row r="193" ht="22.5" customHeight="1">
      <c r="A193" s="11" t="s">
        <v>534</v>
      </c>
      <c r="B193" s="11">
        <v>191.0</v>
      </c>
      <c r="C193" s="11">
        <v>447.0</v>
      </c>
      <c r="D193" s="93" t="str">
        <f t="shared" si="1"/>
        <v>191VWR</v>
      </c>
    </row>
    <row r="194" ht="22.5" customHeight="1">
      <c r="A194" s="11" t="s">
        <v>534</v>
      </c>
      <c r="B194" s="11">
        <v>192.0</v>
      </c>
      <c r="C194" s="11">
        <v>455.0</v>
      </c>
      <c r="D194" s="93" t="str">
        <f t="shared" si="1"/>
        <v>192VWR</v>
      </c>
    </row>
    <row r="195" ht="22.5" customHeight="1">
      <c r="A195" s="11" t="s">
        <v>534</v>
      </c>
      <c r="B195" s="11">
        <v>193.0</v>
      </c>
      <c r="C195" s="11">
        <v>463.0</v>
      </c>
      <c r="D195" s="93" t="str">
        <f t="shared" si="1"/>
        <v>193VWR</v>
      </c>
    </row>
    <row r="196" ht="22.5" customHeight="1">
      <c r="A196" s="11" t="s">
        <v>534</v>
      </c>
      <c r="B196" s="11">
        <v>194.0</v>
      </c>
      <c r="C196" s="11">
        <v>471.0</v>
      </c>
      <c r="D196" s="93" t="str">
        <f t="shared" si="1"/>
        <v>194VWR</v>
      </c>
    </row>
    <row r="197" ht="22.5" customHeight="1">
      <c r="A197" s="11" t="s">
        <v>534</v>
      </c>
      <c r="B197" s="11">
        <v>195.0</v>
      </c>
      <c r="C197" s="11">
        <v>480.0</v>
      </c>
      <c r="D197" s="93" t="str">
        <f t="shared" si="1"/>
        <v>195VWR</v>
      </c>
    </row>
    <row r="198" ht="22.5" customHeight="1">
      <c r="A198" s="11" t="s">
        <v>534</v>
      </c>
      <c r="B198" s="11">
        <v>196.0</v>
      </c>
      <c r="C198" s="11">
        <v>489.0</v>
      </c>
      <c r="D198" s="93" t="str">
        <f t="shared" si="1"/>
        <v>196VWR</v>
      </c>
    </row>
    <row r="199" ht="22.5" customHeight="1">
      <c r="A199" s="11" t="s">
        <v>534</v>
      </c>
      <c r="B199" s="11">
        <v>197.0</v>
      </c>
      <c r="C199" s="11">
        <v>499.0</v>
      </c>
      <c r="D199" s="93" t="str">
        <f t="shared" si="1"/>
        <v>197VWR</v>
      </c>
    </row>
    <row r="200" ht="22.5" customHeight="1">
      <c r="A200" s="11" t="s">
        <v>534</v>
      </c>
      <c r="B200" s="11">
        <v>198.0</v>
      </c>
      <c r="C200" s="11">
        <v>508.0</v>
      </c>
      <c r="D200" s="93" t="str">
        <f t="shared" si="1"/>
        <v>198VWR</v>
      </c>
    </row>
    <row r="201" ht="22.5" customHeight="1">
      <c r="A201" s="11" t="s">
        <v>534</v>
      </c>
      <c r="B201" s="11">
        <v>199.0</v>
      </c>
      <c r="C201" s="11">
        <v>519.0</v>
      </c>
      <c r="D201" s="93" t="str">
        <f t="shared" si="1"/>
        <v>199VWR</v>
      </c>
    </row>
    <row r="202" ht="22.5" customHeight="1">
      <c r="A202" s="11" t="s">
        <v>534</v>
      </c>
      <c r="B202" s="11">
        <v>200.0</v>
      </c>
      <c r="C202" s="11">
        <v>530.0</v>
      </c>
      <c r="D202" s="93" t="str">
        <f t="shared" si="1"/>
        <v>200VWR</v>
      </c>
    </row>
    <row r="203" ht="22.5" customHeight="1">
      <c r="A203" s="11" t="s">
        <v>534</v>
      </c>
      <c r="B203" s="11">
        <v>201.0</v>
      </c>
      <c r="C203" s="11">
        <v>542.0</v>
      </c>
      <c r="D203" s="93" t="str">
        <f t="shared" si="1"/>
        <v>201VWR</v>
      </c>
    </row>
    <row r="204" ht="22.5" customHeight="1">
      <c r="A204" s="11" t="s">
        <v>534</v>
      </c>
      <c r="B204" s="11">
        <v>202.0</v>
      </c>
      <c r="C204" s="11">
        <v>554.0</v>
      </c>
      <c r="D204" s="93" t="str">
        <f t="shared" si="1"/>
        <v>202VWR</v>
      </c>
    </row>
    <row r="205" ht="22.5" customHeight="1">
      <c r="A205" s="11" t="s">
        <v>534</v>
      </c>
      <c r="B205" s="11">
        <v>203.0</v>
      </c>
      <c r="C205" s="11">
        <v>567.0</v>
      </c>
      <c r="D205" s="93" t="str">
        <f t="shared" si="1"/>
        <v>203VWR</v>
      </c>
    </row>
    <row r="206" ht="22.5" customHeight="1">
      <c r="A206" s="11" t="s">
        <v>534</v>
      </c>
      <c r="B206" s="11">
        <v>204.0</v>
      </c>
      <c r="C206" s="11">
        <v>580.0</v>
      </c>
      <c r="D206" s="93" t="str">
        <f t="shared" si="1"/>
        <v>204VWR</v>
      </c>
    </row>
    <row r="207" ht="22.5" customHeight="1">
      <c r="A207" s="11" t="s">
        <v>534</v>
      </c>
      <c r="B207" s="11">
        <v>205.0</v>
      </c>
      <c r="C207" s="11">
        <v>595.0</v>
      </c>
      <c r="D207" s="93" t="str">
        <f t="shared" si="1"/>
        <v>205VWR</v>
      </c>
    </row>
    <row r="208" ht="22.5" customHeight="1">
      <c r="A208" s="11" t="s">
        <v>534</v>
      </c>
      <c r="B208" s="11">
        <v>206.0</v>
      </c>
      <c r="C208" s="11">
        <v>611.0</v>
      </c>
      <c r="D208" s="93" t="str">
        <f t="shared" si="1"/>
        <v>206VWR</v>
      </c>
    </row>
    <row r="209" ht="22.5" customHeight="1">
      <c r="A209" s="11" t="s">
        <v>534</v>
      </c>
      <c r="B209" s="11">
        <v>207.0</v>
      </c>
      <c r="C209" s="11">
        <v>627.0</v>
      </c>
      <c r="D209" s="93" t="str">
        <f t="shared" si="1"/>
        <v>207VWR</v>
      </c>
    </row>
    <row r="210" ht="22.5" customHeight="1">
      <c r="A210" s="11" t="s">
        <v>534</v>
      </c>
      <c r="B210" s="11">
        <v>208.0</v>
      </c>
      <c r="C210" s="11">
        <v>646.0</v>
      </c>
      <c r="D210" s="93" t="str">
        <f t="shared" si="1"/>
        <v>208VWR</v>
      </c>
    </row>
    <row r="211" ht="22.5" customHeight="1">
      <c r="A211" s="11" t="s">
        <v>534</v>
      </c>
      <c r="B211" s="11">
        <v>209.0</v>
      </c>
      <c r="C211" s="11">
        <v>666.0</v>
      </c>
      <c r="D211" s="93" t="str">
        <f t="shared" si="1"/>
        <v>209VWR</v>
      </c>
    </row>
    <row r="212" ht="22.5" customHeight="1">
      <c r="A212" s="11" t="s">
        <v>534</v>
      </c>
      <c r="B212" s="11">
        <v>210.0</v>
      </c>
      <c r="C212" s="11">
        <v>687.0</v>
      </c>
      <c r="D212" s="93" t="str">
        <f t="shared" si="1"/>
        <v>210VWR</v>
      </c>
    </row>
    <row r="213" ht="22.5" customHeight="1">
      <c r="A213" s="11" t="s">
        <v>534</v>
      </c>
      <c r="B213" s="11">
        <v>211.0</v>
      </c>
      <c r="C213" s="11">
        <v>712.0</v>
      </c>
      <c r="D213" s="93" t="str">
        <f t="shared" si="1"/>
        <v>211VWR</v>
      </c>
    </row>
    <row r="214" ht="22.5" customHeight="1">
      <c r="A214" s="11" t="s">
        <v>534</v>
      </c>
      <c r="B214" s="11">
        <v>212.0</v>
      </c>
      <c r="C214" s="11">
        <v>739.0</v>
      </c>
      <c r="D214" s="93" t="str">
        <f t="shared" si="1"/>
        <v>212VWR</v>
      </c>
    </row>
    <row r="215" ht="22.5" customHeight="1">
      <c r="A215" s="11" t="s">
        <v>534</v>
      </c>
      <c r="B215" s="11">
        <v>213.0</v>
      </c>
      <c r="C215" s="11">
        <v>770.0</v>
      </c>
      <c r="D215" s="93" t="str">
        <f t="shared" si="1"/>
        <v>213VWR</v>
      </c>
    </row>
    <row r="216" ht="22.5" customHeight="1">
      <c r="A216" s="11" t="s">
        <v>534</v>
      </c>
      <c r="B216" s="11">
        <v>214.0</v>
      </c>
      <c r="C216" s="11">
        <v>807.0</v>
      </c>
      <c r="D216" s="93" t="str">
        <f t="shared" si="1"/>
        <v>214VWR</v>
      </c>
    </row>
    <row r="217" ht="22.5" customHeight="1">
      <c r="A217" s="11" t="s">
        <v>534</v>
      </c>
      <c r="B217" s="11">
        <v>215.0</v>
      </c>
      <c r="C217" s="11">
        <v>851.0</v>
      </c>
      <c r="D217" s="93" t="str">
        <f t="shared" si="1"/>
        <v>215VWR</v>
      </c>
    </row>
    <row r="218" ht="22.5" customHeight="1">
      <c r="A218" s="11" t="s">
        <v>534</v>
      </c>
      <c r="B218" s="11">
        <v>216.0</v>
      </c>
      <c r="C218" s="11">
        <v>905.0</v>
      </c>
      <c r="D218" s="93" t="str">
        <f t="shared" si="1"/>
        <v>216VWR</v>
      </c>
    </row>
    <row r="219" ht="22.5" customHeight="1">
      <c r="A219" s="11" t="s">
        <v>534</v>
      </c>
      <c r="B219" s="11">
        <v>217.0</v>
      </c>
      <c r="C219" s="11">
        <v>978.0</v>
      </c>
      <c r="D219" s="93" t="str">
        <f t="shared" si="1"/>
        <v>217VWR</v>
      </c>
    </row>
    <row r="220" ht="22.5" customHeight="1">
      <c r="A220" s="11" t="s">
        <v>534</v>
      </c>
      <c r="B220" s="11">
        <v>218.0</v>
      </c>
      <c r="C220" s="11">
        <v>1088.0</v>
      </c>
      <c r="D220" s="93" t="str">
        <f t="shared" si="1"/>
        <v>218VWR</v>
      </c>
    </row>
    <row r="221" ht="22.5" customHeight="1">
      <c r="A221" s="11" t="s">
        <v>534</v>
      </c>
      <c r="B221" s="11">
        <v>219.0</v>
      </c>
      <c r="C221" s="11">
        <v>1307.0</v>
      </c>
      <c r="D221" s="93" t="str">
        <f t="shared" si="1"/>
        <v>219VWR</v>
      </c>
    </row>
    <row r="222" ht="22.5" customHeight="1">
      <c r="A222" s="11" t="s">
        <v>534</v>
      </c>
      <c r="B222" s="11">
        <v>9999.0</v>
      </c>
      <c r="C222" s="11">
        <v>9999.0</v>
      </c>
      <c r="D222" s="93" t="str">
        <f t="shared" si="1"/>
        <v>9999VWR</v>
      </c>
    </row>
    <row r="223" ht="22.5" customHeight="1">
      <c r="A223" s="11" t="s">
        <v>1413</v>
      </c>
      <c r="B223" s="11">
        <v>0.0</v>
      </c>
      <c r="C223" s="11">
        <v>0.0</v>
      </c>
      <c r="D223" s="93" t="str">
        <f t="shared" si="1"/>
        <v>0MAS-100 VF</v>
      </c>
    </row>
    <row r="224" ht="22.5" customHeight="1">
      <c r="A224" s="11" t="s">
        <v>1413</v>
      </c>
      <c r="B224" s="11">
        <v>1.0</v>
      </c>
      <c r="C224" s="11">
        <v>1.0</v>
      </c>
      <c r="D224" s="93" t="str">
        <f t="shared" si="1"/>
        <v>1MAS-100 VF</v>
      </c>
    </row>
    <row r="225" ht="22.5" customHeight="1">
      <c r="A225" s="11" t="s">
        <v>1413</v>
      </c>
      <c r="B225" s="11">
        <v>2.0</v>
      </c>
      <c r="C225" s="11">
        <v>2.0</v>
      </c>
      <c r="D225" s="93" t="str">
        <f t="shared" si="1"/>
        <v>2MAS-100 VF</v>
      </c>
    </row>
    <row r="226" ht="22.5" customHeight="1">
      <c r="A226" s="11" t="s">
        <v>1413</v>
      </c>
      <c r="B226" s="11">
        <v>3.0</v>
      </c>
      <c r="C226" s="11">
        <v>3.0</v>
      </c>
      <c r="D226" s="93" t="str">
        <f t="shared" si="1"/>
        <v>3MAS-100 VF</v>
      </c>
    </row>
    <row r="227" ht="22.5" customHeight="1">
      <c r="A227" s="11" t="s">
        <v>1413</v>
      </c>
      <c r="B227" s="11">
        <v>4.0</v>
      </c>
      <c r="C227" s="11">
        <v>4.0</v>
      </c>
      <c r="D227" s="93" t="str">
        <f t="shared" si="1"/>
        <v>4MAS-100 VF</v>
      </c>
    </row>
    <row r="228" ht="22.5" customHeight="1">
      <c r="A228" s="11" t="s">
        <v>1413</v>
      </c>
      <c r="B228" s="11">
        <v>5.0</v>
      </c>
      <c r="C228" s="11">
        <v>5.0</v>
      </c>
      <c r="D228" s="93" t="str">
        <f t="shared" si="1"/>
        <v>5MAS-100 VF</v>
      </c>
    </row>
    <row r="229" ht="22.5" customHeight="1">
      <c r="A229" s="11" t="s">
        <v>1413</v>
      </c>
      <c r="B229" s="11">
        <v>6.0</v>
      </c>
      <c r="C229" s="11">
        <v>6.0</v>
      </c>
      <c r="D229" s="93" t="str">
        <f t="shared" si="1"/>
        <v>6MAS-100 VF</v>
      </c>
    </row>
    <row r="230" ht="22.5" customHeight="1">
      <c r="A230" s="11" t="s">
        <v>1413</v>
      </c>
      <c r="B230" s="11">
        <v>7.0</v>
      </c>
      <c r="C230" s="11">
        <v>7.0</v>
      </c>
      <c r="D230" s="93" t="str">
        <f t="shared" si="1"/>
        <v>7MAS-100 VF</v>
      </c>
    </row>
    <row r="231" ht="22.5" customHeight="1">
      <c r="A231" s="11" t="s">
        <v>1413</v>
      </c>
      <c r="B231" s="11">
        <v>8.0</v>
      </c>
      <c r="C231" s="11">
        <v>8.0</v>
      </c>
      <c r="D231" s="93" t="str">
        <f t="shared" si="1"/>
        <v>8MAS-100 VF</v>
      </c>
    </row>
    <row r="232" ht="22.5" customHeight="1">
      <c r="A232" s="11" t="s">
        <v>1413</v>
      </c>
      <c r="B232" s="11">
        <v>9.0</v>
      </c>
      <c r="C232" s="11">
        <v>9.0</v>
      </c>
      <c r="D232" s="93" t="str">
        <f t="shared" si="1"/>
        <v>9MAS-100 VF</v>
      </c>
    </row>
    <row r="233" ht="22.5" customHeight="1">
      <c r="A233" s="11" t="s">
        <v>1413</v>
      </c>
      <c r="B233" s="11">
        <v>10.0</v>
      </c>
      <c r="C233" s="11">
        <v>10.0</v>
      </c>
      <c r="D233" s="93" t="str">
        <f t="shared" si="1"/>
        <v>10MAS-100 VF</v>
      </c>
    </row>
    <row r="234" ht="22.5" customHeight="1">
      <c r="A234" s="11" t="s">
        <v>1413</v>
      </c>
      <c r="B234" s="11">
        <v>11.0</v>
      </c>
      <c r="C234" s="11">
        <v>11.0</v>
      </c>
      <c r="D234" s="93" t="str">
        <f t="shared" si="1"/>
        <v>11MAS-100 VF</v>
      </c>
    </row>
    <row r="235" ht="22.5" customHeight="1">
      <c r="A235" s="11" t="s">
        <v>1413</v>
      </c>
      <c r="B235" s="11">
        <v>12.0</v>
      </c>
      <c r="C235" s="11">
        <v>12.0</v>
      </c>
      <c r="D235" s="93" t="str">
        <f t="shared" si="1"/>
        <v>12MAS-100 VF</v>
      </c>
    </row>
    <row r="236" ht="22.5" customHeight="1">
      <c r="A236" s="11" t="s">
        <v>1413</v>
      </c>
      <c r="B236" s="11">
        <v>13.0</v>
      </c>
      <c r="C236" s="11">
        <v>13.0</v>
      </c>
      <c r="D236" s="93" t="str">
        <f t="shared" si="1"/>
        <v>13MAS-100 VF</v>
      </c>
    </row>
    <row r="237" ht="22.5" customHeight="1">
      <c r="A237" s="11" t="s">
        <v>1413</v>
      </c>
      <c r="B237" s="11">
        <v>14.0</v>
      </c>
      <c r="C237" s="11">
        <v>14.0</v>
      </c>
      <c r="D237" s="93" t="str">
        <f t="shared" si="1"/>
        <v>14MAS-100 VF</v>
      </c>
    </row>
    <row r="238" ht="22.5" customHeight="1">
      <c r="A238" s="11" t="s">
        <v>1413</v>
      </c>
      <c r="B238" s="11">
        <v>15.0</v>
      </c>
      <c r="C238" s="11">
        <v>15.0</v>
      </c>
      <c r="D238" s="93" t="str">
        <f t="shared" si="1"/>
        <v>15MAS-100 VF</v>
      </c>
    </row>
    <row r="239" ht="22.5" customHeight="1">
      <c r="A239" s="11" t="s">
        <v>1413</v>
      </c>
      <c r="B239" s="11">
        <v>16.0</v>
      </c>
      <c r="C239" s="11">
        <v>16.0</v>
      </c>
      <c r="D239" s="93" t="str">
        <f t="shared" si="1"/>
        <v>16MAS-100 VF</v>
      </c>
    </row>
    <row r="240" ht="22.5" customHeight="1">
      <c r="A240" s="11" t="s">
        <v>1413</v>
      </c>
      <c r="B240" s="11">
        <v>17.0</v>
      </c>
      <c r="C240" s="11">
        <v>17.0</v>
      </c>
      <c r="D240" s="93" t="str">
        <f t="shared" si="1"/>
        <v>17MAS-100 VF</v>
      </c>
    </row>
    <row r="241" ht="22.5" customHeight="1">
      <c r="A241" s="11" t="s">
        <v>1413</v>
      </c>
      <c r="B241" s="11">
        <v>18.0</v>
      </c>
      <c r="C241" s="11">
        <v>19.0</v>
      </c>
      <c r="D241" s="93" t="str">
        <f t="shared" si="1"/>
        <v>18MAS-100 VF</v>
      </c>
    </row>
    <row r="242" ht="22.5" customHeight="1">
      <c r="A242" s="11" t="s">
        <v>1413</v>
      </c>
      <c r="B242" s="11">
        <v>19.0</v>
      </c>
      <c r="C242" s="11">
        <v>20.0</v>
      </c>
      <c r="D242" s="93" t="str">
        <f t="shared" si="1"/>
        <v>19MAS-100 VF</v>
      </c>
    </row>
    <row r="243" ht="22.5" customHeight="1">
      <c r="A243" s="11" t="s">
        <v>1413</v>
      </c>
      <c r="B243" s="11">
        <v>20.0</v>
      </c>
      <c r="C243" s="11">
        <v>21.0</v>
      </c>
      <c r="D243" s="93" t="str">
        <f t="shared" si="1"/>
        <v>20MAS-100 VF</v>
      </c>
    </row>
    <row r="244" ht="22.5" customHeight="1">
      <c r="A244" s="11" t="s">
        <v>1413</v>
      </c>
      <c r="B244" s="11">
        <v>21.0</v>
      </c>
      <c r="C244" s="11">
        <v>22.0</v>
      </c>
      <c r="D244" s="93" t="str">
        <f t="shared" si="1"/>
        <v>21MAS-100 VF</v>
      </c>
    </row>
    <row r="245" ht="22.5" customHeight="1">
      <c r="A245" s="11" t="s">
        <v>1413</v>
      </c>
      <c r="B245" s="11">
        <v>22.0</v>
      </c>
      <c r="C245" s="11">
        <v>23.0</v>
      </c>
      <c r="D245" s="93" t="str">
        <f t="shared" si="1"/>
        <v>22MAS-100 VF</v>
      </c>
    </row>
    <row r="246" ht="22.5" customHeight="1">
      <c r="A246" s="11" t="s">
        <v>1413</v>
      </c>
      <c r="B246" s="11">
        <v>23.0</v>
      </c>
      <c r="C246" s="11">
        <v>24.0</v>
      </c>
      <c r="D246" s="93" t="str">
        <f t="shared" si="1"/>
        <v>23MAS-100 VF</v>
      </c>
    </row>
    <row r="247" ht="22.5" customHeight="1">
      <c r="A247" s="11" t="s">
        <v>1413</v>
      </c>
      <c r="B247" s="11">
        <v>24.0</v>
      </c>
      <c r="C247" s="11">
        <v>25.0</v>
      </c>
      <c r="D247" s="93" t="str">
        <f t="shared" si="1"/>
        <v>24MAS-100 VF</v>
      </c>
    </row>
    <row r="248" ht="22.5" customHeight="1">
      <c r="A248" s="11" t="s">
        <v>1413</v>
      </c>
      <c r="B248" s="11">
        <v>25.0</v>
      </c>
      <c r="C248" s="11">
        <v>26.0</v>
      </c>
      <c r="D248" s="93" t="str">
        <f t="shared" si="1"/>
        <v>25MAS-100 VF</v>
      </c>
    </row>
    <row r="249" ht="22.5" customHeight="1">
      <c r="A249" s="11" t="s">
        <v>1413</v>
      </c>
      <c r="B249" s="11">
        <v>26.0</v>
      </c>
      <c r="C249" s="11">
        <v>27.0</v>
      </c>
      <c r="D249" s="93" t="str">
        <f t="shared" si="1"/>
        <v>26MAS-100 VF</v>
      </c>
    </row>
    <row r="250" ht="22.5" customHeight="1">
      <c r="A250" s="11" t="s">
        <v>1413</v>
      </c>
      <c r="B250" s="11">
        <v>27.0</v>
      </c>
      <c r="C250" s="11">
        <v>28.0</v>
      </c>
      <c r="D250" s="93" t="str">
        <f t="shared" si="1"/>
        <v>27MAS-100 VF</v>
      </c>
    </row>
    <row r="251" ht="22.5" customHeight="1">
      <c r="A251" s="11" t="s">
        <v>1413</v>
      </c>
      <c r="B251" s="11">
        <v>28.0</v>
      </c>
      <c r="C251" s="11">
        <v>29.0</v>
      </c>
      <c r="D251" s="93" t="str">
        <f t="shared" si="1"/>
        <v>28MAS-100 VF</v>
      </c>
    </row>
    <row r="252" ht="22.5" customHeight="1">
      <c r="A252" s="11" t="s">
        <v>1413</v>
      </c>
      <c r="B252" s="11">
        <v>29.0</v>
      </c>
      <c r="C252" s="11">
        <v>30.0</v>
      </c>
      <c r="D252" s="93" t="str">
        <f t="shared" si="1"/>
        <v>29MAS-100 VF</v>
      </c>
    </row>
    <row r="253" ht="22.5" customHeight="1">
      <c r="A253" s="11" t="s">
        <v>1413</v>
      </c>
      <c r="B253" s="11">
        <v>30.0</v>
      </c>
      <c r="C253" s="11">
        <v>32.0</v>
      </c>
      <c r="D253" s="93" t="str">
        <f t="shared" si="1"/>
        <v>30MAS-100 VF</v>
      </c>
    </row>
    <row r="254" ht="22.5" customHeight="1">
      <c r="A254" s="11" t="s">
        <v>1413</v>
      </c>
      <c r="B254" s="11">
        <v>31.0</v>
      </c>
      <c r="C254" s="11">
        <v>33.0</v>
      </c>
      <c r="D254" s="93" t="str">
        <f t="shared" si="1"/>
        <v>31MAS-100 VF</v>
      </c>
    </row>
    <row r="255" ht="22.5" customHeight="1">
      <c r="A255" s="11" t="s">
        <v>1413</v>
      </c>
      <c r="B255" s="11">
        <v>32.0</v>
      </c>
      <c r="C255" s="11">
        <v>34.0</v>
      </c>
      <c r="D255" s="93" t="str">
        <f t="shared" si="1"/>
        <v>32MAS-100 VF</v>
      </c>
    </row>
    <row r="256" ht="22.5" customHeight="1">
      <c r="A256" s="11" t="s">
        <v>1413</v>
      </c>
      <c r="B256" s="11">
        <v>33.0</v>
      </c>
      <c r="C256" s="11">
        <v>35.0</v>
      </c>
      <c r="D256" s="93" t="str">
        <f t="shared" si="1"/>
        <v>33MAS-100 VF</v>
      </c>
    </row>
    <row r="257" ht="22.5" customHeight="1">
      <c r="A257" s="11" t="s">
        <v>1413</v>
      </c>
      <c r="B257" s="11">
        <v>34.0</v>
      </c>
      <c r="C257" s="11">
        <v>36.0</v>
      </c>
      <c r="D257" s="93" t="str">
        <f t="shared" si="1"/>
        <v>34MAS-100 VF</v>
      </c>
    </row>
    <row r="258" ht="22.5" customHeight="1">
      <c r="A258" s="11" t="s">
        <v>1413</v>
      </c>
      <c r="B258" s="11">
        <v>35.0</v>
      </c>
      <c r="C258" s="11">
        <v>37.0</v>
      </c>
      <c r="D258" s="93" t="str">
        <f t="shared" si="1"/>
        <v>35MAS-100 VF</v>
      </c>
    </row>
    <row r="259" ht="22.5" customHeight="1">
      <c r="A259" s="11" t="s">
        <v>1413</v>
      </c>
      <c r="B259" s="11">
        <v>36.0</v>
      </c>
      <c r="C259" s="11">
        <v>38.0</v>
      </c>
      <c r="D259" s="93" t="str">
        <f t="shared" si="1"/>
        <v>36MAS-100 VF</v>
      </c>
    </row>
    <row r="260" ht="22.5" customHeight="1">
      <c r="A260" s="11" t="s">
        <v>1413</v>
      </c>
      <c r="B260" s="11">
        <v>37.0</v>
      </c>
      <c r="C260" s="11">
        <v>39.0</v>
      </c>
      <c r="D260" s="93" t="str">
        <f t="shared" si="1"/>
        <v>37MAS-100 VF</v>
      </c>
    </row>
    <row r="261" ht="22.5" customHeight="1">
      <c r="A261" s="11" t="s">
        <v>1413</v>
      </c>
      <c r="B261" s="11">
        <v>38.0</v>
      </c>
      <c r="C261" s="11">
        <v>41.0</v>
      </c>
      <c r="D261" s="93" t="str">
        <f t="shared" si="1"/>
        <v>38MAS-100 VF</v>
      </c>
    </row>
    <row r="262" ht="22.5" customHeight="1">
      <c r="A262" s="11" t="s">
        <v>1413</v>
      </c>
      <c r="B262" s="11">
        <v>39.0</v>
      </c>
      <c r="C262" s="11">
        <v>42.0</v>
      </c>
      <c r="D262" s="93" t="str">
        <f t="shared" si="1"/>
        <v>39MAS-100 VF</v>
      </c>
    </row>
    <row r="263" ht="22.5" customHeight="1">
      <c r="A263" s="11" t="s">
        <v>1413</v>
      </c>
      <c r="B263" s="11">
        <v>40.0</v>
      </c>
      <c r="C263" s="11">
        <v>43.0</v>
      </c>
      <c r="D263" s="93" t="str">
        <f t="shared" si="1"/>
        <v>40MAS-100 VF</v>
      </c>
    </row>
    <row r="264" ht="22.5" customHeight="1">
      <c r="A264" s="11" t="s">
        <v>1413</v>
      </c>
      <c r="B264" s="11">
        <v>41.0</v>
      </c>
      <c r="C264" s="11">
        <v>44.0</v>
      </c>
      <c r="D264" s="93" t="str">
        <f t="shared" si="1"/>
        <v>41MAS-100 VF</v>
      </c>
    </row>
    <row r="265" ht="22.5" customHeight="1">
      <c r="A265" s="11" t="s">
        <v>1413</v>
      </c>
      <c r="B265" s="11">
        <v>42.0</v>
      </c>
      <c r="C265" s="11">
        <v>45.0</v>
      </c>
      <c r="D265" s="93" t="str">
        <f t="shared" si="1"/>
        <v>42MAS-100 VF</v>
      </c>
    </row>
    <row r="266" ht="22.5" customHeight="1">
      <c r="A266" s="11" t="s">
        <v>1413</v>
      </c>
      <c r="B266" s="11">
        <v>43.0</v>
      </c>
      <c r="C266" s="11">
        <v>46.0</v>
      </c>
      <c r="D266" s="93" t="str">
        <f t="shared" si="1"/>
        <v>43MAS-100 VF</v>
      </c>
    </row>
    <row r="267" ht="22.5" customHeight="1">
      <c r="A267" s="11" t="s">
        <v>1413</v>
      </c>
      <c r="B267" s="11">
        <v>44.0</v>
      </c>
      <c r="C267" s="11">
        <v>47.0</v>
      </c>
      <c r="D267" s="93" t="str">
        <f t="shared" si="1"/>
        <v>44MAS-100 VF</v>
      </c>
    </row>
    <row r="268" ht="22.5" customHeight="1">
      <c r="A268" s="11" t="s">
        <v>1413</v>
      </c>
      <c r="B268" s="11">
        <v>45.0</v>
      </c>
      <c r="C268" s="11">
        <v>49.0</v>
      </c>
      <c r="D268" s="93" t="str">
        <f t="shared" si="1"/>
        <v>45MAS-100 VF</v>
      </c>
    </row>
    <row r="269" ht="22.5" customHeight="1">
      <c r="A269" s="11" t="s">
        <v>1413</v>
      </c>
      <c r="B269" s="11">
        <v>46.0</v>
      </c>
      <c r="C269" s="11">
        <v>50.0</v>
      </c>
      <c r="D269" s="93" t="str">
        <f t="shared" si="1"/>
        <v>46MAS-100 VF</v>
      </c>
    </row>
    <row r="270" ht="22.5" customHeight="1">
      <c r="A270" s="11" t="s">
        <v>1413</v>
      </c>
      <c r="B270" s="11">
        <v>47.0</v>
      </c>
      <c r="C270" s="11">
        <v>51.0</v>
      </c>
      <c r="D270" s="93" t="str">
        <f t="shared" si="1"/>
        <v>47MAS-100 VF</v>
      </c>
    </row>
    <row r="271" ht="22.5" customHeight="1">
      <c r="A271" s="11" t="s">
        <v>1413</v>
      </c>
      <c r="B271" s="11">
        <v>48.0</v>
      </c>
      <c r="C271" s="11">
        <v>52.0</v>
      </c>
      <c r="D271" s="93" t="str">
        <f t="shared" si="1"/>
        <v>48MAS-100 VF</v>
      </c>
    </row>
    <row r="272" ht="22.5" customHeight="1">
      <c r="A272" s="11" t="s">
        <v>1413</v>
      </c>
      <c r="B272" s="11">
        <v>49.0</v>
      </c>
      <c r="C272" s="11">
        <v>53.0</v>
      </c>
      <c r="D272" s="93" t="str">
        <f t="shared" si="1"/>
        <v>49MAS-100 VF</v>
      </c>
    </row>
    <row r="273" ht="22.5" customHeight="1">
      <c r="A273" s="11" t="s">
        <v>1413</v>
      </c>
      <c r="B273" s="11">
        <v>50.0</v>
      </c>
      <c r="C273" s="11">
        <v>55.0</v>
      </c>
      <c r="D273" s="93" t="str">
        <f t="shared" si="1"/>
        <v>50MAS-100 VF</v>
      </c>
    </row>
    <row r="274" ht="22.5" customHeight="1">
      <c r="A274" s="11" t="s">
        <v>1413</v>
      </c>
      <c r="B274" s="11">
        <v>51.0</v>
      </c>
      <c r="C274" s="11">
        <v>56.0</v>
      </c>
      <c r="D274" s="93" t="str">
        <f t="shared" si="1"/>
        <v>51MAS-100 VF</v>
      </c>
    </row>
    <row r="275" ht="22.5" customHeight="1">
      <c r="A275" s="11" t="s">
        <v>1413</v>
      </c>
      <c r="B275" s="11">
        <v>52.0</v>
      </c>
      <c r="C275" s="11">
        <v>57.0</v>
      </c>
      <c r="D275" s="93" t="str">
        <f t="shared" si="1"/>
        <v>52MAS-100 VF</v>
      </c>
    </row>
    <row r="276" ht="22.5" customHeight="1">
      <c r="A276" s="11" t="s">
        <v>1413</v>
      </c>
      <c r="B276" s="11">
        <v>53.0</v>
      </c>
      <c r="C276" s="11">
        <v>58.0</v>
      </c>
      <c r="D276" s="93" t="str">
        <f t="shared" si="1"/>
        <v>53MAS-100 VF</v>
      </c>
    </row>
    <row r="277" ht="22.5" customHeight="1">
      <c r="A277" s="11" t="s">
        <v>1413</v>
      </c>
      <c r="B277" s="11">
        <v>54.0</v>
      </c>
      <c r="C277" s="11">
        <v>59.0</v>
      </c>
      <c r="D277" s="93" t="str">
        <f t="shared" si="1"/>
        <v>54MAS-100 VF</v>
      </c>
    </row>
    <row r="278" ht="22.5" customHeight="1">
      <c r="A278" s="11" t="s">
        <v>1413</v>
      </c>
      <c r="B278" s="11">
        <v>55.0</v>
      </c>
      <c r="C278" s="11">
        <v>61.0</v>
      </c>
      <c r="D278" s="93" t="str">
        <f t="shared" si="1"/>
        <v>55MAS-100 VF</v>
      </c>
    </row>
    <row r="279" ht="22.5" customHeight="1">
      <c r="A279" s="11" t="s">
        <v>1413</v>
      </c>
      <c r="B279" s="11">
        <v>56.0</v>
      </c>
      <c r="C279" s="11">
        <v>62.0</v>
      </c>
      <c r="D279" s="93" t="str">
        <f t="shared" si="1"/>
        <v>56MAS-100 VF</v>
      </c>
    </row>
    <row r="280" ht="22.5" customHeight="1">
      <c r="A280" s="11" t="s">
        <v>1413</v>
      </c>
      <c r="B280" s="11">
        <v>57.0</v>
      </c>
      <c r="C280" s="11">
        <v>63.0</v>
      </c>
      <c r="D280" s="93" t="str">
        <f t="shared" si="1"/>
        <v>57MAS-100 VF</v>
      </c>
    </row>
    <row r="281" ht="22.5" customHeight="1">
      <c r="A281" s="11" t="s">
        <v>1413</v>
      </c>
      <c r="B281" s="11">
        <v>58.0</v>
      </c>
      <c r="C281" s="11">
        <v>64.0</v>
      </c>
      <c r="D281" s="93" t="str">
        <f t="shared" si="1"/>
        <v>58MAS-100 VF</v>
      </c>
    </row>
    <row r="282" ht="22.5" customHeight="1">
      <c r="A282" s="11" t="s">
        <v>1413</v>
      </c>
      <c r="B282" s="11">
        <v>59.0</v>
      </c>
      <c r="C282" s="11">
        <v>66.0</v>
      </c>
      <c r="D282" s="93" t="str">
        <f t="shared" si="1"/>
        <v>59MAS-100 VF</v>
      </c>
    </row>
    <row r="283" ht="22.5" customHeight="1">
      <c r="A283" s="11" t="s">
        <v>1413</v>
      </c>
      <c r="B283" s="11">
        <v>60.0</v>
      </c>
      <c r="C283" s="11">
        <v>67.0</v>
      </c>
      <c r="D283" s="93" t="str">
        <f t="shared" si="1"/>
        <v>60MAS-100 VF</v>
      </c>
    </row>
    <row r="284" ht="22.5" customHeight="1">
      <c r="A284" s="11" t="s">
        <v>1413</v>
      </c>
      <c r="B284" s="11">
        <v>61.0</v>
      </c>
      <c r="C284" s="11">
        <v>68.0</v>
      </c>
      <c r="D284" s="93" t="str">
        <f t="shared" si="1"/>
        <v>61MAS-100 VF</v>
      </c>
    </row>
    <row r="285" ht="22.5" customHeight="1">
      <c r="A285" s="11" t="s">
        <v>1413</v>
      </c>
      <c r="B285" s="11">
        <v>62.0</v>
      </c>
      <c r="C285" s="11">
        <v>69.0</v>
      </c>
      <c r="D285" s="93" t="str">
        <f t="shared" si="1"/>
        <v>62MAS-100 VF</v>
      </c>
    </row>
    <row r="286" ht="22.5" customHeight="1">
      <c r="A286" s="11" t="s">
        <v>1413</v>
      </c>
      <c r="B286" s="11">
        <v>63.0</v>
      </c>
      <c r="C286" s="11">
        <v>71.0</v>
      </c>
      <c r="D286" s="93" t="str">
        <f t="shared" si="1"/>
        <v>63MAS-100 VF</v>
      </c>
    </row>
    <row r="287" ht="22.5" customHeight="1">
      <c r="A287" s="11" t="s">
        <v>1413</v>
      </c>
      <c r="B287" s="11">
        <v>64.0</v>
      </c>
      <c r="C287" s="11">
        <v>72.0</v>
      </c>
      <c r="D287" s="93" t="str">
        <f t="shared" si="1"/>
        <v>64MAS-100 VF</v>
      </c>
    </row>
    <row r="288" ht="22.5" customHeight="1">
      <c r="A288" s="11" t="s">
        <v>1413</v>
      </c>
      <c r="B288" s="11">
        <v>65.0</v>
      </c>
      <c r="C288" s="11">
        <v>73.0</v>
      </c>
      <c r="D288" s="93" t="str">
        <f t="shared" si="1"/>
        <v>65MAS-100 VF</v>
      </c>
    </row>
    <row r="289" ht="22.5" customHeight="1">
      <c r="A289" s="11" t="s">
        <v>1413</v>
      </c>
      <c r="B289" s="11">
        <v>66.0</v>
      </c>
      <c r="C289" s="11">
        <v>74.0</v>
      </c>
      <c r="D289" s="93" t="str">
        <f t="shared" si="1"/>
        <v>66MAS-100 VF</v>
      </c>
    </row>
    <row r="290" ht="22.5" customHeight="1">
      <c r="A290" s="11" t="s">
        <v>1413</v>
      </c>
      <c r="B290" s="11">
        <v>67.0</v>
      </c>
      <c r="C290" s="11">
        <v>76.0</v>
      </c>
      <c r="D290" s="93" t="str">
        <f t="shared" si="1"/>
        <v>67MAS-100 VF</v>
      </c>
    </row>
    <row r="291" ht="22.5" customHeight="1">
      <c r="A291" s="11" t="s">
        <v>1413</v>
      </c>
      <c r="B291" s="11">
        <v>68.0</v>
      </c>
      <c r="C291" s="11">
        <v>77.0</v>
      </c>
      <c r="D291" s="93" t="str">
        <f t="shared" si="1"/>
        <v>68MAS-100 VF</v>
      </c>
    </row>
    <row r="292" ht="22.5" customHeight="1">
      <c r="A292" s="11" t="s">
        <v>1413</v>
      </c>
      <c r="B292" s="11">
        <v>69.0</v>
      </c>
      <c r="C292" s="11">
        <v>78.0</v>
      </c>
      <c r="D292" s="93" t="str">
        <f t="shared" si="1"/>
        <v>69MAS-100 VF</v>
      </c>
    </row>
    <row r="293" ht="22.5" customHeight="1">
      <c r="A293" s="11" t="s">
        <v>1413</v>
      </c>
      <c r="B293" s="11">
        <v>70.0</v>
      </c>
      <c r="C293" s="11">
        <v>80.0</v>
      </c>
      <c r="D293" s="93" t="str">
        <f t="shared" si="1"/>
        <v>70MAS-100 VF</v>
      </c>
    </row>
    <row r="294" ht="22.5" customHeight="1">
      <c r="A294" s="11" t="s">
        <v>1413</v>
      </c>
      <c r="B294" s="11">
        <v>71.0</v>
      </c>
      <c r="C294" s="11">
        <v>81.0</v>
      </c>
      <c r="D294" s="93" t="str">
        <f t="shared" si="1"/>
        <v>71MAS-100 VF</v>
      </c>
    </row>
    <row r="295" ht="22.5" customHeight="1">
      <c r="A295" s="11" t="s">
        <v>1413</v>
      </c>
      <c r="B295" s="11">
        <v>72.0</v>
      </c>
      <c r="C295" s="11">
        <v>82.0</v>
      </c>
      <c r="D295" s="93" t="str">
        <f t="shared" si="1"/>
        <v>72MAS-100 VF</v>
      </c>
    </row>
    <row r="296" ht="22.5" customHeight="1">
      <c r="A296" s="11" t="s">
        <v>1413</v>
      </c>
      <c r="B296" s="11">
        <v>73.0</v>
      </c>
      <c r="C296" s="11">
        <v>83.0</v>
      </c>
      <c r="D296" s="93" t="str">
        <f t="shared" si="1"/>
        <v>73MAS-100 VF</v>
      </c>
    </row>
    <row r="297" ht="22.5" customHeight="1">
      <c r="A297" s="11" t="s">
        <v>1413</v>
      </c>
      <c r="B297" s="11">
        <v>74.0</v>
      </c>
      <c r="C297" s="11">
        <v>85.0</v>
      </c>
      <c r="D297" s="93" t="str">
        <f t="shared" si="1"/>
        <v>74MAS-100 VF</v>
      </c>
    </row>
    <row r="298" ht="22.5" customHeight="1">
      <c r="A298" s="11" t="s">
        <v>1413</v>
      </c>
      <c r="B298" s="11">
        <v>75.0</v>
      </c>
      <c r="C298" s="11">
        <v>86.0</v>
      </c>
      <c r="D298" s="93" t="str">
        <f t="shared" si="1"/>
        <v>75MAS-100 VF</v>
      </c>
    </row>
    <row r="299" ht="22.5" customHeight="1">
      <c r="A299" s="11" t="s">
        <v>1413</v>
      </c>
      <c r="B299" s="11">
        <v>76.0</v>
      </c>
      <c r="C299" s="11">
        <v>87.0</v>
      </c>
      <c r="D299" s="93" t="str">
        <f t="shared" si="1"/>
        <v>76MAS-100 VF</v>
      </c>
    </row>
    <row r="300" ht="22.5" customHeight="1">
      <c r="A300" s="11" t="s">
        <v>1413</v>
      </c>
      <c r="B300" s="11">
        <v>77.0</v>
      </c>
      <c r="C300" s="11">
        <v>89.0</v>
      </c>
      <c r="D300" s="93" t="str">
        <f t="shared" si="1"/>
        <v>77MAS-100 VF</v>
      </c>
    </row>
    <row r="301" ht="22.5" customHeight="1">
      <c r="A301" s="11" t="s">
        <v>1413</v>
      </c>
      <c r="B301" s="11">
        <v>78.0</v>
      </c>
      <c r="C301" s="11">
        <v>90.0</v>
      </c>
      <c r="D301" s="93" t="str">
        <f t="shared" si="1"/>
        <v>78MAS-100 VF</v>
      </c>
    </row>
    <row r="302" ht="22.5" customHeight="1">
      <c r="A302" s="11" t="s">
        <v>1413</v>
      </c>
      <c r="B302" s="11">
        <v>79.0</v>
      </c>
      <c r="C302" s="11">
        <v>92.0</v>
      </c>
      <c r="D302" s="93" t="str">
        <f t="shared" si="1"/>
        <v>79MAS-100 VF</v>
      </c>
    </row>
    <row r="303" ht="22.5" customHeight="1">
      <c r="A303" s="11" t="s">
        <v>1413</v>
      </c>
      <c r="B303" s="11">
        <v>80.0</v>
      </c>
      <c r="C303" s="11">
        <v>93.0</v>
      </c>
      <c r="D303" s="93" t="str">
        <f t="shared" si="1"/>
        <v>80MAS-100 VF</v>
      </c>
    </row>
    <row r="304" ht="22.5" customHeight="1">
      <c r="A304" s="11" t="s">
        <v>1413</v>
      </c>
      <c r="B304" s="11">
        <v>81.0</v>
      </c>
      <c r="C304" s="11">
        <v>94.0</v>
      </c>
      <c r="D304" s="93" t="str">
        <f t="shared" si="1"/>
        <v>81MAS-100 VF</v>
      </c>
    </row>
    <row r="305" ht="22.5" customHeight="1">
      <c r="A305" s="11" t="s">
        <v>1413</v>
      </c>
      <c r="B305" s="11">
        <v>82.0</v>
      </c>
      <c r="C305" s="11">
        <v>96.0</v>
      </c>
      <c r="D305" s="93" t="str">
        <f t="shared" si="1"/>
        <v>82MAS-100 VF</v>
      </c>
    </row>
    <row r="306" ht="22.5" customHeight="1">
      <c r="A306" s="11" t="s">
        <v>1413</v>
      </c>
      <c r="B306" s="11">
        <v>83.0</v>
      </c>
      <c r="C306" s="11">
        <v>97.0</v>
      </c>
      <c r="D306" s="93" t="str">
        <f t="shared" si="1"/>
        <v>83MAS-100 VF</v>
      </c>
    </row>
    <row r="307" ht="22.5" customHeight="1">
      <c r="A307" s="11" t="s">
        <v>1413</v>
      </c>
      <c r="B307" s="11">
        <v>84.0</v>
      </c>
      <c r="C307" s="11">
        <v>98.0</v>
      </c>
      <c r="D307" s="93" t="str">
        <f t="shared" si="1"/>
        <v>84MAS-100 VF</v>
      </c>
    </row>
    <row r="308" ht="22.5" customHeight="1">
      <c r="A308" s="11" t="s">
        <v>1413</v>
      </c>
      <c r="B308" s="11">
        <v>85.0</v>
      </c>
      <c r="C308" s="11">
        <v>100.0</v>
      </c>
      <c r="D308" s="93" t="str">
        <f t="shared" si="1"/>
        <v>85MAS-100 VF</v>
      </c>
    </row>
    <row r="309" ht="22.5" customHeight="1">
      <c r="A309" s="11" t="s">
        <v>1413</v>
      </c>
      <c r="B309" s="11">
        <v>86.0</v>
      </c>
      <c r="C309" s="11">
        <v>101.0</v>
      </c>
      <c r="D309" s="93" t="str">
        <f t="shared" si="1"/>
        <v>86MAS-100 VF</v>
      </c>
    </row>
    <row r="310" ht="22.5" customHeight="1">
      <c r="A310" s="11" t="s">
        <v>1413</v>
      </c>
      <c r="B310" s="11">
        <v>87.0</v>
      </c>
      <c r="C310" s="11">
        <v>103.0</v>
      </c>
      <c r="D310" s="93" t="str">
        <f t="shared" si="1"/>
        <v>87MAS-100 VF</v>
      </c>
    </row>
    <row r="311" ht="22.5" customHeight="1">
      <c r="A311" s="11" t="s">
        <v>1413</v>
      </c>
      <c r="B311" s="11">
        <v>88.0</v>
      </c>
      <c r="C311" s="11">
        <v>104.0</v>
      </c>
      <c r="D311" s="93" t="str">
        <f t="shared" si="1"/>
        <v>88MAS-100 VF</v>
      </c>
    </row>
    <row r="312" ht="22.5" customHeight="1">
      <c r="A312" s="11" t="s">
        <v>1413</v>
      </c>
      <c r="B312" s="11">
        <v>89.0</v>
      </c>
      <c r="C312" s="11">
        <v>105.0</v>
      </c>
      <c r="D312" s="93" t="str">
        <f t="shared" si="1"/>
        <v>89MAS-100 VF</v>
      </c>
    </row>
    <row r="313" ht="22.5" customHeight="1">
      <c r="A313" s="11" t="s">
        <v>1413</v>
      </c>
      <c r="B313" s="11">
        <v>90.0</v>
      </c>
      <c r="C313" s="11">
        <v>107.0</v>
      </c>
      <c r="D313" s="93" t="str">
        <f t="shared" si="1"/>
        <v>90MAS-100 VF</v>
      </c>
    </row>
    <row r="314" ht="22.5" customHeight="1">
      <c r="A314" s="11" t="s">
        <v>1413</v>
      </c>
      <c r="B314" s="11">
        <v>91.0</v>
      </c>
      <c r="C314" s="11">
        <v>108.0</v>
      </c>
      <c r="D314" s="93" t="str">
        <f t="shared" si="1"/>
        <v>91MAS-100 VF</v>
      </c>
    </row>
    <row r="315" ht="22.5" customHeight="1">
      <c r="A315" s="11" t="s">
        <v>1413</v>
      </c>
      <c r="B315" s="11">
        <v>92.0</v>
      </c>
      <c r="C315" s="11">
        <v>110.0</v>
      </c>
      <c r="D315" s="93" t="str">
        <f t="shared" si="1"/>
        <v>92MAS-100 VF</v>
      </c>
    </row>
    <row r="316" ht="22.5" customHeight="1">
      <c r="A316" s="11" t="s">
        <v>1413</v>
      </c>
      <c r="B316" s="11">
        <v>93.0</v>
      </c>
      <c r="C316" s="11">
        <v>111.0</v>
      </c>
      <c r="D316" s="93" t="str">
        <f t="shared" si="1"/>
        <v>93MAS-100 VF</v>
      </c>
    </row>
    <row r="317" ht="22.5" customHeight="1">
      <c r="A317" s="11" t="s">
        <v>1413</v>
      </c>
      <c r="B317" s="11">
        <v>94.0</v>
      </c>
      <c r="C317" s="11">
        <v>113.0</v>
      </c>
      <c r="D317" s="93" t="str">
        <f t="shared" si="1"/>
        <v>94MAS-100 VF</v>
      </c>
    </row>
    <row r="318" ht="22.5" customHeight="1">
      <c r="A318" s="11" t="s">
        <v>1413</v>
      </c>
      <c r="B318" s="11">
        <v>95.0</v>
      </c>
      <c r="C318" s="11">
        <v>114.0</v>
      </c>
      <c r="D318" s="93" t="str">
        <f t="shared" si="1"/>
        <v>95MAS-100 VF</v>
      </c>
    </row>
    <row r="319" ht="22.5" customHeight="1">
      <c r="A319" s="11" t="s">
        <v>1413</v>
      </c>
      <c r="B319" s="11">
        <v>96.0</v>
      </c>
      <c r="C319" s="11">
        <v>115.0</v>
      </c>
      <c r="D319" s="93" t="str">
        <f t="shared" si="1"/>
        <v>96MAS-100 VF</v>
      </c>
    </row>
    <row r="320" ht="22.5" customHeight="1">
      <c r="A320" s="11" t="s">
        <v>1413</v>
      </c>
      <c r="B320" s="11">
        <v>97.0</v>
      </c>
      <c r="C320" s="11">
        <v>117.0</v>
      </c>
      <c r="D320" s="93" t="str">
        <f t="shared" si="1"/>
        <v>97MAS-100 VF</v>
      </c>
    </row>
    <row r="321" ht="22.5" customHeight="1">
      <c r="A321" s="11" t="s">
        <v>1413</v>
      </c>
      <c r="B321" s="11">
        <v>98.0</v>
      </c>
      <c r="C321" s="11">
        <v>118.0</v>
      </c>
      <c r="D321" s="93" t="str">
        <f t="shared" si="1"/>
        <v>98MAS-100 VF</v>
      </c>
    </row>
    <row r="322" ht="22.5" customHeight="1">
      <c r="A322" s="11" t="s">
        <v>1413</v>
      </c>
      <c r="B322" s="11">
        <v>99.0</v>
      </c>
      <c r="C322" s="11">
        <v>120.0</v>
      </c>
      <c r="D322" s="93" t="str">
        <f t="shared" si="1"/>
        <v>99MAS-100 VF</v>
      </c>
    </row>
    <row r="323" ht="22.5" customHeight="1">
      <c r="A323" s="11" t="s">
        <v>1413</v>
      </c>
      <c r="B323" s="11">
        <v>100.0</v>
      </c>
      <c r="C323" s="11">
        <v>121.0</v>
      </c>
      <c r="D323" s="93" t="str">
        <f t="shared" si="1"/>
        <v>100MAS-100 VF</v>
      </c>
    </row>
    <row r="324" ht="22.5" customHeight="1">
      <c r="A324" s="11" t="s">
        <v>1413</v>
      </c>
      <c r="B324" s="11">
        <v>101.0</v>
      </c>
      <c r="C324" s="11">
        <v>123.0</v>
      </c>
      <c r="D324" s="93" t="str">
        <f t="shared" si="1"/>
        <v>101MAS-100 VF</v>
      </c>
    </row>
    <row r="325" ht="22.5" customHeight="1">
      <c r="A325" s="11" t="s">
        <v>1413</v>
      </c>
      <c r="B325" s="11">
        <v>102.0</v>
      </c>
      <c r="C325" s="11">
        <v>124.0</v>
      </c>
      <c r="D325" s="93" t="str">
        <f t="shared" si="1"/>
        <v>102MAS-100 VF</v>
      </c>
    </row>
    <row r="326" ht="22.5" customHeight="1">
      <c r="A326" s="11" t="s">
        <v>1413</v>
      </c>
      <c r="B326" s="11">
        <v>103.0</v>
      </c>
      <c r="C326" s="11">
        <v>126.0</v>
      </c>
      <c r="D326" s="93" t="str">
        <f t="shared" si="1"/>
        <v>103MAS-100 VF</v>
      </c>
    </row>
    <row r="327" ht="22.5" customHeight="1">
      <c r="A327" s="11" t="s">
        <v>1413</v>
      </c>
      <c r="B327" s="11">
        <v>104.0</v>
      </c>
      <c r="C327" s="11">
        <v>127.0</v>
      </c>
      <c r="D327" s="93" t="str">
        <f t="shared" si="1"/>
        <v>104MAS-100 VF</v>
      </c>
    </row>
    <row r="328" ht="22.5" customHeight="1">
      <c r="A328" s="11" t="s">
        <v>1413</v>
      </c>
      <c r="B328" s="11">
        <v>105.0</v>
      </c>
      <c r="C328" s="11">
        <v>129.0</v>
      </c>
      <c r="D328" s="93" t="str">
        <f t="shared" si="1"/>
        <v>105MAS-100 VF</v>
      </c>
    </row>
    <row r="329" ht="22.5" customHeight="1">
      <c r="A329" s="11" t="s">
        <v>1413</v>
      </c>
      <c r="B329" s="11">
        <v>106.0</v>
      </c>
      <c r="C329" s="11">
        <v>131.0</v>
      </c>
      <c r="D329" s="93" t="str">
        <f t="shared" si="1"/>
        <v>106MAS-100 VF</v>
      </c>
    </row>
    <row r="330" ht="22.5" customHeight="1">
      <c r="A330" s="11" t="s">
        <v>1413</v>
      </c>
      <c r="B330" s="11">
        <v>107.0</v>
      </c>
      <c r="C330" s="11">
        <v>132.0</v>
      </c>
      <c r="D330" s="93" t="str">
        <f t="shared" si="1"/>
        <v>107MAS-100 VF</v>
      </c>
    </row>
    <row r="331" ht="22.5" customHeight="1">
      <c r="A331" s="11" t="s">
        <v>1413</v>
      </c>
      <c r="B331" s="11">
        <v>108.0</v>
      </c>
      <c r="C331" s="11">
        <v>134.0</v>
      </c>
      <c r="D331" s="93" t="str">
        <f t="shared" si="1"/>
        <v>108MAS-100 VF</v>
      </c>
    </row>
    <row r="332" ht="22.5" customHeight="1">
      <c r="A332" s="11" t="s">
        <v>1413</v>
      </c>
      <c r="B332" s="11">
        <v>109.0</v>
      </c>
      <c r="C332" s="11">
        <v>135.0</v>
      </c>
      <c r="D332" s="93" t="str">
        <f t="shared" si="1"/>
        <v>109MAS-100 VF</v>
      </c>
    </row>
    <row r="333" ht="22.5" customHeight="1">
      <c r="A333" s="11" t="s">
        <v>1413</v>
      </c>
      <c r="B333" s="11">
        <v>110.0</v>
      </c>
      <c r="C333" s="11">
        <v>137.0</v>
      </c>
      <c r="D333" s="93" t="str">
        <f t="shared" si="1"/>
        <v>110MAS-100 VF</v>
      </c>
    </row>
    <row r="334" ht="22.5" customHeight="1">
      <c r="A334" s="11" t="s">
        <v>1413</v>
      </c>
      <c r="B334" s="11">
        <v>111.0</v>
      </c>
      <c r="C334" s="11">
        <v>138.0</v>
      </c>
      <c r="D334" s="93" t="str">
        <f t="shared" si="1"/>
        <v>111MAS-100 VF</v>
      </c>
    </row>
    <row r="335" ht="22.5" customHeight="1">
      <c r="A335" s="11" t="s">
        <v>1413</v>
      </c>
      <c r="B335" s="11">
        <v>112.0</v>
      </c>
      <c r="C335" s="11">
        <v>140.0</v>
      </c>
      <c r="D335" s="93" t="str">
        <f t="shared" si="1"/>
        <v>112MAS-100 VF</v>
      </c>
    </row>
    <row r="336" ht="22.5" customHeight="1">
      <c r="A336" s="11" t="s">
        <v>1413</v>
      </c>
      <c r="B336" s="11">
        <v>113.0</v>
      </c>
      <c r="C336" s="11">
        <v>142.0</v>
      </c>
      <c r="D336" s="93" t="str">
        <f t="shared" si="1"/>
        <v>113MAS-100 VF</v>
      </c>
    </row>
    <row r="337" ht="22.5" customHeight="1">
      <c r="A337" s="11" t="s">
        <v>1413</v>
      </c>
      <c r="B337" s="11">
        <v>114.0</v>
      </c>
      <c r="C337" s="11">
        <v>143.0</v>
      </c>
      <c r="D337" s="93" t="str">
        <f t="shared" si="1"/>
        <v>114MAS-100 VF</v>
      </c>
    </row>
    <row r="338" ht="22.5" customHeight="1">
      <c r="A338" s="11" t="s">
        <v>1413</v>
      </c>
      <c r="B338" s="11">
        <v>115.0</v>
      </c>
      <c r="C338" s="11">
        <v>145.0</v>
      </c>
      <c r="D338" s="93" t="str">
        <f t="shared" si="1"/>
        <v>115MAS-100 VF</v>
      </c>
    </row>
    <row r="339" ht="22.5" customHeight="1">
      <c r="A339" s="11" t="s">
        <v>1413</v>
      </c>
      <c r="B339" s="11">
        <v>116.0</v>
      </c>
      <c r="C339" s="11">
        <v>146.0</v>
      </c>
      <c r="D339" s="93" t="str">
        <f t="shared" si="1"/>
        <v>116MAS-100 VF</v>
      </c>
    </row>
    <row r="340" ht="22.5" customHeight="1">
      <c r="A340" s="11" t="s">
        <v>1413</v>
      </c>
      <c r="B340" s="11">
        <v>117.0</v>
      </c>
      <c r="C340" s="11">
        <v>148.0</v>
      </c>
      <c r="D340" s="93" t="str">
        <f t="shared" si="1"/>
        <v>117MAS-100 VF</v>
      </c>
    </row>
    <row r="341" ht="22.5" customHeight="1">
      <c r="A341" s="11" t="s">
        <v>1413</v>
      </c>
      <c r="B341" s="11">
        <v>118.0</v>
      </c>
      <c r="C341" s="11">
        <v>150.0</v>
      </c>
      <c r="D341" s="93" t="str">
        <f t="shared" si="1"/>
        <v>118MAS-100 VF</v>
      </c>
    </row>
    <row r="342" ht="22.5" customHeight="1">
      <c r="A342" s="11" t="s">
        <v>1413</v>
      </c>
      <c r="B342" s="11">
        <v>119.0</v>
      </c>
      <c r="C342" s="11">
        <v>151.0</v>
      </c>
      <c r="D342" s="93" t="str">
        <f t="shared" si="1"/>
        <v>119MAS-100 VF</v>
      </c>
    </row>
    <row r="343" ht="22.5" customHeight="1">
      <c r="A343" s="11" t="s">
        <v>1413</v>
      </c>
      <c r="B343" s="11">
        <v>120.0</v>
      </c>
      <c r="C343" s="11">
        <v>153.0</v>
      </c>
      <c r="D343" s="93" t="str">
        <f t="shared" si="1"/>
        <v>120MAS-100 VF</v>
      </c>
    </row>
    <row r="344" ht="22.5" customHeight="1">
      <c r="A344" s="11" t="s">
        <v>1413</v>
      </c>
      <c r="B344" s="11">
        <v>121.0</v>
      </c>
      <c r="C344" s="11">
        <v>155.0</v>
      </c>
      <c r="D344" s="93" t="str">
        <f t="shared" si="1"/>
        <v>121MAS-100 VF</v>
      </c>
    </row>
    <row r="345" ht="22.5" customHeight="1">
      <c r="A345" s="11" t="s">
        <v>1413</v>
      </c>
      <c r="B345" s="11">
        <v>122.0</v>
      </c>
      <c r="C345" s="11">
        <v>156.0</v>
      </c>
      <c r="D345" s="93" t="str">
        <f t="shared" si="1"/>
        <v>122MAS-100 VF</v>
      </c>
    </row>
    <row r="346" ht="22.5" customHeight="1">
      <c r="A346" s="11" t="s">
        <v>1413</v>
      </c>
      <c r="B346" s="11">
        <v>123.0</v>
      </c>
      <c r="C346" s="11">
        <v>158.0</v>
      </c>
      <c r="D346" s="93" t="str">
        <f t="shared" si="1"/>
        <v>123MAS-100 VF</v>
      </c>
    </row>
    <row r="347" ht="22.5" customHeight="1">
      <c r="A347" s="11" t="s">
        <v>1413</v>
      </c>
      <c r="B347" s="11">
        <v>124.0</v>
      </c>
      <c r="C347" s="11">
        <v>160.0</v>
      </c>
      <c r="D347" s="93" t="str">
        <f t="shared" si="1"/>
        <v>124MAS-100 VF</v>
      </c>
    </row>
    <row r="348" ht="22.5" customHeight="1">
      <c r="A348" s="11" t="s">
        <v>1413</v>
      </c>
      <c r="B348" s="11">
        <v>125.0</v>
      </c>
      <c r="C348" s="11">
        <v>161.0</v>
      </c>
      <c r="D348" s="93" t="str">
        <f t="shared" si="1"/>
        <v>125MAS-100 VF</v>
      </c>
    </row>
    <row r="349" ht="22.5" customHeight="1">
      <c r="A349" s="11" t="s">
        <v>1413</v>
      </c>
      <c r="B349" s="11">
        <v>126.0</v>
      </c>
      <c r="C349" s="11">
        <v>163.0</v>
      </c>
      <c r="D349" s="93" t="str">
        <f t="shared" si="1"/>
        <v>126MAS-100 VF</v>
      </c>
    </row>
    <row r="350" ht="22.5" customHeight="1">
      <c r="A350" s="11" t="s">
        <v>1413</v>
      </c>
      <c r="B350" s="11">
        <v>127.0</v>
      </c>
      <c r="C350" s="11">
        <v>165.0</v>
      </c>
      <c r="D350" s="93" t="str">
        <f t="shared" si="1"/>
        <v>127MAS-100 VF</v>
      </c>
    </row>
    <row r="351" ht="22.5" customHeight="1">
      <c r="A351" s="11" t="s">
        <v>1413</v>
      </c>
      <c r="B351" s="11">
        <v>128.0</v>
      </c>
      <c r="C351" s="11">
        <v>167.0</v>
      </c>
      <c r="D351" s="93" t="str">
        <f t="shared" si="1"/>
        <v>128MAS-100 VF</v>
      </c>
    </row>
    <row r="352" ht="22.5" customHeight="1">
      <c r="A352" s="11" t="s">
        <v>1413</v>
      </c>
      <c r="B352" s="11">
        <v>129.0</v>
      </c>
      <c r="C352" s="11">
        <v>168.0</v>
      </c>
      <c r="D352" s="93" t="str">
        <f t="shared" si="1"/>
        <v>129MAS-100 VF</v>
      </c>
    </row>
    <row r="353" ht="22.5" customHeight="1">
      <c r="A353" s="11" t="s">
        <v>1413</v>
      </c>
      <c r="B353" s="11">
        <v>130.0</v>
      </c>
      <c r="C353" s="11">
        <v>170.0</v>
      </c>
      <c r="D353" s="93" t="str">
        <f t="shared" si="1"/>
        <v>130MAS-100 VF</v>
      </c>
    </row>
    <row r="354" ht="22.5" customHeight="1">
      <c r="A354" s="11" t="s">
        <v>1413</v>
      </c>
      <c r="B354" s="11">
        <v>131.0</v>
      </c>
      <c r="C354" s="11">
        <v>172.0</v>
      </c>
      <c r="D354" s="93" t="str">
        <f t="shared" si="1"/>
        <v>131MAS-100 VF</v>
      </c>
    </row>
    <row r="355" ht="22.5" customHeight="1">
      <c r="A355" s="11" t="s">
        <v>1413</v>
      </c>
      <c r="B355" s="11">
        <v>132.0</v>
      </c>
      <c r="C355" s="11">
        <v>174.0</v>
      </c>
      <c r="D355" s="93" t="str">
        <f t="shared" si="1"/>
        <v>132MAS-100 VF</v>
      </c>
    </row>
    <row r="356" ht="22.5" customHeight="1">
      <c r="A356" s="11" t="s">
        <v>1413</v>
      </c>
      <c r="B356" s="11">
        <v>133.0</v>
      </c>
      <c r="C356" s="11">
        <v>175.0</v>
      </c>
      <c r="D356" s="93" t="str">
        <f t="shared" si="1"/>
        <v>133MAS-100 VF</v>
      </c>
    </row>
    <row r="357" ht="22.5" customHeight="1">
      <c r="A357" s="11" t="s">
        <v>1413</v>
      </c>
      <c r="B357" s="11">
        <v>134.0</v>
      </c>
      <c r="C357" s="11">
        <v>177.0</v>
      </c>
      <c r="D357" s="93" t="str">
        <f t="shared" si="1"/>
        <v>134MAS-100 VF</v>
      </c>
    </row>
    <row r="358" ht="22.5" customHeight="1">
      <c r="A358" s="11" t="s">
        <v>1413</v>
      </c>
      <c r="B358" s="11">
        <v>135.0</v>
      </c>
      <c r="C358" s="11">
        <v>179.0</v>
      </c>
      <c r="D358" s="93" t="str">
        <f t="shared" si="1"/>
        <v>135MAS-100 VF</v>
      </c>
    </row>
    <row r="359" ht="22.5" customHeight="1">
      <c r="A359" s="11" t="s">
        <v>1413</v>
      </c>
      <c r="B359" s="11">
        <v>136.0</v>
      </c>
      <c r="C359" s="11">
        <v>181.0</v>
      </c>
      <c r="D359" s="93" t="str">
        <f t="shared" si="1"/>
        <v>136MAS-100 VF</v>
      </c>
    </row>
    <row r="360" ht="22.5" customHeight="1">
      <c r="A360" s="11" t="s">
        <v>1413</v>
      </c>
      <c r="B360" s="11">
        <v>137.0</v>
      </c>
      <c r="C360" s="11">
        <v>183.0</v>
      </c>
      <c r="D360" s="93" t="str">
        <f t="shared" si="1"/>
        <v>137MAS-100 VF</v>
      </c>
    </row>
    <row r="361" ht="22.5" customHeight="1">
      <c r="A361" s="11" t="s">
        <v>1413</v>
      </c>
      <c r="B361" s="11">
        <v>138.0</v>
      </c>
      <c r="C361" s="11">
        <v>184.0</v>
      </c>
      <c r="D361" s="93" t="str">
        <f t="shared" si="1"/>
        <v>138MAS-100 VF</v>
      </c>
    </row>
    <row r="362" ht="22.5" customHeight="1">
      <c r="A362" s="11" t="s">
        <v>1413</v>
      </c>
      <c r="B362" s="11">
        <v>139.0</v>
      </c>
      <c r="C362" s="11">
        <v>186.0</v>
      </c>
      <c r="D362" s="93" t="str">
        <f t="shared" si="1"/>
        <v>139MAS-100 VF</v>
      </c>
    </row>
    <row r="363" ht="22.5" customHeight="1">
      <c r="A363" s="11" t="s">
        <v>1413</v>
      </c>
      <c r="B363" s="11">
        <v>140.0</v>
      </c>
      <c r="C363" s="11">
        <v>188.0</v>
      </c>
      <c r="D363" s="93" t="str">
        <f t="shared" si="1"/>
        <v>140MAS-100 VF</v>
      </c>
    </row>
    <row r="364" ht="22.5" customHeight="1">
      <c r="A364" s="11" t="s">
        <v>1413</v>
      </c>
      <c r="B364" s="11">
        <v>141.0</v>
      </c>
      <c r="C364" s="11">
        <v>190.0</v>
      </c>
      <c r="D364" s="93" t="str">
        <f t="shared" si="1"/>
        <v>141MAS-100 VF</v>
      </c>
    </row>
    <row r="365" ht="22.5" customHeight="1">
      <c r="A365" s="11" t="s">
        <v>1413</v>
      </c>
      <c r="B365" s="11">
        <v>142.0</v>
      </c>
      <c r="C365" s="11">
        <v>192.0</v>
      </c>
      <c r="D365" s="93" t="str">
        <f t="shared" si="1"/>
        <v>142MAS-100 VF</v>
      </c>
    </row>
    <row r="366" ht="22.5" customHeight="1">
      <c r="A366" s="11" t="s">
        <v>1413</v>
      </c>
      <c r="B366" s="11">
        <v>143.0</v>
      </c>
      <c r="C366" s="11">
        <v>194.0</v>
      </c>
      <c r="D366" s="93" t="str">
        <f t="shared" si="1"/>
        <v>143MAS-100 VF</v>
      </c>
    </row>
    <row r="367" ht="22.5" customHeight="1">
      <c r="A367" s="11" t="s">
        <v>1413</v>
      </c>
      <c r="B367" s="11">
        <v>144.0</v>
      </c>
      <c r="C367" s="11">
        <v>196.0</v>
      </c>
      <c r="D367" s="93" t="str">
        <f t="shared" si="1"/>
        <v>144MAS-100 VF</v>
      </c>
    </row>
    <row r="368" ht="22.5" customHeight="1">
      <c r="A368" s="11" t="s">
        <v>1413</v>
      </c>
      <c r="B368" s="11">
        <v>145.0</v>
      </c>
      <c r="C368" s="11">
        <v>198.0</v>
      </c>
      <c r="D368" s="93" t="str">
        <f t="shared" si="1"/>
        <v>145MAS-100 VF</v>
      </c>
    </row>
    <row r="369" ht="22.5" customHeight="1">
      <c r="A369" s="11" t="s">
        <v>1413</v>
      </c>
      <c r="B369" s="11">
        <v>146.0</v>
      </c>
      <c r="C369" s="11">
        <v>200.0</v>
      </c>
      <c r="D369" s="93" t="str">
        <f t="shared" si="1"/>
        <v>146MAS-100 VF</v>
      </c>
    </row>
    <row r="370" ht="22.5" customHeight="1">
      <c r="A370" s="11" t="s">
        <v>1413</v>
      </c>
      <c r="B370" s="11">
        <v>147.0</v>
      </c>
      <c r="C370" s="11">
        <v>202.0</v>
      </c>
      <c r="D370" s="93" t="str">
        <f t="shared" si="1"/>
        <v>147MAS-100 VF</v>
      </c>
    </row>
    <row r="371" ht="22.5" customHeight="1">
      <c r="A371" s="11" t="s">
        <v>1413</v>
      </c>
      <c r="B371" s="11">
        <v>148.0</v>
      </c>
      <c r="C371" s="11">
        <v>203.0</v>
      </c>
      <c r="D371" s="93" t="str">
        <f t="shared" si="1"/>
        <v>148MAS-100 VF</v>
      </c>
    </row>
    <row r="372" ht="22.5" customHeight="1">
      <c r="A372" s="11" t="s">
        <v>1413</v>
      </c>
      <c r="B372" s="11">
        <v>149.0</v>
      </c>
      <c r="C372" s="11">
        <v>205.0</v>
      </c>
      <c r="D372" s="93" t="str">
        <f t="shared" si="1"/>
        <v>149MAS-100 VF</v>
      </c>
    </row>
    <row r="373" ht="22.5" customHeight="1">
      <c r="A373" s="11" t="s">
        <v>1413</v>
      </c>
      <c r="B373" s="11">
        <v>150.0</v>
      </c>
      <c r="C373" s="11">
        <v>207.0</v>
      </c>
      <c r="D373" s="93" t="str">
        <f t="shared" si="1"/>
        <v>150MAS-100 VF</v>
      </c>
    </row>
    <row r="374" ht="22.5" customHeight="1">
      <c r="A374" s="11" t="s">
        <v>1413</v>
      </c>
      <c r="B374" s="11">
        <v>151.0</v>
      </c>
      <c r="C374" s="11">
        <v>209.0</v>
      </c>
      <c r="D374" s="93" t="str">
        <f t="shared" si="1"/>
        <v>151MAS-100 VF</v>
      </c>
    </row>
    <row r="375" ht="22.5" customHeight="1">
      <c r="A375" s="11" t="s">
        <v>1413</v>
      </c>
      <c r="B375" s="11">
        <v>152.0</v>
      </c>
      <c r="C375" s="11">
        <v>211.0</v>
      </c>
      <c r="D375" s="93" t="str">
        <f t="shared" si="1"/>
        <v>152MAS-100 VF</v>
      </c>
    </row>
    <row r="376" ht="22.5" customHeight="1">
      <c r="A376" s="11" t="s">
        <v>1413</v>
      </c>
      <c r="B376" s="11">
        <v>153.0</v>
      </c>
      <c r="C376" s="11">
        <v>213.0</v>
      </c>
      <c r="D376" s="93" t="str">
        <f t="shared" si="1"/>
        <v>153MAS-100 VF</v>
      </c>
    </row>
    <row r="377" ht="22.5" customHeight="1">
      <c r="A377" s="11" t="s">
        <v>1413</v>
      </c>
      <c r="B377" s="11">
        <v>154.0</v>
      </c>
      <c r="C377" s="11">
        <v>216.0</v>
      </c>
      <c r="D377" s="93" t="str">
        <f t="shared" si="1"/>
        <v>154MAS-100 VF</v>
      </c>
    </row>
    <row r="378" ht="22.5" customHeight="1">
      <c r="A378" s="11" t="s">
        <v>1413</v>
      </c>
      <c r="B378" s="11">
        <v>155.0</v>
      </c>
      <c r="C378" s="11">
        <v>218.0</v>
      </c>
      <c r="D378" s="93" t="str">
        <f t="shared" si="1"/>
        <v>155MAS-100 VF</v>
      </c>
    </row>
    <row r="379" ht="22.5" customHeight="1">
      <c r="A379" s="11" t="s">
        <v>1413</v>
      </c>
      <c r="B379" s="11">
        <v>156.0</v>
      </c>
      <c r="C379" s="11">
        <v>220.0</v>
      </c>
      <c r="D379" s="93" t="str">
        <f t="shared" si="1"/>
        <v>156MAS-100 VF</v>
      </c>
    </row>
    <row r="380" ht="22.5" customHeight="1">
      <c r="A380" s="11" t="s">
        <v>1413</v>
      </c>
      <c r="B380" s="11">
        <v>157.0</v>
      </c>
      <c r="C380" s="11">
        <v>222.0</v>
      </c>
      <c r="D380" s="93" t="str">
        <f t="shared" si="1"/>
        <v>157MAS-100 VF</v>
      </c>
    </row>
    <row r="381" ht="22.5" customHeight="1">
      <c r="A381" s="11" t="s">
        <v>1413</v>
      </c>
      <c r="B381" s="11">
        <v>158.0</v>
      </c>
      <c r="C381" s="11">
        <v>224.0</v>
      </c>
      <c r="D381" s="93" t="str">
        <f t="shared" si="1"/>
        <v>158MAS-100 VF</v>
      </c>
    </row>
    <row r="382" ht="22.5" customHeight="1">
      <c r="A382" s="11" t="s">
        <v>1413</v>
      </c>
      <c r="B382" s="11">
        <v>159.0</v>
      </c>
      <c r="C382" s="11">
        <v>226.0</v>
      </c>
      <c r="D382" s="93" t="str">
        <f t="shared" si="1"/>
        <v>159MAS-100 VF</v>
      </c>
    </row>
    <row r="383" ht="22.5" customHeight="1">
      <c r="A383" s="11" t="s">
        <v>1413</v>
      </c>
      <c r="B383" s="11">
        <v>160.0</v>
      </c>
      <c r="C383" s="11">
        <v>228.0</v>
      </c>
      <c r="D383" s="93" t="str">
        <f t="shared" si="1"/>
        <v>160MAS-100 VF</v>
      </c>
    </row>
    <row r="384" ht="22.5" customHeight="1">
      <c r="A384" s="11" t="s">
        <v>1413</v>
      </c>
      <c r="B384" s="11">
        <v>161.0</v>
      </c>
      <c r="C384" s="11">
        <v>230.0</v>
      </c>
      <c r="D384" s="93" t="str">
        <f t="shared" si="1"/>
        <v>161MAS-100 VF</v>
      </c>
    </row>
    <row r="385" ht="22.5" customHeight="1">
      <c r="A385" s="11" t="s">
        <v>1413</v>
      </c>
      <c r="B385" s="11">
        <v>162.0</v>
      </c>
      <c r="C385" s="11">
        <v>232.0</v>
      </c>
      <c r="D385" s="93" t="str">
        <f t="shared" si="1"/>
        <v>162MAS-100 VF</v>
      </c>
    </row>
    <row r="386" ht="22.5" customHeight="1">
      <c r="A386" s="11" t="s">
        <v>1413</v>
      </c>
      <c r="B386" s="11">
        <v>163.0</v>
      </c>
      <c r="C386" s="11">
        <v>235.0</v>
      </c>
      <c r="D386" s="93" t="str">
        <f t="shared" si="1"/>
        <v>163MAS-100 VF</v>
      </c>
    </row>
    <row r="387" ht="22.5" customHeight="1">
      <c r="A387" s="11" t="s">
        <v>1413</v>
      </c>
      <c r="B387" s="11">
        <v>164.0</v>
      </c>
      <c r="C387" s="11">
        <v>237.0</v>
      </c>
      <c r="D387" s="93" t="str">
        <f t="shared" si="1"/>
        <v>164MAS-100 VF</v>
      </c>
    </row>
    <row r="388" ht="22.5" customHeight="1">
      <c r="A388" s="11" t="s">
        <v>1413</v>
      </c>
      <c r="B388" s="11">
        <v>165.0</v>
      </c>
      <c r="C388" s="11">
        <v>239.0</v>
      </c>
      <c r="D388" s="93" t="str">
        <f t="shared" si="1"/>
        <v>165MAS-100 VF</v>
      </c>
    </row>
    <row r="389" ht="22.5" customHeight="1">
      <c r="A389" s="11" t="s">
        <v>1413</v>
      </c>
      <c r="B389" s="11">
        <v>166.0</v>
      </c>
      <c r="C389" s="11">
        <v>241.0</v>
      </c>
      <c r="D389" s="93" t="str">
        <f t="shared" si="1"/>
        <v>166MAS-100 VF</v>
      </c>
    </row>
    <row r="390" ht="22.5" customHeight="1">
      <c r="A390" s="11" t="s">
        <v>1413</v>
      </c>
      <c r="B390" s="11">
        <v>167.0</v>
      </c>
      <c r="C390" s="11">
        <v>243.0</v>
      </c>
      <c r="D390" s="93" t="str">
        <f t="shared" si="1"/>
        <v>167MAS-100 VF</v>
      </c>
    </row>
    <row r="391" ht="22.5" customHeight="1">
      <c r="A391" s="11" t="s">
        <v>1413</v>
      </c>
      <c r="B391" s="11">
        <v>168.0</v>
      </c>
      <c r="C391" s="11">
        <v>246.0</v>
      </c>
      <c r="D391" s="93" t="str">
        <f t="shared" si="1"/>
        <v>168MAS-100 VF</v>
      </c>
    </row>
    <row r="392" ht="22.5" customHeight="1">
      <c r="A392" s="11" t="s">
        <v>1413</v>
      </c>
      <c r="B392" s="11">
        <v>169.0</v>
      </c>
      <c r="C392" s="11">
        <v>248.0</v>
      </c>
      <c r="D392" s="93" t="str">
        <f t="shared" si="1"/>
        <v>169MAS-100 VF</v>
      </c>
    </row>
    <row r="393" ht="22.5" customHeight="1">
      <c r="A393" s="11" t="s">
        <v>1413</v>
      </c>
      <c r="B393" s="11">
        <v>170.0</v>
      </c>
      <c r="C393" s="11">
        <v>250.0</v>
      </c>
      <c r="D393" s="93" t="str">
        <f t="shared" si="1"/>
        <v>170MAS-100 VF</v>
      </c>
    </row>
    <row r="394" ht="22.5" customHeight="1">
      <c r="A394" s="11" t="s">
        <v>1413</v>
      </c>
      <c r="B394" s="11">
        <v>171.0</v>
      </c>
      <c r="C394" s="11">
        <v>253.0</v>
      </c>
      <c r="D394" s="93" t="str">
        <f t="shared" si="1"/>
        <v>171MAS-100 VF</v>
      </c>
    </row>
    <row r="395" ht="22.5" customHeight="1">
      <c r="A395" s="11" t="s">
        <v>1413</v>
      </c>
      <c r="B395" s="11">
        <v>172.0</v>
      </c>
      <c r="C395" s="11">
        <v>255.0</v>
      </c>
      <c r="D395" s="93" t="str">
        <f t="shared" si="1"/>
        <v>172MAS-100 VF</v>
      </c>
    </row>
    <row r="396" ht="22.5" customHeight="1">
      <c r="A396" s="11" t="s">
        <v>1413</v>
      </c>
      <c r="B396" s="11">
        <v>173.0</v>
      </c>
      <c r="C396" s="11">
        <v>257.0</v>
      </c>
      <c r="D396" s="93" t="str">
        <f t="shared" si="1"/>
        <v>173MAS-100 VF</v>
      </c>
    </row>
    <row r="397" ht="22.5" customHeight="1">
      <c r="A397" s="11" t="s">
        <v>1413</v>
      </c>
      <c r="B397" s="11">
        <v>174.0</v>
      </c>
      <c r="C397" s="11">
        <v>260.0</v>
      </c>
      <c r="D397" s="93" t="str">
        <f t="shared" si="1"/>
        <v>174MAS-100 VF</v>
      </c>
    </row>
    <row r="398" ht="22.5" customHeight="1">
      <c r="A398" s="11" t="s">
        <v>1413</v>
      </c>
      <c r="B398" s="11">
        <v>175.0</v>
      </c>
      <c r="C398" s="11">
        <v>262.0</v>
      </c>
      <c r="D398" s="93" t="str">
        <f t="shared" si="1"/>
        <v>175MAS-100 VF</v>
      </c>
    </row>
    <row r="399" ht="22.5" customHeight="1">
      <c r="A399" s="11" t="s">
        <v>1413</v>
      </c>
      <c r="B399" s="11">
        <v>176.0</v>
      </c>
      <c r="C399" s="11">
        <v>264.0</v>
      </c>
      <c r="D399" s="93" t="str">
        <f t="shared" si="1"/>
        <v>176MAS-100 VF</v>
      </c>
    </row>
    <row r="400" ht="22.5" customHeight="1">
      <c r="A400" s="11" t="s">
        <v>1413</v>
      </c>
      <c r="B400" s="11">
        <v>177.0</v>
      </c>
      <c r="C400" s="11">
        <v>267.0</v>
      </c>
      <c r="D400" s="93" t="str">
        <f t="shared" si="1"/>
        <v>177MAS-100 VF</v>
      </c>
    </row>
    <row r="401" ht="22.5" customHeight="1">
      <c r="A401" s="11" t="s">
        <v>1413</v>
      </c>
      <c r="B401" s="11">
        <v>178.0</v>
      </c>
      <c r="C401" s="11">
        <v>269.0</v>
      </c>
      <c r="D401" s="93" t="str">
        <f t="shared" si="1"/>
        <v>178MAS-100 VF</v>
      </c>
    </row>
    <row r="402" ht="22.5" customHeight="1">
      <c r="A402" s="11" t="s">
        <v>1413</v>
      </c>
      <c r="B402" s="11">
        <v>179.0</v>
      </c>
      <c r="C402" s="11">
        <v>272.0</v>
      </c>
      <c r="D402" s="93" t="str">
        <f t="shared" si="1"/>
        <v>179MAS-100 VF</v>
      </c>
    </row>
    <row r="403" ht="22.5" customHeight="1">
      <c r="A403" s="11" t="s">
        <v>1413</v>
      </c>
      <c r="B403" s="11">
        <v>180.0</v>
      </c>
      <c r="C403" s="11">
        <v>274.0</v>
      </c>
      <c r="D403" s="93" t="str">
        <f t="shared" si="1"/>
        <v>180MAS-100 VF</v>
      </c>
    </row>
    <row r="404" ht="22.5" customHeight="1">
      <c r="A404" s="11" t="s">
        <v>1413</v>
      </c>
      <c r="B404" s="11">
        <v>181.0</v>
      </c>
      <c r="C404" s="11">
        <v>277.0</v>
      </c>
      <c r="D404" s="93" t="str">
        <f t="shared" si="1"/>
        <v>181MAS-100 VF</v>
      </c>
    </row>
    <row r="405" ht="22.5" customHeight="1">
      <c r="A405" s="11" t="s">
        <v>1413</v>
      </c>
      <c r="B405" s="11">
        <v>182.0</v>
      </c>
      <c r="C405" s="11">
        <v>279.0</v>
      </c>
      <c r="D405" s="93" t="str">
        <f t="shared" si="1"/>
        <v>182MAS-100 VF</v>
      </c>
    </row>
    <row r="406" ht="22.5" customHeight="1">
      <c r="A406" s="11" t="s">
        <v>1413</v>
      </c>
      <c r="B406" s="11">
        <v>183.0</v>
      </c>
      <c r="C406" s="11">
        <v>282.0</v>
      </c>
      <c r="D406" s="93" t="str">
        <f t="shared" si="1"/>
        <v>183MAS-100 VF</v>
      </c>
    </row>
    <row r="407" ht="22.5" customHeight="1">
      <c r="A407" s="11" t="s">
        <v>1413</v>
      </c>
      <c r="B407" s="11">
        <v>184.0</v>
      </c>
      <c r="C407" s="11">
        <v>284.0</v>
      </c>
      <c r="D407" s="93" t="str">
        <f t="shared" si="1"/>
        <v>184MAS-100 VF</v>
      </c>
    </row>
    <row r="408" ht="22.5" customHeight="1">
      <c r="A408" s="11" t="s">
        <v>1413</v>
      </c>
      <c r="B408" s="11">
        <v>185.0</v>
      </c>
      <c r="C408" s="11">
        <v>287.0</v>
      </c>
      <c r="D408" s="93" t="str">
        <f t="shared" si="1"/>
        <v>185MAS-100 VF</v>
      </c>
    </row>
    <row r="409" ht="22.5" customHeight="1">
      <c r="A409" s="11" t="s">
        <v>1413</v>
      </c>
      <c r="B409" s="11">
        <v>186.0</v>
      </c>
      <c r="C409" s="11">
        <v>289.0</v>
      </c>
      <c r="D409" s="93" t="str">
        <f t="shared" si="1"/>
        <v>186MAS-100 VF</v>
      </c>
    </row>
    <row r="410" ht="22.5" customHeight="1">
      <c r="A410" s="11" t="s">
        <v>1413</v>
      </c>
      <c r="B410" s="11">
        <v>187.0</v>
      </c>
      <c r="C410" s="11">
        <v>292.0</v>
      </c>
      <c r="D410" s="93" t="str">
        <f t="shared" si="1"/>
        <v>187MAS-100 VF</v>
      </c>
    </row>
    <row r="411" ht="22.5" customHeight="1">
      <c r="A411" s="11" t="s">
        <v>1413</v>
      </c>
      <c r="B411" s="11">
        <v>188.0</v>
      </c>
      <c r="C411" s="11">
        <v>295.0</v>
      </c>
      <c r="D411" s="93" t="str">
        <f t="shared" si="1"/>
        <v>188MAS-100 VF</v>
      </c>
    </row>
    <row r="412" ht="22.5" customHeight="1">
      <c r="A412" s="11" t="s">
        <v>1413</v>
      </c>
      <c r="B412" s="11">
        <v>189.0</v>
      </c>
      <c r="C412" s="11">
        <v>297.0</v>
      </c>
      <c r="D412" s="93" t="str">
        <f t="shared" si="1"/>
        <v>189MAS-100 VF</v>
      </c>
    </row>
    <row r="413" ht="22.5" customHeight="1">
      <c r="A413" s="11" t="s">
        <v>1413</v>
      </c>
      <c r="B413" s="11">
        <v>190.0</v>
      </c>
      <c r="C413" s="11">
        <v>300.0</v>
      </c>
      <c r="D413" s="93" t="str">
        <f t="shared" si="1"/>
        <v>190MAS-100 VF</v>
      </c>
    </row>
    <row r="414" ht="22.5" customHeight="1">
      <c r="A414" s="11" t="s">
        <v>1413</v>
      </c>
      <c r="B414" s="11">
        <v>191.0</v>
      </c>
      <c r="C414" s="11">
        <v>303.0</v>
      </c>
      <c r="D414" s="93" t="str">
        <f t="shared" si="1"/>
        <v>191MAS-100 VF</v>
      </c>
    </row>
    <row r="415" ht="22.5" customHeight="1">
      <c r="A415" s="11" t="s">
        <v>1413</v>
      </c>
      <c r="B415" s="11">
        <v>192.0</v>
      </c>
      <c r="C415" s="11">
        <v>306.0</v>
      </c>
      <c r="D415" s="93" t="str">
        <f t="shared" si="1"/>
        <v>192MAS-100 VF</v>
      </c>
    </row>
    <row r="416" ht="22.5" customHeight="1">
      <c r="A416" s="11" t="s">
        <v>1413</v>
      </c>
      <c r="B416" s="11">
        <v>193.0</v>
      </c>
      <c r="C416" s="11">
        <v>308.0</v>
      </c>
      <c r="D416" s="93" t="str">
        <f t="shared" si="1"/>
        <v>193MAS-100 VF</v>
      </c>
    </row>
    <row r="417" ht="22.5" customHeight="1">
      <c r="A417" s="11" t="s">
        <v>1413</v>
      </c>
      <c r="B417" s="11">
        <v>194.0</v>
      </c>
      <c r="C417" s="11">
        <v>311.0</v>
      </c>
      <c r="D417" s="93" t="str">
        <f t="shared" si="1"/>
        <v>194MAS-100 VF</v>
      </c>
    </row>
    <row r="418" ht="22.5" customHeight="1">
      <c r="A418" s="11" t="s">
        <v>1413</v>
      </c>
      <c r="B418" s="11">
        <v>195.0</v>
      </c>
      <c r="C418" s="11">
        <v>314.0</v>
      </c>
      <c r="D418" s="93" t="str">
        <f t="shared" si="1"/>
        <v>195MAS-100 VF</v>
      </c>
    </row>
    <row r="419" ht="22.5" customHeight="1">
      <c r="A419" s="11" t="s">
        <v>1413</v>
      </c>
      <c r="B419" s="11">
        <v>196.0</v>
      </c>
      <c r="C419" s="11">
        <v>317.0</v>
      </c>
      <c r="D419" s="93" t="str">
        <f t="shared" si="1"/>
        <v>196MAS-100 VF</v>
      </c>
    </row>
    <row r="420" ht="22.5" customHeight="1">
      <c r="A420" s="11" t="s">
        <v>1413</v>
      </c>
      <c r="B420" s="11">
        <v>197.0</v>
      </c>
      <c r="C420" s="11">
        <v>320.0</v>
      </c>
      <c r="D420" s="93" t="str">
        <f t="shared" si="1"/>
        <v>197MAS-100 VF</v>
      </c>
    </row>
    <row r="421" ht="22.5" customHeight="1">
      <c r="A421" s="11" t="s">
        <v>1413</v>
      </c>
      <c r="B421" s="11">
        <v>198.0</v>
      </c>
      <c r="C421" s="11">
        <v>323.0</v>
      </c>
      <c r="D421" s="93" t="str">
        <f t="shared" si="1"/>
        <v>198MAS-100 VF</v>
      </c>
    </row>
    <row r="422" ht="22.5" customHeight="1">
      <c r="A422" s="11" t="s">
        <v>1413</v>
      </c>
      <c r="B422" s="11">
        <v>199.0</v>
      </c>
      <c r="C422" s="11">
        <v>326.0</v>
      </c>
      <c r="D422" s="93" t="str">
        <f t="shared" si="1"/>
        <v>199MAS-100 VF</v>
      </c>
    </row>
    <row r="423" ht="22.5" customHeight="1">
      <c r="A423" s="11" t="s">
        <v>1413</v>
      </c>
      <c r="B423" s="11">
        <v>200.0</v>
      </c>
      <c r="C423" s="11">
        <v>329.0</v>
      </c>
      <c r="D423" s="93" t="str">
        <f t="shared" si="1"/>
        <v>200MAS-100 VF</v>
      </c>
    </row>
    <row r="424" ht="22.5" customHeight="1">
      <c r="A424" s="11" t="s">
        <v>1413</v>
      </c>
      <c r="B424" s="11">
        <v>201.0</v>
      </c>
      <c r="C424" s="11">
        <v>332.0</v>
      </c>
      <c r="D424" s="93" t="str">
        <f t="shared" si="1"/>
        <v>201MAS-100 VF</v>
      </c>
    </row>
    <row r="425" ht="22.5" customHeight="1">
      <c r="A425" s="11" t="s">
        <v>1413</v>
      </c>
      <c r="B425" s="11">
        <v>202.0</v>
      </c>
      <c r="C425" s="11">
        <v>335.0</v>
      </c>
      <c r="D425" s="93" t="str">
        <f t="shared" si="1"/>
        <v>202MAS-100 VF</v>
      </c>
    </row>
    <row r="426" ht="22.5" customHeight="1">
      <c r="A426" s="11" t="s">
        <v>1413</v>
      </c>
      <c r="B426" s="11">
        <v>203.0</v>
      </c>
      <c r="C426" s="11">
        <v>338.0</v>
      </c>
      <c r="D426" s="93" t="str">
        <f t="shared" si="1"/>
        <v>203MAS-100 VF</v>
      </c>
    </row>
    <row r="427" ht="22.5" customHeight="1">
      <c r="A427" s="11" t="s">
        <v>1413</v>
      </c>
      <c r="B427" s="11">
        <v>204.0</v>
      </c>
      <c r="C427" s="11">
        <v>341.0</v>
      </c>
      <c r="D427" s="93" t="str">
        <f t="shared" si="1"/>
        <v>204MAS-100 VF</v>
      </c>
    </row>
    <row r="428" ht="22.5" customHeight="1">
      <c r="A428" s="11" t="s">
        <v>1413</v>
      </c>
      <c r="B428" s="11">
        <v>205.0</v>
      </c>
      <c r="C428" s="11">
        <v>344.0</v>
      </c>
      <c r="D428" s="93" t="str">
        <f t="shared" si="1"/>
        <v>205MAS-100 VF</v>
      </c>
    </row>
    <row r="429" ht="22.5" customHeight="1">
      <c r="A429" s="11" t="s">
        <v>1413</v>
      </c>
      <c r="B429" s="11">
        <v>206.0</v>
      </c>
      <c r="C429" s="11">
        <v>347.0</v>
      </c>
      <c r="D429" s="93" t="str">
        <f t="shared" si="1"/>
        <v>206MAS-100 VF</v>
      </c>
    </row>
    <row r="430" ht="22.5" customHeight="1">
      <c r="A430" s="11" t="s">
        <v>1413</v>
      </c>
      <c r="B430" s="11">
        <v>207.0</v>
      </c>
      <c r="C430" s="11">
        <v>350.0</v>
      </c>
      <c r="D430" s="93" t="str">
        <f t="shared" si="1"/>
        <v>207MAS-100 VF</v>
      </c>
    </row>
    <row r="431" ht="22.5" customHeight="1">
      <c r="A431" s="11" t="s">
        <v>1413</v>
      </c>
      <c r="B431" s="11">
        <v>208.0</v>
      </c>
      <c r="C431" s="11">
        <v>353.0</v>
      </c>
      <c r="D431" s="93" t="str">
        <f t="shared" si="1"/>
        <v>208MAS-100 VF</v>
      </c>
    </row>
    <row r="432" ht="22.5" customHeight="1">
      <c r="A432" s="11" t="s">
        <v>1413</v>
      </c>
      <c r="B432" s="11">
        <v>209.0</v>
      </c>
      <c r="C432" s="11">
        <v>357.0</v>
      </c>
      <c r="D432" s="93" t="str">
        <f t="shared" si="1"/>
        <v>209MAS-100 VF</v>
      </c>
    </row>
    <row r="433" ht="22.5" customHeight="1">
      <c r="A433" s="11" t="s">
        <v>1413</v>
      </c>
      <c r="B433" s="11">
        <v>210.0</v>
      </c>
      <c r="C433" s="11">
        <v>360.0</v>
      </c>
      <c r="D433" s="93" t="str">
        <f t="shared" si="1"/>
        <v>210MAS-100 VF</v>
      </c>
    </row>
    <row r="434" ht="22.5" customHeight="1">
      <c r="A434" s="11" t="s">
        <v>1413</v>
      </c>
      <c r="B434" s="11">
        <v>211.0</v>
      </c>
      <c r="C434" s="11">
        <v>363.0</v>
      </c>
      <c r="D434" s="93" t="str">
        <f t="shared" si="1"/>
        <v>211MAS-100 VF</v>
      </c>
    </row>
    <row r="435" ht="22.5" customHeight="1">
      <c r="A435" s="11" t="s">
        <v>1413</v>
      </c>
      <c r="B435" s="11">
        <v>212.0</v>
      </c>
      <c r="C435" s="11">
        <v>367.0</v>
      </c>
      <c r="D435" s="93" t="str">
        <f t="shared" si="1"/>
        <v>212MAS-100 VF</v>
      </c>
    </row>
    <row r="436" ht="22.5" customHeight="1">
      <c r="A436" s="11" t="s">
        <v>1413</v>
      </c>
      <c r="B436" s="11">
        <v>213.0</v>
      </c>
      <c r="C436" s="11">
        <v>370.0</v>
      </c>
      <c r="D436" s="93" t="str">
        <f t="shared" si="1"/>
        <v>213MAS-100 VF</v>
      </c>
    </row>
    <row r="437" ht="22.5" customHeight="1">
      <c r="A437" s="11" t="s">
        <v>1413</v>
      </c>
      <c r="B437" s="11">
        <v>214.0</v>
      </c>
      <c r="C437" s="11">
        <v>374.0</v>
      </c>
      <c r="D437" s="93" t="str">
        <f t="shared" si="1"/>
        <v>214MAS-100 VF</v>
      </c>
    </row>
    <row r="438" ht="22.5" customHeight="1">
      <c r="A438" s="11" t="s">
        <v>1413</v>
      </c>
      <c r="B438" s="11">
        <v>215.0</v>
      </c>
      <c r="C438" s="11">
        <v>377.0</v>
      </c>
      <c r="D438" s="93" t="str">
        <f t="shared" si="1"/>
        <v>215MAS-100 VF</v>
      </c>
    </row>
    <row r="439" ht="22.5" customHeight="1">
      <c r="A439" s="11" t="s">
        <v>1413</v>
      </c>
      <c r="B439" s="11">
        <v>216.0</v>
      </c>
      <c r="C439" s="11">
        <v>381.0</v>
      </c>
      <c r="D439" s="93" t="str">
        <f t="shared" si="1"/>
        <v>216MAS-100 VF</v>
      </c>
    </row>
    <row r="440" ht="22.5" customHeight="1">
      <c r="A440" s="11" t="s">
        <v>1413</v>
      </c>
      <c r="B440" s="11">
        <v>217.0</v>
      </c>
      <c r="C440" s="11">
        <v>384.0</v>
      </c>
      <c r="D440" s="93" t="str">
        <f t="shared" si="1"/>
        <v>217MAS-100 VF</v>
      </c>
    </row>
    <row r="441" ht="22.5" customHeight="1">
      <c r="A441" s="11" t="s">
        <v>1413</v>
      </c>
      <c r="B441" s="11">
        <v>218.0</v>
      </c>
      <c r="C441" s="11">
        <v>388.0</v>
      </c>
      <c r="D441" s="93" t="str">
        <f t="shared" si="1"/>
        <v>218MAS-100 VF</v>
      </c>
    </row>
    <row r="442" ht="22.5" customHeight="1">
      <c r="A442" s="11" t="s">
        <v>1413</v>
      </c>
      <c r="B442" s="11">
        <v>219.0</v>
      </c>
      <c r="C442" s="11">
        <v>391.0</v>
      </c>
      <c r="D442" s="93" t="str">
        <f t="shared" si="1"/>
        <v>219MAS-100 VF</v>
      </c>
    </row>
    <row r="443" ht="22.5" customHeight="1">
      <c r="A443" s="11" t="s">
        <v>1413</v>
      </c>
      <c r="B443" s="11">
        <v>220.0</v>
      </c>
      <c r="C443" s="11">
        <v>395.0</v>
      </c>
      <c r="D443" s="93" t="str">
        <f t="shared" si="1"/>
        <v>220MAS-100 VF</v>
      </c>
    </row>
    <row r="444" ht="22.5" customHeight="1">
      <c r="A444" s="11" t="s">
        <v>1413</v>
      </c>
      <c r="B444" s="11">
        <v>221.0</v>
      </c>
      <c r="C444" s="11">
        <v>399.0</v>
      </c>
      <c r="D444" s="93" t="str">
        <f t="shared" si="1"/>
        <v>221MAS-100 VF</v>
      </c>
    </row>
    <row r="445" ht="22.5" customHeight="1">
      <c r="A445" s="11" t="s">
        <v>1413</v>
      </c>
      <c r="B445" s="11">
        <v>222.0</v>
      </c>
      <c r="C445" s="11">
        <v>403.0</v>
      </c>
      <c r="D445" s="93" t="str">
        <f t="shared" si="1"/>
        <v>222MAS-100 VF</v>
      </c>
    </row>
    <row r="446" ht="22.5" customHeight="1">
      <c r="A446" s="11" t="s">
        <v>1413</v>
      </c>
      <c r="B446" s="11">
        <v>223.0</v>
      </c>
      <c r="C446" s="11">
        <v>407.0</v>
      </c>
      <c r="D446" s="93" t="str">
        <f t="shared" si="1"/>
        <v>223MAS-100 VF</v>
      </c>
    </row>
    <row r="447" ht="22.5" customHeight="1">
      <c r="A447" s="11" t="s">
        <v>1413</v>
      </c>
      <c r="B447" s="11">
        <v>224.0</v>
      </c>
      <c r="C447" s="11">
        <v>410.0</v>
      </c>
      <c r="D447" s="93" t="str">
        <f t="shared" si="1"/>
        <v>224MAS-100 VF</v>
      </c>
    </row>
    <row r="448" ht="22.5" customHeight="1">
      <c r="A448" s="11" t="s">
        <v>1413</v>
      </c>
      <c r="B448" s="11">
        <v>225.0</v>
      </c>
      <c r="C448" s="11">
        <v>414.0</v>
      </c>
      <c r="D448" s="93" t="str">
        <f t="shared" si="1"/>
        <v>225MAS-100 VF</v>
      </c>
    </row>
    <row r="449" ht="22.5" customHeight="1">
      <c r="A449" s="11" t="s">
        <v>1413</v>
      </c>
      <c r="B449" s="11">
        <v>226.0</v>
      </c>
      <c r="C449" s="11">
        <v>418.0</v>
      </c>
      <c r="D449" s="93" t="str">
        <f t="shared" si="1"/>
        <v>226MAS-100 VF</v>
      </c>
    </row>
    <row r="450" ht="22.5" customHeight="1">
      <c r="A450" s="11" t="s">
        <v>1413</v>
      </c>
      <c r="B450" s="11">
        <v>227.0</v>
      </c>
      <c r="C450" s="11">
        <v>422.0</v>
      </c>
      <c r="D450" s="93" t="str">
        <f t="shared" si="1"/>
        <v>227MAS-100 VF</v>
      </c>
    </row>
    <row r="451" ht="22.5" customHeight="1">
      <c r="A451" s="11" t="s">
        <v>1413</v>
      </c>
      <c r="B451" s="11">
        <v>228.0</v>
      </c>
      <c r="C451" s="11">
        <v>427.0</v>
      </c>
      <c r="D451" s="93" t="str">
        <f t="shared" si="1"/>
        <v>228MAS-100 VF</v>
      </c>
    </row>
    <row r="452" ht="22.5" customHeight="1">
      <c r="A452" s="11" t="s">
        <v>1413</v>
      </c>
      <c r="B452" s="11">
        <v>229.0</v>
      </c>
      <c r="C452" s="11">
        <v>431.0</v>
      </c>
      <c r="D452" s="93" t="str">
        <f t="shared" si="1"/>
        <v>229MAS-100 VF</v>
      </c>
    </row>
    <row r="453" ht="22.5" customHeight="1">
      <c r="A453" s="11" t="s">
        <v>1413</v>
      </c>
      <c r="B453" s="11">
        <v>230.0</v>
      </c>
      <c r="C453" s="11">
        <v>435.0</v>
      </c>
      <c r="D453" s="93" t="str">
        <f t="shared" si="1"/>
        <v>230MAS-100 VF</v>
      </c>
    </row>
    <row r="454" ht="22.5" customHeight="1">
      <c r="A454" s="11" t="s">
        <v>1413</v>
      </c>
      <c r="B454" s="11">
        <v>231.0</v>
      </c>
      <c r="C454" s="11">
        <v>439.0</v>
      </c>
      <c r="D454" s="93" t="str">
        <f t="shared" si="1"/>
        <v>231MAS-100 VF</v>
      </c>
    </row>
    <row r="455" ht="22.5" customHeight="1">
      <c r="A455" s="11" t="s">
        <v>1413</v>
      </c>
      <c r="B455" s="11">
        <v>232.0</v>
      </c>
      <c r="C455" s="11">
        <v>444.0</v>
      </c>
      <c r="D455" s="93" t="str">
        <f t="shared" si="1"/>
        <v>232MAS-100 VF</v>
      </c>
    </row>
    <row r="456" ht="22.5" customHeight="1">
      <c r="A456" s="11" t="s">
        <v>1413</v>
      </c>
      <c r="B456" s="11">
        <v>233.0</v>
      </c>
      <c r="C456" s="11">
        <v>448.0</v>
      </c>
      <c r="D456" s="93" t="str">
        <f t="shared" si="1"/>
        <v>233MAS-100 VF</v>
      </c>
    </row>
    <row r="457" ht="22.5" customHeight="1">
      <c r="A457" s="11" t="s">
        <v>1413</v>
      </c>
      <c r="B457" s="11">
        <v>234.0</v>
      </c>
      <c r="C457" s="11">
        <v>452.0</v>
      </c>
      <c r="D457" s="93" t="str">
        <f t="shared" si="1"/>
        <v>234MAS-100 VF</v>
      </c>
    </row>
    <row r="458" ht="22.5" customHeight="1">
      <c r="A458" s="11" t="s">
        <v>1413</v>
      </c>
      <c r="B458" s="11">
        <v>235.0</v>
      </c>
      <c r="C458" s="11">
        <v>457.0</v>
      </c>
      <c r="D458" s="93" t="str">
        <f t="shared" si="1"/>
        <v>235MAS-100 VF</v>
      </c>
    </row>
    <row r="459" ht="22.5" customHeight="1">
      <c r="A459" s="11" t="s">
        <v>1413</v>
      </c>
      <c r="B459" s="11">
        <v>236.0</v>
      </c>
      <c r="C459" s="11">
        <v>462.0</v>
      </c>
      <c r="D459" s="93" t="str">
        <f t="shared" si="1"/>
        <v>236MAS-100 VF</v>
      </c>
    </row>
    <row r="460" ht="22.5" customHeight="1">
      <c r="A460" s="11" t="s">
        <v>1413</v>
      </c>
      <c r="B460" s="11">
        <v>237.0</v>
      </c>
      <c r="C460" s="11">
        <v>466.0</v>
      </c>
      <c r="D460" s="93" t="str">
        <f t="shared" si="1"/>
        <v>237MAS-100 VF</v>
      </c>
    </row>
    <row r="461" ht="22.5" customHeight="1">
      <c r="A461" s="11" t="s">
        <v>1413</v>
      </c>
      <c r="B461" s="11">
        <v>238.0</v>
      </c>
      <c r="C461" s="11">
        <v>471.0</v>
      </c>
      <c r="D461" s="93" t="str">
        <f t="shared" si="1"/>
        <v>238MAS-100 VF</v>
      </c>
    </row>
    <row r="462" ht="22.5" customHeight="1">
      <c r="A462" s="11" t="s">
        <v>1413</v>
      </c>
      <c r="B462" s="11">
        <v>239.0</v>
      </c>
      <c r="C462" s="11">
        <v>476.0</v>
      </c>
      <c r="D462" s="93" t="str">
        <f t="shared" si="1"/>
        <v>239MAS-100 VF</v>
      </c>
    </row>
    <row r="463" ht="22.5" customHeight="1">
      <c r="A463" s="11" t="s">
        <v>1413</v>
      </c>
      <c r="B463" s="11">
        <v>240.0</v>
      </c>
      <c r="C463" s="11">
        <v>481.0</v>
      </c>
      <c r="D463" s="93" t="str">
        <f t="shared" si="1"/>
        <v>240MAS-100 VF</v>
      </c>
    </row>
    <row r="464" ht="22.5" customHeight="1">
      <c r="A464" s="11" t="s">
        <v>1413</v>
      </c>
      <c r="B464" s="11">
        <v>241.0</v>
      </c>
      <c r="C464" s="11">
        <v>486.0</v>
      </c>
      <c r="D464" s="93" t="str">
        <f t="shared" si="1"/>
        <v>241MAS-100 VF</v>
      </c>
    </row>
    <row r="465" ht="22.5" customHeight="1">
      <c r="A465" s="11" t="s">
        <v>1413</v>
      </c>
      <c r="B465" s="11">
        <v>242.0</v>
      </c>
      <c r="C465" s="11">
        <v>491.0</v>
      </c>
      <c r="D465" s="93" t="str">
        <f t="shared" si="1"/>
        <v>242MAS-100 VF</v>
      </c>
    </row>
    <row r="466" ht="22.5" customHeight="1">
      <c r="A466" s="11" t="s">
        <v>1413</v>
      </c>
      <c r="B466" s="11">
        <v>243.0</v>
      </c>
      <c r="C466" s="11">
        <v>496.0</v>
      </c>
      <c r="D466" s="93" t="str">
        <f t="shared" si="1"/>
        <v>243MAS-100 VF</v>
      </c>
    </row>
    <row r="467" ht="22.5" customHeight="1">
      <c r="A467" s="11" t="s">
        <v>1413</v>
      </c>
      <c r="B467" s="11">
        <v>244.0</v>
      </c>
      <c r="C467" s="11">
        <v>501.0</v>
      </c>
      <c r="D467" s="93" t="str">
        <f t="shared" si="1"/>
        <v>244MAS-100 VF</v>
      </c>
    </row>
    <row r="468" ht="22.5" customHeight="1">
      <c r="A468" s="11" t="s">
        <v>1413</v>
      </c>
      <c r="B468" s="11">
        <v>245.0</v>
      </c>
      <c r="C468" s="11">
        <v>507.0</v>
      </c>
      <c r="D468" s="93" t="str">
        <f t="shared" si="1"/>
        <v>245MAS-100 VF</v>
      </c>
    </row>
    <row r="469" ht="22.5" customHeight="1">
      <c r="A469" s="11" t="s">
        <v>1413</v>
      </c>
      <c r="B469" s="11">
        <v>246.0</v>
      </c>
      <c r="C469" s="11">
        <v>512.0</v>
      </c>
      <c r="D469" s="93" t="str">
        <f t="shared" si="1"/>
        <v>246MAS-100 VF</v>
      </c>
    </row>
    <row r="470" ht="22.5" customHeight="1">
      <c r="A470" s="11" t="s">
        <v>1413</v>
      </c>
      <c r="B470" s="11">
        <v>247.0</v>
      </c>
      <c r="C470" s="11">
        <v>518.0</v>
      </c>
      <c r="D470" s="93" t="str">
        <f t="shared" si="1"/>
        <v>247MAS-100 VF</v>
      </c>
    </row>
    <row r="471" ht="22.5" customHeight="1">
      <c r="A471" s="11" t="s">
        <v>1413</v>
      </c>
      <c r="B471" s="11">
        <v>248.0</v>
      </c>
      <c r="C471" s="11">
        <v>523.0</v>
      </c>
      <c r="D471" s="93" t="str">
        <f t="shared" si="1"/>
        <v>248MAS-100 VF</v>
      </c>
    </row>
    <row r="472" ht="22.5" customHeight="1">
      <c r="A472" s="11" t="s">
        <v>1413</v>
      </c>
      <c r="B472" s="11">
        <v>249.0</v>
      </c>
      <c r="C472" s="11">
        <v>529.0</v>
      </c>
      <c r="D472" s="93" t="str">
        <f t="shared" si="1"/>
        <v>249MAS-100 VF</v>
      </c>
    </row>
    <row r="473" ht="22.5" customHeight="1">
      <c r="A473" s="11" t="s">
        <v>1413</v>
      </c>
      <c r="B473" s="11">
        <v>250.0</v>
      </c>
      <c r="C473" s="11">
        <v>535.0</v>
      </c>
      <c r="D473" s="93" t="str">
        <f t="shared" si="1"/>
        <v>250MAS-100 VF</v>
      </c>
    </row>
    <row r="474" ht="22.5" customHeight="1">
      <c r="A474" s="11" t="s">
        <v>1413</v>
      </c>
      <c r="B474" s="11">
        <v>251.0</v>
      </c>
      <c r="C474" s="11">
        <v>541.0</v>
      </c>
      <c r="D474" s="93" t="str">
        <f t="shared" si="1"/>
        <v>251MAS-100 VF</v>
      </c>
    </row>
    <row r="475" ht="22.5" customHeight="1">
      <c r="A475" s="11" t="s">
        <v>1413</v>
      </c>
      <c r="B475" s="11">
        <v>252.0</v>
      </c>
      <c r="C475" s="11">
        <v>547.0</v>
      </c>
      <c r="D475" s="93" t="str">
        <f t="shared" si="1"/>
        <v>252MAS-100 VF</v>
      </c>
    </row>
    <row r="476" ht="22.5" customHeight="1">
      <c r="A476" s="11" t="s">
        <v>1413</v>
      </c>
      <c r="B476" s="11">
        <v>253.0</v>
      </c>
      <c r="C476" s="11">
        <v>553.0</v>
      </c>
      <c r="D476" s="93" t="str">
        <f t="shared" si="1"/>
        <v>253MAS-100 VF</v>
      </c>
    </row>
    <row r="477" ht="22.5" customHeight="1">
      <c r="A477" s="11" t="s">
        <v>1413</v>
      </c>
      <c r="B477" s="11">
        <v>254.0</v>
      </c>
      <c r="C477" s="11">
        <v>557.0</v>
      </c>
      <c r="D477" s="93" t="str">
        <f t="shared" si="1"/>
        <v>254MAS-100 VF</v>
      </c>
    </row>
    <row r="478" ht="22.5" customHeight="1">
      <c r="A478" s="11" t="s">
        <v>1413</v>
      </c>
      <c r="B478" s="11">
        <v>255.0</v>
      </c>
      <c r="C478" s="11">
        <v>560.0</v>
      </c>
      <c r="D478" s="93" t="str">
        <f t="shared" si="1"/>
        <v>255MAS-100 VF</v>
      </c>
    </row>
    <row r="479" ht="22.5" customHeight="1">
      <c r="A479" s="11" t="s">
        <v>1413</v>
      </c>
      <c r="B479" s="11">
        <v>256.0</v>
      </c>
      <c r="C479" s="11">
        <v>566.0</v>
      </c>
      <c r="D479" s="93" t="str">
        <f t="shared" si="1"/>
        <v>256MAS-100 VF</v>
      </c>
    </row>
    <row r="480" ht="22.5" customHeight="1">
      <c r="A480" s="11" t="s">
        <v>1413</v>
      </c>
      <c r="B480" s="11">
        <v>257.0</v>
      </c>
      <c r="C480" s="11">
        <v>573.0</v>
      </c>
      <c r="D480" s="93" t="str">
        <f t="shared" si="1"/>
        <v>257MAS-100 VF</v>
      </c>
    </row>
    <row r="481" ht="22.5" customHeight="1">
      <c r="A481" s="11" t="s">
        <v>1413</v>
      </c>
      <c r="B481" s="11">
        <v>258.0</v>
      </c>
      <c r="C481" s="11">
        <v>580.0</v>
      </c>
      <c r="D481" s="93" t="str">
        <f t="shared" si="1"/>
        <v>258MAS-100 VF</v>
      </c>
    </row>
    <row r="482" ht="22.5" customHeight="1">
      <c r="A482" s="11" t="s">
        <v>1413</v>
      </c>
      <c r="B482" s="11">
        <v>259.0</v>
      </c>
      <c r="C482" s="11">
        <v>587.0</v>
      </c>
      <c r="D482" s="93" t="str">
        <f t="shared" si="1"/>
        <v>259MAS-100 VF</v>
      </c>
    </row>
    <row r="483" ht="22.5" customHeight="1">
      <c r="A483" s="11" t="s">
        <v>1413</v>
      </c>
      <c r="B483" s="11">
        <v>260.0</v>
      </c>
      <c r="C483" s="11">
        <v>594.0</v>
      </c>
      <c r="D483" s="93" t="str">
        <f t="shared" si="1"/>
        <v>260MAS-100 VF</v>
      </c>
    </row>
    <row r="484" ht="22.5" customHeight="1">
      <c r="A484" s="11" t="s">
        <v>1413</v>
      </c>
      <c r="B484" s="11">
        <v>261.0</v>
      </c>
      <c r="C484" s="11">
        <v>601.0</v>
      </c>
      <c r="D484" s="93" t="str">
        <f t="shared" si="1"/>
        <v>261MAS-100 VF</v>
      </c>
    </row>
    <row r="485" ht="22.5" customHeight="1">
      <c r="A485" s="11" t="s">
        <v>1413</v>
      </c>
      <c r="B485" s="11">
        <v>262.0</v>
      </c>
      <c r="C485" s="11">
        <v>609.0</v>
      </c>
      <c r="D485" s="93" t="str">
        <f t="shared" si="1"/>
        <v>262MAS-100 VF</v>
      </c>
    </row>
    <row r="486" ht="22.5" customHeight="1">
      <c r="A486" s="11" t="s">
        <v>1413</v>
      </c>
      <c r="B486" s="11">
        <v>263.0</v>
      </c>
      <c r="C486" s="11">
        <v>624.0</v>
      </c>
      <c r="D486" s="93" t="str">
        <f t="shared" si="1"/>
        <v>263MAS-100 VF</v>
      </c>
    </row>
    <row r="487" ht="22.5" customHeight="1">
      <c r="A487" s="11" t="s">
        <v>1413</v>
      </c>
      <c r="B487" s="11">
        <v>264.0</v>
      </c>
      <c r="C487" s="11">
        <v>632.0</v>
      </c>
      <c r="D487" s="93" t="str">
        <f t="shared" si="1"/>
        <v>264MAS-100 VF</v>
      </c>
    </row>
    <row r="488" ht="22.5" customHeight="1">
      <c r="A488" s="11" t="s">
        <v>1413</v>
      </c>
      <c r="B488" s="11">
        <v>265.0</v>
      </c>
      <c r="C488" s="11">
        <v>641.0</v>
      </c>
      <c r="D488" s="93" t="str">
        <f t="shared" si="1"/>
        <v>265MAS-100 VF</v>
      </c>
    </row>
    <row r="489" ht="22.5" customHeight="1">
      <c r="A489" s="11" t="s">
        <v>1413</v>
      </c>
      <c r="B489" s="11">
        <v>266.0</v>
      </c>
      <c r="C489" s="11">
        <v>649.0</v>
      </c>
      <c r="D489" s="93" t="str">
        <f t="shared" si="1"/>
        <v>266MAS-100 VF</v>
      </c>
    </row>
    <row r="490" ht="22.5" customHeight="1">
      <c r="A490" s="11" t="s">
        <v>1413</v>
      </c>
      <c r="B490" s="11">
        <v>267.0</v>
      </c>
      <c r="C490" s="11">
        <v>658.0</v>
      </c>
      <c r="D490" s="93" t="str">
        <f t="shared" si="1"/>
        <v>267MAS-100 VF</v>
      </c>
    </row>
    <row r="491" ht="22.5" customHeight="1">
      <c r="A491" s="11" t="s">
        <v>1413</v>
      </c>
      <c r="B491" s="11">
        <v>268.0</v>
      </c>
      <c r="C491" s="11">
        <v>667.0</v>
      </c>
      <c r="D491" s="93" t="str">
        <f t="shared" si="1"/>
        <v>268MAS-100 VF</v>
      </c>
    </row>
    <row r="492" ht="22.5" customHeight="1">
      <c r="A492" s="11" t="s">
        <v>1413</v>
      </c>
      <c r="B492" s="11">
        <v>269.0</v>
      </c>
      <c r="C492" s="11">
        <v>677.0</v>
      </c>
      <c r="D492" s="93" t="str">
        <f t="shared" si="1"/>
        <v>269MAS-100 VF</v>
      </c>
    </row>
    <row r="493" ht="22.5" customHeight="1">
      <c r="A493" s="11" t="s">
        <v>1413</v>
      </c>
      <c r="B493" s="11">
        <v>270.0</v>
      </c>
      <c r="C493" s="11">
        <v>686.0</v>
      </c>
      <c r="D493" s="93" t="str">
        <f t="shared" si="1"/>
        <v>270MAS-100 VF</v>
      </c>
    </row>
    <row r="494" ht="22.5" customHeight="1">
      <c r="A494" s="11" t="s">
        <v>1413</v>
      </c>
      <c r="B494" s="11">
        <v>271.0</v>
      </c>
      <c r="C494" s="11">
        <v>696.0</v>
      </c>
      <c r="D494" s="93" t="str">
        <f t="shared" si="1"/>
        <v>271MAS-100 VF</v>
      </c>
    </row>
    <row r="495" ht="22.5" customHeight="1">
      <c r="A495" s="11" t="s">
        <v>1413</v>
      </c>
      <c r="B495" s="11">
        <v>272.0</v>
      </c>
      <c r="C495" s="11">
        <v>707.0</v>
      </c>
      <c r="D495" s="93" t="str">
        <f t="shared" si="1"/>
        <v>272MAS-100 VF</v>
      </c>
    </row>
    <row r="496" ht="22.5" customHeight="1">
      <c r="A496" s="11" t="s">
        <v>1413</v>
      </c>
      <c r="B496" s="11">
        <v>273.0</v>
      </c>
      <c r="C496" s="11">
        <v>717.0</v>
      </c>
      <c r="D496" s="93" t="str">
        <f t="shared" si="1"/>
        <v>273MAS-100 VF</v>
      </c>
    </row>
    <row r="497" ht="22.5" customHeight="1">
      <c r="A497" s="11" t="s">
        <v>1413</v>
      </c>
      <c r="B497" s="11">
        <v>274.0</v>
      </c>
      <c r="C497" s="11">
        <v>728.0</v>
      </c>
      <c r="D497" s="93" t="str">
        <f t="shared" si="1"/>
        <v>274MAS-100 VF</v>
      </c>
    </row>
    <row r="498" ht="22.5" customHeight="1">
      <c r="A498" s="11" t="s">
        <v>1413</v>
      </c>
      <c r="B498" s="11">
        <v>275.0</v>
      </c>
      <c r="C498" s="11">
        <v>740.0</v>
      </c>
      <c r="D498" s="93" t="str">
        <f t="shared" si="1"/>
        <v>275MAS-100 VF</v>
      </c>
    </row>
    <row r="499" ht="22.5" customHeight="1">
      <c r="A499" s="11" t="s">
        <v>1413</v>
      </c>
      <c r="B499" s="11">
        <v>276.0</v>
      </c>
      <c r="C499" s="11">
        <v>752.0</v>
      </c>
      <c r="D499" s="93" t="str">
        <f t="shared" si="1"/>
        <v>276MAS-100 VF</v>
      </c>
    </row>
    <row r="500" ht="22.5" customHeight="1">
      <c r="A500" s="11" t="s">
        <v>1413</v>
      </c>
      <c r="B500" s="11">
        <v>277.0</v>
      </c>
      <c r="C500" s="11">
        <v>765.0</v>
      </c>
      <c r="D500" s="93" t="str">
        <f t="shared" si="1"/>
        <v>277MAS-100 VF</v>
      </c>
    </row>
    <row r="501" ht="22.5" customHeight="1">
      <c r="A501" s="11" t="s">
        <v>1413</v>
      </c>
      <c r="B501" s="11">
        <v>278.0</v>
      </c>
      <c r="C501" s="11">
        <v>778.0</v>
      </c>
      <c r="D501" s="93" t="str">
        <f t="shared" si="1"/>
        <v>278MAS-100 VF</v>
      </c>
    </row>
    <row r="502" ht="22.5" customHeight="1">
      <c r="A502" s="11" t="s">
        <v>1413</v>
      </c>
      <c r="B502" s="11">
        <v>279.0</v>
      </c>
      <c r="C502" s="11">
        <v>791.0</v>
      </c>
      <c r="D502" s="93" t="str">
        <f t="shared" si="1"/>
        <v>279MAS-100 VF</v>
      </c>
    </row>
    <row r="503" ht="22.5" customHeight="1">
      <c r="A503" s="11" t="s">
        <v>1413</v>
      </c>
      <c r="B503" s="11">
        <v>280.0</v>
      </c>
      <c r="C503" s="11">
        <v>805.0</v>
      </c>
      <c r="D503" s="93" t="str">
        <f t="shared" si="1"/>
        <v>280MAS-100 VF</v>
      </c>
    </row>
    <row r="504" ht="22.5" customHeight="1">
      <c r="A504" s="11" t="s">
        <v>1413</v>
      </c>
      <c r="B504" s="11">
        <v>281.0</v>
      </c>
      <c r="C504" s="11">
        <v>820.0</v>
      </c>
      <c r="D504" s="93" t="str">
        <f t="shared" si="1"/>
        <v>281MAS-100 VF</v>
      </c>
    </row>
    <row r="505" ht="22.5" customHeight="1">
      <c r="A505" s="11" t="s">
        <v>1413</v>
      </c>
      <c r="B505" s="11">
        <v>282.0</v>
      </c>
      <c r="C505" s="11">
        <v>836.0</v>
      </c>
      <c r="D505" s="93" t="str">
        <f t="shared" si="1"/>
        <v>282MAS-100 VF</v>
      </c>
    </row>
    <row r="506" ht="22.5" customHeight="1">
      <c r="A506" s="11" t="s">
        <v>1413</v>
      </c>
      <c r="B506" s="11">
        <v>283.0</v>
      </c>
      <c r="C506" s="11">
        <v>853.0</v>
      </c>
      <c r="D506" s="93" t="str">
        <f t="shared" si="1"/>
        <v>283MAS-100 VF</v>
      </c>
    </row>
    <row r="507" ht="22.5" customHeight="1">
      <c r="A507" s="11" t="s">
        <v>1413</v>
      </c>
      <c r="B507" s="11">
        <v>284.0</v>
      </c>
      <c r="C507" s="11">
        <v>871.0</v>
      </c>
      <c r="D507" s="93" t="str">
        <f t="shared" si="1"/>
        <v>284MAS-100 VF</v>
      </c>
    </row>
    <row r="508" ht="22.5" customHeight="1">
      <c r="A508" s="11" t="s">
        <v>1413</v>
      </c>
      <c r="B508" s="11">
        <v>285.0</v>
      </c>
      <c r="C508" s="11">
        <v>890.0</v>
      </c>
      <c r="D508" s="93" t="str">
        <f t="shared" si="1"/>
        <v>285MAS-100 VF</v>
      </c>
    </row>
    <row r="509" ht="22.5" customHeight="1">
      <c r="A509" s="11" t="s">
        <v>1413</v>
      </c>
      <c r="B509" s="11">
        <v>286.0</v>
      </c>
      <c r="C509" s="11">
        <v>909.0</v>
      </c>
      <c r="D509" s="93" t="str">
        <f t="shared" si="1"/>
        <v>286MAS-100 VF</v>
      </c>
    </row>
    <row r="510" ht="22.5" customHeight="1">
      <c r="A510" s="11" t="s">
        <v>1413</v>
      </c>
      <c r="B510" s="11">
        <v>287.0</v>
      </c>
      <c r="C510" s="11">
        <v>931.0</v>
      </c>
      <c r="D510" s="93" t="str">
        <f t="shared" si="1"/>
        <v>287MAS-100 VF</v>
      </c>
    </row>
    <row r="511" ht="22.5" customHeight="1">
      <c r="A511" s="11" t="s">
        <v>1413</v>
      </c>
      <c r="B511" s="11">
        <v>288.0</v>
      </c>
      <c r="C511" s="11">
        <v>954.0</v>
      </c>
      <c r="D511" s="93" t="str">
        <f t="shared" si="1"/>
        <v>288MAS-100 VF</v>
      </c>
    </row>
    <row r="512" ht="22.5" customHeight="1">
      <c r="A512" s="11" t="s">
        <v>1413</v>
      </c>
      <c r="B512" s="11">
        <v>289.0</v>
      </c>
      <c r="C512" s="11">
        <v>979.0</v>
      </c>
      <c r="D512" s="93" t="str">
        <f t="shared" si="1"/>
        <v>289MAS-100 VF</v>
      </c>
    </row>
    <row r="513" ht="22.5" customHeight="1">
      <c r="A513" s="11" t="s">
        <v>1413</v>
      </c>
      <c r="B513" s="11">
        <v>290.0</v>
      </c>
      <c r="C513" s="11">
        <v>1006.0</v>
      </c>
      <c r="D513" s="93" t="str">
        <f t="shared" si="1"/>
        <v>290MAS-100 VF</v>
      </c>
    </row>
    <row r="514" ht="22.5" customHeight="1">
      <c r="A514" s="11" t="s">
        <v>1413</v>
      </c>
      <c r="B514" s="11">
        <v>291.0</v>
      </c>
      <c r="C514" s="11">
        <v>1036.0</v>
      </c>
      <c r="D514" s="93" t="str">
        <f t="shared" si="1"/>
        <v>291MAS-100 VF</v>
      </c>
    </row>
    <row r="515" ht="22.5" customHeight="1">
      <c r="A515" s="11" t="s">
        <v>1413</v>
      </c>
      <c r="B515" s="11">
        <v>292.0</v>
      </c>
      <c r="C515" s="11">
        <v>1069.0</v>
      </c>
      <c r="D515" s="93" t="str">
        <f t="shared" si="1"/>
        <v>292MAS-100 VF</v>
      </c>
    </row>
    <row r="516" ht="22.5" customHeight="1">
      <c r="A516" s="11" t="s">
        <v>1413</v>
      </c>
      <c r="B516" s="11">
        <v>293.0</v>
      </c>
      <c r="C516" s="11">
        <v>1107.0</v>
      </c>
      <c r="D516" s="93" t="str">
        <f t="shared" si="1"/>
        <v>293MAS-100 VF</v>
      </c>
    </row>
    <row r="517" ht="22.5" customHeight="1">
      <c r="A517" s="11" t="s">
        <v>1413</v>
      </c>
      <c r="B517" s="11">
        <v>294.0</v>
      </c>
      <c r="C517" s="11">
        <v>1150.0</v>
      </c>
      <c r="D517" s="93" t="str">
        <f t="shared" si="1"/>
        <v>294MAS-100 VF</v>
      </c>
    </row>
    <row r="518" ht="22.5" customHeight="1">
      <c r="A518" s="11" t="s">
        <v>1413</v>
      </c>
      <c r="B518" s="11">
        <v>295.0</v>
      </c>
      <c r="C518" s="11">
        <v>1200.0</v>
      </c>
      <c r="D518" s="93" t="str">
        <f t="shared" si="1"/>
        <v>295MAS-100 VF</v>
      </c>
    </row>
    <row r="519" ht="22.5" customHeight="1">
      <c r="A519" s="11" t="s">
        <v>1413</v>
      </c>
      <c r="B519" s="11">
        <v>296.0</v>
      </c>
      <c r="C519" s="11">
        <v>1260.0</v>
      </c>
      <c r="D519" s="93" t="str">
        <f t="shared" si="1"/>
        <v>296MAS-100 VF</v>
      </c>
    </row>
    <row r="520" ht="22.5" customHeight="1">
      <c r="A520" s="11" t="s">
        <v>1413</v>
      </c>
      <c r="B520" s="11">
        <v>297.0</v>
      </c>
      <c r="C520" s="11">
        <v>1335.0</v>
      </c>
      <c r="D520" s="93" t="str">
        <f t="shared" si="1"/>
        <v>297MAS-100 VF</v>
      </c>
    </row>
    <row r="521" ht="22.5" customHeight="1">
      <c r="A521" s="11" t="s">
        <v>1413</v>
      </c>
      <c r="B521" s="11">
        <v>298.0</v>
      </c>
      <c r="C521" s="11">
        <v>1435.0</v>
      </c>
      <c r="D521" s="93" t="str">
        <f t="shared" si="1"/>
        <v>298MAS-100 VF</v>
      </c>
    </row>
    <row r="522" ht="22.5" customHeight="1">
      <c r="A522" s="11" t="s">
        <v>1413</v>
      </c>
      <c r="B522" s="11">
        <v>299.0</v>
      </c>
      <c r="C522" s="11">
        <v>1585.0</v>
      </c>
      <c r="D522" s="93" t="str">
        <f t="shared" si="1"/>
        <v>299MAS-100 VF</v>
      </c>
    </row>
    <row r="523" ht="22.5" customHeight="1">
      <c r="A523" s="11" t="s">
        <v>1413</v>
      </c>
      <c r="B523" s="11">
        <v>300.0</v>
      </c>
      <c r="C523" s="11">
        <v>1885.0</v>
      </c>
      <c r="D523" s="93" t="str">
        <f t="shared" si="1"/>
        <v>300MAS-100 VF</v>
      </c>
    </row>
    <row r="524" ht="22.5" customHeight="1">
      <c r="A524" s="11" t="s">
        <v>1413</v>
      </c>
      <c r="B524" s="11">
        <v>9999.0</v>
      </c>
      <c r="C524" s="11">
        <v>9999.0</v>
      </c>
      <c r="D524" s="93" t="str">
        <f t="shared" si="1"/>
        <v>9999MAS-100 VF</v>
      </c>
    </row>
    <row r="525" ht="22.5" customHeight="1">
      <c r="A525" s="23" t="s">
        <v>203</v>
      </c>
      <c r="B525" s="23">
        <v>0.0</v>
      </c>
      <c r="C525" s="23">
        <v>0.0</v>
      </c>
      <c r="D525" s="93" t="str">
        <f t="shared" si="1"/>
        <v>0miniCapt</v>
      </c>
    </row>
    <row r="526" ht="22.5" customHeight="1">
      <c r="A526" s="23" t="s">
        <v>203</v>
      </c>
      <c r="B526" s="23">
        <v>1.0</v>
      </c>
      <c r="C526" s="23">
        <v>1.0</v>
      </c>
      <c r="D526" s="93" t="str">
        <f t="shared" si="1"/>
        <v>1miniCapt</v>
      </c>
    </row>
    <row r="527" ht="22.5" customHeight="1">
      <c r="A527" s="23" t="s">
        <v>203</v>
      </c>
      <c r="B527" s="23">
        <v>2.0</v>
      </c>
      <c r="C527" s="23">
        <v>2.0</v>
      </c>
      <c r="D527" s="93" t="str">
        <f t="shared" si="1"/>
        <v>2miniCapt</v>
      </c>
    </row>
    <row r="528" ht="22.5" customHeight="1">
      <c r="A528" s="23" t="s">
        <v>203</v>
      </c>
      <c r="B528" s="23">
        <v>3.0</v>
      </c>
      <c r="C528" s="23">
        <v>3.0</v>
      </c>
      <c r="D528" s="93" t="str">
        <f t="shared" si="1"/>
        <v>3miniCapt</v>
      </c>
    </row>
    <row r="529" ht="22.5" customHeight="1">
      <c r="A529" s="23" t="s">
        <v>203</v>
      </c>
      <c r="B529" s="23">
        <v>4.0</v>
      </c>
      <c r="C529" s="23">
        <v>4.0</v>
      </c>
      <c r="D529" s="93" t="str">
        <f t="shared" si="1"/>
        <v>4miniCapt</v>
      </c>
    </row>
    <row r="530" ht="22.5" customHeight="1">
      <c r="A530" s="23" t="s">
        <v>203</v>
      </c>
      <c r="B530" s="23">
        <v>5.0</v>
      </c>
      <c r="C530" s="23">
        <v>5.0</v>
      </c>
      <c r="D530" s="93" t="str">
        <f t="shared" si="1"/>
        <v>5miniCapt</v>
      </c>
    </row>
    <row r="531" ht="22.5" customHeight="1">
      <c r="A531" s="23" t="s">
        <v>203</v>
      </c>
      <c r="B531" s="23">
        <v>6.0</v>
      </c>
      <c r="C531" s="23">
        <v>6.0</v>
      </c>
      <c r="D531" s="93" t="str">
        <f t="shared" si="1"/>
        <v>6miniCapt</v>
      </c>
    </row>
    <row r="532" ht="22.5" customHeight="1">
      <c r="A532" s="23" t="s">
        <v>203</v>
      </c>
      <c r="B532" s="23">
        <v>7.0</v>
      </c>
      <c r="C532" s="23">
        <v>7.0</v>
      </c>
      <c r="D532" s="93" t="str">
        <f t="shared" si="1"/>
        <v>7miniCapt</v>
      </c>
    </row>
    <row r="533" ht="22.5" customHeight="1">
      <c r="A533" s="23" t="s">
        <v>203</v>
      </c>
      <c r="B533" s="23">
        <v>8.0</v>
      </c>
      <c r="C533" s="23">
        <v>8.0</v>
      </c>
      <c r="D533" s="93" t="str">
        <f t="shared" si="1"/>
        <v>8miniCapt</v>
      </c>
    </row>
    <row r="534" ht="22.5" customHeight="1">
      <c r="A534" s="23" t="s">
        <v>203</v>
      </c>
      <c r="B534" s="23">
        <v>9.0</v>
      </c>
      <c r="C534" s="23">
        <v>9.0</v>
      </c>
      <c r="D534" s="93" t="str">
        <f t="shared" si="1"/>
        <v>9miniCapt</v>
      </c>
    </row>
    <row r="535" ht="22.5" customHeight="1">
      <c r="A535" s="23" t="s">
        <v>203</v>
      </c>
      <c r="B535" s="23">
        <v>10.0</v>
      </c>
      <c r="C535" s="23">
        <v>10.0</v>
      </c>
      <c r="D535" s="93" t="str">
        <f t="shared" si="1"/>
        <v>10miniCapt</v>
      </c>
    </row>
    <row r="536" ht="22.5" customHeight="1">
      <c r="A536" s="23" t="s">
        <v>203</v>
      </c>
      <c r="B536" s="23">
        <v>11.0</v>
      </c>
      <c r="C536" s="23">
        <v>11.0</v>
      </c>
      <c r="D536" s="93" t="str">
        <f t="shared" si="1"/>
        <v>11miniCapt</v>
      </c>
    </row>
    <row r="537" ht="22.5" customHeight="1">
      <c r="A537" s="23" t="s">
        <v>203</v>
      </c>
      <c r="B537" s="23">
        <v>12.0</v>
      </c>
      <c r="C537" s="23">
        <v>12.0</v>
      </c>
      <c r="D537" s="93" t="str">
        <f t="shared" si="1"/>
        <v>12miniCapt</v>
      </c>
    </row>
    <row r="538" ht="22.5" customHeight="1">
      <c r="A538" s="23" t="s">
        <v>203</v>
      </c>
      <c r="B538" s="23">
        <v>13.0</v>
      </c>
      <c r="C538" s="23">
        <v>13.0</v>
      </c>
      <c r="D538" s="93" t="str">
        <f t="shared" si="1"/>
        <v>13miniCapt</v>
      </c>
    </row>
    <row r="539" ht="22.5" customHeight="1">
      <c r="A539" s="23" t="s">
        <v>203</v>
      </c>
      <c r="B539" s="23">
        <v>14.0</v>
      </c>
      <c r="C539" s="23">
        <v>14.0</v>
      </c>
      <c r="D539" s="93" t="str">
        <f t="shared" si="1"/>
        <v>14miniCapt</v>
      </c>
    </row>
    <row r="540" ht="22.5" customHeight="1">
      <c r="A540" s="23" t="s">
        <v>203</v>
      </c>
      <c r="B540" s="23">
        <v>15.0</v>
      </c>
      <c r="C540" s="23">
        <v>15.0</v>
      </c>
      <c r="D540" s="93" t="str">
        <f t="shared" si="1"/>
        <v>15miniCapt</v>
      </c>
    </row>
    <row r="541" ht="22.5" customHeight="1">
      <c r="A541" s="23" t="s">
        <v>203</v>
      </c>
      <c r="B541" s="23">
        <v>16.0</v>
      </c>
      <c r="C541" s="23">
        <v>16.0</v>
      </c>
      <c r="D541" s="93" t="str">
        <f t="shared" si="1"/>
        <v>16miniCapt</v>
      </c>
    </row>
    <row r="542" ht="22.5" customHeight="1">
      <c r="A542" s="23" t="s">
        <v>203</v>
      </c>
      <c r="B542" s="23">
        <v>17.0</v>
      </c>
      <c r="C542" s="23">
        <v>17.0</v>
      </c>
      <c r="D542" s="93" t="str">
        <f t="shared" si="1"/>
        <v>17miniCapt</v>
      </c>
    </row>
    <row r="543" ht="22.5" customHeight="1">
      <c r="A543" s="23" t="s">
        <v>203</v>
      </c>
      <c r="B543" s="23">
        <v>18.0</v>
      </c>
      <c r="C543" s="23">
        <v>18.0</v>
      </c>
      <c r="D543" s="93" t="str">
        <f t="shared" si="1"/>
        <v>18miniCapt</v>
      </c>
    </row>
    <row r="544" ht="22.5" customHeight="1">
      <c r="A544" s="23" t="s">
        <v>203</v>
      </c>
      <c r="B544" s="23">
        <v>19.0</v>
      </c>
      <c r="C544" s="23">
        <v>19.0</v>
      </c>
      <c r="D544" s="93" t="str">
        <f t="shared" si="1"/>
        <v>19miniCapt</v>
      </c>
    </row>
    <row r="545" ht="22.5" customHeight="1">
      <c r="A545" s="23" t="s">
        <v>203</v>
      </c>
      <c r="B545" s="23">
        <v>20.0</v>
      </c>
      <c r="C545" s="23">
        <v>20.0</v>
      </c>
      <c r="D545" s="93" t="str">
        <f t="shared" si="1"/>
        <v>20miniCapt</v>
      </c>
    </row>
    <row r="546" ht="22.5" customHeight="1">
      <c r="A546" s="23" t="s">
        <v>203</v>
      </c>
      <c r="B546" s="23">
        <v>21.0</v>
      </c>
      <c r="C546" s="23">
        <v>21.0</v>
      </c>
      <c r="D546" s="93" t="str">
        <f t="shared" si="1"/>
        <v>21miniCapt</v>
      </c>
    </row>
    <row r="547" ht="22.5" customHeight="1">
      <c r="A547" s="23" t="s">
        <v>203</v>
      </c>
      <c r="B547" s="23">
        <v>22.0</v>
      </c>
      <c r="C547" s="23">
        <v>22.0</v>
      </c>
      <c r="D547" s="93" t="str">
        <f t="shared" si="1"/>
        <v>22miniCapt</v>
      </c>
    </row>
    <row r="548" ht="22.5" customHeight="1">
      <c r="A548" s="23" t="s">
        <v>203</v>
      </c>
      <c r="B548" s="23">
        <v>23.0</v>
      </c>
      <c r="C548" s="23">
        <v>23.0</v>
      </c>
      <c r="D548" s="93" t="str">
        <f t="shared" si="1"/>
        <v>23miniCapt</v>
      </c>
    </row>
    <row r="549" ht="22.5" customHeight="1">
      <c r="A549" s="23" t="s">
        <v>203</v>
      </c>
      <c r="B549" s="23">
        <v>24.0</v>
      </c>
      <c r="C549" s="23">
        <v>24.0</v>
      </c>
      <c r="D549" s="93" t="str">
        <f t="shared" si="1"/>
        <v>24miniCapt</v>
      </c>
    </row>
    <row r="550" ht="22.5" customHeight="1">
      <c r="A550" s="23" t="s">
        <v>203</v>
      </c>
      <c r="B550" s="23">
        <v>25.0</v>
      </c>
      <c r="C550" s="23">
        <v>25.0</v>
      </c>
      <c r="D550" s="93" t="str">
        <f t="shared" si="1"/>
        <v>25miniCapt</v>
      </c>
    </row>
    <row r="551" ht="22.5" customHeight="1">
      <c r="A551" s="23" t="s">
        <v>203</v>
      </c>
      <c r="B551" s="23">
        <v>26.0</v>
      </c>
      <c r="C551" s="23">
        <v>26.0</v>
      </c>
      <c r="D551" s="93" t="str">
        <f t="shared" si="1"/>
        <v>26miniCapt</v>
      </c>
    </row>
    <row r="552" ht="22.5" customHeight="1">
      <c r="A552" s="23" t="s">
        <v>203</v>
      </c>
      <c r="B552" s="23">
        <v>27.0</v>
      </c>
      <c r="C552" s="23">
        <v>27.0</v>
      </c>
      <c r="D552" s="93" t="str">
        <f t="shared" si="1"/>
        <v>27miniCapt</v>
      </c>
    </row>
    <row r="553" ht="22.5" customHeight="1">
      <c r="A553" s="23" t="s">
        <v>203</v>
      </c>
      <c r="B553" s="23">
        <v>28.0</v>
      </c>
      <c r="C553" s="23">
        <v>28.0</v>
      </c>
      <c r="D553" s="93" t="str">
        <f t="shared" si="1"/>
        <v>28miniCapt</v>
      </c>
    </row>
    <row r="554" ht="22.5" customHeight="1">
      <c r="A554" s="23" t="s">
        <v>203</v>
      </c>
      <c r="B554" s="23">
        <v>29.0</v>
      </c>
      <c r="C554" s="23">
        <v>29.0</v>
      </c>
      <c r="D554" s="93" t="str">
        <f t="shared" si="1"/>
        <v>29miniCapt</v>
      </c>
    </row>
    <row r="555" ht="22.5" customHeight="1">
      <c r="A555" s="23" t="s">
        <v>203</v>
      </c>
      <c r="B555" s="23">
        <v>30.0</v>
      </c>
      <c r="C555" s="23">
        <v>30.0</v>
      </c>
      <c r="D555" s="93" t="str">
        <f t="shared" si="1"/>
        <v>30miniCapt</v>
      </c>
    </row>
    <row r="556" ht="22.5" customHeight="1">
      <c r="A556" s="23" t="s">
        <v>203</v>
      </c>
      <c r="B556" s="23">
        <v>31.0</v>
      </c>
      <c r="C556" s="23">
        <v>31.0</v>
      </c>
      <c r="D556" s="93" t="str">
        <f t="shared" si="1"/>
        <v>31miniCapt</v>
      </c>
    </row>
    <row r="557" ht="22.5" customHeight="1">
      <c r="A557" s="23" t="s">
        <v>203</v>
      </c>
      <c r="B557" s="23">
        <v>32.0</v>
      </c>
      <c r="C557" s="23">
        <v>32.0</v>
      </c>
      <c r="D557" s="93" t="str">
        <f t="shared" si="1"/>
        <v>32miniCapt</v>
      </c>
    </row>
    <row r="558" ht="22.5" customHeight="1">
      <c r="A558" s="23" t="s">
        <v>203</v>
      </c>
      <c r="B558" s="23">
        <v>33.0</v>
      </c>
      <c r="C558" s="23">
        <v>33.0</v>
      </c>
      <c r="D558" s="93" t="str">
        <f t="shared" si="1"/>
        <v>33miniCapt</v>
      </c>
    </row>
    <row r="559" ht="22.5" customHeight="1">
      <c r="A559" s="23" t="s">
        <v>203</v>
      </c>
      <c r="B559" s="23">
        <v>34.0</v>
      </c>
      <c r="C559" s="23">
        <v>34.0</v>
      </c>
      <c r="D559" s="93" t="str">
        <f t="shared" si="1"/>
        <v>34miniCapt</v>
      </c>
    </row>
    <row r="560" ht="22.5" customHeight="1">
      <c r="A560" s="23" t="s">
        <v>203</v>
      </c>
      <c r="B560" s="23">
        <v>35.0</v>
      </c>
      <c r="C560" s="23">
        <v>35.0</v>
      </c>
      <c r="D560" s="93" t="str">
        <f t="shared" si="1"/>
        <v>35miniCapt</v>
      </c>
    </row>
    <row r="561" ht="22.5" customHeight="1">
      <c r="A561" s="23" t="s">
        <v>203</v>
      </c>
      <c r="B561" s="23">
        <v>36.0</v>
      </c>
      <c r="C561" s="23">
        <v>36.0</v>
      </c>
      <c r="D561" s="93" t="str">
        <f t="shared" si="1"/>
        <v>36miniCapt</v>
      </c>
    </row>
    <row r="562" ht="22.5" customHeight="1">
      <c r="A562" s="23" t="s">
        <v>203</v>
      </c>
      <c r="B562" s="23">
        <v>37.0</v>
      </c>
      <c r="C562" s="23">
        <v>37.0</v>
      </c>
      <c r="D562" s="93" t="str">
        <f t="shared" si="1"/>
        <v>37miniCapt</v>
      </c>
    </row>
    <row r="563" ht="22.5" customHeight="1">
      <c r="A563" s="23" t="s">
        <v>203</v>
      </c>
      <c r="B563" s="23">
        <v>38.0</v>
      </c>
      <c r="C563" s="23">
        <v>38.0</v>
      </c>
      <c r="D563" s="93" t="str">
        <f t="shared" si="1"/>
        <v>38miniCapt</v>
      </c>
    </row>
    <row r="564" ht="22.5" customHeight="1">
      <c r="A564" s="23" t="s">
        <v>203</v>
      </c>
      <c r="B564" s="23">
        <v>39.0</v>
      </c>
      <c r="C564" s="23">
        <v>39.0</v>
      </c>
      <c r="D564" s="93" t="str">
        <f t="shared" si="1"/>
        <v>39miniCapt</v>
      </c>
    </row>
    <row r="565" ht="22.5" customHeight="1">
      <c r="A565" s="23" t="s">
        <v>203</v>
      </c>
      <c r="B565" s="23">
        <v>40.0</v>
      </c>
      <c r="C565" s="23">
        <v>40.0</v>
      </c>
      <c r="D565" s="93" t="str">
        <f t="shared" si="1"/>
        <v>40miniCapt</v>
      </c>
    </row>
    <row r="566" ht="22.5" customHeight="1">
      <c r="A566" s="23" t="s">
        <v>203</v>
      </c>
      <c r="B566" s="23">
        <v>41.0</v>
      </c>
      <c r="C566" s="23">
        <v>42.0</v>
      </c>
      <c r="D566" s="93" t="str">
        <f t="shared" si="1"/>
        <v>41miniCapt</v>
      </c>
    </row>
    <row r="567" ht="22.5" customHeight="1">
      <c r="A567" s="23" t="s">
        <v>203</v>
      </c>
      <c r="B567" s="23">
        <v>42.0</v>
      </c>
      <c r="C567" s="23">
        <v>43.0</v>
      </c>
      <c r="D567" s="93" t="str">
        <f t="shared" si="1"/>
        <v>42miniCapt</v>
      </c>
    </row>
    <row r="568" ht="22.5" customHeight="1">
      <c r="A568" s="23" t="s">
        <v>203</v>
      </c>
      <c r="B568" s="23">
        <v>43.0</v>
      </c>
      <c r="C568" s="23">
        <v>44.0</v>
      </c>
      <c r="D568" s="93" t="str">
        <f t="shared" si="1"/>
        <v>43miniCapt</v>
      </c>
    </row>
    <row r="569" ht="22.5" customHeight="1">
      <c r="A569" s="23" t="s">
        <v>203</v>
      </c>
      <c r="B569" s="23">
        <v>44.0</v>
      </c>
      <c r="C569" s="23">
        <v>45.0</v>
      </c>
      <c r="D569" s="93" t="str">
        <f t="shared" si="1"/>
        <v>44miniCapt</v>
      </c>
    </row>
    <row r="570" ht="22.5" customHeight="1">
      <c r="A570" s="23" t="s">
        <v>203</v>
      </c>
      <c r="B570" s="23">
        <v>45.0</v>
      </c>
      <c r="C570" s="23">
        <v>46.0</v>
      </c>
      <c r="D570" s="93" t="str">
        <f t="shared" si="1"/>
        <v>45miniCapt</v>
      </c>
    </row>
    <row r="571" ht="22.5" customHeight="1">
      <c r="A571" s="23" t="s">
        <v>203</v>
      </c>
      <c r="B571" s="23">
        <v>46.0</v>
      </c>
      <c r="C571" s="23">
        <v>47.0</v>
      </c>
      <c r="D571" s="93" t="str">
        <f t="shared" si="1"/>
        <v>46miniCapt</v>
      </c>
    </row>
    <row r="572" ht="22.5" customHeight="1">
      <c r="A572" s="23" t="s">
        <v>203</v>
      </c>
      <c r="B572" s="23">
        <v>47.0</v>
      </c>
      <c r="C572" s="23">
        <v>48.0</v>
      </c>
      <c r="D572" s="93" t="str">
        <f t="shared" si="1"/>
        <v>47miniCapt</v>
      </c>
    </row>
    <row r="573" ht="22.5" customHeight="1">
      <c r="A573" s="23" t="s">
        <v>203</v>
      </c>
      <c r="B573" s="23">
        <v>48.0</v>
      </c>
      <c r="C573" s="23">
        <v>49.0</v>
      </c>
      <c r="D573" s="93" t="str">
        <f t="shared" si="1"/>
        <v>48miniCapt</v>
      </c>
    </row>
    <row r="574" ht="22.5" customHeight="1">
      <c r="A574" s="23" t="s">
        <v>203</v>
      </c>
      <c r="B574" s="23">
        <v>49.0</v>
      </c>
      <c r="C574" s="23">
        <v>50.0</v>
      </c>
      <c r="D574" s="93" t="str">
        <f t="shared" si="1"/>
        <v>49miniCapt</v>
      </c>
    </row>
    <row r="575" ht="22.5" customHeight="1">
      <c r="A575" s="23" t="s">
        <v>203</v>
      </c>
      <c r="B575" s="23">
        <v>50.0</v>
      </c>
      <c r="C575" s="23">
        <v>51.0</v>
      </c>
      <c r="D575" s="93" t="str">
        <f t="shared" si="1"/>
        <v>50miniCapt</v>
      </c>
    </row>
    <row r="576" ht="22.5" customHeight="1">
      <c r="A576" s="23" t="s">
        <v>203</v>
      </c>
      <c r="B576" s="23">
        <v>51.0</v>
      </c>
      <c r="C576" s="23">
        <v>52.0</v>
      </c>
      <c r="D576" s="93" t="str">
        <f t="shared" si="1"/>
        <v>51miniCapt</v>
      </c>
    </row>
    <row r="577" ht="22.5" customHeight="1">
      <c r="A577" s="23" t="s">
        <v>203</v>
      </c>
      <c r="B577" s="23">
        <v>52.0</v>
      </c>
      <c r="C577" s="23">
        <v>53.0</v>
      </c>
      <c r="D577" s="93" t="str">
        <f t="shared" si="1"/>
        <v>52miniCapt</v>
      </c>
    </row>
    <row r="578" ht="22.5" customHeight="1">
      <c r="A578" s="23" t="s">
        <v>203</v>
      </c>
      <c r="B578" s="23">
        <v>53.0</v>
      </c>
      <c r="C578" s="23">
        <v>54.0</v>
      </c>
      <c r="D578" s="93" t="str">
        <f t="shared" si="1"/>
        <v>53miniCapt</v>
      </c>
    </row>
    <row r="579" ht="22.5" customHeight="1">
      <c r="A579" s="23" t="s">
        <v>203</v>
      </c>
      <c r="B579" s="23">
        <v>54.0</v>
      </c>
      <c r="C579" s="23">
        <v>55.0</v>
      </c>
      <c r="D579" s="93" t="str">
        <f t="shared" si="1"/>
        <v>54miniCapt</v>
      </c>
    </row>
    <row r="580" ht="22.5" customHeight="1">
      <c r="A580" s="23" t="s">
        <v>203</v>
      </c>
      <c r="B580" s="23">
        <v>55.0</v>
      </c>
      <c r="C580" s="23">
        <v>56.0</v>
      </c>
      <c r="D580" s="93" t="str">
        <f t="shared" si="1"/>
        <v>55miniCapt</v>
      </c>
    </row>
    <row r="581" ht="22.5" customHeight="1">
      <c r="A581" s="23" t="s">
        <v>203</v>
      </c>
      <c r="B581" s="23">
        <v>56.0</v>
      </c>
      <c r="C581" s="23">
        <v>57.0</v>
      </c>
      <c r="D581" s="93" t="str">
        <f t="shared" si="1"/>
        <v>56miniCapt</v>
      </c>
    </row>
    <row r="582" ht="22.5" customHeight="1">
      <c r="A582" s="23" t="s">
        <v>203</v>
      </c>
      <c r="B582" s="23">
        <v>57.0</v>
      </c>
      <c r="C582" s="23">
        <v>58.0</v>
      </c>
      <c r="D582" s="93" t="str">
        <f t="shared" si="1"/>
        <v>57miniCapt</v>
      </c>
    </row>
    <row r="583" ht="22.5" customHeight="1">
      <c r="A583" s="23" t="s">
        <v>203</v>
      </c>
      <c r="B583" s="23">
        <v>58.0</v>
      </c>
      <c r="C583" s="23">
        <v>59.0</v>
      </c>
      <c r="D583" s="93" t="str">
        <f t="shared" si="1"/>
        <v>58miniCapt</v>
      </c>
    </row>
    <row r="584" ht="22.5" customHeight="1">
      <c r="A584" s="23" t="s">
        <v>203</v>
      </c>
      <c r="B584" s="23">
        <v>59.0</v>
      </c>
      <c r="C584" s="23">
        <v>60.0</v>
      </c>
      <c r="D584" s="93" t="str">
        <f t="shared" si="1"/>
        <v>59miniCapt</v>
      </c>
    </row>
    <row r="585" ht="22.5" customHeight="1">
      <c r="A585" s="23" t="s">
        <v>203</v>
      </c>
      <c r="B585" s="23">
        <v>60.0</v>
      </c>
      <c r="C585" s="23">
        <v>61.0</v>
      </c>
      <c r="D585" s="93" t="str">
        <f t="shared" si="1"/>
        <v>60miniCapt</v>
      </c>
    </row>
    <row r="586" ht="22.5" customHeight="1">
      <c r="A586" s="23" t="s">
        <v>203</v>
      </c>
      <c r="B586" s="23">
        <v>61.0</v>
      </c>
      <c r="C586" s="23">
        <v>62.0</v>
      </c>
      <c r="D586" s="93" t="str">
        <f t="shared" si="1"/>
        <v>61miniCapt</v>
      </c>
    </row>
    <row r="587" ht="22.5" customHeight="1">
      <c r="A587" s="23" t="s">
        <v>203</v>
      </c>
      <c r="B587" s="23">
        <v>62.0</v>
      </c>
      <c r="C587" s="23">
        <v>63.0</v>
      </c>
      <c r="D587" s="93" t="str">
        <f t="shared" si="1"/>
        <v>62miniCapt</v>
      </c>
    </row>
    <row r="588" ht="22.5" customHeight="1">
      <c r="A588" s="23" t="s">
        <v>203</v>
      </c>
      <c r="B588" s="23">
        <v>63.0</v>
      </c>
      <c r="C588" s="23">
        <v>64.0</v>
      </c>
      <c r="D588" s="93" t="str">
        <f t="shared" si="1"/>
        <v>63miniCapt</v>
      </c>
    </row>
    <row r="589" ht="22.5" customHeight="1">
      <c r="A589" s="23" t="s">
        <v>203</v>
      </c>
      <c r="B589" s="23">
        <v>64.0</v>
      </c>
      <c r="C589" s="23">
        <v>65.0</v>
      </c>
      <c r="D589" s="93" t="str">
        <f t="shared" si="1"/>
        <v>64miniCapt</v>
      </c>
    </row>
    <row r="590" ht="22.5" customHeight="1">
      <c r="A590" s="23" t="s">
        <v>203</v>
      </c>
      <c r="B590" s="23">
        <v>65.0</v>
      </c>
      <c r="C590" s="23">
        <v>66.0</v>
      </c>
      <c r="D590" s="93" t="str">
        <f t="shared" si="1"/>
        <v>65miniCapt</v>
      </c>
    </row>
    <row r="591" ht="22.5" customHeight="1">
      <c r="A591" s="23" t="s">
        <v>203</v>
      </c>
      <c r="B591" s="23">
        <v>66.0</v>
      </c>
      <c r="C591" s="23">
        <v>67.0</v>
      </c>
      <c r="D591" s="93" t="str">
        <f t="shared" si="1"/>
        <v>66miniCapt</v>
      </c>
    </row>
    <row r="592" ht="22.5" customHeight="1">
      <c r="A592" s="23" t="s">
        <v>203</v>
      </c>
      <c r="B592" s="23">
        <v>67.0</v>
      </c>
      <c r="C592" s="23">
        <v>68.0</v>
      </c>
      <c r="D592" s="93" t="str">
        <f t="shared" si="1"/>
        <v>67miniCapt</v>
      </c>
    </row>
    <row r="593" ht="22.5" customHeight="1">
      <c r="A593" s="23" t="s">
        <v>203</v>
      </c>
      <c r="B593" s="23">
        <v>68.0</v>
      </c>
      <c r="C593" s="23">
        <v>69.0</v>
      </c>
      <c r="D593" s="93" t="str">
        <f t="shared" si="1"/>
        <v>68miniCapt</v>
      </c>
    </row>
    <row r="594" ht="22.5" customHeight="1">
      <c r="A594" s="23" t="s">
        <v>203</v>
      </c>
      <c r="B594" s="23">
        <v>69.0</v>
      </c>
      <c r="C594" s="23">
        <v>70.0</v>
      </c>
      <c r="D594" s="93" t="str">
        <f t="shared" si="1"/>
        <v>69miniCapt</v>
      </c>
    </row>
    <row r="595" ht="22.5" customHeight="1">
      <c r="A595" s="23" t="s">
        <v>203</v>
      </c>
      <c r="B595" s="23">
        <v>70.0</v>
      </c>
      <c r="C595" s="23">
        <v>72.0</v>
      </c>
      <c r="D595" s="93" t="str">
        <f t="shared" si="1"/>
        <v>70miniCapt</v>
      </c>
    </row>
    <row r="596" ht="22.5" customHeight="1">
      <c r="A596" s="23" t="s">
        <v>203</v>
      </c>
      <c r="B596" s="23">
        <v>71.0</v>
      </c>
      <c r="C596" s="23">
        <v>73.0</v>
      </c>
      <c r="D596" s="93" t="str">
        <f t="shared" si="1"/>
        <v>71miniCapt</v>
      </c>
    </row>
    <row r="597" ht="22.5" customHeight="1">
      <c r="A597" s="23" t="s">
        <v>203</v>
      </c>
      <c r="B597" s="23">
        <v>72.0</v>
      </c>
      <c r="C597" s="23">
        <v>74.0</v>
      </c>
      <c r="D597" s="93" t="str">
        <f t="shared" si="1"/>
        <v>72miniCapt</v>
      </c>
    </row>
    <row r="598" ht="22.5" customHeight="1">
      <c r="A598" s="23" t="s">
        <v>203</v>
      </c>
      <c r="B598" s="23">
        <v>73.0</v>
      </c>
      <c r="C598" s="23">
        <v>75.0</v>
      </c>
      <c r="D598" s="93" t="str">
        <f t="shared" si="1"/>
        <v>73miniCapt</v>
      </c>
    </row>
    <row r="599" ht="22.5" customHeight="1">
      <c r="A599" s="23" t="s">
        <v>203</v>
      </c>
      <c r="B599" s="23">
        <v>74.0</v>
      </c>
      <c r="C599" s="23">
        <v>76.0</v>
      </c>
      <c r="D599" s="93" t="str">
        <f t="shared" si="1"/>
        <v>74miniCapt</v>
      </c>
    </row>
    <row r="600" ht="22.5" customHeight="1">
      <c r="A600" s="23" t="s">
        <v>203</v>
      </c>
      <c r="B600" s="23">
        <v>75.0</v>
      </c>
      <c r="C600" s="23">
        <v>77.0</v>
      </c>
      <c r="D600" s="93" t="str">
        <f t="shared" si="1"/>
        <v>75miniCapt</v>
      </c>
    </row>
    <row r="601" ht="22.5" customHeight="1">
      <c r="A601" s="23" t="s">
        <v>203</v>
      </c>
      <c r="B601" s="23">
        <v>76.0</v>
      </c>
      <c r="C601" s="23">
        <v>78.0</v>
      </c>
      <c r="D601" s="93" t="str">
        <f t="shared" si="1"/>
        <v>76miniCapt</v>
      </c>
    </row>
    <row r="602" ht="22.5" customHeight="1">
      <c r="A602" s="23" t="s">
        <v>203</v>
      </c>
      <c r="B602" s="23">
        <v>77.0</v>
      </c>
      <c r="C602" s="23">
        <v>79.0</v>
      </c>
      <c r="D602" s="93" t="str">
        <f t="shared" si="1"/>
        <v>77miniCapt</v>
      </c>
    </row>
    <row r="603" ht="22.5" customHeight="1">
      <c r="A603" s="23" t="s">
        <v>203</v>
      </c>
      <c r="B603" s="23">
        <v>78.0</v>
      </c>
      <c r="C603" s="23">
        <v>80.0</v>
      </c>
      <c r="D603" s="93" t="str">
        <f t="shared" si="1"/>
        <v>78miniCapt</v>
      </c>
    </row>
    <row r="604" ht="22.5" customHeight="1">
      <c r="A604" s="23" t="s">
        <v>203</v>
      </c>
      <c r="B604" s="23">
        <v>79.0</v>
      </c>
      <c r="C604" s="23">
        <v>81.0</v>
      </c>
      <c r="D604" s="93" t="str">
        <f t="shared" si="1"/>
        <v>79miniCapt</v>
      </c>
    </row>
    <row r="605" ht="22.5" customHeight="1">
      <c r="A605" s="23" t="s">
        <v>203</v>
      </c>
      <c r="B605" s="23">
        <v>80.0</v>
      </c>
      <c r="C605" s="23">
        <v>82.0</v>
      </c>
      <c r="D605" s="93" t="str">
        <f t="shared" si="1"/>
        <v>80miniCapt</v>
      </c>
    </row>
    <row r="606" ht="22.5" customHeight="1">
      <c r="A606" s="23" t="s">
        <v>203</v>
      </c>
      <c r="B606" s="23">
        <v>81.0</v>
      </c>
      <c r="C606" s="23">
        <v>83.0</v>
      </c>
      <c r="D606" s="93" t="str">
        <f t="shared" si="1"/>
        <v>81miniCapt</v>
      </c>
    </row>
    <row r="607" ht="22.5" customHeight="1">
      <c r="A607" s="23" t="s">
        <v>203</v>
      </c>
      <c r="B607" s="23">
        <v>82.0</v>
      </c>
      <c r="C607" s="23">
        <v>84.0</v>
      </c>
      <c r="D607" s="93" t="str">
        <f t="shared" si="1"/>
        <v>82miniCapt</v>
      </c>
    </row>
    <row r="608" ht="22.5" customHeight="1">
      <c r="A608" s="23" t="s">
        <v>203</v>
      </c>
      <c r="B608" s="23">
        <v>83.0</v>
      </c>
      <c r="C608" s="23">
        <v>85.0</v>
      </c>
      <c r="D608" s="93" t="str">
        <f t="shared" si="1"/>
        <v>83miniCapt</v>
      </c>
    </row>
    <row r="609" ht="22.5" customHeight="1">
      <c r="A609" s="23" t="s">
        <v>203</v>
      </c>
      <c r="B609" s="23">
        <v>84.0</v>
      </c>
      <c r="C609" s="23">
        <v>86.0</v>
      </c>
      <c r="D609" s="93" t="str">
        <f t="shared" si="1"/>
        <v>84miniCapt</v>
      </c>
    </row>
    <row r="610" ht="22.5" customHeight="1">
      <c r="A610" s="23" t="s">
        <v>203</v>
      </c>
      <c r="B610" s="23">
        <v>85.0</v>
      </c>
      <c r="C610" s="23">
        <v>87.0</v>
      </c>
      <c r="D610" s="93" t="str">
        <f t="shared" si="1"/>
        <v>85miniCapt</v>
      </c>
    </row>
    <row r="611" ht="22.5" customHeight="1">
      <c r="A611" s="23" t="s">
        <v>203</v>
      </c>
      <c r="B611" s="23">
        <v>86.0</v>
      </c>
      <c r="C611" s="23">
        <v>88.0</v>
      </c>
      <c r="D611" s="93" t="str">
        <f t="shared" si="1"/>
        <v>86miniCapt</v>
      </c>
    </row>
    <row r="612" ht="22.5" customHeight="1">
      <c r="A612" s="23" t="s">
        <v>203</v>
      </c>
      <c r="B612" s="23">
        <v>87.0</v>
      </c>
      <c r="C612" s="23">
        <v>89.0</v>
      </c>
      <c r="D612" s="93" t="str">
        <f t="shared" si="1"/>
        <v>87miniCapt</v>
      </c>
    </row>
    <row r="613" ht="22.5" customHeight="1">
      <c r="A613" s="23" t="s">
        <v>203</v>
      </c>
      <c r="B613" s="23">
        <v>88.0</v>
      </c>
      <c r="C613" s="23">
        <v>90.0</v>
      </c>
      <c r="D613" s="93" t="str">
        <f t="shared" si="1"/>
        <v>88miniCapt</v>
      </c>
    </row>
    <row r="614" ht="22.5" customHeight="1">
      <c r="A614" s="23" t="s">
        <v>203</v>
      </c>
      <c r="B614" s="23">
        <v>89.0</v>
      </c>
      <c r="C614" s="23">
        <v>91.0</v>
      </c>
      <c r="D614" s="93" t="str">
        <f t="shared" si="1"/>
        <v>89miniCapt</v>
      </c>
    </row>
    <row r="615" ht="22.5" customHeight="1">
      <c r="A615" s="23" t="s">
        <v>203</v>
      </c>
      <c r="B615" s="23">
        <v>90.0</v>
      </c>
      <c r="C615" s="23">
        <v>93.0</v>
      </c>
      <c r="D615" s="93" t="str">
        <f t="shared" si="1"/>
        <v>90miniCapt</v>
      </c>
    </row>
    <row r="616" ht="22.5" customHeight="1">
      <c r="A616" s="23" t="s">
        <v>203</v>
      </c>
      <c r="B616" s="23">
        <v>91.0</v>
      </c>
      <c r="C616" s="23">
        <v>94.0</v>
      </c>
      <c r="D616" s="93" t="str">
        <f t="shared" si="1"/>
        <v>91miniCapt</v>
      </c>
    </row>
    <row r="617" ht="22.5" customHeight="1">
      <c r="A617" s="23" t="s">
        <v>203</v>
      </c>
      <c r="B617" s="23">
        <v>92.0</v>
      </c>
      <c r="C617" s="23">
        <v>95.0</v>
      </c>
      <c r="D617" s="93" t="str">
        <f t="shared" si="1"/>
        <v>92miniCapt</v>
      </c>
    </row>
    <row r="618" ht="22.5" customHeight="1">
      <c r="A618" s="23" t="s">
        <v>203</v>
      </c>
      <c r="B618" s="23">
        <v>93.0</v>
      </c>
      <c r="C618" s="23">
        <v>96.0</v>
      </c>
      <c r="D618" s="93" t="str">
        <f t="shared" si="1"/>
        <v>93miniCapt</v>
      </c>
    </row>
    <row r="619" ht="22.5" customHeight="1">
      <c r="A619" s="23" t="s">
        <v>203</v>
      </c>
      <c r="B619" s="23">
        <v>94.0</v>
      </c>
      <c r="C619" s="23">
        <v>97.0</v>
      </c>
      <c r="D619" s="93" t="str">
        <f t="shared" si="1"/>
        <v>94miniCapt</v>
      </c>
    </row>
    <row r="620" ht="22.5" customHeight="1">
      <c r="A620" s="23" t="s">
        <v>203</v>
      </c>
      <c r="B620" s="23">
        <v>95.0</v>
      </c>
      <c r="C620" s="23">
        <v>98.0</v>
      </c>
      <c r="D620" s="93" t="str">
        <f t="shared" si="1"/>
        <v>95miniCapt</v>
      </c>
    </row>
    <row r="621" ht="22.5" customHeight="1">
      <c r="A621" s="23" t="s">
        <v>203</v>
      </c>
      <c r="B621" s="23">
        <v>96.0</v>
      </c>
      <c r="C621" s="23">
        <v>99.0</v>
      </c>
      <c r="D621" s="93" t="str">
        <f t="shared" si="1"/>
        <v>96miniCapt</v>
      </c>
    </row>
    <row r="622" ht="22.5" customHeight="1">
      <c r="A622" s="23" t="s">
        <v>203</v>
      </c>
      <c r="B622" s="23">
        <v>97.0</v>
      </c>
      <c r="C622" s="23">
        <v>100.0</v>
      </c>
      <c r="D622" s="93" t="str">
        <f t="shared" si="1"/>
        <v>97miniCapt</v>
      </c>
    </row>
    <row r="623" ht="22.5" customHeight="1">
      <c r="A623" s="23" t="s">
        <v>203</v>
      </c>
      <c r="B623" s="23">
        <v>98.0</v>
      </c>
      <c r="C623" s="23">
        <v>102.0</v>
      </c>
      <c r="D623" s="93" t="str">
        <f t="shared" si="1"/>
        <v>98miniCapt</v>
      </c>
    </row>
    <row r="624" ht="22.5" customHeight="1">
      <c r="A624" s="23" t="s">
        <v>203</v>
      </c>
      <c r="B624" s="23">
        <v>99.0</v>
      </c>
      <c r="C624" s="23">
        <v>103.0</v>
      </c>
      <c r="D624" s="93" t="str">
        <f t="shared" si="1"/>
        <v>99miniCapt</v>
      </c>
    </row>
    <row r="625" ht="22.5" customHeight="1">
      <c r="A625" s="23" t="s">
        <v>203</v>
      </c>
      <c r="B625" s="23">
        <v>100.0</v>
      </c>
      <c r="C625" s="23">
        <v>104.0</v>
      </c>
      <c r="D625" s="93" t="str">
        <f t="shared" si="1"/>
        <v>100miniCapt</v>
      </c>
    </row>
    <row r="626" ht="22.5" customHeight="1">
      <c r="A626" s="23" t="s">
        <v>203</v>
      </c>
      <c r="B626" s="23">
        <v>101.0</v>
      </c>
      <c r="C626" s="23">
        <v>105.0</v>
      </c>
      <c r="D626" s="93" t="str">
        <f t="shared" si="1"/>
        <v>101miniCapt</v>
      </c>
    </row>
    <row r="627" ht="22.5" customHeight="1">
      <c r="A627" s="23" t="s">
        <v>203</v>
      </c>
      <c r="B627" s="23">
        <v>102.0</v>
      </c>
      <c r="C627" s="23">
        <v>106.0</v>
      </c>
      <c r="D627" s="93" t="str">
        <f t="shared" si="1"/>
        <v>102miniCapt</v>
      </c>
    </row>
    <row r="628" ht="22.5" customHeight="1">
      <c r="A628" s="23" t="s">
        <v>203</v>
      </c>
      <c r="B628" s="23">
        <v>103.0</v>
      </c>
      <c r="C628" s="23">
        <v>107.0</v>
      </c>
      <c r="D628" s="93" t="str">
        <f t="shared" si="1"/>
        <v>103miniCapt</v>
      </c>
    </row>
    <row r="629" ht="22.5" customHeight="1">
      <c r="A629" s="23" t="s">
        <v>203</v>
      </c>
      <c r="B629" s="23">
        <v>104.0</v>
      </c>
      <c r="C629" s="23">
        <v>108.0</v>
      </c>
      <c r="D629" s="93" t="str">
        <f t="shared" si="1"/>
        <v>104miniCapt</v>
      </c>
    </row>
    <row r="630" ht="22.5" customHeight="1">
      <c r="A630" s="23" t="s">
        <v>203</v>
      </c>
      <c r="B630" s="23">
        <v>105.0</v>
      </c>
      <c r="C630" s="23">
        <v>109.0</v>
      </c>
      <c r="D630" s="93" t="str">
        <f t="shared" si="1"/>
        <v>105miniCapt</v>
      </c>
    </row>
    <row r="631" ht="22.5" customHeight="1">
      <c r="A631" s="23" t="s">
        <v>203</v>
      </c>
      <c r="B631" s="23">
        <v>106.0</v>
      </c>
      <c r="C631" s="23">
        <v>110.0</v>
      </c>
      <c r="D631" s="93" t="str">
        <f t="shared" si="1"/>
        <v>106miniCapt</v>
      </c>
    </row>
    <row r="632" ht="22.5" customHeight="1">
      <c r="A632" s="23" t="s">
        <v>203</v>
      </c>
      <c r="B632" s="23">
        <v>107.0</v>
      </c>
      <c r="C632" s="23">
        <v>111.0</v>
      </c>
      <c r="D632" s="93" t="str">
        <f t="shared" si="1"/>
        <v>107miniCapt</v>
      </c>
    </row>
    <row r="633" ht="22.5" customHeight="1">
      <c r="A633" s="23" t="s">
        <v>203</v>
      </c>
      <c r="B633" s="23">
        <v>108.0</v>
      </c>
      <c r="C633" s="23">
        <v>112.0</v>
      </c>
      <c r="D633" s="93" t="str">
        <f t="shared" si="1"/>
        <v>108miniCapt</v>
      </c>
    </row>
    <row r="634" ht="22.5" customHeight="1">
      <c r="A634" s="23" t="s">
        <v>203</v>
      </c>
      <c r="B634" s="23">
        <v>109.0</v>
      </c>
      <c r="C634" s="23">
        <v>113.0</v>
      </c>
      <c r="D634" s="93" t="str">
        <f t="shared" si="1"/>
        <v>109miniCapt</v>
      </c>
    </row>
    <row r="635" ht="22.5" customHeight="1">
      <c r="A635" s="23" t="s">
        <v>203</v>
      </c>
      <c r="B635" s="23">
        <v>110.0</v>
      </c>
      <c r="C635" s="23">
        <v>114.0</v>
      </c>
      <c r="D635" s="93" t="str">
        <f t="shared" si="1"/>
        <v>110miniCapt</v>
      </c>
    </row>
    <row r="636" ht="22.5" customHeight="1">
      <c r="A636" s="23" t="s">
        <v>203</v>
      </c>
      <c r="B636" s="23">
        <v>111.0</v>
      </c>
      <c r="C636" s="23">
        <v>115.0</v>
      </c>
      <c r="D636" s="93" t="str">
        <f t="shared" si="1"/>
        <v>111miniCapt</v>
      </c>
    </row>
    <row r="637" ht="22.5" customHeight="1">
      <c r="A637" s="23" t="s">
        <v>203</v>
      </c>
      <c r="B637" s="23">
        <v>112.0</v>
      </c>
      <c r="C637" s="23">
        <v>116.0</v>
      </c>
      <c r="D637" s="93" t="str">
        <f t="shared" si="1"/>
        <v>112miniCapt</v>
      </c>
    </row>
    <row r="638" ht="22.5" customHeight="1">
      <c r="A638" s="23" t="s">
        <v>203</v>
      </c>
      <c r="B638" s="23">
        <v>113.0</v>
      </c>
      <c r="C638" s="23">
        <v>117.0</v>
      </c>
      <c r="D638" s="93" t="str">
        <f t="shared" si="1"/>
        <v>113miniCapt</v>
      </c>
    </row>
    <row r="639" ht="22.5" customHeight="1">
      <c r="A639" s="23" t="s">
        <v>203</v>
      </c>
      <c r="B639" s="23">
        <v>114.0</v>
      </c>
      <c r="C639" s="23">
        <v>118.0</v>
      </c>
      <c r="D639" s="93" t="str">
        <f t="shared" si="1"/>
        <v>114miniCapt</v>
      </c>
    </row>
    <row r="640" ht="22.5" customHeight="1">
      <c r="A640" s="23" t="s">
        <v>203</v>
      </c>
      <c r="B640" s="23">
        <v>115.0</v>
      </c>
      <c r="C640" s="23">
        <v>119.0</v>
      </c>
      <c r="D640" s="93" t="str">
        <f t="shared" si="1"/>
        <v>115miniCapt</v>
      </c>
    </row>
    <row r="641" ht="22.5" customHeight="1">
      <c r="A641" s="23" t="s">
        <v>203</v>
      </c>
      <c r="B641" s="23">
        <v>116.0</v>
      </c>
      <c r="C641" s="23">
        <v>120.0</v>
      </c>
      <c r="D641" s="93" t="str">
        <f t="shared" si="1"/>
        <v>116miniCapt</v>
      </c>
    </row>
    <row r="642" ht="22.5" customHeight="1">
      <c r="A642" s="23" t="s">
        <v>203</v>
      </c>
      <c r="B642" s="23">
        <v>117.0</v>
      </c>
      <c r="C642" s="23">
        <v>121.0</v>
      </c>
      <c r="D642" s="93" t="str">
        <f t="shared" si="1"/>
        <v>117miniCapt</v>
      </c>
    </row>
    <row r="643" ht="22.5" customHeight="1">
      <c r="A643" s="23" t="s">
        <v>203</v>
      </c>
      <c r="B643" s="23">
        <v>118.0</v>
      </c>
      <c r="C643" s="23">
        <v>122.0</v>
      </c>
      <c r="D643" s="93" t="str">
        <f t="shared" si="1"/>
        <v>118miniCapt</v>
      </c>
    </row>
    <row r="644" ht="22.5" customHeight="1">
      <c r="A644" s="23" t="s">
        <v>203</v>
      </c>
      <c r="B644" s="23">
        <v>119.0</v>
      </c>
      <c r="C644" s="23">
        <v>123.0</v>
      </c>
      <c r="D644" s="93" t="str">
        <f t="shared" si="1"/>
        <v>119miniCapt</v>
      </c>
    </row>
    <row r="645" ht="22.5" customHeight="1">
      <c r="A645" s="23" t="s">
        <v>203</v>
      </c>
      <c r="B645" s="23">
        <v>120.0</v>
      </c>
      <c r="C645" s="23">
        <v>125.0</v>
      </c>
      <c r="D645" s="93" t="str">
        <f t="shared" si="1"/>
        <v>120miniCapt</v>
      </c>
    </row>
    <row r="646" ht="22.5" customHeight="1">
      <c r="A646" s="23" t="s">
        <v>203</v>
      </c>
      <c r="B646" s="23">
        <v>121.0</v>
      </c>
      <c r="C646" s="23">
        <v>126.0</v>
      </c>
      <c r="D646" s="93" t="str">
        <f t="shared" si="1"/>
        <v>121miniCapt</v>
      </c>
    </row>
    <row r="647" ht="22.5" customHeight="1">
      <c r="A647" s="23" t="s">
        <v>203</v>
      </c>
      <c r="B647" s="23">
        <v>122.0</v>
      </c>
      <c r="C647" s="23">
        <v>127.0</v>
      </c>
      <c r="D647" s="93" t="str">
        <f t="shared" si="1"/>
        <v>122miniCapt</v>
      </c>
    </row>
    <row r="648" ht="22.5" customHeight="1">
      <c r="A648" s="23" t="s">
        <v>203</v>
      </c>
      <c r="B648" s="23">
        <v>123.0</v>
      </c>
      <c r="C648" s="23">
        <v>128.0</v>
      </c>
      <c r="D648" s="93" t="str">
        <f t="shared" si="1"/>
        <v>123miniCapt</v>
      </c>
    </row>
    <row r="649" ht="22.5" customHeight="1">
      <c r="A649" s="23" t="s">
        <v>203</v>
      </c>
      <c r="B649" s="23">
        <v>124.0</v>
      </c>
      <c r="C649" s="23">
        <v>129.0</v>
      </c>
      <c r="D649" s="93" t="str">
        <f t="shared" si="1"/>
        <v>124miniCapt</v>
      </c>
    </row>
    <row r="650" ht="22.5" customHeight="1">
      <c r="A650" s="23" t="s">
        <v>203</v>
      </c>
      <c r="B650" s="23">
        <v>125.0</v>
      </c>
      <c r="C650" s="23">
        <v>131.0</v>
      </c>
      <c r="D650" s="93" t="str">
        <f t="shared" si="1"/>
        <v>125miniCapt</v>
      </c>
    </row>
    <row r="651" ht="22.5" customHeight="1">
      <c r="A651" s="23" t="s">
        <v>203</v>
      </c>
      <c r="B651" s="23">
        <v>126.0</v>
      </c>
      <c r="C651" s="23">
        <v>132.0</v>
      </c>
      <c r="D651" s="93" t="str">
        <f t="shared" si="1"/>
        <v>126miniCapt</v>
      </c>
    </row>
    <row r="652" ht="22.5" customHeight="1">
      <c r="A652" s="23" t="s">
        <v>203</v>
      </c>
      <c r="B652" s="23">
        <v>127.0</v>
      </c>
      <c r="C652" s="23">
        <v>133.0</v>
      </c>
      <c r="D652" s="93" t="str">
        <f t="shared" si="1"/>
        <v>127miniCapt</v>
      </c>
    </row>
    <row r="653" ht="22.5" customHeight="1">
      <c r="A653" s="23" t="s">
        <v>203</v>
      </c>
      <c r="B653" s="23">
        <v>128.0</v>
      </c>
      <c r="C653" s="23">
        <v>134.0</v>
      </c>
      <c r="D653" s="93" t="str">
        <f t="shared" si="1"/>
        <v>128miniCapt</v>
      </c>
    </row>
    <row r="654" ht="22.5" customHeight="1">
      <c r="A654" s="23" t="s">
        <v>203</v>
      </c>
      <c r="B654" s="23">
        <v>129.0</v>
      </c>
      <c r="C654" s="23">
        <v>135.0</v>
      </c>
      <c r="D654" s="93" t="str">
        <f t="shared" si="1"/>
        <v>129miniCapt</v>
      </c>
    </row>
    <row r="655" ht="22.5" customHeight="1">
      <c r="A655" s="23" t="s">
        <v>203</v>
      </c>
      <c r="B655" s="23">
        <v>130.0</v>
      </c>
      <c r="C655" s="23">
        <v>136.0</v>
      </c>
      <c r="D655" s="93" t="str">
        <f t="shared" si="1"/>
        <v>130miniCapt</v>
      </c>
    </row>
    <row r="656" ht="22.5" customHeight="1">
      <c r="A656" s="23" t="s">
        <v>203</v>
      </c>
      <c r="B656" s="23">
        <v>131.0</v>
      </c>
      <c r="C656" s="23">
        <v>137.0</v>
      </c>
      <c r="D656" s="93" t="str">
        <f t="shared" si="1"/>
        <v>131miniCapt</v>
      </c>
    </row>
    <row r="657" ht="22.5" customHeight="1">
      <c r="A657" s="23" t="s">
        <v>203</v>
      </c>
      <c r="B657" s="23">
        <v>132.0</v>
      </c>
      <c r="C657" s="23">
        <v>138.0</v>
      </c>
      <c r="D657" s="93" t="str">
        <f t="shared" si="1"/>
        <v>132miniCapt</v>
      </c>
    </row>
    <row r="658" ht="22.5" customHeight="1">
      <c r="A658" s="23" t="s">
        <v>203</v>
      </c>
      <c r="B658" s="23">
        <v>133.0</v>
      </c>
      <c r="C658" s="23">
        <v>139.0</v>
      </c>
      <c r="D658" s="93" t="str">
        <f t="shared" si="1"/>
        <v>133miniCapt</v>
      </c>
    </row>
    <row r="659" ht="22.5" customHeight="1">
      <c r="A659" s="23" t="s">
        <v>203</v>
      </c>
      <c r="B659" s="23">
        <v>134.0</v>
      </c>
      <c r="C659" s="23">
        <v>140.0</v>
      </c>
      <c r="D659" s="93" t="str">
        <f t="shared" si="1"/>
        <v>134miniCapt</v>
      </c>
    </row>
    <row r="660" ht="22.5" customHeight="1">
      <c r="A660" s="23" t="s">
        <v>203</v>
      </c>
      <c r="B660" s="23">
        <v>135.0</v>
      </c>
      <c r="C660" s="23">
        <v>141.0</v>
      </c>
      <c r="D660" s="93" t="str">
        <f t="shared" si="1"/>
        <v>135miniCapt</v>
      </c>
    </row>
    <row r="661" ht="22.5" customHeight="1">
      <c r="A661" s="23" t="s">
        <v>203</v>
      </c>
      <c r="B661" s="23">
        <v>136.0</v>
      </c>
      <c r="C661" s="23">
        <v>142.0</v>
      </c>
      <c r="D661" s="93" t="str">
        <f t="shared" si="1"/>
        <v>136miniCapt</v>
      </c>
    </row>
    <row r="662" ht="22.5" customHeight="1">
      <c r="A662" s="23" t="s">
        <v>203</v>
      </c>
      <c r="B662" s="23">
        <v>137.0</v>
      </c>
      <c r="C662" s="23">
        <v>143.0</v>
      </c>
      <c r="D662" s="93" t="str">
        <f t="shared" si="1"/>
        <v>137miniCapt</v>
      </c>
    </row>
    <row r="663" ht="22.5" customHeight="1">
      <c r="A663" s="23" t="s">
        <v>203</v>
      </c>
      <c r="B663" s="23">
        <v>138.0</v>
      </c>
      <c r="C663" s="23">
        <v>144.0</v>
      </c>
      <c r="D663" s="93" t="str">
        <f t="shared" si="1"/>
        <v>138miniCapt</v>
      </c>
    </row>
    <row r="664" ht="22.5" customHeight="1">
      <c r="A664" s="23" t="s">
        <v>203</v>
      </c>
      <c r="B664" s="23">
        <v>139.0</v>
      </c>
      <c r="C664" s="23">
        <v>145.0</v>
      </c>
      <c r="D664" s="93" t="str">
        <f t="shared" si="1"/>
        <v>139miniCapt</v>
      </c>
    </row>
    <row r="665" ht="22.5" customHeight="1">
      <c r="A665" s="23" t="s">
        <v>203</v>
      </c>
      <c r="B665" s="23">
        <v>140.0</v>
      </c>
      <c r="C665" s="23">
        <v>146.0</v>
      </c>
      <c r="D665" s="93" t="str">
        <f t="shared" si="1"/>
        <v>140miniCapt</v>
      </c>
    </row>
    <row r="666" ht="22.5" customHeight="1">
      <c r="A666" s="23" t="s">
        <v>203</v>
      </c>
      <c r="B666" s="23">
        <v>141.0</v>
      </c>
      <c r="C666" s="23">
        <v>147.0</v>
      </c>
      <c r="D666" s="93" t="str">
        <f t="shared" si="1"/>
        <v>141miniCapt</v>
      </c>
    </row>
    <row r="667" ht="22.5" customHeight="1">
      <c r="A667" s="23" t="s">
        <v>203</v>
      </c>
      <c r="B667" s="23">
        <v>142.0</v>
      </c>
      <c r="C667" s="23">
        <v>148.0</v>
      </c>
      <c r="D667" s="93" t="str">
        <f t="shared" si="1"/>
        <v>142miniCapt</v>
      </c>
    </row>
    <row r="668" ht="22.5" customHeight="1">
      <c r="A668" s="23" t="s">
        <v>203</v>
      </c>
      <c r="B668" s="23">
        <v>143.0</v>
      </c>
      <c r="C668" s="23">
        <v>150.0</v>
      </c>
      <c r="D668" s="93" t="str">
        <f t="shared" si="1"/>
        <v>143miniCapt</v>
      </c>
    </row>
    <row r="669" ht="22.5" customHeight="1">
      <c r="A669" s="23" t="s">
        <v>203</v>
      </c>
      <c r="B669" s="23">
        <v>144.0</v>
      </c>
      <c r="C669" s="23">
        <v>151.0</v>
      </c>
      <c r="D669" s="93" t="str">
        <f t="shared" si="1"/>
        <v>144miniCapt</v>
      </c>
    </row>
    <row r="670" ht="22.5" customHeight="1">
      <c r="A670" s="23" t="s">
        <v>203</v>
      </c>
      <c r="B670" s="23">
        <v>145.0</v>
      </c>
      <c r="C670" s="23">
        <v>152.0</v>
      </c>
      <c r="D670" s="93" t="str">
        <f t="shared" si="1"/>
        <v>145miniCapt</v>
      </c>
    </row>
    <row r="671" ht="22.5" customHeight="1">
      <c r="A671" s="23" t="s">
        <v>203</v>
      </c>
      <c r="B671" s="23">
        <v>146.0</v>
      </c>
      <c r="C671" s="23">
        <v>153.0</v>
      </c>
      <c r="D671" s="93" t="str">
        <f t="shared" si="1"/>
        <v>146miniCapt</v>
      </c>
    </row>
    <row r="672" ht="22.5" customHeight="1">
      <c r="A672" s="23" t="s">
        <v>203</v>
      </c>
      <c r="B672" s="23">
        <v>147.0</v>
      </c>
      <c r="C672" s="23">
        <v>154.0</v>
      </c>
      <c r="D672" s="93" t="str">
        <f t="shared" si="1"/>
        <v>147miniCapt</v>
      </c>
    </row>
    <row r="673" ht="22.5" customHeight="1">
      <c r="A673" s="23" t="s">
        <v>203</v>
      </c>
      <c r="B673" s="23">
        <v>148.0</v>
      </c>
      <c r="C673" s="23">
        <v>155.0</v>
      </c>
      <c r="D673" s="93" t="str">
        <f t="shared" si="1"/>
        <v>148miniCapt</v>
      </c>
    </row>
    <row r="674" ht="22.5" customHeight="1">
      <c r="A674" s="23" t="s">
        <v>203</v>
      </c>
      <c r="B674" s="23">
        <v>149.0</v>
      </c>
      <c r="C674" s="23">
        <v>156.0</v>
      </c>
      <c r="D674" s="93" t="str">
        <f t="shared" si="1"/>
        <v>149miniCapt</v>
      </c>
    </row>
    <row r="675" ht="22.5" customHeight="1">
      <c r="A675" s="23" t="s">
        <v>203</v>
      </c>
      <c r="B675" s="23">
        <v>150.0</v>
      </c>
      <c r="C675" s="23">
        <v>157.0</v>
      </c>
      <c r="D675" s="93" t="str">
        <f t="shared" si="1"/>
        <v>150miniCapt</v>
      </c>
    </row>
    <row r="676" ht="22.5" customHeight="1">
      <c r="A676" s="23" t="s">
        <v>203</v>
      </c>
      <c r="B676" s="23">
        <v>151.0</v>
      </c>
      <c r="C676" s="23">
        <v>158.0</v>
      </c>
      <c r="D676" s="93" t="str">
        <f t="shared" si="1"/>
        <v>151miniCapt</v>
      </c>
    </row>
    <row r="677" ht="22.5" customHeight="1">
      <c r="A677" s="23" t="s">
        <v>203</v>
      </c>
      <c r="B677" s="23">
        <v>152.0</v>
      </c>
      <c r="C677" s="23">
        <v>161.0</v>
      </c>
      <c r="D677" s="93" t="str">
        <f t="shared" si="1"/>
        <v>152miniCapt</v>
      </c>
    </row>
    <row r="678" ht="22.5" customHeight="1">
      <c r="A678" s="23" t="s">
        <v>203</v>
      </c>
      <c r="B678" s="23">
        <v>153.0</v>
      </c>
      <c r="C678" s="23">
        <v>162.0</v>
      </c>
      <c r="D678" s="93" t="str">
        <f t="shared" si="1"/>
        <v>153miniCapt</v>
      </c>
    </row>
    <row r="679" ht="22.5" customHeight="1">
      <c r="A679" s="23" t="s">
        <v>203</v>
      </c>
      <c r="B679" s="23">
        <v>154.0</v>
      </c>
      <c r="C679" s="23">
        <v>163.0</v>
      </c>
      <c r="D679" s="93" t="str">
        <f t="shared" si="1"/>
        <v>154miniCapt</v>
      </c>
    </row>
    <row r="680" ht="22.5" customHeight="1">
      <c r="A680" s="23" t="s">
        <v>203</v>
      </c>
      <c r="B680" s="23">
        <v>155.0</v>
      </c>
      <c r="C680" s="23">
        <v>164.0</v>
      </c>
      <c r="D680" s="93" t="str">
        <f t="shared" si="1"/>
        <v>155miniCapt</v>
      </c>
    </row>
    <row r="681" ht="22.5" customHeight="1">
      <c r="A681" s="23" t="s">
        <v>203</v>
      </c>
      <c r="B681" s="23">
        <v>156.0</v>
      </c>
      <c r="C681" s="23">
        <v>165.0</v>
      </c>
      <c r="D681" s="93" t="str">
        <f t="shared" si="1"/>
        <v>156miniCapt</v>
      </c>
    </row>
    <row r="682" ht="22.5" customHeight="1">
      <c r="A682" s="23" t="s">
        <v>203</v>
      </c>
      <c r="B682" s="23">
        <v>157.0</v>
      </c>
      <c r="C682" s="23">
        <v>166.0</v>
      </c>
      <c r="D682" s="93" t="str">
        <f t="shared" si="1"/>
        <v>157miniCapt</v>
      </c>
    </row>
    <row r="683" ht="22.5" customHeight="1">
      <c r="A683" s="23" t="s">
        <v>203</v>
      </c>
      <c r="B683" s="23">
        <v>158.0</v>
      </c>
      <c r="C683" s="23">
        <v>167.0</v>
      </c>
      <c r="D683" s="93" t="str">
        <f t="shared" si="1"/>
        <v>158miniCapt</v>
      </c>
    </row>
    <row r="684" ht="22.5" customHeight="1">
      <c r="A684" s="23" t="s">
        <v>203</v>
      </c>
      <c r="B684" s="23">
        <v>159.0</v>
      </c>
      <c r="C684" s="23">
        <v>168.0</v>
      </c>
      <c r="D684" s="93" t="str">
        <f t="shared" si="1"/>
        <v>159miniCapt</v>
      </c>
    </row>
    <row r="685" ht="22.5" customHeight="1">
      <c r="A685" s="23" t="s">
        <v>203</v>
      </c>
      <c r="B685" s="23">
        <v>160.0</v>
      </c>
      <c r="C685" s="23">
        <v>169.0</v>
      </c>
      <c r="D685" s="93" t="str">
        <f t="shared" si="1"/>
        <v>160miniCapt</v>
      </c>
    </row>
    <row r="686" ht="22.5" customHeight="1">
      <c r="A686" s="23" t="s">
        <v>203</v>
      </c>
      <c r="B686" s="23">
        <v>161.0</v>
      </c>
      <c r="C686" s="23">
        <v>170.0</v>
      </c>
      <c r="D686" s="93" t="str">
        <f t="shared" si="1"/>
        <v>161miniCapt</v>
      </c>
    </row>
    <row r="687" ht="22.5" customHeight="1">
      <c r="A687" s="23" t="s">
        <v>203</v>
      </c>
      <c r="B687" s="23">
        <v>162.0</v>
      </c>
      <c r="C687" s="23">
        <v>172.0</v>
      </c>
      <c r="D687" s="93" t="str">
        <f t="shared" si="1"/>
        <v>162miniCapt</v>
      </c>
    </row>
    <row r="688" ht="22.5" customHeight="1">
      <c r="A688" s="23" t="s">
        <v>203</v>
      </c>
      <c r="B688" s="23">
        <v>163.0</v>
      </c>
      <c r="C688" s="23">
        <v>173.0</v>
      </c>
      <c r="D688" s="93" t="str">
        <f t="shared" si="1"/>
        <v>163miniCapt</v>
      </c>
    </row>
    <row r="689" ht="22.5" customHeight="1">
      <c r="A689" s="23" t="s">
        <v>203</v>
      </c>
      <c r="B689" s="23">
        <v>164.0</v>
      </c>
      <c r="C689" s="23">
        <v>174.0</v>
      </c>
      <c r="D689" s="93" t="str">
        <f t="shared" si="1"/>
        <v>164miniCapt</v>
      </c>
    </row>
    <row r="690" ht="22.5" customHeight="1">
      <c r="A690" s="23" t="s">
        <v>203</v>
      </c>
      <c r="B690" s="23">
        <v>165.0</v>
      </c>
      <c r="C690" s="23">
        <v>175.0</v>
      </c>
      <c r="D690" s="93" t="str">
        <f t="shared" si="1"/>
        <v>165miniCapt</v>
      </c>
    </row>
    <row r="691" ht="22.5" customHeight="1">
      <c r="A691" s="23" t="s">
        <v>203</v>
      </c>
      <c r="B691" s="23">
        <v>166.0</v>
      </c>
      <c r="C691" s="23">
        <v>176.0</v>
      </c>
      <c r="D691" s="93" t="str">
        <f t="shared" si="1"/>
        <v>166miniCapt</v>
      </c>
    </row>
    <row r="692" ht="22.5" customHeight="1">
      <c r="A692" s="23" t="s">
        <v>203</v>
      </c>
      <c r="B692" s="23">
        <v>167.0</v>
      </c>
      <c r="C692" s="23">
        <v>177.0</v>
      </c>
      <c r="D692" s="93" t="str">
        <f t="shared" si="1"/>
        <v>167miniCapt</v>
      </c>
    </row>
    <row r="693" ht="22.5" customHeight="1">
      <c r="A693" s="23" t="s">
        <v>203</v>
      </c>
      <c r="B693" s="23">
        <v>168.0</v>
      </c>
      <c r="C693" s="23">
        <v>178.0</v>
      </c>
      <c r="D693" s="93" t="str">
        <f t="shared" si="1"/>
        <v>168miniCapt</v>
      </c>
    </row>
    <row r="694" ht="22.5" customHeight="1">
      <c r="A694" s="23" t="s">
        <v>203</v>
      </c>
      <c r="B694" s="23">
        <v>169.0</v>
      </c>
      <c r="C694" s="23">
        <v>179.0</v>
      </c>
      <c r="D694" s="93" t="str">
        <f t="shared" si="1"/>
        <v>169miniCapt</v>
      </c>
    </row>
    <row r="695" ht="22.5" customHeight="1">
      <c r="A695" s="23" t="s">
        <v>203</v>
      </c>
      <c r="B695" s="23">
        <v>170.0</v>
      </c>
      <c r="C695" s="23">
        <v>180.0</v>
      </c>
      <c r="D695" s="93" t="str">
        <f t="shared" si="1"/>
        <v>170miniCapt</v>
      </c>
    </row>
    <row r="696" ht="22.5" customHeight="1">
      <c r="A696" s="23" t="s">
        <v>203</v>
      </c>
      <c r="B696" s="23">
        <v>171.0</v>
      </c>
      <c r="C696" s="23">
        <v>182.0</v>
      </c>
      <c r="D696" s="93" t="str">
        <f t="shared" si="1"/>
        <v>171miniCapt</v>
      </c>
    </row>
    <row r="697" ht="22.5" customHeight="1">
      <c r="A697" s="23" t="s">
        <v>203</v>
      </c>
      <c r="B697" s="23">
        <v>172.0</v>
      </c>
      <c r="C697" s="23">
        <v>183.0</v>
      </c>
      <c r="D697" s="93" t="str">
        <f t="shared" si="1"/>
        <v>172miniCapt</v>
      </c>
    </row>
    <row r="698" ht="22.5" customHeight="1">
      <c r="A698" s="23" t="s">
        <v>203</v>
      </c>
      <c r="B698" s="23">
        <v>173.0</v>
      </c>
      <c r="C698" s="23">
        <v>184.0</v>
      </c>
      <c r="D698" s="93" t="str">
        <f t="shared" si="1"/>
        <v>173miniCapt</v>
      </c>
    </row>
    <row r="699" ht="22.5" customHeight="1">
      <c r="A699" s="23" t="s">
        <v>203</v>
      </c>
      <c r="B699" s="23">
        <v>174.0</v>
      </c>
      <c r="C699" s="23">
        <v>185.0</v>
      </c>
      <c r="D699" s="93" t="str">
        <f t="shared" si="1"/>
        <v>174miniCapt</v>
      </c>
    </row>
    <row r="700" ht="22.5" customHeight="1">
      <c r="A700" s="23" t="s">
        <v>203</v>
      </c>
      <c r="B700" s="23">
        <v>175.0</v>
      </c>
      <c r="C700" s="23">
        <v>186.0</v>
      </c>
      <c r="D700" s="93" t="str">
        <f t="shared" si="1"/>
        <v>175miniCapt</v>
      </c>
    </row>
    <row r="701" ht="22.5" customHeight="1">
      <c r="A701" s="23" t="s">
        <v>203</v>
      </c>
      <c r="B701" s="23">
        <v>176.0</v>
      </c>
      <c r="C701" s="23">
        <v>187.0</v>
      </c>
      <c r="D701" s="93" t="str">
        <f t="shared" si="1"/>
        <v>176miniCapt</v>
      </c>
    </row>
    <row r="702" ht="22.5" customHeight="1">
      <c r="A702" s="23" t="s">
        <v>203</v>
      </c>
      <c r="B702" s="23">
        <v>177.0</v>
      </c>
      <c r="C702" s="23">
        <v>188.0</v>
      </c>
      <c r="D702" s="93" t="str">
        <f t="shared" si="1"/>
        <v>177miniCapt</v>
      </c>
    </row>
    <row r="703" ht="22.5" customHeight="1">
      <c r="A703" s="23" t="s">
        <v>203</v>
      </c>
      <c r="B703" s="23">
        <v>178.0</v>
      </c>
      <c r="C703" s="23">
        <v>189.0</v>
      </c>
      <c r="D703" s="93" t="str">
        <f t="shared" si="1"/>
        <v>178miniCapt</v>
      </c>
    </row>
    <row r="704" ht="22.5" customHeight="1">
      <c r="A704" s="23" t="s">
        <v>203</v>
      </c>
      <c r="B704" s="23">
        <v>179.0</v>
      </c>
      <c r="C704" s="23">
        <v>190.0</v>
      </c>
      <c r="D704" s="93" t="str">
        <f t="shared" si="1"/>
        <v>179miniCapt</v>
      </c>
    </row>
    <row r="705" ht="22.5" customHeight="1">
      <c r="A705" s="23" t="s">
        <v>203</v>
      </c>
      <c r="B705" s="23">
        <v>180.0</v>
      </c>
      <c r="C705" s="23">
        <v>191.0</v>
      </c>
      <c r="D705" s="93" t="str">
        <f t="shared" si="1"/>
        <v>180miniCapt</v>
      </c>
    </row>
    <row r="706" ht="22.5" customHeight="1">
      <c r="A706" s="23" t="s">
        <v>203</v>
      </c>
      <c r="B706" s="23">
        <v>181.0</v>
      </c>
      <c r="C706" s="23">
        <v>186.0</v>
      </c>
      <c r="D706" s="93" t="str">
        <f t="shared" si="1"/>
        <v>181miniCapt</v>
      </c>
    </row>
    <row r="707" ht="22.5" customHeight="1">
      <c r="A707" s="23" t="s">
        <v>203</v>
      </c>
      <c r="B707" s="23">
        <v>182.0</v>
      </c>
      <c r="C707" s="23">
        <v>187.0</v>
      </c>
      <c r="D707" s="93" t="str">
        <f t="shared" si="1"/>
        <v>182miniCapt</v>
      </c>
    </row>
    <row r="708" ht="22.5" customHeight="1">
      <c r="A708" s="23" t="s">
        <v>203</v>
      </c>
      <c r="B708" s="23">
        <v>183.0</v>
      </c>
      <c r="C708" s="23">
        <v>188.0</v>
      </c>
      <c r="D708" s="93" t="str">
        <f t="shared" si="1"/>
        <v>183miniCapt</v>
      </c>
    </row>
    <row r="709" ht="22.5" customHeight="1">
      <c r="A709" s="23" t="s">
        <v>203</v>
      </c>
      <c r="B709" s="23">
        <v>184.0</v>
      </c>
      <c r="C709" s="23">
        <v>189.0</v>
      </c>
      <c r="D709" s="93" t="str">
        <f t="shared" si="1"/>
        <v>184miniCapt</v>
      </c>
    </row>
    <row r="710" ht="22.5" customHeight="1">
      <c r="A710" s="23" t="s">
        <v>203</v>
      </c>
      <c r="B710" s="23">
        <v>185.0</v>
      </c>
      <c r="C710" s="23">
        <v>190.0</v>
      </c>
      <c r="D710" s="93" t="str">
        <f t="shared" si="1"/>
        <v>185miniCapt</v>
      </c>
    </row>
    <row r="711" ht="22.5" customHeight="1">
      <c r="A711" s="23" t="s">
        <v>203</v>
      </c>
      <c r="B711" s="23">
        <v>186.0</v>
      </c>
      <c r="C711" s="23">
        <v>191.0</v>
      </c>
      <c r="D711" s="93" t="str">
        <f t="shared" si="1"/>
        <v>186miniCapt</v>
      </c>
    </row>
    <row r="712" ht="22.5" customHeight="1">
      <c r="A712" s="23" t="s">
        <v>203</v>
      </c>
      <c r="B712" s="23">
        <v>187.0</v>
      </c>
      <c r="C712" s="23">
        <v>192.0</v>
      </c>
      <c r="D712" s="93" t="str">
        <f t="shared" si="1"/>
        <v>187miniCapt</v>
      </c>
    </row>
    <row r="713" ht="22.5" customHeight="1">
      <c r="A713" s="23" t="s">
        <v>203</v>
      </c>
      <c r="B713" s="23">
        <v>188.0</v>
      </c>
      <c r="C713" s="23">
        <v>194.0</v>
      </c>
      <c r="D713" s="93" t="str">
        <f t="shared" si="1"/>
        <v>188miniCapt</v>
      </c>
    </row>
    <row r="714" ht="22.5" customHeight="1">
      <c r="A714" s="23" t="s">
        <v>203</v>
      </c>
      <c r="B714" s="23">
        <v>189.0</v>
      </c>
      <c r="C714" s="23">
        <v>195.0</v>
      </c>
      <c r="D714" s="93" t="str">
        <f t="shared" si="1"/>
        <v>189miniCapt</v>
      </c>
    </row>
    <row r="715" ht="22.5" customHeight="1">
      <c r="A715" s="23" t="s">
        <v>203</v>
      </c>
      <c r="B715" s="23">
        <v>190.0</v>
      </c>
      <c r="C715" s="23">
        <v>196.0</v>
      </c>
      <c r="D715" s="93" t="str">
        <f t="shared" si="1"/>
        <v>190miniCapt</v>
      </c>
    </row>
    <row r="716" ht="22.5" customHeight="1">
      <c r="A716" s="23" t="s">
        <v>203</v>
      </c>
      <c r="B716" s="23">
        <v>191.0</v>
      </c>
      <c r="C716" s="23">
        <v>197.0</v>
      </c>
      <c r="D716" s="93" t="str">
        <f t="shared" si="1"/>
        <v>191miniCapt</v>
      </c>
    </row>
    <row r="717" ht="22.5" customHeight="1">
      <c r="A717" s="23" t="s">
        <v>203</v>
      </c>
      <c r="B717" s="23">
        <v>192.0</v>
      </c>
      <c r="C717" s="23">
        <v>198.0</v>
      </c>
      <c r="D717" s="93" t="str">
        <f t="shared" si="1"/>
        <v>192miniCapt</v>
      </c>
    </row>
    <row r="718" ht="22.5" customHeight="1">
      <c r="A718" s="23" t="s">
        <v>203</v>
      </c>
      <c r="B718" s="23">
        <v>193.0</v>
      </c>
      <c r="C718" s="23">
        <v>199.0</v>
      </c>
      <c r="D718" s="93" t="str">
        <f t="shared" si="1"/>
        <v>193miniCapt</v>
      </c>
    </row>
    <row r="719" ht="22.5" customHeight="1">
      <c r="A719" s="23" t="s">
        <v>203</v>
      </c>
      <c r="B719" s="23">
        <v>194.0</v>
      </c>
      <c r="C719" s="23">
        <v>200.0</v>
      </c>
      <c r="D719" s="93" t="str">
        <f t="shared" si="1"/>
        <v>194miniCapt</v>
      </c>
    </row>
    <row r="720" ht="22.5" customHeight="1">
      <c r="A720" s="23" t="s">
        <v>203</v>
      </c>
      <c r="B720" s="23">
        <v>195.0</v>
      </c>
      <c r="C720" s="23">
        <v>201.0</v>
      </c>
      <c r="D720" s="93" t="str">
        <f t="shared" si="1"/>
        <v>195miniCapt</v>
      </c>
    </row>
    <row r="721" ht="22.5" customHeight="1">
      <c r="A721" s="23" t="s">
        <v>203</v>
      </c>
      <c r="B721" s="23">
        <v>196.0</v>
      </c>
      <c r="C721" s="23">
        <v>202.0</v>
      </c>
      <c r="D721" s="93" t="str">
        <f t="shared" si="1"/>
        <v>196miniCapt</v>
      </c>
    </row>
    <row r="722" ht="22.5" customHeight="1">
      <c r="A722" s="23" t="s">
        <v>203</v>
      </c>
      <c r="B722" s="23">
        <v>197.0</v>
      </c>
      <c r="C722" s="23">
        <v>203.0</v>
      </c>
      <c r="D722" s="93" t="str">
        <f t="shared" si="1"/>
        <v>197miniCapt</v>
      </c>
    </row>
    <row r="723" ht="22.5" customHeight="1">
      <c r="A723" s="23" t="s">
        <v>203</v>
      </c>
      <c r="B723" s="23">
        <v>198.0</v>
      </c>
      <c r="C723" s="23">
        <v>204.0</v>
      </c>
      <c r="D723" s="93" t="str">
        <f t="shared" si="1"/>
        <v>198miniCapt</v>
      </c>
    </row>
    <row r="724" ht="22.5" customHeight="1">
      <c r="A724" s="23" t="s">
        <v>203</v>
      </c>
      <c r="B724" s="23">
        <v>199.0</v>
      </c>
      <c r="C724" s="23">
        <v>205.0</v>
      </c>
      <c r="D724" s="93" t="str">
        <f t="shared" si="1"/>
        <v>199miniCapt</v>
      </c>
    </row>
    <row r="725" ht="22.5" customHeight="1">
      <c r="A725" s="23" t="s">
        <v>203</v>
      </c>
      <c r="B725" s="23">
        <v>200.0</v>
      </c>
      <c r="C725" s="23">
        <v>206.0</v>
      </c>
      <c r="D725" s="93" t="str">
        <f t="shared" si="1"/>
        <v>200miniCapt</v>
      </c>
    </row>
    <row r="726" ht="22.5" customHeight="1">
      <c r="A726" s="23" t="s">
        <v>203</v>
      </c>
      <c r="B726" s="23">
        <v>201.0</v>
      </c>
      <c r="C726" s="23">
        <v>207.0</v>
      </c>
      <c r="D726" s="93" t="str">
        <f t="shared" si="1"/>
        <v>201miniCapt</v>
      </c>
    </row>
    <row r="727" ht="22.5" customHeight="1">
      <c r="A727" s="23" t="s">
        <v>203</v>
      </c>
      <c r="B727" s="23">
        <v>202.0</v>
      </c>
      <c r="C727" s="23">
        <v>208.0</v>
      </c>
      <c r="D727" s="93" t="str">
        <f t="shared" si="1"/>
        <v>202miniCapt</v>
      </c>
    </row>
    <row r="728" ht="22.5" customHeight="1">
      <c r="A728" s="23" t="s">
        <v>203</v>
      </c>
      <c r="B728" s="23">
        <v>203.0</v>
      </c>
      <c r="C728" s="23">
        <v>209.0</v>
      </c>
      <c r="D728" s="93" t="str">
        <f t="shared" si="1"/>
        <v>203miniCapt</v>
      </c>
    </row>
    <row r="729" ht="22.5" customHeight="1">
      <c r="A729" s="23" t="s">
        <v>203</v>
      </c>
      <c r="B729" s="23">
        <v>204.0</v>
      </c>
      <c r="C729" s="23">
        <v>211.0</v>
      </c>
      <c r="D729" s="93" t="str">
        <f t="shared" si="1"/>
        <v>204miniCapt</v>
      </c>
    </row>
    <row r="730" ht="22.5" customHeight="1">
      <c r="A730" s="23" t="s">
        <v>203</v>
      </c>
      <c r="B730" s="23">
        <v>205.0</v>
      </c>
      <c r="C730" s="23">
        <v>212.0</v>
      </c>
      <c r="D730" s="93" t="str">
        <f t="shared" si="1"/>
        <v>205miniCapt</v>
      </c>
    </row>
    <row r="731" ht="22.5" customHeight="1">
      <c r="A731" s="23" t="s">
        <v>203</v>
      </c>
      <c r="B731" s="23">
        <v>206.0</v>
      </c>
      <c r="C731" s="23">
        <v>213.0</v>
      </c>
      <c r="D731" s="93" t="str">
        <f t="shared" si="1"/>
        <v>206miniCapt</v>
      </c>
    </row>
    <row r="732" ht="22.5" customHeight="1">
      <c r="A732" s="23" t="s">
        <v>203</v>
      </c>
      <c r="B732" s="23">
        <v>207.0</v>
      </c>
      <c r="C732" s="23">
        <v>214.0</v>
      </c>
      <c r="D732" s="93" t="str">
        <f t="shared" si="1"/>
        <v>207miniCapt</v>
      </c>
    </row>
    <row r="733" ht="22.5" customHeight="1">
      <c r="A733" s="23" t="s">
        <v>203</v>
      </c>
      <c r="B733" s="23">
        <v>208.0</v>
      </c>
      <c r="C733" s="23">
        <v>215.0</v>
      </c>
      <c r="D733" s="93" t="str">
        <f t="shared" si="1"/>
        <v>208miniCapt</v>
      </c>
    </row>
    <row r="734" ht="22.5" customHeight="1">
      <c r="A734" s="23" t="s">
        <v>203</v>
      </c>
      <c r="B734" s="23">
        <v>209.0</v>
      </c>
      <c r="C734" s="23">
        <v>223.0</v>
      </c>
      <c r="D734" s="93" t="str">
        <f t="shared" si="1"/>
        <v>209miniCapt</v>
      </c>
    </row>
    <row r="735" ht="22.5" customHeight="1">
      <c r="A735" s="23" t="s">
        <v>203</v>
      </c>
      <c r="B735" s="23">
        <v>210.0</v>
      </c>
      <c r="C735" s="23">
        <v>225.0</v>
      </c>
      <c r="D735" s="93" t="str">
        <f t="shared" si="1"/>
        <v>210miniCapt</v>
      </c>
    </row>
    <row r="736" ht="22.5" customHeight="1">
      <c r="A736" s="23" t="s">
        <v>203</v>
      </c>
      <c r="B736" s="23">
        <v>9999.0</v>
      </c>
      <c r="C736" s="23">
        <v>9999.0</v>
      </c>
      <c r="D736" s="93" t="str">
        <f t="shared" si="1"/>
        <v>9999miniCapt</v>
      </c>
    </row>
    <row r="737" ht="22.5" customHeight="1">
      <c r="A737" s="11" t="s">
        <v>757</v>
      </c>
      <c r="B737" s="11">
        <v>0.0</v>
      </c>
      <c r="C737" s="11">
        <v>0.0</v>
      </c>
      <c r="D737" s="93" t="str">
        <f t="shared" si="1"/>
        <v>0MAS-100 NT</v>
      </c>
    </row>
    <row r="738" ht="22.5" customHeight="1">
      <c r="A738" s="11" t="s">
        <v>757</v>
      </c>
      <c r="B738" s="11">
        <v>1.0</v>
      </c>
      <c r="C738" s="11">
        <v>1.0</v>
      </c>
      <c r="D738" s="93" t="str">
        <f t="shared" si="1"/>
        <v>1MAS-100 NT</v>
      </c>
    </row>
    <row r="739" ht="22.5" customHeight="1">
      <c r="A739" s="11" t="s">
        <v>757</v>
      </c>
      <c r="B739" s="11">
        <v>2.0</v>
      </c>
      <c r="C739" s="11">
        <v>2.0</v>
      </c>
      <c r="D739" s="93" t="str">
        <f t="shared" si="1"/>
        <v>2MAS-100 NT</v>
      </c>
    </row>
    <row r="740" ht="22.5" customHeight="1">
      <c r="A740" s="11" t="s">
        <v>757</v>
      </c>
      <c r="B740" s="11">
        <v>3.0</v>
      </c>
      <c r="C740" s="11">
        <v>3.0</v>
      </c>
      <c r="D740" s="93" t="str">
        <f t="shared" si="1"/>
        <v>3MAS-100 NT</v>
      </c>
    </row>
    <row r="741" ht="22.5" customHeight="1">
      <c r="A741" s="11" t="s">
        <v>757</v>
      </c>
      <c r="B741" s="11">
        <v>4.0</v>
      </c>
      <c r="C741" s="11">
        <v>4.0</v>
      </c>
      <c r="D741" s="93" t="str">
        <f t="shared" si="1"/>
        <v>4MAS-100 NT</v>
      </c>
    </row>
    <row r="742" ht="22.5" customHeight="1">
      <c r="A742" s="11" t="s">
        <v>757</v>
      </c>
      <c r="B742" s="11">
        <v>5.0</v>
      </c>
      <c r="C742" s="11">
        <v>5.0</v>
      </c>
      <c r="D742" s="93" t="str">
        <f t="shared" si="1"/>
        <v>5MAS-100 NT</v>
      </c>
    </row>
    <row r="743" ht="22.5" customHeight="1">
      <c r="A743" s="11" t="s">
        <v>757</v>
      </c>
      <c r="B743" s="11">
        <v>6.0</v>
      </c>
      <c r="C743" s="11">
        <v>6.0</v>
      </c>
      <c r="D743" s="93" t="str">
        <f t="shared" si="1"/>
        <v>6MAS-100 NT</v>
      </c>
    </row>
    <row r="744" ht="22.5" customHeight="1">
      <c r="A744" s="11" t="s">
        <v>757</v>
      </c>
      <c r="B744" s="11">
        <v>7.0</v>
      </c>
      <c r="C744" s="11">
        <v>7.0</v>
      </c>
      <c r="D744" s="93" t="str">
        <f t="shared" si="1"/>
        <v>7MAS-100 NT</v>
      </c>
    </row>
    <row r="745" ht="22.5" customHeight="1">
      <c r="A745" s="11" t="s">
        <v>757</v>
      </c>
      <c r="B745" s="11">
        <v>8.0</v>
      </c>
      <c r="C745" s="11">
        <v>8.0</v>
      </c>
      <c r="D745" s="93" t="str">
        <f t="shared" si="1"/>
        <v>8MAS-100 NT</v>
      </c>
    </row>
    <row r="746" ht="22.5" customHeight="1">
      <c r="A746" s="11" t="s">
        <v>757</v>
      </c>
      <c r="B746" s="11">
        <v>9.0</v>
      </c>
      <c r="C746" s="11">
        <v>9.0</v>
      </c>
      <c r="D746" s="93" t="str">
        <f t="shared" si="1"/>
        <v>9MAS-100 NT</v>
      </c>
    </row>
    <row r="747" ht="22.5" customHeight="1">
      <c r="A747" s="11" t="s">
        <v>757</v>
      </c>
      <c r="B747" s="11">
        <v>10.0</v>
      </c>
      <c r="C747" s="11">
        <v>10.0</v>
      </c>
      <c r="D747" s="93" t="str">
        <f t="shared" si="1"/>
        <v>10MAS-100 NT</v>
      </c>
    </row>
    <row r="748" ht="22.5" customHeight="1">
      <c r="A748" s="11" t="s">
        <v>757</v>
      </c>
      <c r="B748" s="11">
        <v>11.0</v>
      </c>
      <c r="C748" s="11">
        <v>11.0</v>
      </c>
      <c r="D748" s="93" t="str">
        <f t="shared" si="1"/>
        <v>11MAS-100 NT</v>
      </c>
    </row>
    <row r="749" ht="22.5" customHeight="1">
      <c r="A749" s="11" t="s">
        <v>757</v>
      </c>
      <c r="B749" s="11">
        <v>12.0</v>
      </c>
      <c r="C749" s="11">
        <v>12.0</v>
      </c>
      <c r="D749" s="93" t="str">
        <f t="shared" si="1"/>
        <v>12MAS-100 NT</v>
      </c>
    </row>
    <row r="750" ht="22.5" customHeight="1">
      <c r="A750" s="11" t="s">
        <v>757</v>
      </c>
      <c r="B750" s="11">
        <v>13.0</v>
      </c>
      <c r="C750" s="11">
        <v>13.0</v>
      </c>
      <c r="D750" s="93" t="str">
        <f t="shared" si="1"/>
        <v>13MAS-100 NT</v>
      </c>
    </row>
    <row r="751" ht="22.5" customHeight="1">
      <c r="A751" s="11" t="s">
        <v>757</v>
      </c>
      <c r="B751" s="11">
        <v>14.0</v>
      </c>
      <c r="C751" s="11">
        <v>14.0</v>
      </c>
      <c r="D751" s="93" t="str">
        <f t="shared" si="1"/>
        <v>14MAS-100 NT</v>
      </c>
    </row>
    <row r="752" ht="22.5" customHeight="1">
      <c r="A752" s="11" t="s">
        <v>757</v>
      </c>
      <c r="B752" s="11">
        <v>15.0</v>
      </c>
      <c r="C752" s="11">
        <v>15.0</v>
      </c>
      <c r="D752" s="93" t="str">
        <f t="shared" si="1"/>
        <v>15MAS-100 NT</v>
      </c>
    </row>
    <row r="753" ht="22.5" customHeight="1">
      <c r="A753" s="11" t="s">
        <v>757</v>
      </c>
      <c r="B753" s="11">
        <v>16.0</v>
      </c>
      <c r="C753" s="11">
        <v>16.0</v>
      </c>
      <c r="D753" s="93" t="str">
        <f t="shared" si="1"/>
        <v>16MAS-100 NT</v>
      </c>
    </row>
    <row r="754" ht="22.5" customHeight="1">
      <c r="A754" s="11" t="s">
        <v>757</v>
      </c>
      <c r="B754" s="11">
        <v>17.0</v>
      </c>
      <c r="C754" s="11">
        <v>17.0</v>
      </c>
      <c r="D754" s="93" t="str">
        <f t="shared" si="1"/>
        <v>17MAS-100 NT</v>
      </c>
    </row>
    <row r="755" ht="22.5" customHeight="1">
      <c r="A755" s="11" t="s">
        <v>757</v>
      </c>
      <c r="B755" s="11">
        <v>18.0</v>
      </c>
      <c r="C755" s="11">
        <v>19.0</v>
      </c>
      <c r="D755" s="93" t="str">
        <f t="shared" si="1"/>
        <v>18MAS-100 NT</v>
      </c>
    </row>
    <row r="756" ht="22.5" customHeight="1">
      <c r="A756" s="11" t="s">
        <v>757</v>
      </c>
      <c r="B756" s="11">
        <v>19.0</v>
      </c>
      <c r="C756" s="11">
        <v>20.0</v>
      </c>
      <c r="D756" s="93" t="str">
        <f t="shared" si="1"/>
        <v>19MAS-100 NT</v>
      </c>
    </row>
    <row r="757" ht="22.5" customHeight="1">
      <c r="A757" s="11" t="s">
        <v>757</v>
      </c>
      <c r="B757" s="11">
        <v>20.0</v>
      </c>
      <c r="C757" s="11">
        <v>21.0</v>
      </c>
      <c r="D757" s="93" t="str">
        <f t="shared" si="1"/>
        <v>20MAS-100 NT</v>
      </c>
    </row>
    <row r="758" ht="22.5" customHeight="1">
      <c r="A758" s="11" t="s">
        <v>757</v>
      </c>
      <c r="B758" s="11">
        <v>21.0</v>
      </c>
      <c r="C758" s="11">
        <v>22.0</v>
      </c>
      <c r="D758" s="93" t="str">
        <f t="shared" si="1"/>
        <v>21MAS-100 NT</v>
      </c>
    </row>
    <row r="759" ht="22.5" customHeight="1">
      <c r="A759" s="11" t="s">
        <v>757</v>
      </c>
      <c r="B759" s="11">
        <v>22.0</v>
      </c>
      <c r="C759" s="11">
        <v>23.0</v>
      </c>
      <c r="D759" s="93" t="str">
        <f t="shared" si="1"/>
        <v>22MAS-100 NT</v>
      </c>
    </row>
    <row r="760" ht="22.5" customHeight="1">
      <c r="A760" s="11" t="s">
        <v>757</v>
      </c>
      <c r="B760" s="11">
        <v>23.0</v>
      </c>
      <c r="C760" s="11">
        <v>24.0</v>
      </c>
      <c r="D760" s="93" t="str">
        <f t="shared" si="1"/>
        <v>23MAS-100 NT</v>
      </c>
    </row>
    <row r="761" ht="22.5" customHeight="1">
      <c r="A761" s="11" t="s">
        <v>757</v>
      </c>
      <c r="B761" s="11">
        <v>24.0</v>
      </c>
      <c r="C761" s="11">
        <v>25.0</v>
      </c>
      <c r="D761" s="93" t="str">
        <f t="shared" si="1"/>
        <v>24MAS-100 NT</v>
      </c>
    </row>
    <row r="762" ht="22.5" customHeight="1">
      <c r="A762" s="11" t="s">
        <v>757</v>
      </c>
      <c r="B762" s="11">
        <v>25.0</v>
      </c>
      <c r="C762" s="11">
        <v>26.0</v>
      </c>
      <c r="D762" s="93" t="str">
        <f t="shared" si="1"/>
        <v>25MAS-100 NT</v>
      </c>
    </row>
    <row r="763" ht="22.5" customHeight="1">
      <c r="A763" s="11" t="s">
        <v>757</v>
      </c>
      <c r="B763" s="11">
        <v>26.0</v>
      </c>
      <c r="C763" s="11">
        <v>27.0</v>
      </c>
      <c r="D763" s="93" t="str">
        <f t="shared" si="1"/>
        <v>26MAS-100 NT</v>
      </c>
    </row>
    <row r="764" ht="22.5" customHeight="1">
      <c r="A764" s="11" t="s">
        <v>757</v>
      </c>
      <c r="B764" s="11">
        <v>27.0</v>
      </c>
      <c r="C764" s="11">
        <v>28.0</v>
      </c>
      <c r="D764" s="93" t="str">
        <f t="shared" si="1"/>
        <v>27MAS-100 NT</v>
      </c>
    </row>
    <row r="765" ht="22.5" customHeight="1">
      <c r="A765" s="11" t="s">
        <v>757</v>
      </c>
      <c r="B765" s="11">
        <v>28.0</v>
      </c>
      <c r="C765" s="11">
        <v>29.0</v>
      </c>
      <c r="D765" s="93" t="str">
        <f t="shared" si="1"/>
        <v>28MAS-100 NT</v>
      </c>
    </row>
    <row r="766" ht="22.5" customHeight="1">
      <c r="A766" s="11" t="s">
        <v>757</v>
      </c>
      <c r="B766" s="11">
        <v>29.0</v>
      </c>
      <c r="C766" s="11">
        <v>30.0</v>
      </c>
      <c r="D766" s="93" t="str">
        <f t="shared" si="1"/>
        <v>29MAS-100 NT</v>
      </c>
    </row>
    <row r="767" ht="22.5" customHeight="1">
      <c r="A767" s="11" t="s">
        <v>757</v>
      </c>
      <c r="B767" s="11">
        <v>30.0</v>
      </c>
      <c r="C767" s="11">
        <v>32.0</v>
      </c>
      <c r="D767" s="93" t="str">
        <f t="shared" si="1"/>
        <v>30MAS-100 NT</v>
      </c>
    </row>
    <row r="768" ht="22.5" customHeight="1">
      <c r="A768" s="11" t="s">
        <v>757</v>
      </c>
      <c r="B768" s="11">
        <v>31.0</v>
      </c>
      <c r="C768" s="11">
        <v>33.0</v>
      </c>
      <c r="D768" s="93" t="str">
        <f t="shared" si="1"/>
        <v>31MAS-100 NT</v>
      </c>
    </row>
    <row r="769" ht="22.5" customHeight="1">
      <c r="A769" s="11" t="s">
        <v>757</v>
      </c>
      <c r="B769" s="11">
        <v>32.0</v>
      </c>
      <c r="C769" s="11">
        <v>34.0</v>
      </c>
      <c r="D769" s="93" t="str">
        <f t="shared" si="1"/>
        <v>32MAS-100 NT</v>
      </c>
    </row>
    <row r="770" ht="22.5" customHeight="1">
      <c r="A770" s="11" t="s">
        <v>757</v>
      </c>
      <c r="B770" s="11">
        <v>33.0</v>
      </c>
      <c r="C770" s="11">
        <v>35.0</v>
      </c>
      <c r="D770" s="93" t="str">
        <f t="shared" si="1"/>
        <v>33MAS-100 NT</v>
      </c>
    </row>
    <row r="771" ht="22.5" customHeight="1">
      <c r="A771" s="11" t="s">
        <v>757</v>
      </c>
      <c r="B771" s="11">
        <v>34.0</v>
      </c>
      <c r="C771" s="11">
        <v>36.0</v>
      </c>
      <c r="D771" s="93" t="str">
        <f t="shared" si="1"/>
        <v>34MAS-100 NT</v>
      </c>
    </row>
    <row r="772" ht="22.5" customHeight="1">
      <c r="A772" s="11" t="s">
        <v>757</v>
      </c>
      <c r="B772" s="11">
        <v>35.0</v>
      </c>
      <c r="C772" s="11">
        <v>37.0</v>
      </c>
      <c r="D772" s="93" t="str">
        <f t="shared" si="1"/>
        <v>35MAS-100 NT</v>
      </c>
    </row>
    <row r="773" ht="22.5" customHeight="1">
      <c r="A773" s="11" t="s">
        <v>757</v>
      </c>
      <c r="B773" s="11">
        <v>36.0</v>
      </c>
      <c r="C773" s="11">
        <v>38.0</v>
      </c>
      <c r="D773" s="93" t="str">
        <f t="shared" si="1"/>
        <v>36MAS-100 NT</v>
      </c>
    </row>
    <row r="774" ht="22.5" customHeight="1">
      <c r="A774" s="11" t="s">
        <v>757</v>
      </c>
      <c r="B774" s="11">
        <v>37.0</v>
      </c>
      <c r="C774" s="11">
        <v>39.0</v>
      </c>
      <c r="D774" s="93" t="str">
        <f t="shared" si="1"/>
        <v>37MAS-100 NT</v>
      </c>
    </row>
    <row r="775" ht="22.5" customHeight="1">
      <c r="A775" s="11" t="s">
        <v>757</v>
      </c>
      <c r="B775" s="11">
        <v>38.0</v>
      </c>
      <c r="C775" s="11">
        <v>41.0</v>
      </c>
      <c r="D775" s="93" t="str">
        <f t="shared" si="1"/>
        <v>38MAS-100 NT</v>
      </c>
    </row>
    <row r="776" ht="22.5" customHeight="1">
      <c r="A776" s="11" t="s">
        <v>757</v>
      </c>
      <c r="B776" s="11">
        <v>39.0</v>
      </c>
      <c r="C776" s="11">
        <v>42.0</v>
      </c>
      <c r="D776" s="93" t="str">
        <f t="shared" si="1"/>
        <v>39MAS-100 NT</v>
      </c>
    </row>
    <row r="777" ht="22.5" customHeight="1">
      <c r="A777" s="11" t="s">
        <v>757</v>
      </c>
      <c r="B777" s="11">
        <v>40.0</v>
      </c>
      <c r="C777" s="11">
        <v>43.0</v>
      </c>
      <c r="D777" s="93" t="str">
        <f t="shared" si="1"/>
        <v>40MAS-100 NT</v>
      </c>
    </row>
    <row r="778" ht="22.5" customHeight="1">
      <c r="A778" s="11" t="s">
        <v>757</v>
      </c>
      <c r="B778" s="11">
        <v>41.0</v>
      </c>
      <c r="C778" s="11">
        <v>44.0</v>
      </c>
      <c r="D778" s="93" t="str">
        <f t="shared" si="1"/>
        <v>41MAS-100 NT</v>
      </c>
    </row>
    <row r="779" ht="22.5" customHeight="1">
      <c r="A779" s="11" t="s">
        <v>757</v>
      </c>
      <c r="B779" s="11">
        <v>42.0</v>
      </c>
      <c r="C779" s="11">
        <v>45.0</v>
      </c>
      <c r="D779" s="93" t="str">
        <f t="shared" si="1"/>
        <v>42MAS-100 NT</v>
      </c>
    </row>
    <row r="780" ht="22.5" customHeight="1">
      <c r="A780" s="11" t="s">
        <v>757</v>
      </c>
      <c r="B780" s="11">
        <v>43.0</v>
      </c>
      <c r="C780" s="11">
        <v>46.0</v>
      </c>
      <c r="D780" s="93" t="str">
        <f t="shared" si="1"/>
        <v>43MAS-100 NT</v>
      </c>
    </row>
    <row r="781" ht="22.5" customHeight="1">
      <c r="A781" s="11" t="s">
        <v>757</v>
      </c>
      <c r="B781" s="11">
        <v>44.0</v>
      </c>
      <c r="C781" s="11">
        <v>47.0</v>
      </c>
      <c r="D781" s="93" t="str">
        <f t="shared" si="1"/>
        <v>44MAS-100 NT</v>
      </c>
    </row>
    <row r="782" ht="22.5" customHeight="1">
      <c r="A782" s="11" t="s">
        <v>757</v>
      </c>
      <c r="B782" s="11">
        <v>45.0</v>
      </c>
      <c r="C782" s="11">
        <v>49.0</v>
      </c>
      <c r="D782" s="93" t="str">
        <f t="shared" si="1"/>
        <v>45MAS-100 NT</v>
      </c>
    </row>
    <row r="783" ht="22.5" customHeight="1">
      <c r="A783" s="11" t="s">
        <v>757</v>
      </c>
      <c r="B783" s="11">
        <v>46.0</v>
      </c>
      <c r="C783" s="11">
        <v>50.0</v>
      </c>
      <c r="D783" s="93" t="str">
        <f t="shared" si="1"/>
        <v>46MAS-100 NT</v>
      </c>
    </row>
    <row r="784" ht="22.5" customHeight="1">
      <c r="A784" s="11" t="s">
        <v>757</v>
      </c>
      <c r="B784" s="11">
        <v>47.0</v>
      </c>
      <c r="C784" s="11">
        <v>51.0</v>
      </c>
      <c r="D784" s="93" t="str">
        <f t="shared" si="1"/>
        <v>47MAS-100 NT</v>
      </c>
    </row>
    <row r="785" ht="22.5" customHeight="1">
      <c r="A785" s="11" t="s">
        <v>757</v>
      </c>
      <c r="B785" s="11">
        <v>48.0</v>
      </c>
      <c r="C785" s="11">
        <v>52.0</v>
      </c>
      <c r="D785" s="93" t="str">
        <f t="shared" si="1"/>
        <v>48MAS-100 NT</v>
      </c>
    </row>
    <row r="786" ht="22.5" customHeight="1">
      <c r="A786" s="11" t="s">
        <v>757</v>
      </c>
      <c r="B786" s="11">
        <v>49.0</v>
      </c>
      <c r="C786" s="11">
        <v>53.0</v>
      </c>
      <c r="D786" s="93" t="str">
        <f t="shared" si="1"/>
        <v>49MAS-100 NT</v>
      </c>
    </row>
    <row r="787" ht="22.5" customHeight="1">
      <c r="A787" s="11" t="s">
        <v>757</v>
      </c>
      <c r="B787" s="11">
        <v>50.0</v>
      </c>
      <c r="C787" s="11">
        <v>55.0</v>
      </c>
      <c r="D787" s="93" t="str">
        <f t="shared" si="1"/>
        <v>50MAS-100 NT</v>
      </c>
    </row>
    <row r="788" ht="22.5" customHeight="1">
      <c r="A788" s="11" t="s">
        <v>757</v>
      </c>
      <c r="B788" s="11">
        <v>51.0</v>
      </c>
      <c r="C788" s="11">
        <v>56.0</v>
      </c>
      <c r="D788" s="93" t="str">
        <f t="shared" si="1"/>
        <v>51MAS-100 NT</v>
      </c>
    </row>
    <row r="789" ht="22.5" customHeight="1">
      <c r="A789" s="11" t="s">
        <v>757</v>
      </c>
      <c r="B789" s="11">
        <v>52.0</v>
      </c>
      <c r="C789" s="11">
        <v>57.0</v>
      </c>
      <c r="D789" s="93" t="str">
        <f t="shared" si="1"/>
        <v>52MAS-100 NT</v>
      </c>
    </row>
    <row r="790" ht="22.5" customHeight="1">
      <c r="A790" s="11" t="s">
        <v>757</v>
      </c>
      <c r="B790" s="11">
        <v>53.0</v>
      </c>
      <c r="C790" s="11">
        <v>58.0</v>
      </c>
      <c r="D790" s="93" t="str">
        <f t="shared" si="1"/>
        <v>53MAS-100 NT</v>
      </c>
    </row>
    <row r="791" ht="22.5" customHeight="1">
      <c r="A791" s="11" t="s">
        <v>757</v>
      </c>
      <c r="B791" s="11">
        <v>54.0</v>
      </c>
      <c r="C791" s="11">
        <v>59.0</v>
      </c>
      <c r="D791" s="93" t="str">
        <f t="shared" si="1"/>
        <v>54MAS-100 NT</v>
      </c>
    </row>
    <row r="792" ht="22.5" customHeight="1">
      <c r="A792" s="11" t="s">
        <v>757</v>
      </c>
      <c r="B792" s="11">
        <v>55.0</v>
      </c>
      <c r="C792" s="11">
        <v>61.0</v>
      </c>
      <c r="D792" s="93" t="str">
        <f t="shared" si="1"/>
        <v>55MAS-100 NT</v>
      </c>
    </row>
    <row r="793" ht="22.5" customHeight="1">
      <c r="A793" s="11" t="s">
        <v>757</v>
      </c>
      <c r="B793" s="11">
        <v>56.0</v>
      </c>
      <c r="C793" s="11">
        <v>62.0</v>
      </c>
      <c r="D793" s="93" t="str">
        <f t="shared" si="1"/>
        <v>56MAS-100 NT</v>
      </c>
    </row>
    <row r="794" ht="22.5" customHeight="1">
      <c r="A794" s="11" t="s">
        <v>757</v>
      </c>
      <c r="B794" s="11">
        <v>57.0</v>
      </c>
      <c r="C794" s="11">
        <v>63.0</v>
      </c>
      <c r="D794" s="93" t="str">
        <f t="shared" si="1"/>
        <v>57MAS-100 NT</v>
      </c>
    </row>
    <row r="795" ht="22.5" customHeight="1">
      <c r="A795" s="11" t="s">
        <v>757</v>
      </c>
      <c r="B795" s="11">
        <v>58.0</v>
      </c>
      <c r="C795" s="11">
        <v>64.0</v>
      </c>
      <c r="D795" s="93" t="str">
        <f t="shared" si="1"/>
        <v>58MAS-100 NT</v>
      </c>
    </row>
    <row r="796" ht="22.5" customHeight="1">
      <c r="A796" s="11" t="s">
        <v>757</v>
      </c>
      <c r="B796" s="11">
        <v>59.0</v>
      </c>
      <c r="C796" s="11">
        <v>66.0</v>
      </c>
      <c r="D796" s="93" t="str">
        <f t="shared" si="1"/>
        <v>59MAS-100 NT</v>
      </c>
    </row>
    <row r="797" ht="22.5" customHeight="1">
      <c r="A797" s="11" t="s">
        <v>757</v>
      </c>
      <c r="B797" s="11">
        <v>60.0</v>
      </c>
      <c r="C797" s="11">
        <v>67.0</v>
      </c>
      <c r="D797" s="93" t="str">
        <f t="shared" si="1"/>
        <v>60MAS-100 NT</v>
      </c>
    </row>
    <row r="798" ht="22.5" customHeight="1">
      <c r="A798" s="11" t="s">
        <v>757</v>
      </c>
      <c r="B798" s="11">
        <v>61.0</v>
      </c>
      <c r="C798" s="11">
        <v>68.0</v>
      </c>
      <c r="D798" s="93" t="str">
        <f t="shared" si="1"/>
        <v>61MAS-100 NT</v>
      </c>
    </row>
    <row r="799" ht="22.5" customHeight="1">
      <c r="A799" s="11" t="s">
        <v>757</v>
      </c>
      <c r="B799" s="11">
        <v>62.0</v>
      </c>
      <c r="C799" s="11">
        <v>69.0</v>
      </c>
      <c r="D799" s="93" t="str">
        <f t="shared" si="1"/>
        <v>62MAS-100 NT</v>
      </c>
    </row>
    <row r="800" ht="22.5" customHeight="1">
      <c r="A800" s="11" t="s">
        <v>757</v>
      </c>
      <c r="B800" s="11">
        <v>63.0</v>
      </c>
      <c r="C800" s="11">
        <v>71.0</v>
      </c>
      <c r="D800" s="93" t="str">
        <f t="shared" si="1"/>
        <v>63MAS-100 NT</v>
      </c>
    </row>
    <row r="801" ht="22.5" customHeight="1">
      <c r="A801" s="11" t="s">
        <v>757</v>
      </c>
      <c r="B801" s="11">
        <v>64.0</v>
      </c>
      <c r="C801" s="11">
        <v>72.0</v>
      </c>
      <c r="D801" s="93" t="str">
        <f t="shared" si="1"/>
        <v>64MAS-100 NT</v>
      </c>
    </row>
    <row r="802" ht="22.5" customHeight="1">
      <c r="A802" s="11" t="s">
        <v>757</v>
      </c>
      <c r="B802" s="11">
        <v>65.0</v>
      </c>
      <c r="C802" s="11">
        <v>73.0</v>
      </c>
      <c r="D802" s="93" t="str">
        <f t="shared" si="1"/>
        <v>65MAS-100 NT</v>
      </c>
    </row>
    <row r="803" ht="22.5" customHeight="1">
      <c r="A803" s="11" t="s">
        <v>757</v>
      </c>
      <c r="B803" s="11">
        <v>66.0</v>
      </c>
      <c r="C803" s="11">
        <v>74.0</v>
      </c>
      <c r="D803" s="93" t="str">
        <f t="shared" si="1"/>
        <v>66MAS-100 NT</v>
      </c>
    </row>
    <row r="804" ht="22.5" customHeight="1">
      <c r="A804" s="11" t="s">
        <v>757</v>
      </c>
      <c r="B804" s="11">
        <v>67.0</v>
      </c>
      <c r="C804" s="11">
        <v>76.0</v>
      </c>
      <c r="D804" s="93" t="str">
        <f t="shared" si="1"/>
        <v>67MAS-100 NT</v>
      </c>
    </row>
    <row r="805" ht="22.5" customHeight="1">
      <c r="A805" s="11" t="s">
        <v>757</v>
      </c>
      <c r="B805" s="11">
        <v>68.0</v>
      </c>
      <c r="C805" s="11">
        <v>77.0</v>
      </c>
      <c r="D805" s="93" t="str">
        <f t="shared" si="1"/>
        <v>68MAS-100 NT</v>
      </c>
    </row>
    <row r="806" ht="22.5" customHeight="1">
      <c r="A806" s="11" t="s">
        <v>757</v>
      </c>
      <c r="B806" s="11">
        <v>69.0</v>
      </c>
      <c r="C806" s="11">
        <v>78.0</v>
      </c>
      <c r="D806" s="93" t="str">
        <f t="shared" si="1"/>
        <v>69MAS-100 NT</v>
      </c>
    </row>
    <row r="807" ht="22.5" customHeight="1">
      <c r="A807" s="11" t="s">
        <v>757</v>
      </c>
      <c r="B807" s="11">
        <v>70.0</v>
      </c>
      <c r="C807" s="11">
        <v>80.0</v>
      </c>
      <c r="D807" s="93" t="str">
        <f t="shared" si="1"/>
        <v>70MAS-100 NT</v>
      </c>
    </row>
    <row r="808" ht="22.5" customHeight="1">
      <c r="A808" s="11" t="s">
        <v>757</v>
      </c>
      <c r="B808" s="11">
        <v>71.0</v>
      </c>
      <c r="C808" s="11">
        <v>81.0</v>
      </c>
      <c r="D808" s="93" t="str">
        <f t="shared" si="1"/>
        <v>71MAS-100 NT</v>
      </c>
    </row>
    <row r="809" ht="22.5" customHeight="1">
      <c r="A809" s="11" t="s">
        <v>757</v>
      </c>
      <c r="B809" s="11">
        <v>72.0</v>
      </c>
      <c r="C809" s="11">
        <v>82.0</v>
      </c>
      <c r="D809" s="93" t="str">
        <f t="shared" si="1"/>
        <v>72MAS-100 NT</v>
      </c>
    </row>
    <row r="810" ht="22.5" customHeight="1">
      <c r="A810" s="11" t="s">
        <v>757</v>
      </c>
      <c r="B810" s="11">
        <v>73.0</v>
      </c>
      <c r="C810" s="11">
        <v>83.0</v>
      </c>
      <c r="D810" s="93" t="str">
        <f t="shared" si="1"/>
        <v>73MAS-100 NT</v>
      </c>
    </row>
    <row r="811" ht="22.5" customHeight="1">
      <c r="A811" s="11" t="s">
        <v>757</v>
      </c>
      <c r="B811" s="11">
        <v>74.0</v>
      </c>
      <c r="C811" s="11">
        <v>85.0</v>
      </c>
      <c r="D811" s="93" t="str">
        <f t="shared" si="1"/>
        <v>74MAS-100 NT</v>
      </c>
    </row>
    <row r="812" ht="22.5" customHeight="1">
      <c r="A812" s="11" t="s">
        <v>757</v>
      </c>
      <c r="B812" s="11">
        <v>75.0</v>
      </c>
      <c r="C812" s="11">
        <v>86.0</v>
      </c>
      <c r="D812" s="93" t="str">
        <f t="shared" si="1"/>
        <v>75MAS-100 NT</v>
      </c>
    </row>
    <row r="813" ht="22.5" customHeight="1">
      <c r="A813" s="11" t="s">
        <v>757</v>
      </c>
      <c r="B813" s="11">
        <v>76.0</v>
      </c>
      <c r="C813" s="11">
        <v>87.0</v>
      </c>
      <c r="D813" s="93" t="str">
        <f t="shared" si="1"/>
        <v>76MAS-100 NT</v>
      </c>
    </row>
    <row r="814" ht="22.5" customHeight="1">
      <c r="A814" s="11" t="s">
        <v>757</v>
      </c>
      <c r="B814" s="11">
        <v>77.0</v>
      </c>
      <c r="C814" s="11">
        <v>89.0</v>
      </c>
      <c r="D814" s="93" t="str">
        <f t="shared" si="1"/>
        <v>77MAS-100 NT</v>
      </c>
    </row>
    <row r="815" ht="22.5" customHeight="1">
      <c r="A815" s="11" t="s">
        <v>757</v>
      </c>
      <c r="B815" s="11">
        <v>78.0</v>
      </c>
      <c r="C815" s="11">
        <v>90.0</v>
      </c>
      <c r="D815" s="93" t="str">
        <f t="shared" si="1"/>
        <v>78MAS-100 NT</v>
      </c>
    </row>
    <row r="816" ht="22.5" customHeight="1">
      <c r="A816" s="11" t="s">
        <v>757</v>
      </c>
      <c r="B816" s="11">
        <v>79.0</v>
      </c>
      <c r="C816" s="11">
        <v>92.0</v>
      </c>
      <c r="D816" s="93" t="str">
        <f t="shared" si="1"/>
        <v>79MAS-100 NT</v>
      </c>
    </row>
    <row r="817" ht="22.5" customHeight="1">
      <c r="A817" s="11" t="s">
        <v>757</v>
      </c>
      <c r="B817" s="11">
        <v>80.0</v>
      </c>
      <c r="C817" s="11">
        <v>93.0</v>
      </c>
      <c r="D817" s="93" t="str">
        <f t="shared" si="1"/>
        <v>80MAS-100 NT</v>
      </c>
    </row>
    <row r="818" ht="22.5" customHeight="1">
      <c r="A818" s="11" t="s">
        <v>757</v>
      </c>
      <c r="B818" s="11">
        <v>81.0</v>
      </c>
      <c r="C818" s="11">
        <v>94.0</v>
      </c>
      <c r="D818" s="93" t="str">
        <f t="shared" si="1"/>
        <v>81MAS-100 NT</v>
      </c>
    </row>
    <row r="819" ht="22.5" customHeight="1">
      <c r="A819" s="11" t="s">
        <v>757</v>
      </c>
      <c r="B819" s="11">
        <v>82.0</v>
      </c>
      <c r="C819" s="11">
        <v>96.0</v>
      </c>
      <c r="D819" s="93" t="str">
        <f t="shared" si="1"/>
        <v>82MAS-100 NT</v>
      </c>
    </row>
    <row r="820" ht="22.5" customHeight="1">
      <c r="A820" s="11" t="s">
        <v>757</v>
      </c>
      <c r="B820" s="11">
        <v>83.0</v>
      </c>
      <c r="C820" s="11">
        <v>97.0</v>
      </c>
      <c r="D820" s="93" t="str">
        <f t="shared" si="1"/>
        <v>83MAS-100 NT</v>
      </c>
    </row>
    <row r="821" ht="22.5" customHeight="1">
      <c r="A821" s="11" t="s">
        <v>757</v>
      </c>
      <c r="B821" s="11">
        <v>84.0</v>
      </c>
      <c r="C821" s="11">
        <v>98.0</v>
      </c>
      <c r="D821" s="93" t="str">
        <f t="shared" si="1"/>
        <v>84MAS-100 NT</v>
      </c>
    </row>
    <row r="822" ht="22.5" customHeight="1">
      <c r="A822" s="11" t="s">
        <v>757</v>
      </c>
      <c r="B822" s="11">
        <v>85.0</v>
      </c>
      <c r="C822" s="11">
        <v>100.0</v>
      </c>
      <c r="D822" s="93" t="str">
        <f t="shared" si="1"/>
        <v>85MAS-100 NT</v>
      </c>
    </row>
    <row r="823" ht="22.5" customHeight="1">
      <c r="A823" s="11" t="s">
        <v>757</v>
      </c>
      <c r="B823" s="11">
        <v>86.0</v>
      </c>
      <c r="C823" s="11">
        <v>101.0</v>
      </c>
      <c r="D823" s="93" t="str">
        <f t="shared" si="1"/>
        <v>86MAS-100 NT</v>
      </c>
    </row>
    <row r="824" ht="22.5" customHeight="1">
      <c r="A824" s="11" t="s">
        <v>757</v>
      </c>
      <c r="B824" s="11">
        <v>87.0</v>
      </c>
      <c r="C824" s="11">
        <v>103.0</v>
      </c>
      <c r="D824" s="93" t="str">
        <f t="shared" si="1"/>
        <v>87MAS-100 NT</v>
      </c>
    </row>
    <row r="825" ht="22.5" customHeight="1">
      <c r="A825" s="11" t="s">
        <v>757</v>
      </c>
      <c r="B825" s="11">
        <v>88.0</v>
      </c>
      <c r="C825" s="11">
        <v>104.0</v>
      </c>
      <c r="D825" s="93" t="str">
        <f t="shared" si="1"/>
        <v>88MAS-100 NT</v>
      </c>
    </row>
    <row r="826" ht="22.5" customHeight="1">
      <c r="A826" s="11" t="s">
        <v>757</v>
      </c>
      <c r="B826" s="11">
        <v>89.0</v>
      </c>
      <c r="C826" s="11">
        <v>105.0</v>
      </c>
      <c r="D826" s="93" t="str">
        <f t="shared" si="1"/>
        <v>89MAS-100 NT</v>
      </c>
    </row>
    <row r="827" ht="22.5" customHeight="1">
      <c r="A827" s="11" t="s">
        <v>757</v>
      </c>
      <c r="B827" s="11">
        <v>90.0</v>
      </c>
      <c r="C827" s="11">
        <v>107.0</v>
      </c>
      <c r="D827" s="93" t="str">
        <f t="shared" si="1"/>
        <v>90MAS-100 NT</v>
      </c>
    </row>
    <row r="828" ht="22.5" customHeight="1">
      <c r="A828" s="11" t="s">
        <v>757</v>
      </c>
      <c r="B828" s="11">
        <v>91.0</v>
      </c>
      <c r="C828" s="11">
        <v>108.0</v>
      </c>
      <c r="D828" s="93" t="str">
        <f t="shared" si="1"/>
        <v>91MAS-100 NT</v>
      </c>
    </row>
    <row r="829" ht="22.5" customHeight="1">
      <c r="A829" s="11" t="s">
        <v>757</v>
      </c>
      <c r="B829" s="11">
        <v>92.0</v>
      </c>
      <c r="C829" s="11">
        <v>110.0</v>
      </c>
      <c r="D829" s="93" t="str">
        <f t="shared" si="1"/>
        <v>92MAS-100 NT</v>
      </c>
    </row>
    <row r="830" ht="22.5" customHeight="1">
      <c r="A830" s="11" t="s">
        <v>757</v>
      </c>
      <c r="B830" s="11">
        <v>93.0</v>
      </c>
      <c r="C830" s="11">
        <v>111.0</v>
      </c>
      <c r="D830" s="93" t="str">
        <f t="shared" si="1"/>
        <v>93MAS-100 NT</v>
      </c>
    </row>
    <row r="831" ht="22.5" customHeight="1">
      <c r="A831" s="11" t="s">
        <v>757</v>
      </c>
      <c r="B831" s="11">
        <v>94.0</v>
      </c>
      <c r="C831" s="11">
        <v>113.0</v>
      </c>
      <c r="D831" s="93" t="str">
        <f t="shared" si="1"/>
        <v>94MAS-100 NT</v>
      </c>
    </row>
    <row r="832" ht="22.5" customHeight="1">
      <c r="A832" s="11" t="s">
        <v>757</v>
      </c>
      <c r="B832" s="11">
        <v>95.0</v>
      </c>
      <c r="C832" s="11">
        <v>114.0</v>
      </c>
      <c r="D832" s="93" t="str">
        <f t="shared" si="1"/>
        <v>95MAS-100 NT</v>
      </c>
    </row>
    <row r="833" ht="22.5" customHeight="1">
      <c r="A833" s="11" t="s">
        <v>757</v>
      </c>
      <c r="B833" s="11">
        <v>96.0</v>
      </c>
      <c r="C833" s="11">
        <v>115.0</v>
      </c>
      <c r="D833" s="93" t="str">
        <f t="shared" si="1"/>
        <v>96MAS-100 NT</v>
      </c>
    </row>
    <row r="834" ht="22.5" customHeight="1">
      <c r="A834" s="11" t="s">
        <v>757</v>
      </c>
      <c r="B834" s="11">
        <v>97.0</v>
      </c>
      <c r="C834" s="11">
        <v>117.0</v>
      </c>
      <c r="D834" s="93" t="str">
        <f t="shared" si="1"/>
        <v>97MAS-100 NT</v>
      </c>
    </row>
    <row r="835" ht="22.5" customHeight="1">
      <c r="A835" s="11" t="s">
        <v>757</v>
      </c>
      <c r="B835" s="11">
        <v>98.0</v>
      </c>
      <c r="C835" s="11">
        <v>118.0</v>
      </c>
      <c r="D835" s="93" t="str">
        <f t="shared" si="1"/>
        <v>98MAS-100 NT</v>
      </c>
    </row>
    <row r="836" ht="22.5" customHeight="1">
      <c r="A836" s="11" t="s">
        <v>757</v>
      </c>
      <c r="B836" s="11">
        <v>99.0</v>
      </c>
      <c r="C836" s="11">
        <v>120.0</v>
      </c>
      <c r="D836" s="93" t="str">
        <f t="shared" si="1"/>
        <v>99MAS-100 NT</v>
      </c>
    </row>
    <row r="837" ht="22.5" customHeight="1">
      <c r="A837" s="11" t="s">
        <v>757</v>
      </c>
      <c r="B837" s="11">
        <v>100.0</v>
      </c>
      <c r="C837" s="11">
        <v>121.0</v>
      </c>
      <c r="D837" s="93" t="str">
        <f t="shared" si="1"/>
        <v>100MAS-100 NT</v>
      </c>
    </row>
    <row r="838" ht="22.5" customHeight="1">
      <c r="A838" s="11" t="s">
        <v>757</v>
      </c>
      <c r="B838" s="11">
        <v>101.0</v>
      </c>
      <c r="C838" s="11">
        <v>123.0</v>
      </c>
      <c r="D838" s="93" t="str">
        <f t="shared" si="1"/>
        <v>101MAS-100 NT</v>
      </c>
    </row>
    <row r="839" ht="22.5" customHeight="1">
      <c r="A839" s="11" t="s">
        <v>757</v>
      </c>
      <c r="B839" s="11">
        <v>102.0</v>
      </c>
      <c r="C839" s="11">
        <v>124.0</v>
      </c>
      <c r="D839" s="93" t="str">
        <f t="shared" si="1"/>
        <v>102MAS-100 NT</v>
      </c>
    </row>
    <row r="840" ht="22.5" customHeight="1">
      <c r="A840" s="11" t="s">
        <v>757</v>
      </c>
      <c r="B840" s="11">
        <v>103.0</v>
      </c>
      <c r="C840" s="11">
        <v>126.0</v>
      </c>
      <c r="D840" s="93" t="str">
        <f t="shared" si="1"/>
        <v>103MAS-100 NT</v>
      </c>
    </row>
    <row r="841" ht="22.5" customHeight="1">
      <c r="A841" s="11" t="s">
        <v>757</v>
      </c>
      <c r="B841" s="11">
        <v>104.0</v>
      </c>
      <c r="C841" s="11">
        <v>127.0</v>
      </c>
      <c r="D841" s="93" t="str">
        <f t="shared" si="1"/>
        <v>104MAS-100 NT</v>
      </c>
    </row>
    <row r="842" ht="22.5" customHeight="1">
      <c r="A842" s="11" t="s">
        <v>757</v>
      </c>
      <c r="B842" s="11">
        <v>105.0</v>
      </c>
      <c r="C842" s="11">
        <v>129.0</v>
      </c>
      <c r="D842" s="93" t="str">
        <f t="shared" si="1"/>
        <v>105MAS-100 NT</v>
      </c>
    </row>
    <row r="843" ht="22.5" customHeight="1">
      <c r="A843" s="11" t="s">
        <v>757</v>
      </c>
      <c r="B843" s="11">
        <v>106.0</v>
      </c>
      <c r="C843" s="11">
        <v>131.0</v>
      </c>
      <c r="D843" s="93" t="str">
        <f t="shared" si="1"/>
        <v>106MAS-100 NT</v>
      </c>
    </row>
    <row r="844" ht="22.5" customHeight="1">
      <c r="A844" s="11" t="s">
        <v>757</v>
      </c>
      <c r="B844" s="11">
        <v>107.0</v>
      </c>
      <c r="C844" s="11">
        <v>132.0</v>
      </c>
      <c r="D844" s="93" t="str">
        <f t="shared" si="1"/>
        <v>107MAS-100 NT</v>
      </c>
    </row>
    <row r="845" ht="22.5" customHeight="1">
      <c r="A845" s="11" t="s">
        <v>757</v>
      </c>
      <c r="B845" s="11">
        <v>108.0</v>
      </c>
      <c r="C845" s="11">
        <v>134.0</v>
      </c>
      <c r="D845" s="93" t="str">
        <f t="shared" si="1"/>
        <v>108MAS-100 NT</v>
      </c>
    </row>
    <row r="846" ht="22.5" customHeight="1">
      <c r="A846" s="11" t="s">
        <v>757</v>
      </c>
      <c r="B846" s="11">
        <v>109.0</v>
      </c>
      <c r="C846" s="11">
        <v>135.0</v>
      </c>
      <c r="D846" s="93" t="str">
        <f t="shared" si="1"/>
        <v>109MAS-100 NT</v>
      </c>
    </row>
    <row r="847" ht="22.5" customHeight="1">
      <c r="A847" s="11" t="s">
        <v>757</v>
      </c>
      <c r="B847" s="11">
        <v>110.0</v>
      </c>
      <c r="C847" s="11">
        <v>137.0</v>
      </c>
      <c r="D847" s="93" t="str">
        <f t="shared" si="1"/>
        <v>110MAS-100 NT</v>
      </c>
    </row>
    <row r="848" ht="22.5" customHeight="1">
      <c r="A848" s="11" t="s">
        <v>757</v>
      </c>
      <c r="B848" s="11">
        <v>111.0</v>
      </c>
      <c r="C848" s="11">
        <v>138.0</v>
      </c>
      <c r="D848" s="93" t="str">
        <f t="shared" si="1"/>
        <v>111MAS-100 NT</v>
      </c>
    </row>
    <row r="849" ht="22.5" customHeight="1">
      <c r="A849" s="11" t="s">
        <v>757</v>
      </c>
      <c r="B849" s="11">
        <v>112.0</v>
      </c>
      <c r="C849" s="11">
        <v>140.0</v>
      </c>
      <c r="D849" s="93" t="str">
        <f t="shared" si="1"/>
        <v>112MAS-100 NT</v>
      </c>
    </row>
    <row r="850" ht="22.5" customHeight="1">
      <c r="A850" s="11" t="s">
        <v>757</v>
      </c>
      <c r="B850" s="11">
        <v>113.0</v>
      </c>
      <c r="C850" s="11">
        <v>142.0</v>
      </c>
      <c r="D850" s="93" t="str">
        <f t="shared" si="1"/>
        <v>113MAS-100 NT</v>
      </c>
    </row>
    <row r="851" ht="22.5" customHeight="1">
      <c r="A851" s="11" t="s">
        <v>757</v>
      </c>
      <c r="B851" s="11">
        <v>114.0</v>
      </c>
      <c r="C851" s="11">
        <v>143.0</v>
      </c>
      <c r="D851" s="93" t="str">
        <f t="shared" si="1"/>
        <v>114MAS-100 NT</v>
      </c>
    </row>
    <row r="852" ht="22.5" customHeight="1">
      <c r="A852" s="11" t="s">
        <v>757</v>
      </c>
      <c r="B852" s="11">
        <v>115.0</v>
      </c>
      <c r="C852" s="11">
        <v>145.0</v>
      </c>
      <c r="D852" s="93" t="str">
        <f t="shared" si="1"/>
        <v>115MAS-100 NT</v>
      </c>
    </row>
    <row r="853" ht="22.5" customHeight="1">
      <c r="A853" s="11" t="s">
        <v>757</v>
      </c>
      <c r="B853" s="11">
        <v>116.0</v>
      </c>
      <c r="C853" s="11">
        <v>146.0</v>
      </c>
      <c r="D853" s="93" t="str">
        <f t="shared" si="1"/>
        <v>116MAS-100 NT</v>
      </c>
    </row>
    <row r="854" ht="22.5" customHeight="1">
      <c r="A854" s="11" t="s">
        <v>757</v>
      </c>
      <c r="B854" s="11">
        <v>117.0</v>
      </c>
      <c r="C854" s="11">
        <v>148.0</v>
      </c>
      <c r="D854" s="93" t="str">
        <f t="shared" si="1"/>
        <v>117MAS-100 NT</v>
      </c>
    </row>
    <row r="855" ht="22.5" customHeight="1">
      <c r="A855" s="11" t="s">
        <v>757</v>
      </c>
      <c r="B855" s="11">
        <v>118.0</v>
      </c>
      <c r="C855" s="11">
        <v>150.0</v>
      </c>
      <c r="D855" s="93" t="str">
        <f t="shared" si="1"/>
        <v>118MAS-100 NT</v>
      </c>
    </row>
    <row r="856" ht="22.5" customHeight="1">
      <c r="A856" s="11" t="s">
        <v>757</v>
      </c>
      <c r="B856" s="11">
        <v>119.0</v>
      </c>
      <c r="C856" s="11">
        <v>151.0</v>
      </c>
      <c r="D856" s="93" t="str">
        <f t="shared" si="1"/>
        <v>119MAS-100 NT</v>
      </c>
    </row>
    <row r="857" ht="22.5" customHeight="1">
      <c r="A857" s="11" t="s">
        <v>757</v>
      </c>
      <c r="B857" s="11">
        <v>120.0</v>
      </c>
      <c r="C857" s="11">
        <v>153.0</v>
      </c>
      <c r="D857" s="93" t="str">
        <f t="shared" si="1"/>
        <v>120MAS-100 NT</v>
      </c>
    </row>
    <row r="858" ht="22.5" customHeight="1">
      <c r="A858" s="11" t="s">
        <v>757</v>
      </c>
      <c r="B858" s="11">
        <v>121.0</v>
      </c>
      <c r="C858" s="11">
        <v>155.0</v>
      </c>
      <c r="D858" s="93" t="str">
        <f t="shared" si="1"/>
        <v>121MAS-100 NT</v>
      </c>
    </row>
    <row r="859" ht="22.5" customHeight="1">
      <c r="A859" s="11" t="s">
        <v>757</v>
      </c>
      <c r="B859" s="11">
        <v>122.0</v>
      </c>
      <c r="C859" s="11">
        <v>156.0</v>
      </c>
      <c r="D859" s="93" t="str">
        <f t="shared" si="1"/>
        <v>122MAS-100 NT</v>
      </c>
    </row>
    <row r="860" ht="22.5" customHeight="1">
      <c r="A860" s="11" t="s">
        <v>757</v>
      </c>
      <c r="B860" s="11">
        <v>123.0</v>
      </c>
      <c r="C860" s="11">
        <v>158.0</v>
      </c>
      <c r="D860" s="93" t="str">
        <f t="shared" si="1"/>
        <v>123MAS-100 NT</v>
      </c>
    </row>
    <row r="861" ht="22.5" customHeight="1">
      <c r="A861" s="11" t="s">
        <v>757</v>
      </c>
      <c r="B861" s="11">
        <v>124.0</v>
      </c>
      <c r="C861" s="11">
        <v>160.0</v>
      </c>
      <c r="D861" s="93" t="str">
        <f t="shared" si="1"/>
        <v>124MAS-100 NT</v>
      </c>
    </row>
    <row r="862" ht="22.5" customHeight="1">
      <c r="A862" s="11" t="s">
        <v>757</v>
      </c>
      <c r="B862" s="11">
        <v>125.0</v>
      </c>
      <c r="C862" s="11">
        <v>161.0</v>
      </c>
      <c r="D862" s="93" t="str">
        <f t="shared" si="1"/>
        <v>125MAS-100 NT</v>
      </c>
    </row>
    <row r="863" ht="22.5" customHeight="1">
      <c r="A863" s="11" t="s">
        <v>757</v>
      </c>
      <c r="B863" s="11">
        <v>126.0</v>
      </c>
      <c r="C863" s="11">
        <v>163.0</v>
      </c>
      <c r="D863" s="93" t="str">
        <f t="shared" si="1"/>
        <v>126MAS-100 NT</v>
      </c>
    </row>
    <row r="864" ht="22.5" customHeight="1">
      <c r="A864" s="11" t="s">
        <v>757</v>
      </c>
      <c r="B864" s="11">
        <v>127.0</v>
      </c>
      <c r="C864" s="11">
        <v>165.0</v>
      </c>
      <c r="D864" s="93" t="str">
        <f t="shared" si="1"/>
        <v>127MAS-100 NT</v>
      </c>
    </row>
    <row r="865" ht="22.5" customHeight="1">
      <c r="A865" s="11" t="s">
        <v>757</v>
      </c>
      <c r="B865" s="11">
        <v>128.0</v>
      </c>
      <c r="C865" s="11">
        <v>167.0</v>
      </c>
      <c r="D865" s="93" t="str">
        <f t="shared" si="1"/>
        <v>128MAS-100 NT</v>
      </c>
    </row>
    <row r="866" ht="22.5" customHeight="1">
      <c r="A866" s="11" t="s">
        <v>757</v>
      </c>
      <c r="B866" s="11">
        <v>129.0</v>
      </c>
      <c r="C866" s="11">
        <v>168.0</v>
      </c>
      <c r="D866" s="93" t="str">
        <f t="shared" si="1"/>
        <v>129MAS-100 NT</v>
      </c>
    </row>
    <row r="867" ht="22.5" customHeight="1">
      <c r="A867" s="11" t="s">
        <v>757</v>
      </c>
      <c r="B867" s="11">
        <v>130.0</v>
      </c>
      <c r="C867" s="11">
        <v>170.0</v>
      </c>
      <c r="D867" s="93" t="str">
        <f t="shared" si="1"/>
        <v>130MAS-100 NT</v>
      </c>
    </row>
    <row r="868" ht="22.5" customHeight="1">
      <c r="A868" s="11" t="s">
        <v>757</v>
      </c>
      <c r="B868" s="11">
        <v>131.0</v>
      </c>
      <c r="C868" s="11">
        <v>172.0</v>
      </c>
      <c r="D868" s="93" t="str">
        <f t="shared" si="1"/>
        <v>131MAS-100 NT</v>
      </c>
    </row>
    <row r="869" ht="22.5" customHeight="1">
      <c r="A869" s="11" t="s">
        <v>757</v>
      </c>
      <c r="B869" s="11">
        <v>132.0</v>
      </c>
      <c r="C869" s="11">
        <v>174.0</v>
      </c>
      <c r="D869" s="93" t="str">
        <f t="shared" si="1"/>
        <v>132MAS-100 NT</v>
      </c>
    </row>
    <row r="870" ht="22.5" customHeight="1">
      <c r="A870" s="11" t="s">
        <v>757</v>
      </c>
      <c r="B870" s="11">
        <v>133.0</v>
      </c>
      <c r="C870" s="11">
        <v>175.0</v>
      </c>
      <c r="D870" s="93" t="str">
        <f t="shared" si="1"/>
        <v>133MAS-100 NT</v>
      </c>
    </row>
    <row r="871" ht="22.5" customHeight="1">
      <c r="A871" s="11" t="s">
        <v>757</v>
      </c>
      <c r="B871" s="11">
        <v>134.0</v>
      </c>
      <c r="C871" s="11">
        <v>177.0</v>
      </c>
      <c r="D871" s="93" t="str">
        <f t="shared" si="1"/>
        <v>134MAS-100 NT</v>
      </c>
    </row>
    <row r="872" ht="22.5" customHeight="1">
      <c r="A872" s="11" t="s">
        <v>757</v>
      </c>
      <c r="B872" s="11">
        <v>135.0</v>
      </c>
      <c r="C872" s="11">
        <v>179.0</v>
      </c>
      <c r="D872" s="93" t="str">
        <f t="shared" si="1"/>
        <v>135MAS-100 NT</v>
      </c>
    </row>
    <row r="873" ht="22.5" customHeight="1">
      <c r="A873" s="11" t="s">
        <v>757</v>
      </c>
      <c r="B873" s="11">
        <v>136.0</v>
      </c>
      <c r="C873" s="11">
        <v>181.0</v>
      </c>
      <c r="D873" s="93" t="str">
        <f t="shared" si="1"/>
        <v>136MAS-100 NT</v>
      </c>
    </row>
    <row r="874" ht="22.5" customHeight="1">
      <c r="A874" s="11" t="s">
        <v>757</v>
      </c>
      <c r="B874" s="11">
        <v>137.0</v>
      </c>
      <c r="C874" s="11">
        <v>183.0</v>
      </c>
      <c r="D874" s="93" t="str">
        <f t="shared" si="1"/>
        <v>137MAS-100 NT</v>
      </c>
    </row>
    <row r="875" ht="22.5" customHeight="1">
      <c r="A875" s="11" t="s">
        <v>757</v>
      </c>
      <c r="B875" s="11">
        <v>138.0</v>
      </c>
      <c r="C875" s="11">
        <v>184.0</v>
      </c>
      <c r="D875" s="93" t="str">
        <f t="shared" si="1"/>
        <v>138MAS-100 NT</v>
      </c>
    </row>
    <row r="876" ht="22.5" customHeight="1">
      <c r="A876" s="11" t="s">
        <v>757</v>
      </c>
      <c r="B876" s="11">
        <v>139.0</v>
      </c>
      <c r="C876" s="11">
        <v>186.0</v>
      </c>
      <c r="D876" s="93" t="str">
        <f t="shared" si="1"/>
        <v>139MAS-100 NT</v>
      </c>
    </row>
    <row r="877" ht="22.5" customHeight="1">
      <c r="A877" s="11" t="s">
        <v>757</v>
      </c>
      <c r="B877" s="11">
        <v>140.0</v>
      </c>
      <c r="C877" s="11">
        <v>188.0</v>
      </c>
      <c r="D877" s="93" t="str">
        <f t="shared" si="1"/>
        <v>140MAS-100 NT</v>
      </c>
    </row>
    <row r="878" ht="22.5" customHeight="1">
      <c r="A878" s="11" t="s">
        <v>757</v>
      </c>
      <c r="B878" s="11">
        <v>141.0</v>
      </c>
      <c r="C878" s="11">
        <v>190.0</v>
      </c>
      <c r="D878" s="93" t="str">
        <f t="shared" si="1"/>
        <v>141MAS-100 NT</v>
      </c>
    </row>
    <row r="879" ht="22.5" customHeight="1">
      <c r="A879" s="11" t="s">
        <v>757</v>
      </c>
      <c r="B879" s="11">
        <v>142.0</v>
      </c>
      <c r="C879" s="11">
        <v>192.0</v>
      </c>
      <c r="D879" s="93" t="str">
        <f t="shared" si="1"/>
        <v>142MAS-100 NT</v>
      </c>
    </row>
    <row r="880" ht="22.5" customHeight="1">
      <c r="A880" s="11" t="s">
        <v>757</v>
      </c>
      <c r="B880" s="11">
        <v>143.0</v>
      </c>
      <c r="C880" s="11">
        <v>194.0</v>
      </c>
      <c r="D880" s="93" t="str">
        <f t="shared" si="1"/>
        <v>143MAS-100 NT</v>
      </c>
    </row>
    <row r="881" ht="22.5" customHeight="1">
      <c r="A881" s="11" t="s">
        <v>757</v>
      </c>
      <c r="B881" s="11">
        <v>144.0</v>
      </c>
      <c r="C881" s="11">
        <v>196.0</v>
      </c>
      <c r="D881" s="93" t="str">
        <f t="shared" si="1"/>
        <v>144MAS-100 NT</v>
      </c>
    </row>
    <row r="882" ht="22.5" customHeight="1">
      <c r="A882" s="11" t="s">
        <v>757</v>
      </c>
      <c r="B882" s="11">
        <v>145.0</v>
      </c>
      <c r="C882" s="11">
        <v>198.0</v>
      </c>
      <c r="D882" s="93" t="str">
        <f t="shared" si="1"/>
        <v>145MAS-100 NT</v>
      </c>
    </row>
    <row r="883" ht="22.5" customHeight="1">
      <c r="A883" s="11" t="s">
        <v>757</v>
      </c>
      <c r="B883" s="11">
        <v>146.0</v>
      </c>
      <c r="C883" s="11">
        <v>200.0</v>
      </c>
      <c r="D883" s="93" t="str">
        <f t="shared" si="1"/>
        <v>146MAS-100 NT</v>
      </c>
    </row>
    <row r="884" ht="22.5" customHeight="1">
      <c r="A884" s="11" t="s">
        <v>757</v>
      </c>
      <c r="B884" s="11">
        <v>147.0</v>
      </c>
      <c r="C884" s="11">
        <v>202.0</v>
      </c>
      <c r="D884" s="93" t="str">
        <f t="shared" si="1"/>
        <v>147MAS-100 NT</v>
      </c>
    </row>
    <row r="885" ht="22.5" customHeight="1">
      <c r="A885" s="11" t="s">
        <v>757</v>
      </c>
      <c r="B885" s="11">
        <v>148.0</v>
      </c>
      <c r="C885" s="11">
        <v>203.0</v>
      </c>
      <c r="D885" s="93" t="str">
        <f t="shared" si="1"/>
        <v>148MAS-100 NT</v>
      </c>
    </row>
    <row r="886" ht="22.5" customHeight="1">
      <c r="A886" s="11" t="s">
        <v>757</v>
      </c>
      <c r="B886" s="11">
        <v>149.0</v>
      </c>
      <c r="C886" s="11">
        <v>205.0</v>
      </c>
      <c r="D886" s="93" t="str">
        <f t="shared" si="1"/>
        <v>149MAS-100 NT</v>
      </c>
    </row>
    <row r="887" ht="22.5" customHeight="1">
      <c r="A887" s="11" t="s">
        <v>757</v>
      </c>
      <c r="B887" s="11">
        <v>150.0</v>
      </c>
      <c r="C887" s="11">
        <v>207.0</v>
      </c>
      <c r="D887" s="93" t="str">
        <f t="shared" si="1"/>
        <v>150MAS-100 NT</v>
      </c>
    </row>
    <row r="888" ht="22.5" customHeight="1">
      <c r="A888" s="11" t="s">
        <v>757</v>
      </c>
      <c r="B888" s="11">
        <v>151.0</v>
      </c>
      <c r="C888" s="11">
        <v>209.0</v>
      </c>
      <c r="D888" s="93" t="str">
        <f t="shared" si="1"/>
        <v>151MAS-100 NT</v>
      </c>
    </row>
    <row r="889" ht="22.5" customHeight="1">
      <c r="A889" s="11" t="s">
        <v>757</v>
      </c>
      <c r="B889" s="11">
        <v>152.0</v>
      </c>
      <c r="C889" s="11">
        <v>211.0</v>
      </c>
      <c r="D889" s="93" t="str">
        <f t="shared" si="1"/>
        <v>152MAS-100 NT</v>
      </c>
    </row>
    <row r="890" ht="22.5" customHeight="1">
      <c r="A890" s="11" t="s">
        <v>757</v>
      </c>
      <c r="B890" s="11">
        <v>153.0</v>
      </c>
      <c r="C890" s="11">
        <v>213.0</v>
      </c>
      <c r="D890" s="93" t="str">
        <f t="shared" si="1"/>
        <v>153MAS-100 NT</v>
      </c>
    </row>
    <row r="891" ht="22.5" customHeight="1">
      <c r="A891" s="11" t="s">
        <v>757</v>
      </c>
      <c r="B891" s="11">
        <v>154.0</v>
      </c>
      <c r="C891" s="11">
        <v>216.0</v>
      </c>
      <c r="D891" s="93" t="str">
        <f t="shared" si="1"/>
        <v>154MAS-100 NT</v>
      </c>
    </row>
    <row r="892" ht="22.5" customHeight="1">
      <c r="A892" s="11" t="s">
        <v>757</v>
      </c>
      <c r="B892" s="11">
        <v>155.0</v>
      </c>
      <c r="C892" s="11">
        <v>218.0</v>
      </c>
      <c r="D892" s="93" t="str">
        <f t="shared" si="1"/>
        <v>155MAS-100 NT</v>
      </c>
    </row>
    <row r="893" ht="22.5" customHeight="1">
      <c r="A893" s="11" t="s">
        <v>757</v>
      </c>
      <c r="B893" s="11">
        <v>156.0</v>
      </c>
      <c r="C893" s="11">
        <v>220.0</v>
      </c>
      <c r="D893" s="93" t="str">
        <f t="shared" si="1"/>
        <v>156MAS-100 NT</v>
      </c>
    </row>
    <row r="894" ht="22.5" customHeight="1">
      <c r="A894" s="11" t="s">
        <v>757</v>
      </c>
      <c r="B894" s="11">
        <v>157.0</v>
      </c>
      <c r="C894" s="11">
        <v>222.0</v>
      </c>
      <c r="D894" s="93" t="str">
        <f t="shared" si="1"/>
        <v>157MAS-100 NT</v>
      </c>
    </row>
    <row r="895" ht="22.5" customHeight="1">
      <c r="A895" s="11" t="s">
        <v>757</v>
      </c>
      <c r="B895" s="11">
        <v>158.0</v>
      </c>
      <c r="C895" s="11">
        <v>224.0</v>
      </c>
      <c r="D895" s="93" t="str">
        <f t="shared" si="1"/>
        <v>158MAS-100 NT</v>
      </c>
    </row>
    <row r="896" ht="22.5" customHeight="1">
      <c r="A896" s="11" t="s">
        <v>757</v>
      </c>
      <c r="B896" s="11">
        <v>159.0</v>
      </c>
      <c r="C896" s="11">
        <v>226.0</v>
      </c>
      <c r="D896" s="93" t="str">
        <f t="shared" si="1"/>
        <v>159MAS-100 NT</v>
      </c>
    </row>
    <row r="897" ht="22.5" customHeight="1">
      <c r="A897" s="11" t="s">
        <v>757</v>
      </c>
      <c r="B897" s="11">
        <v>160.0</v>
      </c>
      <c r="C897" s="11">
        <v>228.0</v>
      </c>
      <c r="D897" s="93" t="str">
        <f t="shared" si="1"/>
        <v>160MAS-100 NT</v>
      </c>
    </row>
    <row r="898" ht="22.5" customHeight="1">
      <c r="A898" s="11" t="s">
        <v>757</v>
      </c>
      <c r="B898" s="11">
        <v>161.0</v>
      </c>
      <c r="C898" s="11">
        <v>230.0</v>
      </c>
      <c r="D898" s="93" t="str">
        <f t="shared" si="1"/>
        <v>161MAS-100 NT</v>
      </c>
    </row>
    <row r="899" ht="22.5" customHeight="1">
      <c r="A899" s="11" t="s">
        <v>757</v>
      </c>
      <c r="B899" s="11">
        <v>162.0</v>
      </c>
      <c r="C899" s="11">
        <v>232.0</v>
      </c>
      <c r="D899" s="93" t="str">
        <f t="shared" si="1"/>
        <v>162MAS-100 NT</v>
      </c>
    </row>
    <row r="900" ht="22.5" customHeight="1">
      <c r="A900" s="11" t="s">
        <v>757</v>
      </c>
      <c r="B900" s="11">
        <v>163.0</v>
      </c>
      <c r="C900" s="11">
        <v>235.0</v>
      </c>
      <c r="D900" s="93" t="str">
        <f t="shared" si="1"/>
        <v>163MAS-100 NT</v>
      </c>
    </row>
    <row r="901" ht="22.5" customHeight="1">
      <c r="A901" s="11" t="s">
        <v>757</v>
      </c>
      <c r="B901" s="11">
        <v>164.0</v>
      </c>
      <c r="C901" s="11">
        <v>237.0</v>
      </c>
      <c r="D901" s="93" t="str">
        <f t="shared" si="1"/>
        <v>164MAS-100 NT</v>
      </c>
    </row>
    <row r="902" ht="22.5" customHeight="1">
      <c r="A902" s="11" t="s">
        <v>757</v>
      </c>
      <c r="B902" s="11">
        <v>165.0</v>
      </c>
      <c r="C902" s="11">
        <v>239.0</v>
      </c>
      <c r="D902" s="93" t="str">
        <f t="shared" si="1"/>
        <v>165MAS-100 NT</v>
      </c>
    </row>
    <row r="903" ht="22.5" customHeight="1">
      <c r="A903" s="11" t="s">
        <v>757</v>
      </c>
      <c r="B903" s="11">
        <v>166.0</v>
      </c>
      <c r="C903" s="11">
        <v>241.0</v>
      </c>
      <c r="D903" s="93" t="str">
        <f t="shared" si="1"/>
        <v>166MAS-100 NT</v>
      </c>
    </row>
    <row r="904" ht="22.5" customHeight="1">
      <c r="A904" s="11" t="s">
        <v>757</v>
      </c>
      <c r="B904" s="11">
        <v>167.0</v>
      </c>
      <c r="C904" s="11">
        <v>243.0</v>
      </c>
      <c r="D904" s="93" t="str">
        <f t="shared" si="1"/>
        <v>167MAS-100 NT</v>
      </c>
    </row>
    <row r="905" ht="22.5" customHeight="1">
      <c r="A905" s="11" t="s">
        <v>757</v>
      </c>
      <c r="B905" s="11">
        <v>168.0</v>
      </c>
      <c r="C905" s="11">
        <v>246.0</v>
      </c>
      <c r="D905" s="93" t="str">
        <f t="shared" si="1"/>
        <v>168MAS-100 NT</v>
      </c>
    </row>
    <row r="906" ht="22.5" customHeight="1">
      <c r="A906" s="11" t="s">
        <v>757</v>
      </c>
      <c r="B906" s="11">
        <v>169.0</v>
      </c>
      <c r="C906" s="11">
        <v>248.0</v>
      </c>
      <c r="D906" s="93" t="str">
        <f t="shared" si="1"/>
        <v>169MAS-100 NT</v>
      </c>
    </row>
    <row r="907" ht="22.5" customHeight="1">
      <c r="A907" s="11" t="s">
        <v>757</v>
      </c>
      <c r="B907" s="11">
        <v>170.0</v>
      </c>
      <c r="C907" s="11">
        <v>250.0</v>
      </c>
      <c r="D907" s="93" t="str">
        <f t="shared" si="1"/>
        <v>170MAS-100 NT</v>
      </c>
    </row>
    <row r="908" ht="22.5" customHeight="1">
      <c r="A908" s="11" t="s">
        <v>757</v>
      </c>
      <c r="B908" s="11">
        <v>171.0</v>
      </c>
      <c r="C908" s="11">
        <v>253.0</v>
      </c>
      <c r="D908" s="93" t="str">
        <f t="shared" si="1"/>
        <v>171MAS-100 NT</v>
      </c>
    </row>
    <row r="909" ht="22.5" customHeight="1">
      <c r="A909" s="11" t="s">
        <v>757</v>
      </c>
      <c r="B909" s="11">
        <v>172.0</v>
      </c>
      <c r="C909" s="11">
        <v>255.0</v>
      </c>
      <c r="D909" s="93" t="str">
        <f t="shared" si="1"/>
        <v>172MAS-100 NT</v>
      </c>
    </row>
    <row r="910" ht="22.5" customHeight="1">
      <c r="A910" s="11" t="s">
        <v>757</v>
      </c>
      <c r="B910" s="11">
        <v>173.0</v>
      </c>
      <c r="C910" s="11">
        <v>257.0</v>
      </c>
      <c r="D910" s="93" t="str">
        <f t="shared" si="1"/>
        <v>173MAS-100 NT</v>
      </c>
    </row>
    <row r="911" ht="22.5" customHeight="1">
      <c r="A911" s="11" t="s">
        <v>757</v>
      </c>
      <c r="B911" s="11">
        <v>174.0</v>
      </c>
      <c r="C911" s="11">
        <v>260.0</v>
      </c>
      <c r="D911" s="93" t="str">
        <f t="shared" si="1"/>
        <v>174MAS-100 NT</v>
      </c>
    </row>
    <row r="912" ht="22.5" customHeight="1">
      <c r="A912" s="11" t="s">
        <v>757</v>
      </c>
      <c r="B912" s="11">
        <v>175.0</v>
      </c>
      <c r="C912" s="11">
        <v>262.0</v>
      </c>
      <c r="D912" s="93" t="str">
        <f t="shared" si="1"/>
        <v>175MAS-100 NT</v>
      </c>
    </row>
    <row r="913" ht="22.5" customHeight="1">
      <c r="A913" s="11" t="s">
        <v>757</v>
      </c>
      <c r="B913" s="11">
        <v>176.0</v>
      </c>
      <c r="C913" s="11">
        <v>264.0</v>
      </c>
      <c r="D913" s="93" t="str">
        <f t="shared" si="1"/>
        <v>176MAS-100 NT</v>
      </c>
    </row>
    <row r="914" ht="22.5" customHeight="1">
      <c r="A914" s="11" t="s">
        <v>757</v>
      </c>
      <c r="B914" s="11">
        <v>177.0</v>
      </c>
      <c r="C914" s="11">
        <v>267.0</v>
      </c>
      <c r="D914" s="93" t="str">
        <f t="shared" si="1"/>
        <v>177MAS-100 NT</v>
      </c>
    </row>
    <row r="915" ht="22.5" customHeight="1">
      <c r="A915" s="11" t="s">
        <v>757</v>
      </c>
      <c r="B915" s="11">
        <v>178.0</v>
      </c>
      <c r="C915" s="11">
        <v>269.0</v>
      </c>
      <c r="D915" s="93" t="str">
        <f t="shared" si="1"/>
        <v>178MAS-100 NT</v>
      </c>
    </row>
    <row r="916" ht="22.5" customHeight="1">
      <c r="A916" s="11" t="s">
        <v>757</v>
      </c>
      <c r="B916" s="11">
        <v>179.0</v>
      </c>
      <c r="C916" s="11">
        <v>272.0</v>
      </c>
      <c r="D916" s="93" t="str">
        <f t="shared" si="1"/>
        <v>179MAS-100 NT</v>
      </c>
    </row>
    <row r="917" ht="22.5" customHeight="1">
      <c r="A917" s="11" t="s">
        <v>757</v>
      </c>
      <c r="B917" s="11">
        <v>180.0</v>
      </c>
      <c r="C917" s="11">
        <v>274.0</v>
      </c>
      <c r="D917" s="93" t="str">
        <f t="shared" si="1"/>
        <v>180MAS-100 NT</v>
      </c>
    </row>
    <row r="918" ht="22.5" customHeight="1">
      <c r="A918" s="11" t="s">
        <v>757</v>
      </c>
      <c r="B918" s="11">
        <v>181.0</v>
      </c>
      <c r="C918" s="11">
        <v>277.0</v>
      </c>
      <c r="D918" s="93" t="str">
        <f t="shared" si="1"/>
        <v>181MAS-100 NT</v>
      </c>
    </row>
    <row r="919" ht="22.5" customHeight="1">
      <c r="A919" s="11" t="s">
        <v>757</v>
      </c>
      <c r="B919" s="11">
        <v>182.0</v>
      </c>
      <c r="C919" s="11">
        <v>279.0</v>
      </c>
      <c r="D919" s="93" t="str">
        <f t="shared" si="1"/>
        <v>182MAS-100 NT</v>
      </c>
    </row>
    <row r="920" ht="22.5" customHeight="1">
      <c r="A920" s="11" t="s">
        <v>757</v>
      </c>
      <c r="B920" s="11">
        <v>183.0</v>
      </c>
      <c r="C920" s="11">
        <v>282.0</v>
      </c>
      <c r="D920" s="93" t="str">
        <f t="shared" si="1"/>
        <v>183MAS-100 NT</v>
      </c>
    </row>
    <row r="921" ht="22.5" customHeight="1">
      <c r="A921" s="11" t="s">
        <v>757</v>
      </c>
      <c r="B921" s="11">
        <v>184.0</v>
      </c>
      <c r="C921" s="11">
        <v>284.0</v>
      </c>
      <c r="D921" s="93" t="str">
        <f t="shared" si="1"/>
        <v>184MAS-100 NT</v>
      </c>
    </row>
    <row r="922" ht="22.5" customHeight="1">
      <c r="A922" s="11" t="s">
        <v>757</v>
      </c>
      <c r="B922" s="11">
        <v>185.0</v>
      </c>
      <c r="C922" s="11">
        <v>287.0</v>
      </c>
      <c r="D922" s="93" t="str">
        <f t="shared" si="1"/>
        <v>185MAS-100 NT</v>
      </c>
    </row>
    <row r="923" ht="22.5" customHeight="1">
      <c r="A923" s="11" t="s">
        <v>757</v>
      </c>
      <c r="B923" s="11">
        <v>186.0</v>
      </c>
      <c r="C923" s="11">
        <v>289.0</v>
      </c>
      <c r="D923" s="93" t="str">
        <f t="shared" si="1"/>
        <v>186MAS-100 NT</v>
      </c>
    </row>
    <row r="924" ht="22.5" customHeight="1">
      <c r="A924" s="11" t="s">
        <v>757</v>
      </c>
      <c r="B924" s="11">
        <v>187.0</v>
      </c>
      <c r="C924" s="11">
        <v>292.0</v>
      </c>
      <c r="D924" s="93" t="str">
        <f t="shared" si="1"/>
        <v>187MAS-100 NT</v>
      </c>
    </row>
    <row r="925" ht="22.5" customHeight="1">
      <c r="A925" s="11" t="s">
        <v>757</v>
      </c>
      <c r="B925" s="11">
        <v>188.0</v>
      </c>
      <c r="C925" s="11">
        <v>295.0</v>
      </c>
      <c r="D925" s="93" t="str">
        <f t="shared" si="1"/>
        <v>188MAS-100 NT</v>
      </c>
    </row>
    <row r="926" ht="22.5" customHeight="1">
      <c r="A926" s="11" t="s">
        <v>757</v>
      </c>
      <c r="B926" s="11">
        <v>189.0</v>
      </c>
      <c r="C926" s="11">
        <v>297.0</v>
      </c>
      <c r="D926" s="93" t="str">
        <f t="shared" si="1"/>
        <v>189MAS-100 NT</v>
      </c>
    </row>
    <row r="927" ht="22.5" customHeight="1">
      <c r="A927" s="11" t="s">
        <v>757</v>
      </c>
      <c r="B927" s="11">
        <v>190.0</v>
      </c>
      <c r="C927" s="11">
        <v>300.0</v>
      </c>
      <c r="D927" s="93" t="str">
        <f t="shared" si="1"/>
        <v>190MAS-100 NT</v>
      </c>
    </row>
    <row r="928" ht="22.5" customHeight="1">
      <c r="A928" s="11" t="s">
        <v>757</v>
      </c>
      <c r="B928" s="11">
        <v>191.0</v>
      </c>
      <c r="C928" s="11">
        <v>303.0</v>
      </c>
      <c r="D928" s="93" t="str">
        <f t="shared" si="1"/>
        <v>191MAS-100 NT</v>
      </c>
    </row>
    <row r="929" ht="22.5" customHeight="1">
      <c r="A929" s="11" t="s">
        <v>757</v>
      </c>
      <c r="B929" s="11">
        <v>192.0</v>
      </c>
      <c r="C929" s="11">
        <v>306.0</v>
      </c>
      <c r="D929" s="93" t="str">
        <f t="shared" si="1"/>
        <v>192MAS-100 NT</v>
      </c>
    </row>
    <row r="930" ht="22.5" customHeight="1">
      <c r="A930" s="11" t="s">
        <v>757</v>
      </c>
      <c r="B930" s="11">
        <v>193.0</v>
      </c>
      <c r="C930" s="11">
        <v>308.0</v>
      </c>
      <c r="D930" s="93" t="str">
        <f t="shared" si="1"/>
        <v>193MAS-100 NT</v>
      </c>
    </row>
    <row r="931" ht="22.5" customHeight="1">
      <c r="A931" s="11" t="s">
        <v>757</v>
      </c>
      <c r="B931" s="11">
        <v>194.0</v>
      </c>
      <c r="C931" s="11">
        <v>311.0</v>
      </c>
      <c r="D931" s="93" t="str">
        <f t="shared" si="1"/>
        <v>194MAS-100 NT</v>
      </c>
    </row>
    <row r="932" ht="22.5" customHeight="1">
      <c r="A932" s="11" t="s">
        <v>757</v>
      </c>
      <c r="B932" s="11">
        <v>195.0</v>
      </c>
      <c r="C932" s="11">
        <v>314.0</v>
      </c>
      <c r="D932" s="93" t="str">
        <f t="shared" si="1"/>
        <v>195MAS-100 NT</v>
      </c>
    </row>
    <row r="933" ht="22.5" customHeight="1">
      <c r="A933" s="11" t="s">
        <v>757</v>
      </c>
      <c r="B933" s="11">
        <v>196.0</v>
      </c>
      <c r="C933" s="11">
        <v>317.0</v>
      </c>
      <c r="D933" s="93" t="str">
        <f t="shared" si="1"/>
        <v>196MAS-100 NT</v>
      </c>
    </row>
    <row r="934" ht="22.5" customHeight="1">
      <c r="A934" s="11" t="s">
        <v>757</v>
      </c>
      <c r="B934" s="11">
        <v>197.0</v>
      </c>
      <c r="C934" s="11">
        <v>320.0</v>
      </c>
      <c r="D934" s="93" t="str">
        <f t="shared" si="1"/>
        <v>197MAS-100 NT</v>
      </c>
    </row>
    <row r="935" ht="22.5" customHeight="1">
      <c r="A935" s="11" t="s">
        <v>757</v>
      </c>
      <c r="B935" s="11">
        <v>198.0</v>
      </c>
      <c r="C935" s="11">
        <v>323.0</v>
      </c>
      <c r="D935" s="93" t="str">
        <f t="shared" si="1"/>
        <v>198MAS-100 NT</v>
      </c>
    </row>
    <row r="936" ht="22.5" customHeight="1">
      <c r="A936" s="11" t="s">
        <v>757</v>
      </c>
      <c r="B936" s="11">
        <v>199.0</v>
      </c>
      <c r="C936" s="11">
        <v>326.0</v>
      </c>
      <c r="D936" s="93" t="str">
        <f t="shared" si="1"/>
        <v>199MAS-100 NT</v>
      </c>
    </row>
    <row r="937" ht="22.5" customHeight="1">
      <c r="A937" s="11" t="s">
        <v>757</v>
      </c>
      <c r="B937" s="11">
        <v>200.0</v>
      </c>
      <c r="C937" s="11">
        <v>329.0</v>
      </c>
      <c r="D937" s="93" t="str">
        <f t="shared" si="1"/>
        <v>200MAS-100 NT</v>
      </c>
    </row>
    <row r="938" ht="22.5" customHeight="1">
      <c r="A938" s="11" t="s">
        <v>757</v>
      </c>
      <c r="B938" s="11">
        <v>201.0</v>
      </c>
      <c r="C938" s="11">
        <v>332.0</v>
      </c>
      <c r="D938" s="93" t="str">
        <f t="shared" si="1"/>
        <v>201MAS-100 NT</v>
      </c>
    </row>
    <row r="939" ht="22.5" customHeight="1">
      <c r="A939" s="11" t="s">
        <v>757</v>
      </c>
      <c r="B939" s="11">
        <v>202.0</v>
      </c>
      <c r="C939" s="11">
        <v>335.0</v>
      </c>
      <c r="D939" s="93" t="str">
        <f t="shared" si="1"/>
        <v>202MAS-100 NT</v>
      </c>
    </row>
    <row r="940" ht="22.5" customHeight="1">
      <c r="A940" s="11" t="s">
        <v>757</v>
      </c>
      <c r="B940" s="11">
        <v>203.0</v>
      </c>
      <c r="C940" s="11">
        <v>338.0</v>
      </c>
      <c r="D940" s="93" t="str">
        <f t="shared" si="1"/>
        <v>203MAS-100 NT</v>
      </c>
    </row>
    <row r="941" ht="22.5" customHeight="1">
      <c r="A941" s="11" t="s">
        <v>757</v>
      </c>
      <c r="B941" s="11">
        <v>204.0</v>
      </c>
      <c r="C941" s="11">
        <v>341.0</v>
      </c>
      <c r="D941" s="93" t="str">
        <f t="shared" si="1"/>
        <v>204MAS-100 NT</v>
      </c>
    </row>
    <row r="942" ht="22.5" customHeight="1">
      <c r="A942" s="11" t="s">
        <v>757</v>
      </c>
      <c r="B942" s="11">
        <v>205.0</v>
      </c>
      <c r="C942" s="11">
        <v>344.0</v>
      </c>
      <c r="D942" s="93" t="str">
        <f t="shared" si="1"/>
        <v>205MAS-100 NT</v>
      </c>
    </row>
    <row r="943" ht="22.5" customHeight="1">
      <c r="A943" s="11" t="s">
        <v>757</v>
      </c>
      <c r="B943" s="11">
        <v>206.0</v>
      </c>
      <c r="C943" s="11">
        <v>347.0</v>
      </c>
      <c r="D943" s="93" t="str">
        <f t="shared" si="1"/>
        <v>206MAS-100 NT</v>
      </c>
    </row>
    <row r="944" ht="22.5" customHeight="1">
      <c r="A944" s="11" t="s">
        <v>757</v>
      </c>
      <c r="B944" s="11">
        <v>207.0</v>
      </c>
      <c r="C944" s="11">
        <v>350.0</v>
      </c>
      <c r="D944" s="93" t="str">
        <f t="shared" si="1"/>
        <v>207MAS-100 NT</v>
      </c>
    </row>
    <row r="945" ht="22.5" customHeight="1">
      <c r="A945" s="11" t="s">
        <v>757</v>
      </c>
      <c r="B945" s="11">
        <v>208.0</v>
      </c>
      <c r="C945" s="11">
        <v>353.0</v>
      </c>
      <c r="D945" s="93" t="str">
        <f t="shared" si="1"/>
        <v>208MAS-100 NT</v>
      </c>
    </row>
    <row r="946" ht="22.5" customHeight="1">
      <c r="A946" s="11" t="s">
        <v>757</v>
      </c>
      <c r="B946" s="11">
        <v>209.0</v>
      </c>
      <c r="C946" s="11">
        <v>357.0</v>
      </c>
      <c r="D946" s="93" t="str">
        <f t="shared" si="1"/>
        <v>209MAS-100 NT</v>
      </c>
    </row>
    <row r="947" ht="22.5" customHeight="1">
      <c r="A947" s="11" t="s">
        <v>757</v>
      </c>
      <c r="B947" s="11">
        <v>210.0</v>
      </c>
      <c r="C947" s="11">
        <v>360.0</v>
      </c>
      <c r="D947" s="93" t="str">
        <f t="shared" si="1"/>
        <v>210MAS-100 NT</v>
      </c>
    </row>
    <row r="948" ht="22.5" customHeight="1">
      <c r="A948" s="11" t="s">
        <v>757</v>
      </c>
      <c r="B948" s="11">
        <v>211.0</v>
      </c>
      <c r="C948" s="11">
        <v>363.0</v>
      </c>
      <c r="D948" s="93" t="str">
        <f t="shared" si="1"/>
        <v>211MAS-100 NT</v>
      </c>
    </row>
    <row r="949" ht="22.5" customHeight="1">
      <c r="A949" s="11" t="s">
        <v>757</v>
      </c>
      <c r="B949" s="11">
        <v>212.0</v>
      </c>
      <c r="C949" s="11">
        <v>367.0</v>
      </c>
      <c r="D949" s="93" t="str">
        <f t="shared" si="1"/>
        <v>212MAS-100 NT</v>
      </c>
    </row>
    <row r="950" ht="22.5" customHeight="1">
      <c r="A950" s="11" t="s">
        <v>757</v>
      </c>
      <c r="B950" s="11">
        <v>213.0</v>
      </c>
      <c r="C950" s="11">
        <v>370.0</v>
      </c>
      <c r="D950" s="93" t="str">
        <f t="shared" si="1"/>
        <v>213MAS-100 NT</v>
      </c>
    </row>
    <row r="951" ht="22.5" customHeight="1">
      <c r="A951" s="11" t="s">
        <v>757</v>
      </c>
      <c r="B951" s="11">
        <v>214.0</v>
      </c>
      <c r="C951" s="11">
        <v>374.0</v>
      </c>
      <c r="D951" s="93" t="str">
        <f t="shared" si="1"/>
        <v>214MAS-100 NT</v>
      </c>
    </row>
    <row r="952" ht="22.5" customHeight="1">
      <c r="A952" s="11" t="s">
        <v>757</v>
      </c>
      <c r="B952" s="11">
        <v>215.0</v>
      </c>
      <c r="C952" s="11">
        <v>377.0</v>
      </c>
      <c r="D952" s="93" t="str">
        <f t="shared" si="1"/>
        <v>215MAS-100 NT</v>
      </c>
    </row>
    <row r="953" ht="22.5" customHeight="1">
      <c r="A953" s="11" t="s">
        <v>757</v>
      </c>
      <c r="B953" s="11">
        <v>216.0</v>
      </c>
      <c r="C953" s="11">
        <v>381.0</v>
      </c>
      <c r="D953" s="93" t="str">
        <f t="shared" si="1"/>
        <v>216MAS-100 NT</v>
      </c>
    </row>
    <row r="954" ht="22.5" customHeight="1">
      <c r="A954" s="11" t="s">
        <v>757</v>
      </c>
      <c r="B954" s="11">
        <v>217.0</v>
      </c>
      <c r="C954" s="11">
        <v>384.0</v>
      </c>
      <c r="D954" s="93" t="str">
        <f t="shared" si="1"/>
        <v>217MAS-100 NT</v>
      </c>
    </row>
    <row r="955" ht="22.5" customHeight="1">
      <c r="A955" s="11" t="s">
        <v>757</v>
      </c>
      <c r="B955" s="11">
        <v>218.0</v>
      </c>
      <c r="C955" s="11">
        <v>388.0</v>
      </c>
      <c r="D955" s="93" t="str">
        <f t="shared" si="1"/>
        <v>218MAS-100 NT</v>
      </c>
    </row>
    <row r="956" ht="22.5" customHeight="1">
      <c r="A956" s="11" t="s">
        <v>757</v>
      </c>
      <c r="B956" s="11">
        <v>219.0</v>
      </c>
      <c r="C956" s="11">
        <v>391.0</v>
      </c>
      <c r="D956" s="93" t="str">
        <f t="shared" si="1"/>
        <v>219MAS-100 NT</v>
      </c>
    </row>
    <row r="957" ht="22.5" customHeight="1">
      <c r="A957" s="11" t="s">
        <v>757</v>
      </c>
      <c r="B957" s="11">
        <v>220.0</v>
      </c>
      <c r="C957" s="11">
        <v>395.0</v>
      </c>
      <c r="D957" s="93" t="str">
        <f t="shared" si="1"/>
        <v>220MAS-100 NT</v>
      </c>
    </row>
    <row r="958" ht="22.5" customHeight="1">
      <c r="A958" s="11" t="s">
        <v>757</v>
      </c>
      <c r="B958" s="11">
        <v>221.0</v>
      </c>
      <c r="C958" s="11">
        <v>399.0</v>
      </c>
      <c r="D958" s="93" t="str">
        <f t="shared" si="1"/>
        <v>221MAS-100 NT</v>
      </c>
    </row>
    <row r="959" ht="22.5" customHeight="1">
      <c r="A959" s="11" t="s">
        <v>757</v>
      </c>
      <c r="B959" s="11">
        <v>222.0</v>
      </c>
      <c r="C959" s="11">
        <v>403.0</v>
      </c>
      <c r="D959" s="93" t="str">
        <f t="shared" si="1"/>
        <v>222MAS-100 NT</v>
      </c>
    </row>
    <row r="960" ht="22.5" customHeight="1">
      <c r="A960" s="11" t="s">
        <v>757</v>
      </c>
      <c r="B960" s="11">
        <v>223.0</v>
      </c>
      <c r="C960" s="11">
        <v>407.0</v>
      </c>
      <c r="D960" s="93" t="str">
        <f t="shared" si="1"/>
        <v>223MAS-100 NT</v>
      </c>
    </row>
    <row r="961" ht="22.5" customHeight="1">
      <c r="A961" s="11" t="s">
        <v>757</v>
      </c>
      <c r="B961" s="11">
        <v>224.0</v>
      </c>
      <c r="C961" s="11">
        <v>410.0</v>
      </c>
      <c r="D961" s="93" t="str">
        <f t="shared" si="1"/>
        <v>224MAS-100 NT</v>
      </c>
    </row>
    <row r="962" ht="22.5" customHeight="1">
      <c r="A962" s="11" t="s">
        <v>757</v>
      </c>
      <c r="B962" s="11">
        <v>225.0</v>
      </c>
      <c r="C962" s="11">
        <v>414.0</v>
      </c>
      <c r="D962" s="93" t="str">
        <f t="shared" si="1"/>
        <v>225MAS-100 NT</v>
      </c>
    </row>
    <row r="963" ht="22.5" customHeight="1">
      <c r="A963" s="11" t="s">
        <v>757</v>
      </c>
      <c r="B963" s="11">
        <v>226.0</v>
      </c>
      <c r="C963" s="11">
        <v>418.0</v>
      </c>
      <c r="D963" s="93" t="str">
        <f t="shared" si="1"/>
        <v>226MAS-100 NT</v>
      </c>
    </row>
    <row r="964" ht="22.5" customHeight="1">
      <c r="A964" s="11" t="s">
        <v>757</v>
      </c>
      <c r="B964" s="11">
        <v>227.0</v>
      </c>
      <c r="C964" s="11">
        <v>422.0</v>
      </c>
      <c r="D964" s="93" t="str">
        <f t="shared" si="1"/>
        <v>227MAS-100 NT</v>
      </c>
    </row>
    <row r="965" ht="22.5" customHeight="1">
      <c r="A965" s="11" t="s">
        <v>757</v>
      </c>
      <c r="B965" s="11">
        <v>228.0</v>
      </c>
      <c r="C965" s="11">
        <v>427.0</v>
      </c>
      <c r="D965" s="93" t="str">
        <f t="shared" si="1"/>
        <v>228MAS-100 NT</v>
      </c>
    </row>
    <row r="966" ht="22.5" customHeight="1">
      <c r="A966" s="11" t="s">
        <v>757</v>
      </c>
      <c r="B966" s="11">
        <v>229.0</v>
      </c>
      <c r="C966" s="11">
        <v>431.0</v>
      </c>
      <c r="D966" s="93" t="str">
        <f t="shared" si="1"/>
        <v>229MAS-100 NT</v>
      </c>
    </row>
    <row r="967" ht="22.5" customHeight="1">
      <c r="A967" s="11" t="s">
        <v>757</v>
      </c>
      <c r="B967" s="11">
        <v>230.0</v>
      </c>
      <c r="C967" s="11">
        <v>435.0</v>
      </c>
      <c r="D967" s="93" t="str">
        <f t="shared" si="1"/>
        <v>230MAS-100 NT</v>
      </c>
    </row>
    <row r="968" ht="22.5" customHeight="1">
      <c r="A968" s="11" t="s">
        <v>757</v>
      </c>
      <c r="B968" s="11">
        <v>231.0</v>
      </c>
      <c r="C968" s="11">
        <v>439.0</v>
      </c>
      <c r="D968" s="93" t="str">
        <f t="shared" si="1"/>
        <v>231MAS-100 NT</v>
      </c>
    </row>
    <row r="969" ht="22.5" customHeight="1">
      <c r="A969" s="11" t="s">
        <v>757</v>
      </c>
      <c r="B969" s="11">
        <v>232.0</v>
      </c>
      <c r="C969" s="11">
        <v>444.0</v>
      </c>
      <c r="D969" s="93" t="str">
        <f t="shared" si="1"/>
        <v>232MAS-100 NT</v>
      </c>
    </row>
    <row r="970" ht="22.5" customHeight="1">
      <c r="A970" s="11" t="s">
        <v>757</v>
      </c>
      <c r="B970" s="11">
        <v>233.0</v>
      </c>
      <c r="C970" s="11">
        <v>448.0</v>
      </c>
      <c r="D970" s="93" t="str">
        <f t="shared" si="1"/>
        <v>233MAS-100 NT</v>
      </c>
    </row>
    <row r="971" ht="22.5" customHeight="1">
      <c r="A971" s="11" t="s">
        <v>757</v>
      </c>
      <c r="B971" s="11">
        <v>234.0</v>
      </c>
      <c r="C971" s="11">
        <v>452.0</v>
      </c>
      <c r="D971" s="93" t="str">
        <f t="shared" si="1"/>
        <v>234MAS-100 NT</v>
      </c>
    </row>
    <row r="972" ht="22.5" customHeight="1">
      <c r="A972" s="11" t="s">
        <v>757</v>
      </c>
      <c r="B972" s="11">
        <v>235.0</v>
      </c>
      <c r="C972" s="11">
        <v>457.0</v>
      </c>
      <c r="D972" s="93" t="str">
        <f t="shared" si="1"/>
        <v>235MAS-100 NT</v>
      </c>
    </row>
    <row r="973" ht="22.5" customHeight="1">
      <c r="A973" s="11" t="s">
        <v>757</v>
      </c>
      <c r="B973" s="11">
        <v>236.0</v>
      </c>
      <c r="C973" s="11">
        <v>462.0</v>
      </c>
      <c r="D973" s="93" t="str">
        <f t="shared" si="1"/>
        <v>236MAS-100 NT</v>
      </c>
    </row>
    <row r="974" ht="22.5" customHeight="1">
      <c r="A974" s="11" t="s">
        <v>757</v>
      </c>
      <c r="B974" s="11">
        <v>237.0</v>
      </c>
      <c r="C974" s="11">
        <v>466.0</v>
      </c>
      <c r="D974" s="93" t="str">
        <f t="shared" si="1"/>
        <v>237MAS-100 NT</v>
      </c>
    </row>
    <row r="975" ht="22.5" customHeight="1">
      <c r="A975" s="11" t="s">
        <v>757</v>
      </c>
      <c r="B975" s="11">
        <v>238.0</v>
      </c>
      <c r="C975" s="11">
        <v>471.0</v>
      </c>
      <c r="D975" s="93" t="str">
        <f t="shared" si="1"/>
        <v>238MAS-100 NT</v>
      </c>
    </row>
    <row r="976" ht="22.5" customHeight="1">
      <c r="A976" s="11" t="s">
        <v>757</v>
      </c>
      <c r="B976" s="11">
        <v>239.0</v>
      </c>
      <c r="C976" s="11">
        <v>476.0</v>
      </c>
      <c r="D976" s="93" t="str">
        <f t="shared" si="1"/>
        <v>239MAS-100 NT</v>
      </c>
    </row>
    <row r="977" ht="22.5" customHeight="1">
      <c r="A977" s="11" t="s">
        <v>757</v>
      </c>
      <c r="B977" s="11">
        <v>240.0</v>
      </c>
      <c r="C977" s="11">
        <v>481.0</v>
      </c>
      <c r="D977" s="93" t="str">
        <f t="shared" si="1"/>
        <v>240MAS-100 NT</v>
      </c>
    </row>
    <row r="978" ht="22.5" customHeight="1">
      <c r="A978" s="11" t="s">
        <v>757</v>
      </c>
      <c r="B978" s="11">
        <v>241.0</v>
      </c>
      <c r="C978" s="11">
        <v>486.0</v>
      </c>
      <c r="D978" s="93" t="str">
        <f t="shared" si="1"/>
        <v>241MAS-100 NT</v>
      </c>
    </row>
    <row r="979" ht="22.5" customHeight="1">
      <c r="A979" s="11" t="s">
        <v>757</v>
      </c>
      <c r="B979" s="11">
        <v>242.0</v>
      </c>
      <c r="C979" s="11">
        <v>491.0</v>
      </c>
      <c r="D979" s="93" t="str">
        <f t="shared" si="1"/>
        <v>242MAS-100 NT</v>
      </c>
    </row>
    <row r="980" ht="22.5" customHeight="1">
      <c r="A980" s="11" t="s">
        <v>757</v>
      </c>
      <c r="B980" s="11">
        <v>243.0</v>
      </c>
      <c r="C980" s="11">
        <v>496.0</v>
      </c>
      <c r="D980" s="93" t="str">
        <f t="shared" si="1"/>
        <v>243MAS-100 NT</v>
      </c>
    </row>
    <row r="981" ht="22.5" customHeight="1">
      <c r="A981" s="11" t="s">
        <v>757</v>
      </c>
      <c r="B981" s="11">
        <v>244.0</v>
      </c>
      <c r="C981" s="11">
        <v>501.0</v>
      </c>
      <c r="D981" s="93" t="str">
        <f t="shared" si="1"/>
        <v>244MAS-100 NT</v>
      </c>
    </row>
    <row r="982" ht="22.5" customHeight="1">
      <c r="A982" s="11" t="s">
        <v>757</v>
      </c>
      <c r="B982" s="11">
        <v>245.0</v>
      </c>
      <c r="C982" s="11">
        <v>507.0</v>
      </c>
      <c r="D982" s="93" t="str">
        <f t="shared" si="1"/>
        <v>245MAS-100 NT</v>
      </c>
    </row>
    <row r="983" ht="22.5" customHeight="1">
      <c r="A983" s="11" t="s">
        <v>757</v>
      </c>
      <c r="B983" s="11">
        <v>246.0</v>
      </c>
      <c r="C983" s="11">
        <v>512.0</v>
      </c>
      <c r="D983" s="93" t="str">
        <f t="shared" si="1"/>
        <v>246MAS-100 NT</v>
      </c>
    </row>
    <row r="984" ht="22.5" customHeight="1">
      <c r="A984" s="11" t="s">
        <v>757</v>
      </c>
      <c r="B984" s="11">
        <v>247.0</v>
      </c>
      <c r="C984" s="11">
        <v>518.0</v>
      </c>
      <c r="D984" s="93" t="str">
        <f t="shared" si="1"/>
        <v>247MAS-100 NT</v>
      </c>
    </row>
    <row r="985" ht="22.5" customHeight="1">
      <c r="A985" s="11" t="s">
        <v>757</v>
      </c>
      <c r="B985" s="11">
        <v>248.0</v>
      </c>
      <c r="C985" s="11">
        <v>523.0</v>
      </c>
      <c r="D985" s="93" t="str">
        <f t="shared" si="1"/>
        <v>248MAS-100 NT</v>
      </c>
    </row>
    <row r="986" ht="22.5" customHeight="1">
      <c r="A986" s="11" t="s">
        <v>757</v>
      </c>
      <c r="B986" s="11">
        <v>249.0</v>
      </c>
      <c r="C986" s="11">
        <v>529.0</v>
      </c>
      <c r="D986" s="93" t="str">
        <f t="shared" si="1"/>
        <v>249MAS-100 NT</v>
      </c>
    </row>
    <row r="987" ht="22.5" customHeight="1">
      <c r="A987" s="11" t="s">
        <v>757</v>
      </c>
      <c r="B987" s="11">
        <v>250.0</v>
      </c>
      <c r="C987" s="11">
        <v>535.0</v>
      </c>
      <c r="D987" s="93" t="str">
        <f t="shared" si="1"/>
        <v>250MAS-100 NT</v>
      </c>
    </row>
    <row r="988" ht="22.5" customHeight="1">
      <c r="A988" s="11" t="s">
        <v>757</v>
      </c>
      <c r="B988" s="11">
        <v>251.0</v>
      </c>
      <c r="C988" s="11">
        <v>541.0</v>
      </c>
      <c r="D988" s="93" t="str">
        <f t="shared" si="1"/>
        <v>251MAS-100 NT</v>
      </c>
    </row>
    <row r="989" ht="22.5" customHeight="1">
      <c r="A989" s="11" t="s">
        <v>757</v>
      </c>
      <c r="B989" s="11">
        <v>252.0</v>
      </c>
      <c r="C989" s="11">
        <v>547.0</v>
      </c>
      <c r="D989" s="93" t="str">
        <f t="shared" si="1"/>
        <v>252MAS-100 NT</v>
      </c>
    </row>
    <row r="990" ht="22.5" customHeight="1">
      <c r="A990" s="11" t="s">
        <v>757</v>
      </c>
      <c r="B990" s="11">
        <v>253.0</v>
      </c>
      <c r="C990" s="11">
        <v>553.0</v>
      </c>
      <c r="D990" s="93" t="str">
        <f t="shared" si="1"/>
        <v>253MAS-100 NT</v>
      </c>
    </row>
    <row r="991" ht="22.5" customHeight="1">
      <c r="A991" s="11" t="s">
        <v>757</v>
      </c>
      <c r="B991" s="11">
        <v>254.0</v>
      </c>
      <c r="C991" s="11">
        <v>557.0</v>
      </c>
      <c r="D991" s="93" t="str">
        <f t="shared" si="1"/>
        <v>254MAS-100 NT</v>
      </c>
    </row>
    <row r="992" ht="22.5" customHeight="1">
      <c r="A992" s="11" t="s">
        <v>757</v>
      </c>
      <c r="B992" s="11">
        <v>255.0</v>
      </c>
      <c r="C992" s="11">
        <v>560.0</v>
      </c>
      <c r="D992" s="93" t="str">
        <f t="shared" si="1"/>
        <v>255MAS-100 NT</v>
      </c>
    </row>
    <row r="993" ht="22.5" customHeight="1">
      <c r="A993" s="11" t="s">
        <v>757</v>
      </c>
      <c r="B993" s="11">
        <v>256.0</v>
      </c>
      <c r="C993" s="11">
        <v>566.0</v>
      </c>
      <c r="D993" s="93" t="str">
        <f t="shared" si="1"/>
        <v>256MAS-100 NT</v>
      </c>
    </row>
    <row r="994" ht="22.5" customHeight="1">
      <c r="A994" s="11" t="s">
        <v>757</v>
      </c>
      <c r="B994" s="11">
        <v>257.0</v>
      </c>
      <c r="C994" s="11">
        <v>573.0</v>
      </c>
      <c r="D994" s="93" t="str">
        <f t="shared" si="1"/>
        <v>257MAS-100 NT</v>
      </c>
    </row>
    <row r="995" ht="22.5" customHeight="1">
      <c r="A995" s="11" t="s">
        <v>757</v>
      </c>
      <c r="B995" s="11">
        <v>258.0</v>
      </c>
      <c r="C995" s="11">
        <v>580.0</v>
      </c>
      <c r="D995" s="93" t="str">
        <f t="shared" si="1"/>
        <v>258MAS-100 NT</v>
      </c>
    </row>
    <row r="996" ht="22.5" customHeight="1">
      <c r="A996" s="11" t="s">
        <v>757</v>
      </c>
      <c r="B996" s="11">
        <v>259.0</v>
      </c>
      <c r="C996" s="11">
        <v>587.0</v>
      </c>
      <c r="D996" s="93" t="str">
        <f t="shared" si="1"/>
        <v>259MAS-100 NT</v>
      </c>
    </row>
    <row r="997" ht="22.5" customHeight="1">
      <c r="A997" s="11" t="s">
        <v>757</v>
      </c>
      <c r="B997" s="11">
        <v>260.0</v>
      </c>
      <c r="C997" s="11">
        <v>594.0</v>
      </c>
      <c r="D997" s="93" t="str">
        <f t="shared" si="1"/>
        <v>260MAS-100 NT</v>
      </c>
    </row>
    <row r="998" ht="22.5" customHeight="1">
      <c r="A998" s="11" t="s">
        <v>757</v>
      </c>
      <c r="B998" s="11">
        <v>261.0</v>
      </c>
      <c r="C998" s="11">
        <v>601.0</v>
      </c>
      <c r="D998" s="93" t="str">
        <f t="shared" si="1"/>
        <v>261MAS-100 NT</v>
      </c>
    </row>
    <row r="999" ht="22.5" customHeight="1">
      <c r="A999" s="11" t="s">
        <v>757</v>
      </c>
      <c r="B999" s="11">
        <v>262.0</v>
      </c>
      <c r="C999" s="11">
        <v>609.0</v>
      </c>
      <c r="D999" s="93" t="str">
        <f t="shared" si="1"/>
        <v>262MAS-100 NT</v>
      </c>
    </row>
    <row r="1000" ht="22.5" customHeight="1">
      <c r="A1000" s="11" t="s">
        <v>757</v>
      </c>
      <c r="B1000" s="11">
        <v>263.0</v>
      </c>
      <c r="C1000" s="11">
        <v>624.0</v>
      </c>
      <c r="D1000" s="93" t="str">
        <f t="shared" si="1"/>
        <v>263MAS-100 NT</v>
      </c>
    </row>
    <row r="1001" ht="22.5" customHeight="1">
      <c r="A1001" s="11" t="s">
        <v>757</v>
      </c>
      <c r="B1001" s="11">
        <v>264.0</v>
      </c>
      <c r="C1001" s="11">
        <v>632.0</v>
      </c>
      <c r="D1001" s="93" t="str">
        <f t="shared" si="1"/>
        <v>264MAS-100 NT</v>
      </c>
    </row>
    <row r="1002" ht="22.5" customHeight="1">
      <c r="A1002" s="11" t="s">
        <v>757</v>
      </c>
      <c r="B1002" s="11">
        <v>265.0</v>
      </c>
      <c r="C1002" s="11">
        <v>641.0</v>
      </c>
      <c r="D1002" s="93" t="str">
        <f t="shared" si="1"/>
        <v>265MAS-100 NT</v>
      </c>
    </row>
    <row r="1003" ht="22.5" customHeight="1">
      <c r="A1003" s="11" t="s">
        <v>757</v>
      </c>
      <c r="B1003" s="11">
        <v>266.0</v>
      </c>
      <c r="C1003" s="11">
        <v>649.0</v>
      </c>
      <c r="D1003" s="93" t="str">
        <f t="shared" si="1"/>
        <v>266MAS-100 NT</v>
      </c>
    </row>
    <row r="1004" ht="22.5" customHeight="1">
      <c r="A1004" s="11" t="s">
        <v>757</v>
      </c>
      <c r="B1004" s="11">
        <v>267.0</v>
      </c>
      <c r="C1004" s="11">
        <v>658.0</v>
      </c>
      <c r="D1004" s="93" t="str">
        <f t="shared" si="1"/>
        <v>267MAS-100 NT</v>
      </c>
    </row>
    <row r="1005" ht="22.5" customHeight="1">
      <c r="A1005" s="11" t="s">
        <v>757</v>
      </c>
      <c r="B1005" s="11">
        <v>268.0</v>
      </c>
      <c r="C1005" s="11">
        <v>667.0</v>
      </c>
      <c r="D1005" s="93" t="str">
        <f t="shared" si="1"/>
        <v>268MAS-100 NT</v>
      </c>
    </row>
    <row r="1006" ht="22.5" customHeight="1">
      <c r="A1006" s="11" t="s">
        <v>757</v>
      </c>
      <c r="B1006" s="11">
        <v>269.0</v>
      </c>
      <c r="C1006" s="11">
        <v>677.0</v>
      </c>
      <c r="D1006" s="93" t="str">
        <f t="shared" si="1"/>
        <v>269MAS-100 NT</v>
      </c>
    </row>
    <row r="1007" ht="22.5" customHeight="1">
      <c r="A1007" s="11" t="s">
        <v>757</v>
      </c>
      <c r="B1007" s="11">
        <v>270.0</v>
      </c>
      <c r="C1007" s="11">
        <v>686.0</v>
      </c>
      <c r="D1007" s="93" t="str">
        <f t="shared" si="1"/>
        <v>270MAS-100 NT</v>
      </c>
    </row>
    <row r="1008" ht="22.5" customHeight="1">
      <c r="A1008" s="11" t="s">
        <v>757</v>
      </c>
      <c r="B1008" s="11">
        <v>271.0</v>
      </c>
      <c r="C1008" s="11">
        <v>696.0</v>
      </c>
      <c r="D1008" s="93" t="str">
        <f t="shared" si="1"/>
        <v>271MAS-100 NT</v>
      </c>
    </row>
    <row r="1009" ht="22.5" customHeight="1">
      <c r="A1009" s="11" t="s">
        <v>757</v>
      </c>
      <c r="B1009" s="11">
        <v>272.0</v>
      </c>
      <c r="C1009" s="11">
        <v>707.0</v>
      </c>
      <c r="D1009" s="93" t="str">
        <f t="shared" si="1"/>
        <v>272MAS-100 NT</v>
      </c>
    </row>
    <row r="1010" ht="22.5" customHeight="1">
      <c r="A1010" s="11" t="s">
        <v>757</v>
      </c>
      <c r="B1010" s="11">
        <v>273.0</v>
      </c>
      <c r="C1010" s="11">
        <v>717.0</v>
      </c>
      <c r="D1010" s="93" t="str">
        <f t="shared" si="1"/>
        <v>273MAS-100 NT</v>
      </c>
    </row>
    <row r="1011" ht="22.5" customHeight="1">
      <c r="A1011" s="11" t="s">
        <v>757</v>
      </c>
      <c r="B1011" s="11">
        <v>274.0</v>
      </c>
      <c r="C1011" s="11">
        <v>728.0</v>
      </c>
      <c r="D1011" s="93" t="str">
        <f t="shared" si="1"/>
        <v>274MAS-100 NT</v>
      </c>
    </row>
    <row r="1012" ht="22.5" customHeight="1">
      <c r="A1012" s="11" t="s">
        <v>757</v>
      </c>
      <c r="B1012" s="11">
        <v>275.0</v>
      </c>
      <c r="C1012" s="11">
        <v>740.0</v>
      </c>
      <c r="D1012" s="93" t="str">
        <f t="shared" si="1"/>
        <v>275MAS-100 NT</v>
      </c>
    </row>
    <row r="1013" ht="22.5" customHeight="1">
      <c r="A1013" s="11" t="s">
        <v>757</v>
      </c>
      <c r="B1013" s="11">
        <v>276.0</v>
      </c>
      <c r="C1013" s="11">
        <v>752.0</v>
      </c>
      <c r="D1013" s="93" t="str">
        <f t="shared" si="1"/>
        <v>276MAS-100 NT</v>
      </c>
    </row>
    <row r="1014" ht="22.5" customHeight="1">
      <c r="A1014" s="11" t="s">
        <v>757</v>
      </c>
      <c r="B1014" s="11">
        <v>277.0</v>
      </c>
      <c r="C1014" s="11">
        <v>765.0</v>
      </c>
      <c r="D1014" s="93" t="str">
        <f t="shared" si="1"/>
        <v>277MAS-100 NT</v>
      </c>
    </row>
    <row r="1015" ht="22.5" customHeight="1">
      <c r="A1015" s="11" t="s">
        <v>757</v>
      </c>
      <c r="B1015" s="11">
        <v>278.0</v>
      </c>
      <c r="C1015" s="11">
        <v>778.0</v>
      </c>
      <c r="D1015" s="93" t="str">
        <f t="shared" si="1"/>
        <v>278MAS-100 NT</v>
      </c>
    </row>
    <row r="1016" ht="22.5" customHeight="1">
      <c r="A1016" s="11" t="s">
        <v>757</v>
      </c>
      <c r="B1016" s="11">
        <v>279.0</v>
      </c>
      <c r="C1016" s="11">
        <v>791.0</v>
      </c>
      <c r="D1016" s="93" t="str">
        <f t="shared" si="1"/>
        <v>279MAS-100 NT</v>
      </c>
    </row>
    <row r="1017" ht="22.5" customHeight="1">
      <c r="A1017" s="11" t="s">
        <v>757</v>
      </c>
      <c r="B1017" s="11">
        <v>280.0</v>
      </c>
      <c r="C1017" s="11">
        <v>805.0</v>
      </c>
      <c r="D1017" s="93" t="str">
        <f t="shared" si="1"/>
        <v>280MAS-100 NT</v>
      </c>
    </row>
    <row r="1018" ht="22.5" customHeight="1">
      <c r="A1018" s="11" t="s">
        <v>757</v>
      </c>
      <c r="B1018" s="11">
        <v>281.0</v>
      </c>
      <c r="C1018" s="11">
        <v>820.0</v>
      </c>
      <c r="D1018" s="93" t="str">
        <f t="shared" si="1"/>
        <v>281MAS-100 NT</v>
      </c>
    </row>
    <row r="1019" ht="22.5" customHeight="1">
      <c r="A1019" s="11" t="s">
        <v>757</v>
      </c>
      <c r="B1019" s="11">
        <v>282.0</v>
      </c>
      <c r="C1019" s="11">
        <v>836.0</v>
      </c>
      <c r="D1019" s="93" t="str">
        <f t="shared" si="1"/>
        <v>282MAS-100 NT</v>
      </c>
    </row>
    <row r="1020" ht="22.5" customHeight="1">
      <c r="A1020" s="11" t="s">
        <v>757</v>
      </c>
      <c r="B1020" s="11">
        <v>283.0</v>
      </c>
      <c r="C1020" s="11">
        <v>853.0</v>
      </c>
      <c r="D1020" s="93" t="str">
        <f t="shared" si="1"/>
        <v>283MAS-100 NT</v>
      </c>
    </row>
    <row r="1021" ht="22.5" customHeight="1">
      <c r="A1021" s="11" t="s">
        <v>757</v>
      </c>
      <c r="B1021" s="11">
        <v>284.0</v>
      </c>
      <c r="C1021" s="11">
        <v>871.0</v>
      </c>
      <c r="D1021" s="93" t="str">
        <f t="shared" si="1"/>
        <v>284MAS-100 NT</v>
      </c>
    </row>
    <row r="1022" ht="22.5" customHeight="1">
      <c r="A1022" s="11" t="s">
        <v>757</v>
      </c>
      <c r="B1022" s="11">
        <v>285.0</v>
      </c>
      <c r="C1022" s="11">
        <v>890.0</v>
      </c>
      <c r="D1022" s="93" t="str">
        <f t="shared" si="1"/>
        <v>285MAS-100 NT</v>
      </c>
    </row>
    <row r="1023" ht="22.5" customHeight="1">
      <c r="A1023" s="11" t="s">
        <v>757</v>
      </c>
      <c r="B1023" s="11">
        <v>286.0</v>
      </c>
      <c r="C1023" s="11">
        <v>909.0</v>
      </c>
      <c r="D1023" s="93" t="str">
        <f t="shared" si="1"/>
        <v>286MAS-100 NT</v>
      </c>
    </row>
    <row r="1024" ht="22.5" customHeight="1">
      <c r="A1024" s="11" t="s">
        <v>757</v>
      </c>
      <c r="B1024" s="11">
        <v>287.0</v>
      </c>
      <c r="C1024" s="11">
        <v>931.0</v>
      </c>
      <c r="D1024" s="93" t="str">
        <f t="shared" si="1"/>
        <v>287MAS-100 NT</v>
      </c>
    </row>
    <row r="1025" ht="22.5" customHeight="1">
      <c r="A1025" s="11" t="s">
        <v>757</v>
      </c>
      <c r="B1025" s="11">
        <v>288.0</v>
      </c>
      <c r="C1025" s="11">
        <v>954.0</v>
      </c>
      <c r="D1025" s="93" t="str">
        <f t="shared" si="1"/>
        <v>288MAS-100 NT</v>
      </c>
    </row>
    <row r="1026" ht="22.5" customHeight="1">
      <c r="A1026" s="11" t="s">
        <v>757</v>
      </c>
      <c r="B1026" s="11">
        <v>289.0</v>
      </c>
      <c r="C1026" s="11">
        <v>979.0</v>
      </c>
      <c r="D1026" s="93" t="str">
        <f t="shared" si="1"/>
        <v>289MAS-100 NT</v>
      </c>
    </row>
    <row r="1027" ht="22.5" customHeight="1">
      <c r="A1027" s="11" t="s">
        <v>757</v>
      </c>
      <c r="B1027" s="11">
        <v>290.0</v>
      </c>
      <c r="C1027" s="11">
        <v>1006.0</v>
      </c>
      <c r="D1027" s="93" t="str">
        <f t="shared" si="1"/>
        <v>290MAS-100 NT</v>
      </c>
    </row>
    <row r="1028" ht="22.5" customHeight="1">
      <c r="A1028" s="11" t="s">
        <v>757</v>
      </c>
      <c r="B1028" s="11">
        <v>291.0</v>
      </c>
      <c r="C1028" s="11">
        <v>1036.0</v>
      </c>
      <c r="D1028" s="93" t="str">
        <f t="shared" si="1"/>
        <v>291MAS-100 NT</v>
      </c>
    </row>
    <row r="1029" ht="22.5" customHeight="1">
      <c r="A1029" s="11" t="s">
        <v>757</v>
      </c>
      <c r="B1029" s="11">
        <v>292.0</v>
      </c>
      <c r="C1029" s="11">
        <v>1069.0</v>
      </c>
      <c r="D1029" s="93" t="str">
        <f t="shared" si="1"/>
        <v>292MAS-100 NT</v>
      </c>
    </row>
    <row r="1030" ht="22.5" customHeight="1">
      <c r="A1030" s="11" t="s">
        <v>757</v>
      </c>
      <c r="B1030" s="11">
        <v>293.0</v>
      </c>
      <c r="C1030" s="11">
        <v>1107.0</v>
      </c>
      <c r="D1030" s="93" t="str">
        <f t="shared" si="1"/>
        <v>293MAS-100 NT</v>
      </c>
    </row>
    <row r="1031" ht="22.5" customHeight="1">
      <c r="A1031" s="11" t="s">
        <v>757</v>
      </c>
      <c r="B1031" s="11">
        <v>294.0</v>
      </c>
      <c r="C1031" s="11">
        <v>1150.0</v>
      </c>
      <c r="D1031" s="93" t="str">
        <f t="shared" si="1"/>
        <v>294MAS-100 NT</v>
      </c>
    </row>
    <row r="1032" ht="22.5" customHeight="1">
      <c r="A1032" s="11" t="s">
        <v>757</v>
      </c>
      <c r="B1032" s="11">
        <v>295.0</v>
      </c>
      <c r="C1032" s="11">
        <v>1200.0</v>
      </c>
      <c r="D1032" s="93" t="str">
        <f t="shared" si="1"/>
        <v>295MAS-100 NT</v>
      </c>
    </row>
    <row r="1033" ht="22.5" customHeight="1">
      <c r="A1033" s="11" t="s">
        <v>757</v>
      </c>
      <c r="B1033" s="11">
        <v>296.0</v>
      </c>
      <c r="C1033" s="11">
        <v>1260.0</v>
      </c>
      <c r="D1033" s="93" t="str">
        <f t="shared" si="1"/>
        <v>296MAS-100 NT</v>
      </c>
    </row>
    <row r="1034" ht="22.5" customHeight="1">
      <c r="A1034" s="11" t="s">
        <v>757</v>
      </c>
      <c r="B1034" s="11">
        <v>297.0</v>
      </c>
      <c r="C1034" s="11">
        <v>1335.0</v>
      </c>
      <c r="D1034" s="93" t="str">
        <f t="shared" si="1"/>
        <v>297MAS-100 NT</v>
      </c>
    </row>
    <row r="1035" ht="22.5" customHeight="1">
      <c r="A1035" s="11" t="s">
        <v>757</v>
      </c>
      <c r="B1035" s="11">
        <v>298.0</v>
      </c>
      <c r="C1035" s="11">
        <v>1435.0</v>
      </c>
      <c r="D1035" s="93" t="str">
        <f t="shared" si="1"/>
        <v>298MAS-100 NT</v>
      </c>
    </row>
    <row r="1036" ht="22.5" customHeight="1">
      <c r="A1036" s="11" t="s">
        <v>757</v>
      </c>
      <c r="B1036" s="11">
        <v>299.0</v>
      </c>
      <c r="C1036" s="11">
        <v>1585.0</v>
      </c>
      <c r="D1036" s="93" t="str">
        <f t="shared" si="1"/>
        <v>299MAS-100 NT</v>
      </c>
    </row>
    <row r="1037" ht="22.5" customHeight="1">
      <c r="A1037" s="11" t="s">
        <v>757</v>
      </c>
      <c r="B1037" s="11">
        <v>300.0</v>
      </c>
      <c r="C1037" s="11">
        <v>1885.0</v>
      </c>
      <c r="D1037" s="93" t="str">
        <f t="shared" si="1"/>
        <v>300MAS-100 NT</v>
      </c>
    </row>
    <row r="1038" ht="22.5" customHeight="1">
      <c r="A1038" s="11" t="s">
        <v>757</v>
      </c>
      <c r="B1038" s="11">
        <v>9999.0</v>
      </c>
      <c r="C1038" s="11">
        <v>9999.0</v>
      </c>
      <c r="D1038" s="93" t="str">
        <f t="shared" si="1"/>
        <v>9999MAS-100 NT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64.5"/>
    <col customWidth="1" min="3" max="3" width="12.63"/>
    <col customWidth="1" min="4" max="4" width="11.5"/>
    <col customWidth="1" min="5" max="5" width="9.0"/>
  </cols>
  <sheetData>
    <row r="1" ht="22.5" customHeight="1">
      <c r="A1" s="125" t="s">
        <v>81</v>
      </c>
      <c r="B1" s="125" t="s">
        <v>162</v>
      </c>
      <c r="C1" s="126" t="s">
        <v>1572</v>
      </c>
      <c r="D1" s="126" t="s">
        <v>163</v>
      </c>
      <c r="E1" s="127" t="s">
        <v>164</v>
      </c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</row>
    <row r="2" ht="22.5" customHeight="1">
      <c r="A2" s="123" t="s">
        <v>255</v>
      </c>
      <c r="B2" s="129" t="s">
        <v>1130</v>
      </c>
      <c r="C2" s="130" t="s">
        <v>1573</v>
      </c>
      <c r="D2" s="131" t="s">
        <v>1049</v>
      </c>
      <c r="E2" s="131" t="s">
        <v>1050</v>
      </c>
      <c r="F2" s="128"/>
      <c r="G2" s="128"/>
      <c r="H2" s="132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ht="22.5" customHeight="1">
      <c r="A3" s="129" t="s">
        <v>290</v>
      </c>
      <c r="B3" s="129" t="s">
        <v>1055</v>
      </c>
      <c r="C3" s="130" t="s">
        <v>1573</v>
      </c>
      <c r="D3" s="131" t="s">
        <v>1049</v>
      </c>
      <c r="E3" s="131" t="s">
        <v>1050</v>
      </c>
      <c r="F3" s="128"/>
      <c r="G3" s="128"/>
      <c r="H3" s="132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 ht="22.5" customHeight="1">
      <c r="A4" s="129" t="s">
        <v>301</v>
      </c>
      <c r="B4" s="129" t="s">
        <v>1058</v>
      </c>
      <c r="C4" s="130" t="s">
        <v>1573</v>
      </c>
      <c r="D4" s="131" t="s">
        <v>1049</v>
      </c>
      <c r="E4" s="131" t="s">
        <v>1050</v>
      </c>
      <c r="F4" s="128"/>
      <c r="G4" s="128"/>
      <c r="H4" s="132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</row>
    <row r="5" ht="22.5" customHeight="1">
      <c r="A5" s="129" t="s">
        <v>313</v>
      </c>
      <c r="B5" s="129" t="s">
        <v>1061</v>
      </c>
      <c r="C5" s="130" t="s">
        <v>1573</v>
      </c>
      <c r="D5" s="131" t="s">
        <v>1049</v>
      </c>
      <c r="E5" s="131" t="s">
        <v>1050</v>
      </c>
      <c r="F5" s="128"/>
      <c r="G5" s="128"/>
      <c r="H5" s="132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</row>
    <row r="6" ht="22.5" customHeight="1">
      <c r="A6" s="129" t="s">
        <v>329</v>
      </c>
      <c r="B6" s="129" t="s">
        <v>1063</v>
      </c>
      <c r="C6" s="130" t="s">
        <v>1573</v>
      </c>
      <c r="D6" s="131" t="s">
        <v>1049</v>
      </c>
      <c r="E6" s="131" t="s">
        <v>1050</v>
      </c>
      <c r="F6" s="128"/>
      <c r="G6" s="128"/>
      <c r="H6" s="132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</row>
    <row r="7" ht="22.5" customHeight="1">
      <c r="A7" s="129" t="s">
        <v>338</v>
      </c>
      <c r="B7" s="129" t="s">
        <v>1066</v>
      </c>
      <c r="C7" s="130" t="s">
        <v>1573</v>
      </c>
      <c r="D7" s="131" t="s">
        <v>1049</v>
      </c>
      <c r="E7" s="131" t="s">
        <v>1050</v>
      </c>
      <c r="F7" s="128"/>
      <c r="G7" s="128"/>
      <c r="H7" s="132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</row>
    <row r="8" ht="22.5" customHeight="1">
      <c r="A8" s="129" t="s">
        <v>352</v>
      </c>
      <c r="B8" s="129" t="s">
        <v>1069</v>
      </c>
      <c r="C8" s="130" t="s">
        <v>1573</v>
      </c>
      <c r="D8" s="131" t="s">
        <v>1049</v>
      </c>
      <c r="E8" s="131" t="s">
        <v>1050</v>
      </c>
      <c r="F8" s="128"/>
      <c r="G8" s="128"/>
      <c r="H8" s="132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</row>
    <row r="9" ht="22.5" customHeight="1">
      <c r="A9" s="129" t="s">
        <v>364</v>
      </c>
      <c r="B9" s="129" t="s">
        <v>1071</v>
      </c>
      <c r="C9" s="130" t="s">
        <v>1573</v>
      </c>
      <c r="D9" s="131" t="s">
        <v>1049</v>
      </c>
      <c r="E9" s="131" t="s">
        <v>1050</v>
      </c>
      <c r="F9" s="128"/>
      <c r="G9" s="128"/>
      <c r="H9" s="132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</row>
    <row r="10" ht="22.5" customHeight="1">
      <c r="A10" s="129" t="s">
        <v>375</v>
      </c>
      <c r="B10" s="129" t="s">
        <v>1575</v>
      </c>
      <c r="C10" s="130" t="s">
        <v>1573</v>
      </c>
      <c r="D10" s="131" t="s">
        <v>1049</v>
      </c>
      <c r="E10" s="131" t="s">
        <v>1050</v>
      </c>
      <c r="F10" s="128"/>
      <c r="G10" s="128"/>
      <c r="H10" s="132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</row>
    <row r="11" ht="22.5" customHeight="1">
      <c r="A11" s="129" t="s">
        <v>388</v>
      </c>
      <c r="B11" s="129" t="s">
        <v>1076</v>
      </c>
      <c r="C11" s="130" t="s">
        <v>1573</v>
      </c>
      <c r="D11" s="131" t="s">
        <v>1049</v>
      </c>
      <c r="E11" s="131" t="s">
        <v>1050</v>
      </c>
      <c r="F11" s="128"/>
      <c r="G11" s="128"/>
      <c r="H11" s="132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</row>
    <row r="12" ht="22.5" customHeight="1">
      <c r="A12" s="129" t="s">
        <v>398</v>
      </c>
      <c r="B12" s="129" t="s">
        <v>1077</v>
      </c>
      <c r="C12" s="130" t="s">
        <v>1573</v>
      </c>
      <c r="D12" s="131" t="s">
        <v>1049</v>
      </c>
      <c r="E12" s="131" t="s">
        <v>1050</v>
      </c>
      <c r="F12" s="128"/>
      <c r="G12" s="128"/>
      <c r="H12" s="132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</row>
    <row r="13" ht="22.5" customHeight="1">
      <c r="A13" s="129" t="s">
        <v>406</v>
      </c>
      <c r="B13" s="129" t="s">
        <v>1078</v>
      </c>
      <c r="C13" s="130" t="s">
        <v>1573</v>
      </c>
      <c r="D13" s="131" t="s">
        <v>1049</v>
      </c>
      <c r="E13" s="131" t="s">
        <v>1050</v>
      </c>
      <c r="F13" s="128"/>
      <c r="G13" s="128"/>
      <c r="H13" s="132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</row>
    <row r="14" ht="22.5" customHeight="1">
      <c r="A14" s="129" t="s">
        <v>417</v>
      </c>
      <c r="B14" s="129" t="s">
        <v>1080</v>
      </c>
      <c r="C14" s="130" t="s">
        <v>1573</v>
      </c>
      <c r="D14" s="131" t="s">
        <v>1049</v>
      </c>
      <c r="E14" s="131" t="s">
        <v>1050</v>
      </c>
      <c r="F14" s="128"/>
      <c r="G14" s="128"/>
      <c r="H14" s="132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</row>
    <row r="15" ht="22.5" customHeight="1">
      <c r="A15" s="129" t="s">
        <v>427</v>
      </c>
      <c r="B15" s="129" t="s">
        <v>1081</v>
      </c>
      <c r="C15" s="130" t="s">
        <v>1573</v>
      </c>
      <c r="D15" s="131" t="s">
        <v>1049</v>
      </c>
      <c r="E15" s="131" t="s">
        <v>1050</v>
      </c>
      <c r="F15" s="128"/>
      <c r="G15" s="128"/>
      <c r="H15" s="132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</row>
    <row r="16" ht="22.5" customHeight="1">
      <c r="A16" s="129" t="s">
        <v>438</v>
      </c>
      <c r="B16" s="129" t="s">
        <v>1082</v>
      </c>
      <c r="C16" s="130" t="s">
        <v>1573</v>
      </c>
      <c r="D16" s="131" t="s">
        <v>1049</v>
      </c>
      <c r="E16" s="131" t="s">
        <v>1050</v>
      </c>
      <c r="F16" s="128"/>
      <c r="G16" s="128"/>
      <c r="H16" s="132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</row>
    <row r="17" ht="22.5" customHeight="1">
      <c r="A17" s="129" t="s">
        <v>448</v>
      </c>
      <c r="B17" s="129" t="s">
        <v>1083</v>
      </c>
      <c r="C17" s="130" t="s">
        <v>1573</v>
      </c>
      <c r="D17" s="131" t="s">
        <v>1049</v>
      </c>
      <c r="E17" s="131" t="s">
        <v>1050</v>
      </c>
      <c r="F17" s="128"/>
      <c r="G17" s="128"/>
      <c r="H17" s="132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</row>
    <row r="18" ht="22.5" customHeight="1">
      <c r="A18" s="129" t="s">
        <v>454</v>
      </c>
      <c r="B18" s="129" t="s">
        <v>1084</v>
      </c>
      <c r="C18" s="130" t="s">
        <v>1573</v>
      </c>
      <c r="D18" s="131" t="s">
        <v>1049</v>
      </c>
      <c r="E18" s="131" t="s">
        <v>1050</v>
      </c>
      <c r="F18" s="128"/>
      <c r="G18" s="128"/>
      <c r="H18" s="132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</row>
    <row r="19" ht="22.5" customHeight="1">
      <c r="A19" s="129" t="s">
        <v>461</v>
      </c>
      <c r="B19" s="129" t="s">
        <v>1085</v>
      </c>
      <c r="C19" s="130" t="s">
        <v>1573</v>
      </c>
      <c r="D19" s="131" t="s">
        <v>1049</v>
      </c>
      <c r="E19" s="131" t="s">
        <v>1050</v>
      </c>
      <c r="F19" s="128"/>
      <c r="G19" s="128"/>
      <c r="H19" s="132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</row>
    <row r="20" ht="22.5" customHeight="1">
      <c r="A20" s="129" t="s">
        <v>468</v>
      </c>
      <c r="B20" s="129" t="s">
        <v>1086</v>
      </c>
      <c r="C20" s="130" t="s">
        <v>1573</v>
      </c>
      <c r="D20" s="131" t="s">
        <v>1049</v>
      </c>
      <c r="E20" s="131" t="s">
        <v>1050</v>
      </c>
      <c r="F20" s="128"/>
      <c r="G20" s="128"/>
      <c r="H20" s="132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</row>
    <row r="21" ht="22.5" customHeight="1">
      <c r="A21" s="129" t="s">
        <v>476</v>
      </c>
      <c r="B21" s="129" t="s">
        <v>1089</v>
      </c>
      <c r="C21" s="130" t="s">
        <v>1573</v>
      </c>
      <c r="D21" s="131" t="s">
        <v>1049</v>
      </c>
      <c r="E21" s="131" t="s">
        <v>1050</v>
      </c>
      <c r="F21" s="128"/>
      <c r="G21" s="128"/>
      <c r="H21" s="132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</row>
    <row r="22" ht="22.5" customHeight="1">
      <c r="A22" s="129" t="s">
        <v>482</v>
      </c>
      <c r="B22" s="129" t="s">
        <v>1083</v>
      </c>
      <c r="C22" s="130" t="s">
        <v>1573</v>
      </c>
      <c r="D22" s="131" t="s">
        <v>1049</v>
      </c>
      <c r="E22" s="131" t="s">
        <v>1050</v>
      </c>
      <c r="F22" s="128"/>
      <c r="G22" s="128"/>
      <c r="H22" s="132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</row>
    <row r="23" ht="22.5" customHeight="1">
      <c r="A23" s="129" t="s">
        <v>489</v>
      </c>
      <c r="B23" s="129" t="s">
        <v>1090</v>
      </c>
      <c r="C23" s="130" t="s">
        <v>1573</v>
      </c>
      <c r="D23" s="131" t="s">
        <v>1049</v>
      </c>
      <c r="E23" s="131" t="s">
        <v>1050</v>
      </c>
      <c r="F23" s="128"/>
      <c r="G23" s="128"/>
      <c r="H23" s="132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</row>
    <row r="24" ht="22.5" customHeight="1">
      <c r="A24" s="129" t="s">
        <v>502</v>
      </c>
      <c r="B24" s="129" t="s">
        <v>1091</v>
      </c>
      <c r="C24" s="130" t="s">
        <v>1573</v>
      </c>
      <c r="D24" s="131" t="s">
        <v>1049</v>
      </c>
      <c r="E24" s="131" t="s">
        <v>1050</v>
      </c>
      <c r="F24" s="128"/>
      <c r="G24" s="128"/>
      <c r="H24" s="132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</row>
    <row r="25" ht="22.5" customHeight="1">
      <c r="A25" s="129" t="s">
        <v>512</v>
      </c>
      <c r="B25" s="129" t="s">
        <v>1092</v>
      </c>
      <c r="C25" s="130" t="s">
        <v>1573</v>
      </c>
      <c r="D25" s="131" t="s">
        <v>1049</v>
      </c>
      <c r="E25" s="131" t="s">
        <v>1050</v>
      </c>
      <c r="F25" s="128"/>
      <c r="G25" s="128"/>
      <c r="H25" s="132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</row>
    <row r="26" ht="22.5" customHeight="1">
      <c r="A26" s="129" t="s">
        <v>521</v>
      </c>
      <c r="B26" s="129" t="s">
        <v>1093</v>
      </c>
      <c r="C26" s="130" t="s">
        <v>1573</v>
      </c>
      <c r="D26" s="131" t="s">
        <v>1049</v>
      </c>
      <c r="E26" s="131" t="s">
        <v>1050</v>
      </c>
      <c r="F26" s="128"/>
      <c r="G26" s="128"/>
      <c r="H26" s="132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</row>
    <row r="27" ht="22.5" customHeight="1">
      <c r="A27" s="129" t="s">
        <v>529</v>
      </c>
      <c r="B27" s="129" t="s">
        <v>1097</v>
      </c>
      <c r="C27" s="130" t="s">
        <v>1573</v>
      </c>
      <c r="D27" s="131" t="s">
        <v>1049</v>
      </c>
      <c r="E27" s="131" t="s">
        <v>1050</v>
      </c>
      <c r="F27" s="128"/>
      <c r="G27" s="128"/>
      <c r="H27" s="132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</row>
    <row r="28" ht="22.5" customHeight="1">
      <c r="A28" s="129" t="s">
        <v>542</v>
      </c>
      <c r="B28" s="129" t="s">
        <v>1098</v>
      </c>
      <c r="C28" s="130" t="s">
        <v>1573</v>
      </c>
      <c r="D28" s="131" t="s">
        <v>1049</v>
      </c>
      <c r="E28" s="131" t="s">
        <v>1050</v>
      </c>
      <c r="F28" s="128"/>
      <c r="G28" s="128"/>
      <c r="H28" s="132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</row>
    <row r="29" ht="22.5" customHeight="1">
      <c r="A29" s="129" t="s">
        <v>549</v>
      </c>
      <c r="B29" s="129" t="s">
        <v>1083</v>
      </c>
      <c r="C29" s="130" t="s">
        <v>1573</v>
      </c>
      <c r="D29" s="131" t="s">
        <v>1049</v>
      </c>
      <c r="E29" s="131" t="s">
        <v>1050</v>
      </c>
      <c r="F29" s="128"/>
      <c r="G29" s="128"/>
      <c r="H29" s="132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</row>
    <row r="30" ht="22.5" customHeight="1">
      <c r="A30" s="133" t="s">
        <v>555</v>
      </c>
      <c r="B30" s="133" t="s">
        <v>882</v>
      </c>
      <c r="C30" s="130" t="s">
        <v>1576</v>
      </c>
      <c r="D30" s="131" t="s">
        <v>1049</v>
      </c>
      <c r="E30" s="131" t="s">
        <v>1050</v>
      </c>
      <c r="F30" s="128"/>
      <c r="G30" s="128"/>
      <c r="H30" s="132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</row>
    <row r="31" ht="22.5" customHeight="1">
      <c r="A31" s="129" t="s">
        <v>560</v>
      </c>
      <c r="B31" s="129" t="s">
        <v>1100</v>
      </c>
      <c r="C31" s="130" t="s">
        <v>1573</v>
      </c>
      <c r="D31" s="131" t="s">
        <v>1049</v>
      </c>
      <c r="E31" s="131" t="s">
        <v>1050</v>
      </c>
      <c r="F31" s="128"/>
      <c r="G31" s="128"/>
      <c r="H31" s="132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</row>
    <row r="32" ht="22.5" customHeight="1">
      <c r="A32" s="129" t="s">
        <v>568</v>
      </c>
      <c r="B32" s="129" t="s">
        <v>1102</v>
      </c>
      <c r="C32" s="130" t="s">
        <v>1573</v>
      </c>
      <c r="D32" s="131" t="s">
        <v>1049</v>
      </c>
      <c r="E32" s="131" t="s">
        <v>1050</v>
      </c>
      <c r="F32" s="128"/>
      <c r="G32" s="128"/>
      <c r="H32" s="132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</row>
    <row r="33" ht="22.5" customHeight="1">
      <c r="A33" s="129" t="s">
        <v>577</v>
      </c>
      <c r="B33" s="129" t="s">
        <v>1085</v>
      </c>
      <c r="C33" s="130" t="s">
        <v>1573</v>
      </c>
      <c r="D33" s="131" t="s">
        <v>1049</v>
      </c>
      <c r="E33" s="131" t="s">
        <v>1050</v>
      </c>
      <c r="F33" s="128"/>
      <c r="G33" s="128"/>
      <c r="H33" s="132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</row>
    <row r="34" ht="22.5" customHeight="1">
      <c r="A34" s="129" t="s">
        <v>582</v>
      </c>
      <c r="B34" s="129" t="s">
        <v>1083</v>
      </c>
      <c r="C34" s="130" t="s">
        <v>1573</v>
      </c>
      <c r="D34" s="131" t="s">
        <v>1049</v>
      </c>
      <c r="E34" s="131" t="s">
        <v>1050</v>
      </c>
      <c r="F34" s="128"/>
      <c r="G34" s="128"/>
      <c r="H34" s="132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</row>
    <row r="35" ht="22.5" customHeight="1">
      <c r="A35" s="133" t="s">
        <v>589</v>
      </c>
      <c r="B35" s="133" t="s">
        <v>1103</v>
      </c>
      <c r="C35" s="130" t="s">
        <v>1579</v>
      </c>
      <c r="D35" s="131" t="s">
        <v>1049</v>
      </c>
      <c r="E35" s="131" t="s">
        <v>1050</v>
      </c>
      <c r="F35" s="128"/>
      <c r="G35" s="128"/>
      <c r="H35" s="132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</row>
    <row r="36" ht="22.5" customHeight="1">
      <c r="A36" s="133" t="s">
        <v>598</v>
      </c>
      <c r="B36" s="133" t="s">
        <v>1104</v>
      </c>
      <c r="C36" s="130" t="s">
        <v>1580</v>
      </c>
      <c r="D36" s="131" t="s">
        <v>1049</v>
      </c>
      <c r="E36" s="131" t="s">
        <v>1050</v>
      </c>
      <c r="F36" s="128"/>
      <c r="G36" s="128"/>
      <c r="H36" s="132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</row>
    <row r="37" ht="22.5" customHeight="1">
      <c r="A37" s="133" t="s">
        <v>607</v>
      </c>
      <c r="B37" s="133" t="s">
        <v>1105</v>
      </c>
      <c r="C37" s="130" t="s">
        <v>1581</v>
      </c>
      <c r="D37" s="131" t="s">
        <v>1049</v>
      </c>
      <c r="E37" s="131" t="s">
        <v>1050</v>
      </c>
      <c r="F37" s="128"/>
      <c r="G37" s="128"/>
      <c r="H37" s="132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</row>
    <row r="38" ht="22.5" customHeight="1">
      <c r="A38" s="129" t="s">
        <v>408</v>
      </c>
      <c r="B38" s="129" t="s">
        <v>1106</v>
      </c>
      <c r="C38" s="130" t="s">
        <v>409</v>
      </c>
      <c r="D38" s="130" t="s">
        <v>1049</v>
      </c>
      <c r="E38" s="131" t="s">
        <v>1050</v>
      </c>
      <c r="F38" s="128"/>
      <c r="G38" s="128"/>
      <c r="H38" s="132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</row>
    <row r="39" ht="22.5" customHeight="1">
      <c r="A39" s="129" t="s">
        <v>400</v>
      </c>
      <c r="B39" s="129" t="s">
        <v>1107</v>
      </c>
      <c r="C39" s="130" t="s">
        <v>401</v>
      </c>
      <c r="D39" s="130" t="s">
        <v>1049</v>
      </c>
      <c r="E39" s="131" t="s">
        <v>1050</v>
      </c>
      <c r="F39" s="128"/>
      <c r="G39" s="128"/>
      <c r="H39" s="132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</row>
    <row r="40" ht="22.5" customHeight="1">
      <c r="A40" s="129" t="s">
        <v>308</v>
      </c>
      <c r="B40" s="129" t="s">
        <v>1108</v>
      </c>
      <c r="C40" s="130" t="s">
        <v>309</v>
      </c>
      <c r="D40" s="130" t="s">
        <v>1049</v>
      </c>
      <c r="E40" s="131" t="s">
        <v>1050</v>
      </c>
      <c r="F40" s="128"/>
      <c r="G40" s="128"/>
      <c r="H40" s="132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</row>
    <row r="41" ht="22.5" customHeight="1">
      <c r="A41" s="129" t="s">
        <v>322</v>
      </c>
      <c r="B41" s="129" t="s">
        <v>1109</v>
      </c>
      <c r="C41" s="130" t="s">
        <v>323</v>
      </c>
      <c r="D41" s="130" t="s">
        <v>1049</v>
      </c>
      <c r="E41" s="131" t="s">
        <v>1050</v>
      </c>
      <c r="F41" s="128"/>
      <c r="G41" s="128"/>
      <c r="H41" s="132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</row>
    <row r="42" ht="22.5" customHeight="1">
      <c r="A42" s="129" t="s">
        <v>340</v>
      </c>
      <c r="B42" s="129" t="s">
        <v>1110</v>
      </c>
      <c r="C42" s="130" t="s">
        <v>342</v>
      </c>
      <c r="D42" s="130" t="s">
        <v>1049</v>
      </c>
      <c r="E42" s="131" t="s">
        <v>1050</v>
      </c>
      <c r="F42" s="128"/>
      <c r="G42" s="128"/>
      <c r="H42" s="132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</row>
    <row r="43" ht="22.5" customHeight="1">
      <c r="A43" s="129" t="s">
        <v>348</v>
      </c>
      <c r="B43" s="129" t="s">
        <v>1111</v>
      </c>
      <c r="C43" s="130" t="s">
        <v>349</v>
      </c>
      <c r="D43" s="130" t="s">
        <v>1049</v>
      </c>
      <c r="E43" s="131" t="s">
        <v>1050</v>
      </c>
      <c r="F43" s="128"/>
      <c r="G43" s="128"/>
      <c r="H43" s="132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</row>
    <row r="44" ht="22.5" customHeight="1">
      <c r="A44" s="129" t="s">
        <v>357</v>
      </c>
      <c r="B44" s="129" t="s">
        <v>1114</v>
      </c>
      <c r="C44" s="130" t="s">
        <v>358</v>
      </c>
      <c r="D44" s="130" t="s">
        <v>1049</v>
      </c>
      <c r="E44" s="131" t="s">
        <v>1050</v>
      </c>
      <c r="F44" s="128"/>
      <c r="G44" s="128"/>
      <c r="H44" s="132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</row>
    <row r="45" ht="22.5" customHeight="1">
      <c r="A45" s="129" t="s">
        <v>370</v>
      </c>
      <c r="B45" s="129" t="s">
        <v>1115</v>
      </c>
      <c r="C45" s="130" t="s">
        <v>371</v>
      </c>
      <c r="D45" s="130" t="s">
        <v>1049</v>
      </c>
      <c r="E45" s="131" t="s">
        <v>1050</v>
      </c>
      <c r="F45" s="128"/>
      <c r="G45" s="128"/>
      <c r="H45" s="132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</row>
    <row r="46" ht="22.5" customHeight="1">
      <c r="A46" s="129" t="s">
        <v>374</v>
      </c>
      <c r="B46" s="129" t="s">
        <v>1116</v>
      </c>
      <c r="C46" s="130" t="s">
        <v>376</v>
      </c>
      <c r="D46" s="130" t="s">
        <v>1049</v>
      </c>
      <c r="E46" s="131" t="s">
        <v>1050</v>
      </c>
      <c r="F46" s="128"/>
      <c r="G46" s="128"/>
      <c r="H46" s="132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</row>
    <row r="47" ht="22.5" customHeight="1">
      <c r="A47" s="129" t="s">
        <v>384</v>
      </c>
      <c r="B47" s="129" t="s">
        <v>1117</v>
      </c>
      <c r="C47" s="130" t="s">
        <v>385</v>
      </c>
      <c r="D47" s="130" t="s">
        <v>1049</v>
      </c>
      <c r="E47" s="131" t="s">
        <v>1050</v>
      </c>
      <c r="F47" s="128"/>
      <c r="G47" s="128"/>
      <c r="H47" s="132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</row>
    <row r="48" ht="22.5" customHeight="1">
      <c r="A48" s="129" t="s">
        <v>660</v>
      </c>
      <c r="B48" s="129" t="s">
        <v>1118</v>
      </c>
      <c r="C48" s="130" t="s">
        <v>606</v>
      </c>
      <c r="D48" s="130" t="s">
        <v>1049</v>
      </c>
      <c r="E48" s="131" t="s">
        <v>1050</v>
      </c>
      <c r="F48" s="128"/>
      <c r="G48" s="128"/>
      <c r="H48" s="132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</row>
    <row r="49" ht="22.5" customHeight="1">
      <c r="A49" s="129" t="s">
        <v>684</v>
      </c>
      <c r="B49" s="129" t="s">
        <v>1069</v>
      </c>
      <c r="C49" s="130" t="s">
        <v>1573</v>
      </c>
      <c r="D49" s="131" t="s">
        <v>1049</v>
      </c>
      <c r="E49" s="131" t="s">
        <v>1050</v>
      </c>
      <c r="F49" s="128"/>
      <c r="G49" s="128"/>
      <c r="H49" s="132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</row>
    <row r="50" ht="22.5" customHeight="1">
      <c r="A50" s="129" t="s">
        <v>688</v>
      </c>
      <c r="B50" s="129" t="s">
        <v>1119</v>
      </c>
      <c r="C50" s="130" t="s">
        <v>1573</v>
      </c>
      <c r="D50" s="131" t="s">
        <v>1049</v>
      </c>
      <c r="E50" s="131" t="s">
        <v>1050</v>
      </c>
      <c r="F50" s="128"/>
      <c r="G50" s="128"/>
      <c r="H50" s="132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</row>
    <row r="51" ht="22.5" customHeight="1">
      <c r="A51" s="129" t="s">
        <v>394</v>
      </c>
      <c r="B51" s="129" t="s">
        <v>1120</v>
      </c>
      <c r="C51" s="130" t="s">
        <v>395</v>
      </c>
      <c r="D51" s="130" t="s">
        <v>1049</v>
      </c>
      <c r="E51" s="131" t="s">
        <v>1050</v>
      </c>
      <c r="F51" s="128"/>
      <c r="G51" s="128"/>
      <c r="H51" s="132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</row>
    <row r="52" ht="22.5" customHeight="1">
      <c r="A52" s="129" t="s">
        <v>413</v>
      </c>
      <c r="B52" s="129" t="s">
        <v>1121</v>
      </c>
      <c r="C52" s="130" t="s">
        <v>414</v>
      </c>
      <c r="D52" s="130" t="s">
        <v>1049</v>
      </c>
      <c r="E52" s="131" t="s">
        <v>1050</v>
      </c>
      <c r="F52" s="128"/>
      <c r="G52" s="128"/>
      <c r="H52" s="132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</row>
    <row r="53" ht="22.5" customHeight="1">
      <c r="A53" s="133" t="s">
        <v>705</v>
      </c>
      <c r="B53" s="133" t="s">
        <v>1122</v>
      </c>
      <c r="C53" s="130" t="s">
        <v>663</v>
      </c>
      <c r="D53" s="131" t="s">
        <v>1049</v>
      </c>
      <c r="E53" s="131" t="s">
        <v>1050</v>
      </c>
      <c r="F53" s="128"/>
      <c r="G53" s="128"/>
      <c r="H53" s="132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</row>
    <row r="54" ht="22.5" customHeight="1">
      <c r="A54" s="133" t="s">
        <v>443</v>
      </c>
      <c r="B54" s="133" t="s">
        <v>1123</v>
      </c>
      <c r="C54" s="130" t="s">
        <v>444</v>
      </c>
      <c r="D54" s="131" t="s">
        <v>1049</v>
      </c>
      <c r="E54" s="131" t="s">
        <v>1050</v>
      </c>
      <c r="F54" s="128"/>
      <c r="G54" s="128"/>
      <c r="H54" s="132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</row>
    <row r="55" ht="22.5" customHeight="1">
      <c r="A55" s="129" t="s">
        <v>717</v>
      </c>
      <c r="B55" s="129" t="s">
        <v>1069</v>
      </c>
      <c r="C55" s="130" t="s">
        <v>1573</v>
      </c>
      <c r="D55" s="131" t="s">
        <v>1049</v>
      </c>
      <c r="E55" s="131" t="s">
        <v>1050</v>
      </c>
      <c r="F55" s="128"/>
      <c r="G55" s="128"/>
      <c r="H55" s="132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</row>
    <row r="56" ht="22.5" customHeight="1">
      <c r="A56" s="129" t="s">
        <v>721</v>
      </c>
      <c r="B56" s="129" t="s">
        <v>1124</v>
      </c>
      <c r="C56" s="130" t="s">
        <v>1573</v>
      </c>
      <c r="D56" s="131" t="s">
        <v>1049</v>
      </c>
      <c r="E56" s="131" t="s">
        <v>1050</v>
      </c>
      <c r="F56" s="128"/>
      <c r="G56" s="128"/>
      <c r="H56" s="132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</row>
    <row r="57" ht="22.5" customHeight="1">
      <c r="A57" s="129" t="s">
        <v>726</v>
      </c>
      <c r="B57" s="129" t="s">
        <v>1125</v>
      </c>
      <c r="C57" s="130" t="s">
        <v>1573</v>
      </c>
      <c r="D57" s="131" t="s">
        <v>1049</v>
      </c>
      <c r="E57" s="131" t="s">
        <v>1050</v>
      </c>
      <c r="F57" s="128"/>
      <c r="G57" s="128"/>
      <c r="H57" s="132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</row>
    <row r="58" ht="22.5" customHeight="1">
      <c r="A58" s="129" t="s">
        <v>732</v>
      </c>
      <c r="B58" s="129" t="s">
        <v>1061</v>
      </c>
      <c r="C58" s="130" t="s">
        <v>1573</v>
      </c>
      <c r="D58" s="131" t="s">
        <v>1049</v>
      </c>
      <c r="E58" s="131" t="s">
        <v>1050</v>
      </c>
      <c r="F58" s="128"/>
      <c r="G58" s="128"/>
      <c r="H58" s="132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</row>
    <row r="59" ht="22.5" customHeight="1">
      <c r="A59" s="129" t="s">
        <v>739</v>
      </c>
      <c r="B59" s="129" t="s">
        <v>940</v>
      </c>
      <c r="C59" s="130" t="s">
        <v>1573</v>
      </c>
      <c r="D59" s="131" t="s">
        <v>1049</v>
      </c>
      <c r="E59" s="131" t="s">
        <v>1050</v>
      </c>
      <c r="F59" s="128"/>
      <c r="G59" s="128"/>
      <c r="H59" s="132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</row>
    <row r="60" ht="22.5" customHeight="1">
      <c r="A60" s="129" t="s">
        <v>747</v>
      </c>
      <c r="B60" s="129" t="s">
        <v>1048</v>
      </c>
      <c r="C60" s="130" t="s">
        <v>1573</v>
      </c>
      <c r="D60" s="131" t="s">
        <v>1049</v>
      </c>
      <c r="E60" s="131" t="s">
        <v>1050</v>
      </c>
      <c r="F60" s="128"/>
      <c r="G60" s="128"/>
      <c r="H60" s="132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</row>
    <row r="61" ht="22.5" customHeight="1">
      <c r="A61" s="129" t="s">
        <v>698</v>
      </c>
      <c r="B61" s="129" t="s">
        <v>879</v>
      </c>
      <c r="C61" s="130" t="s">
        <v>614</v>
      </c>
      <c r="D61" s="130" t="s">
        <v>1049</v>
      </c>
      <c r="E61" s="131" t="s">
        <v>1050</v>
      </c>
      <c r="F61" s="128"/>
      <c r="G61" s="128"/>
      <c r="H61" s="132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</row>
    <row r="62" ht="22.5" customHeight="1">
      <c r="A62" s="129" t="s">
        <v>761</v>
      </c>
      <c r="B62" s="129" t="s">
        <v>1069</v>
      </c>
      <c r="C62" s="130" t="s">
        <v>1573</v>
      </c>
      <c r="D62" s="131" t="s">
        <v>1049</v>
      </c>
      <c r="E62" s="131" t="s">
        <v>1050</v>
      </c>
      <c r="F62" s="128"/>
      <c r="G62" s="128"/>
      <c r="H62" s="132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</row>
    <row r="63" ht="22.5" customHeight="1">
      <c r="A63" s="129" t="s">
        <v>768</v>
      </c>
      <c r="B63" s="129" t="s">
        <v>1127</v>
      </c>
      <c r="C63" s="130" t="s">
        <v>1573</v>
      </c>
      <c r="D63" s="131" t="s">
        <v>1049</v>
      </c>
      <c r="E63" s="131" t="s">
        <v>1050</v>
      </c>
      <c r="F63" s="128"/>
      <c r="G63" s="128"/>
      <c r="H63" s="132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</row>
    <row r="64" ht="22.5" customHeight="1">
      <c r="A64" s="129" t="s">
        <v>433</v>
      </c>
      <c r="B64" s="129" t="s">
        <v>1128</v>
      </c>
      <c r="C64" s="130" t="s">
        <v>434</v>
      </c>
      <c r="D64" s="130" t="s">
        <v>1049</v>
      </c>
      <c r="E64" s="131" t="s">
        <v>1050</v>
      </c>
      <c r="F64" s="128"/>
      <c r="G64" s="128"/>
      <c r="H64" s="132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</row>
    <row r="65" ht="22.5" customHeight="1">
      <c r="A65" s="129" t="s">
        <v>422</v>
      </c>
      <c r="B65" s="129" t="s">
        <v>1129</v>
      </c>
      <c r="C65" s="130" t="s">
        <v>423</v>
      </c>
      <c r="D65" s="130" t="s">
        <v>1049</v>
      </c>
      <c r="E65" s="131" t="s">
        <v>1050</v>
      </c>
      <c r="F65" s="128"/>
      <c r="G65" s="128"/>
      <c r="H65" s="132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</row>
    <row r="66" ht="22.5" customHeight="1">
      <c r="A66" s="129" t="s">
        <v>794</v>
      </c>
      <c r="B66" s="129" t="s">
        <v>1130</v>
      </c>
      <c r="C66" s="130" t="s">
        <v>1573</v>
      </c>
      <c r="D66" s="131" t="s">
        <v>1049</v>
      </c>
      <c r="E66" s="131" t="s">
        <v>1050</v>
      </c>
      <c r="F66" s="128"/>
      <c r="G66" s="128"/>
      <c r="H66" s="132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</row>
    <row r="67" ht="22.5" customHeight="1">
      <c r="A67" s="129" t="s">
        <v>801</v>
      </c>
      <c r="B67" s="129" t="s">
        <v>1130</v>
      </c>
      <c r="C67" s="130" t="s">
        <v>1573</v>
      </c>
      <c r="D67" s="131" t="s">
        <v>1049</v>
      </c>
      <c r="E67" s="131" t="s">
        <v>1050</v>
      </c>
      <c r="F67" s="128"/>
      <c r="G67" s="128"/>
      <c r="H67" s="132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</row>
    <row r="68" ht="22.5" customHeight="1">
      <c r="A68" s="129" t="s">
        <v>808</v>
      </c>
      <c r="B68" s="129" t="s">
        <v>1131</v>
      </c>
      <c r="C68" s="130" t="s">
        <v>1573</v>
      </c>
      <c r="D68" s="131" t="s">
        <v>1049</v>
      </c>
      <c r="E68" s="131" t="s">
        <v>1050</v>
      </c>
      <c r="F68" s="128"/>
      <c r="G68" s="128"/>
      <c r="H68" s="132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</row>
    <row r="69" ht="22.5" customHeight="1">
      <c r="A69" s="129" t="s">
        <v>720</v>
      </c>
      <c r="B69" s="129" t="s">
        <v>1106</v>
      </c>
      <c r="C69" s="130" t="s">
        <v>629</v>
      </c>
      <c r="D69" s="130" t="s">
        <v>1049</v>
      </c>
      <c r="E69" s="131" t="s">
        <v>1050</v>
      </c>
      <c r="F69" s="128"/>
      <c r="G69" s="128"/>
      <c r="H69" s="132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</row>
    <row r="70" ht="22.5" customHeight="1">
      <c r="A70" s="129" t="s">
        <v>824</v>
      </c>
      <c r="B70" s="129" t="s">
        <v>1132</v>
      </c>
      <c r="C70" s="130" t="s">
        <v>1573</v>
      </c>
      <c r="D70" s="131" t="s">
        <v>1049</v>
      </c>
      <c r="E70" s="131" t="s">
        <v>1050</v>
      </c>
      <c r="F70" s="128"/>
      <c r="G70" s="128"/>
      <c r="H70" s="132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</row>
    <row r="71" ht="22.5" customHeight="1">
      <c r="A71" s="129" t="s">
        <v>828</v>
      </c>
      <c r="B71" s="129" t="s">
        <v>1069</v>
      </c>
      <c r="C71" s="130" t="s">
        <v>1573</v>
      </c>
      <c r="D71" s="131" t="s">
        <v>1049</v>
      </c>
      <c r="E71" s="131" t="s">
        <v>1050</v>
      </c>
      <c r="F71" s="128"/>
      <c r="G71" s="128"/>
      <c r="H71" s="132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</row>
    <row r="72" ht="22.5" customHeight="1">
      <c r="A72" s="129" t="s">
        <v>1134</v>
      </c>
      <c r="B72" s="129" t="s">
        <v>1071</v>
      </c>
      <c r="C72" s="130" t="s">
        <v>1573</v>
      </c>
      <c r="D72" s="131" t="s">
        <v>1049</v>
      </c>
      <c r="E72" s="131" t="s">
        <v>1135</v>
      </c>
      <c r="F72" s="128"/>
      <c r="G72" s="128"/>
      <c r="H72" s="132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</row>
    <row r="73" ht="22.5" customHeight="1">
      <c r="A73" s="129" t="s">
        <v>1136</v>
      </c>
      <c r="B73" s="129" t="s">
        <v>1075</v>
      </c>
      <c r="C73" s="130" t="s">
        <v>1573</v>
      </c>
      <c r="D73" s="131" t="s">
        <v>1049</v>
      </c>
      <c r="E73" s="131" t="s">
        <v>1135</v>
      </c>
      <c r="F73" s="128"/>
      <c r="G73" s="128"/>
      <c r="H73" s="132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</row>
    <row r="74" ht="22.5" customHeight="1">
      <c r="A74" s="129" t="s">
        <v>1137</v>
      </c>
      <c r="B74" s="129" t="s">
        <v>1069</v>
      </c>
      <c r="C74" s="130" t="s">
        <v>1573</v>
      </c>
      <c r="D74" s="131" t="s">
        <v>1049</v>
      </c>
      <c r="E74" s="131" t="s">
        <v>1135</v>
      </c>
      <c r="F74" s="128"/>
      <c r="G74" s="128"/>
      <c r="H74" s="132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</row>
    <row r="75" ht="22.5" customHeight="1">
      <c r="A75" s="129" t="s">
        <v>1139</v>
      </c>
      <c r="B75" s="129" t="s">
        <v>1048</v>
      </c>
      <c r="C75" s="130" t="s">
        <v>1573</v>
      </c>
      <c r="D75" s="131" t="s">
        <v>1049</v>
      </c>
      <c r="E75" s="131" t="s">
        <v>1135</v>
      </c>
      <c r="F75" s="128"/>
      <c r="G75" s="128"/>
      <c r="H75" s="132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</row>
    <row r="76" ht="22.5" customHeight="1">
      <c r="A76" s="129" t="s">
        <v>1140</v>
      </c>
      <c r="B76" s="129" t="s">
        <v>1141</v>
      </c>
      <c r="C76" s="130" t="s">
        <v>1573</v>
      </c>
      <c r="D76" s="131" t="s">
        <v>1049</v>
      </c>
      <c r="E76" s="131" t="s">
        <v>1135</v>
      </c>
      <c r="F76" s="128"/>
      <c r="G76" s="128"/>
      <c r="H76" s="132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</row>
    <row r="77" ht="22.5" customHeight="1">
      <c r="A77" s="129" t="s">
        <v>1142</v>
      </c>
      <c r="B77" s="129" t="s">
        <v>1066</v>
      </c>
      <c r="C77" s="130" t="s">
        <v>1573</v>
      </c>
      <c r="D77" s="131" t="s">
        <v>1049</v>
      </c>
      <c r="E77" s="131" t="s">
        <v>1135</v>
      </c>
      <c r="F77" s="128"/>
      <c r="G77" s="128"/>
      <c r="H77" s="132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</row>
    <row r="78" ht="22.5" customHeight="1">
      <c r="A78" s="129" t="s">
        <v>1143</v>
      </c>
      <c r="B78" s="129" t="s">
        <v>1077</v>
      </c>
      <c r="C78" s="130" t="s">
        <v>1573</v>
      </c>
      <c r="D78" s="131" t="s">
        <v>1049</v>
      </c>
      <c r="E78" s="131" t="s">
        <v>1135</v>
      </c>
      <c r="F78" s="128"/>
      <c r="G78" s="128"/>
      <c r="H78" s="132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</row>
    <row r="79" ht="22.5" customHeight="1">
      <c r="A79" s="129" t="s">
        <v>1144</v>
      </c>
      <c r="B79" s="129" t="s">
        <v>1069</v>
      </c>
      <c r="C79" s="130" t="s">
        <v>1573</v>
      </c>
      <c r="D79" s="131" t="s">
        <v>1049</v>
      </c>
      <c r="E79" s="131" t="s">
        <v>1135</v>
      </c>
      <c r="F79" s="128"/>
      <c r="G79" s="128"/>
      <c r="H79" s="132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</row>
    <row r="80" ht="22.5" customHeight="1">
      <c r="A80" s="129" t="s">
        <v>1145</v>
      </c>
      <c r="B80" s="129" t="s">
        <v>1146</v>
      </c>
      <c r="C80" s="130" t="s">
        <v>1573</v>
      </c>
      <c r="D80" s="131" t="s">
        <v>1049</v>
      </c>
      <c r="E80" s="131" t="s">
        <v>1135</v>
      </c>
      <c r="F80" s="128"/>
      <c r="G80" s="128"/>
      <c r="H80" s="132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</row>
    <row r="81" ht="22.5" customHeight="1">
      <c r="A81" s="129" t="s">
        <v>1147</v>
      </c>
      <c r="B81" s="129" t="s">
        <v>1048</v>
      </c>
      <c r="C81" s="130" t="s">
        <v>1573</v>
      </c>
      <c r="D81" s="131" t="s">
        <v>1049</v>
      </c>
      <c r="E81" s="131" t="s">
        <v>1135</v>
      </c>
      <c r="F81" s="128"/>
      <c r="G81" s="128"/>
      <c r="H81" s="132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</row>
    <row r="82" ht="22.5" customHeight="1">
      <c r="A82" s="133" t="s">
        <v>173</v>
      </c>
      <c r="B82" s="133" t="s">
        <v>1148</v>
      </c>
      <c r="C82" s="130" t="s">
        <v>1589</v>
      </c>
      <c r="D82" s="131" t="s">
        <v>1049</v>
      </c>
      <c r="E82" s="131" t="s">
        <v>1135</v>
      </c>
      <c r="F82" s="128"/>
      <c r="G82" s="128"/>
      <c r="H82" s="132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</row>
    <row r="83" ht="22.5" customHeight="1">
      <c r="A83" s="129" t="s">
        <v>1149</v>
      </c>
      <c r="B83" s="129" t="s">
        <v>1048</v>
      </c>
      <c r="C83" s="130" t="s">
        <v>1573</v>
      </c>
      <c r="D83" s="131" t="s">
        <v>1049</v>
      </c>
      <c r="E83" s="131" t="s">
        <v>1135</v>
      </c>
      <c r="F83" s="128"/>
      <c r="G83" s="128"/>
      <c r="H83" s="132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</row>
    <row r="84" ht="22.5" customHeight="1">
      <c r="A84" s="133" t="s">
        <v>179</v>
      </c>
      <c r="B84" s="133" t="s">
        <v>1150</v>
      </c>
      <c r="C84" s="130" t="s">
        <v>1590</v>
      </c>
      <c r="D84" s="131" t="s">
        <v>1049</v>
      </c>
      <c r="E84" s="131" t="s">
        <v>1135</v>
      </c>
      <c r="F84" s="128"/>
      <c r="G84" s="128"/>
      <c r="H84" s="132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</row>
    <row r="85" ht="22.5" customHeight="1">
      <c r="A85" s="129" t="s">
        <v>1151</v>
      </c>
      <c r="B85" s="129" t="s">
        <v>1127</v>
      </c>
      <c r="C85" s="130" t="s">
        <v>1573</v>
      </c>
      <c r="D85" s="131" t="s">
        <v>1049</v>
      </c>
      <c r="E85" s="131" t="s">
        <v>1135</v>
      </c>
      <c r="F85" s="128"/>
      <c r="G85" s="128"/>
      <c r="H85" s="132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</row>
    <row r="86" ht="22.5" customHeight="1">
      <c r="A86" s="129" t="s">
        <v>1152</v>
      </c>
      <c r="B86" s="129" t="s">
        <v>1048</v>
      </c>
      <c r="C86" s="130" t="s">
        <v>1573</v>
      </c>
      <c r="D86" s="131" t="s">
        <v>1049</v>
      </c>
      <c r="E86" s="131" t="s">
        <v>1135</v>
      </c>
      <c r="F86" s="128"/>
      <c r="G86" s="128"/>
      <c r="H86" s="132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</row>
    <row r="87" ht="22.5" customHeight="1">
      <c r="A87" s="129" t="s">
        <v>1153</v>
      </c>
      <c r="B87" s="129" t="s">
        <v>1069</v>
      </c>
      <c r="C87" s="130" t="s">
        <v>1573</v>
      </c>
      <c r="D87" s="131" t="s">
        <v>1049</v>
      </c>
      <c r="E87" s="131" t="s">
        <v>1135</v>
      </c>
      <c r="F87" s="128"/>
      <c r="G87" s="128"/>
      <c r="H87" s="132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</row>
    <row r="88" ht="22.5" customHeight="1">
      <c r="A88" s="129" t="s">
        <v>1154</v>
      </c>
      <c r="B88" s="129" t="s">
        <v>1048</v>
      </c>
      <c r="C88" s="130" t="s">
        <v>1573</v>
      </c>
      <c r="D88" s="131" t="s">
        <v>1049</v>
      </c>
      <c r="E88" s="131" t="s">
        <v>1135</v>
      </c>
      <c r="F88" s="128"/>
      <c r="G88" s="128"/>
      <c r="H88" s="132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</row>
    <row r="89" ht="22.5" customHeight="1">
      <c r="A89" s="129" t="s">
        <v>1155</v>
      </c>
      <c r="B89" s="129" t="s">
        <v>1069</v>
      </c>
      <c r="C89" s="130" t="s">
        <v>1573</v>
      </c>
      <c r="D89" s="131" t="s">
        <v>1049</v>
      </c>
      <c r="E89" s="131" t="s">
        <v>1135</v>
      </c>
      <c r="F89" s="128"/>
      <c r="G89" s="128"/>
      <c r="H89" s="132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</row>
    <row r="90" ht="22.5" customHeight="1">
      <c r="A90" s="133" t="s">
        <v>463</v>
      </c>
      <c r="B90" s="133" t="s">
        <v>887</v>
      </c>
      <c r="C90" s="130" t="s">
        <v>1591</v>
      </c>
      <c r="D90" s="131" t="s">
        <v>1049</v>
      </c>
      <c r="E90" s="131" t="s">
        <v>1135</v>
      </c>
      <c r="F90" s="128"/>
      <c r="G90" s="128"/>
      <c r="H90" s="132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</row>
    <row r="91" ht="22.5" customHeight="1">
      <c r="A91" s="133" t="s">
        <v>471</v>
      </c>
      <c r="B91" s="133" t="s">
        <v>1156</v>
      </c>
      <c r="C91" s="130" t="s">
        <v>1592</v>
      </c>
      <c r="D91" s="131" t="s">
        <v>1049</v>
      </c>
      <c r="E91" s="131" t="s">
        <v>1135</v>
      </c>
      <c r="F91" s="128"/>
      <c r="G91" s="128"/>
      <c r="H91" s="132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</row>
    <row r="92" ht="22.5" customHeight="1">
      <c r="A92" s="133" t="s">
        <v>187</v>
      </c>
      <c r="B92" s="133" t="s">
        <v>1159</v>
      </c>
      <c r="C92" s="130" t="s">
        <v>1593</v>
      </c>
      <c r="D92" s="131" t="s">
        <v>1049</v>
      </c>
      <c r="E92" s="131" t="s">
        <v>1135</v>
      </c>
      <c r="F92" s="128"/>
      <c r="G92" s="128"/>
      <c r="H92" s="132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</row>
    <row r="93" ht="22.5" customHeight="1">
      <c r="A93" s="133" t="s">
        <v>249</v>
      </c>
      <c r="B93" s="133" t="s">
        <v>895</v>
      </c>
      <c r="C93" s="130" t="s">
        <v>1594</v>
      </c>
      <c r="D93" s="131" t="s">
        <v>1049</v>
      </c>
      <c r="E93" s="131" t="s">
        <v>1135</v>
      </c>
      <c r="F93" s="128"/>
      <c r="G93" s="128"/>
      <c r="H93" s="132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</row>
    <row r="94" ht="22.5" customHeight="1">
      <c r="A94" s="133" t="s">
        <v>492</v>
      </c>
      <c r="B94" s="133" t="s">
        <v>896</v>
      </c>
      <c r="C94" s="130" t="s">
        <v>1595</v>
      </c>
      <c r="D94" s="131" t="s">
        <v>1049</v>
      </c>
      <c r="E94" s="131" t="s">
        <v>1135</v>
      </c>
      <c r="F94" s="128"/>
      <c r="G94" s="128"/>
      <c r="H94" s="132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</row>
    <row r="95" ht="22.5" customHeight="1">
      <c r="A95" s="133" t="s">
        <v>498</v>
      </c>
      <c r="B95" s="133" t="s">
        <v>897</v>
      </c>
      <c r="C95" s="130" t="s">
        <v>1596</v>
      </c>
      <c r="D95" s="131" t="s">
        <v>1049</v>
      </c>
      <c r="E95" s="131" t="s">
        <v>1135</v>
      </c>
      <c r="F95" s="128"/>
      <c r="G95" s="128"/>
      <c r="H95" s="132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</row>
    <row r="96" ht="22.5" customHeight="1">
      <c r="A96" s="133" t="s">
        <v>505</v>
      </c>
      <c r="B96" s="133" t="s">
        <v>899</v>
      </c>
      <c r="C96" s="130" t="s">
        <v>1597</v>
      </c>
      <c r="D96" s="131" t="s">
        <v>1049</v>
      </c>
      <c r="E96" s="131" t="s">
        <v>1135</v>
      </c>
      <c r="F96" s="128"/>
      <c r="G96" s="128"/>
      <c r="H96" s="132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</row>
    <row r="97" ht="22.5" customHeight="1">
      <c r="A97" s="133" t="s">
        <v>195</v>
      </c>
      <c r="B97" s="133" t="s">
        <v>1160</v>
      </c>
      <c r="C97" s="130" t="s">
        <v>1598</v>
      </c>
      <c r="D97" s="131" t="s">
        <v>1049</v>
      </c>
      <c r="E97" s="131" t="s">
        <v>1135</v>
      </c>
      <c r="F97" s="128"/>
      <c r="G97" s="128"/>
      <c r="H97" s="132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</row>
    <row r="98" ht="22.5" customHeight="1">
      <c r="A98" s="133" t="s">
        <v>208</v>
      </c>
      <c r="B98" s="133" t="s">
        <v>1161</v>
      </c>
      <c r="C98" s="130" t="s">
        <v>1599</v>
      </c>
      <c r="D98" s="131" t="s">
        <v>1049</v>
      </c>
      <c r="E98" s="131" t="s">
        <v>1135</v>
      </c>
      <c r="F98" s="128"/>
      <c r="G98" s="128"/>
      <c r="H98" s="132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</row>
    <row r="99" ht="22.5" customHeight="1">
      <c r="A99" s="133" t="s">
        <v>533</v>
      </c>
      <c r="B99" s="133" t="s">
        <v>903</v>
      </c>
      <c r="C99" s="130" t="s">
        <v>1600</v>
      </c>
      <c r="D99" s="131" t="s">
        <v>1049</v>
      </c>
      <c r="E99" s="131" t="s">
        <v>1135</v>
      </c>
      <c r="F99" s="128"/>
      <c r="G99" s="128"/>
      <c r="H99" s="132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</row>
    <row r="100" ht="22.5" customHeight="1">
      <c r="A100" s="129" t="s">
        <v>1163</v>
      </c>
      <c r="B100" s="129" t="s">
        <v>1055</v>
      </c>
      <c r="C100" s="130" t="s">
        <v>1573</v>
      </c>
      <c r="D100" s="131" t="s">
        <v>1049</v>
      </c>
      <c r="E100" s="131" t="s">
        <v>1135</v>
      </c>
      <c r="F100" s="128"/>
      <c r="G100" s="128"/>
      <c r="H100" s="132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</row>
    <row r="101" ht="22.5" customHeight="1">
      <c r="A101" s="129" t="s">
        <v>1164</v>
      </c>
      <c r="B101" s="129" t="s">
        <v>1048</v>
      </c>
      <c r="C101" s="130" t="s">
        <v>1573</v>
      </c>
      <c r="D101" s="131" t="s">
        <v>1049</v>
      </c>
      <c r="E101" s="131" t="s">
        <v>1135</v>
      </c>
      <c r="F101" s="128"/>
      <c r="G101" s="128"/>
      <c r="H101" s="132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</row>
    <row r="102" ht="22.5" customHeight="1">
      <c r="A102" s="129" t="s">
        <v>1165</v>
      </c>
      <c r="B102" s="129" t="s">
        <v>1069</v>
      </c>
      <c r="C102" s="130" t="s">
        <v>1573</v>
      </c>
      <c r="D102" s="131" t="s">
        <v>1049</v>
      </c>
      <c r="E102" s="131" t="s">
        <v>1135</v>
      </c>
      <c r="F102" s="128"/>
      <c r="G102" s="128"/>
      <c r="H102" s="132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</row>
    <row r="103" ht="22.5" customHeight="1">
      <c r="A103" s="129" t="s">
        <v>1166</v>
      </c>
      <c r="B103" s="129" t="s">
        <v>1167</v>
      </c>
      <c r="C103" s="130" t="s">
        <v>1573</v>
      </c>
      <c r="D103" s="131" t="s">
        <v>1049</v>
      </c>
      <c r="E103" s="131" t="s">
        <v>1135</v>
      </c>
      <c r="F103" s="128"/>
      <c r="G103" s="128"/>
      <c r="H103" s="132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</row>
    <row r="104" ht="22.5" customHeight="1">
      <c r="A104" s="133" t="s">
        <v>219</v>
      </c>
      <c r="B104" s="133" t="s">
        <v>220</v>
      </c>
      <c r="C104" s="130" t="s">
        <v>1601</v>
      </c>
      <c r="D104" s="131" t="s">
        <v>1049</v>
      </c>
      <c r="E104" s="131" t="s">
        <v>1135</v>
      </c>
      <c r="F104" s="128"/>
      <c r="G104" s="128"/>
      <c r="H104" s="132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</row>
    <row r="105" ht="22.5" customHeight="1">
      <c r="A105" s="133" t="s">
        <v>228</v>
      </c>
      <c r="B105" s="133" t="s">
        <v>229</v>
      </c>
      <c r="C105" s="130" t="s">
        <v>1602</v>
      </c>
      <c r="D105" s="131" t="s">
        <v>1049</v>
      </c>
      <c r="E105" s="131" t="s">
        <v>1135</v>
      </c>
      <c r="F105" s="128"/>
      <c r="G105" s="128"/>
      <c r="H105" s="132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</row>
    <row r="106" ht="22.5" customHeight="1">
      <c r="A106" s="133" t="s">
        <v>236</v>
      </c>
      <c r="B106" s="133" t="s">
        <v>237</v>
      </c>
      <c r="C106" s="130" t="s">
        <v>1603</v>
      </c>
      <c r="D106" s="131" t="s">
        <v>1049</v>
      </c>
      <c r="E106" s="131" t="s">
        <v>1135</v>
      </c>
      <c r="F106" s="128"/>
      <c r="G106" s="128"/>
      <c r="H106" s="132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</row>
    <row r="107" ht="22.5" customHeight="1">
      <c r="A107" s="129" t="s">
        <v>1168</v>
      </c>
      <c r="B107" s="129" t="s">
        <v>1169</v>
      </c>
      <c r="C107" s="130" t="s">
        <v>1573</v>
      </c>
      <c r="D107" s="131" t="s">
        <v>1049</v>
      </c>
      <c r="E107" s="131" t="s">
        <v>1135</v>
      </c>
      <c r="F107" s="128"/>
      <c r="G107" s="128"/>
      <c r="H107" s="132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</row>
    <row r="108" ht="22.5" customHeight="1">
      <c r="A108" s="129" t="s">
        <v>1170</v>
      </c>
      <c r="B108" s="129" t="s">
        <v>1048</v>
      </c>
      <c r="C108" s="130" t="s">
        <v>1573</v>
      </c>
      <c r="D108" s="131" t="s">
        <v>1049</v>
      </c>
      <c r="E108" s="131" t="s">
        <v>1135</v>
      </c>
      <c r="F108" s="128"/>
      <c r="G108" s="128"/>
      <c r="H108" s="132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</row>
    <row r="109" ht="22.5" customHeight="1">
      <c r="A109" s="129" t="s">
        <v>1171</v>
      </c>
      <c r="B109" s="129" t="s">
        <v>879</v>
      </c>
      <c r="C109" s="130" t="s">
        <v>1573</v>
      </c>
      <c r="D109" s="131" t="s">
        <v>1049</v>
      </c>
      <c r="E109" s="131" t="s">
        <v>1135</v>
      </c>
      <c r="F109" s="128"/>
      <c r="G109" s="128"/>
      <c r="H109" s="132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</row>
    <row r="110" ht="22.5" customHeight="1">
      <c r="A110" s="129" t="s">
        <v>1172</v>
      </c>
      <c r="B110" s="129" t="s">
        <v>940</v>
      </c>
      <c r="C110" s="130" t="s">
        <v>1573</v>
      </c>
      <c r="D110" s="131" t="s">
        <v>1049</v>
      </c>
      <c r="E110" s="131" t="s">
        <v>1135</v>
      </c>
      <c r="F110" s="128"/>
      <c r="G110" s="128"/>
      <c r="H110" s="132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</row>
    <row r="111" ht="22.5" customHeight="1">
      <c r="A111" s="133" t="s">
        <v>243</v>
      </c>
      <c r="B111" s="133" t="s">
        <v>244</v>
      </c>
      <c r="C111" s="130" t="s">
        <v>1606</v>
      </c>
      <c r="D111" s="131" t="s">
        <v>1049</v>
      </c>
      <c r="E111" s="131" t="s">
        <v>1135</v>
      </c>
      <c r="F111" s="128"/>
      <c r="G111" s="128"/>
      <c r="H111" s="132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</row>
    <row r="112" ht="22.5" customHeight="1">
      <c r="A112" s="129" t="s">
        <v>1173</v>
      </c>
      <c r="B112" s="129" t="s">
        <v>1125</v>
      </c>
      <c r="C112" s="130" t="s">
        <v>1573</v>
      </c>
      <c r="D112" s="131" t="s">
        <v>1049</v>
      </c>
      <c r="E112" s="131" t="s">
        <v>1135</v>
      </c>
      <c r="F112" s="128"/>
      <c r="G112" s="128"/>
      <c r="H112" s="132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</row>
    <row r="113" ht="22.5" customHeight="1">
      <c r="A113" s="129" t="s">
        <v>1175</v>
      </c>
      <c r="B113" s="129" t="s">
        <v>1061</v>
      </c>
      <c r="C113" s="130" t="s">
        <v>1573</v>
      </c>
      <c r="D113" s="131" t="s">
        <v>1049</v>
      </c>
      <c r="E113" s="131" t="s">
        <v>1135</v>
      </c>
      <c r="F113" s="128"/>
      <c r="G113" s="128"/>
      <c r="H113" s="132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</row>
    <row r="114" ht="22.5" customHeight="1">
      <c r="A114" s="129" t="s">
        <v>1176</v>
      </c>
      <c r="B114" s="129" t="s">
        <v>1048</v>
      </c>
      <c r="C114" s="130" t="s">
        <v>1573</v>
      </c>
      <c r="D114" s="131" t="s">
        <v>1049</v>
      </c>
      <c r="E114" s="131" t="s">
        <v>1135</v>
      </c>
      <c r="F114" s="128"/>
      <c r="G114" s="128"/>
      <c r="H114" s="132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</row>
    <row r="115" ht="22.5" customHeight="1">
      <c r="A115" s="129" t="s">
        <v>1177</v>
      </c>
      <c r="B115" s="129" t="s">
        <v>1069</v>
      </c>
      <c r="C115" s="130" t="s">
        <v>1573</v>
      </c>
      <c r="D115" s="131" t="s">
        <v>1049</v>
      </c>
      <c r="E115" s="131" t="s">
        <v>1135</v>
      </c>
      <c r="F115" s="128"/>
      <c r="G115" s="128"/>
      <c r="H115" s="132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</row>
    <row r="116" ht="22.5" customHeight="1">
      <c r="A116" s="129" t="s">
        <v>1178</v>
      </c>
      <c r="B116" s="129" t="s">
        <v>1179</v>
      </c>
      <c r="C116" s="130" t="s">
        <v>1573</v>
      </c>
      <c r="D116" s="131" t="s">
        <v>1049</v>
      </c>
      <c r="E116" s="131" t="s">
        <v>1135</v>
      </c>
      <c r="F116" s="128"/>
      <c r="G116" s="128"/>
      <c r="H116" s="132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</row>
    <row r="117" ht="22.5" customHeight="1">
      <c r="A117" s="133" t="s">
        <v>251</v>
      </c>
      <c r="B117" s="133" t="s">
        <v>244</v>
      </c>
      <c r="C117" s="130" t="s">
        <v>1607</v>
      </c>
      <c r="D117" s="131" t="s">
        <v>1049</v>
      </c>
      <c r="E117" s="131" t="s">
        <v>1135</v>
      </c>
      <c r="F117" s="128"/>
      <c r="G117" s="128"/>
      <c r="H117" s="132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</row>
    <row r="118" ht="22.5" customHeight="1">
      <c r="A118" s="133" t="s">
        <v>565</v>
      </c>
      <c r="B118" s="133" t="s">
        <v>910</v>
      </c>
      <c r="C118" s="130" t="s">
        <v>1608</v>
      </c>
      <c r="D118" s="131" t="s">
        <v>1049</v>
      </c>
      <c r="E118" s="131" t="s">
        <v>1135</v>
      </c>
      <c r="F118" s="128"/>
      <c r="G118" s="128"/>
      <c r="H118" s="132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</row>
    <row r="119" ht="22.5" customHeight="1">
      <c r="A119" s="129" t="s">
        <v>1180</v>
      </c>
      <c r="B119" s="129" t="s">
        <v>1048</v>
      </c>
      <c r="C119" s="130" t="s">
        <v>1573</v>
      </c>
      <c r="D119" s="131" t="s">
        <v>1049</v>
      </c>
      <c r="E119" s="131" t="s">
        <v>1135</v>
      </c>
      <c r="F119" s="128"/>
      <c r="G119" s="128"/>
      <c r="H119" s="132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</row>
    <row r="120" ht="22.5" customHeight="1">
      <c r="A120" s="129" t="s">
        <v>1181</v>
      </c>
      <c r="B120" s="129" t="s">
        <v>1061</v>
      </c>
      <c r="C120" s="130" t="s">
        <v>1573</v>
      </c>
      <c r="D120" s="131" t="s">
        <v>1049</v>
      </c>
      <c r="E120" s="131" t="s">
        <v>1135</v>
      </c>
      <c r="F120" s="128"/>
      <c r="G120" s="128"/>
      <c r="H120" s="132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</row>
    <row r="121" ht="22.5" customHeight="1">
      <c r="A121" s="129" t="s">
        <v>1182</v>
      </c>
      <c r="B121" s="129" t="s">
        <v>1183</v>
      </c>
      <c r="C121" s="130" t="s">
        <v>1573</v>
      </c>
      <c r="D121" s="131" t="s">
        <v>1049</v>
      </c>
      <c r="E121" s="131" t="s">
        <v>1135</v>
      </c>
      <c r="F121" s="128"/>
      <c r="G121" s="128"/>
      <c r="H121" s="132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</row>
    <row r="122" ht="22.5" customHeight="1">
      <c r="A122" s="129" t="s">
        <v>1186</v>
      </c>
      <c r="B122" s="129" t="s">
        <v>1187</v>
      </c>
      <c r="C122" s="130" t="s">
        <v>1573</v>
      </c>
      <c r="D122" s="131" t="s">
        <v>1049</v>
      </c>
      <c r="E122" s="131" t="s">
        <v>1135</v>
      </c>
      <c r="F122" s="128"/>
      <c r="G122" s="128"/>
      <c r="H122" s="132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</row>
    <row r="123" ht="22.5" customHeight="1">
      <c r="A123" s="129" t="s">
        <v>1191</v>
      </c>
      <c r="B123" s="129" t="s">
        <v>1192</v>
      </c>
      <c r="C123" s="130" t="s">
        <v>1573</v>
      </c>
      <c r="D123" s="131" t="s">
        <v>1049</v>
      </c>
      <c r="E123" s="131" t="s">
        <v>1135</v>
      </c>
      <c r="F123" s="128"/>
      <c r="G123" s="128"/>
      <c r="H123" s="132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</row>
    <row r="124" ht="22.5" customHeight="1">
      <c r="A124" s="129" t="s">
        <v>1193</v>
      </c>
      <c r="B124" s="129" t="s">
        <v>1132</v>
      </c>
      <c r="C124" s="130" t="s">
        <v>1573</v>
      </c>
      <c r="D124" s="131" t="s">
        <v>1049</v>
      </c>
      <c r="E124" s="131" t="s">
        <v>1135</v>
      </c>
      <c r="F124" s="128"/>
      <c r="G124" s="128"/>
      <c r="H124" s="132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</row>
    <row r="125" ht="22.5" customHeight="1">
      <c r="A125" s="129" t="s">
        <v>1195</v>
      </c>
      <c r="B125" s="129" t="s">
        <v>1196</v>
      </c>
      <c r="C125" s="130" t="s">
        <v>1573</v>
      </c>
      <c r="D125" s="131" t="s">
        <v>1049</v>
      </c>
      <c r="E125" s="131" t="s">
        <v>1135</v>
      </c>
      <c r="F125" s="128"/>
      <c r="G125" s="128"/>
      <c r="H125" s="132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</row>
    <row r="126" ht="22.5" customHeight="1">
      <c r="A126" s="129" t="s">
        <v>1197</v>
      </c>
      <c r="B126" s="129" t="s">
        <v>1198</v>
      </c>
      <c r="C126" s="130" t="s">
        <v>1573</v>
      </c>
      <c r="D126" s="131" t="s">
        <v>1049</v>
      </c>
      <c r="E126" s="131" t="s">
        <v>1135</v>
      </c>
      <c r="F126" s="128"/>
      <c r="G126" s="128"/>
      <c r="H126" s="132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</row>
    <row r="127" ht="22.5" customHeight="1">
      <c r="A127" s="129" t="s">
        <v>1201</v>
      </c>
      <c r="B127" s="129" t="s">
        <v>1202</v>
      </c>
      <c r="C127" s="130" t="s">
        <v>1573</v>
      </c>
      <c r="D127" s="131" t="s">
        <v>1049</v>
      </c>
      <c r="E127" s="131" t="s">
        <v>1135</v>
      </c>
      <c r="F127" s="128"/>
      <c r="G127" s="128"/>
      <c r="H127" s="132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</row>
    <row r="128" ht="22.5" customHeight="1">
      <c r="A128" s="129" t="s">
        <v>1205</v>
      </c>
      <c r="B128" s="129" t="s">
        <v>1206</v>
      </c>
      <c r="C128" s="130" t="s">
        <v>1573</v>
      </c>
      <c r="D128" s="131" t="s">
        <v>1049</v>
      </c>
      <c r="E128" s="131" t="s">
        <v>1135</v>
      </c>
      <c r="F128" s="128"/>
      <c r="G128" s="128"/>
      <c r="H128" s="132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</row>
    <row r="129" ht="22.5" customHeight="1">
      <c r="A129" s="129" t="s">
        <v>1209</v>
      </c>
      <c r="B129" s="129" t="s">
        <v>1210</v>
      </c>
      <c r="C129" s="130" t="s">
        <v>1573</v>
      </c>
      <c r="D129" s="131" t="s">
        <v>1049</v>
      </c>
      <c r="E129" s="131" t="s">
        <v>1135</v>
      </c>
      <c r="F129" s="128"/>
      <c r="G129" s="128"/>
      <c r="H129" s="132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</row>
    <row r="130" ht="22.5" customHeight="1">
      <c r="A130" s="129" t="s">
        <v>1213</v>
      </c>
      <c r="B130" s="129" t="s">
        <v>1214</v>
      </c>
      <c r="C130" s="130" t="s">
        <v>1573</v>
      </c>
      <c r="D130" s="131" t="s">
        <v>1049</v>
      </c>
      <c r="E130" s="131" t="s">
        <v>1135</v>
      </c>
      <c r="F130" s="128"/>
      <c r="G130" s="128"/>
      <c r="H130" s="132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</row>
    <row r="131" ht="22.5" customHeight="1">
      <c r="A131" s="129" t="s">
        <v>1215</v>
      </c>
      <c r="B131" s="129" t="s">
        <v>1078</v>
      </c>
      <c r="C131" s="130" t="s">
        <v>1573</v>
      </c>
      <c r="D131" s="131" t="s">
        <v>1049</v>
      </c>
      <c r="E131" s="131" t="s">
        <v>1135</v>
      </c>
      <c r="F131" s="128"/>
      <c r="G131" s="128"/>
      <c r="H131" s="132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</row>
    <row r="132" ht="22.5" customHeight="1">
      <c r="A132" s="129" t="s">
        <v>1216</v>
      </c>
      <c r="B132" s="129" t="s">
        <v>1048</v>
      </c>
      <c r="C132" s="130" t="s">
        <v>1573</v>
      </c>
      <c r="D132" s="131" t="s">
        <v>1049</v>
      </c>
      <c r="E132" s="131" t="s">
        <v>1135</v>
      </c>
      <c r="F132" s="128"/>
      <c r="G132" s="128"/>
      <c r="H132" s="132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</row>
    <row r="133" ht="22.5" customHeight="1">
      <c r="A133" s="129" t="s">
        <v>1218</v>
      </c>
      <c r="B133" s="129" t="s">
        <v>1219</v>
      </c>
      <c r="C133" s="130" t="s">
        <v>1573</v>
      </c>
      <c r="D133" s="131" t="s">
        <v>1049</v>
      </c>
      <c r="E133" s="131" t="s">
        <v>1135</v>
      </c>
      <c r="F133" s="128"/>
      <c r="G133" s="128"/>
      <c r="H133" s="132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</row>
    <row r="134" ht="22.5" customHeight="1">
      <c r="A134" s="129" t="s">
        <v>1220</v>
      </c>
      <c r="B134" s="129" t="s">
        <v>1221</v>
      </c>
      <c r="C134" s="130" t="s">
        <v>1573</v>
      </c>
      <c r="D134" s="131" t="s">
        <v>1049</v>
      </c>
      <c r="E134" s="131" t="s">
        <v>1135</v>
      </c>
      <c r="F134" s="128"/>
      <c r="G134" s="128"/>
      <c r="H134" s="132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</row>
    <row r="135" ht="22.5" customHeight="1">
      <c r="A135" s="133" t="s">
        <v>573</v>
      </c>
      <c r="B135" s="133" t="s">
        <v>1222</v>
      </c>
      <c r="C135" s="130" t="s">
        <v>1610</v>
      </c>
      <c r="D135" s="131" t="s">
        <v>1049</v>
      </c>
      <c r="E135" s="131" t="s">
        <v>1135</v>
      </c>
      <c r="F135" s="128"/>
      <c r="G135" s="128"/>
      <c r="H135" s="132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</row>
    <row r="136" ht="22.5" customHeight="1">
      <c r="A136" s="129" t="s">
        <v>1223</v>
      </c>
      <c r="B136" s="129" t="s">
        <v>1069</v>
      </c>
      <c r="C136" s="130" t="s">
        <v>1573</v>
      </c>
      <c r="D136" s="131" t="s">
        <v>1049</v>
      </c>
      <c r="E136" s="131" t="s">
        <v>1135</v>
      </c>
      <c r="F136" s="128"/>
      <c r="G136" s="128"/>
      <c r="H136" s="132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</row>
    <row r="137" ht="22.5" customHeight="1">
      <c r="A137" s="129" t="s">
        <v>1224</v>
      </c>
      <c r="B137" s="129" t="s">
        <v>1225</v>
      </c>
      <c r="C137" s="130" t="s">
        <v>1573</v>
      </c>
      <c r="D137" s="131" t="s">
        <v>1049</v>
      </c>
      <c r="E137" s="131" t="s">
        <v>1135</v>
      </c>
      <c r="F137" s="128"/>
      <c r="G137" s="128"/>
      <c r="H137" s="132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</row>
    <row r="138" ht="22.5" customHeight="1">
      <c r="A138" s="133" t="s">
        <v>257</v>
      </c>
      <c r="B138" s="133" t="s">
        <v>258</v>
      </c>
      <c r="C138" s="130" t="s">
        <v>1611</v>
      </c>
      <c r="D138" s="131" t="s">
        <v>1049</v>
      </c>
      <c r="E138" s="131" t="s">
        <v>1135</v>
      </c>
      <c r="F138" s="128"/>
      <c r="G138" s="128"/>
      <c r="H138" s="132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</row>
    <row r="139" ht="22.5" customHeight="1">
      <c r="A139" s="129" t="s">
        <v>1227</v>
      </c>
      <c r="B139" s="129" t="s">
        <v>1228</v>
      </c>
      <c r="C139" s="130" t="s">
        <v>1573</v>
      </c>
      <c r="D139" s="131" t="s">
        <v>1049</v>
      </c>
      <c r="E139" s="131" t="s">
        <v>1135</v>
      </c>
      <c r="F139" s="128"/>
      <c r="G139" s="128"/>
      <c r="H139" s="132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</row>
    <row r="140" ht="22.5" customHeight="1">
      <c r="A140" s="129" t="s">
        <v>1229</v>
      </c>
      <c r="B140" s="129" t="s">
        <v>1230</v>
      </c>
      <c r="C140" s="130" t="s">
        <v>1573</v>
      </c>
      <c r="D140" s="131" t="s">
        <v>1049</v>
      </c>
      <c r="E140" s="131" t="s">
        <v>1135</v>
      </c>
      <c r="F140" s="128"/>
      <c r="G140" s="128"/>
      <c r="H140" s="132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</row>
    <row r="141" ht="22.5" customHeight="1">
      <c r="A141" s="129" t="s">
        <v>1231</v>
      </c>
      <c r="B141" s="129" t="s">
        <v>1232</v>
      </c>
      <c r="C141" s="130" t="s">
        <v>1573</v>
      </c>
      <c r="D141" s="131" t="s">
        <v>1049</v>
      </c>
      <c r="E141" s="131" t="s">
        <v>1135</v>
      </c>
      <c r="F141" s="128"/>
      <c r="G141" s="128"/>
      <c r="H141" s="132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</row>
    <row r="142" ht="22.5" customHeight="1">
      <c r="A142" s="129" t="s">
        <v>1233</v>
      </c>
      <c r="B142" s="129" t="s">
        <v>1234</v>
      </c>
      <c r="C142" s="130" t="s">
        <v>1573</v>
      </c>
      <c r="D142" s="131" t="s">
        <v>1049</v>
      </c>
      <c r="E142" s="131" t="s">
        <v>1135</v>
      </c>
      <c r="F142" s="128"/>
      <c r="G142" s="128"/>
      <c r="H142" s="132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</row>
    <row r="143" ht="22.5" customHeight="1">
      <c r="A143" s="129" t="s">
        <v>1235</v>
      </c>
      <c r="B143" s="129" t="s">
        <v>1236</v>
      </c>
      <c r="C143" s="130" t="s">
        <v>1573</v>
      </c>
      <c r="D143" s="131" t="s">
        <v>1049</v>
      </c>
      <c r="E143" s="131" t="s">
        <v>1135</v>
      </c>
      <c r="F143" s="128"/>
      <c r="G143" s="128"/>
      <c r="H143" s="132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</row>
    <row r="144" ht="22.5" customHeight="1">
      <c r="A144" s="129" t="s">
        <v>1237</v>
      </c>
      <c r="B144" s="129" t="s">
        <v>1238</v>
      </c>
      <c r="C144" s="130" t="s">
        <v>1573</v>
      </c>
      <c r="D144" s="131" t="s">
        <v>1049</v>
      </c>
      <c r="E144" s="131" t="s">
        <v>1135</v>
      </c>
      <c r="F144" s="128"/>
      <c r="G144" s="128"/>
      <c r="H144" s="132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</row>
    <row r="145" ht="22.5" customHeight="1">
      <c r="A145" s="129" t="s">
        <v>1239</v>
      </c>
      <c r="B145" s="129" t="s">
        <v>1048</v>
      </c>
      <c r="C145" s="130" t="s">
        <v>1573</v>
      </c>
      <c r="D145" s="131" t="s">
        <v>1049</v>
      </c>
      <c r="E145" s="131" t="s">
        <v>1135</v>
      </c>
      <c r="F145" s="128"/>
      <c r="G145" s="128"/>
      <c r="H145" s="132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</row>
    <row r="146" ht="22.5" customHeight="1">
      <c r="A146" s="129" t="s">
        <v>1240</v>
      </c>
      <c r="B146" s="129" t="s">
        <v>1069</v>
      </c>
      <c r="C146" s="130" t="s">
        <v>1573</v>
      </c>
      <c r="D146" s="131" t="s">
        <v>1049</v>
      </c>
      <c r="E146" s="131" t="s">
        <v>1135</v>
      </c>
      <c r="F146" s="128"/>
      <c r="G146" s="128"/>
      <c r="H146" s="132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</row>
    <row r="147" ht="22.5" customHeight="1">
      <c r="A147" s="129" t="s">
        <v>1241</v>
      </c>
      <c r="B147" s="129" t="s">
        <v>1242</v>
      </c>
      <c r="C147" s="130" t="s">
        <v>1573</v>
      </c>
      <c r="D147" s="131" t="s">
        <v>1049</v>
      </c>
      <c r="E147" s="131" t="s">
        <v>1135</v>
      </c>
      <c r="F147" s="128"/>
      <c r="G147" s="128"/>
      <c r="H147" s="132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</row>
    <row r="148" ht="22.5" customHeight="1">
      <c r="A148" s="129" t="s">
        <v>1243</v>
      </c>
      <c r="B148" s="129" t="s">
        <v>1244</v>
      </c>
      <c r="C148" s="130" t="s">
        <v>1573</v>
      </c>
      <c r="D148" s="131" t="s">
        <v>1049</v>
      </c>
      <c r="E148" s="131" t="s">
        <v>1135</v>
      </c>
      <c r="F148" s="128"/>
      <c r="G148" s="128"/>
      <c r="H148" s="132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</row>
    <row r="149" ht="22.5" customHeight="1">
      <c r="A149" s="129" t="s">
        <v>1245</v>
      </c>
      <c r="B149" s="129" t="s">
        <v>1058</v>
      </c>
      <c r="C149" s="130" t="s">
        <v>1573</v>
      </c>
      <c r="D149" s="131" t="s">
        <v>1049</v>
      </c>
      <c r="E149" s="131" t="s">
        <v>1135</v>
      </c>
      <c r="F149" s="128"/>
      <c r="G149" s="128"/>
      <c r="H149" s="132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</row>
    <row r="150" ht="22.5" customHeight="1">
      <c r="A150" s="129" t="s">
        <v>1246</v>
      </c>
      <c r="B150" s="129" t="s">
        <v>1069</v>
      </c>
      <c r="C150" s="130" t="s">
        <v>1573</v>
      </c>
      <c r="D150" s="131" t="s">
        <v>1049</v>
      </c>
      <c r="E150" s="131" t="s">
        <v>1135</v>
      </c>
      <c r="F150" s="128"/>
      <c r="G150" s="128"/>
      <c r="H150" s="132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</row>
    <row r="151" ht="22.5" customHeight="1">
      <c r="A151" s="133" t="s">
        <v>267</v>
      </c>
      <c r="B151" s="133" t="s">
        <v>1247</v>
      </c>
      <c r="C151" s="130" t="s">
        <v>1614</v>
      </c>
      <c r="D151" s="131" t="s">
        <v>1049</v>
      </c>
      <c r="E151" s="131" t="s">
        <v>1135</v>
      </c>
      <c r="F151" s="128"/>
      <c r="G151" s="128"/>
      <c r="H151" s="132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</row>
    <row r="152" ht="22.5" customHeight="1">
      <c r="A152" s="133" t="s">
        <v>270</v>
      </c>
      <c r="B152" s="133" t="s">
        <v>1248</v>
      </c>
      <c r="C152" s="130" t="s">
        <v>1615</v>
      </c>
      <c r="D152" s="131" t="s">
        <v>1049</v>
      </c>
      <c r="E152" s="131" t="s">
        <v>1135</v>
      </c>
      <c r="F152" s="128"/>
      <c r="G152" s="128"/>
      <c r="H152" s="132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</row>
    <row r="153" ht="22.5" customHeight="1">
      <c r="A153" s="133" t="s">
        <v>200</v>
      </c>
      <c r="B153" s="133" t="s">
        <v>272</v>
      </c>
      <c r="C153" s="130" t="s">
        <v>1616</v>
      </c>
      <c r="D153" s="131" t="s">
        <v>1049</v>
      </c>
      <c r="E153" s="131" t="s">
        <v>1135</v>
      </c>
      <c r="F153" s="128"/>
      <c r="G153" s="128"/>
      <c r="H153" s="132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</row>
    <row r="154" ht="22.5" customHeight="1">
      <c r="A154" s="133" t="s">
        <v>205</v>
      </c>
      <c r="B154" s="133" t="s">
        <v>273</v>
      </c>
      <c r="C154" s="130" t="s">
        <v>1617</v>
      </c>
      <c r="D154" s="131" t="s">
        <v>1049</v>
      </c>
      <c r="E154" s="131" t="s">
        <v>1135</v>
      </c>
      <c r="F154" s="128"/>
      <c r="G154" s="128"/>
      <c r="H154" s="132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</row>
    <row r="155" ht="22.5" customHeight="1">
      <c r="A155" s="133" t="s">
        <v>609</v>
      </c>
      <c r="B155" s="133" t="s">
        <v>1249</v>
      </c>
      <c r="C155" s="130" t="s">
        <v>1618</v>
      </c>
      <c r="D155" s="131" t="s">
        <v>1049</v>
      </c>
      <c r="E155" s="131" t="s">
        <v>1135</v>
      </c>
      <c r="F155" s="128"/>
      <c r="G155" s="128"/>
      <c r="H155" s="132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</row>
    <row r="156" ht="22.5" customHeight="1">
      <c r="A156" s="133" t="s">
        <v>212</v>
      </c>
      <c r="B156" s="133" t="s">
        <v>1251</v>
      </c>
      <c r="C156" s="130" t="s">
        <v>1619</v>
      </c>
      <c r="D156" s="131" t="s">
        <v>1049</v>
      </c>
      <c r="E156" s="131" t="s">
        <v>1135</v>
      </c>
      <c r="F156" s="128"/>
      <c r="G156" s="128"/>
      <c r="H156" s="132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</row>
    <row r="157" ht="22.5" customHeight="1">
      <c r="A157" s="133" t="s">
        <v>217</v>
      </c>
      <c r="B157" s="133" t="s">
        <v>1252</v>
      </c>
      <c r="C157" s="130" t="s">
        <v>1620</v>
      </c>
      <c r="D157" s="131" t="s">
        <v>1049</v>
      </c>
      <c r="E157" s="131" t="s">
        <v>1135</v>
      </c>
      <c r="F157" s="128"/>
      <c r="G157" s="128"/>
      <c r="H157" s="132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</row>
    <row r="158" ht="22.5" customHeight="1">
      <c r="A158" s="133" t="s">
        <v>222</v>
      </c>
      <c r="B158" s="133" t="s">
        <v>1253</v>
      </c>
      <c r="C158" s="130" t="s">
        <v>1621</v>
      </c>
      <c r="D158" s="131" t="s">
        <v>1049</v>
      </c>
      <c r="E158" s="131" t="s">
        <v>1135</v>
      </c>
      <c r="F158" s="128"/>
      <c r="G158" s="128"/>
      <c r="H158" s="132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</row>
    <row r="159" ht="22.5" customHeight="1">
      <c r="A159" s="129" t="s">
        <v>1254</v>
      </c>
      <c r="B159" s="129" t="s">
        <v>1080</v>
      </c>
      <c r="C159" s="130" t="s">
        <v>1573</v>
      </c>
      <c r="D159" s="131" t="s">
        <v>1049</v>
      </c>
      <c r="E159" s="131" t="s">
        <v>1135</v>
      </c>
      <c r="F159" s="128"/>
      <c r="G159" s="128"/>
      <c r="H159" s="132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</row>
    <row r="160" ht="22.5" customHeight="1">
      <c r="A160" s="129" t="s">
        <v>1255</v>
      </c>
      <c r="B160" s="129" t="s">
        <v>1083</v>
      </c>
      <c r="C160" s="130" t="s">
        <v>1573</v>
      </c>
      <c r="D160" s="131" t="s">
        <v>1049</v>
      </c>
      <c r="E160" s="131" t="s">
        <v>1135</v>
      </c>
      <c r="F160" s="128"/>
      <c r="G160" s="128"/>
      <c r="H160" s="132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</row>
    <row r="161" ht="22.5" customHeight="1">
      <c r="A161" s="129" t="s">
        <v>1256</v>
      </c>
      <c r="B161" s="129" t="s">
        <v>1084</v>
      </c>
      <c r="C161" s="130" t="s">
        <v>1573</v>
      </c>
      <c r="D161" s="131" t="s">
        <v>1049</v>
      </c>
      <c r="E161" s="131" t="s">
        <v>1135</v>
      </c>
      <c r="F161" s="128"/>
      <c r="G161" s="128"/>
      <c r="H161" s="132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</row>
    <row r="162" ht="22.5" customHeight="1">
      <c r="A162" s="129" t="s">
        <v>1257</v>
      </c>
      <c r="B162" s="129" t="s">
        <v>1258</v>
      </c>
      <c r="C162" s="130" t="s">
        <v>1573</v>
      </c>
      <c r="D162" s="131" t="s">
        <v>1049</v>
      </c>
      <c r="E162" s="131" t="s">
        <v>1135</v>
      </c>
      <c r="F162" s="128"/>
      <c r="G162" s="128"/>
      <c r="H162" s="132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</row>
    <row r="163" ht="22.5" customHeight="1">
      <c r="A163" s="129" t="s">
        <v>1259</v>
      </c>
      <c r="B163" s="129" t="s">
        <v>1260</v>
      </c>
      <c r="C163" s="130" t="s">
        <v>1573</v>
      </c>
      <c r="D163" s="131" t="s">
        <v>1049</v>
      </c>
      <c r="E163" s="131" t="s">
        <v>1135</v>
      </c>
      <c r="F163" s="128"/>
      <c r="G163" s="128"/>
      <c r="H163" s="132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</row>
    <row r="164" ht="22.5" customHeight="1">
      <c r="A164" s="129" t="s">
        <v>1261</v>
      </c>
      <c r="B164" s="129" t="s">
        <v>1262</v>
      </c>
      <c r="C164" s="130" t="s">
        <v>1573</v>
      </c>
      <c r="D164" s="131" t="s">
        <v>1049</v>
      </c>
      <c r="E164" s="131" t="s">
        <v>1135</v>
      </c>
      <c r="F164" s="128"/>
      <c r="G164" s="128"/>
      <c r="H164" s="132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</row>
    <row r="165" ht="22.5" customHeight="1">
      <c r="A165" s="129" t="s">
        <v>1263</v>
      </c>
      <c r="B165" s="129" t="s">
        <v>1258</v>
      </c>
      <c r="C165" s="130" t="s">
        <v>1573</v>
      </c>
      <c r="D165" s="131" t="s">
        <v>1049</v>
      </c>
      <c r="E165" s="131" t="s">
        <v>1135</v>
      </c>
      <c r="F165" s="128"/>
      <c r="G165" s="128"/>
      <c r="H165" s="132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</row>
    <row r="166" ht="22.5" customHeight="1">
      <c r="A166" s="133" t="s">
        <v>168</v>
      </c>
      <c r="B166" s="133" t="s">
        <v>279</v>
      </c>
      <c r="C166" s="130" t="s">
        <v>1624</v>
      </c>
      <c r="D166" s="131" t="s">
        <v>1049</v>
      </c>
      <c r="E166" s="131" t="s">
        <v>1135</v>
      </c>
      <c r="F166" s="128"/>
      <c r="G166" s="128"/>
      <c r="H166" s="132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</row>
    <row r="167" ht="22.5" customHeight="1">
      <c r="A167" s="129" t="s">
        <v>1264</v>
      </c>
      <c r="B167" s="129" t="s">
        <v>1258</v>
      </c>
      <c r="C167" s="130" t="s">
        <v>1573</v>
      </c>
      <c r="D167" s="131" t="s">
        <v>1049</v>
      </c>
      <c r="E167" s="131" t="s">
        <v>1135</v>
      </c>
      <c r="F167" s="128"/>
      <c r="G167" s="128"/>
      <c r="H167" s="132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</row>
    <row r="168" ht="22.5" customHeight="1">
      <c r="A168" s="129" t="s">
        <v>1265</v>
      </c>
      <c r="B168" s="129" t="s">
        <v>1266</v>
      </c>
      <c r="C168" s="130" t="s">
        <v>1573</v>
      </c>
      <c r="D168" s="131" t="s">
        <v>1049</v>
      </c>
      <c r="E168" s="131" t="s">
        <v>1135</v>
      </c>
      <c r="F168" s="128"/>
      <c r="G168" s="128"/>
      <c r="H168" s="132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</row>
    <row r="169" ht="22.5" customHeight="1">
      <c r="A169" s="129" t="s">
        <v>1267</v>
      </c>
      <c r="B169" s="129" t="s">
        <v>1081</v>
      </c>
      <c r="C169" s="130" t="s">
        <v>1573</v>
      </c>
      <c r="D169" s="131" t="s">
        <v>1049</v>
      </c>
      <c r="E169" s="131" t="s">
        <v>1135</v>
      </c>
      <c r="F169" s="128"/>
      <c r="G169" s="128"/>
      <c r="H169" s="132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</row>
    <row r="170" ht="22.5" customHeight="1">
      <c r="A170" s="129" t="s">
        <v>1268</v>
      </c>
      <c r="B170" s="129" t="s">
        <v>1083</v>
      </c>
      <c r="C170" s="130" t="s">
        <v>1573</v>
      </c>
      <c r="D170" s="131" t="s">
        <v>1049</v>
      </c>
      <c r="E170" s="131" t="s">
        <v>1135</v>
      </c>
      <c r="F170" s="128"/>
      <c r="G170" s="128"/>
      <c r="H170" s="132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</row>
    <row r="171" ht="22.5" customHeight="1">
      <c r="A171" s="129" t="s">
        <v>1269</v>
      </c>
      <c r="B171" s="129" t="s">
        <v>1258</v>
      </c>
      <c r="C171" s="130" t="s">
        <v>1573</v>
      </c>
      <c r="D171" s="131" t="s">
        <v>1049</v>
      </c>
      <c r="E171" s="131" t="s">
        <v>1135</v>
      </c>
      <c r="F171" s="128"/>
      <c r="G171" s="128"/>
      <c r="H171" s="132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</row>
    <row r="172" ht="22.5" customHeight="1">
      <c r="A172" s="129" t="s">
        <v>1270</v>
      </c>
      <c r="B172" s="129" t="s">
        <v>1083</v>
      </c>
      <c r="C172" s="130" t="s">
        <v>1573</v>
      </c>
      <c r="D172" s="131" t="s">
        <v>1049</v>
      </c>
      <c r="E172" s="131" t="s">
        <v>1135</v>
      </c>
      <c r="F172" s="128"/>
      <c r="G172" s="128"/>
      <c r="H172" s="132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</row>
    <row r="173" ht="22.5" customHeight="1">
      <c r="A173" s="133" t="s">
        <v>226</v>
      </c>
      <c r="B173" s="133" t="s">
        <v>281</v>
      </c>
      <c r="C173" s="130" t="s">
        <v>1625</v>
      </c>
      <c r="D173" s="131" t="s">
        <v>1049</v>
      </c>
      <c r="E173" s="131" t="s">
        <v>1135</v>
      </c>
      <c r="F173" s="128"/>
      <c r="G173" s="128"/>
      <c r="H173" s="132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</row>
    <row r="174" ht="22.5" customHeight="1">
      <c r="A174" s="133" t="s">
        <v>643</v>
      </c>
      <c r="B174" s="133" t="s">
        <v>924</v>
      </c>
      <c r="C174" s="130" t="s">
        <v>1626</v>
      </c>
      <c r="D174" s="131" t="s">
        <v>1049</v>
      </c>
      <c r="E174" s="131" t="s">
        <v>1135</v>
      </c>
      <c r="F174" s="128"/>
      <c r="G174" s="128"/>
      <c r="H174" s="132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</row>
    <row r="175" ht="22.5" customHeight="1">
      <c r="A175" s="133" t="s">
        <v>177</v>
      </c>
      <c r="B175" s="133" t="s">
        <v>283</v>
      </c>
      <c r="C175" s="130" t="s">
        <v>1627</v>
      </c>
      <c r="D175" s="131" t="s">
        <v>1049</v>
      </c>
      <c r="E175" s="131" t="s">
        <v>1135</v>
      </c>
      <c r="F175" s="128"/>
      <c r="G175" s="128"/>
      <c r="H175" s="132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</row>
    <row r="176" ht="22.5" customHeight="1">
      <c r="A176" s="129" t="s">
        <v>1274</v>
      </c>
      <c r="B176" s="129" t="s">
        <v>1275</v>
      </c>
      <c r="C176" s="130" t="s">
        <v>1573</v>
      </c>
      <c r="D176" s="131" t="s">
        <v>1049</v>
      </c>
      <c r="E176" s="131" t="s">
        <v>1135</v>
      </c>
      <c r="F176" s="128"/>
      <c r="G176" s="128"/>
      <c r="H176" s="132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</row>
    <row r="177" ht="22.5" customHeight="1">
      <c r="A177" s="133" t="s">
        <v>183</v>
      </c>
      <c r="B177" s="133" t="s">
        <v>286</v>
      </c>
      <c r="C177" s="130" t="s">
        <v>1628</v>
      </c>
      <c r="D177" s="131" t="s">
        <v>1049</v>
      </c>
      <c r="E177" s="131" t="s">
        <v>1135</v>
      </c>
      <c r="F177" s="128"/>
      <c r="G177" s="128"/>
      <c r="H177" s="132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</row>
    <row r="178" ht="22.5" customHeight="1">
      <c r="A178" s="129" t="s">
        <v>1276</v>
      </c>
      <c r="B178" s="129" t="s">
        <v>1277</v>
      </c>
      <c r="C178" s="130" t="s">
        <v>1573</v>
      </c>
      <c r="D178" s="131" t="s">
        <v>1049</v>
      </c>
      <c r="E178" s="131" t="s">
        <v>1135</v>
      </c>
      <c r="F178" s="128"/>
      <c r="G178" s="128"/>
      <c r="H178" s="132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</row>
    <row r="179" ht="22.5" customHeight="1">
      <c r="A179" s="129" t="s">
        <v>1278</v>
      </c>
      <c r="B179" s="129" t="s">
        <v>1279</v>
      </c>
      <c r="C179" s="130" t="s">
        <v>1573</v>
      </c>
      <c r="D179" s="131" t="s">
        <v>1049</v>
      </c>
      <c r="E179" s="131" t="s">
        <v>1135</v>
      </c>
      <c r="F179" s="128"/>
      <c r="G179" s="128"/>
      <c r="H179" s="132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</row>
    <row r="180" ht="22.5" customHeight="1">
      <c r="A180" s="129" t="s">
        <v>1280</v>
      </c>
      <c r="B180" s="129" t="s">
        <v>1258</v>
      </c>
      <c r="C180" s="130" t="s">
        <v>1573</v>
      </c>
      <c r="D180" s="131" t="s">
        <v>1049</v>
      </c>
      <c r="E180" s="131" t="s">
        <v>1135</v>
      </c>
      <c r="F180" s="128"/>
      <c r="G180" s="128"/>
      <c r="H180" s="132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</row>
    <row r="181" ht="22.5" customHeight="1">
      <c r="A181" s="129" t="s">
        <v>1281</v>
      </c>
      <c r="B181" s="129" t="s">
        <v>1092</v>
      </c>
      <c r="C181" s="130" t="s">
        <v>1573</v>
      </c>
      <c r="D181" s="131" t="s">
        <v>1049</v>
      </c>
      <c r="E181" s="131" t="s">
        <v>1135</v>
      </c>
      <c r="F181" s="128"/>
      <c r="G181" s="128"/>
      <c r="H181" s="132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</row>
    <row r="182" ht="22.5" customHeight="1">
      <c r="A182" s="129" t="s">
        <v>1282</v>
      </c>
      <c r="B182" s="129" t="s">
        <v>1097</v>
      </c>
      <c r="C182" s="130" t="s">
        <v>1573</v>
      </c>
      <c r="D182" s="131" t="s">
        <v>1049</v>
      </c>
      <c r="E182" s="131" t="s">
        <v>1135</v>
      </c>
      <c r="F182" s="128"/>
      <c r="G182" s="128"/>
      <c r="H182" s="132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</row>
    <row r="183" ht="22.5" customHeight="1">
      <c r="A183" s="129" t="s">
        <v>1283</v>
      </c>
      <c r="B183" s="129" t="s">
        <v>1100</v>
      </c>
      <c r="C183" s="130" t="s">
        <v>1573</v>
      </c>
      <c r="D183" s="131" t="s">
        <v>1049</v>
      </c>
      <c r="E183" s="131" t="s">
        <v>1135</v>
      </c>
      <c r="F183" s="128"/>
      <c r="G183" s="128"/>
      <c r="H183" s="132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</row>
    <row r="184" ht="22.5" customHeight="1">
      <c r="A184" s="129" t="s">
        <v>1284</v>
      </c>
      <c r="B184" s="129" t="s">
        <v>1098</v>
      </c>
      <c r="C184" s="130" t="s">
        <v>1573</v>
      </c>
      <c r="D184" s="131" t="s">
        <v>1049</v>
      </c>
      <c r="E184" s="131" t="s">
        <v>1135</v>
      </c>
      <c r="F184" s="128"/>
      <c r="G184" s="128"/>
      <c r="H184" s="132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</row>
    <row r="185" ht="22.5" customHeight="1">
      <c r="A185" s="129" t="s">
        <v>1285</v>
      </c>
      <c r="B185" s="129" t="s">
        <v>1090</v>
      </c>
      <c r="C185" s="130" t="s">
        <v>1573</v>
      </c>
      <c r="D185" s="131" t="s">
        <v>1049</v>
      </c>
      <c r="E185" s="131" t="s">
        <v>1135</v>
      </c>
      <c r="F185" s="128"/>
      <c r="G185" s="128"/>
      <c r="H185" s="132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</row>
    <row r="186" ht="22.5" customHeight="1">
      <c r="A186" s="129" t="s">
        <v>1286</v>
      </c>
      <c r="B186" s="129" t="s">
        <v>1258</v>
      </c>
      <c r="C186" s="130" t="s">
        <v>1573</v>
      </c>
      <c r="D186" s="131" t="s">
        <v>1049</v>
      </c>
      <c r="E186" s="131" t="s">
        <v>1135</v>
      </c>
      <c r="F186" s="128"/>
      <c r="G186" s="128"/>
      <c r="H186" s="132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</row>
    <row r="187" ht="22.5" customHeight="1">
      <c r="A187" s="129" t="s">
        <v>1287</v>
      </c>
      <c r="B187" s="129" t="s">
        <v>1083</v>
      </c>
      <c r="C187" s="130" t="s">
        <v>1573</v>
      </c>
      <c r="D187" s="131" t="s">
        <v>1049</v>
      </c>
      <c r="E187" s="131" t="s">
        <v>1135</v>
      </c>
      <c r="F187" s="128"/>
      <c r="G187" s="128"/>
      <c r="H187" s="132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</row>
    <row r="188" ht="22.5" customHeight="1">
      <c r="A188" s="129" t="s">
        <v>1288</v>
      </c>
      <c r="B188" s="129" t="s">
        <v>1289</v>
      </c>
      <c r="C188" s="130" t="s">
        <v>1573</v>
      </c>
      <c r="D188" s="131" t="s">
        <v>1049</v>
      </c>
      <c r="E188" s="131" t="s">
        <v>1135</v>
      </c>
      <c r="F188" s="128"/>
      <c r="G188" s="128"/>
      <c r="H188" s="132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</row>
    <row r="189" ht="22.5" customHeight="1">
      <c r="A189" s="133" t="s">
        <v>231</v>
      </c>
      <c r="B189" s="133" t="s">
        <v>1290</v>
      </c>
      <c r="C189" s="130" t="s">
        <v>1630</v>
      </c>
      <c r="D189" s="131" t="s">
        <v>1049</v>
      </c>
      <c r="E189" s="131" t="s">
        <v>1135</v>
      </c>
      <c r="F189" s="128"/>
      <c r="G189" s="128"/>
      <c r="H189" s="132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</row>
    <row r="190" ht="22.5" customHeight="1">
      <c r="A190" s="133" t="s">
        <v>233</v>
      </c>
      <c r="B190" s="133" t="s">
        <v>291</v>
      </c>
      <c r="C190" s="130" t="s">
        <v>1631</v>
      </c>
      <c r="D190" s="131" t="s">
        <v>1049</v>
      </c>
      <c r="E190" s="131" t="s">
        <v>1135</v>
      </c>
      <c r="F190" s="128"/>
      <c r="G190" s="128"/>
      <c r="H190" s="132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</row>
    <row r="191" ht="22.5" customHeight="1">
      <c r="A191" s="129" t="s">
        <v>1291</v>
      </c>
      <c r="B191" s="129" t="s">
        <v>1292</v>
      </c>
      <c r="C191" s="130" t="s">
        <v>1573</v>
      </c>
      <c r="D191" s="131" t="s">
        <v>1049</v>
      </c>
      <c r="E191" s="131" t="s">
        <v>1135</v>
      </c>
      <c r="F191" s="128"/>
      <c r="G191" s="128"/>
      <c r="H191" s="132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</row>
    <row r="192" ht="22.5" customHeight="1">
      <c r="A192" s="129" t="s">
        <v>1293</v>
      </c>
      <c r="B192" s="129" t="s">
        <v>1294</v>
      </c>
      <c r="C192" s="130" t="s">
        <v>1573</v>
      </c>
      <c r="D192" s="131" t="s">
        <v>1049</v>
      </c>
      <c r="E192" s="131" t="s">
        <v>1135</v>
      </c>
      <c r="F192" s="128"/>
      <c r="G192" s="128"/>
      <c r="H192" s="132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</row>
    <row r="193" ht="22.5" customHeight="1">
      <c r="A193" s="129" t="s">
        <v>1295</v>
      </c>
      <c r="B193" s="129" t="s">
        <v>1297</v>
      </c>
      <c r="C193" s="130" t="s">
        <v>1573</v>
      </c>
      <c r="D193" s="131" t="s">
        <v>1049</v>
      </c>
      <c r="E193" s="131" t="s">
        <v>1135</v>
      </c>
      <c r="F193" s="128"/>
      <c r="G193" s="128"/>
      <c r="H193" s="132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</row>
    <row r="194" ht="22.5" customHeight="1">
      <c r="A194" s="129" t="s">
        <v>1298</v>
      </c>
      <c r="B194" s="129" t="s">
        <v>1299</v>
      </c>
      <c r="C194" s="130" t="s">
        <v>1573</v>
      </c>
      <c r="D194" s="131" t="s">
        <v>1049</v>
      </c>
      <c r="E194" s="131" t="s">
        <v>1135</v>
      </c>
      <c r="F194" s="128"/>
      <c r="G194" s="128"/>
      <c r="H194" s="132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</row>
    <row r="195" ht="22.5" customHeight="1">
      <c r="A195" s="129" t="s">
        <v>1300</v>
      </c>
      <c r="B195" s="129" t="s">
        <v>1258</v>
      </c>
      <c r="C195" s="130" t="s">
        <v>1573</v>
      </c>
      <c r="D195" s="131" t="s">
        <v>1049</v>
      </c>
      <c r="E195" s="131" t="s">
        <v>1135</v>
      </c>
      <c r="F195" s="128"/>
      <c r="G195" s="128"/>
      <c r="H195" s="132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</row>
    <row r="196" ht="22.5" customHeight="1">
      <c r="A196" s="129" t="s">
        <v>1301</v>
      </c>
      <c r="B196" s="129" t="s">
        <v>1083</v>
      </c>
      <c r="C196" s="130" t="s">
        <v>1573</v>
      </c>
      <c r="D196" s="131" t="s">
        <v>1049</v>
      </c>
      <c r="E196" s="131" t="s">
        <v>1135</v>
      </c>
      <c r="F196" s="128"/>
      <c r="G196" s="128"/>
      <c r="H196" s="132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</row>
    <row r="197" ht="22.5" customHeight="1">
      <c r="A197" s="129" t="s">
        <v>1302</v>
      </c>
      <c r="B197" s="129" t="s">
        <v>1303</v>
      </c>
      <c r="C197" s="130" t="s">
        <v>1573</v>
      </c>
      <c r="D197" s="131" t="s">
        <v>1049</v>
      </c>
      <c r="E197" s="131" t="s">
        <v>1135</v>
      </c>
      <c r="F197" s="128"/>
      <c r="G197" s="128"/>
      <c r="H197" s="132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</row>
    <row r="198" ht="22.5" customHeight="1">
      <c r="A198" s="129" t="s">
        <v>1304</v>
      </c>
      <c r="B198" s="129" t="s">
        <v>1305</v>
      </c>
      <c r="C198" s="130" t="s">
        <v>1573</v>
      </c>
      <c r="D198" s="131" t="s">
        <v>1049</v>
      </c>
      <c r="E198" s="131" t="s">
        <v>1135</v>
      </c>
      <c r="F198" s="128"/>
      <c r="G198" s="128"/>
      <c r="H198" s="132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</row>
    <row r="199" ht="22.5" customHeight="1">
      <c r="A199" s="129" t="s">
        <v>1308</v>
      </c>
      <c r="B199" s="129" t="s">
        <v>1309</v>
      </c>
      <c r="C199" s="130" t="s">
        <v>1573</v>
      </c>
      <c r="D199" s="131" t="s">
        <v>1049</v>
      </c>
      <c r="E199" s="131" t="s">
        <v>1135</v>
      </c>
      <c r="F199" s="128"/>
      <c r="G199" s="128"/>
      <c r="H199" s="132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</row>
    <row r="200" ht="22.5" customHeight="1">
      <c r="A200" s="133" t="s">
        <v>239</v>
      </c>
      <c r="B200" s="133" t="s">
        <v>293</v>
      </c>
      <c r="C200" s="130" t="s">
        <v>1632</v>
      </c>
      <c r="D200" s="131" t="s">
        <v>1049</v>
      </c>
      <c r="E200" s="131" t="s">
        <v>1135</v>
      </c>
      <c r="F200" s="128"/>
      <c r="G200" s="128"/>
      <c r="H200" s="132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</row>
    <row r="201" ht="22.5" customHeight="1">
      <c r="A201" s="133" t="s">
        <v>241</v>
      </c>
      <c r="B201" s="133" t="s">
        <v>295</v>
      </c>
      <c r="C201" s="130" t="s">
        <v>1633</v>
      </c>
      <c r="D201" s="131" t="s">
        <v>1049</v>
      </c>
      <c r="E201" s="131" t="s">
        <v>1135</v>
      </c>
      <c r="F201" s="128"/>
      <c r="G201" s="128"/>
      <c r="H201" s="132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</row>
    <row r="202" ht="22.5" customHeight="1">
      <c r="A202" s="129" t="s">
        <v>1310</v>
      </c>
      <c r="B202" s="129" t="s">
        <v>1258</v>
      </c>
      <c r="C202" s="130" t="s">
        <v>1573</v>
      </c>
      <c r="D202" s="131" t="s">
        <v>1049</v>
      </c>
      <c r="E202" s="131" t="s">
        <v>1135</v>
      </c>
      <c r="F202" s="128"/>
      <c r="G202" s="128"/>
      <c r="H202" s="132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</row>
    <row r="203" ht="22.5" customHeight="1">
      <c r="A203" s="129" t="s">
        <v>1312</v>
      </c>
      <c r="B203" s="129" t="s">
        <v>1098</v>
      </c>
      <c r="C203" s="130" t="s">
        <v>1573</v>
      </c>
      <c r="D203" s="131" t="s">
        <v>1049</v>
      </c>
      <c r="E203" s="131" t="s">
        <v>1135</v>
      </c>
      <c r="F203" s="128"/>
      <c r="G203" s="128"/>
      <c r="H203" s="132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</row>
    <row r="204" ht="22.5" customHeight="1">
      <c r="A204" s="129" t="s">
        <v>1313</v>
      </c>
      <c r="B204" s="129" t="s">
        <v>1314</v>
      </c>
      <c r="C204" s="130" t="s">
        <v>1573</v>
      </c>
      <c r="D204" s="131" t="s">
        <v>1049</v>
      </c>
      <c r="E204" s="131" t="s">
        <v>1135</v>
      </c>
      <c r="F204" s="128"/>
      <c r="G204" s="128"/>
      <c r="H204" s="132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</row>
    <row r="205" ht="22.5" customHeight="1">
      <c r="A205" s="133" t="s">
        <v>246</v>
      </c>
      <c r="B205" s="133" t="s">
        <v>296</v>
      </c>
      <c r="C205" s="130" t="s">
        <v>1634</v>
      </c>
      <c r="D205" s="131" t="s">
        <v>1049</v>
      </c>
      <c r="E205" s="131" t="s">
        <v>1135</v>
      </c>
      <c r="F205" s="128"/>
      <c r="G205" s="128"/>
      <c r="H205" s="132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</row>
    <row r="206" ht="22.5" customHeight="1">
      <c r="A206" s="133" t="s">
        <v>1315</v>
      </c>
      <c r="B206" s="133" t="s">
        <v>1316</v>
      </c>
      <c r="C206" s="130" t="s">
        <v>1573</v>
      </c>
      <c r="D206" s="131" t="s">
        <v>1317</v>
      </c>
      <c r="E206" s="131" t="s">
        <v>1050</v>
      </c>
      <c r="F206" s="128"/>
      <c r="G206" s="128"/>
      <c r="H206" s="132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</row>
    <row r="207" ht="22.5" customHeight="1">
      <c r="A207" s="129" t="s">
        <v>1319</v>
      </c>
      <c r="B207" s="129" t="s">
        <v>1320</v>
      </c>
      <c r="C207" s="130" t="s">
        <v>1573</v>
      </c>
      <c r="D207" s="131" t="s">
        <v>1317</v>
      </c>
      <c r="E207" s="131" t="s">
        <v>1050</v>
      </c>
      <c r="F207" s="128"/>
      <c r="G207" s="128"/>
      <c r="H207" s="132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</row>
    <row r="208" ht="22.5" customHeight="1">
      <c r="A208" s="129" t="s">
        <v>1321</v>
      </c>
      <c r="B208" s="129" t="s">
        <v>1322</v>
      </c>
      <c r="C208" s="130" t="s">
        <v>1573</v>
      </c>
      <c r="D208" s="131" t="s">
        <v>1317</v>
      </c>
      <c r="E208" s="131" t="s">
        <v>1050</v>
      </c>
      <c r="F208" s="128"/>
      <c r="G208" s="128"/>
      <c r="H208" s="132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</row>
    <row r="209" ht="22.5" customHeight="1">
      <c r="A209" s="129" t="s">
        <v>1325</v>
      </c>
      <c r="B209" s="129" t="s">
        <v>1326</v>
      </c>
      <c r="C209" s="130" t="s">
        <v>1573</v>
      </c>
      <c r="D209" s="131" t="s">
        <v>1317</v>
      </c>
      <c r="E209" s="131" t="s">
        <v>1050</v>
      </c>
      <c r="F209" s="128"/>
      <c r="G209" s="128"/>
      <c r="H209" s="132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</row>
    <row r="210" ht="22.5" customHeight="1">
      <c r="A210" s="129" t="s">
        <v>1327</v>
      </c>
      <c r="B210" s="129" t="s">
        <v>1069</v>
      </c>
      <c r="C210" s="130" t="s">
        <v>1573</v>
      </c>
      <c r="D210" s="131" t="s">
        <v>1317</v>
      </c>
      <c r="E210" s="131" t="s">
        <v>1050</v>
      </c>
      <c r="F210" s="128"/>
      <c r="G210" s="128"/>
      <c r="H210" s="132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</row>
    <row r="211" ht="22.5" customHeight="1">
      <c r="A211" s="129" t="s">
        <v>1328</v>
      </c>
      <c r="B211" s="129" t="s">
        <v>1329</v>
      </c>
      <c r="C211" s="130" t="s">
        <v>1573</v>
      </c>
      <c r="D211" s="131" t="s">
        <v>1317</v>
      </c>
      <c r="E211" s="131" t="s">
        <v>1050</v>
      </c>
      <c r="F211" s="128"/>
      <c r="G211" s="128"/>
      <c r="H211" s="132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</row>
    <row r="212" ht="22.5" customHeight="1">
      <c r="A212" s="129" t="s">
        <v>1330</v>
      </c>
      <c r="B212" s="129" t="s">
        <v>1331</v>
      </c>
      <c r="C212" s="130" t="s">
        <v>1573</v>
      </c>
      <c r="D212" s="131" t="s">
        <v>1317</v>
      </c>
      <c r="E212" s="131" t="s">
        <v>1050</v>
      </c>
      <c r="F212" s="128"/>
      <c r="G212" s="128"/>
      <c r="H212" s="132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</row>
    <row r="213" ht="22.5" customHeight="1">
      <c r="A213" s="129" t="s">
        <v>1335</v>
      </c>
      <c r="B213" s="129" t="s">
        <v>1336</v>
      </c>
      <c r="C213" s="130" t="s">
        <v>1573</v>
      </c>
      <c r="D213" s="131" t="s">
        <v>1317</v>
      </c>
      <c r="E213" s="131" t="s">
        <v>1050</v>
      </c>
      <c r="F213" s="128"/>
      <c r="G213" s="128"/>
      <c r="H213" s="132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</row>
    <row r="214" ht="22.5" customHeight="1">
      <c r="A214" s="129" t="s">
        <v>1337</v>
      </c>
      <c r="B214" s="129" t="s">
        <v>1338</v>
      </c>
      <c r="C214" s="130" t="s">
        <v>1573</v>
      </c>
      <c r="D214" s="131" t="s">
        <v>1317</v>
      </c>
      <c r="E214" s="131" t="s">
        <v>1050</v>
      </c>
      <c r="F214" s="128"/>
      <c r="G214" s="128"/>
      <c r="H214" s="132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</row>
    <row r="215" ht="22.5" customHeight="1">
      <c r="A215" s="129" t="s">
        <v>1339</v>
      </c>
      <c r="B215" s="129" t="s">
        <v>1048</v>
      </c>
      <c r="C215" s="130" t="s">
        <v>1573</v>
      </c>
      <c r="D215" s="131" t="s">
        <v>1317</v>
      </c>
      <c r="E215" s="131" t="s">
        <v>1050</v>
      </c>
      <c r="F215" s="128"/>
      <c r="G215" s="128"/>
      <c r="H215" s="132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</row>
    <row r="216" ht="22.5" customHeight="1">
      <c r="A216" s="129" t="s">
        <v>1342</v>
      </c>
      <c r="B216" s="129" t="s">
        <v>1343</v>
      </c>
      <c r="C216" s="130" t="s">
        <v>1573</v>
      </c>
      <c r="D216" s="131" t="s">
        <v>1317</v>
      </c>
      <c r="E216" s="131" t="s">
        <v>1050</v>
      </c>
      <c r="F216" s="128"/>
      <c r="G216" s="128"/>
      <c r="H216" s="132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</row>
    <row r="217" ht="22.5" customHeight="1">
      <c r="A217" s="129" t="s">
        <v>1346</v>
      </c>
      <c r="B217" s="129" t="s">
        <v>1347</v>
      </c>
      <c r="C217" s="130" t="s">
        <v>1573</v>
      </c>
      <c r="D217" s="131" t="s">
        <v>1317</v>
      </c>
      <c r="E217" s="131" t="s">
        <v>1050</v>
      </c>
      <c r="F217" s="128"/>
      <c r="G217" s="128"/>
      <c r="H217" s="132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</row>
    <row r="218" ht="22.5" customHeight="1">
      <c r="A218" s="129" t="s">
        <v>1351</v>
      </c>
      <c r="B218" s="129" t="s">
        <v>1069</v>
      </c>
      <c r="C218" s="130" t="s">
        <v>1573</v>
      </c>
      <c r="D218" s="131" t="s">
        <v>1317</v>
      </c>
      <c r="E218" s="131" t="s">
        <v>1050</v>
      </c>
      <c r="F218" s="128"/>
      <c r="G218" s="128"/>
      <c r="H218" s="132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</row>
    <row r="219" ht="22.5" customHeight="1">
      <c r="A219" s="129" t="s">
        <v>1352</v>
      </c>
      <c r="B219" s="129" t="s">
        <v>1353</v>
      </c>
      <c r="C219" s="130" t="s">
        <v>1573</v>
      </c>
      <c r="D219" s="131" t="s">
        <v>1317</v>
      </c>
      <c r="E219" s="131" t="s">
        <v>1050</v>
      </c>
      <c r="F219" s="128"/>
      <c r="G219" s="128"/>
      <c r="H219" s="132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</row>
    <row r="220" ht="22.5" customHeight="1">
      <c r="A220" s="129" t="s">
        <v>1355</v>
      </c>
      <c r="B220" s="129" t="s">
        <v>1356</v>
      </c>
      <c r="C220" s="130" t="s">
        <v>1573</v>
      </c>
      <c r="D220" s="131" t="s">
        <v>1317</v>
      </c>
      <c r="E220" s="131" t="s">
        <v>1050</v>
      </c>
      <c r="F220" s="128"/>
      <c r="G220" s="128"/>
      <c r="H220" s="132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</row>
    <row r="221" ht="22.5" customHeight="1">
      <c r="A221" s="129" t="s">
        <v>1358</v>
      </c>
      <c r="B221" s="129" t="s">
        <v>244</v>
      </c>
      <c r="C221" s="130" t="s">
        <v>1573</v>
      </c>
      <c r="D221" s="131" t="s">
        <v>1317</v>
      </c>
      <c r="E221" s="131" t="s">
        <v>1050</v>
      </c>
      <c r="F221" s="128"/>
      <c r="G221" s="128"/>
      <c r="H221" s="132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</row>
    <row r="222" ht="22.5" customHeight="1">
      <c r="A222" s="129" t="s">
        <v>1359</v>
      </c>
      <c r="B222" s="129" t="s">
        <v>940</v>
      </c>
      <c r="C222" s="130" t="s">
        <v>1573</v>
      </c>
      <c r="D222" s="131" t="s">
        <v>1317</v>
      </c>
      <c r="E222" s="131" t="s">
        <v>1050</v>
      </c>
      <c r="F222" s="128"/>
      <c r="G222" s="128"/>
      <c r="H222" s="132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</row>
    <row r="223" ht="22.5" customHeight="1">
      <c r="A223" s="124" t="s">
        <v>932</v>
      </c>
      <c r="B223" s="134" t="s">
        <v>1638</v>
      </c>
      <c r="C223" s="134"/>
      <c r="D223" s="134" t="s">
        <v>1317</v>
      </c>
      <c r="E223" s="134" t="s">
        <v>1401</v>
      </c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</row>
    <row r="224" ht="22.5" customHeight="1">
      <c r="A224" s="124" t="s">
        <v>1639</v>
      </c>
      <c r="B224" s="134" t="s">
        <v>1640</v>
      </c>
      <c r="C224" s="134"/>
      <c r="D224" s="134" t="s">
        <v>1317</v>
      </c>
      <c r="E224" s="134" t="s">
        <v>1401</v>
      </c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</row>
    <row r="225" ht="22.5" customHeight="1">
      <c r="A225" s="123" t="s">
        <v>1641</v>
      </c>
      <c r="B225" s="135" t="s">
        <v>1642</v>
      </c>
      <c r="C225" s="135"/>
      <c r="D225" s="134" t="s">
        <v>1361</v>
      </c>
      <c r="E225" s="134" t="s">
        <v>1050</v>
      </c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</row>
    <row r="226" ht="22.5" customHeight="1">
      <c r="A226" s="123" t="s">
        <v>1643</v>
      </c>
      <c r="B226" s="135" t="s">
        <v>940</v>
      </c>
      <c r="C226" s="135"/>
      <c r="D226" s="134" t="s">
        <v>1361</v>
      </c>
      <c r="E226" s="134" t="s">
        <v>1050</v>
      </c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</row>
    <row r="227" ht="22.5" customHeight="1">
      <c r="A227" s="123" t="s">
        <v>1368</v>
      </c>
      <c r="B227" s="135" t="s">
        <v>1644</v>
      </c>
      <c r="C227" s="135"/>
      <c r="D227" s="134" t="s">
        <v>1361</v>
      </c>
      <c r="E227" s="134" t="s">
        <v>1050</v>
      </c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</row>
    <row r="228" ht="22.5" customHeight="1">
      <c r="A228" s="123" t="s">
        <v>779</v>
      </c>
      <c r="B228" s="135" t="s">
        <v>244</v>
      </c>
      <c r="C228" s="135" t="s">
        <v>780</v>
      </c>
      <c r="D228" s="134" t="s">
        <v>1361</v>
      </c>
      <c r="E228" s="134" t="s">
        <v>1050</v>
      </c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</row>
    <row r="229" ht="22.5" customHeight="1">
      <c r="A229" s="123" t="s">
        <v>789</v>
      </c>
      <c r="B229" s="135" t="s">
        <v>940</v>
      </c>
      <c r="C229" s="135" t="s">
        <v>790</v>
      </c>
      <c r="D229" s="134" t="s">
        <v>1361</v>
      </c>
      <c r="E229" s="134" t="s">
        <v>1050</v>
      </c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</row>
    <row r="230" ht="22.5" customHeight="1">
      <c r="A230" s="123" t="s">
        <v>796</v>
      </c>
      <c r="B230" s="135" t="s">
        <v>1645</v>
      </c>
      <c r="C230" s="135" t="s">
        <v>797</v>
      </c>
      <c r="D230" s="134" t="s">
        <v>1361</v>
      </c>
      <c r="E230" s="134" t="s">
        <v>1050</v>
      </c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</row>
    <row r="231" ht="22.5" customHeight="1">
      <c r="A231" s="123" t="s">
        <v>1386</v>
      </c>
      <c r="B231" s="135" t="s">
        <v>1646</v>
      </c>
      <c r="C231" s="135"/>
      <c r="D231" s="134" t="s">
        <v>1361</v>
      </c>
      <c r="E231" s="134" t="s">
        <v>1050</v>
      </c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</row>
    <row r="232" ht="22.5" customHeight="1">
      <c r="A232" s="123" t="s">
        <v>1388</v>
      </c>
      <c r="B232" s="135" t="s">
        <v>1647</v>
      </c>
      <c r="C232" s="135"/>
      <c r="D232" s="134" t="s">
        <v>1361</v>
      </c>
      <c r="E232" s="134" t="s">
        <v>1050</v>
      </c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</row>
    <row r="233" ht="22.5" customHeight="1">
      <c r="A233" s="123" t="s">
        <v>804</v>
      </c>
      <c r="B233" s="135" t="s">
        <v>1648</v>
      </c>
      <c r="C233" s="135" t="s">
        <v>805</v>
      </c>
      <c r="D233" s="134" t="s">
        <v>1361</v>
      </c>
      <c r="E233" s="134" t="s">
        <v>1050</v>
      </c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</row>
    <row r="234" ht="22.5" customHeight="1">
      <c r="A234" s="123" t="s">
        <v>812</v>
      </c>
      <c r="B234" s="135" t="s">
        <v>1649</v>
      </c>
      <c r="C234" s="135" t="s">
        <v>813</v>
      </c>
      <c r="D234" s="134" t="s">
        <v>1361</v>
      </c>
      <c r="E234" s="134" t="s">
        <v>1050</v>
      </c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</row>
    <row r="235" ht="22.5" customHeight="1">
      <c r="A235" s="123" t="s">
        <v>1391</v>
      </c>
      <c r="B235" s="135" t="s">
        <v>1650</v>
      </c>
      <c r="C235" s="135"/>
      <c r="D235" s="134" t="s">
        <v>1361</v>
      </c>
      <c r="E235" s="134" t="s">
        <v>1050</v>
      </c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</row>
    <row r="236" ht="22.5" customHeight="1">
      <c r="A236" s="123" t="s">
        <v>1393</v>
      </c>
      <c r="B236" s="135" t="s">
        <v>1651</v>
      </c>
      <c r="C236" s="135"/>
      <c r="D236" s="134" t="s">
        <v>1361</v>
      </c>
      <c r="E236" s="134" t="s">
        <v>1050</v>
      </c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</row>
    <row r="237" ht="22.5" customHeight="1">
      <c r="A237" s="123" t="s">
        <v>815</v>
      </c>
      <c r="B237" s="135" t="s">
        <v>1652</v>
      </c>
      <c r="C237" s="135" t="s">
        <v>816</v>
      </c>
      <c r="D237" s="134" t="s">
        <v>1361</v>
      </c>
      <c r="E237" s="134" t="s">
        <v>1050</v>
      </c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</row>
    <row r="238" ht="22.5" customHeight="1">
      <c r="A238" s="123" t="s">
        <v>1397</v>
      </c>
      <c r="B238" s="135" t="s">
        <v>1132</v>
      </c>
      <c r="C238" s="135"/>
      <c r="D238" s="134" t="s">
        <v>1361</v>
      </c>
      <c r="E238" s="134" t="s">
        <v>1050</v>
      </c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</row>
    <row r="239" ht="22.5" customHeight="1">
      <c r="A239" s="123" t="s">
        <v>945</v>
      </c>
      <c r="B239" s="135" t="s">
        <v>946</v>
      </c>
      <c r="C239" s="135"/>
      <c r="D239" s="134" t="s">
        <v>1361</v>
      </c>
      <c r="E239" s="134" t="s">
        <v>1050</v>
      </c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</row>
    <row r="240" ht="22.5" customHeight="1">
      <c r="A240" s="123" t="s">
        <v>1653</v>
      </c>
      <c r="B240" s="135" t="s">
        <v>1654</v>
      </c>
      <c r="C240" s="135"/>
      <c r="D240" s="134" t="s">
        <v>1361</v>
      </c>
      <c r="E240" s="134" t="s">
        <v>1401</v>
      </c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</row>
    <row r="241" ht="22.5" customHeight="1">
      <c r="A241" s="123" t="s">
        <v>321</v>
      </c>
      <c r="B241" s="135" t="s">
        <v>1655</v>
      </c>
      <c r="C241" s="135"/>
      <c r="D241" s="134" t="s">
        <v>1361</v>
      </c>
      <c r="E241" s="134" t="s">
        <v>1401</v>
      </c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</row>
    <row r="242" ht="22.5" customHeight="1">
      <c r="A242" s="123" t="s">
        <v>337</v>
      </c>
      <c r="B242" s="135" t="s">
        <v>1656</v>
      </c>
      <c r="C242" s="135"/>
      <c r="D242" s="134" t="s">
        <v>1361</v>
      </c>
      <c r="E242" s="134" t="s">
        <v>1401</v>
      </c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</row>
    <row r="243" ht="22.5" customHeight="1">
      <c r="A243" s="123" t="s">
        <v>379</v>
      </c>
      <c r="B243" s="135" t="s">
        <v>1657</v>
      </c>
      <c r="C243" s="135"/>
      <c r="D243" s="134" t="s">
        <v>1361</v>
      </c>
      <c r="E243" s="134" t="s">
        <v>1401</v>
      </c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</row>
    <row r="244" ht="22.5" customHeight="1">
      <c r="A244" s="123" t="s">
        <v>404</v>
      </c>
      <c r="B244" s="135" t="s">
        <v>1658</v>
      </c>
      <c r="C244" s="135" t="s">
        <v>822</v>
      </c>
      <c r="D244" s="134" t="s">
        <v>1361</v>
      </c>
      <c r="E244" s="134" t="s">
        <v>1401</v>
      </c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</row>
    <row r="245" ht="22.5" customHeight="1">
      <c r="A245" s="123" t="s">
        <v>421</v>
      </c>
      <c r="B245" s="135" t="s">
        <v>1659</v>
      </c>
      <c r="C245" s="135"/>
      <c r="D245" s="134" t="s">
        <v>1361</v>
      </c>
      <c r="E245" s="134" t="s">
        <v>1401</v>
      </c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</row>
    <row r="246" ht="22.5" customHeight="1">
      <c r="A246" s="123" t="s">
        <v>442</v>
      </c>
      <c r="B246" s="135" t="s">
        <v>1662</v>
      </c>
      <c r="C246" s="135"/>
      <c r="D246" s="134" t="s">
        <v>1361</v>
      </c>
      <c r="E246" s="134" t="s">
        <v>1401</v>
      </c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</row>
    <row r="247" ht="22.5" customHeight="1">
      <c r="A247" s="123" t="s">
        <v>456</v>
      </c>
      <c r="B247" s="135" t="s">
        <v>1663</v>
      </c>
      <c r="C247" s="135"/>
      <c r="D247" s="134" t="s">
        <v>1361</v>
      </c>
      <c r="E247" s="134" t="s">
        <v>1401</v>
      </c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</row>
    <row r="248" ht="22.5" customHeight="1">
      <c r="A248" s="123" t="s">
        <v>486</v>
      </c>
      <c r="B248" s="135" t="s">
        <v>1664</v>
      </c>
      <c r="C248" s="135"/>
      <c r="D248" s="134" t="s">
        <v>1361</v>
      </c>
      <c r="E248" s="134" t="s">
        <v>1401</v>
      </c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</row>
    <row r="249" ht="22.5" customHeight="1">
      <c r="A249" s="123" t="s">
        <v>507</v>
      </c>
      <c r="B249" s="135" t="s">
        <v>1665</v>
      </c>
      <c r="C249" s="135"/>
      <c r="D249" s="134" t="s">
        <v>1361</v>
      </c>
      <c r="E249" s="134" t="s">
        <v>1401</v>
      </c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</row>
    <row r="250" ht="22.5" customHeight="1">
      <c r="A250" s="123" t="s">
        <v>530</v>
      </c>
      <c r="B250" s="135" t="s">
        <v>1666</v>
      </c>
      <c r="C250" s="135" t="s">
        <v>826</v>
      </c>
      <c r="D250" s="134" t="s">
        <v>1361</v>
      </c>
      <c r="E250" s="134" t="s">
        <v>1401</v>
      </c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</row>
    <row r="251" ht="22.5" customHeight="1">
      <c r="A251" s="123" t="s">
        <v>552</v>
      </c>
      <c r="B251" s="135" t="s">
        <v>1667</v>
      </c>
      <c r="C251" s="135"/>
      <c r="D251" s="134" t="s">
        <v>1361</v>
      </c>
      <c r="E251" s="134" t="s">
        <v>1401</v>
      </c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</row>
    <row r="252" ht="22.5" customHeight="1">
      <c r="A252" s="123" t="s">
        <v>581</v>
      </c>
      <c r="B252" s="135" t="s">
        <v>1668</v>
      </c>
      <c r="C252" s="135"/>
      <c r="D252" s="134" t="s">
        <v>1361</v>
      </c>
      <c r="E252" s="134" t="s">
        <v>1401</v>
      </c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</row>
    <row r="253" ht="22.5" customHeight="1">
      <c r="A253" s="123" t="s">
        <v>622</v>
      </c>
      <c r="B253" s="135" t="s">
        <v>1076</v>
      </c>
      <c r="C253" s="135"/>
      <c r="D253" s="134" t="s">
        <v>1361</v>
      </c>
      <c r="E253" s="134" t="s">
        <v>1401</v>
      </c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</row>
    <row r="254" ht="22.5" customHeight="1">
      <c r="A254" s="123" t="s">
        <v>626</v>
      </c>
      <c r="B254" s="135" t="s">
        <v>1669</v>
      </c>
      <c r="C254" s="135"/>
      <c r="D254" s="134" t="s">
        <v>1361</v>
      </c>
      <c r="E254" s="134" t="s">
        <v>1401</v>
      </c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</row>
    <row r="255" ht="22.5" customHeight="1">
      <c r="A255" s="123" t="s">
        <v>635</v>
      </c>
      <c r="B255" s="135" t="s">
        <v>1670</v>
      </c>
      <c r="C255" s="135"/>
      <c r="D255" s="134" t="s">
        <v>1361</v>
      </c>
      <c r="E255" s="134" t="s">
        <v>1401</v>
      </c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</row>
    <row r="256" ht="22.5" customHeight="1">
      <c r="A256" s="123" t="s">
        <v>642</v>
      </c>
      <c r="B256" s="135" t="s">
        <v>1671</v>
      </c>
      <c r="C256" s="135"/>
      <c r="D256" s="134" t="s">
        <v>1361</v>
      </c>
      <c r="E256" s="134" t="s">
        <v>1401</v>
      </c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</row>
    <row r="257" ht="22.5" customHeight="1">
      <c r="A257" s="123" t="s">
        <v>648</v>
      </c>
      <c r="B257" s="135" t="s">
        <v>1674</v>
      </c>
      <c r="C257" s="135"/>
      <c r="D257" s="134" t="s">
        <v>1361</v>
      </c>
      <c r="E257" s="134" t="s">
        <v>1401</v>
      </c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</row>
    <row r="258" ht="22.5" customHeight="1">
      <c r="A258" s="123" t="s">
        <v>655</v>
      </c>
      <c r="B258" s="135" t="s">
        <v>1675</v>
      </c>
      <c r="C258" s="135"/>
      <c r="D258" s="134" t="s">
        <v>1361</v>
      </c>
      <c r="E258" s="134" t="s">
        <v>1401</v>
      </c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</row>
    <row r="259" ht="22.5" customHeight="1">
      <c r="A259" s="123" t="s">
        <v>719</v>
      </c>
      <c r="B259" s="135" t="s">
        <v>940</v>
      </c>
      <c r="C259" s="135"/>
      <c r="D259" s="134" t="s">
        <v>1361</v>
      </c>
      <c r="E259" s="134" t="s">
        <v>1401</v>
      </c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</row>
    <row r="260" ht="22.5" customHeight="1">
      <c r="A260" s="123" t="s">
        <v>725</v>
      </c>
      <c r="B260" s="135" t="s">
        <v>244</v>
      </c>
      <c r="C260" s="135"/>
      <c r="D260" s="134" t="s">
        <v>1361</v>
      </c>
      <c r="E260" s="134" t="s">
        <v>1401</v>
      </c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</row>
    <row r="261" ht="22.5" customHeight="1">
      <c r="A261" s="123" t="s">
        <v>1676</v>
      </c>
      <c r="B261" s="135" t="s">
        <v>1677</v>
      </c>
      <c r="C261" s="135"/>
      <c r="D261" s="134" t="s">
        <v>1361</v>
      </c>
      <c r="E261" s="134" t="s">
        <v>1401</v>
      </c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</row>
    <row r="262" ht="22.5" customHeight="1">
      <c r="A262" s="123" t="s">
        <v>1678</v>
      </c>
      <c r="B262" s="135" t="s">
        <v>1640</v>
      </c>
      <c r="C262" s="135"/>
      <c r="D262" s="134" t="s">
        <v>1361</v>
      </c>
      <c r="E262" s="134" t="s">
        <v>1401</v>
      </c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</row>
    <row r="263" ht="22.5" customHeight="1">
      <c r="A263" s="123" t="s">
        <v>1679</v>
      </c>
      <c r="B263" s="135" t="s">
        <v>1680</v>
      </c>
      <c r="C263" s="135"/>
      <c r="D263" s="134" t="s">
        <v>1361</v>
      </c>
      <c r="E263" s="134" t="s">
        <v>1135</v>
      </c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</row>
    <row r="264" ht="22.5" customHeight="1">
      <c r="A264" s="123" t="s">
        <v>1681</v>
      </c>
      <c r="B264" s="135" t="s">
        <v>1682</v>
      </c>
      <c r="C264" s="135"/>
      <c r="D264" s="134" t="s">
        <v>1361</v>
      </c>
      <c r="E264" s="134" t="s">
        <v>1135</v>
      </c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</row>
    <row r="265" ht="22.5" customHeight="1">
      <c r="A265" s="123" t="s">
        <v>1683</v>
      </c>
      <c r="B265" s="135" t="s">
        <v>1684</v>
      </c>
      <c r="C265" s="135"/>
      <c r="D265" s="134" t="s">
        <v>1361</v>
      </c>
      <c r="E265" s="134" t="s">
        <v>1135</v>
      </c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 ht="22.5" customHeight="1">
      <c r="A266" s="123" t="s">
        <v>1685</v>
      </c>
      <c r="B266" s="135" t="s">
        <v>1686</v>
      </c>
      <c r="C266" s="135"/>
      <c r="D266" s="134" t="s">
        <v>1361</v>
      </c>
      <c r="E266" s="134" t="s">
        <v>1135</v>
      </c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 ht="22.5" customHeight="1">
      <c r="A267" s="123" t="s">
        <v>1687</v>
      </c>
      <c r="B267" s="135" t="s">
        <v>1688</v>
      </c>
      <c r="C267" s="135"/>
      <c r="D267" s="134" t="s">
        <v>1361</v>
      </c>
      <c r="E267" s="134" t="s">
        <v>1135</v>
      </c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</row>
    <row r="268" ht="22.5" customHeight="1">
      <c r="A268" s="123" t="s">
        <v>1689</v>
      </c>
      <c r="B268" s="135" t="s">
        <v>1690</v>
      </c>
      <c r="C268" s="135"/>
      <c r="D268" s="134" t="s">
        <v>1361</v>
      </c>
      <c r="E268" s="134" t="s">
        <v>1135</v>
      </c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</row>
    <row r="269" ht="22.5" customHeight="1">
      <c r="A269" s="123" t="s">
        <v>1691</v>
      </c>
      <c r="B269" s="135" t="s">
        <v>1692</v>
      </c>
      <c r="C269" s="135"/>
      <c r="D269" s="134" t="s">
        <v>1361</v>
      </c>
      <c r="E269" s="134" t="s">
        <v>1135</v>
      </c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</row>
    <row r="270" ht="22.5" customHeight="1">
      <c r="A270" s="123" t="s">
        <v>1694</v>
      </c>
      <c r="B270" s="135" t="s">
        <v>1695</v>
      </c>
      <c r="C270" s="135"/>
      <c r="D270" s="134" t="s">
        <v>1361</v>
      </c>
      <c r="E270" s="134" t="s">
        <v>1135</v>
      </c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</row>
    <row r="271" ht="22.5" customHeight="1">
      <c r="A271" s="123" t="s">
        <v>1696</v>
      </c>
      <c r="B271" s="135" t="s">
        <v>1697</v>
      </c>
      <c r="C271" s="135"/>
      <c r="D271" s="134" t="s">
        <v>1361</v>
      </c>
      <c r="E271" s="134" t="s">
        <v>1135</v>
      </c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</row>
    <row r="272" ht="22.5" customHeight="1">
      <c r="A272" s="123" t="s">
        <v>1698</v>
      </c>
      <c r="B272" s="135" t="s">
        <v>1699</v>
      </c>
      <c r="C272" s="135"/>
      <c r="D272" s="134" t="s">
        <v>1361</v>
      </c>
      <c r="E272" s="134" t="s">
        <v>1135</v>
      </c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</row>
    <row r="273" ht="22.5" customHeight="1">
      <c r="A273" s="123" t="s">
        <v>1700</v>
      </c>
      <c r="B273" s="135" t="s">
        <v>1701</v>
      </c>
      <c r="C273" s="135"/>
      <c r="D273" s="134" t="s">
        <v>1361</v>
      </c>
      <c r="E273" s="134" t="s">
        <v>1135</v>
      </c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</row>
    <row r="274" ht="22.5" customHeight="1">
      <c r="A274" s="123" t="s">
        <v>1702</v>
      </c>
      <c r="B274" s="135" t="s">
        <v>1703</v>
      </c>
      <c r="C274" s="135"/>
      <c r="D274" s="134" t="s">
        <v>1361</v>
      </c>
      <c r="E274" s="134" t="s">
        <v>1135</v>
      </c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</row>
    <row r="275" ht="22.5" customHeight="1">
      <c r="A275" s="123" t="s">
        <v>1704</v>
      </c>
      <c r="B275" s="135" t="s">
        <v>1705</v>
      </c>
      <c r="C275" s="135"/>
      <c r="D275" s="134" t="s">
        <v>1361</v>
      </c>
      <c r="E275" s="134" t="s">
        <v>1135</v>
      </c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</row>
    <row r="276" ht="22.5" customHeight="1">
      <c r="A276" s="123" t="s">
        <v>1706</v>
      </c>
      <c r="B276" s="135" t="s">
        <v>1707</v>
      </c>
      <c r="C276" s="135"/>
      <c r="D276" s="134" t="s">
        <v>1361</v>
      </c>
      <c r="E276" s="134" t="s">
        <v>1135</v>
      </c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</row>
    <row r="277" ht="22.5" customHeight="1">
      <c r="A277" s="11" t="s">
        <v>1708</v>
      </c>
      <c r="B277" s="11" t="s">
        <v>1709</v>
      </c>
      <c r="D277" s="134" t="s">
        <v>1456</v>
      </c>
      <c r="E277" s="134" t="s">
        <v>1050</v>
      </c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</row>
    <row r="278" ht="22.5" customHeight="1">
      <c r="A278" s="11" t="s">
        <v>1710</v>
      </c>
      <c r="B278" s="11" t="s">
        <v>1711</v>
      </c>
      <c r="D278" s="134" t="s">
        <v>1456</v>
      </c>
      <c r="E278" s="134" t="s">
        <v>1050</v>
      </c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</row>
    <row r="279" ht="22.5" customHeight="1">
      <c r="A279" s="11" t="s">
        <v>1712</v>
      </c>
      <c r="B279" s="11" t="s">
        <v>1713</v>
      </c>
      <c r="D279" s="134" t="s">
        <v>1456</v>
      </c>
      <c r="E279" s="134" t="s">
        <v>1050</v>
      </c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</row>
    <row r="280" ht="22.5" customHeight="1">
      <c r="A280" s="11" t="s">
        <v>1714</v>
      </c>
      <c r="B280" s="11" t="s">
        <v>1715</v>
      </c>
      <c r="D280" s="134" t="s">
        <v>1456</v>
      </c>
      <c r="E280" s="134" t="s">
        <v>1050</v>
      </c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</row>
    <row r="281" ht="22.5" customHeight="1">
      <c r="A281" s="11" t="s">
        <v>1716</v>
      </c>
      <c r="B281" s="11" t="s">
        <v>1717</v>
      </c>
      <c r="D281" s="134" t="s">
        <v>1456</v>
      </c>
      <c r="E281" s="134" t="s">
        <v>1050</v>
      </c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</row>
    <row r="282" ht="22.5" customHeight="1">
      <c r="A282" s="11" t="s">
        <v>1718</v>
      </c>
      <c r="B282" s="11" t="s">
        <v>1719</v>
      </c>
      <c r="D282" s="134" t="s">
        <v>1456</v>
      </c>
      <c r="E282" s="134" t="s">
        <v>1050</v>
      </c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</row>
    <row r="283" ht="22.5" customHeight="1">
      <c r="A283" s="11" t="s">
        <v>753</v>
      </c>
      <c r="B283" s="11" t="s">
        <v>1720</v>
      </c>
      <c r="D283" s="134" t="s">
        <v>1456</v>
      </c>
      <c r="E283" s="134" t="s">
        <v>1050</v>
      </c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</row>
    <row r="284" ht="22.5" customHeight="1">
      <c r="A284" s="11" t="s">
        <v>765</v>
      </c>
      <c r="B284" s="11" t="s">
        <v>1029</v>
      </c>
      <c r="D284" s="134" t="s">
        <v>1456</v>
      </c>
      <c r="E284" s="134" t="s">
        <v>1050</v>
      </c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</row>
    <row r="285" ht="22.5" customHeight="1">
      <c r="A285" s="124" t="s">
        <v>729</v>
      </c>
      <c r="B285" s="124" t="s">
        <v>1724</v>
      </c>
      <c r="C285" s="134" t="s">
        <v>730</v>
      </c>
      <c r="D285" s="134" t="s">
        <v>1456</v>
      </c>
      <c r="E285" s="131" t="s">
        <v>1050</v>
      </c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</row>
    <row r="286" ht="22.5" customHeight="1">
      <c r="A286" s="11" t="s">
        <v>1052</v>
      </c>
      <c r="B286" s="11" t="s">
        <v>1725</v>
      </c>
      <c r="D286" s="134" t="s">
        <v>1456</v>
      </c>
      <c r="E286" s="134" t="s">
        <v>1050</v>
      </c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</row>
    <row r="287" ht="22.5" customHeight="1">
      <c r="A287" s="124" t="s">
        <v>736</v>
      </c>
      <c r="B287" s="124" t="s">
        <v>940</v>
      </c>
      <c r="C287" s="134" t="s">
        <v>737</v>
      </c>
      <c r="D287" s="134" t="s">
        <v>1456</v>
      </c>
      <c r="E287" s="131" t="s">
        <v>1050</v>
      </c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</row>
    <row r="288" ht="22.5" customHeight="1">
      <c r="A288" s="124" t="s">
        <v>740</v>
      </c>
      <c r="B288" s="124" t="s">
        <v>1726</v>
      </c>
      <c r="C288" s="134" t="s">
        <v>741</v>
      </c>
      <c r="D288" s="134" t="s">
        <v>1456</v>
      </c>
      <c r="E288" s="131" t="s">
        <v>1050</v>
      </c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</row>
    <row r="289" ht="22.5" customHeight="1">
      <c r="A289" s="11" t="s">
        <v>774</v>
      </c>
      <c r="B289" s="11" t="s">
        <v>1015</v>
      </c>
      <c r="D289" s="134" t="s">
        <v>1456</v>
      </c>
      <c r="E289" s="134" t="s">
        <v>1050</v>
      </c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</row>
    <row r="290" ht="22.5" customHeight="1">
      <c r="A290" s="11" t="s">
        <v>1162</v>
      </c>
      <c r="B290" s="11" t="s">
        <v>1076</v>
      </c>
      <c r="D290" s="134" t="s">
        <v>1456</v>
      </c>
      <c r="E290" s="134" t="s">
        <v>1050</v>
      </c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</row>
    <row r="291" ht="22.5" customHeight="1">
      <c r="A291" s="11" t="s">
        <v>1412</v>
      </c>
      <c r="B291" s="11" t="s">
        <v>1066</v>
      </c>
      <c r="D291" s="134" t="s">
        <v>1456</v>
      </c>
      <c r="E291" s="134" t="s">
        <v>1050</v>
      </c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</row>
    <row r="292" ht="22.5" customHeight="1">
      <c r="A292" s="124" t="s">
        <v>745</v>
      </c>
      <c r="B292" s="124" t="s">
        <v>1727</v>
      </c>
      <c r="C292" s="134" t="s">
        <v>746</v>
      </c>
      <c r="D292" s="134" t="s">
        <v>1456</v>
      </c>
      <c r="E292" s="131" t="s">
        <v>1050</v>
      </c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</row>
    <row r="293" ht="22.5" customHeight="1">
      <c r="A293" s="124" t="s">
        <v>749</v>
      </c>
      <c r="B293" s="124" t="s">
        <v>1728</v>
      </c>
      <c r="C293" s="134" t="s">
        <v>750</v>
      </c>
      <c r="D293" s="134" t="s">
        <v>1456</v>
      </c>
      <c r="E293" s="131" t="s">
        <v>1050</v>
      </c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</row>
    <row r="294" ht="22.5" customHeight="1">
      <c r="A294" s="124" t="s">
        <v>754</v>
      </c>
      <c r="B294" s="124" t="s">
        <v>1729</v>
      </c>
      <c r="C294" s="134" t="s">
        <v>756</v>
      </c>
      <c r="D294" s="134" t="s">
        <v>1456</v>
      </c>
      <c r="E294" s="131" t="s">
        <v>1050</v>
      </c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</row>
    <row r="295" ht="22.5" customHeight="1">
      <c r="A295" s="124" t="s">
        <v>763</v>
      </c>
      <c r="B295" s="124" t="s">
        <v>1730</v>
      </c>
      <c r="C295" s="134" t="s">
        <v>766</v>
      </c>
      <c r="D295" s="134" t="s">
        <v>1456</v>
      </c>
      <c r="E295" s="131" t="s">
        <v>1050</v>
      </c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</row>
    <row r="296" ht="22.5" customHeight="1">
      <c r="A296" s="124" t="s">
        <v>769</v>
      </c>
      <c r="B296" s="124" t="s">
        <v>244</v>
      </c>
      <c r="C296" s="134" t="s">
        <v>771</v>
      </c>
      <c r="D296" s="134" t="s">
        <v>1456</v>
      </c>
      <c r="E296" s="131" t="s">
        <v>1050</v>
      </c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</row>
    <row r="297" ht="22.5" customHeight="1">
      <c r="A297" s="11" t="s">
        <v>1024</v>
      </c>
      <c r="B297" s="11" t="s">
        <v>1725</v>
      </c>
      <c r="D297" s="134" t="s">
        <v>1456</v>
      </c>
      <c r="E297" s="134" t="s">
        <v>1050</v>
      </c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</row>
    <row r="298" ht="22.5" customHeight="1">
      <c r="A298" s="11" t="s">
        <v>1500</v>
      </c>
      <c r="B298" s="11" t="s">
        <v>1501</v>
      </c>
      <c r="D298" s="134" t="s">
        <v>1456</v>
      </c>
      <c r="E298" s="134" t="s">
        <v>1050</v>
      </c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</row>
    <row r="299" ht="22.5" customHeight="1">
      <c r="A299" s="124" t="s">
        <v>776</v>
      </c>
      <c r="B299" s="124" t="s">
        <v>1732</v>
      </c>
      <c r="C299" s="134" t="s">
        <v>777</v>
      </c>
      <c r="D299" s="134" t="s">
        <v>1456</v>
      </c>
      <c r="E299" s="131" t="s">
        <v>1050</v>
      </c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 ht="22.5" customHeight="1">
      <c r="A300" s="11" t="s">
        <v>1733</v>
      </c>
      <c r="B300" s="11" t="s">
        <v>1734</v>
      </c>
      <c r="D300" s="134" t="s">
        <v>1456</v>
      </c>
      <c r="E300" s="134" t="s">
        <v>1401</v>
      </c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 ht="22.5" customHeight="1">
      <c r="A301" s="11" t="s">
        <v>1735</v>
      </c>
      <c r="B301" s="11" t="s">
        <v>1736</v>
      </c>
      <c r="D301" s="134" t="s">
        <v>1456</v>
      </c>
      <c r="E301" s="134" t="s">
        <v>1401</v>
      </c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</row>
    <row r="302" ht="22.5" customHeight="1">
      <c r="A302" s="11" t="s">
        <v>1738</v>
      </c>
      <c r="B302" s="11" t="s">
        <v>1739</v>
      </c>
      <c r="D302" s="134" t="s">
        <v>1456</v>
      </c>
      <c r="E302" s="134" t="s">
        <v>1135</v>
      </c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</row>
    <row r="303" ht="22.5" customHeight="1">
      <c r="A303" s="11" t="s">
        <v>1741</v>
      </c>
      <c r="B303" s="11" t="s">
        <v>1742</v>
      </c>
      <c r="D303" s="134" t="s">
        <v>1456</v>
      </c>
      <c r="E303" s="134" t="s">
        <v>1135</v>
      </c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</row>
    <row r="304" ht="22.5" customHeight="1">
      <c r="A304" s="11" t="s">
        <v>1508</v>
      </c>
      <c r="B304" s="11" t="s">
        <v>1066</v>
      </c>
      <c r="D304" s="134" t="s">
        <v>1456</v>
      </c>
      <c r="E304" s="134" t="s">
        <v>1135</v>
      </c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</row>
    <row r="305" ht="22.5" customHeight="1">
      <c r="A305" s="11" t="s">
        <v>1512</v>
      </c>
      <c r="B305" s="11" t="s">
        <v>244</v>
      </c>
      <c r="D305" s="134" t="s">
        <v>1456</v>
      </c>
      <c r="E305" s="134" t="s">
        <v>1135</v>
      </c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</row>
    <row r="306" ht="22.5" customHeight="1">
      <c r="A306" s="11" t="s">
        <v>1513</v>
      </c>
      <c r="B306" s="11" t="s">
        <v>940</v>
      </c>
      <c r="D306" s="134" t="s">
        <v>1456</v>
      </c>
      <c r="E306" s="134" t="s">
        <v>1135</v>
      </c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</row>
    <row r="307" ht="22.5" customHeight="1">
      <c r="A307" s="11" t="s">
        <v>1518</v>
      </c>
      <c r="B307" s="11" t="s">
        <v>1076</v>
      </c>
      <c r="D307" s="134" t="s">
        <v>1456</v>
      </c>
      <c r="E307" s="134" t="s">
        <v>1135</v>
      </c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</row>
    <row r="308" ht="22.5" customHeight="1">
      <c r="A308" s="11" t="s">
        <v>1529</v>
      </c>
      <c r="B308" s="11" t="s">
        <v>1530</v>
      </c>
      <c r="D308" s="134" t="s">
        <v>1456</v>
      </c>
      <c r="E308" s="134" t="s">
        <v>1135</v>
      </c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</row>
    <row r="309" ht="22.5" customHeight="1">
      <c r="A309" s="124" t="s">
        <v>987</v>
      </c>
      <c r="B309" s="124" t="s">
        <v>1664</v>
      </c>
      <c r="C309" s="134" t="s">
        <v>988</v>
      </c>
      <c r="D309" s="134" t="s">
        <v>1456</v>
      </c>
      <c r="E309" s="134" t="s">
        <v>1135</v>
      </c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</row>
    <row r="310" ht="22.5" customHeight="1">
      <c r="A310" s="11" t="s">
        <v>1533</v>
      </c>
      <c r="B310" s="11" t="s">
        <v>960</v>
      </c>
      <c r="D310" s="134" t="s">
        <v>1456</v>
      </c>
      <c r="E310" s="134" t="s">
        <v>1135</v>
      </c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</row>
    <row r="311" ht="22.5" customHeight="1">
      <c r="A311" s="124" t="s">
        <v>989</v>
      </c>
      <c r="B311" s="124" t="s">
        <v>1666</v>
      </c>
      <c r="C311" s="134" t="s">
        <v>247</v>
      </c>
      <c r="D311" s="134" t="s">
        <v>1456</v>
      </c>
      <c r="E311" s="134" t="s">
        <v>1135</v>
      </c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</row>
    <row r="312" ht="22.5" customHeight="1">
      <c r="A312" s="124" t="s">
        <v>990</v>
      </c>
      <c r="B312" s="124" t="s">
        <v>1667</v>
      </c>
      <c r="C312" s="134" t="s">
        <v>278</v>
      </c>
      <c r="D312" s="134" t="s">
        <v>1456</v>
      </c>
      <c r="E312" s="134" t="s">
        <v>1135</v>
      </c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</row>
    <row r="313" ht="22.5" customHeight="1">
      <c r="A313" s="124" t="s">
        <v>991</v>
      </c>
      <c r="B313" s="124" t="s">
        <v>1746</v>
      </c>
      <c r="C313" s="134" t="s">
        <v>993</v>
      </c>
      <c r="D313" s="134" t="s">
        <v>1456</v>
      </c>
      <c r="E313" s="134" t="s">
        <v>1135</v>
      </c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</row>
    <row r="314" ht="22.5" customHeight="1">
      <c r="A314" s="11" t="s">
        <v>1538</v>
      </c>
      <c r="B314" s="11" t="s">
        <v>1747</v>
      </c>
      <c r="D314" s="134" t="s">
        <v>1456</v>
      </c>
      <c r="E314" s="134" t="s">
        <v>1135</v>
      </c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</row>
    <row r="315" ht="22.5" customHeight="1">
      <c r="A315" s="124" t="s">
        <v>996</v>
      </c>
      <c r="B315" s="124" t="s">
        <v>1748</v>
      </c>
      <c r="C315" s="134" t="s">
        <v>305</v>
      </c>
      <c r="D315" s="134" t="s">
        <v>1456</v>
      </c>
      <c r="E315" s="134" t="s">
        <v>1135</v>
      </c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</row>
    <row r="316" ht="22.5" customHeight="1">
      <c r="A316" s="11" t="s">
        <v>1544</v>
      </c>
      <c r="B316" s="11" t="s">
        <v>1076</v>
      </c>
      <c r="D316" s="134" t="s">
        <v>1456</v>
      </c>
      <c r="E316" s="134" t="s">
        <v>1135</v>
      </c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</row>
    <row r="317" ht="22.5" customHeight="1">
      <c r="A317" s="124" t="s">
        <v>998</v>
      </c>
      <c r="B317" s="124" t="s">
        <v>1749</v>
      </c>
      <c r="C317" s="134" t="s">
        <v>312</v>
      </c>
      <c r="D317" s="134" t="s">
        <v>1456</v>
      </c>
      <c r="E317" s="134" t="s">
        <v>1135</v>
      </c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</row>
    <row r="318" ht="22.5" customHeight="1">
      <c r="A318" s="124" t="s">
        <v>1000</v>
      </c>
      <c r="B318" s="124" t="s">
        <v>1750</v>
      </c>
      <c r="C318" s="134" t="s">
        <v>325</v>
      </c>
      <c r="D318" s="134" t="s">
        <v>1456</v>
      </c>
      <c r="E318" s="134" t="s">
        <v>1135</v>
      </c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</row>
    <row r="319" ht="22.5" customHeight="1">
      <c r="A319" s="124" t="s">
        <v>1002</v>
      </c>
      <c r="B319" s="124" t="s">
        <v>1751</v>
      </c>
      <c r="C319" s="134" t="s">
        <v>335</v>
      </c>
      <c r="D319" s="134" t="s">
        <v>1456</v>
      </c>
      <c r="E319" s="134" t="s">
        <v>1135</v>
      </c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</row>
    <row r="320" ht="22.5" customHeight="1">
      <c r="A320" s="124" t="s">
        <v>1003</v>
      </c>
      <c r="B320" s="124" t="s">
        <v>1669</v>
      </c>
      <c r="C320" s="134" t="s">
        <v>341</v>
      </c>
      <c r="D320" s="134" t="s">
        <v>1456</v>
      </c>
      <c r="E320" s="134" t="s">
        <v>1135</v>
      </c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</row>
    <row r="321" ht="22.5" customHeight="1">
      <c r="A321" s="11" t="s">
        <v>1545</v>
      </c>
      <c r="B321" s="11" t="s">
        <v>968</v>
      </c>
      <c r="D321" s="134" t="s">
        <v>1456</v>
      </c>
      <c r="E321" s="134" t="s">
        <v>1135</v>
      </c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</row>
    <row r="322" ht="22.5" customHeight="1">
      <c r="A322" s="124" t="s">
        <v>1004</v>
      </c>
      <c r="B322" s="124" t="s">
        <v>1752</v>
      </c>
      <c r="C322" s="134" t="s">
        <v>351</v>
      </c>
      <c r="D322" s="134" t="s">
        <v>1456</v>
      </c>
      <c r="E322" s="134" t="s">
        <v>1135</v>
      </c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</row>
    <row r="323" ht="22.5" customHeight="1">
      <c r="A323" s="124" t="s">
        <v>1007</v>
      </c>
      <c r="B323" s="124" t="s">
        <v>1675</v>
      </c>
      <c r="C323" s="134" t="s">
        <v>1008</v>
      </c>
      <c r="D323" s="134" t="s">
        <v>1456</v>
      </c>
      <c r="E323" s="134" t="s">
        <v>1135</v>
      </c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</row>
    <row r="324" ht="22.5" customHeight="1">
      <c r="A324" s="124" t="s">
        <v>1014</v>
      </c>
      <c r="B324" s="124" t="s">
        <v>1753</v>
      </c>
      <c r="C324" s="134" t="s">
        <v>1016</v>
      </c>
      <c r="D324" s="134" t="s">
        <v>1456</v>
      </c>
      <c r="E324" s="134" t="s">
        <v>1135</v>
      </c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</row>
    <row r="325" ht="22.5" customHeight="1">
      <c r="A325" s="11" t="s">
        <v>1553</v>
      </c>
      <c r="B325" s="11" t="s">
        <v>1015</v>
      </c>
      <c r="D325" s="134" t="s">
        <v>1456</v>
      </c>
      <c r="E325" s="134" t="s">
        <v>1135</v>
      </c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</row>
    <row r="326" ht="22.5" customHeight="1">
      <c r="A326" s="11" t="s">
        <v>1555</v>
      </c>
      <c r="B326" s="11" t="s">
        <v>1556</v>
      </c>
      <c r="D326" s="134" t="s">
        <v>1456</v>
      </c>
      <c r="E326" s="134" t="s">
        <v>1135</v>
      </c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</row>
    <row r="327" ht="22.5" customHeight="1">
      <c r="A327" s="11" t="s">
        <v>1558</v>
      </c>
      <c r="B327" s="11" t="s">
        <v>1559</v>
      </c>
      <c r="D327" s="134" t="s">
        <v>1456</v>
      </c>
      <c r="E327" s="134" t="s">
        <v>1135</v>
      </c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</row>
    <row r="328" ht="22.5" customHeight="1">
      <c r="A328" s="11" t="s">
        <v>1561</v>
      </c>
      <c r="B328" s="11" t="s">
        <v>1562</v>
      </c>
      <c r="D328" s="134" t="s">
        <v>1456</v>
      </c>
      <c r="E328" s="134" t="s">
        <v>1135</v>
      </c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</row>
    <row r="329" ht="22.5" customHeight="1">
      <c r="A329" s="11" t="s">
        <v>1564</v>
      </c>
      <c r="B329" s="11" t="s">
        <v>1565</v>
      </c>
      <c r="D329" s="134" t="s">
        <v>1456</v>
      </c>
      <c r="E329" s="134" t="s">
        <v>1135</v>
      </c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</row>
    <row r="330" ht="22.5" customHeight="1">
      <c r="A330" s="124" t="s">
        <v>1018</v>
      </c>
      <c r="B330" s="124" t="s">
        <v>1756</v>
      </c>
      <c r="C330" s="134" t="s">
        <v>380</v>
      </c>
      <c r="D330" s="134" t="s">
        <v>1456</v>
      </c>
      <c r="E330" s="134" t="s">
        <v>1135</v>
      </c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</row>
    <row r="331" ht="22.5" customHeight="1">
      <c r="A331" s="11" t="s">
        <v>1757</v>
      </c>
      <c r="B331" s="11" t="s">
        <v>1758</v>
      </c>
      <c r="D331" s="134" t="s">
        <v>1456</v>
      </c>
      <c r="E331" s="134" t="s">
        <v>1759</v>
      </c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</row>
    <row r="332" ht="22.5" customHeight="1">
      <c r="A332" s="11" t="s">
        <v>1760</v>
      </c>
      <c r="B332" s="11" t="s">
        <v>1758</v>
      </c>
      <c r="D332" s="134" t="s">
        <v>1456</v>
      </c>
      <c r="E332" s="134" t="s">
        <v>1759</v>
      </c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 ht="22.5" customHeight="1">
      <c r="A333" s="23" t="s">
        <v>1761</v>
      </c>
      <c r="B333" s="23" t="s">
        <v>1762</v>
      </c>
      <c r="C333" s="23" t="s">
        <v>1761</v>
      </c>
      <c r="D333" s="134" t="s">
        <v>1317</v>
      </c>
      <c r="E333" s="134" t="s">
        <v>1401</v>
      </c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</row>
    <row r="334" ht="22.5" customHeight="1">
      <c r="A334" s="23" t="s">
        <v>207</v>
      </c>
      <c r="B334" s="23" t="s">
        <v>1071</v>
      </c>
      <c r="C334" s="23"/>
      <c r="D334" s="134" t="s">
        <v>1361</v>
      </c>
      <c r="E334" s="134" t="s">
        <v>1401</v>
      </c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</row>
    <row r="335" ht="22.5" customHeight="1">
      <c r="A335" s="23" t="s">
        <v>277</v>
      </c>
      <c r="B335" s="23" t="s">
        <v>1069</v>
      </c>
      <c r="C335" s="23"/>
      <c r="D335" s="134" t="s">
        <v>1361</v>
      </c>
      <c r="E335" s="134" t="s">
        <v>1401</v>
      </c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</row>
    <row r="336" ht="22.5" customHeight="1">
      <c r="A336" s="23" t="s">
        <v>1763</v>
      </c>
      <c r="B336" s="23" t="s">
        <v>1069</v>
      </c>
      <c r="C336" s="23"/>
      <c r="D336" s="134" t="s">
        <v>1361</v>
      </c>
      <c r="E336" s="134" t="s">
        <v>1401</v>
      </c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</row>
    <row r="337" ht="22.5" customHeight="1">
      <c r="A337" s="23" t="s">
        <v>1764</v>
      </c>
      <c r="B337" s="23" t="s">
        <v>1416</v>
      </c>
      <c r="C337" s="23"/>
      <c r="D337" s="134" t="s">
        <v>1361</v>
      </c>
      <c r="E337" s="134" t="s">
        <v>1401</v>
      </c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</row>
    <row r="338" ht="22.5" customHeight="1">
      <c r="A338" s="23" t="s">
        <v>1765</v>
      </c>
      <c r="B338" s="23" t="s">
        <v>1069</v>
      </c>
      <c r="C338" s="23"/>
      <c r="D338" s="134" t="s">
        <v>1361</v>
      </c>
      <c r="E338" s="134" t="s">
        <v>1401</v>
      </c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</row>
    <row r="339" ht="22.5" customHeight="1">
      <c r="A339" s="23" t="s">
        <v>1766</v>
      </c>
      <c r="B339" s="23" t="s">
        <v>1069</v>
      </c>
      <c r="C339" s="23"/>
      <c r="D339" s="134" t="s">
        <v>1361</v>
      </c>
      <c r="E339" s="134" t="s">
        <v>1401</v>
      </c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</row>
    <row r="340" ht="22.5" customHeight="1">
      <c r="A340" s="23" t="s">
        <v>432</v>
      </c>
      <c r="B340" s="23" t="s">
        <v>1048</v>
      </c>
      <c r="C340" s="23"/>
      <c r="D340" s="134" t="s">
        <v>1361</v>
      </c>
      <c r="E340" s="134" t="s">
        <v>1401</v>
      </c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</row>
    <row r="341" ht="22.5" customHeight="1">
      <c r="A341" s="23" t="s">
        <v>442</v>
      </c>
      <c r="B341" s="23" t="s">
        <v>1768</v>
      </c>
      <c r="C341" s="23"/>
      <c r="D341" s="134" t="s">
        <v>1361</v>
      </c>
      <c r="E341" s="134" t="s">
        <v>1401</v>
      </c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</row>
    <row r="342" ht="22.5" customHeight="1">
      <c r="A342" s="23" t="s">
        <v>456</v>
      </c>
      <c r="B342" s="23" t="s">
        <v>955</v>
      </c>
      <c r="C342" s="23"/>
      <c r="D342" s="134" t="s">
        <v>1361</v>
      </c>
      <c r="E342" s="134" t="s">
        <v>1401</v>
      </c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</row>
    <row r="343" ht="22.5" customHeight="1">
      <c r="A343" s="23" t="s">
        <v>466</v>
      </c>
      <c r="B343" s="23" t="s">
        <v>1214</v>
      </c>
      <c r="C343" s="23"/>
      <c r="D343" s="134" t="s">
        <v>1361</v>
      </c>
      <c r="E343" s="134" t="s">
        <v>1401</v>
      </c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</row>
    <row r="344" ht="22.5" customHeight="1">
      <c r="A344" s="23" t="s">
        <v>479</v>
      </c>
      <c r="B344" s="23" t="s">
        <v>1048</v>
      </c>
      <c r="C344" s="23"/>
      <c r="D344" s="134" t="s">
        <v>1361</v>
      </c>
      <c r="E344" s="134" t="s">
        <v>1401</v>
      </c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</row>
    <row r="345" ht="22.5" customHeight="1">
      <c r="A345" s="23" t="s">
        <v>486</v>
      </c>
      <c r="B345" s="23" t="s">
        <v>1770</v>
      </c>
      <c r="C345" s="23"/>
      <c r="D345" s="134" t="s">
        <v>1361</v>
      </c>
      <c r="E345" s="134" t="s">
        <v>1401</v>
      </c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</row>
    <row r="346" ht="22.5" customHeight="1">
      <c r="A346" s="23" t="s">
        <v>622</v>
      </c>
      <c r="B346" s="23" t="s">
        <v>1076</v>
      </c>
      <c r="C346" s="23"/>
      <c r="D346" s="134" t="s">
        <v>1361</v>
      </c>
      <c r="E346" s="134" t="s">
        <v>1401</v>
      </c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</row>
    <row r="347" ht="22.5" customHeight="1">
      <c r="A347" s="23" t="s">
        <v>635</v>
      </c>
      <c r="B347" s="23" t="s">
        <v>966</v>
      </c>
      <c r="C347" s="23"/>
      <c r="D347" s="134" t="s">
        <v>1361</v>
      </c>
      <c r="E347" s="134" t="s">
        <v>1401</v>
      </c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</row>
    <row r="348" ht="22.5" customHeight="1">
      <c r="A348" s="23" t="s">
        <v>648</v>
      </c>
      <c r="B348" s="23" t="s">
        <v>970</v>
      </c>
      <c r="C348" s="23"/>
      <c r="D348" s="134" t="s">
        <v>1361</v>
      </c>
      <c r="E348" s="134" t="s">
        <v>1401</v>
      </c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</row>
    <row r="349" ht="22.5" customHeight="1">
      <c r="A349" s="23" t="s">
        <v>655</v>
      </c>
      <c r="B349" s="23" t="s">
        <v>973</v>
      </c>
      <c r="C349" s="23"/>
      <c r="D349" s="134" t="s">
        <v>1361</v>
      </c>
      <c r="E349" s="134" t="s">
        <v>1401</v>
      </c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</row>
    <row r="350" ht="22.5" customHeight="1">
      <c r="A350" s="23" t="s">
        <v>496</v>
      </c>
      <c r="B350" s="23" t="s">
        <v>1048</v>
      </c>
      <c r="C350" s="23"/>
      <c r="D350" s="134" t="s">
        <v>1361</v>
      </c>
      <c r="E350" s="134" t="s">
        <v>1401</v>
      </c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</row>
    <row r="351" ht="22.5" customHeight="1">
      <c r="A351" s="23" t="s">
        <v>507</v>
      </c>
      <c r="B351" s="23" t="s">
        <v>1772</v>
      </c>
      <c r="C351" s="23"/>
      <c r="D351" s="134" t="s">
        <v>1361</v>
      </c>
      <c r="E351" s="134" t="s">
        <v>1401</v>
      </c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</row>
    <row r="352" ht="22.5" customHeight="1">
      <c r="A352" s="23" t="s">
        <v>520</v>
      </c>
      <c r="B352" s="23" t="s">
        <v>1048</v>
      </c>
      <c r="C352" s="23"/>
      <c r="D352" s="134" t="s">
        <v>1361</v>
      </c>
      <c r="E352" s="134" t="s">
        <v>1401</v>
      </c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</row>
    <row r="353" ht="22.5" customHeight="1">
      <c r="A353" s="23" t="s">
        <v>530</v>
      </c>
      <c r="B353" s="23" t="s">
        <v>1774</v>
      </c>
      <c r="C353" s="23"/>
      <c r="D353" s="134" t="s">
        <v>1361</v>
      </c>
      <c r="E353" s="134" t="s">
        <v>1401</v>
      </c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</row>
    <row r="354" ht="22.5" customHeight="1">
      <c r="A354" s="23" t="s">
        <v>543</v>
      </c>
      <c r="B354" s="23" t="s">
        <v>1048</v>
      </c>
      <c r="C354" s="23"/>
      <c r="D354" s="134" t="s">
        <v>1361</v>
      </c>
      <c r="E354" s="134" t="s">
        <v>1401</v>
      </c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</row>
    <row r="355" ht="22.5" customHeight="1">
      <c r="A355" s="23" t="s">
        <v>552</v>
      </c>
      <c r="B355" s="23" t="s">
        <v>963</v>
      </c>
      <c r="C355" s="23"/>
      <c r="D355" s="134" t="s">
        <v>1361</v>
      </c>
      <c r="E355" s="134" t="s">
        <v>1401</v>
      </c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</row>
    <row r="356" ht="22.5" customHeight="1">
      <c r="A356" s="23" t="s">
        <v>626</v>
      </c>
      <c r="B356" s="23" t="s">
        <v>964</v>
      </c>
      <c r="C356" s="23"/>
      <c r="D356" s="134" t="s">
        <v>1361</v>
      </c>
      <c r="E356" s="134" t="s">
        <v>1401</v>
      </c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 ht="22.5" customHeight="1">
      <c r="A357" s="23" t="s">
        <v>642</v>
      </c>
      <c r="B357" s="23" t="s">
        <v>968</v>
      </c>
      <c r="C357" s="23"/>
      <c r="D357" s="134" t="s">
        <v>1361</v>
      </c>
      <c r="E357" s="134" t="s">
        <v>1401</v>
      </c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 ht="22.5" customHeight="1">
      <c r="A358" s="23" t="s">
        <v>302</v>
      </c>
      <c r="B358" s="23" t="s">
        <v>1048</v>
      </c>
      <c r="C358" s="23"/>
      <c r="D358" s="134" t="s">
        <v>1361</v>
      </c>
      <c r="E358" s="134" t="s">
        <v>1401</v>
      </c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</row>
    <row r="359" ht="22.5" customHeight="1">
      <c r="A359" s="23" t="s">
        <v>321</v>
      </c>
      <c r="B359" s="23" t="s">
        <v>948</v>
      </c>
      <c r="C359" s="23"/>
      <c r="D359" s="134" t="s">
        <v>1361</v>
      </c>
      <c r="E359" s="134" t="s">
        <v>1401</v>
      </c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</row>
    <row r="360" ht="22.5" customHeight="1">
      <c r="A360" s="23" t="s">
        <v>365</v>
      </c>
      <c r="B360" s="23" t="s">
        <v>1048</v>
      </c>
      <c r="C360" s="23"/>
      <c r="D360" s="134" t="s">
        <v>1361</v>
      </c>
      <c r="E360" s="134" t="s">
        <v>1401</v>
      </c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</row>
    <row r="361" ht="22.5" customHeight="1">
      <c r="A361" s="23" t="s">
        <v>379</v>
      </c>
      <c r="B361" s="23" t="s">
        <v>1775</v>
      </c>
      <c r="C361" s="23"/>
      <c r="D361" s="134" t="s">
        <v>1361</v>
      </c>
      <c r="E361" s="134" t="s">
        <v>1401</v>
      </c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</row>
    <row r="362" ht="22.5" customHeight="1">
      <c r="A362" s="23" t="s">
        <v>391</v>
      </c>
      <c r="B362" s="23" t="s">
        <v>1048</v>
      </c>
      <c r="C362" s="23"/>
      <c r="D362" s="134" t="s">
        <v>1361</v>
      </c>
      <c r="E362" s="134" t="s">
        <v>1401</v>
      </c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 ht="22.5" customHeight="1">
      <c r="A363" s="23" t="s">
        <v>404</v>
      </c>
      <c r="B363" s="23" t="s">
        <v>950</v>
      </c>
      <c r="C363" s="23"/>
      <c r="D363" s="134" t="s">
        <v>1361</v>
      </c>
      <c r="E363" s="134" t="s">
        <v>1401</v>
      </c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</row>
    <row r="364" ht="22.5" customHeight="1">
      <c r="A364" s="23" t="s">
        <v>412</v>
      </c>
      <c r="B364" s="23" t="s">
        <v>1048</v>
      </c>
      <c r="C364" s="23"/>
      <c r="D364" s="134" t="s">
        <v>1361</v>
      </c>
      <c r="E364" s="134" t="s">
        <v>1401</v>
      </c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</row>
    <row r="365" ht="22.5" customHeight="1">
      <c r="A365" s="23" t="s">
        <v>421</v>
      </c>
      <c r="B365" s="23" t="s">
        <v>951</v>
      </c>
      <c r="C365" s="23"/>
      <c r="D365" s="134" t="s">
        <v>1361</v>
      </c>
      <c r="E365" s="134" t="s">
        <v>1401</v>
      </c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</row>
    <row r="366" ht="22.5" customHeight="1">
      <c r="A366" s="23" t="s">
        <v>556</v>
      </c>
      <c r="B366" s="23" t="s">
        <v>1415</v>
      </c>
      <c r="C366" s="23"/>
      <c r="D366" s="134" t="s">
        <v>1361</v>
      </c>
      <c r="E366" s="134" t="s">
        <v>1401</v>
      </c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</row>
    <row r="367" ht="22.5" customHeight="1">
      <c r="A367" s="23" t="s">
        <v>665</v>
      </c>
      <c r="B367" s="23" t="s">
        <v>1069</v>
      </c>
      <c r="C367" s="23"/>
      <c r="D367" s="134" t="s">
        <v>1361</v>
      </c>
      <c r="E367" s="134" t="s">
        <v>1401</v>
      </c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</row>
    <row r="368" ht="22.5" customHeight="1">
      <c r="A368" s="23" t="s">
        <v>673</v>
      </c>
      <c r="B368" s="23" t="s">
        <v>1183</v>
      </c>
      <c r="C368" s="23"/>
      <c r="D368" s="134" t="s">
        <v>1361</v>
      </c>
      <c r="E368" s="134" t="s">
        <v>1401</v>
      </c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</row>
    <row r="369" ht="22.5" customHeight="1">
      <c r="A369" s="23" t="s">
        <v>673</v>
      </c>
      <c r="B369" s="23" t="s">
        <v>1777</v>
      </c>
      <c r="C369" s="23"/>
      <c r="D369" s="134" t="s">
        <v>1361</v>
      </c>
      <c r="E369" s="134" t="s">
        <v>1401</v>
      </c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</row>
    <row r="370" ht="22.5" customHeight="1">
      <c r="A370" s="23" t="s">
        <v>689</v>
      </c>
      <c r="B370" s="23" t="s">
        <v>1187</v>
      </c>
      <c r="C370" s="23"/>
      <c r="D370" s="134" t="s">
        <v>1361</v>
      </c>
      <c r="E370" s="134" t="s">
        <v>1401</v>
      </c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</row>
    <row r="371" ht="22.5" customHeight="1">
      <c r="A371" s="23" t="s">
        <v>689</v>
      </c>
      <c r="B371" s="23" t="s">
        <v>1778</v>
      </c>
      <c r="C371" s="23"/>
      <c r="D371" s="134" t="s">
        <v>1361</v>
      </c>
      <c r="E371" s="134" t="s">
        <v>1401</v>
      </c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</row>
    <row r="372" ht="22.5" customHeight="1">
      <c r="A372" s="23" t="s">
        <v>704</v>
      </c>
      <c r="B372" s="23" t="s">
        <v>1192</v>
      </c>
      <c r="C372" s="23"/>
      <c r="D372" s="134" t="s">
        <v>1361</v>
      </c>
      <c r="E372" s="134" t="s">
        <v>1401</v>
      </c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</row>
    <row r="373" ht="22.5" customHeight="1">
      <c r="A373" s="23" t="s">
        <v>710</v>
      </c>
      <c r="B373" s="23" t="s">
        <v>1132</v>
      </c>
      <c r="C373" s="23"/>
      <c r="D373" s="134" t="s">
        <v>1361</v>
      </c>
      <c r="E373" s="134" t="s">
        <v>1401</v>
      </c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</row>
    <row r="374" ht="22.5" customHeight="1">
      <c r="A374" s="23" t="s">
        <v>337</v>
      </c>
      <c r="B374" s="23" t="s">
        <v>1779</v>
      </c>
      <c r="C374" s="23"/>
      <c r="D374" s="134" t="s">
        <v>1361</v>
      </c>
      <c r="E374" s="134" t="s">
        <v>1401</v>
      </c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</row>
    <row r="375" ht="22.5" customHeight="1">
      <c r="A375" s="23" t="s">
        <v>562</v>
      </c>
      <c r="B375" s="23" t="s">
        <v>1048</v>
      </c>
      <c r="C375" s="23"/>
      <c r="D375" s="134" t="s">
        <v>1361</v>
      </c>
      <c r="E375" s="134" t="s">
        <v>1401</v>
      </c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</row>
    <row r="376" ht="22.5" customHeight="1">
      <c r="A376" s="23" t="s">
        <v>572</v>
      </c>
      <c r="B376" s="23" t="s">
        <v>1069</v>
      </c>
      <c r="C376" s="23"/>
      <c r="D376" s="134" t="s">
        <v>1361</v>
      </c>
      <c r="E376" s="134" t="s">
        <v>1401</v>
      </c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</row>
    <row r="377" ht="22.5" customHeight="1">
      <c r="A377" s="23" t="s">
        <v>581</v>
      </c>
      <c r="B377" s="23" t="s">
        <v>1780</v>
      </c>
      <c r="C377" s="23"/>
      <c r="D377" s="134" t="s">
        <v>1361</v>
      </c>
      <c r="E377" s="134" t="s">
        <v>1401</v>
      </c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</row>
    <row r="378" ht="22.5" customHeight="1">
      <c r="A378" s="23" t="s">
        <v>590</v>
      </c>
      <c r="B378" s="23" t="s">
        <v>1063</v>
      </c>
      <c r="C378" s="23"/>
      <c r="D378" s="134" t="s">
        <v>1361</v>
      </c>
      <c r="E378" s="134" t="s">
        <v>1401</v>
      </c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</row>
    <row r="379" ht="22.5" customHeight="1">
      <c r="A379" s="23" t="s">
        <v>601</v>
      </c>
      <c r="B379" s="23" t="s">
        <v>1416</v>
      </c>
      <c r="C379" s="23"/>
      <c r="D379" s="134" t="s">
        <v>1361</v>
      </c>
      <c r="E379" s="134" t="s">
        <v>1401</v>
      </c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</row>
    <row r="380" ht="22.5" customHeight="1">
      <c r="A380" s="23" t="s">
        <v>714</v>
      </c>
      <c r="B380" s="23" t="s">
        <v>1069</v>
      </c>
      <c r="C380" s="23"/>
      <c r="D380" s="134" t="s">
        <v>1361</v>
      </c>
      <c r="E380" s="134" t="s">
        <v>1401</v>
      </c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</row>
    <row r="381" ht="22.5" customHeight="1">
      <c r="A381" s="23" t="s">
        <v>719</v>
      </c>
      <c r="B381" s="23" t="s">
        <v>940</v>
      </c>
      <c r="C381" s="23"/>
      <c r="D381" s="134" t="s">
        <v>1361</v>
      </c>
      <c r="E381" s="134" t="s">
        <v>1401</v>
      </c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</row>
    <row r="382" ht="22.5" customHeight="1">
      <c r="A382" s="23" t="s">
        <v>725</v>
      </c>
      <c r="B382" s="23" t="s">
        <v>244</v>
      </c>
      <c r="C382" s="23"/>
      <c r="D382" s="134" t="s">
        <v>1361</v>
      </c>
      <c r="E382" s="134" t="s">
        <v>1401</v>
      </c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</row>
    <row r="383" ht="22.5" customHeight="1">
      <c r="A383" s="23" t="s">
        <v>728</v>
      </c>
      <c r="B383" s="23" t="s">
        <v>1125</v>
      </c>
      <c r="C383" s="23"/>
      <c r="D383" s="134" t="s">
        <v>1361</v>
      </c>
      <c r="E383" s="134" t="s">
        <v>1401</v>
      </c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</row>
    <row r="384" ht="22.5" customHeight="1">
      <c r="A384" s="23" t="s">
        <v>735</v>
      </c>
      <c r="B384" s="23" t="s">
        <v>1061</v>
      </c>
      <c r="C384" s="23"/>
      <c r="D384" s="134" t="s">
        <v>1361</v>
      </c>
      <c r="E384" s="134" t="s">
        <v>1401</v>
      </c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</row>
    <row r="385" ht="22.5" customHeight="1">
      <c r="A385" s="23" t="s">
        <v>744</v>
      </c>
      <c r="B385" s="23" t="s">
        <v>1141</v>
      </c>
      <c r="C385" s="23"/>
      <c r="D385" s="134" t="s">
        <v>1361</v>
      </c>
      <c r="E385" s="134" t="s">
        <v>1401</v>
      </c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</row>
    <row r="386" ht="22.5" customHeight="1">
      <c r="A386" s="23" t="s">
        <v>748</v>
      </c>
      <c r="B386" s="23" t="s">
        <v>1069</v>
      </c>
      <c r="C386" s="23"/>
      <c r="D386" s="134" t="s">
        <v>1361</v>
      </c>
      <c r="E386" s="134" t="s">
        <v>1401</v>
      </c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</row>
    <row r="387" ht="22.5" customHeight="1">
      <c r="A387" s="23" t="s">
        <v>277</v>
      </c>
      <c r="B387" s="23" t="s">
        <v>1069</v>
      </c>
      <c r="C387" s="23"/>
      <c r="D387" s="134" t="s">
        <v>1361</v>
      </c>
      <c r="E387" s="134" t="s">
        <v>1401</v>
      </c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</row>
    <row r="388" ht="22.5" customHeight="1">
      <c r="A388" s="23" t="s">
        <v>347</v>
      </c>
      <c r="B388" s="23" t="s">
        <v>1069</v>
      </c>
      <c r="C388" s="23"/>
      <c r="D388" s="134" t="s">
        <v>1361</v>
      </c>
      <c r="E388" s="134" t="s">
        <v>1401</v>
      </c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</row>
    <row r="389" ht="22.5" customHeight="1">
      <c r="A389" s="23" t="s">
        <v>450</v>
      </c>
      <c r="B389" s="23" t="s">
        <v>1069</v>
      </c>
      <c r="C389" s="23"/>
      <c r="D389" s="134" t="s">
        <v>1361</v>
      </c>
      <c r="E389" s="134" t="s">
        <v>1401</v>
      </c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</row>
    <row r="390" ht="22.5" customHeight="1">
      <c r="A390" s="23" t="s">
        <v>610</v>
      </c>
      <c r="B390" s="23" t="s">
        <v>1069</v>
      </c>
      <c r="C390" s="23"/>
      <c r="D390" s="134" t="s">
        <v>1361</v>
      </c>
      <c r="E390" s="134" t="s">
        <v>1401</v>
      </c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</row>
    <row r="391" ht="22.5" customHeight="1">
      <c r="A391" s="23" t="s">
        <v>738</v>
      </c>
      <c r="B391" s="23" t="s">
        <v>1422</v>
      </c>
      <c r="C391" s="23"/>
      <c r="D391" s="134" t="s">
        <v>1361</v>
      </c>
      <c r="E391" s="134" t="s">
        <v>1401</v>
      </c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</row>
    <row r="392" ht="22.5" customHeight="1">
      <c r="A392" s="23" t="s">
        <v>1393</v>
      </c>
      <c r="B392" s="23" t="s">
        <v>1651</v>
      </c>
      <c r="C392" s="23"/>
      <c r="D392" s="134" t="s">
        <v>1361</v>
      </c>
      <c r="E392" s="134" t="s">
        <v>1050</v>
      </c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</row>
    <row r="393" ht="22.5" customHeight="1">
      <c r="A393" s="23" t="s">
        <v>815</v>
      </c>
      <c r="B393" s="23" t="s">
        <v>1652</v>
      </c>
      <c r="C393" s="23"/>
      <c r="D393" s="134" t="s">
        <v>1361</v>
      </c>
      <c r="E393" s="134" t="s">
        <v>1050</v>
      </c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 ht="22.5" customHeight="1">
      <c r="A394" s="23" t="s">
        <v>1360</v>
      </c>
      <c r="B394" s="23" t="s">
        <v>1338</v>
      </c>
      <c r="C394" s="23"/>
      <c r="D394" s="134" t="s">
        <v>1361</v>
      </c>
      <c r="E394" s="134" t="s">
        <v>1050</v>
      </c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</row>
    <row r="395" ht="22.5" customHeight="1">
      <c r="A395" s="23" t="s">
        <v>1362</v>
      </c>
      <c r="B395" s="23" t="s">
        <v>1363</v>
      </c>
      <c r="C395" s="23"/>
      <c r="D395" s="134" t="s">
        <v>1361</v>
      </c>
      <c r="E395" s="134" t="s">
        <v>1050</v>
      </c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</row>
    <row r="396" ht="22.5" customHeight="1">
      <c r="A396" s="23" t="s">
        <v>1365</v>
      </c>
      <c r="B396" s="23" t="s">
        <v>1071</v>
      </c>
      <c r="C396" s="23"/>
      <c r="D396" s="134" t="s">
        <v>1361</v>
      </c>
      <c r="E396" s="134" t="s">
        <v>1050</v>
      </c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</row>
    <row r="397" ht="22.5" customHeight="1">
      <c r="A397" s="23" t="s">
        <v>1367</v>
      </c>
      <c r="B397" s="23" t="s">
        <v>1069</v>
      </c>
      <c r="C397" s="23"/>
      <c r="D397" s="134" t="s">
        <v>1361</v>
      </c>
      <c r="E397" s="134" t="s">
        <v>1050</v>
      </c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</row>
    <row r="398" ht="22.5" customHeight="1">
      <c r="A398" s="23" t="s">
        <v>1368</v>
      </c>
      <c r="B398" s="23" t="s">
        <v>1063</v>
      </c>
      <c r="C398" s="23"/>
      <c r="D398" s="134" t="s">
        <v>1361</v>
      </c>
      <c r="E398" s="134" t="s">
        <v>1050</v>
      </c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</row>
    <row r="399" ht="22.5" customHeight="1">
      <c r="A399" s="23" t="s">
        <v>1369</v>
      </c>
      <c r="B399" s="23" t="s">
        <v>1063</v>
      </c>
      <c r="C399" s="23"/>
      <c r="D399" s="134" t="s">
        <v>1361</v>
      </c>
      <c r="E399" s="134" t="s">
        <v>1050</v>
      </c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</row>
    <row r="400" ht="22.5" customHeight="1">
      <c r="A400" s="23" t="s">
        <v>1370</v>
      </c>
      <c r="B400" s="23" t="s">
        <v>1371</v>
      </c>
      <c r="C400" s="23"/>
      <c r="D400" s="134" t="s">
        <v>1361</v>
      </c>
      <c r="E400" s="134" t="s">
        <v>1050</v>
      </c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</row>
    <row r="401" ht="22.5" customHeight="1">
      <c r="A401" s="23" t="s">
        <v>1372</v>
      </c>
      <c r="B401" s="23" t="s">
        <v>1048</v>
      </c>
      <c r="C401" s="23"/>
      <c r="D401" s="134" t="s">
        <v>1361</v>
      </c>
      <c r="E401" s="134" t="s">
        <v>1050</v>
      </c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</row>
    <row r="402" ht="22.5" customHeight="1">
      <c r="A402" s="23" t="s">
        <v>1373</v>
      </c>
      <c r="B402" s="23" t="s">
        <v>1048</v>
      </c>
      <c r="C402" s="23"/>
      <c r="D402" s="134" t="s">
        <v>1361</v>
      </c>
      <c r="E402" s="134" t="s">
        <v>1050</v>
      </c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</row>
    <row r="403" ht="22.5" customHeight="1">
      <c r="A403" s="23" t="s">
        <v>1374</v>
      </c>
      <c r="B403" s="23" t="s">
        <v>1076</v>
      </c>
      <c r="C403" s="23"/>
      <c r="D403" s="134" t="s">
        <v>1361</v>
      </c>
      <c r="E403" s="134" t="s">
        <v>1050</v>
      </c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</row>
    <row r="404" ht="22.5" customHeight="1">
      <c r="A404" s="23" t="s">
        <v>1375</v>
      </c>
      <c r="B404" s="23" t="s">
        <v>1376</v>
      </c>
      <c r="C404" s="23"/>
      <c r="D404" s="134" t="s">
        <v>1361</v>
      </c>
      <c r="E404" s="134" t="s">
        <v>1050</v>
      </c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</row>
    <row r="405" ht="22.5" customHeight="1">
      <c r="A405" s="23" t="s">
        <v>1377</v>
      </c>
      <c r="B405" s="23" t="s">
        <v>1048</v>
      </c>
      <c r="C405" s="23"/>
      <c r="D405" s="134" t="s">
        <v>1361</v>
      </c>
      <c r="E405" s="134" t="s">
        <v>1050</v>
      </c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</row>
    <row r="406" ht="22.5" customHeight="1">
      <c r="A406" s="23" t="s">
        <v>1399</v>
      </c>
      <c r="B406" s="23" t="s">
        <v>1141</v>
      </c>
      <c r="C406" s="23"/>
      <c r="D406" s="134" t="s">
        <v>1361</v>
      </c>
      <c r="E406" s="134" t="s">
        <v>1050</v>
      </c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</row>
    <row r="407" ht="22.5" customHeight="1">
      <c r="A407" s="23" t="s">
        <v>1400</v>
      </c>
      <c r="B407" s="23" t="s">
        <v>1069</v>
      </c>
      <c r="C407" s="23"/>
      <c r="D407" s="134" t="s">
        <v>1361</v>
      </c>
      <c r="E407" s="134" t="s">
        <v>1050</v>
      </c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</row>
    <row r="408" ht="22.5" customHeight="1">
      <c r="A408" s="23" t="s">
        <v>1366</v>
      </c>
      <c r="B408" s="23" t="s">
        <v>1069</v>
      </c>
      <c r="C408" s="23"/>
      <c r="D408" s="134" t="s">
        <v>1361</v>
      </c>
      <c r="E408" s="134" t="s">
        <v>1050</v>
      </c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</row>
    <row r="409" ht="22.5" customHeight="1">
      <c r="A409" s="23" t="s">
        <v>1378</v>
      </c>
      <c r="B409" s="23" t="s">
        <v>1069</v>
      </c>
      <c r="C409" s="23"/>
      <c r="D409" s="134" t="s">
        <v>1361</v>
      </c>
      <c r="E409" s="134" t="s">
        <v>1050</v>
      </c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</row>
    <row r="410" ht="22.5" customHeight="1">
      <c r="A410" s="23" t="s">
        <v>1379</v>
      </c>
      <c r="B410" s="23" t="s">
        <v>1061</v>
      </c>
      <c r="C410" s="23"/>
      <c r="D410" s="134" t="s">
        <v>1361</v>
      </c>
      <c r="E410" s="134" t="s">
        <v>1050</v>
      </c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</row>
    <row r="411" ht="22.5" customHeight="1">
      <c r="A411" s="23" t="s">
        <v>1383</v>
      </c>
      <c r="B411" s="23" t="s">
        <v>1125</v>
      </c>
      <c r="C411" s="23"/>
      <c r="D411" s="134" t="s">
        <v>1361</v>
      </c>
      <c r="E411" s="134" t="s">
        <v>1050</v>
      </c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</row>
    <row r="412" ht="22.5" customHeight="1">
      <c r="A412" s="23" t="s">
        <v>779</v>
      </c>
      <c r="B412" s="23" t="s">
        <v>244</v>
      </c>
      <c r="C412" s="23"/>
      <c r="D412" s="134" t="s">
        <v>1361</v>
      </c>
      <c r="E412" s="134" t="s">
        <v>1050</v>
      </c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</row>
    <row r="413" ht="22.5" customHeight="1">
      <c r="A413" s="23" t="s">
        <v>789</v>
      </c>
      <c r="B413" s="23" t="s">
        <v>940</v>
      </c>
      <c r="C413" s="23"/>
      <c r="D413" s="134" t="s">
        <v>1361</v>
      </c>
      <c r="E413" s="134" t="s">
        <v>1050</v>
      </c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</row>
    <row r="414" ht="22.5" customHeight="1">
      <c r="A414" s="23" t="s">
        <v>1385</v>
      </c>
      <c r="B414" s="23" t="s">
        <v>1069</v>
      </c>
      <c r="C414" s="23"/>
      <c r="D414" s="134" t="s">
        <v>1361</v>
      </c>
      <c r="E414" s="134" t="s">
        <v>1050</v>
      </c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</row>
    <row r="415" ht="22.5" customHeight="1">
      <c r="A415" s="23" t="s">
        <v>1390</v>
      </c>
      <c r="B415" s="23" t="s">
        <v>1069</v>
      </c>
      <c r="C415" s="23"/>
      <c r="D415" s="134" t="s">
        <v>1361</v>
      </c>
      <c r="E415" s="134" t="s">
        <v>1050</v>
      </c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</row>
    <row r="416" ht="22.5" customHeight="1">
      <c r="A416" s="23" t="s">
        <v>1395</v>
      </c>
      <c r="B416" s="23" t="s">
        <v>1371</v>
      </c>
      <c r="C416" s="23"/>
      <c r="D416" s="134" t="s">
        <v>1361</v>
      </c>
      <c r="E416" s="134" t="s">
        <v>1050</v>
      </c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</row>
    <row r="417" ht="22.5" customHeight="1">
      <c r="A417" s="23" t="s">
        <v>1397</v>
      </c>
      <c r="B417" s="23" t="s">
        <v>1132</v>
      </c>
      <c r="C417" s="23"/>
      <c r="D417" s="134" t="s">
        <v>1361</v>
      </c>
      <c r="E417" s="134" t="s">
        <v>1050</v>
      </c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</row>
    <row r="418" ht="22.5" customHeight="1">
      <c r="A418" s="23" t="s">
        <v>945</v>
      </c>
      <c r="B418" s="23" t="s">
        <v>946</v>
      </c>
      <c r="C418" s="23"/>
      <c r="D418" s="134" t="s">
        <v>1361</v>
      </c>
      <c r="E418" s="134" t="s">
        <v>1050</v>
      </c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</row>
    <row r="419" ht="22.5" customHeight="1">
      <c r="A419" s="23" t="s">
        <v>812</v>
      </c>
      <c r="B419" s="23" t="s">
        <v>1649</v>
      </c>
      <c r="C419" s="23"/>
      <c r="D419" s="134" t="s">
        <v>1361</v>
      </c>
      <c r="E419" s="134" t="s">
        <v>1050</v>
      </c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</row>
    <row r="420" ht="22.5" customHeight="1">
      <c r="A420" s="23" t="s">
        <v>1391</v>
      </c>
      <c r="B420" s="23" t="s">
        <v>1650</v>
      </c>
      <c r="C420" s="23"/>
      <c r="D420" s="134" t="s">
        <v>1361</v>
      </c>
      <c r="E420" s="134" t="s">
        <v>1050</v>
      </c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</row>
    <row r="421" ht="22.5" customHeight="1">
      <c r="A421" s="23" t="s">
        <v>796</v>
      </c>
      <c r="B421" s="23" t="s">
        <v>1645</v>
      </c>
      <c r="C421" s="23"/>
      <c r="D421" s="134" t="s">
        <v>1361</v>
      </c>
      <c r="E421" s="134" t="s">
        <v>1050</v>
      </c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</row>
    <row r="422" ht="22.5" customHeight="1">
      <c r="A422" s="23" t="s">
        <v>1386</v>
      </c>
      <c r="B422" s="23" t="s">
        <v>1646</v>
      </c>
      <c r="C422" s="23"/>
      <c r="D422" s="134" t="s">
        <v>1361</v>
      </c>
      <c r="E422" s="134" t="s">
        <v>1050</v>
      </c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</row>
    <row r="423" ht="22.5" customHeight="1">
      <c r="A423" s="23" t="s">
        <v>1388</v>
      </c>
      <c r="B423" s="23" t="s">
        <v>1647</v>
      </c>
      <c r="C423" s="23"/>
      <c r="D423" s="134" t="s">
        <v>1361</v>
      </c>
      <c r="E423" s="134" t="s">
        <v>1050</v>
      </c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</row>
    <row r="424" ht="22.5" customHeight="1">
      <c r="A424" s="23" t="s">
        <v>738</v>
      </c>
      <c r="B424" s="23" t="s">
        <v>1648</v>
      </c>
      <c r="C424" s="23"/>
      <c r="D424" s="134" t="s">
        <v>1361</v>
      </c>
      <c r="E424" s="134" t="s">
        <v>1401</v>
      </c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</row>
    <row r="425" ht="22.5" customHeight="1">
      <c r="A425" s="23" t="s">
        <v>740</v>
      </c>
      <c r="B425" s="23" t="s">
        <v>1726</v>
      </c>
      <c r="C425" s="23"/>
      <c r="D425" s="134" t="s">
        <v>1456</v>
      </c>
      <c r="E425" s="134" t="s">
        <v>1050</v>
      </c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</row>
    <row r="426" ht="22.5" customHeight="1">
      <c r="A426" s="23" t="s">
        <v>774</v>
      </c>
      <c r="B426" s="23" t="s">
        <v>1015</v>
      </c>
      <c r="C426" s="23"/>
      <c r="D426" s="134" t="s">
        <v>1456</v>
      </c>
      <c r="E426" s="134" t="s">
        <v>1050</v>
      </c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</row>
    <row r="427" ht="22.5" customHeight="1">
      <c r="A427" s="23" t="s">
        <v>1311</v>
      </c>
      <c r="B427" s="23" t="s">
        <v>1069</v>
      </c>
      <c r="C427" s="23"/>
      <c r="D427" s="134" t="s">
        <v>1456</v>
      </c>
      <c r="E427" s="134" t="s">
        <v>1050</v>
      </c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</row>
    <row r="428" ht="22.5" customHeight="1">
      <c r="A428" s="23" t="s">
        <v>1502</v>
      </c>
      <c r="B428" s="23" t="s">
        <v>1467</v>
      </c>
      <c r="C428" s="23"/>
      <c r="D428" s="134" t="s">
        <v>1456</v>
      </c>
      <c r="E428" s="134" t="s">
        <v>1050</v>
      </c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</row>
    <row r="429" ht="22.5" customHeight="1">
      <c r="A429" s="23" t="s">
        <v>1493</v>
      </c>
      <c r="B429" s="23" t="s">
        <v>1494</v>
      </c>
      <c r="C429" s="23"/>
      <c r="D429" s="134" t="s">
        <v>1456</v>
      </c>
      <c r="E429" s="134" t="s">
        <v>1050</v>
      </c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</row>
    <row r="430" ht="22.5" customHeight="1">
      <c r="A430" s="23" t="s">
        <v>754</v>
      </c>
      <c r="B430" s="23" t="s">
        <v>1729</v>
      </c>
      <c r="C430" s="23"/>
      <c r="D430" s="134" t="s">
        <v>1456</v>
      </c>
      <c r="E430" s="134" t="s">
        <v>1050</v>
      </c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</row>
    <row r="431" ht="22.5" customHeight="1">
      <c r="A431" s="23" t="s">
        <v>1498</v>
      </c>
      <c r="B431" s="23" t="s">
        <v>1786</v>
      </c>
      <c r="C431" s="23"/>
      <c r="D431" s="134" t="s">
        <v>1456</v>
      </c>
      <c r="E431" s="134" t="s">
        <v>1050</v>
      </c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</row>
    <row r="432" ht="22.5" customHeight="1">
      <c r="A432" s="23" t="s">
        <v>763</v>
      </c>
      <c r="B432" s="23" t="s">
        <v>1730</v>
      </c>
      <c r="C432" s="23"/>
      <c r="D432" s="134" t="s">
        <v>1456</v>
      </c>
      <c r="E432" s="134" t="s">
        <v>1050</v>
      </c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</row>
    <row r="433" ht="22.5" customHeight="1">
      <c r="A433" s="23" t="s">
        <v>898</v>
      </c>
      <c r="B433" s="23" t="s">
        <v>1069</v>
      </c>
      <c r="C433" s="23"/>
      <c r="D433" s="134" t="s">
        <v>1456</v>
      </c>
      <c r="E433" s="134" t="s">
        <v>1050</v>
      </c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</row>
    <row r="434" ht="22.5" customHeight="1">
      <c r="A434" s="23" t="s">
        <v>1041</v>
      </c>
      <c r="B434" s="23" t="s">
        <v>1467</v>
      </c>
      <c r="C434" s="23"/>
      <c r="D434" s="134" t="s">
        <v>1456</v>
      </c>
      <c r="E434" s="134" t="s">
        <v>1050</v>
      </c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 ht="22.5" customHeight="1">
      <c r="A435" s="23" t="s">
        <v>1194</v>
      </c>
      <c r="B435" s="23" t="s">
        <v>1455</v>
      </c>
      <c r="C435" s="23"/>
      <c r="D435" s="134" t="s">
        <v>1456</v>
      </c>
      <c r="E435" s="134" t="s">
        <v>1050</v>
      </c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</row>
    <row r="436" ht="22.5" customHeight="1">
      <c r="A436" s="23" t="s">
        <v>1250</v>
      </c>
      <c r="B436" s="23" t="s">
        <v>1458</v>
      </c>
      <c r="C436" s="23"/>
      <c r="D436" s="134" t="s">
        <v>1456</v>
      </c>
      <c r="E436" s="134" t="s">
        <v>1050</v>
      </c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</row>
    <row r="437" ht="22.5" customHeight="1">
      <c r="A437" s="23" t="s">
        <v>1485</v>
      </c>
      <c r="B437" s="23" t="s">
        <v>1132</v>
      </c>
      <c r="C437" s="23"/>
      <c r="D437" s="134" t="s">
        <v>1456</v>
      </c>
      <c r="E437" s="134" t="s">
        <v>1050</v>
      </c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</row>
    <row r="438" ht="22.5" customHeight="1">
      <c r="A438" s="23" t="s">
        <v>1226</v>
      </c>
      <c r="B438" s="23" t="s">
        <v>1457</v>
      </c>
      <c r="C438" s="23"/>
      <c r="D438" s="134" t="s">
        <v>1456</v>
      </c>
      <c r="E438" s="134" t="s">
        <v>1050</v>
      </c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</row>
    <row r="439" ht="22.5" customHeight="1">
      <c r="A439" s="23" t="s">
        <v>1273</v>
      </c>
      <c r="B439" s="23" t="s">
        <v>1459</v>
      </c>
      <c r="C439" s="23"/>
      <c r="D439" s="134" t="s">
        <v>1456</v>
      </c>
      <c r="E439" s="134" t="s">
        <v>1050</v>
      </c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</row>
    <row r="440" ht="22.5" customHeight="1">
      <c r="A440" s="23" t="s">
        <v>1412</v>
      </c>
      <c r="B440" s="23" t="s">
        <v>1066</v>
      </c>
      <c r="C440" s="23"/>
      <c r="D440" s="134" t="s">
        <v>1456</v>
      </c>
      <c r="E440" s="134" t="s">
        <v>1050</v>
      </c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</row>
    <row r="441" ht="22.5" customHeight="1">
      <c r="A441" s="23" t="s">
        <v>1417</v>
      </c>
      <c r="B441" s="23" t="s">
        <v>1063</v>
      </c>
      <c r="C441" s="23"/>
      <c r="D441" s="134" t="s">
        <v>1456</v>
      </c>
      <c r="E441" s="134" t="s">
        <v>1050</v>
      </c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</row>
    <row r="442" ht="22.5" customHeight="1">
      <c r="A442" s="23" t="s">
        <v>1421</v>
      </c>
      <c r="B442" s="23" t="s">
        <v>1141</v>
      </c>
      <c r="C442" s="23"/>
      <c r="D442" s="134" t="s">
        <v>1456</v>
      </c>
      <c r="E442" s="134" t="s">
        <v>1050</v>
      </c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</row>
    <row r="443" ht="22.5" customHeight="1">
      <c r="A443" s="23" t="s">
        <v>1431</v>
      </c>
      <c r="B443" s="23" t="s">
        <v>1061</v>
      </c>
      <c r="C443" s="23"/>
      <c r="D443" s="134" t="s">
        <v>1456</v>
      </c>
      <c r="E443" s="134" t="s">
        <v>1050</v>
      </c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</row>
    <row r="444" ht="22.5" customHeight="1">
      <c r="A444" s="23" t="s">
        <v>749</v>
      </c>
      <c r="B444" s="23" t="s">
        <v>1728</v>
      </c>
      <c r="C444" s="23"/>
      <c r="D444" s="134" t="s">
        <v>1456</v>
      </c>
      <c r="E444" s="134" t="s">
        <v>1050</v>
      </c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</row>
    <row r="445" ht="22.5" customHeight="1">
      <c r="A445" s="23" t="s">
        <v>1484</v>
      </c>
      <c r="B445" s="23" t="s">
        <v>1132</v>
      </c>
      <c r="C445" s="23"/>
      <c r="D445" s="134" t="s">
        <v>1456</v>
      </c>
      <c r="E445" s="134" t="s">
        <v>1050</v>
      </c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</row>
    <row r="446" ht="22.5" customHeight="1">
      <c r="A446" s="23" t="s">
        <v>1486</v>
      </c>
      <c r="B446" s="23" t="s">
        <v>1048</v>
      </c>
      <c r="C446" s="23"/>
      <c r="D446" s="134" t="s">
        <v>1456</v>
      </c>
      <c r="E446" s="134" t="s">
        <v>1050</v>
      </c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</row>
    <row r="447" ht="22.5" customHeight="1">
      <c r="A447" s="23" t="s">
        <v>786</v>
      </c>
      <c r="B447" s="23" t="s">
        <v>1489</v>
      </c>
      <c r="C447" s="23"/>
      <c r="D447" s="134" t="s">
        <v>1456</v>
      </c>
      <c r="E447" s="134" t="s">
        <v>1050</v>
      </c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</row>
    <row r="448" ht="22.5" customHeight="1">
      <c r="A448" s="23" t="s">
        <v>1492</v>
      </c>
      <c r="B448" s="23" t="s">
        <v>1214</v>
      </c>
      <c r="C448" s="23"/>
      <c r="D448" s="134" t="s">
        <v>1456</v>
      </c>
      <c r="E448" s="134" t="s">
        <v>1050</v>
      </c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</row>
    <row r="449" ht="22.5" customHeight="1">
      <c r="A449" s="23" t="s">
        <v>1499</v>
      </c>
      <c r="B449" s="23" t="s">
        <v>1125</v>
      </c>
      <c r="C449" s="23"/>
      <c r="D449" s="134" t="s">
        <v>1456</v>
      </c>
      <c r="E449" s="134" t="s">
        <v>1050</v>
      </c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</row>
    <row r="450" ht="22.5" customHeight="1">
      <c r="A450" s="23" t="s">
        <v>769</v>
      </c>
      <c r="B450" s="23" t="s">
        <v>244</v>
      </c>
      <c r="C450" s="23"/>
      <c r="D450" s="134" t="s">
        <v>1456</v>
      </c>
      <c r="E450" s="134" t="s">
        <v>1050</v>
      </c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</row>
    <row r="451" ht="22.5" customHeight="1">
      <c r="A451" s="23" t="s">
        <v>1024</v>
      </c>
      <c r="B451" s="23" t="s">
        <v>1725</v>
      </c>
      <c r="C451" s="23"/>
      <c r="D451" s="134" t="s">
        <v>1456</v>
      </c>
      <c r="E451" s="134" t="s">
        <v>1050</v>
      </c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</row>
    <row r="452" ht="22.5" customHeight="1">
      <c r="A452" s="23" t="s">
        <v>1500</v>
      </c>
      <c r="B452" s="23" t="s">
        <v>1501</v>
      </c>
      <c r="C452" s="23"/>
      <c r="D452" s="134" t="s">
        <v>1456</v>
      </c>
      <c r="E452" s="134" t="s">
        <v>1050</v>
      </c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</row>
    <row r="453" ht="22.5" customHeight="1">
      <c r="A453" s="23" t="s">
        <v>1504</v>
      </c>
      <c r="B453" s="23" t="s">
        <v>1069</v>
      </c>
      <c r="C453" s="23"/>
      <c r="D453" s="134" t="s">
        <v>1456</v>
      </c>
      <c r="E453" s="134" t="s">
        <v>1050</v>
      </c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</row>
    <row r="454" ht="22.5" customHeight="1">
      <c r="A454" s="23" t="s">
        <v>1505</v>
      </c>
      <c r="B454" s="23" t="s">
        <v>1069</v>
      </c>
      <c r="C454" s="23"/>
      <c r="D454" s="134" t="s">
        <v>1456</v>
      </c>
      <c r="E454" s="134" t="s">
        <v>1050</v>
      </c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</row>
    <row r="455" ht="22.5" customHeight="1">
      <c r="A455" s="23" t="s">
        <v>745</v>
      </c>
      <c r="B455" s="23" t="s">
        <v>1727</v>
      </c>
      <c r="C455" s="23"/>
      <c r="D455" s="134" t="s">
        <v>1456</v>
      </c>
      <c r="E455" s="134" t="s">
        <v>1050</v>
      </c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</row>
    <row r="456" ht="22.5" customHeight="1">
      <c r="A456" s="23" t="s">
        <v>1503</v>
      </c>
      <c r="B456" s="23" t="s">
        <v>1048</v>
      </c>
      <c r="C456" s="23"/>
      <c r="D456" s="134" t="s">
        <v>1456</v>
      </c>
      <c r="E456" s="134" t="s">
        <v>1050</v>
      </c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</row>
    <row r="457" ht="22.5" customHeight="1">
      <c r="A457" s="23" t="s">
        <v>776</v>
      </c>
      <c r="B457" s="23" t="s">
        <v>1732</v>
      </c>
      <c r="C457" s="23"/>
      <c r="D457" s="134" t="s">
        <v>1456</v>
      </c>
      <c r="E457" s="134" t="s">
        <v>1050</v>
      </c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</row>
    <row r="458" ht="22.5" customHeight="1">
      <c r="A458" s="23" t="s">
        <v>765</v>
      </c>
      <c r="B458" s="23" t="s">
        <v>1029</v>
      </c>
      <c r="C458" s="23"/>
      <c r="D458" s="134" t="s">
        <v>1456</v>
      </c>
      <c r="E458" s="134" t="s">
        <v>1050</v>
      </c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</row>
    <row r="459" ht="22.5" customHeight="1">
      <c r="A459" s="23" t="s">
        <v>729</v>
      </c>
      <c r="B459" s="23" t="s">
        <v>1724</v>
      </c>
      <c r="C459" s="23"/>
      <c r="D459" s="134" t="s">
        <v>1456</v>
      </c>
      <c r="E459" s="134" t="s">
        <v>1050</v>
      </c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</row>
    <row r="460" ht="22.5" customHeight="1">
      <c r="A460" s="23" t="s">
        <v>840</v>
      </c>
      <c r="B460" s="23" t="s">
        <v>1455</v>
      </c>
      <c r="C460" s="23"/>
      <c r="D460" s="134" t="s">
        <v>1456</v>
      </c>
      <c r="E460" s="134" t="s">
        <v>1050</v>
      </c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</row>
    <row r="461" ht="22.5" customHeight="1">
      <c r="A461" s="23" t="s">
        <v>857</v>
      </c>
      <c r="B461" s="23" t="s">
        <v>1458</v>
      </c>
      <c r="C461" s="23"/>
      <c r="D461" s="134" t="s">
        <v>1456</v>
      </c>
      <c r="E461" s="134" t="s">
        <v>1050</v>
      </c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</row>
    <row r="462" ht="22.5" customHeight="1">
      <c r="A462" s="23" t="s">
        <v>845</v>
      </c>
      <c r="B462" s="23" t="s">
        <v>1457</v>
      </c>
      <c r="C462" s="23"/>
      <c r="D462" s="134" t="s">
        <v>1456</v>
      </c>
      <c r="E462" s="134" t="s">
        <v>1050</v>
      </c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</row>
    <row r="463" ht="22.5" customHeight="1">
      <c r="A463" s="23" t="s">
        <v>878</v>
      </c>
      <c r="B463" s="23" t="s">
        <v>1459</v>
      </c>
      <c r="C463" s="23"/>
      <c r="D463" s="134" t="s">
        <v>1456</v>
      </c>
      <c r="E463" s="134" t="s">
        <v>1050</v>
      </c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</row>
    <row r="464" ht="22.5" customHeight="1">
      <c r="A464" s="23" t="s">
        <v>919</v>
      </c>
      <c r="B464" s="23" t="s">
        <v>1048</v>
      </c>
      <c r="C464" s="23"/>
      <c r="D464" s="134" t="s">
        <v>1456</v>
      </c>
      <c r="E464" s="134" t="s">
        <v>1050</v>
      </c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</row>
    <row r="465" ht="22.5" customHeight="1">
      <c r="A465" s="23" t="s">
        <v>753</v>
      </c>
      <c r="B465" s="23" t="s">
        <v>1460</v>
      </c>
      <c r="C465" s="23"/>
      <c r="D465" s="134" t="s">
        <v>1456</v>
      </c>
      <c r="E465" s="134" t="s">
        <v>1050</v>
      </c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</row>
    <row r="466" ht="22.5" customHeight="1">
      <c r="A466" s="23" t="s">
        <v>1047</v>
      </c>
      <c r="B466" s="23" t="s">
        <v>1789</v>
      </c>
      <c r="C466" s="23"/>
      <c r="D466" s="134" t="s">
        <v>1456</v>
      </c>
      <c r="E466" s="134" t="s">
        <v>1050</v>
      </c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</row>
    <row r="467" ht="22.5" customHeight="1">
      <c r="A467" s="23" t="s">
        <v>1052</v>
      </c>
      <c r="B467" s="23" t="s">
        <v>1169</v>
      </c>
      <c r="C467" s="23"/>
      <c r="D467" s="134" t="s">
        <v>1456</v>
      </c>
      <c r="E467" s="134" t="s">
        <v>1050</v>
      </c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</row>
    <row r="468" ht="22.5" customHeight="1">
      <c r="A468" s="23" t="s">
        <v>736</v>
      </c>
      <c r="B468" s="23" t="s">
        <v>940</v>
      </c>
      <c r="C468" s="23"/>
      <c r="D468" s="134" t="s">
        <v>1456</v>
      </c>
      <c r="E468" s="134" t="s">
        <v>1050</v>
      </c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 ht="22.5" customHeight="1">
      <c r="A469" s="23" t="s">
        <v>1162</v>
      </c>
      <c r="B469" s="23" t="s">
        <v>1076</v>
      </c>
      <c r="C469" s="23"/>
      <c r="D469" s="134" t="s">
        <v>1456</v>
      </c>
      <c r="E469" s="134" t="s">
        <v>1050</v>
      </c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</row>
    <row r="470" ht="22.5" customHeight="1">
      <c r="A470" s="23" t="s">
        <v>1174</v>
      </c>
      <c r="B470" s="17" t="s">
        <v>1125</v>
      </c>
      <c r="C470" s="23"/>
      <c r="D470" s="134" t="s">
        <v>1456</v>
      </c>
      <c r="E470" s="134" t="s">
        <v>1050</v>
      </c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</row>
    <row r="471" ht="22.5" customHeight="1">
      <c r="A471" s="23" t="s">
        <v>1471</v>
      </c>
      <c r="B471" s="25" t="s">
        <v>1480</v>
      </c>
      <c r="C471" s="23"/>
      <c r="D471" s="134" t="s">
        <v>1456</v>
      </c>
      <c r="E471" s="134" t="s">
        <v>1050</v>
      </c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</row>
    <row r="472" ht="22.5" customHeight="1">
      <c r="A472" s="23" t="s">
        <v>1068</v>
      </c>
      <c r="B472" s="25" t="s">
        <v>1048</v>
      </c>
      <c r="C472" s="23"/>
      <c r="D472" s="134" t="s">
        <v>1456</v>
      </c>
      <c r="E472" s="134" t="s">
        <v>1050</v>
      </c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</row>
    <row r="473" ht="22.5" customHeight="1">
      <c r="A473" s="23" t="s">
        <v>1520</v>
      </c>
      <c r="B473" s="25" t="s">
        <v>1048</v>
      </c>
      <c r="C473" s="23"/>
      <c r="D473" s="134" t="s">
        <v>1456</v>
      </c>
      <c r="E473" s="134" t="s">
        <v>1135</v>
      </c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</row>
    <row r="474" ht="22.5" customHeight="1">
      <c r="A474" s="23" t="s">
        <v>1525</v>
      </c>
      <c r="B474" s="25" t="s">
        <v>1132</v>
      </c>
      <c r="C474" s="23"/>
      <c r="D474" s="134" t="s">
        <v>1456</v>
      </c>
      <c r="E474" s="134" t="s">
        <v>1135</v>
      </c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</row>
    <row r="475" ht="22.5" customHeight="1">
      <c r="A475" s="23" t="s">
        <v>1526</v>
      </c>
      <c r="B475" s="25" t="s">
        <v>1187</v>
      </c>
      <c r="C475" s="23"/>
      <c r="D475" s="134" t="s">
        <v>1456</v>
      </c>
      <c r="E475" s="134" t="s">
        <v>1135</v>
      </c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</row>
    <row r="476" ht="22.5" customHeight="1">
      <c r="A476" s="23" t="s">
        <v>1519</v>
      </c>
      <c r="B476" s="25" t="s">
        <v>1214</v>
      </c>
      <c r="C476" s="23"/>
      <c r="D476" s="134" t="s">
        <v>1456</v>
      </c>
      <c r="E476" s="134" t="s">
        <v>1135</v>
      </c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</row>
    <row r="477" ht="22.5" customHeight="1">
      <c r="A477" s="23" t="s">
        <v>1523</v>
      </c>
      <c r="B477" s="25" t="s">
        <v>1183</v>
      </c>
      <c r="C477" s="23"/>
      <c r="D477" s="134" t="s">
        <v>1456</v>
      </c>
      <c r="E477" s="134" t="s">
        <v>1135</v>
      </c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</row>
    <row r="478" ht="22.5" customHeight="1">
      <c r="A478" s="23" t="s">
        <v>1547</v>
      </c>
      <c r="B478" s="25" t="s">
        <v>1048</v>
      </c>
      <c r="C478" s="23"/>
      <c r="D478" s="134" t="s">
        <v>1456</v>
      </c>
      <c r="E478" s="134" t="s">
        <v>1135</v>
      </c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</row>
    <row r="479" ht="22.5" customHeight="1">
      <c r="A479" s="23" t="s">
        <v>1009</v>
      </c>
      <c r="B479" s="25" t="s">
        <v>1010</v>
      </c>
      <c r="C479" s="23" t="s">
        <v>1011</v>
      </c>
      <c r="D479" s="134" t="s">
        <v>1456</v>
      </c>
      <c r="E479" s="134" t="s">
        <v>1135</v>
      </c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</row>
    <row r="480" ht="22.5" customHeight="1">
      <c r="A480" s="23" t="s">
        <v>1548</v>
      </c>
      <c r="B480" s="25" t="s">
        <v>1549</v>
      </c>
      <c r="C480" s="23"/>
      <c r="D480" s="134" t="s">
        <v>1456</v>
      </c>
      <c r="E480" s="134" t="s">
        <v>1135</v>
      </c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</row>
    <row r="481" ht="22.5" customHeight="1">
      <c r="A481" s="23" t="s">
        <v>1550</v>
      </c>
      <c r="B481" s="25" t="s">
        <v>1048</v>
      </c>
      <c r="C481" s="23"/>
      <c r="D481" s="134" t="s">
        <v>1456</v>
      </c>
      <c r="E481" s="134" t="s">
        <v>1135</v>
      </c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</row>
    <row r="482" ht="22.5" customHeight="1">
      <c r="A482" s="23" t="s">
        <v>1014</v>
      </c>
      <c r="B482" s="25" t="s">
        <v>1015</v>
      </c>
      <c r="C482" s="23"/>
      <c r="D482" s="134" t="s">
        <v>1456</v>
      </c>
      <c r="E482" s="134" t="s">
        <v>1135</v>
      </c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 ht="22.5" customHeight="1">
      <c r="A483" s="23" t="s">
        <v>1528</v>
      </c>
      <c r="B483" s="25" t="s">
        <v>1048</v>
      </c>
      <c r="C483" s="23"/>
      <c r="D483" s="134" t="s">
        <v>1456</v>
      </c>
      <c r="E483" s="134" t="s">
        <v>1135</v>
      </c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</row>
    <row r="484" ht="22.5" customHeight="1">
      <c r="A484" s="23" t="s">
        <v>1529</v>
      </c>
      <c r="B484" s="25" t="s">
        <v>1530</v>
      </c>
      <c r="C484" s="23"/>
      <c r="D484" s="134" t="s">
        <v>1456</v>
      </c>
      <c r="E484" s="134" t="s">
        <v>1135</v>
      </c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</row>
    <row r="485" ht="22.5" customHeight="1">
      <c r="A485" s="23" t="s">
        <v>1531</v>
      </c>
      <c r="B485" s="25" t="s">
        <v>1048</v>
      </c>
      <c r="C485" s="23"/>
      <c r="D485" s="134" t="s">
        <v>1456</v>
      </c>
      <c r="E485" s="134" t="s">
        <v>1135</v>
      </c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</row>
    <row r="486" ht="22.5" customHeight="1">
      <c r="A486" s="23" t="s">
        <v>987</v>
      </c>
      <c r="B486" s="25" t="s">
        <v>957</v>
      </c>
      <c r="C486" s="23"/>
      <c r="D486" s="134" t="s">
        <v>1456</v>
      </c>
      <c r="E486" s="134" t="s">
        <v>1135</v>
      </c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</row>
    <row r="487" ht="22.5" customHeight="1">
      <c r="A487" s="23" t="s">
        <v>1532</v>
      </c>
      <c r="B487" s="25" t="s">
        <v>1048</v>
      </c>
      <c r="C487" s="23"/>
      <c r="D487" s="134" t="s">
        <v>1456</v>
      </c>
      <c r="E487" s="134" t="s">
        <v>1135</v>
      </c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</row>
    <row r="488" ht="22.5" customHeight="1">
      <c r="A488" s="23" t="s">
        <v>1533</v>
      </c>
      <c r="B488" s="25" t="s">
        <v>960</v>
      </c>
      <c r="C488" s="23"/>
      <c r="D488" s="134" t="s">
        <v>1456</v>
      </c>
      <c r="E488" s="134" t="s">
        <v>1135</v>
      </c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</row>
    <row r="489" ht="22.5" customHeight="1">
      <c r="A489" s="23" t="s">
        <v>1545</v>
      </c>
      <c r="B489" s="25" t="s">
        <v>968</v>
      </c>
      <c r="C489" s="23"/>
      <c r="D489" s="134" t="s">
        <v>1456</v>
      </c>
      <c r="E489" s="134" t="s">
        <v>1135</v>
      </c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</row>
    <row r="490" ht="22.5" customHeight="1">
      <c r="A490" s="23" t="s">
        <v>1007</v>
      </c>
      <c r="B490" s="25" t="s">
        <v>973</v>
      </c>
      <c r="C490" s="23"/>
      <c r="D490" s="134" t="s">
        <v>1456</v>
      </c>
      <c r="E490" s="134" t="s">
        <v>1135</v>
      </c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</row>
    <row r="491" ht="22.5" customHeight="1">
      <c r="A491" s="23" t="s">
        <v>1506</v>
      </c>
      <c r="B491" s="25" t="s">
        <v>1071</v>
      </c>
      <c r="C491" s="23"/>
      <c r="D491" s="134" t="s">
        <v>1456</v>
      </c>
      <c r="E491" s="134" t="s">
        <v>1135</v>
      </c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</row>
    <row r="492" ht="22.5" customHeight="1">
      <c r="A492" s="23" t="s">
        <v>1508</v>
      </c>
      <c r="B492" s="25" t="s">
        <v>1066</v>
      </c>
      <c r="C492" s="23"/>
      <c r="D492" s="134" t="s">
        <v>1456</v>
      </c>
      <c r="E492" s="134" t="s">
        <v>1135</v>
      </c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</row>
    <row r="493" ht="22.5" customHeight="1">
      <c r="A493" s="23" t="s">
        <v>1509</v>
      </c>
      <c r="B493" s="25" t="s">
        <v>1796</v>
      </c>
      <c r="C493" s="23"/>
      <c r="D493" s="134" t="s">
        <v>1456</v>
      </c>
      <c r="E493" s="134" t="s">
        <v>1135</v>
      </c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</row>
    <row r="494" ht="22.5" customHeight="1">
      <c r="A494" s="23" t="s">
        <v>1510</v>
      </c>
      <c r="B494" s="25" t="s">
        <v>1141</v>
      </c>
      <c r="C494" s="23"/>
      <c r="D494" s="134" t="s">
        <v>1456</v>
      </c>
      <c r="E494" s="134" t="s">
        <v>1135</v>
      </c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</row>
    <row r="495" ht="22.5" customHeight="1">
      <c r="A495" s="23" t="s">
        <v>1511</v>
      </c>
      <c r="B495" s="25" t="s">
        <v>1125</v>
      </c>
      <c r="C495" s="23"/>
      <c r="D495" s="134" t="s">
        <v>1456</v>
      </c>
      <c r="E495" s="134" t="s">
        <v>1135</v>
      </c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</row>
    <row r="496" ht="22.5" customHeight="1">
      <c r="A496" s="23" t="s">
        <v>1512</v>
      </c>
      <c r="B496" s="25" t="s">
        <v>244</v>
      </c>
      <c r="C496" s="23"/>
      <c r="D496" s="134" t="s">
        <v>1456</v>
      </c>
      <c r="E496" s="134" t="s">
        <v>1135</v>
      </c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</row>
    <row r="497" ht="22.5" customHeight="1">
      <c r="A497" s="23" t="s">
        <v>1513</v>
      </c>
      <c r="B497" s="25" t="s">
        <v>940</v>
      </c>
      <c r="C497" s="23"/>
      <c r="D497" s="134" t="s">
        <v>1456</v>
      </c>
      <c r="E497" s="134" t="s">
        <v>1135</v>
      </c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</row>
    <row r="498" ht="22.5" customHeight="1">
      <c r="A498" s="23" t="s">
        <v>1514</v>
      </c>
      <c r="B498" s="25" t="s">
        <v>1048</v>
      </c>
      <c r="C498" s="23"/>
      <c r="D498" s="134" t="s">
        <v>1456</v>
      </c>
      <c r="E498" s="134" t="s">
        <v>1135</v>
      </c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</row>
    <row r="499" ht="22.5" customHeight="1">
      <c r="A499" s="23" t="s">
        <v>1516</v>
      </c>
      <c r="B499" s="25" t="s">
        <v>1517</v>
      </c>
      <c r="C499" s="23"/>
      <c r="D499" s="134" t="s">
        <v>1456</v>
      </c>
      <c r="E499" s="134" t="s">
        <v>1135</v>
      </c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</row>
    <row r="500" ht="22.5" customHeight="1">
      <c r="A500" s="23" t="s">
        <v>1518</v>
      </c>
      <c r="B500" s="25" t="s">
        <v>1076</v>
      </c>
      <c r="C500" s="23"/>
      <c r="D500" s="134" t="s">
        <v>1456</v>
      </c>
      <c r="E500" s="134" t="s">
        <v>1135</v>
      </c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</row>
    <row r="501" ht="22.5" customHeight="1">
      <c r="A501" s="23" t="s">
        <v>1568</v>
      </c>
      <c r="B501" s="25" t="s">
        <v>1069</v>
      </c>
      <c r="C501" s="23"/>
      <c r="D501" s="134" t="s">
        <v>1456</v>
      </c>
      <c r="E501" s="134" t="s">
        <v>1135</v>
      </c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</row>
    <row r="502" ht="22.5" customHeight="1">
      <c r="A502" s="23" t="s">
        <v>1569</v>
      </c>
      <c r="B502" s="25" t="s">
        <v>1069</v>
      </c>
      <c r="C502" s="23"/>
      <c r="D502" s="134" t="s">
        <v>1456</v>
      </c>
      <c r="E502" s="134" t="s">
        <v>1135</v>
      </c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</row>
    <row r="503" ht="22.5" customHeight="1">
      <c r="A503" s="23" t="s">
        <v>1560</v>
      </c>
      <c r="B503" s="25" t="s">
        <v>1048</v>
      </c>
      <c r="C503" s="23"/>
      <c r="D503" s="134" t="s">
        <v>1456</v>
      </c>
      <c r="E503" s="134" t="s">
        <v>1135</v>
      </c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</row>
    <row r="504" ht="22.5" customHeight="1">
      <c r="A504" s="23" t="s">
        <v>1561</v>
      </c>
      <c r="B504" s="25" t="s">
        <v>1562</v>
      </c>
      <c r="C504" s="23"/>
      <c r="D504" s="134" t="s">
        <v>1456</v>
      </c>
      <c r="E504" s="134" t="s">
        <v>1135</v>
      </c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</row>
    <row r="505" ht="22.5" customHeight="1">
      <c r="A505" s="23" t="s">
        <v>1563</v>
      </c>
      <c r="B505" s="25" t="s">
        <v>1048</v>
      </c>
      <c r="C505" s="23"/>
      <c r="D505" s="134" t="s">
        <v>1456</v>
      </c>
      <c r="E505" s="134" t="s">
        <v>1135</v>
      </c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</row>
    <row r="506" ht="22.5" customHeight="1">
      <c r="A506" s="23" t="s">
        <v>1564</v>
      </c>
      <c r="B506" s="25" t="s">
        <v>1565</v>
      </c>
      <c r="C506" s="23"/>
      <c r="D506" s="134" t="s">
        <v>1456</v>
      </c>
      <c r="E506" s="134" t="s">
        <v>1135</v>
      </c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</row>
    <row r="507" ht="22.5" customHeight="1">
      <c r="A507" s="23" t="s">
        <v>1566</v>
      </c>
      <c r="B507" s="25" t="s">
        <v>1048</v>
      </c>
      <c r="C507" s="23"/>
      <c r="D507" s="134" t="s">
        <v>1456</v>
      </c>
      <c r="E507" s="134" t="s">
        <v>1135</v>
      </c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</row>
    <row r="508" ht="22.5" customHeight="1">
      <c r="A508" s="23" t="s">
        <v>1018</v>
      </c>
      <c r="B508" s="25" t="s">
        <v>1559</v>
      </c>
      <c r="C508" s="23"/>
      <c r="D508" s="134" t="s">
        <v>1456</v>
      </c>
      <c r="E508" s="134" t="s">
        <v>1135</v>
      </c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</row>
    <row r="509" ht="22.5" customHeight="1">
      <c r="A509" s="23" t="s">
        <v>1552</v>
      </c>
      <c r="B509" s="25" t="s">
        <v>1048</v>
      </c>
      <c r="C509" s="23"/>
      <c r="D509" s="134" t="s">
        <v>1456</v>
      </c>
      <c r="E509" s="134" t="s">
        <v>1135</v>
      </c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 ht="22.5" customHeight="1">
      <c r="A510" s="23" t="s">
        <v>1553</v>
      </c>
      <c r="B510" s="25" t="s">
        <v>1029</v>
      </c>
      <c r="C510" s="23"/>
      <c r="D510" s="134" t="s">
        <v>1456</v>
      </c>
      <c r="E510" s="134" t="s">
        <v>1135</v>
      </c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</row>
    <row r="511" ht="22.5" customHeight="1">
      <c r="A511" s="23" t="s">
        <v>1554</v>
      </c>
      <c r="B511" s="25" t="s">
        <v>1048</v>
      </c>
      <c r="C511" s="23"/>
      <c r="D511" s="134" t="s">
        <v>1456</v>
      </c>
      <c r="E511" s="134" t="s">
        <v>1135</v>
      </c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 ht="22.5" customHeight="1">
      <c r="A512" s="23" t="s">
        <v>1555</v>
      </c>
      <c r="B512" s="25" t="s">
        <v>1556</v>
      </c>
      <c r="C512" s="23"/>
      <c r="D512" s="134" t="s">
        <v>1456</v>
      </c>
      <c r="E512" s="134" t="s">
        <v>1135</v>
      </c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</row>
    <row r="513" ht="22.5" customHeight="1">
      <c r="A513" s="23" t="s">
        <v>1557</v>
      </c>
      <c r="B513" s="25" t="s">
        <v>1048</v>
      </c>
      <c r="C513" s="23"/>
      <c r="D513" s="134" t="s">
        <v>1456</v>
      </c>
      <c r="E513" s="134" t="s">
        <v>1135</v>
      </c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 ht="22.5" customHeight="1">
      <c r="A514" s="23" t="s">
        <v>1558</v>
      </c>
      <c r="B514" s="25" t="s">
        <v>1799</v>
      </c>
      <c r="C514" s="23"/>
      <c r="D514" s="134" t="s">
        <v>1456</v>
      </c>
      <c r="E514" s="134" t="s">
        <v>1135</v>
      </c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</row>
    <row r="515" ht="22.5" customHeight="1">
      <c r="A515" s="23" t="s">
        <v>1507</v>
      </c>
      <c r="B515" s="25" t="s">
        <v>1069</v>
      </c>
      <c r="C515" s="23"/>
      <c r="D515" s="134" t="s">
        <v>1456</v>
      </c>
      <c r="E515" s="134" t="s">
        <v>1135</v>
      </c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</row>
    <row r="516" ht="22.5" customHeight="1">
      <c r="A516" s="23" t="s">
        <v>1515</v>
      </c>
      <c r="B516" s="25" t="s">
        <v>1061</v>
      </c>
      <c r="C516" s="23"/>
      <c r="D516" s="134" t="s">
        <v>1456</v>
      </c>
      <c r="E516" s="134" t="s">
        <v>1135</v>
      </c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</row>
    <row r="517" ht="22.5" customHeight="1">
      <c r="A517" s="23" t="s">
        <v>1540</v>
      </c>
      <c r="B517" s="25" t="s">
        <v>1069</v>
      </c>
      <c r="C517" s="23"/>
      <c r="D517" s="134" t="s">
        <v>1456</v>
      </c>
      <c r="E517" s="134" t="s">
        <v>1135</v>
      </c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</row>
    <row r="518" ht="22.5" customHeight="1">
      <c r="A518" s="23" t="s">
        <v>1541</v>
      </c>
      <c r="B518" s="25" t="s">
        <v>1069</v>
      </c>
      <c r="C518" s="23"/>
      <c r="D518" s="134" t="s">
        <v>1456</v>
      </c>
      <c r="E518" s="134" t="s">
        <v>1135</v>
      </c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</row>
    <row r="519" ht="22.5" customHeight="1">
      <c r="A519" s="23" t="s">
        <v>1542</v>
      </c>
      <c r="B519" s="25" t="s">
        <v>1078</v>
      </c>
      <c r="C519" s="23"/>
      <c r="D519" s="134" t="s">
        <v>1456</v>
      </c>
      <c r="E519" s="134" t="s">
        <v>1135</v>
      </c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</row>
    <row r="520" ht="22.5" customHeight="1">
      <c r="A520" s="23" t="s">
        <v>1543</v>
      </c>
      <c r="B520" s="25" t="s">
        <v>1048</v>
      </c>
      <c r="C520" s="23"/>
      <c r="D520" s="134" t="s">
        <v>1456</v>
      </c>
      <c r="E520" s="134" t="s">
        <v>1135</v>
      </c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</row>
    <row r="521" ht="22.5" customHeight="1">
      <c r="A521" s="23" t="s">
        <v>1544</v>
      </c>
      <c r="B521" s="25" t="s">
        <v>1076</v>
      </c>
      <c r="C521" s="23"/>
      <c r="D521" s="134" t="s">
        <v>1456</v>
      </c>
      <c r="E521" s="134" t="s">
        <v>1135</v>
      </c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</row>
    <row r="522" ht="22.5" customHeight="1">
      <c r="A522" s="23" t="s">
        <v>998</v>
      </c>
      <c r="B522" s="25" t="s">
        <v>966</v>
      </c>
      <c r="C522" s="23"/>
      <c r="D522" s="134" t="s">
        <v>1456</v>
      </c>
      <c r="E522" s="134" t="s">
        <v>1135</v>
      </c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</row>
    <row r="523" ht="22.5" customHeight="1">
      <c r="A523" s="23" t="s">
        <v>1002</v>
      </c>
      <c r="B523" s="25" t="s">
        <v>970</v>
      </c>
      <c r="C523" s="23"/>
      <c r="D523" s="134" t="s">
        <v>1456</v>
      </c>
      <c r="E523" s="134" t="s">
        <v>1135</v>
      </c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</row>
    <row r="524" ht="22.5" customHeight="1">
      <c r="A524" s="23" t="s">
        <v>1004</v>
      </c>
      <c r="B524" s="25" t="s">
        <v>1801</v>
      </c>
      <c r="C524" s="23"/>
      <c r="D524" s="134" t="s">
        <v>1456</v>
      </c>
      <c r="E524" s="134" t="s">
        <v>1135</v>
      </c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</row>
    <row r="525" ht="22.5" customHeight="1">
      <c r="A525" s="23" t="s">
        <v>1551</v>
      </c>
      <c r="B525" s="25" t="s">
        <v>1061</v>
      </c>
      <c r="C525" s="23"/>
      <c r="D525" s="134" t="s">
        <v>1456</v>
      </c>
      <c r="E525" s="134" t="s">
        <v>1135</v>
      </c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</row>
    <row r="526" ht="22.5" customHeight="1">
      <c r="A526" s="23" t="s">
        <v>1567</v>
      </c>
      <c r="B526" s="25" t="s">
        <v>1132</v>
      </c>
      <c r="C526" s="23"/>
      <c r="D526" s="134" t="s">
        <v>1456</v>
      </c>
      <c r="E526" s="134" t="s">
        <v>1135</v>
      </c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</row>
    <row r="527" ht="22.5" customHeight="1">
      <c r="A527" s="23" t="s">
        <v>1534</v>
      </c>
      <c r="B527" s="25" t="s">
        <v>1048</v>
      </c>
      <c r="C527" s="23"/>
      <c r="D527" s="134" t="s">
        <v>1456</v>
      </c>
      <c r="E527" s="134" t="s">
        <v>1135</v>
      </c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</row>
    <row r="528" ht="22.5" customHeight="1">
      <c r="A528" s="23" t="s">
        <v>989</v>
      </c>
      <c r="B528" s="25" t="s">
        <v>1774</v>
      </c>
      <c r="C528" s="23"/>
      <c r="D528" s="134" t="s">
        <v>1456</v>
      </c>
      <c r="E528" s="134" t="s">
        <v>1135</v>
      </c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</row>
    <row r="529" ht="22.5" customHeight="1">
      <c r="A529" s="23" t="s">
        <v>1535</v>
      </c>
      <c r="B529" s="25" t="s">
        <v>1048</v>
      </c>
      <c r="C529" s="23"/>
      <c r="D529" s="134" t="s">
        <v>1456</v>
      </c>
      <c r="E529" s="134" t="s">
        <v>1135</v>
      </c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</row>
    <row r="530" ht="22.5" customHeight="1">
      <c r="A530" s="23" t="s">
        <v>990</v>
      </c>
      <c r="B530" s="25" t="s">
        <v>1802</v>
      </c>
      <c r="C530" s="23"/>
      <c r="D530" s="134" t="s">
        <v>1456</v>
      </c>
      <c r="E530" s="134" t="s">
        <v>1135</v>
      </c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</row>
    <row r="531" ht="22.5" customHeight="1">
      <c r="A531" s="23" t="s">
        <v>1536</v>
      </c>
      <c r="B531" s="25" t="s">
        <v>1803</v>
      </c>
      <c r="C531" s="23"/>
      <c r="D531" s="134" t="s">
        <v>1456</v>
      </c>
      <c r="E531" s="134" t="s">
        <v>1135</v>
      </c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</row>
    <row r="532" ht="22.5" customHeight="1">
      <c r="A532" s="23" t="s">
        <v>991</v>
      </c>
      <c r="B532" s="25" t="s">
        <v>992</v>
      </c>
      <c r="C532" s="23"/>
      <c r="D532" s="134" t="s">
        <v>1456</v>
      </c>
      <c r="E532" s="134" t="s">
        <v>1135</v>
      </c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</row>
    <row r="533" ht="22.5" customHeight="1">
      <c r="A533" s="23" t="s">
        <v>1537</v>
      </c>
      <c r="B533" s="25" t="s">
        <v>1048</v>
      </c>
      <c r="C533" s="23"/>
      <c r="D533" s="134" t="s">
        <v>1456</v>
      </c>
      <c r="E533" s="134" t="s">
        <v>1135</v>
      </c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</row>
    <row r="534" ht="22.5" customHeight="1">
      <c r="A534" s="23" t="s">
        <v>1538</v>
      </c>
      <c r="B534" s="25" t="s">
        <v>1539</v>
      </c>
      <c r="C534" s="23"/>
      <c r="D534" s="134" t="s">
        <v>1456</v>
      </c>
      <c r="E534" s="134" t="s">
        <v>1135</v>
      </c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</row>
    <row r="535" ht="22.5" customHeight="1">
      <c r="A535" s="23" t="s">
        <v>994</v>
      </c>
      <c r="B535" s="25" t="s">
        <v>995</v>
      </c>
      <c r="C535" s="23"/>
      <c r="D535" s="134" t="s">
        <v>1456</v>
      </c>
      <c r="E535" s="134" t="s">
        <v>1135</v>
      </c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</row>
    <row r="536" ht="22.5" customHeight="1">
      <c r="A536" s="23" t="s">
        <v>996</v>
      </c>
      <c r="B536" s="25" t="s">
        <v>997</v>
      </c>
      <c r="C536" s="23"/>
      <c r="D536" s="134" t="s">
        <v>1456</v>
      </c>
      <c r="E536" s="134" t="s">
        <v>1135</v>
      </c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</row>
    <row r="537" ht="22.5" customHeight="1">
      <c r="A537" s="23" t="s">
        <v>1000</v>
      </c>
      <c r="B537" s="25" t="s">
        <v>1001</v>
      </c>
      <c r="C537" s="23"/>
      <c r="D537" s="134" t="s">
        <v>1456</v>
      </c>
      <c r="E537" s="134" t="s">
        <v>1135</v>
      </c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</row>
    <row r="538" ht="22.5" customHeight="1">
      <c r="A538" s="23" t="s">
        <v>1003</v>
      </c>
      <c r="B538" s="25" t="s">
        <v>964</v>
      </c>
      <c r="C538" s="23"/>
      <c r="D538" s="134" t="s">
        <v>1456</v>
      </c>
      <c r="E538" s="134" t="s">
        <v>1135</v>
      </c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</row>
    <row r="539" ht="22.5" customHeight="1">
      <c r="A539" s="25" t="s">
        <v>1805</v>
      </c>
      <c r="B539" s="25" t="s">
        <v>1805</v>
      </c>
      <c r="C539" s="23" t="s">
        <v>510</v>
      </c>
      <c r="D539" s="134" t="s">
        <v>1049</v>
      </c>
      <c r="E539" s="134" t="s">
        <v>1401</v>
      </c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</row>
  </sheetData>
  <dataValidations>
    <dataValidation allowBlank="1" showDropDown="1" sqref="A2:B539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9" t="str">
        <f>IFERROR(__xludf.DUMMYFUNCTION("transpose(unique(FILTER(dCAGass[Type],dCAGass[Room no.]=#REF!)))"),"#N/A")</f>
        <v>#N/A</v>
      </c>
    </row>
    <row r="3">
      <c r="A3" s="99" t="str">
        <f>IFERROR(__xludf.DUMMYFUNCTION("transpose(unique(FILTER(dCAGass[Type],dCAGass[Room no.]=#REF!)))"),"#N/A")</f>
        <v>#N/A</v>
      </c>
    </row>
    <row r="4">
      <c r="A4" s="99" t="str">
        <f>IFERROR(__xludf.DUMMYFUNCTION("transpose(unique(FILTER(dCAGass[Type],dCAGass[Room no.]=#REF!)))"),"#N/A")</f>
        <v>#N/A</v>
      </c>
    </row>
    <row r="5">
      <c r="A5" s="99" t="str">
        <f>IFERROR(__xludf.DUMMYFUNCTION("transpose(unique(FILTER(dCAGass[Type],dCAGass[Room no.]=#REF!)))"),"#N/A")</f>
        <v>#N/A</v>
      </c>
    </row>
    <row r="6">
      <c r="A6" s="99" t="str">
        <f>IFERROR(__xludf.DUMMYFUNCTION("transpose(unique(FILTER(dCAGass[Type],dCAGass[Room no.]=#REF!)))"),"#N/A")</f>
        <v>#N/A</v>
      </c>
    </row>
    <row r="7">
      <c r="A7" s="99" t="str">
        <f>IFERROR(__xludf.DUMMYFUNCTION("transpose(unique(FILTER(dCAGass[Type],dCAGass[Room no.]=#REF!)))"),"#N/A")</f>
        <v>#N/A</v>
      </c>
    </row>
    <row r="8">
      <c r="A8" s="99" t="str">
        <f>IFERROR(__xludf.DUMMYFUNCTION("transpose(unique(FILTER(dCAGass[Type],dCAGass[Room no.]=#REF!)))"),"#N/A")</f>
        <v>#N/A</v>
      </c>
    </row>
    <row r="9">
      <c r="A9" s="99" t="str">
        <f>IFERROR(__xludf.DUMMYFUNCTION("transpose(unique(FILTER(dCAGass[Type],dCAGass[Room no.]=#REF!)))"),"#N/A")</f>
        <v>#N/A</v>
      </c>
    </row>
    <row r="10">
      <c r="A10" s="99" t="str">
        <f>IFERROR(__xludf.DUMMYFUNCTION("transpose(unique(FILTER(dCAGass[Type],dCAGass[Room no.]=#REF!)))"),"#N/A")</f>
        <v>#N/A</v>
      </c>
    </row>
    <row r="11">
      <c r="A11" s="99" t="str">
        <f>IFERROR(__xludf.DUMMYFUNCTION("transpose(unique(FILTER(dCAGass[Type],dCAGass[Room no.]=#REF!)))"),"#N/A")</f>
        <v>#N/A</v>
      </c>
    </row>
    <row r="12">
      <c r="A12" s="99" t="str">
        <f>IFERROR(__xludf.DUMMYFUNCTION("transpose(unique(FILTER(dCAGass[Type],dCAGass[Room no.]=#REF!)))"),"#N/A")</f>
        <v>#N/A</v>
      </c>
    </row>
    <row r="13">
      <c r="A13" s="99" t="str">
        <f>IFERROR(__xludf.DUMMYFUNCTION("transpose(unique(FILTER(dCAGass[Type],dCAGass[Room no.]=#REF!)))"),"#N/A")</f>
        <v>#N/A</v>
      </c>
    </row>
    <row r="14">
      <c r="A14" s="99" t="str">
        <f>IFERROR(__xludf.DUMMYFUNCTION("transpose(unique(FILTER(dCAGass[Type],dCAGass[Room no.]=#REF!)))"),"#N/A")</f>
        <v>#N/A</v>
      </c>
    </row>
    <row r="15">
      <c r="A15" s="99" t="str">
        <f>IFERROR(__xludf.DUMMYFUNCTION("transpose(unique(FILTER(dCAGass[Type],dCAGass[Room no.]=#REF!)))"),"#N/A")</f>
        <v>#N/A</v>
      </c>
    </row>
    <row r="16">
      <c r="A16" s="99" t="str">
        <f>IFERROR(__xludf.DUMMYFUNCTION("transpose(unique(FILTER(dCAGass[Type],dCAGass[Room no.]=#REF!)))"),"#N/A")</f>
        <v>#N/A</v>
      </c>
    </row>
    <row r="17">
      <c r="A17" s="99" t="str">
        <f>IFERROR(__xludf.DUMMYFUNCTION("transpose(unique(FILTER(dCAGass[Type],dCAGass[Room no.]=#REF!)))"),"#N/A")</f>
        <v>#N/A</v>
      </c>
    </row>
    <row r="18">
      <c r="A18" s="99" t="str">
        <f>IFERROR(__xludf.DUMMYFUNCTION("transpose(unique(FILTER(dCAGass[Type],dCAGass[Room no.]=#REF!)))"),"#N/A")</f>
        <v>#N/A</v>
      </c>
    </row>
    <row r="19">
      <c r="A19" s="99" t="str">
        <f>IFERROR(__xludf.DUMMYFUNCTION("transpose(unique(FILTER(dCAGass[Type],dCAGass[Room no.]=#REF!)))"),"#N/A")</f>
        <v>#N/A</v>
      </c>
    </row>
    <row r="20">
      <c r="A20" s="99" t="str">
        <f>IFERROR(__xludf.DUMMYFUNCTION("transpose(unique(FILTER(dCAGass[Type],dCAGass[Room no.]=#REF!)))"),"#N/A")</f>
        <v>#N/A</v>
      </c>
    </row>
    <row r="21">
      <c r="A21" s="99" t="str">
        <f>IFERROR(__xludf.DUMMYFUNCTION("transpose(unique(FILTER(dCAGass[Type],dCAGass[Room no.]=#REF!)))"),"#N/A")</f>
        <v>#N/A</v>
      </c>
    </row>
    <row r="22">
      <c r="A22" s="99" t="str">
        <f>IFERROR(__xludf.DUMMYFUNCTION("transpose(unique(FILTER(dCAGass[Type],dCAGass[Room no.]=#REF!)))"),"#N/A")</f>
        <v>#N/A</v>
      </c>
    </row>
    <row r="23">
      <c r="A23" s="99" t="str">
        <f>IFERROR(__xludf.DUMMYFUNCTION("transpose(unique(FILTER(dCAGass[Type],dCAGass[Room no.]=#REF!)))"),"#N/A")</f>
        <v>#N/A</v>
      </c>
    </row>
    <row r="24">
      <c r="A24" s="99" t="str">
        <f>IFERROR(__xludf.DUMMYFUNCTION("transpose(unique(FILTER(dCAGass[Type],dCAGass[Room no.]=#REF!)))"),"#N/A")</f>
        <v>#N/A</v>
      </c>
    </row>
    <row r="25">
      <c r="A25" s="99" t="str">
        <f>IFERROR(__xludf.DUMMYFUNCTION("transpose(unique(FILTER(dCAGass[Type],dCAGass[Room no.]=#REF!)))"),"#N/A")</f>
        <v>#N/A</v>
      </c>
    </row>
    <row r="26">
      <c r="A26" s="99" t="str">
        <f>IFERROR(__xludf.DUMMYFUNCTION("transpose(unique(FILTER(dCAGass[Type],dCAGass[Room no.]=#REF!)))"),"#N/A")</f>
        <v>#N/A</v>
      </c>
    </row>
    <row r="27">
      <c r="A27" s="99" t="str">
        <f>IFERROR(__xludf.DUMMYFUNCTION("transpose(unique(FILTER(dCAGass[Type],dCAGass[Room no.]=#REF!)))"),"#N/A")</f>
        <v>#N/A</v>
      </c>
    </row>
    <row r="28">
      <c r="A28" s="99" t="str">
        <f>IFERROR(__xludf.DUMMYFUNCTION("transpose(unique(FILTER(dCAGass[Type],dCAGass[Room no.]=#REF!)))"),"#N/A")</f>
        <v>#N/A</v>
      </c>
    </row>
    <row r="29">
      <c r="A29" s="99" t="str">
        <f>IFERROR(__xludf.DUMMYFUNCTION("transpose(unique(FILTER(dCAGass[Type],dCAGass[Room no.]=#REF!)))"),"#N/A")</f>
        <v>#N/A</v>
      </c>
    </row>
    <row r="30">
      <c r="A30" s="99" t="str">
        <f>IFERROR(__xludf.DUMMYFUNCTION("transpose(unique(FILTER(dCAGass[Type],dCAGass[Room no.]=#REF!)))"),"#N/A")</f>
        <v>#N/A</v>
      </c>
    </row>
    <row r="31">
      <c r="A31" s="99" t="str">
        <f>IFERROR(__xludf.DUMMYFUNCTION("transpose(unique(FILTER(dCAGass[Type],dCAGass[Room no.]=#REF!)))"),"#N/A")</f>
        <v>#N/A</v>
      </c>
    </row>
    <row r="32">
      <c r="A32" s="99" t="str">
        <f>IFERROR(__xludf.DUMMYFUNCTION("transpose(unique(FILTER(dCAGass[Type],dCAGass[Room no.]=#REF!)))"),"#N/A")</f>
        <v>#N/A</v>
      </c>
    </row>
    <row r="33">
      <c r="A33" s="99" t="str">
        <f>IFERROR(__xludf.DUMMYFUNCTION("transpose(unique(FILTER(dCAGass[Type],dCAGass[Room no.]=#REF!)))"),"#N/A")</f>
        <v>#N/A</v>
      </c>
    </row>
    <row r="34">
      <c r="A34" s="99" t="str">
        <f>IFERROR(__xludf.DUMMYFUNCTION("transpose(unique(FILTER(dCAGass[Type],dCAGass[Room no.]=#REF!)))"),"#N/A")</f>
        <v>#N/A</v>
      </c>
    </row>
    <row r="35">
      <c r="A35" s="99" t="str">
        <f>IFERROR(__xludf.DUMMYFUNCTION("transpose(unique(FILTER(dCAGass[Type],dCAGass[Room no.]=#REF!)))"),"#N/A")</f>
        <v>#N/A</v>
      </c>
    </row>
    <row r="36">
      <c r="A36" s="99" t="str">
        <f>IFERROR(__xludf.DUMMYFUNCTION("transpose(unique(FILTER(dCAGass[Type],dCAGass[Room no.]=#REF!)))"),"#N/A")</f>
        <v>#N/A</v>
      </c>
    </row>
    <row r="37">
      <c r="A37" s="99" t="str">
        <f>IFERROR(__xludf.DUMMYFUNCTION("transpose(unique(FILTER(dCAGass[Type],dCAGass[Room no.]=#REF!)))"),"#N/A")</f>
        <v>#N/A</v>
      </c>
    </row>
    <row r="38">
      <c r="A38" s="99" t="str">
        <f>IFERROR(__xludf.DUMMYFUNCTION("transpose(unique(FILTER(dCAGass[Type],dCAGass[Room no.]=#REF!)))"),"#N/A")</f>
        <v>#N/A</v>
      </c>
    </row>
    <row r="39">
      <c r="A39" s="99" t="str">
        <f>IFERROR(__xludf.DUMMYFUNCTION("transpose(unique(FILTER(dCAGass[Type],dCAGass[Room no.]=#REF!)))"),"#N/A")</f>
        <v>#N/A</v>
      </c>
    </row>
    <row r="40">
      <c r="A40" s="99" t="str">
        <f>IFERROR(__xludf.DUMMYFUNCTION("transpose(unique(FILTER(dCAGass[Type],dCAGass[Room no.]=#REF!)))"),"#N/A")</f>
        <v>#N/A</v>
      </c>
    </row>
    <row r="41">
      <c r="A41" s="99" t="str">
        <f>IFERROR(__xludf.DUMMYFUNCTION("transpose(unique(FILTER(dCAGass[Type],dCAGass[Room no.]=#REF!)))"),"#N/A")</f>
        <v>#N/A</v>
      </c>
    </row>
    <row r="42">
      <c r="A42" s="99" t="str">
        <f>IFERROR(__xludf.DUMMYFUNCTION("transpose(unique(FILTER(dCAGass[Type],dCAGass[Room no.]=#REF!)))"),"#N/A")</f>
        <v>#N/A</v>
      </c>
    </row>
    <row r="43">
      <c r="A43" s="99" t="str">
        <f>IFERROR(__xludf.DUMMYFUNCTION("transpose(unique(FILTER(dCAGass[Type],dCAGass[Room no.]=#REF!)))"),"#N/A")</f>
        <v>#N/A</v>
      </c>
    </row>
    <row r="44">
      <c r="A44" s="99" t="str">
        <f>IFERROR(__xludf.DUMMYFUNCTION("transpose(unique(FILTER(dCAGass[Type],dCAGass[Room no.]=#REF!)))"),"#N/A")</f>
        <v>#N/A</v>
      </c>
    </row>
    <row r="45">
      <c r="A45" s="99" t="str">
        <f>IFERROR(__xludf.DUMMYFUNCTION("transpose(unique(FILTER(dCAGass[Type],dCAGass[Room no.]=#REF!)))"),"#N/A")</f>
        <v>#N/A</v>
      </c>
    </row>
    <row r="46">
      <c r="A46" s="99" t="str">
        <f>IFERROR(__xludf.DUMMYFUNCTION("transpose(unique(FILTER(dCAGass[Type],dCAGass[Room no.]=#REF!)))"),"#N/A")</f>
        <v>#N/A</v>
      </c>
    </row>
    <row r="47">
      <c r="A47" s="99" t="str">
        <f>IFERROR(__xludf.DUMMYFUNCTION("transpose(unique(FILTER(dCAGass[Type],dCAGass[Room no.]=#REF!)))"),"#N/A")</f>
        <v>#N/A</v>
      </c>
    </row>
    <row r="48">
      <c r="A48" s="99" t="str">
        <f>IFERROR(__xludf.DUMMYFUNCTION("transpose(unique(FILTER(dCAGass[Type],dCAGass[Room no.]=#REF!)))"),"#N/A")</f>
        <v>#N/A</v>
      </c>
    </row>
    <row r="49">
      <c r="A49" s="99" t="str">
        <f>IFERROR(__xludf.DUMMYFUNCTION("transpose(unique(FILTER(dCAGass[Type],dCAGass[Room no.]=#REF!)))"),"#N/A")</f>
        <v>#N/A</v>
      </c>
    </row>
    <row r="50">
      <c r="A50" s="99" t="str">
        <f>IFERROR(__xludf.DUMMYFUNCTION("transpose(unique(FILTER(dCAGass[Type],dCAGass[Room no.]=#REF!)))"),"#N/A")</f>
        <v>#N/A</v>
      </c>
    </row>
    <row r="51">
      <c r="A51" s="99" t="str">
        <f>IFERROR(__xludf.DUMMYFUNCTION("transpose(unique(FILTER(dCAGass[Type],dCAGass[Room no.]=#REF!)))"),"#N/A")</f>
        <v>#N/A</v>
      </c>
    </row>
    <row r="52">
      <c r="A52" s="99" t="str">
        <f>IFERROR(__xludf.DUMMYFUNCTION("transpose(unique(FILTER(dCAGass[Type],dCAGass[Room no.]=#REF!)))"),"#N/A")</f>
        <v>#N/A</v>
      </c>
    </row>
    <row r="53">
      <c r="A53" s="99" t="str">
        <f>IFERROR(__xludf.DUMMYFUNCTION("transpose(unique(FILTER(dCAGass[Type],dCAGass[Room no.]=#REF!)))"),"#N/A")</f>
        <v>#N/A</v>
      </c>
    </row>
    <row r="54">
      <c r="A54" s="99" t="str">
        <f>IFERROR(__xludf.DUMMYFUNCTION("transpose(unique(FILTER(dCAGass[Type],dCAGass[Room no.]=#REF!)))"),"#N/A")</f>
        <v>#N/A</v>
      </c>
    </row>
    <row r="55">
      <c r="A55" s="99" t="str">
        <f>IFERROR(__xludf.DUMMYFUNCTION("transpose(unique(FILTER(dCAGass[Type],dCAGass[Room no.]=#REF!)))"),"#N/A")</f>
        <v>#N/A</v>
      </c>
    </row>
    <row r="56">
      <c r="A56" s="99" t="str">
        <f>IFERROR(__xludf.DUMMYFUNCTION("transpose(unique(FILTER(dCAGass[Type],dCAGass[Room no.]=#REF!)))"),"#N/A")</f>
        <v>#N/A</v>
      </c>
    </row>
    <row r="57">
      <c r="A57" s="99" t="str">
        <f>IFERROR(__xludf.DUMMYFUNCTION("transpose(unique(FILTER(dCAGass[Type],dCAGass[Room no.]=#REF!)))"),"#N/A")</f>
        <v>#N/A</v>
      </c>
    </row>
    <row r="58">
      <c r="A58" s="99" t="str">
        <f>IFERROR(__xludf.DUMMYFUNCTION("transpose(unique(FILTER(dCAGass[Type],dCAGass[Room no.]=#REF!)))"),"#N/A")</f>
        <v>#N/A</v>
      </c>
    </row>
    <row r="59">
      <c r="A59" s="99" t="str">
        <f>IFERROR(__xludf.DUMMYFUNCTION("transpose(unique(FILTER(dCAGass[Type],dCAGass[Room no.]=#REF!)))"),"#N/A")</f>
        <v>#N/A</v>
      </c>
    </row>
    <row r="60">
      <c r="A60" s="99" t="str">
        <f>IFERROR(__xludf.DUMMYFUNCTION("transpose(unique(FILTER(dCAGass[Type],dCAGass[Room no.]=#REF!)))"),"#N/A")</f>
        <v>#N/A</v>
      </c>
    </row>
    <row r="61">
      <c r="A61" s="99" t="str">
        <f>IFERROR(__xludf.DUMMYFUNCTION("transpose(unique(FILTER(dCAGass[Type],dCAGass[Room no.]=#REF!)))"),"#N/A")</f>
        <v>#N/A</v>
      </c>
    </row>
    <row r="62">
      <c r="A62" s="99" t="str">
        <f>IFERROR(__xludf.DUMMYFUNCTION("transpose(unique(FILTER(dCAGass[Type],dCAGass[Room no.]=#REF!)))"),"#N/A")</f>
        <v>#N/A</v>
      </c>
    </row>
    <row r="63">
      <c r="A63" s="99" t="str">
        <f>IFERROR(__xludf.DUMMYFUNCTION("transpose(unique(FILTER(dCAGass[Type],dCAGass[Room no.]=#REF!)))"),"#N/A")</f>
        <v>#N/A</v>
      </c>
    </row>
    <row r="64">
      <c r="A64" s="99" t="str">
        <f>IFERROR(__xludf.DUMMYFUNCTION("transpose(unique(FILTER(dCAGass[Type],dCAGass[Room no.]=#REF!)))"),"#N/A")</f>
        <v>#N/A</v>
      </c>
    </row>
    <row r="65">
      <c r="A65" s="99" t="str">
        <f>IFERROR(__xludf.DUMMYFUNCTION("transpose(unique(FILTER(dCAGass[Type],dCAGass[Room no.]=#REF!)))"),"#N/A")</f>
        <v>#N/A</v>
      </c>
    </row>
    <row r="66">
      <c r="A66" s="99" t="str">
        <f>IFERROR(__xludf.DUMMYFUNCTION("transpose(unique(FILTER(dCAGass[Type],dCAGass[Room no.]=#REF!)))"),"#N/A")</f>
        <v>#N/A</v>
      </c>
    </row>
    <row r="67">
      <c r="A67" s="99" t="str">
        <f>IFERROR(__xludf.DUMMYFUNCTION("transpose(unique(FILTER(dCAGass[Type],dCAGass[Room no.]=#REF!)))"),"#N/A")</f>
        <v>#N/A</v>
      </c>
    </row>
    <row r="68">
      <c r="A68" s="99" t="str">
        <f>IFERROR(__xludf.DUMMYFUNCTION("transpose(unique(FILTER(dCAGass[Type],dCAGass[Room no.]=#REF!)))"),"#N/A")</f>
        <v>#N/A</v>
      </c>
    </row>
    <row r="69">
      <c r="A69" s="99" t="str">
        <f>IFERROR(__xludf.DUMMYFUNCTION("transpose(unique(FILTER(dCAGass[Type],dCAGass[Room no.]=#REF!)))"),"#N/A")</f>
        <v>#N/A</v>
      </c>
    </row>
    <row r="70">
      <c r="A70" s="99" t="str">
        <f>IFERROR(__xludf.DUMMYFUNCTION("transpose(unique(FILTER(dCAGass[Type],dCAGass[Room no.]=#REF!)))"),"#N/A")</f>
        <v>#N/A</v>
      </c>
    </row>
    <row r="71">
      <c r="A71" s="99" t="str">
        <f>IFERROR(__xludf.DUMMYFUNCTION("transpose(unique(FILTER(dCAGass[Type],dCAGass[Room no.]=#REF!)))"),"#N/A")</f>
        <v>#N/A</v>
      </c>
    </row>
    <row r="72">
      <c r="A72" s="99" t="str">
        <f>IFERROR(__xludf.DUMMYFUNCTION("transpose(unique(FILTER(dCAGass[Type],dCAGass[Room no.]=#REF!)))"),"#N/A")</f>
        <v>#N/A</v>
      </c>
    </row>
    <row r="73">
      <c r="A73" s="99" t="str">
        <f>IFERROR(__xludf.DUMMYFUNCTION("transpose(unique(FILTER(dCAGass[Type],dCAGass[Room no.]=#REF!)))"),"#N/A")</f>
        <v>#N/A</v>
      </c>
    </row>
    <row r="74">
      <c r="A74" s="99" t="str">
        <f>IFERROR(__xludf.DUMMYFUNCTION("transpose(unique(FILTER(dCAGass[Type],dCAGass[Room no.]=#REF!)))"),"#N/A")</f>
        <v>#N/A</v>
      </c>
    </row>
    <row r="75">
      <c r="A75" s="99" t="str">
        <f>IFERROR(__xludf.DUMMYFUNCTION("transpose(unique(FILTER(dCAGass[Type],dCAGass[Room no.]=#REF!)))"),"#N/A")</f>
        <v>#N/A</v>
      </c>
    </row>
    <row r="76">
      <c r="A76" s="99" t="str">
        <f>IFERROR(__xludf.DUMMYFUNCTION("transpose(unique(FILTER(dCAGass[Type],dCAGass[Room no.]=#REF!)))"),"#N/A")</f>
        <v>#N/A</v>
      </c>
    </row>
    <row r="77">
      <c r="A77" s="99" t="str">
        <f>IFERROR(__xludf.DUMMYFUNCTION("transpose(unique(FILTER(dCAGass[Type],dCAGass[Room no.]=#REF!)))"),"#N/A")</f>
        <v>#N/A</v>
      </c>
    </row>
    <row r="78">
      <c r="A78" s="99" t="str">
        <f>IFERROR(__xludf.DUMMYFUNCTION("transpose(unique(FILTER(dCAGass[Type],dCAGass[Room no.]=#REF!)))"),"#N/A")</f>
        <v>#N/A</v>
      </c>
    </row>
    <row r="79">
      <c r="A79" s="99" t="str">
        <f>IFERROR(__xludf.DUMMYFUNCTION("transpose(unique(FILTER(dCAGass[Type],dCAGass[Room no.]=#REF!)))"),"#N/A")</f>
        <v>#N/A</v>
      </c>
    </row>
    <row r="80">
      <c r="A80" s="99" t="str">
        <f>IFERROR(__xludf.DUMMYFUNCTION("transpose(unique(FILTER(dCAGass[Type],dCAGass[Room no.]=#REF!)))"),"#N/A")</f>
        <v>#N/A</v>
      </c>
    </row>
    <row r="81">
      <c r="A81" s="99" t="str">
        <f>IFERROR(__xludf.DUMMYFUNCTION("transpose(unique(FILTER(dCAGass[Type],dCAGass[Room no.]=#REF!)))"),"#N/A")</f>
        <v>#N/A</v>
      </c>
    </row>
    <row r="82">
      <c r="A82" s="99" t="str">
        <f>IFERROR(__xludf.DUMMYFUNCTION("transpose(unique(FILTER(dCAGass[Type],dCAGass[Room no.]=#REF!)))"),"#N/A")</f>
        <v>#N/A</v>
      </c>
    </row>
    <row r="83">
      <c r="A83" s="99" t="str">
        <f>IFERROR(__xludf.DUMMYFUNCTION("transpose(unique(FILTER(dCAGass[Type],dCAGass[Room no.]=#REF!)))"),"#N/A")</f>
        <v>#N/A</v>
      </c>
    </row>
    <row r="84">
      <c r="A84" s="99" t="str">
        <f>IFERROR(__xludf.DUMMYFUNCTION("transpose(unique(FILTER(dCAGass[Type],dCAGass[Room no.]=#REF!)))"),"#N/A")</f>
        <v>#N/A</v>
      </c>
    </row>
    <row r="85">
      <c r="A85" s="99" t="str">
        <f>IFERROR(__xludf.DUMMYFUNCTION("transpose(unique(FILTER(dCAGass[Type],dCAGass[Room no.]=#REF!)))"),"#N/A")</f>
        <v>#N/A</v>
      </c>
    </row>
    <row r="86">
      <c r="A86" s="99" t="str">
        <f>IFERROR(__xludf.DUMMYFUNCTION("transpose(unique(FILTER(dCAGass[Type],dCAGass[Room no.]=#REF!)))"),"#N/A")</f>
        <v>#N/A</v>
      </c>
    </row>
    <row r="87">
      <c r="A87" s="99" t="str">
        <f>IFERROR(__xludf.DUMMYFUNCTION("transpose(unique(FILTER(dCAGass[Type],dCAGass[Room no.]=#REF!)))"),"#N/A")</f>
        <v>#N/A</v>
      </c>
    </row>
    <row r="88">
      <c r="A88" s="99" t="str">
        <f>IFERROR(__xludf.DUMMYFUNCTION("transpose(unique(FILTER(dCAGass[Type],dCAGass[Room no.]=#REF!)))"),"#N/A")</f>
        <v>#N/A</v>
      </c>
    </row>
    <row r="89">
      <c r="A89" s="99" t="str">
        <f>IFERROR(__xludf.DUMMYFUNCTION("transpose(unique(FILTER(dCAGass[Type],dCAGass[Room no.]=#REF!)))"),"#N/A")</f>
        <v>#N/A</v>
      </c>
    </row>
    <row r="90">
      <c r="A90" s="99" t="str">
        <f>IFERROR(__xludf.DUMMYFUNCTION("transpose(unique(FILTER(dCAGass[Type],dCAGass[Room no.]=#REF!)))"),"#N/A")</f>
        <v>#N/A</v>
      </c>
    </row>
    <row r="91">
      <c r="A91" s="99" t="str">
        <f>IFERROR(__xludf.DUMMYFUNCTION("transpose(unique(FILTER(dCAGass[Type],dCAGass[Room no.]=#REF!)))"),"#N/A")</f>
        <v>#N/A</v>
      </c>
    </row>
    <row r="92">
      <c r="A92" s="99" t="str">
        <f>IFERROR(__xludf.DUMMYFUNCTION("transpose(unique(FILTER(dCAGass[Type],dCAGass[Room no.]=#REF!)))"),"#N/A")</f>
        <v>#N/A</v>
      </c>
    </row>
    <row r="93">
      <c r="A93" s="99" t="str">
        <f>IFERROR(__xludf.DUMMYFUNCTION("transpose(unique(FILTER(dCAGass[Type],dCAGass[Room no.]=#REF!)))"),"#N/A")</f>
        <v>#N/A</v>
      </c>
    </row>
    <row r="94">
      <c r="A94" s="99" t="str">
        <f>IFERROR(__xludf.DUMMYFUNCTION("transpose(unique(FILTER(dCAGass[Type],dCAGass[Room no.]=#REF!)))"),"#N/A")</f>
        <v>#N/A</v>
      </c>
    </row>
    <row r="95">
      <c r="A95" s="99" t="str">
        <f>IFERROR(__xludf.DUMMYFUNCTION("transpose(unique(FILTER(dCAGass[Type],dCAGass[Room no.]=#REF!)))"),"#N/A")</f>
        <v>#N/A</v>
      </c>
    </row>
    <row r="96">
      <c r="A96" s="99" t="str">
        <f>IFERROR(__xludf.DUMMYFUNCTION("transpose(unique(FILTER(dCAGass[Type],dCAGass[Room no.]=#REF!)))"),"#N/A")</f>
        <v>#N/A</v>
      </c>
    </row>
    <row r="97">
      <c r="A97" s="99" t="str">
        <f>IFERROR(__xludf.DUMMYFUNCTION("transpose(unique(FILTER(dCAGass[Type],dCAGass[Room no.]=#REF!)))"),"#N/A")</f>
        <v>#N/A</v>
      </c>
    </row>
    <row r="98">
      <c r="A98" s="99" t="str">
        <f>IFERROR(__xludf.DUMMYFUNCTION("transpose(unique(FILTER(dCAGass[Type],dCAGass[Room no.]=#REF!)))"),"#N/A")</f>
        <v>#N/A</v>
      </c>
    </row>
    <row r="99">
      <c r="A99" s="99" t="str">
        <f>IFERROR(__xludf.DUMMYFUNCTION("transpose(unique(FILTER(dCAGass[Type],dCAGass[Room no.]=#REF!)))"),"#N/A")</f>
        <v>#N/A</v>
      </c>
    </row>
    <row r="100">
      <c r="A100" s="99" t="str">
        <f>IFERROR(__xludf.DUMMYFUNCTION("transpose(unique(FILTER(dCAGass[Type],dCAGass[Room no.]=#REF!)))"),"#N/A")</f>
        <v>#N/A</v>
      </c>
    </row>
    <row r="101">
      <c r="A101" s="99" t="str">
        <f>IFERROR(__xludf.DUMMYFUNCTION("transpose(unique(FILTER(dCAGass[Type],dCAGass[Room no.]=#REF!)))"),"#N/A")</f>
        <v>#N/A</v>
      </c>
    </row>
    <row r="102">
      <c r="A102" s="99" t="str">
        <f>IFERROR(__xludf.DUMMYFUNCTION("transpose(unique(FILTER(dCAGass[Type],dCAGass[Room no.]=#REF!)))"),"#N/A")</f>
        <v>#N/A</v>
      </c>
    </row>
    <row r="103">
      <c r="A103" s="99" t="str">
        <f>IFERROR(__xludf.DUMMYFUNCTION("transpose(unique(FILTER(dCAGass[Type],dCAGass[Room no.]=#REF!)))"),"#N/A")</f>
        <v>#N/A</v>
      </c>
    </row>
    <row r="104">
      <c r="A104" s="99" t="str">
        <f>IFERROR(__xludf.DUMMYFUNCTION("transpose(unique(FILTER(dCAGass[Type],dCAGass[Room no.]=#REF!)))"),"#N/A")</f>
        <v>#N/A</v>
      </c>
    </row>
    <row r="105">
      <c r="A105" s="99" t="str">
        <f>IFERROR(__xludf.DUMMYFUNCTION("transpose(unique(FILTER(dCAGass[Type],dCAGass[Room no.]=#REF!)))"),"#N/A")</f>
        <v>#N/A</v>
      </c>
    </row>
    <row r="106">
      <c r="A106" s="99" t="str">
        <f>IFERROR(__xludf.DUMMYFUNCTION("transpose(unique(FILTER(dCAGass[Type],dCAGass[Room no.]=#REF!)))"),"#N/A")</f>
        <v>#N/A</v>
      </c>
    </row>
    <row r="107">
      <c r="A107" s="99" t="str">
        <f>IFERROR(__xludf.DUMMYFUNCTION("transpose(unique(FILTER(dCAGass[Type],dCAGass[Room no.]=#REF!)))"),"#N/A")</f>
        <v>#N/A</v>
      </c>
    </row>
    <row r="108">
      <c r="A108" s="99" t="str">
        <f>IFERROR(__xludf.DUMMYFUNCTION("transpose(unique(FILTER(dCAGass[Type],dCAGass[Room no.]=#REF!)))"),"#N/A")</f>
        <v>#N/A</v>
      </c>
    </row>
    <row r="109">
      <c r="A109" s="99" t="str">
        <f>IFERROR(__xludf.DUMMYFUNCTION("transpose(unique(FILTER(dCAGass[Type],dCAGass[Room no.]=#REF!)))"),"#N/A")</f>
        <v>#N/A</v>
      </c>
    </row>
    <row r="110">
      <c r="A110" s="99" t="str">
        <f>IFERROR(__xludf.DUMMYFUNCTION("transpose(unique(FILTER(dCAGass[Type],dCAGass[Room no.]=#REF!)))"),"#N/A")</f>
        <v>#N/A</v>
      </c>
    </row>
    <row r="111">
      <c r="A111" s="99" t="str">
        <f>IFERROR(__xludf.DUMMYFUNCTION("transpose(unique(FILTER(dCAGass[Type],dCAGass[Room no.]=#REF!)))"),"#N/A")</f>
        <v>#N/A</v>
      </c>
    </row>
    <row r="112">
      <c r="A112" s="99" t="str">
        <f>IFERROR(__xludf.DUMMYFUNCTION("transpose(unique(FILTER(dCAGass[Type],dCAGass[Room no.]=#REF!)))"),"#N/A")</f>
        <v>#N/A</v>
      </c>
    </row>
    <row r="113">
      <c r="A113" s="99" t="str">
        <f>IFERROR(__xludf.DUMMYFUNCTION("transpose(unique(FILTER(dCAGass[Type],dCAGass[Room no.]=#REF!)))"),"#N/A")</f>
        <v>#N/A</v>
      </c>
    </row>
    <row r="114">
      <c r="A114" s="99" t="str">
        <f>IFERROR(__xludf.DUMMYFUNCTION("transpose(unique(FILTER(dCAGass[Type],dCAGass[Room no.]='records-CA Gass'!D2)))"),"CA")</f>
        <v>CA</v>
      </c>
    </row>
    <row r="115">
      <c r="A115" s="99" t="str">
        <f>IFERROR(__xludf.DUMMYFUNCTION("transpose(unique(FILTER(dCAGass[Type],dCAGass[Room no.]='records-CA Gass'!D3)))"),"CA")</f>
        <v>CA</v>
      </c>
    </row>
    <row r="116">
      <c r="A116" s="99" t="str">
        <f>IFERROR(__xludf.DUMMYFUNCTION("transpose(unique(FILTER(dCAGass[Type],dCAGass[Room no.]='records-CA Gass'!D4)))"),"CA")</f>
        <v>CA</v>
      </c>
    </row>
    <row r="117">
      <c r="A117" s="99" t="str">
        <f>IFERROR(__xludf.DUMMYFUNCTION("transpose(unique(FILTER(dCAGass[Type],dCAGass[Room no.]='records-CA Gass'!D5)))"),"CA")</f>
        <v>CA</v>
      </c>
    </row>
    <row r="118">
      <c r="A118" s="99" t="str">
        <f>IFERROR(__xludf.DUMMYFUNCTION("transpose(unique(FILTER(dCAGass[Type],dCAGass[Room no.]='records-CA Gass'!D6)))"),"CA")</f>
        <v>CA</v>
      </c>
    </row>
    <row r="119">
      <c r="A119" s="99" t="str">
        <f>IFERROR(__xludf.DUMMYFUNCTION("transpose(unique(FILTER(dCAGass[Type],dCAGass[Room no.]='records-CA Gass'!D7)))"),"CA")</f>
        <v>CA</v>
      </c>
    </row>
    <row r="120">
      <c r="A120" s="99" t="str">
        <f>IFERROR(__xludf.DUMMYFUNCTION("transpose(unique(FILTER(dCAGass[Type],dCAGass[Room no.]='records-CA Gass'!D8)))"),"CA")</f>
        <v>CA</v>
      </c>
    </row>
    <row r="121">
      <c r="A121" s="99" t="str">
        <f>IFERROR(__xludf.DUMMYFUNCTION("transpose(unique(FILTER(dCAGass[Type],dCAGass[Room no.]='records-CA Gass'!D9)))"),"CA")</f>
        <v>CA</v>
      </c>
    </row>
    <row r="122">
      <c r="A122" s="99" t="str">
        <f>IFERROR(__xludf.DUMMYFUNCTION("transpose(unique(FILTER(dCAGass[Type],dCAGass[Room no.]='records-CA Gass'!D10)))"),"CA")</f>
        <v>CA</v>
      </c>
    </row>
    <row r="123">
      <c r="A123" s="99" t="str">
        <f>IFERROR(__xludf.DUMMYFUNCTION("transpose(unique(FILTER(dCAGass[Type],dCAGass[Room no.]='records-CA Gass'!D11)))"),"CA")</f>
        <v>CA</v>
      </c>
    </row>
    <row r="124">
      <c r="A124" s="99" t="str">
        <f>IFERROR(__xludf.DUMMYFUNCTION("transpose(unique(FILTER(dCAGass[Type],dCAGass[Room no.]='records-CA Gass'!D12)))"),"CA")</f>
        <v>CA</v>
      </c>
    </row>
    <row r="125">
      <c r="A125" s="99" t="str">
        <f>IFERROR(__xludf.DUMMYFUNCTION("transpose(unique(FILTER(dCAGass[Type],dCAGass[Room no.]='records-CA Gass'!D13)))"),"CA")</f>
        <v>CA</v>
      </c>
    </row>
    <row r="126">
      <c r="A126" s="99" t="str">
        <f>IFERROR(__xludf.DUMMYFUNCTION("transpose(unique(FILTER(dCAGass[Type],dCAGass[Room no.]='records-CA Gass'!D14)))"),"CA")</f>
        <v>CA</v>
      </c>
    </row>
    <row r="127">
      <c r="A127" s="99" t="str">
        <f>IFERROR(__xludf.DUMMYFUNCTION("transpose(unique(FILTER(dCAGass[Type],dCAGass[Room no.]=#REF!)))"),"#N/A")</f>
        <v>#N/A</v>
      </c>
    </row>
    <row r="128">
      <c r="A128" s="99" t="str">
        <f>IFERROR(__xludf.DUMMYFUNCTION("transpose(unique(FILTER(dCAGass[Type],dCAGass[Room no.]=#REF!)))"),"#N/A")</f>
        <v>#N/A</v>
      </c>
    </row>
    <row r="129">
      <c r="A129" s="99" t="str">
        <f>IFERROR(__xludf.DUMMYFUNCTION("transpose(unique(FILTER(dCAGass[Type],dCAGass[Room no.]=#REF!)))"),"#N/A")</f>
        <v>#N/A</v>
      </c>
    </row>
    <row r="130">
      <c r="A130" s="99" t="str">
        <f>IFERROR(__xludf.DUMMYFUNCTION("transpose(unique(FILTER(dCAGass[Type],dCAGass[Room no.]=#REF!)))"),"#N/A")</f>
        <v>#N/A</v>
      </c>
    </row>
    <row r="131">
      <c r="A131" s="99" t="str">
        <f>IFERROR(__xludf.DUMMYFUNCTION("transpose(unique(FILTER(dCAGass[Type],dCAGass[Room no.]=#REF!)))"),"#N/A")</f>
        <v>#N/A</v>
      </c>
    </row>
    <row r="132">
      <c r="A132" s="99" t="str">
        <f>IFERROR(__xludf.DUMMYFUNCTION("transpose(unique(FILTER(dCAGass[Type],dCAGass[Room no.]=#REF!)))"),"#N/A")</f>
        <v>#N/A</v>
      </c>
    </row>
    <row r="133">
      <c r="A133" s="99" t="str">
        <f>IFERROR(__xludf.DUMMYFUNCTION("transpose(unique(FILTER(dCAGass[Type],dCAGass[Room no.]=#REF!)))"),"#N/A")</f>
        <v>#N/A</v>
      </c>
    </row>
    <row r="134">
      <c r="A134" s="99" t="str">
        <f>IFERROR(__xludf.DUMMYFUNCTION("transpose(unique(FILTER(dCAGass[Type],dCAGass[Room no.]=#REF!)))"),"#N/A")</f>
        <v>#N/A</v>
      </c>
    </row>
    <row r="135">
      <c r="A135" s="99" t="str">
        <f>IFERROR(__xludf.DUMMYFUNCTION("transpose(unique(FILTER(dCAGass[Type],dCAGass[Room no.]=#REF!)))"),"#N/A")</f>
        <v>#N/A</v>
      </c>
    </row>
    <row r="136">
      <c r="A136" s="99" t="str">
        <f>IFERROR(__xludf.DUMMYFUNCTION("transpose(unique(FILTER(dCAGass[Type],dCAGass[Room no.]=#REF!)))"),"#N/A")</f>
        <v>#N/A</v>
      </c>
    </row>
    <row r="137">
      <c r="A137" s="99" t="str">
        <f>IFERROR(__xludf.DUMMYFUNCTION("transpose(unique(FILTER(dCAGass[Type],dCAGass[Room no.]=#REF!)))"),"#N/A")</f>
        <v>#N/A</v>
      </c>
    </row>
    <row r="138">
      <c r="A138" s="99" t="str">
        <f>IFERROR(__xludf.DUMMYFUNCTION("transpose(unique(FILTER(dCAGass[Type],dCAGass[Room no.]=#REF!)))"),"#N/A")</f>
        <v>#N/A</v>
      </c>
    </row>
    <row r="139">
      <c r="A139" s="99" t="str">
        <f>IFERROR(__xludf.DUMMYFUNCTION("transpose(unique(FILTER(dCAGass[Type],dCAGass[Room no.]=#REF!)))"),"#N/A")</f>
        <v>#N/A</v>
      </c>
    </row>
    <row r="140">
      <c r="A140" s="99" t="str">
        <f>IFERROR(__xludf.DUMMYFUNCTION("transpose(unique(FILTER(dCAGass[Type],dCAGass[Room no.]=#REF!)))"),"#N/A")</f>
        <v>#N/A</v>
      </c>
    </row>
    <row r="141">
      <c r="A141" s="99" t="str">
        <f>IFERROR(__xludf.DUMMYFUNCTION("transpose(unique(FILTER(dCAGass[Type],dCAGass[Room no.]=#REF!)))"),"#N/A")</f>
        <v>#N/A</v>
      </c>
    </row>
    <row r="142">
      <c r="A142" s="99" t="str">
        <f>IFERROR(__xludf.DUMMYFUNCTION("transpose(unique(FILTER(dCAGass[Type],dCAGass[Room no.]=#REF!)))"),"#N/A")</f>
        <v>#N/A</v>
      </c>
    </row>
    <row r="143">
      <c r="A143" s="99" t="str">
        <f>IFERROR(__xludf.DUMMYFUNCTION("transpose(unique(FILTER(dCAGass[Type],dCAGass[Room no.]=#REF!)))"),"#N/A")</f>
        <v>#N/A</v>
      </c>
    </row>
    <row r="144">
      <c r="A144" s="99" t="str">
        <f>IFERROR(__xludf.DUMMYFUNCTION("transpose(unique(FILTER(dCAGass[Type],dCAGass[Room no.]=#REF!)))"),"#N/A")</f>
        <v>#N/A</v>
      </c>
    </row>
    <row r="145">
      <c r="A145" s="99" t="str">
        <f>IFERROR(__xludf.DUMMYFUNCTION("transpose(unique(FILTER(dCAGass[Type],dCAGass[Room no.]=#REF!)))"),"#N/A")</f>
        <v>#N/A</v>
      </c>
    </row>
    <row r="146">
      <c r="A146" s="99" t="str">
        <f>IFERROR(__xludf.DUMMYFUNCTION("transpose(unique(FILTER(dCAGass[Type],dCAGass[Room no.]=#REF!)))"),"#N/A")</f>
        <v>#N/A</v>
      </c>
    </row>
    <row r="147">
      <c r="A147" s="99" t="str">
        <f>IFERROR(__xludf.DUMMYFUNCTION("transpose(unique(FILTER(dCAGass[Type],dCAGass[Room no.]=#REF!)))"),"#N/A")</f>
        <v>#N/A</v>
      </c>
    </row>
    <row r="148">
      <c r="A148" s="99" t="str">
        <f>IFERROR(__xludf.DUMMYFUNCTION("transpose(unique(FILTER(dCAGass[Type],dCAGass[Room no.]=#REF!)))"),"#N/A")</f>
        <v>#N/A</v>
      </c>
    </row>
    <row r="149">
      <c r="A149" s="99" t="str">
        <f>IFERROR(__xludf.DUMMYFUNCTION("transpose(unique(FILTER(dCAGass[Type],dCAGass[Room no.]=#REF!)))"),"#N/A")</f>
        <v>#N/A</v>
      </c>
    </row>
    <row r="150">
      <c r="A150" s="99" t="str">
        <f>IFERROR(__xludf.DUMMYFUNCTION("transpose(unique(FILTER(dCAGass[Type],dCAGass[Room no.]=#REF!)))"),"#N/A")</f>
        <v>#N/A</v>
      </c>
    </row>
    <row r="151">
      <c r="A151" s="99" t="str">
        <f>IFERROR(__xludf.DUMMYFUNCTION("transpose(unique(FILTER(dCAGass[Type],dCAGass[Room no.]=#REF!)))"),"#N/A")</f>
        <v>#N/A</v>
      </c>
    </row>
    <row r="152">
      <c r="A152" s="99" t="str">
        <f>IFERROR(__xludf.DUMMYFUNCTION("transpose(unique(FILTER(dCAGass[Type],dCAGass[Room no.]=#REF!)))"),"#N/A")</f>
        <v>#N/A</v>
      </c>
    </row>
    <row r="153">
      <c r="A153" s="99" t="str">
        <f>IFERROR(__xludf.DUMMYFUNCTION("transpose(unique(FILTER(dCAGass[Type],dCAGass[Room no.]=#REF!)))"),"#N/A")</f>
        <v>#N/A</v>
      </c>
    </row>
    <row r="154">
      <c r="A154" s="99" t="str">
        <f>IFERROR(__xludf.DUMMYFUNCTION("transpose(unique(FILTER(dCAGass[Type],dCAGass[Room no.]=#REF!)))"),"#N/A")</f>
        <v>#N/A</v>
      </c>
    </row>
    <row r="155">
      <c r="A155" s="99" t="str">
        <f>IFERROR(__xludf.DUMMYFUNCTION("transpose(unique(FILTER(dCAGass[Type],dCAGass[Room no.]=#REF!)))"),"#N/A")</f>
        <v>#N/A</v>
      </c>
    </row>
    <row r="156">
      <c r="A156" s="99" t="str">
        <f>IFERROR(__xludf.DUMMYFUNCTION("transpose(unique(FILTER(dCAGass[Type],dCAGass[Room no.]=#REF!)))"),"#N/A")</f>
        <v>#N/A</v>
      </c>
    </row>
    <row r="157">
      <c r="A157" s="99" t="str">
        <f>IFERROR(__xludf.DUMMYFUNCTION("transpose(unique(FILTER(dCAGass[Type],dCAGass[Room no.]=#REF!)))"),"#N/A")</f>
        <v>#N/A</v>
      </c>
    </row>
    <row r="158">
      <c r="A158" s="99" t="str">
        <f>IFERROR(__xludf.DUMMYFUNCTION("transpose(unique(FILTER(dCAGass[Type],dCAGass[Room no.]=#REF!)))"),"#N/A")</f>
        <v>#N/A</v>
      </c>
    </row>
    <row r="159">
      <c r="A159" s="99" t="str">
        <f>IFERROR(__xludf.DUMMYFUNCTION("transpose(unique(FILTER(dCAGass[Type],dCAGass[Room no.]=#REF!)))"),"#N/A")</f>
        <v>#N/A</v>
      </c>
    </row>
    <row r="160">
      <c r="A160" s="99" t="str">
        <f>IFERROR(__xludf.DUMMYFUNCTION("transpose(unique(FILTER(dCAGass[Type],dCAGass[Room no.]=#REF!)))"),"#N/A")</f>
        <v>#N/A</v>
      </c>
    </row>
    <row r="161">
      <c r="A161" s="99" t="str">
        <f>IFERROR(__xludf.DUMMYFUNCTION("transpose(unique(FILTER(dCAGass[Type],dCAGass[Room no.]=#REF!)))"),"#N/A")</f>
        <v>#N/A</v>
      </c>
    </row>
    <row r="162">
      <c r="A162" s="99" t="str">
        <f>IFERROR(__xludf.DUMMYFUNCTION("transpose(unique(FILTER(dCAGass[Type],dCAGass[Room no.]=#REF!)))"),"#N/A")</f>
        <v>#N/A</v>
      </c>
    </row>
    <row r="163">
      <c r="A163" s="99" t="str">
        <f>IFERROR(__xludf.DUMMYFUNCTION("transpose(unique(FILTER(dCAGass[Type],dCAGass[Room no.]=#REF!)))"),"#N/A")</f>
        <v>#N/A</v>
      </c>
    </row>
    <row r="164">
      <c r="A164" s="99" t="str">
        <f>IFERROR(__xludf.DUMMYFUNCTION("transpose(unique(FILTER(dCAGass[Type],dCAGass[Room no.]=#REF!)))"),"#N/A")</f>
        <v>#N/A</v>
      </c>
    </row>
    <row r="165">
      <c r="A165" s="99" t="str">
        <f>IFERROR(__xludf.DUMMYFUNCTION("transpose(unique(FILTER(dCAGass[Type],dCAGass[Room no.]=#REF!)))"),"#N/A")</f>
        <v>#N/A</v>
      </c>
    </row>
    <row r="166">
      <c r="A166" s="99" t="str">
        <f>IFERROR(__xludf.DUMMYFUNCTION("transpose(unique(FILTER(dCAGass[Type],dCAGass[Room no.]=#REF!)))"),"#N/A")</f>
        <v>#N/A</v>
      </c>
    </row>
    <row r="167">
      <c r="A167" s="99" t="str">
        <f>IFERROR(__xludf.DUMMYFUNCTION("transpose(unique(FILTER(dCAGass[Type],dCAGass[Room no.]=#REF!)))"),"#N/A")</f>
        <v>#N/A</v>
      </c>
    </row>
    <row r="168">
      <c r="A168" s="99" t="str">
        <f>IFERROR(__xludf.DUMMYFUNCTION("transpose(unique(FILTER(dCAGass[Type],dCAGass[Room no.]=#REF!)))"),"#N/A")</f>
        <v>#N/A</v>
      </c>
    </row>
    <row r="169">
      <c r="A169" s="99" t="str">
        <f>IFERROR(__xludf.DUMMYFUNCTION("transpose(unique(FILTER(dCAGass[Type],dCAGass[Room no.]=#REF!)))"),"#N/A")</f>
        <v>#N/A</v>
      </c>
    </row>
    <row r="170">
      <c r="A170" s="99" t="str">
        <f>IFERROR(__xludf.DUMMYFUNCTION("transpose(unique(FILTER(dCAGass[Type],dCAGass[Room no.]=#REF!)))"),"#N/A")</f>
        <v>#N/A</v>
      </c>
    </row>
    <row r="171">
      <c r="A171" s="99" t="str">
        <f>IFERROR(__xludf.DUMMYFUNCTION("transpose(unique(FILTER(dCAGass[Type],dCAGass[Room no.]=#REF!)))"),"#N/A")</f>
        <v>#N/A</v>
      </c>
    </row>
    <row r="172">
      <c r="A172" s="99" t="str">
        <f>IFERROR(__xludf.DUMMYFUNCTION("transpose(unique(FILTER(dCAGass[Type],dCAGass[Room no.]=#REF!)))"),"#N/A")</f>
        <v>#N/A</v>
      </c>
    </row>
    <row r="173">
      <c r="A173" s="99" t="str">
        <f>IFERROR(__xludf.DUMMYFUNCTION("transpose(unique(FILTER(dCAGass[Type],dCAGass[Room no.]=#REF!)))"),"#N/A")</f>
        <v>#N/A</v>
      </c>
    </row>
    <row r="174">
      <c r="A174" s="99" t="str">
        <f>IFERROR(__xludf.DUMMYFUNCTION("transpose(unique(FILTER(dCAGass[Type],dCAGass[Room no.]=#REF!)))"),"#N/A")</f>
        <v>#N/A</v>
      </c>
    </row>
    <row r="175">
      <c r="A175" s="99" t="str">
        <f>IFERROR(__xludf.DUMMYFUNCTION("transpose(unique(FILTER(dCAGass[Type],dCAGass[Room no.]=#REF!)))"),"#N/A")</f>
        <v>#N/A</v>
      </c>
    </row>
    <row r="176">
      <c r="A176" s="99" t="str">
        <f>IFERROR(__xludf.DUMMYFUNCTION("transpose(unique(FILTER(dCAGass[Type],dCAGass[Room no.]=#REF!)))"),"#N/A")</f>
        <v>#N/A</v>
      </c>
    </row>
    <row r="177">
      <c r="A177" s="99" t="str">
        <f>IFERROR(__xludf.DUMMYFUNCTION("transpose(unique(FILTER(dCAGass[Type],dCAGass[Room no.]=#REF!)))"),"#N/A")</f>
        <v>#N/A</v>
      </c>
    </row>
    <row r="178">
      <c r="A178" s="99" t="str">
        <f>IFERROR(__xludf.DUMMYFUNCTION("transpose(unique(FILTER(dCAGass[Type],dCAGass[Room no.]=#REF!)))"),"#N/A")</f>
        <v>#N/A</v>
      </c>
    </row>
    <row r="179">
      <c r="A179" s="99" t="str">
        <f>IFERROR(__xludf.DUMMYFUNCTION("transpose(unique(FILTER(dCAGass[Type],dCAGass[Room no.]=#REF!)))"),"#N/A")</f>
        <v>#N/A</v>
      </c>
    </row>
    <row r="180">
      <c r="A180" s="99" t="str">
        <f>IFERROR(__xludf.DUMMYFUNCTION("transpose(unique(FILTER(dCAGass[Type],dCAGass[Room no.]=#REF!)))"),"#N/A")</f>
        <v>#N/A</v>
      </c>
    </row>
    <row r="181">
      <c r="A181" s="99" t="str">
        <f>IFERROR(__xludf.DUMMYFUNCTION("transpose(unique(FILTER(dCAGass[Type],dCAGass[Room no.]=#REF!)))"),"#N/A")</f>
        <v>#N/A</v>
      </c>
    </row>
    <row r="182">
      <c r="A182" s="99" t="str">
        <f>IFERROR(__xludf.DUMMYFUNCTION("transpose(unique(FILTER(dCAGass[Type],dCAGass[Room no.]=#REF!)))"),"#N/A")</f>
        <v>#N/A</v>
      </c>
    </row>
    <row r="183">
      <c r="A183" s="99" t="str">
        <f>IFERROR(__xludf.DUMMYFUNCTION("transpose(unique(FILTER(dCAGass[Type],dCAGass[Room no.]=#REF!)))"),"#N/A")</f>
        <v>#N/A</v>
      </c>
    </row>
    <row r="184">
      <c r="A184" s="99" t="str">
        <f>IFERROR(__xludf.DUMMYFUNCTION("transpose(unique(FILTER(dCAGass[Type],dCAGass[Room no.]=#REF!)))"),"#N/A")</f>
        <v>#N/A</v>
      </c>
    </row>
    <row r="185">
      <c r="A185" s="99" t="str">
        <f>IFERROR(__xludf.DUMMYFUNCTION("transpose(unique(FILTER(dCAGass[Type],dCAGass[Room no.]=#REF!)))"),"#N/A")</f>
        <v>#N/A</v>
      </c>
    </row>
    <row r="186">
      <c r="A186" s="99" t="str">
        <f>IFERROR(__xludf.DUMMYFUNCTION("transpose(unique(FILTER(dCAGass[Type],dCAGass[Room no.]=#REF!)))"),"#N/A")</f>
        <v>#N/A</v>
      </c>
    </row>
    <row r="187">
      <c r="A187" s="99" t="str">
        <f>IFERROR(__xludf.DUMMYFUNCTION("transpose(unique(FILTER(dCAGass[Type],dCAGass[Room no.]=#REF!)))"),"#N/A")</f>
        <v>#N/A</v>
      </c>
    </row>
    <row r="188">
      <c r="A188" s="99" t="str">
        <f>IFERROR(__xludf.DUMMYFUNCTION("transpose(unique(FILTER(dCAGass[Type],dCAGass[Room no.]=#REF!)))"),"#N/A")</f>
        <v>#N/A</v>
      </c>
    </row>
    <row r="189">
      <c r="A189" s="99" t="str">
        <f>IFERROR(__xludf.DUMMYFUNCTION("transpose(unique(FILTER(dCAGass[Type],dCAGass[Room no.]=#REF!)))"),"#N/A")</f>
        <v>#N/A</v>
      </c>
    </row>
    <row r="190">
      <c r="A190" s="99" t="str">
        <f>IFERROR(__xludf.DUMMYFUNCTION("transpose(unique(FILTER(dCAGass[Type],dCAGass[Room no.]=#REF!)))"),"#N/A")</f>
        <v>#N/A</v>
      </c>
    </row>
    <row r="191">
      <c r="A191" s="99" t="str">
        <f>IFERROR(__xludf.DUMMYFUNCTION("transpose(unique(FILTER(dCAGass[Type],dCAGass[Room no.]=#REF!)))"),"#N/A")</f>
        <v>#N/A</v>
      </c>
    </row>
    <row r="192">
      <c r="A192" s="99" t="str">
        <f>IFERROR(__xludf.DUMMYFUNCTION("transpose(unique(FILTER(dCAGass[Type],dCAGass[Room no.]=#REF!)))"),"#N/A")</f>
        <v>#N/A</v>
      </c>
    </row>
    <row r="193">
      <c r="A193" s="99" t="str">
        <f>IFERROR(__xludf.DUMMYFUNCTION("transpose(unique(FILTER(dCAGass[Type],dCAGass[Room no.]=#REF!)))"),"#N/A")</f>
        <v>#N/A</v>
      </c>
    </row>
    <row r="194">
      <c r="A194" s="99" t="str">
        <f>IFERROR(__xludf.DUMMYFUNCTION("transpose(unique(FILTER(dCAGass[Type],dCAGass[Room no.]=#REF!)))"),"#N/A")</f>
        <v>#N/A</v>
      </c>
    </row>
    <row r="195">
      <c r="A195" s="99" t="str">
        <f>IFERROR(__xludf.DUMMYFUNCTION("transpose(unique(FILTER(dCAGass[Type],dCAGass[Room no.]=#REF!)))"),"#N/A")</f>
        <v>#N/A</v>
      </c>
    </row>
    <row r="196">
      <c r="A196" s="99" t="str">
        <f>IFERROR(__xludf.DUMMYFUNCTION("transpose(unique(FILTER(dCAGass[Type],dCAGass[Room no.]=#REF!)))"),"#N/A")</f>
        <v>#N/A</v>
      </c>
    </row>
    <row r="197">
      <c r="A197" s="99" t="str">
        <f>IFERROR(__xludf.DUMMYFUNCTION("transpose(unique(FILTER(dCAGass[Type],dCAGass[Room no.]=#REF!)))"),"#N/A")</f>
        <v>#N/A</v>
      </c>
    </row>
    <row r="198">
      <c r="A198" s="99" t="str">
        <f>IFERROR(__xludf.DUMMYFUNCTION("transpose(unique(FILTER(dCAGass[Type],dCAGass[Room no.]=#REF!)))"),"#N/A")</f>
        <v>#N/A</v>
      </c>
    </row>
    <row r="199">
      <c r="A199" s="99" t="str">
        <f>IFERROR(__xludf.DUMMYFUNCTION("transpose(unique(FILTER(dCAGass[Type],dCAGass[Room no.]=#REF!)))"),"#N/A")</f>
        <v>#N/A</v>
      </c>
    </row>
    <row r="200">
      <c r="A200" s="99" t="str">
        <f>IFERROR(__xludf.DUMMYFUNCTION("transpose(unique(FILTER(dCAGass[Type],dCAGass[Room no.]=#REF!)))"),"#N/A")</f>
        <v>#N/A</v>
      </c>
    </row>
    <row r="201">
      <c r="A201" s="99" t="str">
        <f>IFERROR(__xludf.DUMMYFUNCTION("transpose(unique(FILTER(dCAGass[Type],dCAGass[Room no.]=#REF!)))"),"#N/A")</f>
        <v>#N/A</v>
      </c>
    </row>
    <row r="202">
      <c r="A202" s="99" t="str">
        <f>IFERROR(__xludf.DUMMYFUNCTION("transpose(unique(FILTER(dCAGass[Type],dCAGass[Room no.]=#REF!)))"),"#N/A")</f>
        <v>#N/A</v>
      </c>
    </row>
    <row r="203">
      <c r="A203" s="99" t="str">
        <f>IFERROR(__xludf.DUMMYFUNCTION("transpose(unique(FILTER(dCAGass[Type],dCAGass[Room no.]=#REF!)))"),"#N/A")</f>
        <v>#N/A</v>
      </c>
    </row>
    <row r="204">
      <c r="A204" s="99" t="str">
        <f>IFERROR(__xludf.DUMMYFUNCTION("transpose(unique(FILTER(dCAGass[Type],dCAGass[Room no.]=#REF!)))"),"#N/A")</f>
        <v>#N/A</v>
      </c>
    </row>
    <row r="205">
      <c r="A205" s="99" t="str">
        <f>IFERROR(__xludf.DUMMYFUNCTION("transpose(unique(FILTER(dCAGass[Type],dCAGass[Room no.]=#REF!)))"),"#N/A")</f>
        <v>#N/A</v>
      </c>
    </row>
    <row r="206">
      <c r="A206" s="99" t="str">
        <f>IFERROR(__xludf.DUMMYFUNCTION("transpose(unique(FILTER(dCAGass[Type],dCAGass[Room no.]=#REF!)))"),"#N/A")</f>
        <v>#N/A</v>
      </c>
    </row>
    <row r="207">
      <c r="A207" s="99" t="str">
        <f>IFERROR(__xludf.DUMMYFUNCTION("transpose(unique(FILTER(dCAGass[Type],dCAGass[Room no.]=#REF!)))"),"#N/A")</f>
        <v>#N/A</v>
      </c>
    </row>
    <row r="208">
      <c r="A208" s="99" t="str">
        <f>IFERROR(__xludf.DUMMYFUNCTION("transpose(unique(FILTER(dCAGass[Type],dCAGass[Room no.]=#REF!)))"),"#N/A")</f>
        <v>#N/A</v>
      </c>
    </row>
    <row r="209">
      <c r="A209" s="99" t="str">
        <f>IFERROR(__xludf.DUMMYFUNCTION("transpose(unique(FILTER(dCAGass[Type],dCAGass[Room no.]=#REF!)))"),"#N/A")</f>
        <v>#N/A</v>
      </c>
    </row>
    <row r="210">
      <c r="A210" s="99" t="str">
        <f>IFERROR(__xludf.DUMMYFUNCTION("transpose(unique(FILTER(dCAGass[Type],dCAGass[Room no.]=#REF!)))"),"#N/A")</f>
        <v>#N/A</v>
      </c>
    </row>
    <row r="211">
      <c r="A211" s="99" t="str">
        <f>IFERROR(__xludf.DUMMYFUNCTION("transpose(unique(FILTER(dCAGass[Type],dCAGass[Room no.]=#REF!)))"),"#N/A")</f>
        <v>#N/A</v>
      </c>
    </row>
    <row r="212">
      <c r="A212" s="99" t="str">
        <f>IFERROR(__xludf.DUMMYFUNCTION("transpose(unique(FILTER(dCAGass[Type],dCAGass[Room no.]=#REF!)))"),"#N/A")</f>
        <v>#N/A</v>
      </c>
    </row>
    <row r="213">
      <c r="A213" s="99" t="str">
        <f>IFERROR(__xludf.DUMMYFUNCTION("transpose(unique(FILTER(dCAGass[Type],dCAGass[Room no.]=#REF!)))"),"#N/A")</f>
        <v>#N/A</v>
      </c>
    </row>
    <row r="214">
      <c r="A214" s="99" t="str">
        <f>IFERROR(__xludf.DUMMYFUNCTION("transpose(unique(FILTER(dCAGass[Type],dCAGass[Room no.]=#REF!)))"),"#N/A")</f>
        <v>#N/A</v>
      </c>
    </row>
    <row r="215">
      <c r="A215" s="99" t="str">
        <f>IFERROR(__xludf.DUMMYFUNCTION("transpose(unique(FILTER(dCAGass[Type],dCAGass[Room no.]=#REF!)))"),"#N/A")</f>
        <v>#N/A</v>
      </c>
    </row>
    <row r="216">
      <c r="A216" s="99" t="str">
        <f>IFERROR(__xludf.DUMMYFUNCTION("transpose(unique(FILTER(dCAGass[Type],dCAGass[Room no.]=#REF!)))"),"#N/A")</f>
        <v>#N/A</v>
      </c>
    </row>
    <row r="217">
      <c r="A217" s="99" t="str">
        <f>IFERROR(__xludf.DUMMYFUNCTION("transpose(unique(FILTER(dCAGass[Type],dCAGass[Room no.]=#REF!)))"),"#N/A")</f>
        <v>#N/A</v>
      </c>
    </row>
    <row r="218">
      <c r="A218" s="99" t="str">
        <f>IFERROR(__xludf.DUMMYFUNCTION("transpose(unique(FILTER(dCAGass[Type],dCAGass[Room no.]=#REF!)))"),"#N/A")</f>
        <v>#N/A</v>
      </c>
    </row>
    <row r="219">
      <c r="A219" s="99" t="str">
        <f>IFERROR(__xludf.DUMMYFUNCTION("transpose(unique(FILTER(dCAGass[Type],dCAGass[Room no.]=#REF!)))"),"#N/A")</f>
        <v>#N/A</v>
      </c>
    </row>
    <row r="220">
      <c r="A220" s="99" t="str">
        <f>IFERROR(__xludf.DUMMYFUNCTION("transpose(unique(FILTER(dCAGass[Type],dCAGass[Room no.]=#REF!)))"),"#N/A")</f>
        <v>#N/A</v>
      </c>
    </row>
    <row r="221">
      <c r="A221" s="99" t="str">
        <f>IFERROR(__xludf.DUMMYFUNCTION("transpose(unique(FILTER(dCAGass[Type],dCAGass[Room no.]=#REF!)))"),"#N/A")</f>
        <v>#N/A</v>
      </c>
    </row>
    <row r="222">
      <c r="A222" s="99" t="str">
        <f>IFERROR(__xludf.DUMMYFUNCTION("transpose(unique(FILTER(dCAGass[Type],dCAGass[Room no.]=#REF!)))"),"#N/A")</f>
        <v>#N/A</v>
      </c>
    </row>
    <row r="223">
      <c r="A223" s="99" t="str">
        <f>IFERROR(__xludf.DUMMYFUNCTION("transpose(unique(FILTER(dCAGass[Type],dCAGass[Room no.]=#REF!)))"),"#N/A")</f>
        <v>#N/A</v>
      </c>
    </row>
    <row r="224">
      <c r="A224" s="99" t="str">
        <f>IFERROR(__xludf.DUMMYFUNCTION("transpose(unique(FILTER(dCAGass[Type],dCAGass[Room no.]=#REF!)))"),"#N/A")</f>
        <v>#N/A</v>
      </c>
    </row>
    <row r="225">
      <c r="A225" s="99" t="str">
        <f>IFERROR(__xludf.DUMMYFUNCTION("transpose(unique(FILTER(dCAGass[Type],dCAGass[Room no.]=#REF!)))"),"#N/A")</f>
        <v>#N/A</v>
      </c>
    </row>
    <row r="226">
      <c r="A226" s="99" t="str">
        <f>IFERROR(__xludf.DUMMYFUNCTION("transpose(unique(FILTER(dCAGass[Type],dCAGass[Room no.]=#REF!)))"),"#N/A")</f>
        <v>#N/A</v>
      </c>
    </row>
    <row r="227">
      <c r="A227" s="99" t="str">
        <f>IFERROR(__xludf.DUMMYFUNCTION("transpose(unique(FILTER(dCAGass[Type],dCAGass[Room no.]=#REF!)))"),"#N/A")</f>
        <v>#N/A</v>
      </c>
    </row>
    <row r="228">
      <c r="A228" s="99" t="str">
        <f>IFERROR(__xludf.DUMMYFUNCTION("transpose(unique(FILTER(dCAGass[Type],dCAGass[Room no.]=#REF!)))"),"#N/A")</f>
        <v>#N/A</v>
      </c>
    </row>
    <row r="229">
      <c r="A229" s="99" t="str">
        <f>IFERROR(__xludf.DUMMYFUNCTION("transpose(unique(FILTER(dCAGass[Type],dCAGass[Room no.]=#REF!)))"),"#N/A")</f>
        <v>#N/A</v>
      </c>
    </row>
    <row r="230">
      <c r="A230" s="99" t="str">
        <f>IFERROR(__xludf.DUMMYFUNCTION("transpose(unique(FILTER(dCAGass[Type],dCAGass[Room no.]=#REF!)))"),"#N/A")</f>
        <v>#N/A</v>
      </c>
    </row>
    <row r="231">
      <c r="A231" s="99" t="str">
        <f>IFERROR(__xludf.DUMMYFUNCTION("transpose(unique(FILTER(dCAGass[Type],dCAGass[Room no.]=#REF!)))"),"#N/A")</f>
        <v>#N/A</v>
      </c>
    </row>
    <row r="232">
      <c r="A232" s="99" t="str">
        <f>IFERROR(__xludf.DUMMYFUNCTION("transpose(unique(FILTER(dCAGass[Type],dCAGass[Room no.]=#REF!)))"),"#N/A")</f>
        <v>#N/A</v>
      </c>
    </row>
    <row r="233">
      <c r="A233" s="99" t="str">
        <f>IFERROR(__xludf.DUMMYFUNCTION("transpose(unique(FILTER(dCAGass[Type],dCAGass[Room no.]=#REF!)))"),"#N/A")</f>
        <v>#N/A</v>
      </c>
    </row>
    <row r="234">
      <c r="A234" s="99" t="str">
        <f>IFERROR(__xludf.DUMMYFUNCTION("transpose(unique(FILTER(dCAGass[Type],dCAGass[Room no.]=#REF!)))"),"#N/A")</f>
        <v>#N/A</v>
      </c>
    </row>
    <row r="235">
      <c r="A235" s="99" t="str">
        <f>IFERROR(__xludf.DUMMYFUNCTION("transpose(unique(FILTER(dCAGass[Type],dCAGass[Room no.]=#REF!)))"),"#N/A")</f>
        <v>#N/A</v>
      </c>
    </row>
    <row r="236">
      <c r="A236" s="99" t="str">
        <f>IFERROR(__xludf.DUMMYFUNCTION("transpose(unique(FILTER(dCAGass[Type],dCAGass[Room no.]=#REF!)))"),"#N/A")</f>
        <v>#N/A</v>
      </c>
    </row>
    <row r="237">
      <c r="A237" s="99" t="str">
        <f>IFERROR(__xludf.DUMMYFUNCTION("transpose(unique(FILTER(dCAGass[Type],dCAGass[Room no.]=#REF!)))"),"#N/A")</f>
        <v>#N/A</v>
      </c>
    </row>
    <row r="238">
      <c r="A238" s="99" t="str">
        <f>IFERROR(__xludf.DUMMYFUNCTION("transpose(unique(FILTER(dCAGass[Type],dCAGass[Room no.]=#REF!)))"),"#N/A")</f>
        <v>#N/A</v>
      </c>
    </row>
    <row r="239">
      <c r="A239" s="99" t="str">
        <f>IFERROR(__xludf.DUMMYFUNCTION("transpose(unique(FILTER(dCAGass[Type],dCAGass[Room no.]=#REF!)))"),"#N/A")</f>
        <v>#N/A</v>
      </c>
    </row>
    <row r="240">
      <c r="A240" s="99" t="str">
        <f>IFERROR(__xludf.DUMMYFUNCTION("transpose(unique(FILTER(dCAGass[Type],dCAGass[Room no.]=#REF!)))"),"#N/A")</f>
        <v>#N/A</v>
      </c>
    </row>
    <row r="241">
      <c r="A241" s="99" t="str">
        <f>IFERROR(__xludf.DUMMYFUNCTION("transpose(unique(FILTER(dCAGass[Type],dCAGass[Room no.]=#REF!)))"),"#N/A")</f>
        <v>#N/A</v>
      </c>
    </row>
    <row r="242">
      <c r="A242" s="99" t="str">
        <f>IFERROR(__xludf.DUMMYFUNCTION("transpose(unique(FILTER(dCAGass[Type],dCAGass[Room no.]=#REF!)))"),"#N/A")</f>
        <v>#N/A</v>
      </c>
    </row>
    <row r="243">
      <c r="A243" s="99" t="str">
        <f>IFERROR(__xludf.DUMMYFUNCTION("transpose(unique(FILTER(dCAGass[Type],dCAGass[Room no.]=#REF!)))"),"#N/A")</f>
        <v>#N/A</v>
      </c>
    </row>
    <row r="244">
      <c r="A244" s="99" t="str">
        <f>IFERROR(__xludf.DUMMYFUNCTION("transpose(unique(FILTER(dCAGass[Type],dCAGass[Room no.]=#REF!)))"),"#N/A")</f>
        <v>#N/A</v>
      </c>
    </row>
    <row r="245">
      <c r="A245" s="99" t="str">
        <f>IFERROR(__xludf.DUMMYFUNCTION("transpose(unique(FILTER(dCAGass[Type],dCAGass[Room no.]=#REF!)))"),"#N/A")</f>
        <v>#N/A</v>
      </c>
    </row>
    <row r="246">
      <c r="A246" s="99" t="str">
        <f>IFERROR(__xludf.DUMMYFUNCTION("transpose(unique(FILTER(dCAGass[Type],dCAGass[Room no.]=#REF!)))"),"#N/A")</f>
        <v>#N/A</v>
      </c>
    </row>
    <row r="247">
      <c r="A247" s="99" t="str">
        <f>IFERROR(__xludf.DUMMYFUNCTION("transpose(unique(FILTER(dCAGass[Type],dCAGass[Room no.]=#REF!)))"),"#N/A")</f>
        <v>#N/A</v>
      </c>
    </row>
    <row r="248">
      <c r="A248" s="99" t="str">
        <f>IFERROR(__xludf.DUMMYFUNCTION("transpose(unique(FILTER(dCAGass[Type],dCAGass[Room no.]=#REF!)))"),"#N/A")</f>
        <v>#N/A</v>
      </c>
    </row>
    <row r="249">
      <c r="A249" s="99" t="str">
        <f>IFERROR(__xludf.DUMMYFUNCTION("transpose(unique(FILTER(dCAGass[Type],dCAGass[Room no.]=#REF!)))"),"#N/A")</f>
        <v>#N/A</v>
      </c>
    </row>
    <row r="250">
      <c r="A250" s="99" t="str">
        <f>IFERROR(__xludf.DUMMYFUNCTION("transpose(unique(FILTER(dCAGass[Type],dCAGass[Room no.]=#REF!)))"),"#N/A")</f>
        <v>#N/A</v>
      </c>
    </row>
    <row r="251">
      <c r="A251" s="99" t="str">
        <f>IFERROR(__xludf.DUMMYFUNCTION("transpose(unique(FILTER(dCAGass[Type],dCAGass[Room no.]=#REF!)))"),"#N/A")</f>
        <v>#N/A</v>
      </c>
    </row>
    <row r="252">
      <c r="A252" s="99" t="str">
        <f>IFERROR(__xludf.DUMMYFUNCTION("transpose(unique(FILTER(dCAGass[Type],dCAGass[Room no.]=#REF!)))"),"#N/A")</f>
        <v>#N/A</v>
      </c>
    </row>
    <row r="253">
      <c r="A253" s="99" t="str">
        <f>IFERROR(__xludf.DUMMYFUNCTION("transpose(unique(FILTER(dCAGass[Type],dCAGass[Room no.]=#REF!)))"),"#N/A")</f>
        <v>#N/A</v>
      </c>
    </row>
    <row r="254">
      <c r="A254" s="99" t="str">
        <f>IFERROR(__xludf.DUMMYFUNCTION("transpose(unique(FILTER(dCAGass[Type],dCAGass[Room no.]=#REF!)))"),"#N/A")</f>
        <v>#N/A</v>
      </c>
    </row>
    <row r="255">
      <c r="A255" s="99" t="str">
        <f>IFERROR(__xludf.DUMMYFUNCTION("transpose(unique(FILTER(dCAGass[Type],dCAGass[Room no.]=#REF!)))"),"#N/A")</f>
        <v>#N/A</v>
      </c>
    </row>
    <row r="256">
      <c r="A256" s="99" t="str">
        <f>IFERROR(__xludf.DUMMYFUNCTION("transpose(unique(FILTER(dCAGass[Type],dCAGass[Room no.]=#REF!)))"),"#N/A")</f>
        <v>#N/A</v>
      </c>
    </row>
    <row r="257">
      <c r="A257" s="99" t="str">
        <f>IFERROR(__xludf.DUMMYFUNCTION("transpose(unique(FILTER(dCAGass[Type],dCAGass[Room no.]=#REF!)))"),"#N/A")</f>
        <v>#N/A</v>
      </c>
    </row>
    <row r="258">
      <c r="A258" s="99" t="str">
        <f>IFERROR(__xludf.DUMMYFUNCTION("transpose(unique(FILTER(dCAGass[Type],dCAGass[Room no.]=#REF!)))"),"#N/A")</f>
        <v>#N/A</v>
      </c>
    </row>
    <row r="259">
      <c r="A259" s="99" t="str">
        <f>IFERROR(__xludf.DUMMYFUNCTION("transpose(unique(FILTER(dCAGass[Type],dCAGass[Room no.]=#REF!)))"),"#N/A")</f>
        <v>#N/A</v>
      </c>
    </row>
    <row r="260">
      <c r="A260" s="99" t="str">
        <f>IFERROR(__xludf.DUMMYFUNCTION("transpose(unique(FILTER(dCAGass[Type],dCAGass[Room no.]=#REF!)))"),"#N/A")</f>
        <v>#N/A</v>
      </c>
    </row>
    <row r="261">
      <c r="A261" s="99" t="str">
        <f>IFERROR(__xludf.DUMMYFUNCTION("transpose(unique(FILTER(dCAGass[Type],dCAGass[Room no.]=#REF!)))"),"#N/A")</f>
        <v>#N/A</v>
      </c>
    </row>
    <row r="262">
      <c r="A262" s="99" t="str">
        <f>IFERROR(__xludf.DUMMYFUNCTION("transpose(unique(FILTER(dCAGass[Type],dCAGass[Room no.]=#REF!)))"),"#N/A")</f>
        <v>#N/A</v>
      </c>
    </row>
    <row r="263">
      <c r="A263" s="99" t="str">
        <f>IFERROR(__xludf.DUMMYFUNCTION("transpose(unique(FILTER(dCAGass[Type],dCAGass[Room no.]=#REF!)))"),"#N/A")</f>
        <v>#N/A</v>
      </c>
    </row>
    <row r="264">
      <c r="A264" s="99" t="str">
        <f>IFERROR(__xludf.DUMMYFUNCTION("transpose(unique(FILTER(dCAGass[Type],dCAGass[Room no.]=#REF!)))"),"#N/A")</f>
        <v>#N/A</v>
      </c>
    </row>
    <row r="265">
      <c r="A265" s="99" t="str">
        <f>IFERROR(__xludf.DUMMYFUNCTION("transpose(unique(FILTER(dCAGass[Type],dCAGass[Room no.]=#REF!)))"),"#N/A")</f>
        <v>#N/A</v>
      </c>
    </row>
    <row r="266">
      <c r="A266" s="99" t="str">
        <f>IFERROR(__xludf.DUMMYFUNCTION("transpose(unique(FILTER(dCAGass[Type],dCAGass[Room no.]=#REF!)))"),"#N/A")</f>
        <v>#N/A</v>
      </c>
    </row>
    <row r="267">
      <c r="A267" s="99" t="str">
        <f>IFERROR(__xludf.DUMMYFUNCTION("transpose(unique(FILTER(dCAGass[Type],dCAGass[Room no.]=#REF!)))"),"#N/A")</f>
        <v>#N/A</v>
      </c>
    </row>
    <row r="268">
      <c r="A268" s="99" t="str">
        <f>IFERROR(__xludf.DUMMYFUNCTION("transpose(unique(FILTER(dCAGass[Type],dCAGass[Room no.]=#REF!)))"),"#N/A")</f>
        <v>#N/A</v>
      </c>
    </row>
    <row r="269">
      <c r="A269" s="99" t="str">
        <f>IFERROR(__xludf.DUMMYFUNCTION("transpose(unique(FILTER(dCAGass[Type],dCAGass[Room no.]=#REF!)))"),"#N/A")</f>
        <v>#N/A</v>
      </c>
    </row>
    <row r="270">
      <c r="A270" s="99" t="str">
        <f>IFERROR(__xludf.DUMMYFUNCTION("transpose(unique(FILTER(dCAGass[Type],dCAGass[Room no.]=#REF!)))"),"#N/A")</f>
        <v>#N/A</v>
      </c>
    </row>
    <row r="271">
      <c r="A271" s="99" t="str">
        <f>IFERROR(__xludf.DUMMYFUNCTION("transpose(unique(FILTER(dCAGass[Type],dCAGass[Room no.]=#REF!)))"),"#N/A")</f>
        <v>#N/A</v>
      </c>
    </row>
    <row r="272">
      <c r="A272" s="99" t="str">
        <f>IFERROR(__xludf.DUMMYFUNCTION("transpose(unique(FILTER(dCAGass[Type],dCAGass[Room no.]=#REF!)))"),"#N/A")</f>
        <v>#N/A</v>
      </c>
    </row>
    <row r="273">
      <c r="A273" s="99" t="str">
        <f>IFERROR(__xludf.DUMMYFUNCTION("transpose(unique(FILTER(dCAGass[Type],dCAGass[Room no.]=#REF!)))"),"#N/A")</f>
        <v>#N/A</v>
      </c>
    </row>
    <row r="274">
      <c r="A274" s="99" t="str">
        <f>IFERROR(__xludf.DUMMYFUNCTION("transpose(unique(FILTER(dCAGass[Type],dCAGass[Room no.]=#REF!)))"),"#N/A")</f>
        <v>#N/A</v>
      </c>
    </row>
    <row r="275">
      <c r="A275" s="99" t="str">
        <f>IFERROR(__xludf.DUMMYFUNCTION("transpose(unique(FILTER(dCAGass[Type],dCAGass[Room no.]=#REF!)))"),"#N/A")</f>
        <v>#N/A</v>
      </c>
    </row>
    <row r="276">
      <c r="A276" s="99" t="str">
        <f>IFERROR(__xludf.DUMMYFUNCTION("transpose(unique(FILTER(dCAGass[Type],dCAGass[Room no.]=#REF!)))"),"#N/A")</f>
        <v>#N/A</v>
      </c>
    </row>
    <row r="277">
      <c r="A277" s="99" t="str">
        <f>IFERROR(__xludf.DUMMYFUNCTION("transpose(unique(FILTER(dCAGass[Type],dCAGass[Room no.]=#REF!)))"),"#N/A")</f>
        <v>#N/A</v>
      </c>
    </row>
    <row r="278">
      <c r="A278" s="99" t="str">
        <f>IFERROR(__xludf.DUMMYFUNCTION("transpose(unique(FILTER(dCAGass[Type],dCAGass[Room no.]=#REF!)))"),"#N/A")</f>
        <v>#N/A</v>
      </c>
    </row>
    <row r="279">
      <c r="A279" s="99" t="str">
        <f>IFERROR(__xludf.DUMMYFUNCTION("transpose(unique(FILTER(dCAGass[Type],dCAGass[Room no.]=#REF!)))"),"#N/A")</f>
        <v>#N/A</v>
      </c>
    </row>
    <row r="280">
      <c r="A280" s="99" t="str">
        <f>IFERROR(__xludf.DUMMYFUNCTION("transpose(unique(FILTER(dCAGass[Type],dCAGass[Room no.]=#REF!)))"),"#N/A")</f>
        <v>#N/A</v>
      </c>
    </row>
    <row r="281">
      <c r="A281" s="99" t="str">
        <f>IFERROR(__xludf.DUMMYFUNCTION("transpose(unique(FILTER(dCAGass[Type],dCAGass[Room no.]=#REF!)))"),"#N/A")</f>
        <v>#N/A</v>
      </c>
    </row>
    <row r="282">
      <c r="A282" s="99" t="str">
        <f>IFERROR(__xludf.DUMMYFUNCTION("transpose(unique(FILTER(dCAGass[Type],dCAGass[Room no.]=#REF!)))"),"#N/A")</f>
        <v>#N/A</v>
      </c>
    </row>
    <row r="283">
      <c r="A283" s="99" t="str">
        <f>IFERROR(__xludf.DUMMYFUNCTION("transpose(unique(FILTER(dCAGass[Type],dCAGass[Room no.]=#REF!)))"),"#N/A")</f>
        <v>#N/A</v>
      </c>
    </row>
    <row r="284">
      <c r="A284" s="99" t="str">
        <f>IFERROR(__xludf.DUMMYFUNCTION("transpose(unique(FILTER(dCAGass[Type],dCAGass[Room no.]=#REF!)))"),"#N/A")</f>
        <v>#N/A</v>
      </c>
    </row>
    <row r="285">
      <c r="A285" s="99" t="str">
        <f>IFERROR(__xludf.DUMMYFUNCTION("transpose(unique(FILTER(dCAGass[Type],dCAGass[Room no.]=#REF!)))"),"#N/A")</f>
        <v>#N/A</v>
      </c>
    </row>
    <row r="286">
      <c r="A286" s="99" t="str">
        <f>IFERROR(__xludf.DUMMYFUNCTION("transpose(unique(FILTER(dCAGass[Type],dCAGass[Room no.]=#REF!)))"),"#N/A")</f>
        <v>#N/A</v>
      </c>
    </row>
    <row r="287">
      <c r="A287" s="99" t="str">
        <f>IFERROR(__xludf.DUMMYFUNCTION("transpose(unique(FILTER(dCAGass[Type],dCAGass[Room no.]=#REF!)))"),"#N/A")</f>
        <v>#N/A</v>
      </c>
    </row>
    <row r="288">
      <c r="A288" s="99" t="str">
        <f>IFERROR(__xludf.DUMMYFUNCTION("transpose(unique(FILTER(dCAGass[Type],dCAGass[Room no.]=#REF!)))"),"#N/A")</f>
        <v>#N/A</v>
      </c>
    </row>
    <row r="289">
      <c r="A289" s="99" t="str">
        <f>IFERROR(__xludf.DUMMYFUNCTION("transpose(unique(FILTER(dCAGass[Type],dCAGass[Room no.]=#REF!)))"),"#N/A")</f>
        <v>#N/A</v>
      </c>
    </row>
    <row r="290">
      <c r="A290" s="99" t="str">
        <f>IFERROR(__xludf.DUMMYFUNCTION("transpose(unique(FILTER(dCAGass[Type],dCAGass[Room no.]=#REF!)))"),"#N/A")</f>
        <v>#N/A</v>
      </c>
    </row>
    <row r="291">
      <c r="A291" s="99" t="str">
        <f>IFERROR(__xludf.DUMMYFUNCTION("transpose(unique(FILTER(dCAGass[Type],dCAGass[Room no.]=#REF!)))"),"#N/A")</f>
        <v>#N/A</v>
      </c>
    </row>
    <row r="292">
      <c r="A292" s="99" t="str">
        <f>IFERROR(__xludf.DUMMYFUNCTION("transpose(unique(FILTER(dCAGass[Type],dCAGass[Room no.]=#REF!)))"),"#N/A")</f>
        <v>#N/A</v>
      </c>
    </row>
    <row r="293">
      <c r="A293" s="99" t="str">
        <f>IFERROR(__xludf.DUMMYFUNCTION("transpose(unique(FILTER(dCAGass[Type],dCAGass[Room no.]=#REF!)))"),"#N/A")</f>
        <v>#N/A</v>
      </c>
    </row>
    <row r="294">
      <c r="A294" s="99" t="str">
        <f>IFERROR(__xludf.DUMMYFUNCTION("transpose(unique(FILTER(dCAGass[Type],dCAGass[Room no.]=#REF!)))"),"#N/A")</f>
        <v>#N/A</v>
      </c>
    </row>
    <row r="295">
      <c r="A295" s="99" t="str">
        <f>IFERROR(__xludf.DUMMYFUNCTION("transpose(unique(FILTER(dCAGass[Type],dCAGass[Room no.]=#REF!)))"),"#N/A")</f>
        <v>#N/A</v>
      </c>
    </row>
    <row r="296">
      <c r="A296" s="99" t="str">
        <f>IFERROR(__xludf.DUMMYFUNCTION("transpose(unique(FILTER(dCAGass[Type],dCAGass[Room no.]=#REF!)))"),"#N/A")</f>
        <v>#N/A</v>
      </c>
    </row>
    <row r="297">
      <c r="A297" s="99" t="str">
        <f>IFERROR(__xludf.DUMMYFUNCTION("transpose(unique(FILTER(dCAGass[Type],dCAGass[Room no.]=#REF!)))"),"#N/A")</f>
        <v>#N/A</v>
      </c>
    </row>
    <row r="298">
      <c r="A298" s="99" t="str">
        <f>IFERROR(__xludf.DUMMYFUNCTION("transpose(unique(FILTER(dCAGass[Type],dCAGass[Room no.]=#REF!)))"),"#N/A")</f>
        <v>#N/A</v>
      </c>
    </row>
    <row r="299">
      <c r="A299" s="99" t="str">
        <f>IFERROR(__xludf.DUMMYFUNCTION("transpose(unique(FILTER(dCAGass[Type],dCAGass[Room no.]=#REF!)))"),"#N/A")</f>
        <v>#N/A</v>
      </c>
    </row>
    <row r="300">
      <c r="A300" s="99" t="str">
        <f>IFERROR(__xludf.DUMMYFUNCTION("transpose(unique(FILTER(dCAGass[Type],dCAGass[Room no.]=#REF!)))"),"#N/A")</f>
        <v>#N/A</v>
      </c>
    </row>
    <row r="301">
      <c r="A301" s="99" t="str">
        <f>IFERROR(__xludf.DUMMYFUNCTION("transpose(unique(FILTER(dCAGass[Type],dCAGass[Room no.]=#REF!)))"),"#N/A")</f>
        <v>#N/A</v>
      </c>
    </row>
    <row r="302">
      <c r="A302" s="99" t="str">
        <f>IFERROR(__xludf.DUMMYFUNCTION("transpose(unique(FILTER(dCAGass[Type],dCAGass[Room no.]=#REF!)))"),"#N/A")</f>
        <v>#N/A</v>
      </c>
    </row>
    <row r="303">
      <c r="A303" s="99" t="str">
        <f>IFERROR(__xludf.DUMMYFUNCTION("transpose(unique(FILTER(dCAGass[Type],dCAGass[Room no.]=#REF!)))"),"#N/A")</f>
        <v>#N/A</v>
      </c>
    </row>
    <row r="304">
      <c r="A304" s="99" t="str">
        <f>IFERROR(__xludf.DUMMYFUNCTION("transpose(unique(FILTER(dCAGass[Type],dCAGass[Room no.]=#REF!)))"),"#N/A")</f>
        <v>#N/A</v>
      </c>
    </row>
    <row r="305">
      <c r="A305" s="99" t="str">
        <f>IFERROR(__xludf.DUMMYFUNCTION("transpose(unique(FILTER(dCAGass[Type],dCAGass[Room no.]=#REF!)))"),"#N/A")</f>
        <v>#N/A</v>
      </c>
    </row>
    <row r="306">
      <c r="A306" s="99" t="str">
        <f>IFERROR(__xludf.DUMMYFUNCTION("transpose(unique(FILTER(dCAGass[Type],dCAGass[Room no.]=#REF!)))"),"#N/A")</f>
        <v>#N/A</v>
      </c>
    </row>
    <row r="307">
      <c r="A307" s="99" t="str">
        <f>IFERROR(__xludf.DUMMYFUNCTION("transpose(unique(FILTER(dCAGass[Type],dCAGass[Room no.]=#REF!)))"),"#N/A")</f>
        <v>#N/A</v>
      </c>
    </row>
    <row r="308">
      <c r="A308" s="99" t="str">
        <f>IFERROR(__xludf.DUMMYFUNCTION("transpose(unique(FILTER(dCAGass[Type],dCAGass[Room no.]=#REF!)))"),"#N/A")</f>
        <v>#N/A</v>
      </c>
    </row>
    <row r="309">
      <c r="A309" s="99" t="str">
        <f>IFERROR(__xludf.DUMMYFUNCTION("transpose(unique(FILTER(dCAGass[Type],dCAGass[Room no.]=#REF!)))"),"#N/A")</f>
        <v>#N/A</v>
      </c>
    </row>
    <row r="310">
      <c r="A310" s="99" t="str">
        <f>IFERROR(__xludf.DUMMYFUNCTION("transpose(unique(FILTER(dCAGass[Type],dCAGass[Room no.]=#REF!)))"),"#N/A")</f>
        <v>#N/A</v>
      </c>
    </row>
    <row r="311">
      <c r="A311" s="99" t="str">
        <f>IFERROR(__xludf.DUMMYFUNCTION("transpose(unique(FILTER(dCAGass[Type],dCAGass[Room no.]=#REF!)))"),"#N/A")</f>
        <v>#N/A</v>
      </c>
    </row>
    <row r="312">
      <c r="A312" s="99" t="str">
        <f>IFERROR(__xludf.DUMMYFUNCTION("transpose(unique(FILTER(dCAGass[Type],dCAGass[Room no.]=#REF!)))"),"#N/A")</f>
        <v>#N/A</v>
      </c>
    </row>
    <row r="313">
      <c r="A313" s="99" t="str">
        <f>IFERROR(__xludf.DUMMYFUNCTION("transpose(unique(FILTER(dCAGass[Type],dCAGass[Room no.]=#REF!)))"),"#N/A")</f>
        <v>#N/A</v>
      </c>
    </row>
    <row r="314">
      <c r="A314" s="99" t="str">
        <f>IFERROR(__xludf.DUMMYFUNCTION("transpose(unique(FILTER(dCAGass[Type],dCAGass[Room no.]=#REF!)))"),"#N/A")</f>
        <v>#N/A</v>
      </c>
    </row>
    <row r="315">
      <c r="A315" s="99" t="str">
        <f>IFERROR(__xludf.DUMMYFUNCTION("transpose(unique(FILTER(dCAGass[Type],dCAGass[Room no.]=#REF!)))"),"#N/A")</f>
        <v>#N/A</v>
      </c>
    </row>
    <row r="316">
      <c r="A316" s="99" t="str">
        <f>IFERROR(__xludf.DUMMYFUNCTION("transpose(unique(FILTER(dCAGass[Type],dCAGass[Room no.]=#REF!)))"),"#N/A")</f>
        <v>#N/A</v>
      </c>
    </row>
    <row r="317">
      <c r="A317" s="99" t="str">
        <f>IFERROR(__xludf.DUMMYFUNCTION("transpose(unique(FILTER(dCAGass[Type],dCAGass[Room no.]=#REF!)))"),"#N/A")</f>
        <v>#N/A</v>
      </c>
    </row>
    <row r="318">
      <c r="A318" s="99" t="str">
        <f>IFERROR(__xludf.DUMMYFUNCTION("transpose(unique(FILTER(dCAGass[Type],dCAGass[Room no.]=#REF!)))"),"#N/A")</f>
        <v>#N/A</v>
      </c>
    </row>
    <row r="319">
      <c r="A319" s="99" t="str">
        <f>IFERROR(__xludf.DUMMYFUNCTION("transpose(unique(FILTER(dCAGass[Type],dCAGass[Room no.]=#REF!)))"),"#N/A")</f>
        <v>#N/A</v>
      </c>
    </row>
    <row r="320">
      <c r="A320" s="99" t="str">
        <f>IFERROR(__xludf.DUMMYFUNCTION("transpose(unique(FILTER(dCAGass[Type],dCAGass[Room no.]=#REF!)))"),"#N/A")</f>
        <v>#N/A</v>
      </c>
    </row>
    <row r="321">
      <c r="A321" s="99" t="str">
        <f>IFERROR(__xludf.DUMMYFUNCTION("transpose(unique(FILTER(dCAGass[Type],dCAGass[Room no.]=#REF!)))"),"#N/A")</f>
        <v>#N/A</v>
      </c>
    </row>
    <row r="322">
      <c r="A322" s="99" t="str">
        <f>IFERROR(__xludf.DUMMYFUNCTION("transpose(unique(FILTER(dCAGass[Type],dCAGass[Room no.]=#REF!)))"),"#N/A")</f>
        <v>#N/A</v>
      </c>
    </row>
    <row r="323">
      <c r="A323" s="99" t="str">
        <f>IFERROR(__xludf.DUMMYFUNCTION("transpose(unique(FILTER(dCAGass[Type],dCAGass[Room no.]=#REF!)))"),"#N/A")</f>
        <v>#N/A</v>
      </c>
    </row>
    <row r="324">
      <c r="A324" s="99" t="str">
        <f>IFERROR(__xludf.DUMMYFUNCTION("transpose(unique(FILTER(dCAGass[Type],dCAGass[Room no.]=#REF!)))"),"#N/A")</f>
        <v>#N/A</v>
      </c>
    </row>
    <row r="325">
      <c r="A325" s="99" t="str">
        <f>IFERROR(__xludf.DUMMYFUNCTION("transpose(unique(FILTER(dCAGass[Type],dCAGass[Room no.]=#REF!)))"),"#N/A")</f>
        <v>#N/A</v>
      </c>
    </row>
    <row r="326">
      <c r="A326" s="99" t="str">
        <f>IFERROR(__xludf.DUMMYFUNCTION("transpose(unique(FILTER(dCAGass[Type],dCAGass[Room no.]=#REF!)))"),"#N/A")</f>
        <v>#N/A</v>
      </c>
    </row>
    <row r="327">
      <c r="A327" s="99" t="str">
        <f>IFERROR(__xludf.DUMMYFUNCTION("transpose(unique(FILTER(dCAGass[Type],dCAGass[Room no.]=#REF!)))"),"#N/A")</f>
        <v>#N/A</v>
      </c>
    </row>
    <row r="328">
      <c r="A328" s="99" t="str">
        <f>IFERROR(__xludf.DUMMYFUNCTION("transpose(unique(FILTER(dCAGass[Type],dCAGass[Room no.]=#REF!)))"),"#N/A")</f>
        <v>#N/A</v>
      </c>
    </row>
    <row r="329">
      <c r="A329" s="99" t="str">
        <f>IFERROR(__xludf.DUMMYFUNCTION("transpose(unique(FILTER(dCAGass[Type],dCAGass[Room no.]=#REF!)))"),"#N/A")</f>
        <v>#N/A</v>
      </c>
    </row>
    <row r="330">
      <c r="A330" s="99" t="str">
        <f>IFERROR(__xludf.DUMMYFUNCTION("transpose(unique(FILTER(dCAGass[Type],dCAGass[Room no.]=#REF!)))"),"#N/A")</f>
        <v>#N/A</v>
      </c>
    </row>
    <row r="331">
      <c r="A331" s="99" t="str">
        <f>IFERROR(__xludf.DUMMYFUNCTION("transpose(unique(FILTER(dCAGass[Type],dCAGass[Room no.]=#REF!)))"),"#N/A")</f>
        <v>#N/A</v>
      </c>
    </row>
    <row r="332">
      <c r="A332" s="99" t="str">
        <f>IFERROR(__xludf.DUMMYFUNCTION("transpose(unique(FILTER(dCAGass[Type],dCAGass[Room no.]=#REF!)))"),"#N/A")</f>
        <v>#N/A</v>
      </c>
    </row>
    <row r="333">
      <c r="A333" s="99" t="str">
        <f>IFERROR(__xludf.DUMMYFUNCTION("transpose(unique(FILTER(dCAGass[Type],dCAGass[Room no.]=#REF!)))"),"#N/A")</f>
        <v>#N/A</v>
      </c>
    </row>
    <row r="334">
      <c r="A334" s="99" t="str">
        <f>IFERROR(__xludf.DUMMYFUNCTION("transpose(unique(FILTER(dCAGass[Type],dCAGass[Room no.]=#REF!)))"),"#N/A")</f>
        <v>#N/A</v>
      </c>
    </row>
    <row r="335">
      <c r="A335" s="99" t="str">
        <f>IFERROR(__xludf.DUMMYFUNCTION("transpose(unique(FILTER(dCAGass[Type],dCAGass[Room no.]=#REF!)))"),"#N/A")</f>
        <v>#N/A</v>
      </c>
    </row>
    <row r="336">
      <c r="A336" s="99" t="str">
        <f>IFERROR(__xludf.DUMMYFUNCTION("transpose(unique(FILTER(dCAGass[Type],dCAGass[Room no.]=#REF!)))"),"#N/A")</f>
        <v>#N/A</v>
      </c>
    </row>
    <row r="337">
      <c r="A337" s="99" t="str">
        <f>IFERROR(__xludf.DUMMYFUNCTION("transpose(unique(FILTER(dCAGass[Type],dCAGass[Room no.]=#REF!)))"),"#N/A")</f>
        <v>#N/A</v>
      </c>
    </row>
    <row r="338">
      <c r="A338" s="99" t="str">
        <f>IFERROR(__xludf.DUMMYFUNCTION("transpose(unique(FILTER(dCAGass[Type],dCAGass[Room no.]=#REF!)))"),"#N/A")</f>
        <v>#N/A</v>
      </c>
    </row>
    <row r="339">
      <c r="A339" s="99" t="str">
        <f>IFERROR(__xludf.DUMMYFUNCTION("transpose(unique(FILTER(dCAGass[Type],dCAGass[Room no.]=#REF!)))"),"#N/A")</f>
        <v>#N/A</v>
      </c>
    </row>
    <row r="340">
      <c r="A340" s="99" t="str">
        <f>IFERROR(__xludf.DUMMYFUNCTION("transpose(unique(FILTER(dCAGass[Type],dCAGass[Room no.]=#REF!)))"),"#N/A")</f>
        <v>#N/A</v>
      </c>
    </row>
    <row r="341">
      <c r="A341" s="99" t="str">
        <f>IFERROR(__xludf.DUMMYFUNCTION("transpose(unique(FILTER(dCAGass[Type],dCAGass[Room no.]=#REF!)))"),"#N/A")</f>
        <v>#N/A</v>
      </c>
    </row>
    <row r="342">
      <c r="A342" s="99" t="str">
        <f>IFERROR(__xludf.DUMMYFUNCTION("transpose(unique(FILTER(dCAGass[Type],dCAGass[Room no.]=#REF!)))"),"#N/A")</f>
        <v>#N/A</v>
      </c>
    </row>
    <row r="343">
      <c r="A343" s="99" t="str">
        <f>IFERROR(__xludf.DUMMYFUNCTION("transpose(unique(FILTER(dCAGass[Type],dCAGass[Room no.]=#REF!)))"),"#N/A")</f>
        <v>#N/A</v>
      </c>
    </row>
    <row r="344">
      <c r="A344" s="99" t="str">
        <f>IFERROR(__xludf.DUMMYFUNCTION("transpose(unique(FILTER(dCAGass[Type],dCAGass[Room no.]=#REF!)))"),"#N/A")</f>
        <v>#N/A</v>
      </c>
    </row>
    <row r="345">
      <c r="A345" s="99" t="str">
        <f>IFERROR(__xludf.DUMMYFUNCTION("transpose(unique(FILTER(dCAGass[Type],dCAGass[Room no.]=#REF!)))"),"#N/A")</f>
        <v>#N/A</v>
      </c>
    </row>
    <row r="346">
      <c r="A346" s="99" t="str">
        <f>IFERROR(__xludf.DUMMYFUNCTION("transpose(unique(FILTER(dCAGass[Type],dCAGass[Room no.]=#REF!)))"),"#N/A")</f>
        <v>#N/A</v>
      </c>
    </row>
    <row r="347">
      <c r="A347" s="99" t="str">
        <f>IFERROR(__xludf.DUMMYFUNCTION("transpose(unique(FILTER(dCAGass[Type],dCAGass[Room no.]=#REF!)))"),"#N/A")</f>
        <v>#N/A</v>
      </c>
    </row>
    <row r="348">
      <c r="A348" s="99" t="str">
        <f>IFERROR(__xludf.DUMMYFUNCTION("transpose(unique(FILTER(dCAGass[Type],dCAGass[Room no.]=#REF!)))"),"#N/A")</f>
        <v>#N/A</v>
      </c>
    </row>
    <row r="349">
      <c r="A349" s="99" t="str">
        <f>IFERROR(__xludf.DUMMYFUNCTION("transpose(unique(FILTER(dCAGass[Type],dCAGass[Room no.]=#REF!)))"),"#N/A")</f>
        <v>#N/A</v>
      </c>
    </row>
    <row r="350">
      <c r="A350" s="99" t="str">
        <f>IFERROR(__xludf.DUMMYFUNCTION("transpose(unique(FILTER(dCAGass[Type],dCAGass[Room no.]=#REF!)))"),"#N/A")</f>
        <v>#N/A</v>
      </c>
    </row>
    <row r="351">
      <c r="A351" s="99" t="str">
        <f>IFERROR(__xludf.DUMMYFUNCTION("transpose(unique(FILTER(dCAGass[Type],dCAGass[Room no.]=#REF!)))"),"#N/A")</f>
        <v>#N/A</v>
      </c>
    </row>
    <row r="352">
      <c r="A352" s="99" t="str">
        <f>IFERROR(__xludf.DUMMYFUNCTION("transpose(unique(FILTER(dCAGass[Type],dCAGass[Room no.]=#REF!)))"),"#N/A")</f>
        <v>#N/A</v>
      </c>
    </row>
    <row r="353">
      <c r="A353" s="99" t="str">
        <f>IFERROR(__xludf.DUMMYFUNCTION("transpose(unique(FILTER(dCAGass[Type],dCAGass[Room no.]=#REF!)))"),"#N/A")</f>
        <v>#N/A</v>
      </c>
    </row>
    <row r="354">
      <c r="A354" s="99" t="str">
        <f>IFERROR(__xludf.DUMMYFUNCTION("transpose(unique(FILTER(dCAGass[Type],dCAGass[Room no.]=#REF!)))"),"#N/A")</f>
        <v>#N/A</v>
      </c>
    </row>
    <row r="355">
      <c r="A355" s="99" t="str">
        <f>IFERROR(__xludf.DUMMYFUNCTION("transpose(unique(FILTER(dCAGass[Type],dCAGass[Room no.]=#REF!)))"),"#N/A")</f>
        <v>#N/A</v>
      </c>
    </row>
    <row r="356">
      <c r="A356" s="99" t="str">
        <f>IFERROR(__xludf.DUMMYFUNCTION("transpose(unique(FILTER(dCAGass[Type],dCAGass[Room no.]=#REF!)))"),"#N/A")</f>
        <v>#N/A</v>
      </c>
    </row>
    <row r="357">
      <c r="A357" s="99" t="str">
        <f>IFERROR(__xludf.DUMMYFUNCTION("transpose(unique(FILTER(dCAGass[Type],dCAGass[Room no.]=#REF!)))"),"#N/A")</f>
        <v>#N/A</v>
      </c>
    </row>
    <row r="358">
      <c r="A358" s="99" t="str">
        <f>IFERROR(__xludf.DUMMYFUNCTION("transpose(unique(FILTER(dCAGass[Type],dCAGass[Room no.]=#REF!)))"),"#N/A")</f>
        <v>#N/A</v>
      </c>
    </row>
    <row r="359">
      <c r="A359" s="99" t="str">
        <f>IFERROR(__xludf.DUMMYFUNCTION("transpose(unique(FILTER(dCAGass[Type],dCAGass[Room no.]=#REF!)))"),"#N/A")</f>
        <v>#N/A</v>
      </c>
    </row>
    <row r="360">
      <c r="A360" s="99" t="str">
        <f>IFERROR(__xludf.DUMMYFUNCTION("transpose(unique(FILTER(dCAGass[Type],dCAGass[Room no.]=#REF!)))"),"#N/A")</f>
        <v>#N/A</v>
      </c>
    </row>
    <row r="361">
      <c r="A361" s="99" t="str">
        <f>IFERROR(__xludf.DUMMYFUNCTION("transpose(unique(FILTER(dCAGass[Type],dCAGass[Room no.]=#REF!)))"),"#N/A")</f>
        <v>#N/A</v>
      </c>
    </row>
    <row r="362">
      <c r="A362" s="99" t="str">
        <f>IFERROR(__xludf.DUMMYFUNCTION("transpose(unique(FILTER(dCAGass[Type],dCAGass[Room no.]=#REF!)))"),"#N/A")</f>
        <v>#N/A</v>
      </c>
    </row>
    <row r="363">
      <c r="A363" s="99" t="str">
        <f>IFERROR(__xludf.DUMMYFUNCTION("transpose(unique(FILTER(dCAGass[Type],dCAGass[Room no.]=#REF!)))"),"#N/A")</f>
        <v>#N/A</v>
      </c>
    </row>
    <row r="364">
      <c r="A364" s="99" t="str">
        <f>IFERROR(__xludf.DUMMYFUNCTION("transpose(unique(FILTER(dCAGass[Type],dCAGass[Room no.]=#REF!)))"),"#N/A")</f>
        <v>#N/A</v>
      </c>
    </row>
    <row r="365">
      <c r="A365" s="99" t="str">
        <f>IFERROR(__xludf.DUMMYFUNCTION("transpose(unique(FILTER(dCAGass[Type],dCAGass[Room no.]=#REF!)))"),"#N/A")</f>
        <v>#N/A</v>
      </c>
    </row>
    <row r="366">
      <c r="A366" s="99" t="str">
        <f>IFERROR(__xludf.DUMMYFUNCTION("transpose(unique(FILTER(dCAGass[Type],dCAGass[Room no.]=#REF!)))"),"#N/A")</f>
        <v>#N/A</v>
      </c>
    </row>
    <row r="367">
      <c r="A367" s="99" t="str">
        <f>IFERROR(__xludf.DUMMYFUNCTION("transpose(unique(FILTER(dCAGass[Type],dCAGass[Room no.]=#REF!)))"),"#N/A")</f>
        <v>#N/A</v>
      </c>
    </row>
    <row r="368">
      <c r="A368" s="99" t="str">
        <f>IFERROR(__xludf.DUMMYFUNCTION("transpose(unique(FILTER(dCAGass[Type],dCAGass[Room no.]=#REF!)))"),"#N/A")</f>
        <v>#N/A</v>
      </c>
    </row>
    <row r="369">
      <c r="A369" s="99" t="str">
        <f>IFERROR(__xludf.DUMMYFUNCTION("transpose(unique(FILTER(dCAGass[Type],dCAGass[Room no.]=#REF!)))"),"#N/A")</f>
        <v>#N/A</v>
      </c>
    </row>
    <row r="370">
      <c r="A370" s="99" t="str">
        <f>IFERROR(__xludf.DUMMYFUNCTION("transpose(unique(FILTER(dCAGass[Type],dCAGass[Room no.]=#REF!)))"),"#N/A")</f>
        <v>#N/A</v>
      </c>
    </row>
    <row r="371">
      <c r="A371" s="99" t="str">
        <f>IFERROR(__xludf.DUMMYFUNCTION("transpose(unique(FILTER(dCAGass[Type],dCAGass[Room no.]=#REF!)))"),"#N/A")</f>
        <v>#N/A</v>
      </c>
    </row>
    <row r="372">
      <c r="A372" s="99" t="str">
        <f>IFERROR(__xludf.DUMMYFUNCTION("transpose(unique(FILTER(dCAGass[Type],dCAGass[Room no.]=#REF!)))"),"#N/A")</f>
        <v>#N/A</v>
      </c>
    </row>
    <row r="373">
      <c r="A373" s="99" t="str">
        <f>IFERROR(__xludf.DUMMYFUNCTION("transpose(unique(FILTER(dCAGass[Type],dCAGass[Room no.]=#REF!)))"),"#N/A")</f>
        <v>#N/A</v>
      </c>
    </row>
    <row r="374">
      <c r="A374" s="99" t="str">
        <f>IFERROR(__xludf.DUMMYFUNCTION("transpose(unique(FILTER(dCAGass[Type],dCAGass[Room no.]=#REF!)))"),"#N/A")</f>
        <v>#N/A</v>
      </c>
    </row>
    <row r="375">
      <c r="A375" s="99" t="str">
        <f>IFERROR(__xludf.DUMMYFUNCTION("transpose(unique(FILTER(dCAGass[Type],dCAGass[Room no.]=#REF!)))"),"#N/A")</f>
        <v>#N/A</v>
      </c>
    </row>
    <row r="376">
      <c r="A376" s="99" t="str">
        <f>IFERROR(__xludf.DUMMYFUNCTION("transpose(unique(FILTER(dCAGass[Type],dCAGass[Room no.]=#REF!)))"),"#N/A")</f>
        <v>#N/A</v>
      </c>
    </row>
    <row r="377">
      <c r="A377" s="99" t="str">
        <f>IFERROR(__xludf.DUMMYFUNCTION("transpose(unique(FILTER(dCAGass[Type],dCAGass[Room no.]=#REF!)))"),"#N/A")</f>
        <v>#N/A</v>
      </c>
    </row>
    <row r="378">
      <c r="A378" s="99" t="str">
        <f>IFERROR(__xludf.DUMMYFUNCTION("transpose(unique(FILTER(dCAGass[Type],dCAGass[Room no.]=#REF!)))"),"#N/A")</f>
        <v>#N/A</v>
      </c>
    </row>
    <row r="379">
      <c r="A379" s="99" t="str">
        <f>IFERROR(__xludf.DUMMYFUNCTION("transpose(unique(FILTER(dCAGass[Type],dCAGass[Room no.]=#REF!)))"),"#N/A")</f>
        <v>#N/A</v>
      </c>
    </row>
    <row r="380">
      <c r="A380" s="99" t="str">
        <f>IFERROR(__xludf.DUMMYFUNCTION("transpose(unique(FILTER(dCAGass[Type],dCAGass[Room no.]=#REF!)))"),"#N/A")</f>
        <v>#N/A</v>
      </c>
    </row>
    <row r="381">
      <c r="A381" s="99" t="str">
        <f>IFERROR(__xludf.DUMMYFUNCTION("transpose(unique(FILTER(dCAGass[Type],dCAGass[Room no.]=#REF!)))"),"#N/A")</f>
        <v>#N/A</v>
      </c>
    </row>
    <row r="382">
      <c r="A382" s="99" t="str">
        <f>IFERROR(__xludf.DUMMYFUNCTION("transpose(unique(FILTER(dCAGass[Type],dCAGass[Room no.]=#REF!)))"),"#N/A")</f>
        <v>#N/A</v>
      </c>
    </row>
    <row r="383">
      <c r="A383" s="99" t="str">
        <f>IFERROR(__xludf.DUMMYFUNCTION("transpose(unique(FILTER(dCAGass[Type],dCAGass[Room no.]=#REF!)))"),"#N/A")</f>
        <v>#N/A</v>
      </c>
    </row>
    <row r="384">
      <c r="A384" s="99" t="str">
        <f>IFERROR(__xludf.DUMMYFUNCTION("transpose(unique(FILTER(dCAGass[Type],dCAGass[Room no.]=#REF!)))"),"#N/A")</f>
        <v>#N/A</v>
      </c>
    </row>
    <row r="385">
      <c r="A385" s="99" t="str">
        <f>IFERROR(__xludf.DUMMYFUNCTION("transpose(unique(FILTER(dCAGass[Type],dCAGass[Room no.]=#REF!)))"),"#N/A")</f>
        <v>#N/A</v>
      </c>
    </row>
    <row r="386">
      <c r="A386" s="99" t="str">
        <f>IFERROR(__xludf.DUMMYFUNCTION("transpose(unique(FILTER(dCAGass[Type],dCAGass[Room no.]=#REF!)))"),"#N/A")</f>
        <v>#N/A</v>
      </c>
    </row>
    <row r="387">
      <c r="A387" s="99" t="str">
        <f>IFERROR(__xludf.DUMMYFUNCTION("transpose(unique(FILTER(dCAGass[Type],dCAGass[Room no.]=#REF!)))"),"#N/A")</f>
        <v>#N/A</v>
      </c>
    </row>
    <row r="388">
      <c r="A388" s="99" t="str">
        <f>IFERROR(__xludf.DUMMYFUNCTION("transpose(unique(FILTER(dCAGass[Type],dCAGass[Room no.]=#REF!)))"),"#N/A")</f>
        <v>#N/A</v>
      </c>
    </row>
    <row r="389">
      <c r="A389" s="99" t="str">
        <f>IFERROR(__xludf.DUMMYFUNCTION("transpose(unique(FILTER(dCAGass[Type],dCAGass[Room no.]=#REF!)))"),"#N/A")</f>
        <v>#N/A</v>
      </c>
    </row>
    <row r="390">
      <c r="A390" s="99" t="str">
        <f>IFERROR(__xludf.DUMMYFUNCTION("transpose(unique(FILTER(dCAGass[Type],dCAGass[Room no.]=#REF!)))"),"#N/A")</f>
        <v>#N/A</v>
      </c>
    </row>
    <row r="391">
      <c r="A391" s="99" t="str">
        <f>IFERROR(__xludf.DUMMYFUNCTION("transpose(unique(FILTER(dCAGass[Type],dCAGass[Room no.]=#REF!)))"),"#N/A")</f>
        <v>#N/A</v>
      </c>
    </row>
    <row r="392">
      <c r="A392" s="99" t="str">
        <f>IFERROR(__xludf.DUMMYFUNCTION("transpose(unique(FILTER(dCAGass[Type],dCAGass[Room no.]=#REF!)))"),"#N/A")</f>
        <v>#N/A</v>
      </c>
    </row>
    <row r="393">
      <c r="A393" s="99" t="str">
        <f>IFERROR(__xludf.DUMMYFUNCTION("transpose(unique(FILTER(dCAGass[Type],dCAGass[Room no.]=#REF!)))"),"#N/A")</f>
        <v>#N/A</v>
      </c>
    </row>
    <row r="394">
      <c r="A394" s="99" t="str">
        <f>IFERROR(__xludf.DUMMYFUNCTION("transpose(unique(FILTER(dCAGass[Type],dCAGass[Room no.]=#REF!)))"),"#N/A")</f>
        <v>#N/A</v>
      </c>
    </row>
    <row r="395">
      <c r="A395" s="99" t="str">
        <f>IFERROR(__xludf.DUMMYFUNCTION("transpose(unique(FILTER(dCAGass[Type],dCAGass[Room no.]=#REF!)))"),"#N/A")</f>
        <v>#N/A</v>
      </c>
    </row>
    <row r="396">
      <c r="A396" s="99" t="str">
        <f>IFERROR(__xludf.DUMMYFUNCTION("transpose(unique(FILTER(dCAGass[Type],dCAGass[Room no.]=#REF!)))"),"#N/A")</f>
        <v>#N/A</v>
      </c>
    </row>
    <row r="397">
      <c r="A397" s="99" t="str">
        <f>IFERROR(__xludf.DUMMYFUNCTION("transpose(unique(FILTER(dCAGass[Type],dCAGass[Room no.]=#REF!)))"),"#N/A")</f>
        <v>#N/A</v>
      </c>
    </row>
    <row r="398">
      <c r="A398" s="99" t="str">
        <f>IFERROR(__xludf.DUMMYFUNCTION("transpose(unique(FILTER(dCAGass[Type],dCAGass[Room no.]=#REF!)))"),"#N/A")</f>
        <v>#N/A</v>
      </c>
    </row>
    <row r="399">
      <c r="A399" s="99" t="str">
        <f>IFERROR(__xludf.DUMMYFUNCTION("transpose(unique(FILTER(dCAGass[Type],dCAGass[Room no.]=#REF!)))"),"#N/A")</f>
        <v>#N/A</v>
      </c>
    </row>
    <row r="400">
      <c r="A400" s="99" t="str">
        <f>IFERROR(__xludf.DUMMYFUNCTION("transpose(unique(FILTER(dCAGass[Type],dCAGass[Room no.]=#REF!)))"),"#N/A")</f>
        <v>#N/A</v>
      </c>
    </row>
    <row r="401">
      <c r="A401" s="99" t="str">
        <f>IFERROR(__xludf.DUMMYFUNCTION("transpose(unique(FILTER(dCAGass[Type],dCAGass[Room no.]=#REF!)))"),"#N/A")</f>
        <v>#N/A</v>
      </c>
    </row>
    <row r="402">
      <c r="A402" s="99" t="str">
        <f>IFERROR(__xludf.DUMMYFUNCTION("transpose(unique(FILTER(dCAGass[Type],dCAGass[Room no.]=#REF!)))"),"#N/A")</f>
        <v>#N/A</v>
      </c>
    </row>
    <row r="403">
      <c r="A403" s="99" t="str">
        <f>IFERROR(__xludf.DUMMYFUNCTION("transpose(unique(FILTER(dCAGass[Type],dCAGass[Room no.]=#REF!)))"),"#N/A")</f>
        <v>#N/A</v>
      </c>
    </row>
    <row r="404">
      <c r="A404" s="99" t="str">
        <f>IFERROR(__xludf.DUMMYFUNCTION("transpose(unique(FILTER(dCAGass[Type],dCAGass[Room no.]=#REF!)))"),"#N/A")</f>
        <v>#N/A</v>
      </c>
    </row>
    <row r="405">
      <c r="A405" s="99" t="str">
        <f>IFERROR(__xludf.DUMMYFUNCTION("transpose(unique(FILTER(dCAGass[Type],dCAGass[Room no.]=#REF!)))"),"#N/A")</f>
        <v>#N/A</v>
      </c>
    </row>
    <row r="406">
      <c r="A406" s="99" t="str">
        <f>IFERROR(__xludf.DUMMYFUNCTION("transpose(unique(FILTER(dCAGass[Type],dCAGass[Room no.]=#REF!)))"),"#N/A")</f>
        <v>#N/A</v>
      </c>
    </row>
    <row r="407">
      <c r="A407" s="99" t="str">
        <f>IFERROR(__xludf.DUMMYFUNCTION("transpose(unique(FILTER(dCAGass[Type],dCAGass[Room no.]=#REF!)))"),"#N/A")</f>
        <v>#N/A</v>
      </c>
    </row>
    <row r="408">
      <c r="A408" s="99" t="str">
        <f>IFERROR(__xludf.DUMMYFUNCTION("transpose(unique(FILTER(dCAGass[Type],dCAGass[Room no.]=#REF!)))"),"#N/A")</f>
        <v>#N/A</v>
      </c>
    </row>
    <row r="409">
      <c r="A409" s="99" t="str">
        <f>IFERROR(__xludf.DUMMYFUNCTION("transpose(unique(FILTER(dCAGass[Type],dCAGass[Room no.]=#REF!)))"),"#N/A")</f>
        <v>#N/A</v>
      </c>
    </row>
    <row r="410">
      <c r="A410" s="99" t="str">
        <f>IFERROR(__xludf.DUMMYFUNCTION("transpose(unique(FILTER(dCAGass[Type],dCAGass[Room no.]=#REF!)))"),"#N/A")</f>
        <v>#N/A</v>
      </c>
    </row>
    <row r="411">
      <c r="A411" s="99" t="str">
        <f>IFERROR(__xludf.DUMMYFUNCTION("transpose(unique(FILTER(dCAGass[Type],dCAGass[Room no.]=#REF!)))"),"#N/A")</f>
        <v>#N/A</v>
      </c>
    </row>
    <row r="412">
      <c r="A412" s="99" t="str">
        <f>IFERROR(__xludf.DUMMYFUNCTION("transpose(unique(FILTER(dCAGass[Type],dCAGass[Room no.]=#REF!)))"),"#N/A")</f>
        <v>#N/A</v>
      </c>
    </row>
    <row r="413">
      <c r="A413" s="99" t="str">
        <f>IFERROR(__xludf.DUMMYFUNCTION("transpose(unique(FILTER(dCAGass[Type],dCAGass[Room no.]=#REF!)))"),"#N/A")</f>
        <v>#N/A</v>
      </c>
    </row>
    <row r="414">
      <c r="A414" s="99" t="str">
        <f>IFERROR(__xludf.DUMMYFUNCTION("transpose(unique(FILTER(dCAGass[Type],dCAGass[Room no.]=#REF!)))"),"#N/A")</f>
        <v>#N/A</v>
      </c>
    </row>
    <row r="415">
      <c r="A415" s="99" t="str">
        <f>IFERROR(__xludf.DUMMYFUNCTION("transpose(unique(FILTER(dCAGass[Type],dCAGass[Room no.]=#REF!)))"),"#N/A")</f>
        <v>#N/A</v>
      </c>
    </row>
    <row r="416">
      <c r="A416" s="99" t="str">
        <f>IFERROR(__xludf.DUMMYFUNCTION("transpose(unique(FILTER(dCAGass[Type],dCAGass[Room no.]=#REF!)))"),"#N/A")</f>
        <v>#N/A</v>
      </c>
    </row>
    <row r="417">
      <c r="A417" s="99" t="str">
        <f>IFERROR(__xludf.DUMMYFUNCTION("transpose(unique(FILTER(dCAGass[Type],dCAGass[Room no.]=#REF!)))"),"#N/A")</f>
        <v>#N/A</v>
      </c>
    </row>
    <row r="418">
      <c r="A418" s="99" t="str">
        <f>IFERROR(__xludf.DUMMYFUNCTION("transpose(unique(FILTER(dCAGass[Type],dCAGass[Room no.]=#REF!)))"),"#N/A")</f>
        <v>#N/A</v>
      </c>
    </row>
    <row r="419">
      <c r="A419" s="99" t="str">
        <f>IFERROR(__xludf.DUMMYFUNCTION("transpose(unique(FILTER(dCAGass[Type],dCAGass[Room no.]=#REF!)))"),"#N/A")</f>
        <v>#N/A</v>
      </c>
    </row>
    <row r="420">
      <c r="A420" s="99" t="str">
        <f>IFERROR(__xludf.DUMMYFUNCTION("transpose(unique(FILTER(dCAGass[Type],dCAGass[Room no.]=#REF!)))"),"#N/A")</f>
        <v>#N/A</v>
      </c>
    </row>
    <row r="421">
      <c r="A421" s="99" t="str">
        <f>IFERROR(__xludf.DUMMYFUNCTION("transpose(unique(FILTER(dCAGass[Type],dCAGass[Room no.]=#REF!)))"),"#N/A")</f>
        <v>#N/A</v>
      </c>
    </row>
    <row r="422">
      <c r="A422" s="99" t="str">
        <f>IFERROR(__xludf.DUMMYFUNCTION("transpose(unique(FILTER(dCAGass[Type],dCAGass[Room no.]=#REF!)))"),"#N/A")</f>
        <v>#N/A</v>
      </c>
    </row>
    <row r="423">
      <c r="A423" s="99" t="str">
        <f>IFERROR(__xludf.DUMMYFUNCTION("transpose(unique(FILTER(dCAGass[Type],dCAGass[Room no.]=#REF!)))"),"#N/A")</f>
        <v>#N/A</v>
      </c>
    </row>
    <row r="424">
      <c r="A424" s="99" t="str">
        <f>IFERROR(__xludf.DUMMYFUNCTION("transpose(unique(FILTER(dCAGass[Type],dCAGass[Room no.]=#REF!)))"),"#N/A")</f>
        <v>#N/A</v>
      </c>
    </row>
    <row r="425">
      <c r="A425" s="99" t="str">
        <f>IFERROR(__xludf.DUMMYFUNCTION("transpose(unique(FILTER(dCAGass[Type],dCAGass[Room no.]=#REF!)))"),"#N/A")</f>
        <v>#N/A</v>
      </c>
    </row>
    <row r="426">
      <c r="A426" s="99" t="str">
        <f>IFERROR(__xludf.DUMMYFUNCTION("transpose(unique(FILTER(dCAGass[Type],dCAGass[Room no.]=#REF!)))"),"#N/A")</f>
        <v>#N/A</v>
      </c>
    </row>
    <row r="427">
      <c r="A427" s="99" t="str">
        <f>IFERROR(__xludf.DUMMYFUNCTION("transpose(unique(FILTER(dCAGass[Type],dCAGass[Room no.]=#REF!)))"),"#N/A")</f>
        <v>#N/A</v>
      </c>
    </row>
    <row r="428">
      <c r="A428" s="99" t="str">
        <f>IFERROR(__xludf.DUMMYFUNCTION("transpose(unique(FILTER(dCAGass[Type],dCAGass[Room no.]=#REF!)))"),"#N/A")</f>
        <v>#N/A</v>
      </c>
    </row>
    <row r="429">
      <c r="A429" s="99" t="str">
        <f>IFERROR(__xludf.DUMMYFUNCTION("transpose(unique(FILTER(dCAGass[Type],dCAGass[Room no.]=#REF!)))"),"#N/A")</f>
        <v>#N/A</v>
      </c>
    </row>
    <row r="430">
      <c r="A430" s="99" t="str">
        <f>IFERROR(__xludf.DUMMYFUNCTION("transpose(unique(FILTER(dCAGass[Type],dCAGass[Room no.]=#REF!)))"),"#N/A")</f>
        <v>#N/A</v>
      </c>
    </row>
    <row r="431">
      <c r="A431" s="99" t="str">
        <f>IFERROR(__xludf.DUMMYFUNCTION("transpose(unique(FILTER(dCAGass[Type],dCAGass[Room no.]=#REF!)))"),"#N/A")</f>
        <v>#N/A</v>
      </c>
    </row>
    <row r="432">
      <c r="A432" s="99" t="str">
        <f>IFERROR(__xludf.DUMMYFUNCTION("transpose(unique(FILTER(dCAGass[Type],dCAGass[Room no.]=#REF!)))"),"#N/A")</f>
        <v>#N/A</v>
      </c>
    </row>
    <row r="433">
      <c r="A433" s="99" t="str">
        <f>IFERROR(__xludf.DUMMYFUNCTION("transpose(unique(FILTER(dCAGass[Type],dCAGass[Room no.]=#REF!)))"),"#N/A")</f>
        <v>#N/A</v>
      </c>
    </row>
    <row r="434">
      <c r="A434" s="99" t="str">
        <f>IFERROR(__xludf.DUMMYFUNCTION("transpose(unique(FILTER(dCAGass[Type],dCAGass[Room no.]=#REF!)))"),"#N/A")</f>
        <v>#N/A</v>
      </c>
    </row>
    <row r="435">
      <c r="A435" s="99" t="str">
        <f>IFERROR(__xludf.DUMMYFUNCTION("transpose(unique(FILTER(dCAGass[Type],dCAGass[Room no.]=#REF!)))"),"#N/A")</f>
        <v>#N/A</v>
      </c>
    </row>
    <row r="436">
      <c r="A436" s="99" t="str">
        <f>IFERROR(__xludf.DUMMYFUNCTION("transpose(unique(FILTER(dCAGass[Type],dCAGass[Room no.]=#REF!)))"),"#N/A")</f>
        <v>#N/A</v>
      </c>
    </row>
    <row r="437">
      <c r="A437" s="99" t="str">
        <f>IFERROR(__xludf.DUMMYFUNCTION("transpose(unique(FILTER(dCAGass[Type],dCAGass[Room no.]=#REF!)))"),"#N/A")</f>
        <v>#N/A</v>
      </c>
    </row>
    <row r="438">
      <c r="A438" s="99" t="str">
        <f>IFERROR(__xludf.DUMMYFUNCTION("transpose(unique(FILTER(dCAGass[Type],dCAGass[Room no.]=#REF!)))"),"#N/A")</f>
        <v>#N/A</v>
      </c>
    </row>
    <row r="439">
      <c r="A439" s="99" t="str">
        <f>IFERROR(__xludf.DUMMYFUNCTION("transpose(unique(FILTER(dCAGass[Type],dCAGass[Room no.]=#REF!)))"),"#N/A")</f>
        <v>#N/A</v>
      </c>
    </row>
    <row r="440">
      <c r="A440" s="99" t="str">
        <f>IFERROR(__xludf.DUMMYFUNCTION("transpose(unique(FILTER(dCAGass[Type],dCAGass[Room no.]=#REF!)))"),"#N/A")</f>
        <v>#N/A</v>
      </c>
    </row>
    <row r="441">
      <c r="A441" s="99" t="str">
        <f>IFERROR(__xludf.DUMMYFUNCTION("transpose(unique(FILTER(dCAGass[Type],dCAGass[Room no.]=#REF!)))"),"#N/A")</f>
        <v>#N/A</v>
      </c>
    </row>
    <row r="442">
      <c r="A442" s="99" t="str">
        <f>IFERROR(__xludf.DUMMYFUNCTION("transpose(unique(FILTER(dCAGass[Type],dCAGass[Room no.]=#REF!)))"),"#N/A")</f>
        <v>#N/A</v>
      </c>
    </row>
    <row r="443">
      <c r="A443" s="99" t="str">
        <f>IFERROR(__xludf.DUMMYFUNCTION("transpose(unique(FILTER(dCAGass[Type],dCAGass[Room no.]=#REF!)))"),"#N/A")</f>
        <v>#N/A</v>
      </c>
    </row>
    <row r="444">
      <c r="A444" s="99" t="str">
        <f>IFERROR(__xludf.DUMMYFUNCTION("transpose(unique(FILTER(dCAGass[Type],dCAGass[Room no.]=#REF!)))"),"#N/A")</f>
        <v>#N/A</v>
      </c>
    </row>
    <row r="445">
      <c r="A445" s="99" t="str">
        <f>IFERROR(__xludf.DUMMYFUNCTION("transpose(unique(FILTER(dCAGass[Type],dCAGass[Room no.]=#REF!)))"),"#N/A")</f>
        <v>#N/A</v>
      </c>
    </row>
    <row r="446">
      <c r="A446" s="99" t="str">
        <f>IFERROR(__xludf.DUMMYFUNCTION("transpose(unique(FILTER(dCAGass[Type],dCAGass[Room no.]=#REF!)))"),"#N/A")</f>
        <v>#N/A</v>
      </c>
    </row>
    <row r="447">
      <c r="A447" s="99" t="str">
        <f>IFERROR(__xludf.DUMMYFUNCTION("transpose(unique(FILTER(dCAGass[Type],dCAGass[Room no.]=#REF!)))"),"#N/A")</f>
        <v>#N/A</v>
      </c>
    </row>
    <row r="448">
      <c r="A448" s="99" t="str">
        <f>IFERROR(__xludf.DUMMYFUNCTION("transpose(unique(FILTER(dCAGass[Type],dCAGass[Room no.]=#REF!)))"),"#N/A")</f>
        <v>#N/A</v>
      </c>
    </row>
    <row r="449">
      <c r="A449" s="99" t="str">
        <f>IFERROR(__xludf.DUMMYFUNCTION("transpose(unique(FILTER(dCAGass[Type],dCAGass[Room no.]=#REF!)))"),"#N/A")</f>
        <v>#N/A</v>
      </c>
    </row>
    <row r="450">
      <c r="A450" s="99" t="str">
        <f>IFERROR(__xludf.DUMMYFUNCTION("transpose(unique(FILTER(dCAGass[Type],dCAGass[Room no.]=#REF!)))"),"#N/A")</f>
        <v>#N/A</v>
      </c>
    </row>
    <row r="451">
      <c r="A451" s="99" t="str">
        <f>IFERROR(__xludf.DUMMYFUNCTION("transpose(unique(FILTER(dCAGass[Type],dCAGass[Room no.]=#REF!)))"),"#N/A")</f>
        <v>#N/A</v>
      </c>
    </row>
    <row r="452">
      <c r="A452" s="99" t="str">
        <f>IFERROR(__xludf.DUMMYFUNCTION("transpose(unique(FILTER(dCAGass[Type],dCAGass[Room no.]=#REF!)))"),"#N/A")</f>
        <v>#N/A</v>
      </c>
    </row>
    <row r="453">
      <c r="A453" s="99" t="str">
        <f>IFERROR(__xludf.DUMMYFUNCTION("transpose(unique(FILTER(dCAGass[Type],dCAGass[Room no.]=#REF!)))"),"#N/A")</f>
        <v>#N/A</v>
      </c>
    </row>
    <row r="454">
      <c r="A454" s="99" t="str">
        <f>IFERROR(__xludf.DUMMYFUNCTION("transpose(unique(FILTER(dCAGass[Type],dCAGass[Room no.]=#REF!)))"),"#N/A")</f>
        <v>#N/A</v>
      </c>
    </row>
    <row r="455">
      <c r="A455" s="99" t="str">
        <f>IFERROR(__xludf.DUMMYFUNCTION("transpose(unique(FILTER(dCAGass[Type],dCAGass[Room no.]=#REF!)))"),"#N/A")</f>
        <v>#N/A</v>
      </c>
    </row>
    <row r="456">
      <c r="A456" s="99" t="str">
        <f>IFERROR(__xludf.DUMMYFUNCTION("transpose(unique(FILTER(dCAGass[Type],dCAGass[Room no.]=#REF!)))"),"#N/A")</f>
        <v>#N/A</v>
      </c>
    </row>
    <row r="457">
      <c r="A457" s="99" t="str">
        <f>IFERROR(__xludf.DUMMYFUNCTION("transpose(unique(FILTER(dCAGass[Type],dCAGass[Room no.]=#REF!)))"),"#N/A")</f>
        <v>#N/A</v>
      </c>
    </row>
    <row r="458">
      <c r="A458" s="99" t="str">
        <f>IFERROR(__xludf.DUMMYFUNCTION("transpose(unique(FILTER(dCAGass[Type],dCAGass[Room no.]=#REF!)))"),"#N/A")</f>
        <v>#N/A</v>
      </c>
    </row>
    <row r="459">
      <c r="A459" s="99" t="str">
        <f>IFERROR(__xludf.DUMMYFUNCTION("transpose(unique(FILTER(dCAGass[Type],dCAGass[Room no.]=#REF!)))"),"#N/A")</f>
        <v>#N/A</v>
      </c>
    </row>
    <row r="460">
      <c r="A460" s="99" t="str">
        <f>IFERROR(__xludf.DUMMYFUNCTION("transpose(unique(FILTER(dCAGass[Type],dCAGass[Room no.]=#REF!)))"),"#N/A")</f>
        <v>#N/A</v>
      </c>
    </row>
    <row r="461">
      <c r="A461" s="99" t="str">
        <f>IFERROR(__xludf.DUMMYFUNCTION("transpose(unique(FILTER(dCAGass[Type],dCAGass[Room no.]=#REF!)))"),"#N/A")</f>
        <v>#N/A</v>
      </c>
    </row>
    <row r="462">
      <c r="A462" s="99" t="str">
        <f>IFERROR(__xludf.DUMMYFUNCTION("transpose(unique(FILTER(dCAGass[Type],dCAGass[Room no.]=#REF!)))"),"#N/A")</f>
        <v>#N/A</v>
      </c>
    </row>
    <row r="463">
      <c r="A463" s="99" t="str">
        <f>IFERROR(__xludf.DUMMYFUNCTION("transpose(unique(FILTER(dCAGass[Type],dCAGass[Room no.]=#REF!)))"),"#N/A")</f>
        <v>#N/A</v>
      </c>
    </row>
    <row r="464">
      <c r="A464" s="99" t="str">
        <f>IFERROR(__xludf.DUMMYFUNCTION("transpose(unique(FILTER(dCAGass[Type],dCAGass[Room no.]=#REF!)))"),"#N/A")</f>
        <v>#N/A</v>
      </c>
    </row>
    <row r="465">
      <c r="A465" s="99" t="str">
        <f>IFERROR(__xludf.DUMMYFUNCTION("transpose(unique(FILTER(dCAGass[Type],dCAGass[Room no.]=#REF!)))"),"#N/A")</f>
        <v>#N/A</v>
      </c>
    </row>
    <row r="466">
      <c r="A466" s="99" t="str">
        <f>IFERROR(__xludf.DUMMYFUNCTION("transpose(unique(FILTER(dCAGass[Type],dCAGass[Room no.]=#REF!)))"),"#N/A")</f>
        <v>#N/A</v>
      </c>
    </row>
    <row r="467">
      <c r="A467" s="99" t="str">
        <f>IFERROR(__xludf.DUMMYFUNCTION("transpose(unique(FILTER(dCAGass[Type],dCAGass[Room no.]=#REF!)))"),"#N/A")</f>
        <v>#N/A</v>
      </c>
    </row>
    <row r="468">
      <c r="A468" s="99" t="str">
        <f>IFERROR(__xludf.DUMMYFUNCTION("transpose(unique(FILTER(dCAGass[Type],dCAGass[Room no.]=#REF!)))"),"#N/A")</f>
        <v>#N/A</v>
      </c>
    </row>
    <row r="469">
      <c r="A469" s="99" t="str">
        <f>IFERROR(__xludf.DUMMYFUNCTION("transpose(unique(FILTER(dCAGass[Type],dCAGass[Room no.]=#REF!)))"),"#N/A")</f>
        <v>#N/A</v>
      </c>
    </row>
    <row r="470">
      <c r="A470" s="99" t="str">
        <f>IFERROR(__xludf.DUMMYFUNCTION("transpose(unique(FILTER(dCAGass[Type],dCAGass[Room no.]=#REF!)))"),"#N/A")</f>
        <v>#N/A</v>
      </c>
    </row>
    <row r="471">
      <c r="A471" s="99" t="str">
        <f>IFERROR(__xludf.DUMMYFUNCTION("transpose(unique(FILTER(dCAGass[Type],dCAGass[Room no.]=#REF!)))"),"#N/A")</f>
        <v>#N/A</v>
      </c>
    </row>
    <row r="472">
      <c r="A472" s="99" t="str">
        <f>IFERROR(__xludf.DUMMYFUNCTION("transpose(unique(FILTER(dCAGass[Type],dCAGass[Room no.]=#REF!)))"),"#N/A")</f>
        <v>#N/A</v>
      </c>
    </row>
    <row r="473">
      <c r="A473" s="99" t="str">
        <f>IFERROR(__xludf.DUMMYFUNCTION("transpose(unique(FILTER(dCAGass[Type],dCAGass[Room no.]=#REF!)))"),"#N/A")</f>
        <v>#N/A</v>
      </c>
    </row>
    <row r="474">
      <c r="A474" s="99" t="str">
        <f>IFERROR(__xludf.DUMMYFUNCTION("transpose(unique(FILTER(dCAGass[Type],dCAGass[Room no.]=#REF!)))"),"#N/A")</f>
        <v>#N/A</v>
      </c>
    </row>
    <row r="475">
      <c r="A475" s="99" t="str">
        <f>IFERROR(__xludf.DUMMYFUNCTION("transpose(unique(FILTER(dCAGass[Type],dCAGass[Room no.]=#REF!)))"),"#N/A")</f>
        <v>#N/A</v>
      </c>
    </row>
    <row r="476">
      <c r="A476" s="99" t="str">
        <f>IFERROR(__xludf.DUMMYFUNCTION("transpose(unique(FILTER(dCAGass[Type],dCAGass[Room no.]=#REF!)))"),"#N/A")</f>
        <v>#N/A</v>
      </c>
    </row>
    <row r="477">
      <c r="A477" s="99" t="str">
        <f>IFERROR(__xludf.DUMMYFUNCTION("transpose(unique(FILTER(dCAGass[Type],dCAGass[Room no.]=#REF!)))"),"#N/A")</f>
        <v>#N/A</v>
      </c>
    </row>
    <row r="478">
      <c r="A478" s="99" t="str">
        <f>IFERROR(__xludf.DUMMYFUNCTION("transpose(unique(FILTER(dCAGass[Type],dCAGass[Room no.]=#REF!)))"),"#N/A")</f>
        <v>#N/A</v>
      </c>
    </row>
    <row r="479">
      <c r="A479" s="99" t="str">
        <f>IFERROR(__xludf.DUMMYFUNCTION("transpose(unique(FILTER(dCAGass[Type],dCAGass[Room no.]=#REF!)))"),"#N/A")</f>
        <v>#N/A</v>
      </c>
    </row>
    <row r="480">
      <c r="A480" s="99" t="str">
        <f>IFERROR(__xludf.DUMMYFUNCTION("transpose(unique(FILTER(dCAGass[Type],dCAGass[Room no.]=#REF!)))"),"#N/A")</f>
        <v>#N/A</v>
      </c>
    </row>
    <row r="481">
      <c r="A481" s="99" t="str">
        <f>IFERROR(__xludf.DUMMYFUNCTION("transpose(unique(FILTER(dCAGass[Type],dCAGass[Room no.]=#REF!)))"),"#N/A")</f>
        <v>#N/A</v>
      </c>
    </row>
    <row r="482">
      <c r="A482" s="99" t="str">
        <f>IFERROR(__xludf.DUMMYFUNCTION("transpose(unique(FILTER(dCAGass[Type],dCAGass[Room no.]=#REF!)))"),"#N/A")</f>
        <v>#N/A</v>
      </c>
    </row>
    <row r="483">
      <c r="A483" s="99" t="str">
        <f>IFERROR(__xludf.DUMMYFUNCTION("transpose(unique(FILTER(dCAGass[Type],dCAGass[Room no.]=#REF!)))"),"#N/A")</f>
        <v>#N/A</v>
      </c>
    </row>
    <row r="484">
      <c r="A484" s="99" t="str">
        <f>IFERROR(__xludf.DUMMYFUNCTION("transpose(unique(FILTER(dCAGass[Type],dCAGass[Room no.]=#REF!)))"),"#N/A")</f>
        <v>#N/A</v>
      </c>
    </row>
    <row r="485">
      <c r="A485" s="99" t="str">
        <f>IFERROR(__xludf.DUMMYFUNCTION("transpose(unique(FILTER(dCAGass[Type],dCAGass[Room no.]=#REF!)))"),"#N/A")</f>
        <v>#N/A</v>
      </c>
    </row>
    <row r="486">
      <c r="A486" s="99" t="str">
        <f>IFERROR(__xludf.DUMMYFUNCTION("transpose(unique(FILTER(dCAGass[Type],dCAGass[Room no.]=#REF!)))"),"#N/A")</f>
        <v>#N/A</v>
      </c>
    </row>
    <row r="487">
      <c r="A487" s="99" t="str">
        <f>IFERROR(__xludf.DUMMYFUNCTION("transpose(unique(FILTER(dCAGass[Type],dCAGass[Room no.]=#REF!)))"),"#N/A")</f>
        <v>#N/A</v>
      </c>
    </row>
    <row r="488">
      <c r="A488" s="99" t="str">
        <f>IFERROR(__xludf.DUMMYFUNCTION("transpose(unique(FILTER(dCAGass[Type],dCAGass[Room no.]=#REF!)))"),"#N/A")</f>
        <v>#N/A</v>
      </c>
    </row>
    <row r="489">
      <c r="A489" s="99" t="str">
        <f>IFERROR(__xludf.DUMMYFUNCTION("transpose(unique(FILTER(dCAGass[Type],dCAGass[Room no.]=#REF!)))"),"#N/A")</f>
        <v>#N/A</v>
      </c>
    </row>
    <row r="490">
      <c r="A490" s="99" t="str">
        <f>IFERROR(__xludf.DUMMYFUNCTION("transpose(unique(FILTER(dCAGass[Type],dCAGass[Room no.]=#REF!)))"),"#N/A")</f>
        <v>#N/A</v>
      </c>
    </row>
    <row r="491">
      <c r="A491" s="99" t="str">
        <f>IFERROR(__xludf.DUMMYFUNCTION("transpose(unique(FILTER(dCAGass[Type],dCAGass[Room no.]=#REF!)))"),"#N/A")</f>
        <v>#N/A</v>
      </c>
    </row>
    <row r="492">
      <c r="A492" s="99" t="str">
        <f>IFERROR(__xludf.DUMMYFUNCTION("transpose(unique(FILTER(dCAGass[Type],dCAGass[Room no.]=#REF!)))"),"#N/A")</f>
        <v>#N/A</v>
      </c>
    </row>
    <row r="493">
      <c r="A493" s="99" t="str">
        <f>IFERROR(__xludf.DUMMYFUNCTION("transpose(unique(FILTER(dCAGass[Type],dCAGass[Room no.]=#REF!)))"),"#N/A")</f>
        <v>#N/A</v>
      </c>
    </row>
    <row r="494">
      <c r="A494" s="99" t="str">
        <f>IFERROR(__xludf.DUMMYFUNCTION("transpose(unique(FILTER(dCAGass[Type],dCAGass[Room no.]=#REF!)))"),"#N/A")</f>
        <v>#N/A</v>
      </c>
    </row>
    <row r="495">
      <c r="A495" s="99" t="str">
        <f>IFERROR(__xludf.DUMMYFUNCTION("transpose(unique(FILTER(dCAGass[Type],dCAGass[Room no.]=#REF!)))"),"#N/A")</f>
        <v>#N/A</v>
      </c>
    </row>
    <row r="496">
      <c r="A496" s="99" t="str">
        <f>IFERROR(__xludf.DUMMYFUNCTION("transpose(unique(FILTER(dCAGass[Type],dCAGass[Room no.]=#REF!)))"),"#N/A")</f>
        <v>#N/A</v>
      </c>
    </row>
    <row r="497">
      <c r="A497" s="99" t="str">
        <f>IFERROR(__xludf.DUMMYFUNCTION("transpose(unique(FILTER(dCAGass[Type],dCAGass[Room no.]=#REF!)))"),"#N/A")</f>
        <v>#N/A</v>
      </c>
    </row>
    <row r="498">
      <c r="A498" s="99" t="str">
        <f>IFERROR(__xludf.DUMMYFUNCTION("transpose(unique(FILTER(dCAGass[Type],dCAGass[Room no.]=#REF!)))"),"#N/A")</f>
        <v>#N/A</v>
      </c>
    </row>
    <row r="499">
      <c r="A499" s="99" t="str">
        <f>IFERROR(__xludf.DUMMYFUNCTION("transpose(unique(FILTER(dCAGass[Type],dCAGass[Room no.]=#REF!)))"),"#N/A")</f>
        <v>#N/A</v>
      </c>
    </row>
    <row r="500">
      <c r="A500" s="99" t="str">
        <f>IFERROR(__xludf.DUMMYFUNCTION("transpose(unique(FILTER(dCAGass[Type],dCAGass[Room no.]=#REF!)))"),"#N/A")</f>
        <v>#N/A</v>
      </c>
    </row>
    <row r="501">
      <c r="A501" s="99" t="str">
        <f>IFERROR(__xludf.DUMMYFUNCTION("transpose(unique(FILTER(dCAGass[Type],dCAGass[Room no.]=#REF!)))"),"#N/A")</f>
        <v>#N/A</v>
      </c>
    </row>
    <row r="502">
      <c r="A502" s="99" t="str">
        <f>IFERROR(__xludf.DUMMYFUNCTION("transpose(unique(FILTER(dCAGass[Type],dCAGass[Room no.]=#REF!)))"),"#N/A")</f>
        <v>#N/A</v>
      </c>
    </row>
    <row r="503">
      <c r="A503" s="99" t="str">
        <f>IFERROR(__xludf.DUMMYFUNCTION("transpose(unique(FILTER(dCAGass[Type],dCAGass[Room no.]=#REF!)))"),"#N/A")</f>
        <v>#N/A</v>
      </c>
    </row>
    <row r="504">
      <c r="A504" s="99" t="str">
        <f>IFERROR(__xludf.DUMMYFUNCTION("transpose(unique(FILTER(dCAGass[Type],dCAGass[Room no.]=#REF!)))"),"#N/A")</f>
        <v>#N/A</v>
      </c>
    </row>
    <row r="505">
      <c r="A505" s="99" t="str">
        <f>IFERROR(__xludf.DUMMYFUNCTION("transpose(unique(FILTER(dCAGass[Type],dCAGass[Room no.]=#REF!)))"),"#N/A")</f>
        <v>#N/A</v>
      </c>
    </row>
    <row r="506">
      <c r="A506" s="99" t="str">
        <f>IFERROR(__xludf.DUMMYFUNCTION("transpose(unique(FILTER(dCAGass[Type],dCAGass[Room no.]=#REF!)))"),"#N/A")</f>
        <v>#N/A</v>
      </c>
    </row>
    <row r="507">
      <c r="A507" s="99" t="str">
        <f>IFERROR(__xludf.DUMMYFUNCTION("transpose(unique(FILTER(dCAGass[Type],dCAGass[Room no.]=#REF!)))"),"#N/A")</f>
        <v>#N/A</v>
      </c>
    </row>
    <row r="508">
      <c r="A508" s="99" t="str">
        <f>IFERROR(__xludf.DUMMYFUNCTION("transpose(unique(FILTER(dCAGass[Type],dCAGass[Room no.]=#REF!)))"),"#N/A")</f>
        <v>#N/A</v>
      </c>
    </row>
    <row r="509">
      <c r="A509" s="99" t="str">
        <f>IFERROR(__xludf.DUMMYFUNCTION("transpose(unique(FILTER(dCAGass[Type],dCAGass[Room no.]=#REF!)))"),"#N/A")</f>
        <v>#N/A</v>
      </c>
    </row>
    <row r="510">
      <c r="A510" s="99" t="str">
        <f>IFERROR(__xludf.DUMMYFUNCTION("transpose(unique(FILTER(dCAGass[Type],dCAGass[Room no.]=#REF!)))"),"#N/A")</f>
        <v>#N/A</v>
      </c>
    </row>
    <row r="511">
      <c r="A511" s="99" t="str">
        <f>IFERROR(__xludf.DUMMYFUNCTION("transpose(unique(FILTER(dCAGass[Type],dCAGass[Room no.]=#REF!)))"),"#N/A")</f>
        <v>#N/A</v>
      </c>
    </row>
    <row r="512">
      <c r="A512" s="99" t="str">
        <f>IFERROR(__xludf.DUMMYFUNCTION("transpose(unique(FILTER(dCAGass[Type],dCAGass[Room no.]=#REF!)))"),"#N/A")</f>
        <v>#N/A</v>
      </c>
    </row>
    <row r="513">
      <c r="A513" s="99" t="str">
        <f>IFERROR(__xludf.DUMMYFUNCTION("transpose(unique(FILTER(dCAGass[Type],dCAGass[Room no.]=#REF!)))"),"#N/A")</f>
        <v>#N/A</v>
      </c>
    </row>
    <row r="514">
      <c r="A514" s="99" t="str">
        <f>IFERROR(__xludf.DUMMYFUNCTION("transpose(unique(FILTER(dCAGass[Type],dCAGass[Room no.]=#REF!)))"),"#N/A")</f>
        <v>#N/A</v>
      </c>
    </row>
    <row r="515">
      <c r="A515" s="99" t="str">
        <f>IFERROR(__xludf.DUMMYFUNCTION("transpose(unique(FILTER(dCAGass[Type],dCAGass[Room no.]=#REF!)))"),"#N/A")</f>
        <v>#N/A</v>
      </c>
    </row>
    <row r="516">
      <c r="A516" s="99" t="str">
        <f>IFERROR(__xludf.DUMMYFUNCTION("transpose(unique(FILTER(dCAGass[Type],dCAGass[Room no.]=#REF!)))"),"#N/A")</f>
        <v>#N/A</v>
      </c>
    </row>
    <row r="517">
      <c r="A517" s="99" t="str">
        <f>IFERROR(__xludf.DUMMYFUNCTION("transpose(unique(FILTER(dCAGass[Type],dCAGass[Room no.]=#REF!)))"),"#N/A")</f>
        <v>#N/A</v>
      </c>
    </row>
    <row r="518">
      <c r="A518" s="99" t="str">
        <f>IFERROR(__xludf.DUMMYFUNCTION("transpose(unique(FILTER(dCAGass[Type],dCAGass[Room no.]=#REF!)))"),"#N/A")</f>
        <v>#N/A</v>
      </c>
    </row>
    <row r="519">
      <c r="A519" s="99" t="str">
        <f>IFERROR(__xludf.DUMMYFUNCTION("transpose(unique(FILTER(dCAGass[Type],dCAGass[Room no.]=#REF!)))"),"#N/A")</f>
        <v>#N/A</v>
      </c>
    </row>
    <row r="520">
      <c r="A520" s="99" t="str">
        <f>IFERROR(__xludf.DUMMYFUNCTION("transpose(unique(FILTER(dCAGass[Type],dCAGass[Room no.]=#REF!)))"),"#N/A")</f>
        <v>#N/A</v>
      </c>
    </row>
    <row r="521">
      <c r="A521" s="99" t="str">
        <f>IFERROR(__xludf.DUMMYFUNCTION("transpose(unique(FILTER(dCAGass[Type],dCAGass[Room no.]=#REF!)))"),"#N/A")</f>
        <v>#N/A</v>
      </c>
    </row>
    <row r="522">
      <c r="A522" s="99" t="str">
        <f>IFERROR(__xludf.DUMMYFUNCTION("transpose(unique(FILTER(dCAGass[Type],dCAGass[Room no.]=#REF!)))"),"#N/A")</f>
        <v>#N/A</v>
      </c>
    </row>
    <row r="523">
      <c r="A523" s="99" t="str">
        <f>IFERROR(__xludf.DUMMYFUNCTION("transpose(unique(FILTER(dCAGass[Type],dCAGass[Room no.]=#REF!)))"),"#N/A")</f>
        <v>#N/A</v>
      </c>
    </row>
    <row r="524">
      <c r="A524" s="99" t="str">
        <f>IFERROR(__xludf.DUMMYFUNCTION("transpose(unique(FILTER(dCAGass[Type],dCAGass[Room no.]=#REF!)))"),"#N/A")</f>
        <v>#N/A</v>
      </c>
    </row>
    <row r="525">
      <c r="A525" s="99" t="str">
        <f>IFERROR(__xludf.DUMMYFUNCTION("transpose(unique(FILTER(dCAGass[Type],dCAGass[Room no.]=#REF!)))"),"#N/A")</f>
        <v>#N/A</v>
      </c>
    </row>
    <row r="526">
      <c r="A526" s="99" t="str">
        <f>IFERROR(__xludf.DUMMYFUNCTION("transpose(unique(FILTER(dCAGass[Type],dCAGass[Room no.]=#REF!)))"),"#N/A")</f>
        <v>#N/A</v>
      </c>
    </row>
    <row r="527">
      <c r="A527" s="99" t="str">
        <f>IFERROR(__xludf.DUMMYFUNCTION("transpose(unique(FILTER(dCAGass[Type],dCAGass[Room no.]=#REF!)))"),"#N/A")</f>
        <v>#N/A</v>
      </c>
    </row>
    <row r="528">
      <c r="A528" s="99" t="str">
        <f>IFERROR(__xludf.DUMMYFUNCTION("transpose(unique(FILTER(dCAGass[Type],dCAGass[Room no.]=#REF!)))"),"#N/A")</f>
        <v>#N/A</v>
      </c>
    </row>
    <row r="529">
      <c r="A529" s="99" t="str">
        <f>IFERROR(__xludf.DUMMYFUNCTION("transpose(unique(FILTER(dCAGass[Type],dCAGass[Room no.]=#REF!)))"),"#N/A")</f>
        <v>#N/A</v>
      </c>
    </row>
    <row r="530">
      <c r="A530" s="99" t="str">
        <f>IFERROR(__xludf.DUMMYFUNCTION("transpose(unique(FILTER(dCAGass[Type],dCAGass[Room no.]=#REF!)))"),"#N/A")</f>
        <v>#N/A</v>
      </c>
    </row>
    <row r="531">
      <c r="A531" s="99" t="str">
        <f>IFERROR(__xludf.DUMMYFUNCTION("transpose(unique(FILTER(dCAGass[Type],dCAGass[Room no.]=#REF!)))"),"#N/A")</f>
        <v>#N/A</v>
      </c>
    </row>
    <row r="532">
      <c r="A532" s="99" t="str">
        <f>IFERROR(__xludf.DUMMYFUNCTION("transpose(unique(FILTER(dCAGass[Type],dCAGass[Room no.]=#REF!)))"),"#N/A")</f>
        <v>#N/A</v>
      </c>
    </row>
    <row r="533">
      <c r="A533" s="99" t="str">
        <f>IFERROR(__xludf.DUMMYFUNCTION("transpose(unique(FILTER(dCAGass[Type],dCAGass[Room no.]=#REF!)))"),"#N/A")</f>
        <v>#N/A</v>
      </c>
    </row>
    <row r="534">
      <c r="A534" s="99" t="str">
        <f>IFERROR(__xludf.DUMMYFUNCTION("transpose(unique(FILTER(dCAGass[Type],dCAGass[Room no.]=#REF!)))"),"#N/A")</f>
        <v>#N/A</v>
      </c>
    </row>
    <row r="535">
      <c r="A535" s="99" t="str">
        <f>IFERROR(__xludf.DUMMYFUNCTION("transpose(unique(FILTER(dCAGass[Type],dCAGass[Room no.]=#REF!)))"),"#N/A")</f>
        <v>#N/A</v>
      </c>
    </row>
    <row r="536">
      <c r="A536" s="99" t="str">
        <f>IFERROR(__xludf.DUMMYFUNCTION("transpose(unique(FILTER(dCAGass[Type],dCAGass[Room no.]=#REF!)))"),"#N/A")</f>
        <v>#N/A</v>
      </c>
    </row>
    <row r="537">
      <c r="A537" s="99" t="str">
        <f>IFERROR(__xludf.DUMMYFUNCTION("transpose(unique(FILTER(dCAGass[Type],dCAGass[Room no.]=#REF!)))"),"#N/A")</f>
        <v>#N/A</v>
      </c>
    </row>
    <row r="538">
      <c r="A538" s="99" t="str">
        <f>IFERROR(__xludf.DUMMYFUNCTION("transpose(unique(FILTER(dCAGass[Type],dCAGass[Room no.]=#REF!)))"),"#N/A")</f>
        <v>#N/A</v>
      </c>
    </row>
    <row r="539">
      <c r="A539" s="99" t="str">
        <f>IFERROR(__xludf.DUMMYFUNCTION("transpose(unique(FILTER(dCAGass[Type],dCAGass[Room no.]=#REF!)))"),"#N/A")</f>
        <v>#N/A</v>
      </c>
    </row>
    <row r="540">
      <c r="A540" s="99" t="str">
        <f>IFERROR(__xludf.DUMMYFUNCTION("transpose(unique(FILTER(dCAGass[Type],dCAGass[Room no.]=#REF!)))"),"#N/A")</f>
        <v>#N/A</v>
      </c>
    </row>
    <row r="541">
      <c r="A541" s="99" t="str">
        <f>IFERROR(__xludf.DUMMYFUNCTION("transpose(unique(FILTER(dCAGass[Type],dCAGass[Room no.]=#REF!)))"),"#N/A")</f>
        <v>#N/A</v>
      </c>
    </row>
    <row r="542">
      <c r="A542" s="99" t="str">
        <f>IFERROR(__xludf.DUMMYFUNCTION("transpose(unique(FILTER(dCAGass[Type],dCAGass[Room no.]=#REF!)))"),"#N/A")</f>
        <v>#N/A</v>
      </c>
    </row>
    <row r="543">
      <c r="A543" s="99" t="str">
        <f>IFERROR(__xludf.DUMMYFUNCTION("transpose(unique(FILTER(dCAGass[Type],dCAGass[Room no.]=#REF!)))"),"#N/A")</f>
        <v>#N/A</v>
      </c>
    </row>
    <row r="544">
      <c r="A544" s="99" t="str">
        <f>IFERROR(__xludf.DUMMYFUNCTION("transpose(unique(FILTER(dCAGass[Type],dCAGass[Room no.]=#REF!)))"),"#N/A")</f>
        <v>#N/A</v>
      </c>
    </row>
    <row r="545">
      <c r="A545" s="99" t="str">
        <f>IFERROR(__xludf.DUMMYFUNCTION("transpose(unique(FILTER(dCAGass[Type],dCAGass[Room no.]=#REF!)))"),"#N/A")</f>
        <v>#N/A</v>
      </c>
    </row>
    <row r="546">
      <c r="A546" s="99" t="str">
        <f>IFERROR(__xludf.DUMMYFUNCTION("transpose(unique(FILTER(dCAGass[Type],dCAGass[Room no.]=#REF!)))"),"#N/A")</f>
        <v>#N/A</v>
      </c>
    </row>
    <row r="547">
      <c r="A547" s="99" t="str">
        <f>IFERROR(__xludf.DUMMYFUNCTION("transpose(unique(FILTER(dCAGass[Type],dCAGass[Room no.]=#REF!)))"),"#N/A")</f>
        <v>#N/A</v>
      </c>
    </row>
    <row r="548">
      <c r="A548" s="99" t="str">
        <f>IFERROR(__xludf.DUMMYFUNCTION("transpose(unique(FILTER(dCAGass[Type],dCAGass[Room no.]=#REF!)))"),"#N/A")</f>
        <v>#N/A</v>
      </c>
    </row>
    <row r="549">
      <c r="A549" s="99" t="str">
        <f>IFERROR(__xludf.DUMMYFUNCTION("transpose(unique(FILTER(dCAGass[Type],dCAGass[Room no.]=#REF!)))"),"#N/A")</f>
        <v>#N/A</v>
      </c>
    </row>
    <row r="550">
      <c r="A550" s="99" t="str">
        <f>IFERROR(__xludf.DUMMYFUNCTION("transpose(unique(FILTER(dCAGass[Type],dCAGass[Room no.]=#REF!)))"),"#N/A")</f>
        <v>#N/A</v>
      </c>
    </row>
    <row r="551">
      <c r="A551" s="99" t="str">
        <f>IFERROR(__xludf.DUMMYFUNCTION("transpose(unique(FILTER(dCAGass[Type],dCAGass[Room no.]=#REF!)))"),"#N/A")</f>
        <v>#N/A</v>
      </c>
    </row>
    <row r="552">
      <c r="A552" s="99" t="str">
        <f>IFERROR(__xludf.DUMMYFUNCTION("transpose(unique(FILTER(dCAGass[Type],dCAGass[Room no.]=#REF!)))"),"#N/A")</f>
        <v>#N/A</v>
      </c>
    </row>
    <row r="553">
      <c r="A553" s="99" t="str">
        <f>IFERROR(__xludf.DUMMYFUNCTION("transpose(unique(FILTER(dCAGass[Type],dCAGass[Room no.]=#REF!)))"),"#N/A")</f>
        <v>#N/A</v>
      </c>
    </row>
    <row r="554">
      <c r="A554" s="99" t="str">
        <f>IFERROR(__xludf.DUMMYFUNCTION("transpose(unique(FILTER(dCAGass[Type],dCAGass[Room no.]=#REF!)))"),"#N/A")</f>
        <v>#N/A</v>
      </c>
    </row>
    <row r="555">
      <c r="A555" s="99" t="str">
        <f>IFERROR(__xludf.DUMMYFUNCTION("transpose(unique(FILTER(dCAGass[Type],dCAGass[Room no.]=#REF!)))"),"#N/A")</f>
        <v>#N/A</v>
      </c>
    </row>
    <row r="556">
      <c r="A556" s="99" t="str">
        <f>IFERROR(__xludf.DUMMYFUNCTION("transpose(unique(FILTER(dCAGass[Type],dCAGass[Room no.]=#REF!)))"),"#N/A")</f>
        <v>#N/A</v>
      </c>
    </row>
    <row r="557">
      <c r="A557" s="99" t="str">
        <f>IFERROR(__xludf.DUMMYFUNCTION("transpose(unique(FILTER(dCAGass[Type],dCAGass[Room no.]=#REF!)))"),"#N/A")</f>
        <v>#N/A</v>
      </c>
    </row>
    <row r="558">
      <c r="A558" s="99" t="str">
        <f>IFERROR(__xludf.DUMMYFUNCTION("transpose(unique(FILTER(dCAGass[Type],dCAGass[Room no.]=#REF!)))"),"#N/A")</f>
        <v>#N/A</v>
      </c>
    </row>
    <row r="559">
      <c r="A559" s="99" t="str">
        <f>IFERROR(__xludf.DUMMYFUNCTION("transpose(unique(FILTER(dCAGass[Type],dCAGass[Room no.]=#REF!)))"),"#N/A")</f>
        <v>#N/A</v>
      </c>
    </row>
    <row r="560">
      <c r="A560" s="99" t="str">
        <f>IFERROR(__xludf.DUMMYFUNCTION("transpose(unique(FILTER(dCAGass[Type],dCAGass[Room no.]=#REF!)))"),"#N/A")</f>
        <v>#N/A</v>
      </c>
    </row>
    <row r="561">
      <c r="A561" s="99" t="str">
        <f>IFERROR(__xludf.DUMMYFUNCTION("transpose(unique(FILTER(dCAGass[Type],dCAGass[Room no.]=#REF!)))"),"#N/A")</f>
        <v>#N/A</v>
      </c>
    </row>
    <row r="562">
      <c r="A562" s="99" t="str">
        <f>IFERROR(__xludf.DUMMYFUNCTION("transpose(unique(FILTER(dCAGass[Type],dCAGass[Room no.]=#REF!)))"),"#N/A")</f>
        <v>#N/A</v>
      </c>
    </row>
    <row r="563">
      <c r="A563" s="99" t="str">
        <f>IFERROR(__xludf.DUMMYFUNCTION("transpose(unique(FILTER(dCAGass[Type],dCAGass[Room no.]=#REF!)))"),"#N/A")</f>
        <v>#N/A</v>
      </c>
    </row>
    <row r="564">
      <c r="A564" s="99" t="str">
        <f>IFERROR(__xludf.DUMMYFUNCTION("transpose(unique(FILTER(dCAGass[Type],dCAGass[Room no.]=#REF!)))"),"#N/A")</f>
        <v>#N/A</v>
      </c>
    </row>
    <row r="565">
      <c r="A565" s="99" t="str">
        <f>IFERROR(__xludf.DUMMYFUNCTION("transpose(unique(FILTER(dCAGass[Type],dCAGass[Room no.]=#REF!)))"),"#N/A")</f>
        <v>#N/A</v>
      </c>
    </row>
    <row r="566">
      <c r="A566" s="99" t="str">
        <f>IFERROR(__xludf.DUMMYFUNCTION("transpose(unique(FILTER(dCAGass[Type],dCAGass[Room no.]=#REF!)))"),"#N/A")</f>
        <v>#N/A</v>
      </c>
    </row>
    <row r="567">
      <c r="A567" s="99" t="str">
        <f>IFERROR(__xludf.DUMMYFUNCTION("transpose(unique(FILTER(dCAGass[Type],dCAGass[Room no.]=#REF!)))"),"#N/A")</f>
        <v>#N/A</v>
      </c>
    </row>
    <row r="568">
      <c r="A568" s="99" t="str">
        <f>IFERROR(__xludf.DUMMYFUNCTION("transpose(unique(FILTER(dCAGass[Type],dCAGass[Room no.]=#REF!)))"),"#N/A")</f>
        <v>#N/A</v>
      </c>
    </row>
    <row r="569">
      <c r="A569" s="99" t="str">
        <f>IFERROR(__xludf.DUMMYFUNCTION("transpose(unique(FILTER(dCAGass[Type],dCAGass[Room no.]=#REF!)))"),"#N/A")</f>
        <v>#N/A</v>
      </c>
    </row>
    <row r="570">
      <c r="A570" s="99" t="str">
        <f>IFERROR(__xludf.DUMMYFUNCTION("transpose(unique(FILTER(dCAGass[Type],dCAGass[Room no.]=#REF!)))"),"#N/A")</f>
        <v>#N/A</v>
      </c>
    </row>
    <row r="571">
      <c r="A571" s="99" t="str">
        <f>IFERROR(__xludf.DUMMYFUNCTION("transpose(unique(FILTER(dCAGass[Type],dCAGass[Room no.]=#REF!)))"),"#N/A")</f>
        <v>#N/A</v>
      </c>
    </row>
    <row r="572">
      <c r="A572" s="99" t="str">
        <f>IFERROR(__xludf.DUMMYFUNCTION("transpose(unique(FILTER(dCAGass[Type],dCAGass[Room no.]=#REF!)))"),"#N/A")</f>
        <v>#N/A</v>
      </c>
    </row>
    <row r="573">
      <c r="A573" s="99" t="str">
        <f>IFERROR(__xludf.DUMMYFUNCTION("transpose(unique(FILTER(dCAGass[Type],dCAGass[Room no.]=#REF!)))"),"#N/A")</f>
        <v>#N/A</v>
      </c>
    </row>
    <row r="574">
      <c r="A574" s="99" t="str">
        <f>IFERROR(__xludf.DUMMYFUNCTION("transpose(unique(FILTER(dCAGass[Type],dCAGass[Room no.]=#REF!)))"),"#N/A")</f>
        <v>#N/A</v>
      </c>
    </row>
    <row r="575">
      <c r="A575" s="99" t="str">
        <f>IFERROR(__xludf.DUMMYFUNCTION("transpose(unique(FILTER(dCAGass[Type],dCAGass[Room no.]=#REF!)))"),"#N/A")</f>
        <v>#N/A</v>
      </c>
    </row>
    <row r="576">
      <c r="A576" s="99" t="str">
        <f>IFERROR(__xludf.DUMMYFUNCTION("transpose(unique(FILTER(dCAGass[Type],dCAGass[Room no.]=#REF!)))"),"#N/A")</f>
        <v>#N/A</v>
      </c>
    </row>
    <row r="577">
      <c r="A577" s="99" t="str">
        <f>IFERROR(__xludf.DUMMYFUNCTION("transpose(unique(FILTER(dCAGass[Type],dCAGass[Room no.]=#REF!)))"),"#N/A")</f>
        <v>#N/A</v>
      </c>
    </row>
    <row r="578">
      <c r="A578" s="99" t="str">
        <f>IFERROR(__xludf.DUMMYFUNCTION("transpose(unique(FILTER(dCAGass[Type],dCAGass[Room no.]=#REF!)))"),"#N/A")</f>
        <v>#N/A</v>
      </c>
    </row>
    <row r="579">
      <c r="A579" s="99" t="str">
        <f>IFERROR(__xludf.DUMMYFUNCTION("transpose(unique(FILTER(dCAGass[Type],dCAGass[Room no.]=#REF!)))"),"#N/A")</f>
        <v>#N/A</v>
      </c>
    </row>
    <row r="580">
      <c r="A580" s="99" t="str">
        <f>IFERROR(__xludf.DUMMYFUNCTION("transpose(unique(FILTER(dCAGass[Type],dCAGass[Room no.]=#REF!)))"),"#N/A")</f>
        <v>#N/A</v>
      </c>
    </row>
    <row r="581">
      <c r="A581" s="99" t="str">
        <f>IFERROR(__xludf.DUMMYFUNCTION("transpose(unique(FILTER(dCAGass[Type],dCAGass[Room no.]=#REF!)))"),"#N/A")</f>
        <v>#N/A</v>
      </c>
    </row>
    <row r="582">
      <c r="A582" s="99" t="str">
        <f>IFERROR(__xludf.DUMMYFUNCTION("transpose(unique(FILTER(dCAGass[Type],dCAGass[Room no.]=#REF!)))"),"#N/A")</f>
        <v>#N/A</v>
      </c>
    </row>
    <row r="583">
      <c r="A583" s="99" t="str">
        <f>IFERROR(__xludf.DUMMYFUNCTION("transpose(unique(FILTER(dCAGass[Type],dCAGass[Room no.]=#REF!)))"),"#N/A")</f>
        <v>#N/A</v>
      </c>
    </row>
    <row r="584">
      <c r="A584" s="99" t="str">
        <f>IFERROR(__xludf.DUMMYFUNCTION("transpose(unique(FILTER(dCAGass[Type],dCAGass[Room no.]=#REF!)))"),"#N/A")</f>
        <v>#N/A</v>
      </c>
    </row>
    <row r="585">
      <c r="A585" s="99" t="str">
        <f>IFERROR(__xludf.DUMMYFUNCTION("transpose(unique(FILTER(dCAGass[Type],dCAGass[Room no.]=#REF!)))"),"#N/A")</f>
        <v>#N/A</v>
      </c>
    </row>
    <row r="586">
      <c r="A586" s="99" t="str">
        <f>IFERROR(__xludf.DUMMYFUNCTION("transpose(unique(FILTER(dCAGass[Type],dCAGass[Room no.]=#REF!)))"),"#N/A")</f>
        <v>#N/A</v>
      </c>
    </row>
    <row r="587">
      <c r="A587" s="99" t="str">
        <f>IFERROR(__xludf.DUMMYFUNCTION("transpose(unique(FILTER(dCAGass[Type],dCAGass[Room no.]=#REF!)))"),"#N/A")</f>
        <v>#N/A</v>
      </c>
    </row>
    <row r="588">
      <c r="A588" s="99" t="str">
        <f>IFERROR(__xludf.DUMMYFUNCTION("transpose(unique(FILTER(dCAGass[Type],dCAGass[Room no.]=#REF!)))"),"#N/A")</f>
        <v>#N/A</v>
      </c>
    </row>
    <row r="589">
      <c r="A589" s="99" t="str">
        <f>IFERROR(__xludf.DUMMYFUNCTION("transpose(unique(FILTER(dCAGass[Type],dCAGass[Room no.]=#REF!)))"),"#N/A")</f>
        <v>#N/A</v>
      </c>
    </row>
    <row r="590">
      <c r="A590" s="99" t="str">
        <f>IFERROR(__xludf.DUMMYFUNCTION("transpose(unique(FILTER(dCAGass[Type],dCAGass[Room no.]=#REF!)))"),"#N/A")</f>
        <v>#N/A</v>
      </c>
    </row>
    <row r="591">
      <c r="A591" s="99" t="str">
        <f>IFERROR(__xludf.DUMMYFUNCTION("transpose(unique(FILTER(dCAGass[Type],dCAGass[Room no.]=#REF!)))"),"#N/A")</f>
        <v>#N/A</v>
      </c>
    </row>
    <row r="592">
      <c r="A592" s="99" t="str">
        <f>IFERROR(__xludf.DUMMYFUNCTION("transpose(unique(FILTER(dCAGass[Type],dCAGass[Room no.]=#REF!)))"),"#N/A")</f>
        <v>#N/A</v>
      </c>
    </row>
    <row r="593">
      <c r="A593" s="99" t="str">
        <f>IFERROR(__xludf.DUMMYFUNCTION("transpose(unique(FILTER(dCAGass[Type],dCAGass[Room no.]=#REF!)))"),"#N/A")</f>
        <v>#N/A</v>
      </c>
    </row>
    <row r="594">
      <c r="A594" s="99" t="str">
        <f>IFERROR(__xludf.DUMMYFUNCTION("transpose(unique(FILTER(dCAGass[Type],dCAGass[Room no.]=#REF!)))"),"#N/A")</f>
        <v>#N/A</v>
      </c>
    </row>
    <row r="595">
      <c r="A595" s="99" t="str">
        <f>IFERROR(__xludf.DUMMYFUNCTION("transpose(unique(FILTER(dCAGass[Type],dCAGass[Room no.]=#REF!)))"),"#N/A")</f>
        <v>#N/A</v>
      </c>
    </row>
    <row r="596">
      <c r="A596" s="99" t="str">
        <f>IFERROR(__xludf.DUMMYFUNCTION("transpose(unique(FILTER(dCAGass[Type],dCAGass[Room no.]=#REF!)))"),"#N/A")</f>
        <v>#N/A</v>
      </c>
    </row>
    <row r="597">
      <c r="A597" s="99" t="str">
        <f>IFERROR(__xludf.DUMMYFUNCTION("transpose(unique(FILTER(dCAGass[Type],dCAGass[Room no.]=#REF!)))"),"#N/A")</f>
        <v>#N/A</v>
      </c>
    </row>
    <row r="598">
      <c r="A598" s="99" t="str">
        <f>IFERROR(__xludf.DUMMYFUNCTION("transpose(unique(FILTER(dCAGass[Type],dCAGass[Room no.]=#REF!)))"),"#N/A")</f>
        <v>#N/A</v>
      </c>
    </row>
    <row r="599">
      <c r="A599" s="99" t="str">
        <f>IFERROR(__xludf.DUMMYFUNCTION("transpose(unique(FILTER(dCAGass[Type],dCAGass[Room no.]=#REF!)))"),"#N/A")</f>
        <v>#N/A</v>
      </c>
    </row>
    <row r="600">
      <c r="A600" s="99" t="str">
        <f>IFERROR(__xludf.DUMMYFUNCTION("transpose(unique(FILTER(dCAGass[Type],dCAGass[Room no.]=#REF!)))"),"#N/A")</f>
        <v>#N/A</v>
      </c>
    </row>
    <row r="601">
      <c r="A601" s="99" t="str">
        <f>IFERROR(__xludf.DUMMYFUNCTION("transpose(unique(FILTER(dCAGass[Type],dCAGass[Room no.]=#REF!)))"),"#N/A")</f>
        <v>#N/A</v>
      </c>
    </row>
    <row r="602">
      <c r="A602" s="99" t="str">
        <f>IFERROR(__xludf.DUMMYFUNCTION("transpose(unique(FILTER(dCAGass[Type],dCAGass[Room no.]=#REF!)))"),"#N/A")</f>
        <v>#N/A</v>
      </c>
    </row>
    <row r="603">
      <c r="A603" s="99" t="str">
        <f>IFERROR(__xludf.DUMMYFUNCTION("transpose(unique(FILTER(dCAGass[Type],dCAGass[Room no.]=#REF!)))"),"#N/A")</f>
        <v>#N/A</v>
      </c>
    </row>
    <row r="604">
      <c r="A604" s="99" t="str">
        <f>IFERROR(__xludf.DUMMYFUNCTION("transpose(unique(FILTER(dCAGass[Type],dCAGass[Room no.]=#REF!)))"),"#N/A")</f>
        <v>#N/A</v>
      </c>
    </row>
    <row r="605">
      <c r="A605" s="99" t="str">
        <f>IFERROR(__xludf.DUMMYFUNCTION("transpose(unique(FILTER(dCAGass[Type],dCAGass[Room no.]=#REF!)))"),"#N/A")</f>
        <v>#N/A</v>
      </c>
    </row>
    <row r="606">
      <c r="A606" s="99" t="str">
        <f>IFERROR(__xludf.DUMMYFUNCTION("transpose(unique(FILTER(dCAGass[Type],dCAGass[Room no.]=#REF!)))"),"#N/A")</f>
        <v>#N/A</v>
      </c>
    </row>
    <row r="607">
      <c r="A607" s="99" t="str">
        <f>IFERROR(__xludf.DUMMYFUNCTION("transpose(unique(FILTER(dCAGass[Type],dCAGass[Room no.]=#REF!)))"),"#N/A")</f>
        <v>#N/A</v>
      </c>
    </row>
    <row r="608">
      <c r="A608" s="99" t="str">
        <f>IFERROR(__xludf.DUMMYFUNCTION("transpose(unique(FILTER(dCAGass[Type],dCAGass[Room no.]=#REF!)))"),"#N/A")</f>
        <v>#N/A</v>
      </c>
    </row>
    <row r="609">
      <c r="A609" s="99" t="str">
        <f>IFERROR(__xludf.DUMMYFUNCTION("transpose(unique(FILTER(dCAGass[Type],dCAGass[Room no.]=#REF!)))"),"#N/A")</f>
        <v>#N/A</v>
      </c>
    </row>
    <row r="610">
      <c r="A610" s="99" t="str">
        <f>IFERROR(__xludf.DUMMYFUNCTION("transpose(unique(FILTER(dCAGass[Type],dCAGass[Room no.]=#REF!)))"),"#N/A")</f>
        <v>#N/A</v>
      </c>
    </row>
    <row r="611">
      <c r="A611" s="99" t="str">
        <f>IFERROR(__xludf.DUMMYFUNCTION("transpose(unique(FILTER(dCAGass[Type],dCAGass[Room no.]=#REF!)))"),"#N/A")</f>
        <v>#N/A</v>
      </c>
    </row>
    <row r="612">
      <c r="A612" s="99" t="str">
        <f>IFERROR(__xludf.DUMMYFUNCTION("transpose(unique(FILTER(dCAGass[Type],dCAGass[Room no.]=#REF!)))"),"#N/A")</f>
        <v>#N/A</v>
      </c>
    </row>
    <row r="613">
      <c r="A613" s="99" t="str">
        <f>IFERROR(__xludf.DUMMYFUNCTION("transpose(unique(FILTER(dCAGass[Type],dCAGass[Room no.]=#REF!)))"),"#N/A")</f>
        <v>#N/A</v>
      </c>
    </row>
    <row r="614">
      <c r="A614" s="99" t="str">
        <f>IFERROR(__xludf.DUMMYFUNCTION("transpose(unique(FILTER(dCAGass[Type],dCAGass[Room no.]=#REF!)))"),"#N/A")</f>
        <v>#N/A</v>
      </c>
    </row>
    <row r="615">
      <c r="A615" s="99" t="str">
        <f>IFERROR(__xludf.DUMMYFUNCTION("transpose(unique(FILTER(dCAGass[Type],dCAGass[Room no.]=#REF!)))"),"#N/A")</f>
        <v>#N/A</v>
      </c>
    </row>
    <row r="616">
      <c r="A616" s="99" t="str">
        <f>IFERROR(__xludf.DUMMYFUNCTION("transpose(unique(FILTER(dCAGass[Type],dCAGass[Room no.]=#REF!)))"),"#N/A")</f>
        <v>#N/A</v>
      </c>
    </row>
    <row r="617">
      <c r="A617" s="99" t="str">
        <f>IFERROR(__xludf.DUMMYFUNCTION("transpose(unique(FILTER(dCAGass[Type],dCAGass[Room no.]=#REF!)))"),"#N/A")</f>
        <v>#N/A</v>
      </c>
    </row>
    <row r="618">
      <c r="A618" s="99" t="str">
        <f>IFERROR(__xludf.DUMMYFUNCTION("transpose(unique(FILTER(dCAGass[Type],dCAGass[Room no.]=#REF!)))"),"#N/A")</f>
        <v>#N/A</v>
      </c>
    </row>
    <row r="619">
      <c r="A619" s="99" t="str">
        <f>IFERROR(__xludf.DUMMYFUNCTION("transpose(unique(FILTER(dCAGass[Type],dCAGass[Room no.]=#REF!)))"),"#N/A")</f>
        <v>#N/A</v>
      </c>
    </row>
    <row r="620">
      <c r="A620" s="99" t="str">
        <f>IFERROR(__xludf.DUMMYFUNCTION("transpose(unique(FILTER(dCAGass[Type],dCAGass[Room no.]=#REF!)))"),"#N/A")</f>
        <v>#N/A</v>
      </c>
    </row>
    <row r="621">
      <c r="A621" s="99" t="str">
        <f>IFERROR(__xludf.DUMMYFUNCTION("transpose(unique(FILTER(dCAGass[Type],dCAGass[Room no.]=#REF!)))"),"#N/A")</f>
        <v>#N/A</v>
      </c>
    </row>
    <row r="622">
      <c r="A622" s="99" t="str">
        <f>IFERROR(__xludf.DUMMYFUNCTION("transpose(unique(FILTER(dCAGass[Type],dCAGass[Room no.]=#REF!)))"),"#N/A")</f>
        <v>#N/A</v>
      </c>
    </row>
    <row r="623">
      <c r="A623" s="99" t="str">
        <f>IFERROR(__xludf.DUMMYFUNCTION("transpose(unique(FILTER(dCAGass[Type],dCAGass[Room no.]=#REF!)))"),"#N/A")</f>
        <v>#N/A</v>
      </c>
    </row>
    <row r="624">
      <c r="A624" s="99" t="str">
        <f>IFERROR(__xludf.DUMMYFUNCTION("transpose(unique(FILTER(dCAGass[Type],dCAGass[Room no.]=#REF!)))"),"#N/A")</f>
        <v>#N/A</v>
      </c>
    </row>
    <row r="625">
      <c r="A625" s="99" t="str">
        <f>IFERROR(__xludf.DUMMYFUNCTION("transpose(unique(FILTER(dCAGass[Type],dCAGass[Room no.]=#REF!)))"),"#N/A")</f>
        <v>#N/A</v>
      </c>
    </row>
    <row r="626">
      <c r="A626" s="99" t="str">
        <f>IFERROR(__xludf.DUMMYFUNCTION("transpose(unique(FILTER(dCAGass[Type],dCAGass[Room no.]=#REF!)))"),"#N/A")</f>
        <v>#N/A</v>
      </c>
    </row>
    <row r="627">
      <c r="A627" s="99" t="str">
        <f>IFERROR(__xludf.DUMMYFUNCTION("transpose(unique(FILTER(dCAGass[Type],dCAGass[Room no.]=#REF!)))"),"#N/A")</f>
        <v>#N/A</v>
      </c>
    </row>
    <row r="628">
      <c r="A628" s="99" t="str">
        <f>IFERROR(__xludf.DUMMYFUNCTION("transpose(unique(FILTER(dCAGass[Type],dCAGass[Room no.]=#REF!)))"),"#N/A")</f>
        <v>#N/A</v>
      </c>
    </row>
    <row r="629">
      <c r="A629" s="99" t="str">
        <f>IFERROR(__xludf.DUMMYFUNCTION("transpose(unique(FILTER(dCAGass[Type],dCAGass[Room no.]=#REF!)))"),"#N/A")</f>
        <v>#N/A</v>
      </c>
    </row>
    <row r="630">
      <c r="A630" s="99" t="str">
        <f>IFERROR(__xludf.DUMMYFUNCTION("transpose(unique(FILTER(dCAGass[Type],dCAGass[Room no.]=#REF!)))"),"#N/A")</f>
        <v>#N/A</v>
      </c>
    </row>
    <row r="631">
      <c r="A631" s="99" t="str">
        <f>IFERROR(__xludf.DUMMYFUNCTION("transpose(unique(FILTER(dCAGass[Type],dCAGass[Room no.]=#REF!)))"),"#N/A")</f>
        <v>#N/A</v>
      </c>
    </row>
    <row r="632">
      <c r="A632" s="99" t="str">
        <f>IFERROR(__xludf.DUMMYFUNCTION("transpose(unique(FILTER(dCAGass[Type],dCAGass[Room no.]=#REF!)))"),"#N/A")</f>
        <v>#N/A</v>
      </c>
    </row>
    <row r="633">
      <c r="A633" s="99" t="str">
        <f>IFERROR(__xludf.DUMMYFUNCTION("transpose(unique(FILTER(dCAGass[Type],dCAGass[Room no.]=#REF!)))"),"#N/A")</f>
        <v>#N/A</v>
      </c>
    </row>
    <row r="634">
      <c r="A634" s="99" t="str">
        <f>IFERROR(__xludf.DUMMYFUNCTION("transpose(unique(FILTER(dCAGass[Type],dCAGass[Room no.]=#REF!)))"),"#N/A")</f>
        <v>#N/A</v>
      </c>
    </row>
    <row r="635">
      <c r="A635" s="99" t="str">
        <f>IFERROR(__xludf.DUMMYFUNCTION("transpose(unique(FILTER(dCAGass[Type],dCAGass[Room no.]=#REF!)))"),"#N/A")</f>
        <v>#N/A</v>
      </c>
    </row>
    <row r="636">
      <c r="A636" s="99" t="str">
        <f>IFERROR(__xludf.DUMMYFUNCTION("transpose(unique(FILTER(dCAGass[Type],dCAGass[Room no.]=#REF!)))"),"#N/A")</f>
        <v>#N/A</v>
      </c>
    </row>
    <row r="637">
      <c r="A637" s="99" t="str">
        <f>IFERROR(__xludf.DUMMYFUNCTION("transpose(unique(FILTER(dCAGass[Type],dCAGass[Room no.]=#REF!)))"),"#N/A")</f>
        <v>#N/A</v>
      </c>
    </row>
    <row r="638">
      <c r="A638" s="99" t="str">
        <f>IFERROR(__xludf.DUMMYFUNCTION("transpose(unique(FILTER(dCAGass[Type],dCAGass[Room no.]=#REF!)))"),"#N/A")</f>
        <v>#N/A</v>
      </c>
    </row>
    <row r="639">
      <c r="A639" s="99" t="str">
        <f>IFERROR(__xludf.DUMMYFUNCTION("transpose(unique(FILTER(dCAGass[Type],dCAGass[Room no.]=#REF!)))"),"#N/A")</f>
        <v>#N/A</v>
      </c>
    </row>
    <row r="640">
      <c r="A640" s="99" t="str">
        <f>IFERROR(__xludf.DUMMYFUNCTION("transpose(unique(FILTER(dCAGass[Type],dCAGass[Room no.]=#REF!)))"),"#N/A")</f>
        <v>#N/A</v>
      </c>
    </row>
    <row r="641">
      <c r="A641" s="99" t="str">
        <f>IFERROR(__xludf.DUMMYFUNCTION("transpose(unique(FILTER(dCAGass[Type],dCAGass[Room no.]=#REF!)))"),"#N/A")</f>
        <v>#N/A</v>
      </c>
    </row>
    <row r="642">
      <c r="A642" s="99" t="str">
        <f>IFERROR(__xludf.DUMMYFUNCTION("transpose(unique(FILTER(dCAGass[Type],dCAGass[Room no.]=#REF!)))"),"#N/A")</f>
        <v>#N/A</v>
      </c>
    </row>
    <row r="643">
      <c r="A643" s="99" t="str">
        <f>IFERROR(__xludf.DUMMYFUNCTION("transpose(unique(FILTER(dCAGass[Type],dCAGass[Room no.]=#REF!)))"),"#N/A")</f>
        <v>#N/A</v>
      </c>
    </row>
    <row r="644">
      <c r="A644" s="99" t="str">
        <f>IFERROR(__xludf.DUMMYFUNCTION("transpose(unique(FILTER(dCAGass[Type],dCAGass[Room no.]=#REF!)))"),"#N/A")</f>
        <v>#N/A</v>
      </c>
    </row>
    <row r="645">
      <c r="A645" s="99" t="str">
        <f>IFERROR(__xludf.DUMMYFUNCTION("transpose(unique(FILTER(dCAGass[Type],dCAGass[Room no.]=#REF!)))"),"#N/A")</f>
        <v>#N/A</v>
      </c>
    </row>
    <row r="646">
      <c r="A646" s="99" t="str">
        <f>IFERROR(__xludf.DUMMYFUNCTION("transpose(unique(FILTER(dCAGass[Type],dCAGass[Room no.]=#REF!)))"),"#N/A")</f>
        <v>#N/A</v>
      </c>
    </row>
    <row r="647">
      <c r="A647" s="99" t="str">
        <f>IFERROR(__xludf.DUMMYFUNCTION("transpose(unique(FILTER(dCAGass[Type],dCAGass[Room no.]=#REF!)))"),"#N/A")</f>
        <v>#N/A</v>
      </c>
    </row>
    <row r="648">
      <c r="A648" s="99" t="str">
        <f>IFERROR(__xludf.DUMMYFUNCTION("transpose(unique(FILTER(dCAGass[Type],dCAGass[Room no.]=#REF!)))"),"#N/A")</f>
        <v>#N/A</v>
      </c>
    </row>
    <row r="649">
      <c r="A649" s="99" t="str">
        <f>IFERROR(__xludf.DUMMYFUNCTION("transpose(unique(FILTER(dCAGass[Type],dCAGass[Room no.]=#REF!)))"),"#N/A")</f>
        <v>#N/A</v>
      </c>
    </row>
    <row r="650">
      <c r="A650" s="99" t="str">
        <f>IFERROR(__xludf.DUMMYFUNCTION("transpose(unique(FILTER(dCAGass[Type],dCAGass[Room no.]=#REF!)))"),"#N/A")</f>
        <v>#N/A</v>
      </c>
    </row>
    <row r="651">
      <c r="A651" s="99" t="str">
        <f>IFERROR(__xludf.DUMMYFUNCTION("transpose(unique(FILTER(dCAGass[Type],dCAGass[Room no.]=#REF!)))"),"#N/A")</f>
        <v>#N/A</v>
      </c>
    </row>
    <row r="652">
      <c r="A652" s="99" t="str">
        <f>IFERROR(__xludf.DUMMYFUNCTION("transpose(unique(FILTER(dCAGass[Type],dCAGass[Room no.]=#REF!)))"),"#N/A")</f>
        <v>#N/A</v>
      </c>
    </row>
    <row r="653">
      <c r="A653" s="99" t="str">
        <f>IFERROR(__xludf.DUMMYFUNCTION("transpose(unique(FILTER(dCAGass[Type],dCAGass[Room no.]=#REF!)))"),"#N/A")</f>
        <v>#N/A</v>
      </c>
    </row>
    <row r="654">
      <c r="A654" s="99" t="str">
        <f>IFERROR(__xludf.DUMMYFUNCTION("transpose(unique(FILTER(dCAGass[Type],dCAGass[Room no.]=#REF!)))"),"#N/A")</f>
        <v>#N/A</v>
      </c>
    </row>
    <row r="655">
      <c r="A655" s="99" t="str">
        <f>IFERROR(__xludf.DUMMYFUNCTION("transpose(unique(FILTER(dCAGass[Type],dCAGass[Room no.]=#REF!)))"),"#N/A")</f>
        <v>#N/A</v>
      </c>
    </row>
    <row r="656">
      <c r="A656" s="99" t="str">
        <f>IFERROR(__xludf.DUMMYFUNCTION("transpose(unique(FILTER(dCAGass[Type],dCAGass[Room no.]=#REF!)))"),"#N/A")</f>
        <v>#N/A</v>
      </c>
    </row>
    <row r="657">
      <c r="A657" s="99" t="str">
        <f>IFERROR(__xludf.DUMMYFUNCTION("transpose(unique(FILTER(dCAGass[Type],dCAGass[Room no.]=#REF!)))"),"#N/A")</f>
        <v>#N/A</v>
      </c>
    </row>
    <row r="658">
      <c r="A658" s="99" t="str">
        <f>IFERROR(__xludf.DUMMYFUNCTION("transpose(unique(FILTER(dCAGass[Type],dCAGass[Room no.]=#REF!)))"),"#N/A")</f>
        <v>#N/A</v>
      </c>
    </row>
    <row r="659">
      <c r="A659" s="99" t="str">
        <f>IFERROR(__xludf.DUMMYFUNCTION("transpose(unique(FILTER(dCAGass[Type],dCAGass[Room no.]=#REF!)))"),"#N/A")</f>
        <v>#N/A</v>
      </c>
    </row>
    <row r="660">
      <c r="A660" s="99" t="str">
        <f>IFERROR(__xludf.DUMMYFUNCTION("transpose(unique(FILTER(dCAGass[Type],dCAGass[Room no.]=#REF!)))"),"#N/A")</f>
        <v>#N/A</v>
      </c>
    </row>
    <row r="661">
      <c r="A661" s="99" t="str">
        <f>IFERROR(__xludf.DUMMYFUNCTION("transpose(unique(FILTER(dCAGass[Type],dCAGass[Room no.]=#REF!)))"),"#N/A")</f>
        <v>#N/A</v>
      </c>
    </row>
    <row r="662">
      <c r="A662" s="99" t="str">
        <f>IFERROR(__xludf.DUMMYFUNCTION("transpose(unique(FILTER(dCAGass[Type],dCAGass[Room no.]=#REF!)))"),"#N/A")</f>
        <v>#N/A</v>
      </c>
    </row>
    <row r="663">
      <c r="A663" s="99" t="str">
        <f>IFERROR(__xludf.DUMMYFUNCTION("transpose(unique(FILTER(dCAGass[Type],dCAGass[Room no.]=#REF!)))"),"#N/A")</f>
        <v>#N/A</v>
      </c>
    </row>
    <row r="664">
      <c r="A664" s="99" t="str">
        <f>IFERROR(__xludf.DUMMYFUNCTION("transpose(unique(FILTER(dCAGass[Type],dCAGass[Room no.]=#REF!)))"),"#N/A")</f>
        <v>#N/A</v>
      </c>
    </row>
    <row r="665">
      <c r="A665" s="99" t="str">
        <f>IFERROR(__xludf.DUMMYFUNCTION("transpose(unique(FILTER(dCAGass[Type],dCAGass[Room no.]=#REF!)))"),"#N/A")</f>
        <v>#N/A</v>
      </c>
    </row>
    <row r="666">
      <c r="A666" s="99" t="str">
        <f>IFERROR(__xludf.DUMMYFUNCTION("transpose(unique(FILTER(dCAGass[Type],dCAGass[Room no.]=#REF!)))"),"#N/A")</f>
        <v>#N/A</v>
      </c>
    </row>
    <row r="667">
      <c r="A667" s="99" t="str">
        <f>IFERROR(__xludf.DUMMYFUNCTION("transpose(unique(FILTER(dCAGass[Type],dCAGass[Room no.]=#REF!)))"),"#N/A")</f>
        <v>#N/A</v>
      </c>
    </row>
    <row r="668">
      <c r="A668" s="99" t="str">
        <f>IFERROR(__xludf.DUMMYFUNCTION("transpose(unique(FILTER(dCAGass[Type],dCAGass[Room no.]=#REF!)))"),"#N/A")</f>
        <v>#N/A</v>
      </c>
    </row>
    <row r="669">
      <c r="A669" s="99" t="str">
        <f>IFERROR(__xludf.DUMMYFUNCTION("transpose(unique(FILTER(dCAGass[Type],dCAGass[Room no.]=#REF!)))"),"#N/A")</f>
        <v>#N/A</v>
      </c>
    </row>
    <row r="670">
      <c r="A670" s="99" t="str">
        <f>IFERROR(__xludf.DUMMYFUNCTION("transpose(unique(FILTER(dCAGass[Type],dCAGass[Room no.]=#REF!)))"),"#N/A")</f>
        <v>#N/A</v>
      </c>
    </row>
    <row r="671">
      <c r="A671" s="99" t="str">
        <f>IFERROR(__xludf.DUMMYFUNCTION("transpose(unique(FILTER(dCAGass[Type],dCAGass[Room no.]=#REF!)))"),"#N/A")</f>
        <v>#N/A</v>
      </c>
    </row>
    <row r="672">
      <c r="A672" s="99" t="str">
        <f>IFERROR(__xludf.DUMMYFUNCTION("transpose(unique(FILTER(dCAGass[Type],dCAGass[Room no.]=#REF!)))"),"#N/A")</f>
        <v>#N/A</v>
      </c>
    </row>
    <row r="673">
      <c r="A673" s="99" t="str">
        <f>IFERROR(__xludf.DUMMYFUNCTION("transpose(unique(FILTER(dCAGass[Type],dCAGass[Room no.]=#REF!)))"),"#N/A")</f>
        <v>#N/A</v>
      </c>
    </row>
    <row r="674">
      <c r="A674" s="99" t="str">
        <f>IFERROR(__xludf.DUMMYFUNCTION("transpose(unique(FILTER(dCAGass[Type],dCAGass[Room no.]=#REF!)))"),"#N/A")</f>
        <v>#N/A</v>
      </c>
    </row>
    <row r="675">
      <c r="A675" s="99" t="str">
        <f>IFERROR(__xludf.DUMMYFUNCTION("transpose(unique(FILTER(dCAGass[Type],dCAGass[Room no.]=#REF!)))"),"#N/A")</f>
        <v>#N/A</v>
      </c>
    </row>
    <row r="676">
      <c r="A676" s="99" t="str">
        <f>IFERROR(__xludf.DUMMYFUNCTION("transpose(unique(FILTER(dCAGass[Type],dCAGass[Room no.]=#REF!)))"),"#N/A")</f>
        <v>#N/A</v>
      </c>
    </row>
    <row r="677">
      <c r="A677" s="99" t="str">
        <f>IFERROR(__xludf.DUMMYFUNCTION("transpose(unique(FILTER(dCAGass[Type],dCAGass[Room no.]=#REF!)))"),"#N/A")</f>
        <v>#N/A</v>
      </c>
    </row>
    <row r="678">
      <c r="A678" s="99" t="str">
        <f>IFERROR(__xludf.DUMMYFUNCTION("transpose(unique(FILTER(dCAGass[Type],dCAGass[Room no.]=#REF!)))"),"#N/A")</f>
        <v>#N/A</v>
      </c>
    </row>
    <row r="679">
      <c r="A679" s="99" t="str">
        <f>IFERROR(__xludf.DUMMYFUNCTION("transpose(unique(FILTER(dCAGass[Type],dCAGass[Room no.]=#REF!)))"),"#N/A")</f>
        <v>#N/A</v>
      </c>
    </row>
    <row r="680">
      <c r="A680" s="99" t="str">
        <f>IFERROR(__xludf.DUMMYFUNCTION("transpose(unique(FILTER(dCAGass[Type],dCAGass[Room no.]=#REF!)))"),"#N/A")</f>
        <v>#N/A</v>
      </c>
    </row>
    <row r="681">
      <c r="A681" s="99" t="str">
        <f>IFERROR(__xludf.DUMMYFUNCTION("transpose(unique(FILTER(dCAGass[Type],dCAGass[Room no.]=#REF!)))"),"#N/A")</f>
        <v>#N/A</v>
      </c>
    </row>
    <row r="682">
      <c r="A682" s="99" t="str">
        <f>IFERROR(__xludf.DUMMYFUNCTION("transpose(unique(FILTER(dCAGass[Type],dCAGass[Room no.]=#REF!)))"),"#N/A")</f>
        <v>#N/A</v>
      </c>
    </row>
    <row r="683">
      <c r="A683" s="99" t="str">
        <f>IFERROR(__xludf.DUMMYFUNCTION("transpose(unique(FILTER(dCAGass[Type],dCAGass[Room no.]=#REF!)))"),"#N/A")</f>
        <v>#N/A</v>
      </c>
    </row>
    <row r="684">
      <c r="A684" s="99" t="str">
        <f>IFERROR(__xludf.DUMMYFUNCTION("transpose(unique(FILTER(dCAGass[Type],dCAGass[Room no.]=#REF!)))"),"#N/A")</f>
        <v>#N/A</v>
      </c>
    </row>
    <row r="685">
      <c r="A685" s="99" t="str">
        <f>IFERROR(__xludf.DUMMYFUNCTION("transpose(unique(FILTER(dCAGass[Type],dCAGass[Room no.]=#REF!)))"),"#N/A")</f>
        <v>#N/A</v>
      </c>
    </row>
    <row r="686">
      <c r="A686" s="99" t="str">
        <f>IFERROR(__xludf.DUMMYFUNCTION("transpose(unique(FILTER(dCAGass[Type],dCAGass[Room no.]=#REF!)))"),"#N/A")</f>
        <v>#N/A</v>
      </c>
    </row>
    <row r="687">
      <c r="A687" s="99" t="str">
        <f>IFERROR(__xludf.DUMMYFUNCTION("transpose(unique(FILTER(dCAGass[Type],dCAGass[Room no.]=#REF!)))"),"#N/A")</f>
        <v>#N/A</v>
      </c>
    </row>
    <row r="688">
      <c r="A688" s="99" t="str">
        <f>IFERROR(__xludf.DUMMYFUNCTION("transpose(unique(FILTER(dCAGass[Type],dCAGass[Room no.]=#REF!)))"),"#N/A")</f>
        <v>#N/A</v>
      </c>
    </row>
    <row r="689">
      <c r="A689" s="99" t="str">
        <f>IFERROR(__xludf.DUMMYFUNCTION("transpose(unique(FILTER(dCAGass[Type],dCAGass[Room no.]=#REF!)))"),"#N/A")</f>
        <v>#N/A</v>
      </c>
    </row>
    <row r="690">
      <c r="A690" s="99" t="str">
        <f>IFERROR(__xludf.DUMMYFUNCTION("transpose(unique(FILTER(dCAGass[Type],dCAGass[Room no.]=#REF!)))"),"#N/A")</f>
        <v>#N/A</v>
      </c>
    </row>
    <row r="691">
      <c r="A691" s="99" t="str">
        <f>IFERROR(__xludf.DUMMYFUNCTION("transpose(unique(FILTER(dCAGass[Type],dCAGass[Room no.]=#REF!)))"),"#N/A")</f>
        <v>#N/A</v>
      </c>
    </row>
    <row r="692">
      <c r="A692" s="99" t="str">
        <f>IFERROR(__xludf.DUMMYFUNCTION("transpose(unique(FILTER(dCAGass[Type],dCAGass[Room no.]=#REF!)))"),"#N/A")</f>
        <v>#N/A</v>
      </c>
    </row>
    <row r="693">
      <c r="A693" s="99" t="str">
        <f>IFERROR(__xludf.DUMMYFUNCTION("transpose(unique(FILTER(dCAGass[Type],dCAGass[Room no.]=#REF!)))"),"#N/A")</f>
        <v>#N/A</v>
      </c>
    </row>
    <row r="694">
      <c r="A694" s="99" t="str">
        <f>IFERROR(__xludf.DUMMYFUNCTION("transpose(unique(FILTER(dCAGass[Type],dCAGass[Room no.]=#REF!)))"),"#N/A")</f>
        <v>#N/A</v>
      </c>
    </row>
    <row r="695">
      <c r="A695" s="99" t="str">
        <f>IFERROR(__xludf.DUMMYFUNCTION("transpose(unique(FILTER(dCAGass[Type],dCAGass[Room no.]=#REF!)))"),"#N/A")</f>
        <v>#N/A</v>
      </c>
    </row>
    <row r="696">
      <c r="A696" s="99" t="str">
        <f>IFERROR(__xludf.DUMMYFUNCTION("transpose(unique(FILTER(dCAGass[Type],dCAGass[Room no.]=#REF!)))"),"#N/A")</f>
        <v>#N/A</v>
      </c>
    </row>
    <row r="697">
      <c r="A697" s="99" t="str">
        <f>IFERROR(__xludf.DUMMYFUNCTION("transpose(unique(FILTER(dCAGass[Type],dCAGass[Room no.]=#REF!)))"),"#N/A")</f>
        <v>#N/A</v>
      </c>
    </row>
    <row r="698">
      <c r="A698" s="99" t="str">
        <f>IFERROR(__xludf.DUMMYFUNCTION("transpose(unique(FILTER(dCAGass[Type],dCAGass[Room no.]=#REF!)))"),"#N/A")</f>
        <v>#N/A</v>
      </c>
    </row>
    <row r="699">
      <c r="A699" s="99" t="str">
        <f>IFERROR(__xludf.DUMMYFUNCTION("transpose(unique(FILTER(dCAGass[Type],dCAGass[Room no.]=#REF!)))"),"#N/A")</f>
        <v>#N/A</v>
      </c>
    </row>
    <row r="700">
      <c r="A700" s="99" t="str">
        <f>IFERROR(__xludf.DUMMYFUNCTION("transpose(unique(FILTER(dCAGass[Type],dCAGass[Room no.]=#REF!)))"),"#N/A")</f>
        <v>#N/A</v>
      </c>
    </row>
    <row r="701">
      <c r="A701" s="99" t="str">
        <f>IFERROR(__xludf.DUMMYFUNCTION("transpose(unique(FILTER(dCAGass[Type],dCAGass[Room no.]=#REF!)))"),"#N/A")</f>
        <v>#N/A</v>
      </c>
    </row>
    <row r="702">
      <c r="A702" s="99" t="str">
        <f>IFERROR(__xludf.DUMMYFUNCTION("transpose(unique(FILTER(dCAGass[Type],dCAGass[Room no.]=#REF!)))"),"#N/A")</f>
        <v>#N/A</v>
      </c>
    </row>
    <row r="703">
      <c r="A703" s="99" t="str">
        <f>IFERROR(__xludf.DUMMYFUNCTION("transpose(unique(FILTER(dCAGass[Type],dCAGass[Room no.]=#REF!)))"),"#N/A")</f>
        <v>#N/A</v>
      </c>
    </row>
    <row r="704">
      <c r="A704" s="99" t="str">
        <f>IFERROR(__xludf.DUMMYFUNCTION("transpose(unique(FILTER(dCAGass[Type],dCAGass[Room no.]=#REF!)))"),"#N/A")</f>
        <v>#N/A</v>
      </c>
    </row>
    <row r="705">
      <c r="A705" s="99" t="str">
        <f>IFERROR(__xludf.DUMMYFUNCTION("transpose(unique(FILTER(dCAGass[Type],dCAGass[Room no.]=#REF!)))"),"#N/A")</f>
        <v>#N/A</v>
      </c>
    </row>
    <row r="706">
      <c r="A706" s="99" t="str">
        <f>IFERROR(__xludf.DUMMYFUNCTION("transpose(unique(FILTER(dCAGass[Type],dCAGass[Room no.]=#REF!)))"),"#N/A")</f>
        <v>#N/A</v>
      </c>
    </row>
    <row r="707">
      <c r="A707" s="99" t="str">
        <f>IFERROR(__xludf.DUMMYFUNCTION("transpose(unique(FILTER(dCAGass[Type],dCAGass[Room no.]=#REF!)))"),"#N/A")</f>
        <v>#N/A</v>
      </c>
    </row>
    <row r="708">
      <c r="A708" s="99" t="str">
        <f>IFERROR(__xludf.DUMMYFUNCTION("transpose(unique(FILTER(dCAGass[Type],dCAGass[Room no.]=#REF!)))"),"#N/A")</f>
        <v>#N/A</v>
      </c>
    </row>
    <row r="709">
      <c r="A709" s="99" t="str">
        <f>IFERROR(__xludf.DUMMYFUNCTION("transpose(unique(FILTER(dCAGass[Type],dCAGass[Room no.]=#REF!)))"),"#N/A")</f>
        <v>#N/A</v>
      </c>
    </row>
    <row r="710">
      <c r="A710" s="99" t="str">
        <f>IFERROR(__xludf.DUMMYFUNCTION("transpose(unique(FILTER(dCAGass[Type],dCAGass[Room no.]=#REF!)))"),"#N/A")</f>
        <v>#N/A</v>
      </c>
    </row>
    <row r="711">
      <c r="A711" s="99" t="str">
        <f>IFERROR(__xludf.DUMMYFUNCTION("transpose(unique(FILTER(dCAGass[Type],dCAGass[Room no.]=#REF!)))"),"#N/A")</f>
        <v>#N/A</v>
      </c>
    </row>
    <row r="712">
      <c r="A712" s="99" t="str">
        <f>IFERROR(__xludf.DUMMYFUNCTION("transpose(unique(FILTER(dCAGass[Type],dCAGass[Room no.]=#REF!)))"),"#N/A")</f>
        <v>#N/A</v>
      </c>
    </row>
    <row r="713">
      <c r="A713" s="99" t="str">
        <f>IFERROR(__xludf.DUMMYFUNCTION("transpose(unique(FILTER(dCAGass[Type],dCAGass[Room no.]=#REF!)))"),"#N/A")</f>
        <v>#N/A</v>
      </c>
    </row>
    <row r="714">
      <c r="A714" s="99" t="str">
        <f>IFERROR(__xludf.DUMMYFUNCTION("transpose(unique(FILTER(dCAGass[Type],dCAGass[Room no.]=#REF!)))"),"#N/A")</f>
        <v>#N/A</v>
      </c>
    </row>
    <row r="715">
      <c r="A715" s="99" t="str">
        <f>IFERROR(__xludf.DUMMYFUNCTION("transpose(unique(FILTER(dCAGass[Type],dCAGass[Room no.]=#REF!)))"),"#N/A")</f>
        <v>#N/A</v>
      </c>
    </row>
    <row r="716">
      <c r="A716" s="99" t="str">
        <f>IFERROR(__xludf.DUMMYFUNCTION("transpose(unique(FILTER(dCAGass[Type],dCAGass[Room no.]=#REF!)))"),"#N/A")</f>
        <v>#N/A</v>
      </c>
    </row>
    <row r="717">
      <c r="A717" s="99" t="str">
        <f>IFERROR(__xludf.DUMMYFUNCTION("transpose(unique(FILTER(dCAGass[Type],dCAGass[Room no.]=#REF!)))"),"#N/A")</f>
        <v>#N/A</v>
      </c>
    </row>
    <row r="718">
      <c r="A718" s="99" t="str">
        <f>IFERROR(__xludf.DUMMYFUNCTION("transpose(unique(FILTER(dCAGass[Type],dCAGass[Room no.]=#REF!)))"),"#N/A")</f>
        <v>#N/A</v>
      </c>
    </row>
    <row r="719">
      <c r="A719" s="99" t="str">
        <f>IFERROR(__xludf.DUMMYFUNCTION("transpose(unique(FILTER(dCAGass[Type],dCAGass[Room no.]=#REF!)))"),"#N/A")</f>
        <v>#N/A</v>
      </c>
    </row>
    <row r="720">
      <c r="A720" s="99" t="str">
        <f>IFERROR(__xludf.DUMMYFUNCTION("transpose(unique(FILTER(dCAGass[Type],dCAGass[Room no.]=#REF!)))"),"#N/A")</f>
        <v>#N/A</v>
      </c>
    </row>
    <row r="721">
      <c r="A721" s="99" t="str">
        <f>IFERROR(__xludf.DUMMYFUNCTION("transpose(unique(FILTER(dCAGass[Type],dCAGass[Room no.]='records-CA Gass'!D85)))"),"#N/A")</f>
        <v>#N/A</v>
      </c>
    </row>
    <row r="722">
      <c r="A722" s="99" t="str">
        <f>IFERROR(__xludf.DUMMYFUNCTION("transpose(unique(FILTER(dCAGass[Type],dCAGass[Room no.]='records-CA Gass'!D86)))"),"#N/A")</f>
        <v>#N/A</v>
      </c>
    </row>
    <row r="723">
      <c r="A723" s="99" t="str">
        <f>IFERROR(__xludf.DUMMYFUNCTION("transpose(unique(FILTER(dCAGass[Type],dCAGass[Room no.]='records-CA Gass'!D87)))"),"#N/A")</f>
        <v>#N/A</v>
      </c>
    </row>
    <row r="724">
      <c r="A724" s="99" t="str">
        <f>IFERROR(__xludf.DUMMYFUNCTION("transpose(unique(FILTER(dCAGass[Type],dCAGass[Room no.]='records-CA Gass'!D88)))"),"#N/A")</f>
        <v>#N/A</v>
      </c>
    </row>
    <row r="725">
      <c r="A725" s="99" t="str">
        <f>IFERROR(__xludf.DUMMYFUNCTION("transpose(unique(FILTER(dCAGass[Type],dCAGass[Room no.]='records-CA Gass'!D89)))"),"#N/A")</f>
        <v>#N/A</v>
      </c>
    </row>
    <row r="726">
      <c r="A726" s="99" t="str">
        <f>IFERROR(__xludf.DUMMYFUNCTION("transpose(unique(FILTER(dCAGass[Type],dCAGass[Room no.]='records-CA Gass'!D90)))"),"#N/A")</f>
        <v>#N/A</v>
      </c>
    </row>
    <row r="727">
      <c r="A727" s="99" t="str">
        <f>IFERROR(__xludf.DUMMYFUNCTION("transpose(unique(FILTER(dCAGass[Type],dCAGass[Room no.]='records-CA Gass'!D91)))"),"#N/A")</f>
        <v>#N/A</v>
      </c>
    </row>
    <row r="728">
      <c r="A728" s="99" t="str">
        <f>IFERROR(__xludf.DUMMYFUNCTION("transpose(unique(FILTER(dCAGass[Type],dCAGass[Room no.]='records-CA Gass'!D92)))"),"#N/A")</f>
        <v>#N/A</v>
      </c>
    </row>
    <row r="729">
      <c r="A729" s="99" t="str">
        <f>IFERROR(__xludf.DUMMYFUNCTION("transpose(unique(FILTER(dCAGass[Type],dCAGass[Room no.]='records-CA Gass'!D93)))"),"#N/A")</f>
        <v>#N/A</v>
      </c>
    </row>
    <row r="730">
      <c r="A730" s="99" t="str">
        <f>IFERROR(__xludf.DUMMYFUNCTION("transpose(unique(FILTER(dCAGass[Type],dCAGass[Room no.]='records-CA Gass'!D94)))"),"#N/A")</f>
        <v>#N/A</v>
      </c>
    </row>
    <row r="731">
      <c r="A731" s="99" t="str">
        <f>IFERROR(__xludf.DUMMYFUNCTION("transpose(unique(FILTER(dCAGass[Type],dCAGass[Room no.]='records-CA Gass'!D95)))"),"#N/A")</f>
        <v>#N/A</v>
      </c>
    </row>
    <row r="732">
      <c r="A732" s="99" t="str">
        <f>IFERROR(__xludf.DUMMYFUNCTION("transpose(unique(FILTER(dCAGass[Type],dCAGass[Room no.]='records-CA Gass'!D96)))"),"#N/A")</f>
        <v>#N/A</v>
      </c>
    </row>
    <row r="733">
      <c r="A733" s="99" t="str">
        <f>IFERROR(__xludf.DUMMYFUNCTION("transpose(unique(FILTER(dCAGass[Type],dCAGass[Room no.]='records-CA Gass'!D97)))"),"#N/A")</f>
        <v>#N/A</v>
      </c>
    </row>
    <row r="734">
      <c r="A734" s="99" t="str">
        <f>IFERROR(__xludf.DUMMYFUNCTION("transpose(unique(FILTER(dCAGass[Type],dCAGass[Room no.]='records-CA Gass'!D98)))"),"#N/A")</f>
        <v>#N/A</v>
      </c>
    </row>
    <row r="735">
      <c r="A735" s="99" t="str">
        <f>IFERROR(__xludf.DUMMYFUNCTION("transpose(unique(FILTER(dCAGass[Type],dCAGass[Room no.]='records-CA Gass'!D99)))"),"#N/A")</f>
        <v>#N/A</v>
      </c>
    </row>
    <row r="736">
      <c r="A736" s="99" t="str">
        <f>IFERROR(__xludf.DUMMYFUNCTION("transpose(unique(FILTER(dCAGass[Type],dCAGass[Room no.]='records-CA Gass'!D100)))"),"#N/A")</f>
        <v>#N/A</v>
      </c>
    </row>
    <row r="737">
      <c r="A737" s="99" t="str">
        <f>IFERROR(__xludf.DUMMYFUNCTION("transpose(unique(FILTER(dCAGass[Type],dCAGass[Room no.]='records-CA Gass'!D101)))"),"#N/A")</f>
        <v>#N/A</v>
      </c>
    </row>
    <row r="738">
      <c r="A738" s="99" t="str">
        <f>IFERROR(__xludf.DUMMYFUNCTION("transpose(unique(FILTER(dCAGass[Type],dCAGass[Room no.]='records-CA Gass'!D102)))"),"#N/A")</f>
        <v>#N/A</v>
      </c>
    </row>
    <row r="739">
      <c r="A739" s="99" t="str">
        <f>IFERROR(__xludf.DUMMYFUNCTION("transpose(unique(FILTER(dCAGass[Type],dCAGass[Room no.]='records-CA Gass'!D103)))"),"#N/A")</f>
        <v>#N/A</v>
      </c>
    </row>
    <row r="740">
      <c r="A740" s="99" t="str">
        <f>IFERROR(__xludf.DUMMYFUNCTION("transpose(unique(FILTER(dCAGass[Type],dCAGass[Room no.]='records-CA Gass'!D104)))"),"#N/A")</f>
        <v>#N/A</v>
      </c>
    </row>
    <row r="741">
      <c r="A741" s="99" t="str">
        <f>IFERROR(__xludf.DUMMYFUNCTION("transpose(unique(FILTER(dCAGass[Type],dCAGass[Room no.]='records-CA Gass'!D105)))"),"#N/A")</f>
        <v>#N/A</v>
      </c>
    </row>
    <row r="742">
      <c r="A742" s="99" t="str">
        <f>IFERROR(__xludf.DUMMYFUNCTION("transpose(unique(FILTER(dCAGass[Type],dCAGass[Room no.]='records-CA Gass'!D106)))"),"#N/A")</f>
        <v>#N/A</v>
      </c>
    </row>
    <row r="743">
      <c r="A743" s="99" t="str">
        <f>IFERROR(__xludf.DUMMYFUNCTION("transpose(unique(FILTER(dCAGass[Type],dCAGass[Room no.]='records-CA Gass'!D107)))"),"#N/A")</f>
        <v>#N/A</v>
      </c>
    </row>
    <row r="744">
      <c r="A744" s="99" t="str">
        <f>IFERROR(__xludf.DUMMYFUNCTION("transpose(unique(FILTER(dCAGass[Type],dCAGass[Room no.]='records-CA Gass'!D108)))"),"#N/A")</f>
        <v>#N/A</v>
      </c>
    </row>
    <row r="745">
      <c r="A745" s="99" t="str">
        <f>IFERROR(__xludf.DUMMYFUNCTION("transpose(unique(FILTER(dCAGass[Type],dCAGass[Room no.]='records-CA Gass'!D109)))"),"#N/A")</f>
        <v>#N/A</v>
      </c>
    </row>
    <row r="746">
      <c r="A746" s="99" t="str">
        <f>IFERROR(__xludf.DUMMYFUNCTION("transpose(unique(FILTER(dCAGass[Type],dCAGass[Room no.]='records-CA Gass'!D110)))"),"#N/A")</f>
        <v>#N/A</v>
      </c>
    </row>
    <row r="747">
      <c r="A747" s="99" t="str">
        <f>IFERROR(__xludf.DUMMYFUNCTION("transpose(unique(FILTER(dCAGass[Type],dCAGass[Room no.]='records-CA Gass'!D111)))"),"#N/A")</f>
        <v>#N/A</v>
      </c>
    </row>
    <row r="748">
      <c r="A748" s="99" t="str">
        <f>IFERROR(__xludf.DUMMYFUNCTION("transpose(unique(FILTER(dCAGass[Type],dCAGass[Room no.]='records-CA Gass'!D112)))"),"#N/A")</f>
        <v>#N/A</v>
      </c>
    </row>
    <row r="749">
      <c r="A749" s="99" t="str">
        <f>IFERROR(__xludf.DUMMYFUNCTION("transpose(unique(FILTER(dCAGass[Type],dCAGass[Room no.]='records-CA Gass'!D113)))"),"#N/A")</f>
        <v>#N/A</v>
      </c>
    </row>
    <row r="750">
      <c r="A750" s="99" t="str">
        <f>IFERROR(__xludf.DUMMYFUNCTION("transpose(unique(FILTER(dCAGass[Type],dCAGass[Room no.]='records-CA Gass'!D114)))"),"#N/A")</f>
        <v>#N/A</v>
      </c>
    </row>
    <row r="751">
      <c r="A751" s="99" t="str">
        <f>IFERROR(__xludf.DUMMYFUNCTION("transpose(unique(FILTER(dCAGass[Type],dCAGass[Room no.]='records-CA Gass'!D115)))"),"#N/A")</f>
        <v>#N/A</v>
      </c>
    </row>
    <row r="752">
      <c r="A752" s="99" t="str">
        <f>IFERROR(__xludf.DUMMYFUNCTION("transpose(unique(FILTER(dCAGass[Type],dCAGass[Room no.]='records-CA Gass'!D116)))"),"#N/A")</f>
        <v>#N/A</v>
      </c>
    </row>
    <row r="753">
      <c r="A753" s="99" t="str">
        <f>IFERROR(__xludf.DUMMYFUNCTION("transpose(unique(FILTER(dCAGass[Type],dCAGass[Room no.]='records-CA Gass'!D117)))"),"#N/A")</f>
        <v>#N/A</v>
      </c>
    </row>
    <row r="754">
      <c r="A754" s="99" t="str">
        <f>IFERROR(__xludf.DUMMYFUNCTION("transpose(unique(FILTER(dCAGass[Type],dCAGass[Room no.]='records-CA Gass'!D118)))"),"#N/A")</f>
        <v>#N/A</v>
      </c>
    </row>
    <row r="755">
      <c r="A755" s="99" t="str">
        <f>IFERROR(__xludf.DUMMYFUNCTION("transpose(unique(FILTER(dCAGass[Type],dCAGass[Room no.]='records-CA Gass'!D119)))"),"#N/A")</f>
        <v>#N/A</v>
      </c>
    </row>
    <row r="756">
      <c r="A756" s="99" t="str">
        <f>IFERROR(__xludf.DUMMYFUNCTION("transpose(unique(FILTER(dCAGass[Type],dCAGass[Room no.]='records-CA Gass'!D120)))"),"#N/A")</f>
        <v>#N/A</v>
      </c>
    </row>
    <row r="757">
      <c r="A757" s="99" t="str">
        <f>IFERROR(__xludf.DUMMYFUNCTION("transpose(unique(FILTER(dCAGass[Type],dCAGass[Room no.]='records-CA Gass'!D121)))"),"#N/A")</f>
        <v>#N/A</v>
      </c>
    </row>
    <row r="758">
      <c r="A758" s="99" t="str">
        <f>IFERROR(__xludf.DUMMYFUNCTION("transpose(unique(FILTER(dCAGass[Type],dCAGass[Room no.]='records-CA Gass'!D122)))"),"#N/A")</f>
        <v>#N/A</v>
      </c>
    </row>
    <row r="759">
      <c r="A759" s="99" t="str">
        <f>IFERROR(__xludf.DUMMYFUNCTION("transpose(unique(FILTER(dCAGass[Type],dCAGass[Room no.]='records-CA Gass'!D123)))"),"#N/A")</f>
        <v>#N/A</v>
      </c>
    </row>
    <row r="760">
      <c r="A760" s="99" t="str">
        <f>IFERROR(__xludf.DUMMYFUNCTION("transpose(unique(FILTER(dCAGass[Type],dCAGass[Room no.]='records-CA Gass'!D124)))"),"#N/A")</f>
        <v>#N/A</v>
      </c>
    </row>
    <row r="761">
      <c r="A761" s="99" t="str">
        <f>IFERROR(__xludf.DUMMYFUNCTION("transpose(unique(FILTER(dCAGass[Type],dCAGass[Room no.]='records-CA Gass'!D125)))"),"#N/A")</f>
        <v>#N/A</v>
      </c>
    </row>
    <row r="762">
      <c r="A762" s="99" t="str">
        <f>IFERROR(__xludf.DUMMYFUNCTION("transpose(unique(FILTER(dCAGass[Type],dCAGass[Room no.]='records-CA Gass'!D126)))"),"#N/A")</f>
        <v>#N/A</v>
      </c>
    </row>
    <row r="763">
      <c r="A763" s="99" t="str">
        <f>IFERROR(__xludf.DUMMYFUNCTION("transpose(unique(FILTER(dCAGass[Type],dCAGass[Room no.]='records-CA Gass'!D127)))"),"#N/A")</f>
        <v>#N/A</v>
      </c>
    </row>
    <row r="764">
      <c r="A764" s="99" t="str">
        <f>IFERROR(__xludf.DUMMYFUNCTION("transpose(unique(FILTER(dCAGass[Type],dCAGass[Room no.]='records-CA Gass'!D128)))"),"#N/A")</f>
        <v>#N/A</v>
      </c>
    </row>
    <row r="765">
      <c r="A765" s="99" t="str">
        <f>IFERROR(__xludf.DUMMYFUNCTION("transpose(unique(FILTER(dCAGass[Type],dCAGass[Room no.]='records-CA Gass'!D129)))"),"#N/A")</f>
        <v>#N/A</v>
      </c>
    </row>
    <row r="766">
      <c r="A766" s="99" t="str">
        <f>IFERROR(__xludf.DUMMYFUNCTION("transpose(unique(FILTER(dCAGass[Type],dCAGass[Room no.]='records-CA Gass'!D130)))"),"#N/A")</f>
        <v>#N/A</v>
      </c>
    </row>
    <row r="767">
      <c r="A767" s="99" t="str">
        <f>IFERROR(__xludf.DUMMYFUNCTION("transpose(unique(FILTER(dCAGass[Type],dCAGass[Room no.]='records-CA Gass'!D131)))"),"#N/A")</f>
        <v>#N/A</v>
      </c>
    </row>
    <row r="768">
      <c r="A768" s="99" t="str">
        <f>IFERROR(__xludf.DUMMYFUNCTION("transpose(unique(FILTER(dCAGass[Type],dCAGass[Room no.]='records-CA Gass'!D132)))"),"#N/A")</f>
        <v>#N/A</v>
      </c>
    </row>
    <row r="769">
      <c r="A769" s="99" t="str">
        <f>IFERROR(__xludf.DUMMYFUNCTION("transpose(unique(FILTER(dCAGass[Type],dCAGass[Room no.]='records-CA Gass'!D133)))"),"#N/A")</f>
        <v>#N/A</v>
      </c>
    </row>
    <row r="770">
      <c r="A770" s="99" t="str">
        <f>IFERROR(__xludf.DUMMYFUNCTION("transpose(unique(FILTER(dCAGass[Type],dCAGass[Room no.]='records-CA Gass'!D134)))"),"#N/A")</f>
        <v>#N/A</v>
      </c>
    </row>
    <row r="771">
      <c r="A771" s="99" t="str">
        <f>IFERROR(__xludf.DUMMYFUNCTION("transpose(unique(FILTER(dCAGass[Type],dCAGass[Room no.]='records-CA Gass'!D135)))"),"#N/A")</f>
        <v>#N/A</v>
      </c>
    </row>
    <row r="772">
      <c r="A772" s="99" t="str">
        <f>IFERROR(__xludf.DUMMYFUNCTION("transpose(unique(FILTER(dCAGass[Type],dCAGass[Room no.]='records-CA Gass'!D136)))"),"#N/A")</f>
        <v>#N/A</v>
      </c>
    </row>
    <row r="773">
      <c r="A773" s="99" t="str">
        <f>IFERROR(__xludf.DUMMYFUNCTION("transpose(unique(FILTER(dCAGass[Type],dCAGass[Room no.]='records-CA Gass'!D137)))"),"#N/A")</f>
        <v>#N/A</v>
      </c>
    </row>
    <row r="774">
      <c r="A774" s="99" t="str">
        <f>IFERROR(__xludf.DUMMYFUNCTION("transpose(unique(FILTER(dCAGass[Type],dCAGass[Room no.]='records-CA Gass'!D138)))"),"#N/A")</f>
        <v>#N/A</v>
      </c>
    </row>
    <row r="775">
      <c r="A775" s="99" t="str">
        <f>IFERROR(__xludf.DUMMYFUNCTION("transpose(unique(FILTER(dCAGass[Type],dCAGass[Room no.]='records-CA Gass'!D139)))"),"#N/A")</f>
        <v>#N/A</v>
      </c>
    </row>
    <row r="776">
      <c r="A776" s="99" t="str">
        <f>IFERROR(__xludf.DUMMYFUNCTION("transpose(unique(FILTER(dCAGass[Type],dCAGass[Room no.]='records-CA Gass'!D140)))"),"#N/A")</f>
        <v>#N/A</v>
      </c>
    </row>
    <row r="777">
      <c r="A777" s="99" t="str">
        <f>IFERROR(__xludf.DUMMYFUNCTION("transpose(unique(FILTER(dCAGass[Type],dCAGass[Room no.]='records-CA Gass'!D141)))"),"#N/A")</f>
        <v>#N/A</v>
      </c>
    </row>
    <row r="778">
      <c r="A778" s="99" t="str">
        <f>IFERROR(__xludf.DUMMYFUNCTION("transpose(unique(FILTER(dCAGass[Type],dCAGass[Room no.]='records-CA Gass'!D142)))"),"#N/A")</f>
        <v>#N/A</v>
      </c>
    </row>
    <row r="779">
      <c r="A779" s="99" t="str">
        <f>IFERROR(__xludf.DUMMYFUNCTION("transpose(unique(FILTER(dCAGass[Type],dCAGass[Room no.]='records-CA Gass'!D143)))"),"#N/A")</f>
        <v>#N/A</v>
      </c>
    </row>
    <row r="780">
      <c r="A780" s="99" t="str">
        <f>IFERROR(__xludf.DUMMYFUNCTION("transpose(unique(FILTER(dCAGass[Type],dCAGass[Room no.]='records-CA Gass'!D144)))"),"#N/A")</f>
        <v>#N/A</v>
      </c>
    </row>
    <row r="781">
      <c r="A781" s="99" t="str">
        <f>IFERROR(__xludf.DUMMYFUNCTION("transpose(unique(FILTER(dCAGass[Type],dCAGass[Room no.]='records-CA Gass'!D145)))"),"#N/A")</f>
        <v>#N/A</v>
      </c>
    </row>
    <row r="782">
      <c r="A782" s="99" t="str">
        <f>IFERROR(__xludf.DUMMYFUNCTION("transpose(unique(FILTER(dCAGass[Type],dCAGass[Room no.]='records-CA Gass'!D146)))"),"#N/A")</f>
        <v>#N/A</v>
      </c>
    </row>
    <row r="783">
      <c r="A783" s="99" t="str">
        <f>IFERROR(__xludf.DUMMYFUNCTION("transpose(unique(FILTER(dCAGass[Type],dCAGass[Room no.]='records-CA Gass'!D147)))"),"#N/A")</f>
        <v>#N/A</v>
      </c>
    </row>
    <row r="784">
      <c r="A784" s="99" t="str">
        <f>IFERROR(__xludf.DUMMYFUNCTION("transpose(unique(FILTER(dCAGass[Type],dCAGass[Room no.]='records-CA Gass'!D148)))"),"#N/A")</f>
        <v>#N/A</v>
      </c>
    </row>
    <row r="785">
      <c r="A785" s="99" t="str">
        <f>IFERROR(__xludf.DUMMYFUNCTION("transpose(unique(FILTER(dCAGass[Type],dCAGass[Room no.]='records-CA Gass'!D149)))"),"#N/A")</f>
        <v>#N/A</v>
      </c>
    </row>
    <row r="786">
      <c r="A786" s="99" t="str">
        <f>IFERROR(__xludf.DUMMYFUNCTION("transpose(unique(FILTER(dCAGass[Type],dCAGass[Room no.]='records-CA Gass'!D150)))"),"#N/A")</f>
        <v>#N/A</v>
      </c>
    </row>
    <row r="787">
      <c r="A787" s="99" t="str">
        <f>IFERROR(__xludf.DUMMYFUNCTION("transpose(unique(FILTER(dCAGass[Type],dCAGass[Room no.]='records-CA Gass'!D151)))"),"#N/A")</f>
        <v>#N/A</v>
      </c>
    </row>
    <row r="788">
      <c r="A788" s="99" t="str">
        <f>IFERROR(__xludf.DUMMYFUNCTION("transpose(unique(FILTER(dCAGass[Type],dCAGass[Room no.]='records-CA Gass'!D152)))"),"#N/A")</f>
        <v>#N/A</v>
      </c>
    </row>
    <row r="789">
      <c r="A789" s="99" t="str">
        <f>IFERROR(__xludf.DUMMYFUNCTION("transpose(unique(FILTER(dCAGass[Type],dCAGass[Room no.]='records-CA Gass'!D153)))"),"#N/A")</f>
        <v>#N/A</v>
      </c>
    </row>
    <row r="790">
      <c r="A790" s="99" t="str">
        <f>IFERROR(__xludf.DUMMYFUNCTION("transpose(unique(FILTER(dCAGass[Type],dCAGass[Room no.]='records-CA Gass'!D154)))"),"#N/A")</f>
        <v>#N/A</v>
      </c>
    </row>
    <row r="791">
      <c r="A791" s="99" t="str">
        <f>IFERROR(__xludf.DUMMYFUNCTION("transpose(unique(FILTER(dCAGass[Type],dCAGass[Room no.]='records-CA Gass'!D155)))"),"#N/A")</f>
        <v>#N/A</v>
      </c>
    </row>
    <row r="792">
      <c r="A792" s="99" t="str">
        <f>IFERROR(__xludf.DUMMYFUNCTION("transpose(unique(FILTER(dCAGass[Type],dCAGass[Room no.]='records-CA Gass'!D156)))"),"#N/A")</f>
        <v>#N/A</v>
      </c>
    </row>
    <row r="793">
      <c r="A793" s="99" t="str">
        <f>IFERROR(__xludf.DUMMYFUNCTION("transpose(unique(FILTER(dCAGass[Type],dCAGass[Room no.]='records-CA Gass'!D157)))"),"#N/A")</f>
        <v>#N/A</v>
      </c>
    </row>
    <row r="794">
      <c r="A794" s="99" t="str">
        <f>IFERROR(__xludf.DUMMYFUNCTION("transpose(unique(FILTER(dCAGass[Type],dCAGass[Room no.]='records-CA Gass'!D158)))"),"#N/A")</f>
        <v>#N/A</v>
      </c>
    </row>
    <row r="795">
      <c r="A795" s="99" t="str">
        <f>IFERROR(__xludf.DUMMYFUNCTION("transpose(unique(FILTER(dCAGass[Type],dCAGass[Room no.]='records-CA Gass'!D159)))"),"#N/A")</f>
        <v>#N/A</v>
      </c>
    </row>
    <row r="796">
      <c r="A796" s="99" t="str">
        <f>IFERROR(__xludf.DUMMYFUNCTION("transpose(unique(FILTER(dCAGass[Type],dCAGass[Room no.]='records-CA Gass'!D160)))"),"#N/A")</f>
        <v>#N/A</v>
      </c>
    </row>
    <row r="797">
      <c r="A797" s="99" t="str">
        <f>IFERROR(__xludf.DUMMYFUNCTION("transpose(unique(FILTER(dCAGass[Type],dCAGass[Room no.]='records-CA Gass'!D161)))"),"#N/A")</f>
        <v>#N/A</v>
      </c>
    </row>
    <row r="798">
      <c r="A798" s="99" t="str">
        <f>IFERROR(__xludf.DUMMYFUNCTION("transpose(unique(FILTER(dCAGass[Type],dCAGass[Room no.]='records-CA Gass'!D162)))"),"#N/A")</f>
        <v>#N/A</v>
      </c>
    </row>
    <row r="799">
      <c r="A799" s="99" t="str">
        <f>IFERROR(__xludf.DUMMYFUNCTION("transpose(unique(FILTER(dCAGass[Type],dCAGass[Room no.]='records-CA Gass'!D163)))"),"#N/A")</f>
        <v>#N/A</v>
      </c>
    </row>
    <row r="800">
      <c r="A800" s="99" t="str">
        <f>IFERROR(__xludf.DUMMYFUNCTION("transpose(unique(FILTER(dCAGass[Type],dCAGass[Room no.]='records-CA Gass'!D164)))"),"#N/A")</f>
        <v>#N/A</v>
      </c>
    </row>
    <row r="801">
      <c r="A801" s="99" t="str">
        <f>IFERROR(__xludf.DUMMYFUNCTION("transpose(unique(FILTER(dCAGass[Type],dCAGass[Room no.]='records-CA Gass'!D165)))"),"#N/A")</f>
        <v>#N/A</v>
      </c>
    </row>
    <row r="802">
      <c r="A802" s="99" t="str">
        <f>IFERROR(__xludf.DUMMYFUNCTION("transpose(unique(FILTER(dCAGass[Type],dCAGass[Room no.]='records-CA Gass'!D166)))"),"#N/A")</f>
        <v>#N/A</v>
      </c>
    </row>
    <row r="803">
      <c r="A803" s="99" t="str">
        <f>IFERROR(__xludf.DUMMYFUNCTION("transpose(unique(FILTER(dCAGass[Type],dCAGass[Room no.]='records-CA Gass'!D167)))"),"#N/A")</f>
        <v>#N/A</v>
      </c>
    </row>
    <row r="804">
      <c r="A804" s="99" t="str">
        <f>IFERROR(__xludf.DUMMYFUNCTION("transpose(unique(FILTER(dCAGass[Type],dCAGass[Room no.]='records-CA Gass'!D168)))"),"#N/A")</f>
        <v>#N/A</v>
      </c>
    </row>
    <row r="805">
      <c r="A805" s="99" t="str">
        <f>IFERROR(__xludf.DUMMYFUNCTION("transpose(unique(FILTER(dCAGass[Type],dCAGass[Room no.]='records-CA Gass'!D169)))"),"#N/A")</f>
        <v>#N/A</v>
      </c>
    </row>
    <row r="806">
      <c r="A806" s="99" t="str">
        <f>IFERROR(__xludf.DUMMYFUNCTION("transpose(unique(FILTER(dCAGass[Type],dCAGass[Room no.]='records-CA Gass'!D170)))"),"#N/A")</f>
        <v>#N/A</v>
      </c>
    </row>
    <row r="807">
      <c r="A807" s="99" t="str">
        <f>IFERROR(__xludf.DUMMYFUNCTION("transpose(unique(FILTER(dCAGass[Type],dCAGass[Room no.]='records-CA Gass'!D171)))"),"#N/A")</f>
        <v>#N/A</v>
      </c>
    </row>
    <row r="808">
      <c r="A808" s="99" t="str">
        <f>IFERROR(__xludf.DUMMYFUNCTION("transpose(unique(FILTER(dCAGass[Type],dCAGass[Room no.]='records-CA Gass'!D172)))"),"#N/A")</f>
        <v>#N/A</v>
      </c>
    </row>
    <row r="809">
      <c r="A809" s="99" t="str">
        <f>IFERROR(__xludf.DUMMYFUNCTION("transpose(unique(FILTER(dCAGass[Type],dCAGass[Room no.]='records-CA Gass'!D173)))"),"#N/A")</f>
        <v>#N/A</v>
      </c>
    </row>
    <row r="810">
      <c r="A810" s="99" t="str">
        <f>IFERROR(__xludf.DUMMYFUNCTION("transpose(unique(FILTER(dCAGass[Type],dCAGass[Room no.]='records-CA Gass'!D174)))"),"#N/A")</f>
        <v>#N/A</v>
      </c>
    </row>
    <row r="811">
      <c r="A811" s="99" t="str">
        <f>IFERROR(__xludf.DUMMYFUNCTION("transpose(unique(FILTER(dCAGass[Type],dCAGass[Room no.]='records-CA Gass'!D175)))"),"#N/A")</f>
        <v>#N/A</v>
      </c>
    </row>
    <row r="812">
      <c r="A812" s="99" t="str">
        <f>IFERROR(__xludf.DUMMYFUNCTION("transpose(unique(FILTER(dCAGass[Type],dCAGass[Room no.]='records-CA Gass'!D176)))"),"#N/A")</f>
        <v>#N/A</v>
      </c>
    </row>
    <row r="813">
      <c r="A813" s="99" t="str">
        <f>IFERROR(__xludf.DUMMYFUNCTION("transpose(unique(FILTER(dCAGass[Type],dCAGass[Room no.]='records-CA Gass'!D177)))"),"#N/A")</f>
        <v>#N/A</v>
      </c>
    </row>
    <row r="814">
      <c r="A814" s="99" t="str">
        <f>IFERROR(__xludf.DUMMYFUNCTION("transpose(unique(FILTER(dCAGass[Type],dCAGass[Room no.]='records-CA Gass'!D178)))"),"#N/A")</f>
        <v>#N/A</v>
      </c>
    </row>
    <row r="815">
      <c r="A815" s="99" t="str">
        <f>IFERROR(__xludf.DUMMYFUNCTION("transpose(unique(FILTER(dCAGass[Type],dCAGass[Room no.]='records-CA Gass'!D179)))"),"#N/A")</f>
        <v>#N/A</v>
      </c>
    </row>
    <row r="816">
      <c r="A816" s="99" t="str">
        <f>IFERROR(__xludf.DUMMYFUNCTION("transpose(unique(FILTER(dCAGass[Type],dCAGass[Room no.]='records-CA Gass'!D180)))"),"#N/A")</f>
        <v>#N/A</v>
      </c>
    </row>
    <row r="817">
      <c r="A817" s="99" t="str">
        <f>IFERROR(__xludf.DUMMYFUNCTION("transpose(unique(FILTER(dCAGass[Type],dCAGass[Room no.]='records-CA Gass'!D181)))"),"#N/A")</f>
        <v>#N/A</v>
      </c>
    </row>
    <row r="818">
      <c r="A818" s="99" t="str">
        <f>IFERROR(__xludf.DUMMYFUNCTION("transpose(unique(FILTER(dCAGass[Type],dCAGass[Room no.]='records-CA Gass'!D182)))"),"#N/A")</f>
        <v>#N/A</v>
      </c>
    </row>
    <row r="819">
      <c r="A819" s="99" t="str">
        <f>IFERROR(__xludf.DUMMYFUNCTION("transpose(unique(FILTER(dCAGass[Type],dCAGass[Room no.]='records-CA Gass'!D183)))"),"#N/A")</f>
        <v>#N/A</v>
      </c>
    </row>
    <row r="820">
      <c r="A820" s="99" t="str">
        <f>IFERROR(__xludf.DUMMYFUNCTION("transpose(unique(FILTER(dCAGass[Type],dCAGass[Room no.]='records-CA Gass'!D184)))"),"#N/A")</f>
        <v>#N/A</v>
      </c>
    </row>
    <row r="821">
      <c r="A821" s="99" t="str">
        <f>IFERROR(__xludf.DUMMYFUNCTION("transpose(unique(FILTER(dCAGass[Type],dCAGass[Room no.]='records-CA Gass'!D185)))"),"#N/A")</f>
        <v>#N/A</v>
      </c>
    </row>
    <row r="822">
      <c r="A822" s="99" t="str">
        <f>IFERROR(__xludf.DUMMYFUNCTION("transpose(unique(FILTER(dCAGass[Type],dCAGass[Room no.]='records-CA Gass'!D186)))"),"#N/A")</f>
        <v>#N/A</v>
      </c>
    </row>
    <row r="823">
      <c r="A823" s="99" t="str">
        <f>IFERROR(__xludf.DUMMYFUNCTION("transpose(unique(FILTER(dCAGass[Type],dCAGass[Room no.]='records-CA Gass'!D187)))"),"#N/A")</f>
        <v>#N/A</v>
      </c>
    </row>
    <row r="824">
      <c r="A824" s="99" t="str">
        <f>IFERROR(__xludf.DUMMYFUNCTION("transpose(unique(FILTER(dCAGass[Type],dCAGass[Room no.]='records-CA Gass'!D188)))"),"#N/A")</f>
        <v>#N/A</v>
      </c>
    </row>
    <row r="825">
      <c r="A825" s="99" t="str">
        <f>IFERROR(__xludf.DUMMYFUNCTION("transpose(unique(FILTER(dCAGass[Type],dCAGass[Room no.]='records-CA Gass'!D189)))"),"#N/A")</f>
        <v>#N/A</v>
      </c>
    </row>
    <row r="826">
      <c r="A826" s="99" t="str">
        <f>IFERROR(__xludf.DUMMYFUNCTION("transpose(unique(FILTER(dCAGass[Type],dCAGass[Room no.]='records-CA Gass'!D190)))"),"#N/A")</f>
        <v>#N/A</v>
      </c>
    </row>
    <row r="827">
      <c r="A827" s="99" t="str">
        <f>IFERROR(__xludf.DUMMYFUNCTION("transpose(unique(FILTER(dCAGass[Type],dCAGass[Room no.]='records-CA Gass'!D191)))"),"#N/A")</f>
        <v>#N/A</v>
      </c>
    </row>
    <row r="828">
      <c r="A828" s="99" t="str">
        <f>IFERROR(__xludf.DUMMYFUNCTION("transpose(unique(FILTER(dCAGass[Type],dCAGass[Room no.]='records-CA Gass'!D192)))"),"#N/A")</f>
        <v>#N/A</v>
      </c>
    </row>
    <row r="829">
      <c r="A829" s="99" t="str">
        <f>IFERROR(__xludf.DUMMYFUNCTION("transpose(unique(FILTER(dCAGass[Type],dCAGass[Room no.]='records-CA Gass'!D193)))"),"#N/A")</f>
        <v>#N/A</v>
      </c>
    </row>
    <row r="830">
      <c r="A830" s="99" t="str">
        <f>IFERROR(__xludf.DUMMYFUNCTION("transpose(unique(FILTER(dCAGass[Type],dCAGass[Room no.]='records-CA Gass'!D194)))"),"#N/A")</f>
        <v>#N/A</v>
      </c>
    </row>
    <row r="831">
      <c r="A831" s="99" t="str">
        <f>IFERROR(__xludf.DUMMYFUNCTION("transpose(unique(FILTER(dCAGass[Type],dCAGass[Room no.]='records-CA Gass'!D195)))"),"#N/A")</f>
        <v>#N/A</v>
      </c>
    </row>
    <row r="832">
      <c r="A832" s="99" t="str">
        <f>IFERROR(__xludf.DUMMYFUNCTION("transpose(unique(FILTER(dCAGass[Type],dCAGass[Room no.]='records-CA Gass'!D196)))"),"#N/A")</f>
        <v>#N/A</v>
      </c>
    </row>
    <row r="833">
      <c r="A833" s="99" t="str">
        <f>IFERROR(__xludf.DUMMYFUNCTION("transpose(unique(FILTER(dCAGass[Type],dCAGass[Room no.]='records-CA Gass'!D197)))"),"#N/A")</f>
        <v>#N/A</v>
      </c>
    </row>
    <row r="834">
      <c r="A834" s="99" t="str">
        <f>IFERROR(__xludf.DUMMYFUNCTION("transpose(unique(FILTER(dCAGass[Type],dCAGass[Room no.]='records-CA Gass'!D198)))"),"#N/A")</f>
        <v>#N/A</v>
      </c>
    </row>
    <row r="835">
      <c r="A835" s="99" t="str">
        <f>IFERROR(__xludf.DUMMYFUNCTION("transpose(unique(FILTER(dCAGass[Type],dCAGass[Room no.]='records-CA Gass'!D199)))"),"#N/A")</f>
        <v>#N/A</v>
      </c>
    </row>
    <row r="836">
      <c r="A836" s="99" t="str">
        <f>IFERROR(__xludf.DUMMYFUNCTION("transpose(unique(FILTER(dCAGass[Type],dCAGass[Room no.]='records-CA Gass'!D200)))"),"#N/A")</f>
        <v>#N/A</v>
      </c>
    </row>
    <row r="837">
      <c r="A837" s="99" t="str">
        <f>IFERROR(__xludf.DUMMYFUNCTION("transpose(unique(FILTER(dCAGass[Type],dCAGass[Room no.]='records-CA Gass'!D201)))"),"#N/A")</f>
        <v>#N/A</v>
      </c>
    </row>
    <row r="838">
      <c r="A838" s="99" t="str">
        <f>IFERROR(__xludf.DUMMYFUNCTION("transpose(unique(FILTER(dCAGass[Type],dCAGass[Room no.]='records-CA Gass'!D202)))"),"#N/A")</f>
        <v>#N/A</v>
      </c>
    </row>
    <row r="839">
      <c r="A839" s="99" t="str">
        <f>IFERROR(__xludf.DUMMYFUNCTION("transpose(unique(FILTER(dCAGass[Type],dCAGass[Room no.]='records-CA Gass'!D203)))"),"#N/A")</f>
        <v>#N/A</v>
      </c>
    </row>
    <row r="840">
      <c r="A840" s="99" t="str">
        <f>IFERROR(__xludf.DUMMYFUNCTION("transpose(unique(FILTER(dCAGass[Type],dCAGass[Room no.]='records-CA Gass'!D204)))"),"#N/A")</f>
        <v>#N/A</v>
      </c>
    </row>
    <row r="841">
      <c r="A841" s="99" t="str">
        <f>IFERROR(__xludf.DUMMYFUNCTION("transpose(unique(FILTER(dCAGass[Type],dCAGass[Room no.]='records-CA Gass'!D205)))"),"#N/A")</f>
        <v>#N/A</v>
      </c>
    </row>
    <row r="842">
      <c r="A842" s="99" t="str">
        <f>IFERROR(__xludf.DUMMYFUNCTION("transpose(unique(FILTER(dCAGass[Type],dCAGass[Room no.]='records-CA Gass'!D206)))"),"#N/A")</f>
        <v>#N/A</v>
      </c>
    </row>
    <row r="843">
      <c r="A843" s="99" t="str">
        <f>IFERROR(__xludf.DUMMYFUNCTION("transpose(unique(FILTER(dCAGass[Type],dCAGass[Room no.]='records-CA Gass'!D207)))"),"#N/A")</f>
        <v>#N/A</v>
      </c>
    </row>
    <row r="844">
      <c r="A844" s="99" t="str">
        <f>IFERROR(__xludf.DUMMYFUNCTION("transpose(unique(FILTER(dCAGass[Type],dCAGass[Room no.]='records-CA Gass'!D208)))"),"#N/A")</f>
        <v>#N/A</v>
      </c>
    </row>
    <row r="845">
      <c r="A845" s="99" t="str">
        <f>IFERROR(__xludf.DUMMYFUNCTION("transpose(unique(FILTER(dCAGass[Type],dCAGass[Room no.]='records-CA Gass'!D209)))"),"#N/A")</f>
        <v>#N/A</v>
      </c>
    </row>
    <row r="846">
      <c r="A846" s="99" t="str">
        <f>IFERROR(__xludf.DUMMYFUNCTION("transpose(unique(FILTER(dCAGass[Type],dCAGass[Room no.]='records-CA Gass'!D210)))"),"#N/A")</f>
        <v>#N/A</v>
      </c>
    </row>
    <row r="847">
      <c r="A847" s="99" t="str">
        <f>IFERROR(__xludf.DUMMYFUNCTION("transpose(unique(FILTER(dCAGass[Type],dCAGass[Room no.]='records-CA Gass'!D211)))"),"#N/A")</f>
        <v>#N/A</v>
      </c>
    </row>
    <row r="848">
      <c r="A848" s="99" t="str">
        <f>IFERROR(__xludf.DUMMYFUNCTION("transpose(unique(FILTER(dCAGass[Type],dCAGass[Room no.]='records-CA Gass'!D212)))"),"#N/A")</f>
        <v>#N/A</v>
      </c>
    </row>
    <row r="849">
      <c r="A849" s="99" t="str">
        <f>IFERROR(__xludf.DUMMYFUNCTION("transpose(unique(FILTER(dCAGass[Type],dCAGass[Room no.]='records-CA Gass'!D213)))"),"#N/A")</f>
        <v>#N/A</v>
      </c>
    </row>
    <row r="850">
      <c r="A850" s="99" t="str">
        <f>IFERROR(__xludf.DUMMYFUNCTION("transpose(unique(FILTER(dCAGass[Type],dCAGass[Room no.]='records-CA Gass'!D214)))"),"#N/A")</f>
        <v>#N/A</v>
      </c>
    </row>
    <row r="851">
      <c r="A851" s="99" t="str">
        <f>IFERROR(__xludf.DUMMYFUNCTION("transpose(unique(FILTER(dCAGass[Type],dCAGass[Room no.]='records-CA Gass'!D215)))"),"#N/A")</f>
        <v>#N/A</v>
      </c>
    </row>
    <row r="852">
      <c r="A852" s="99" t="str">
        <f>IFERROR(__xludf.DUMMYFUNCTION("transpose(unique(FILTER(dCAGass[Type],dCAGass[Room no.]='records-CA Gass'!D216)))"),"#N/A")</f>
        <v>#N/A</v>
      </c>
    </row>
    <row r="853">
      <c r="A853" s="99" t="str">
        <f>IFERROR(__xludf.DUMMYFUNCTION("transpose(unique(FILTER(dCAGass[Type],dCAGass[Room no.]='records-CA Gass'!D217)))"),"#N/A")</f>
        <v>#N/A</v>
      </c>
    </row>
    <row r="854">
      <c r="A854" s="99" t="str">
        <f>IFERROR(__xludf.DUMMYFUNCTION("transpose(unique(FILTER(dCAGass[Type],dCAGass[Room no.]='records-CA Gass'!D218)))"),"#N/A")</f>
        <v>#N/A</v>
      </c>
    </row>
    <row r="855">
      <c r="A855" s="99" t="str">
        <f>IFERROR(__xludf.DUMMYFUNCTION("transpose(unique(FILTER(dCAGass[Type],dCAGass[Room no.]='records-CA Gass'!D219)))"),"#N/A")</f>
        <v>#N/A</v>
      </c>
    </row>
    <row r="856">
      <c r="A856" s="99" t="str">
        <f>IFERROR(__xludf.DUMMYFUNCTION("transpose(unique(FILTER(dCAGass[Type],dCAGass[Room no.]='records-CA Gass'!D220)))"),"#N/A")</f>
        <v>#N/A</v>
      </c>
    </row>
    <row r="857">
      <c r="A857" s="99" t="str">
        <f>IFERROR(__xludf.DUMMYFUNCTION("transpose(unique(FILTER(dCAGass[Type],dCAGass[Room no.]='records-CA Gass'!D221)))"),"#N/A")</f>
        <v>#N/A</v>
      </c>
    </row>
    <row r="858">
      <c r="A858" s="99" t="str">
        <f>IFERROR(__xludf.DUMMYFUNCTION("transpose(unique(FILTER(dCAGass[Type],dCAGass[Room no.]='records-CA Gass'!D222)))"),"#N/A")</f>
        <v>#N/A</v>
      </c>
    </row>
    <row r="859">
      <c r="A859" s="99" t="str">
        <f>IFERROR(__xludf.DUMMYFUNCTION("transpose(unique(FILTER(dCAGass[Type],dCAGass[Room no.]='records-CA Gass'!D223)))"),"#N/A")</f>
        <v>#N/A</v>
      </c>
    </row>
    <row r="860">
      <c r="A860" s="99" t="str">
        <f>IFERROR(__xludf.DUMMYFUNCTION("transpose(unique(FILTER(dCAGass[Type],dCAGass[Room no.]='records-CA Gass'!D224)))"),"#N/A")</f>
        <v>#N/A</v>
      </c>
    </row>
    <row r="861">
      <c r="A861" s="99" t="str">
        <f>IFERROR(__xludf.DUMMYFUNCTION("transpose(unique(FILTER(dCAGass[Type],dCAGass[Room no.]='records-CA Gass'!D225)))"),"#N/A")</f>
        <v>#N/A</v>
      </c>
    </row>
    <row r="862">
      <c r="A862" s="99" t="str">
        <f>IFERROR(__xludf.DUMMYFUNCTION("transpose(unique(FILTER(dCAGass[Type],dCAGass[Room no.]='records-CA Gass'!D226)))"),"#N/A")</f>
        <v>#N/A</v>
      </c>
    </row>
    <row r="863">
      <c r="A863" s="99" t="str">
        <f>IFERROR(__xludf.DUMMYFUNCTION("transpose(unique(FILTER(dCAGass[Type],dCAGass[Room no.]='records-CA Gass'!D227)))"),"#N/A")</f>
        <v>#N/A</v>
      </c>
    </row>
    <row r="864">
      <c r="A864" s="99" t="str">
        <f>IFERROR(__xludf.DUMMYFUNCTION("transpose(unique(FILTER(dCAGass[Type],dCAGass[Room no.]='records-CA Gass'!D228)))"),"#N/A")</f>
        <v>#N/A</v>
      </c>
    </row>
    <row r="865">
      <c r="A865" s="99" t="str">
        <f>IFERROR(__xludf.DUMMYFUNCTION("transpose(unique(FILTER(dCAGass[Type],dCAGass[Room no.]='records-CA Gass'!D229)))"),"#N/A")</f>
        <v>#N/A</v>
      </c>
    </row>
    <row r="866">
      <c r="A866" s="99" t="str">
        <f>IFERROR(__xludf.DUMMYFUNCTION("transpose(unique(FILTER(dCAGass[Type],dCAGass[Room no.]='records-CA Gass'!D230)))"),"#N/A")</f>
        <v>#N/A</v>
      </c>
    </row>
    <row r="867">
      <c r="A867" s="99" t="str">
        <f>IFERROR(__xludf.DUMMYFUNCTION("transpose(unique(FILTER(dCAGass[Type],dCAGass[Room no.]='records-CA Gass'!D231)))"),"#N/A")</f>
        <v>#N/A</v>
      </c>
    </row>
    <row r="868">
      <c r="A868" s="99" t="str">
        <f>IFERROR(__xludf.DUMMYFUNCTION("transpose(unique(FILTER(dCAGass[Type],dCAGass[Room no.]='records-CA Gass'!D232)))"),"#N/A")</f>
        <v>#N/A</v>
      </c>
    </row>
    <row r="869">
      <c r="A869" s="99" t="str">
        <f>IFERROR(__xludf.DUMMYFUNCTION("transpose(unique(FILTER(dCAGass[Type],dCAGass[Room no.]='records-CA Gass'!D233)))"),"#N/A")</f>
        <v>#N/A</v>
      </c>
    </row>
    <row r="870">
      <c r="A870" s="99" t="str">
        <f>IFERROR(__xludf.DUMMYFUNCTION("transpose(unique(FILTER(dCAGass[Type],dCAGass[Room no.]='records-CA Gass'!D234)))"),"#N/A")</f>
        <v>#N/A</v>
      </c>
    </row>
    <row r="871">
      <c r="A871" s="99" t="str">
        <f>IFERROR(__xludf.DUMMYFUNCTION("transpose(unique(FILTER(dCAGass[Type],dCAGass[Room no.]='records-CA Gass'!D235)))"),"#N/A")</f>
        <v>#N/A</v>
      </c>
    </row>
    <row r="872">
      <c r="A872" s="99" t="str">
        <f>IFERROR(__xludf.DUMMYFUNCTION("transpose(unique(FILTER(dCAGass[Type],dCAGass[Room no.]='records-CA Gass'!D236)))"),"#N/A")</f>
        <v>#N/A</v>
      </c>
    </row>
    <row r="873">
      <c r="A873" s="99" t="str">
        <f>IFERROR(__xludf.DUMMYFUNCTION("transpose(unique(FILTER(dCAGass[Type],dCAGass[Room no.]='records-CA Gass'!D237)))"),"#N/A")</f>
        <v>#N/A</v>
      </c>
    </row>
    <row r="874">
      <c r="A874" s="99" t="str">
        <f>IFERROR(__xludf.DUMMYFUNCTION("transpose(unique(FILTER(dCAGass[Type],dCAGass[Room no.]='records-CA Gass'!D238)))"),"#N/A")</f>
        <v>#N/A</v>
      </c>
    </row>
    <row r="875">
      <c r="A875" s="99" t="str">
        <f>IFERROR(__xludf.DUMMYFUNCTION("transpose(unique(FILTER(dCAGass[Type],dCAGass[Room no.]='records-CA Gass'!D239)))"),"#N/A")</f>
        <v>#N/A</v>
      </c>
    </row>
    <row r="876">
      <c r="A876" s="99" t="str">
        <f>IFERROR(__xludf.DUMMYFUNCTION("transpose(unique(FILTER(dCAGass[Type],dCAGass[Room no.]='records-CA Gass'!D240)))"),"#N/A")</f>
        <v>#N/A</v>
      </c>
    </row>
    <row r="877">
      <c r="A877" s="99" t="str">
        <f>IFERROR(__xludf.DUMMYFUNCTION("transpose(unique(FILTER(dCAGass[Type],dCAGass[Room no.]='records-CA Gass'!D241)))"),"#N/A")</f>
        <v>#N/A</v>
      </c>
    </row>
    <row r="878">
      <c r="A878" s="99" t="str">
        <f>IFERROR(__xludf.DUMMYFUNCTION("transpose(unique(FILTER(dCAGass[Type],dCAGass[Room no.]='records-CA Gass'!D242)))"),"#N/A")</f>
        <v>#N/A</v>
      </c>
    </row>
    <row r="879">
      <c r="A879" s="99" t="str">
        <f>IFERROR(__xludf.DUMMYFUNCTION("transpose(unique(FILTER(dCAGass[Type],dCAGass[Room no.]='records-CA Gass'!D243)))"),"#N/A")</f>
        <v>#N/A</v>
      </c>
    </row>
    <row r="880">
      <c r="A880" s="99" t="str">
        <f>IFERROR(__xludf.DUMMYFUNCTION("transpose(unique(FILTER(dCAGass[Type],dCAGass[Room no.]='records-CA Gass'!D244)))"),"#N/A")</f>
        <v>#N/A</v>
      </c>
    </row>
    <row r="881">
      <c r="A881" s="99" t="str">
        <f>IFERROR(__xludf.DUMMYFUNCTION("transpose(unique(FILTER(dCAGass[Type],dCAGass[Room no.]='records-CA Gass'!D245)))"),"#N/A")</f>
        <v>#N/A</v>
      </c>
    </row>
    <row r="882">
      <c r="A882" s="99" t="str">
        <f>IFERROR(__xludf.DUMMYFUNCTION("transpose(unique(FILTER(dCAGass[Type],dCAGass[Room no.]='records-CA Gass'!D246)))"),"#N/A")</f>
        <v>#N/A</v>
      </c>
    </row>
    <row r="883">
      <c r="A883" s="99" t="str">
        <f>IFERROR(__xludf.DUMMYFUNCTION("transpose(unique(FILTER(dCAGass[Type],dCAGass[Room no.]='records-CA Gass'!D247)))"),"#N/A")</f>
        <v>#N/A</v>
      </c>
    </row>
    <row r="884">
      <c r="A884" s="99" t="str">
        <f>IFERROR(__xludf.DUMMYFUNCTION("transpose(unique(FILTER(dCAGass[Type],dCAGass[Room no.]='records-CA Gass'!D248)))"),"#N/A")</f>
        <v>#N/A</v>
      </c>
    </row>
    <row r="885">
      <c r="A885" s="99" t="str">
        <f>IFERROR(__xludf.DUMMYFUNCTION("transpose(unique(FILTER(dCAGass[Type],dCAGass[Room no.]='records-CA Gass'!D249)))"),"#N/A")</f>
        <v>#N/A</v>
      </c>
    </row>
    <row r="886">
      <c r="A886" s="99" t="str">
        <f>IFERROR(__xludf.DUMMYFUNCTION("transpose(unique(FILTER(dCAGass[Type],dCAGass[Room no.]='records-CA Gass'!D250)))"),"#N/A")</f>
        <v>#N/A</v>
      </c>
    </row>
    <row r="887">
      <c r="A887" s="99" t="str">
        <f>IFERROR(__xludf.DUMMYFUNCTION("transpose(unique(FILTER(dCAGass[Type],dCAGass[Room no.]='records-CA Gass'!D251)))"),"#N/A")</f>
        <v>#N/A</v>
      </c>
    </row>
    <row r="888">
      <c r="A888" s="99" t="str">
        <f>IFERROR(__xludf.DUMMYFUNCTION("transpose(unique(FILTER(dCAGass[Type],dCAGass[Room no.]='records-CA Gass'!D252)))"),"#N/A")</f>
        <v>#N/A</v>
      </c>
    </row>
    <row r="889">
      <c r="A889" s="99" t="str">
        <f>IFERROR(__xludf.DUMMYFUNCTION("transpose(unique(FILTER(dCAGass[Type],dCAGass[Room no.]='records-CA Gass'!D253)))"),"#N/A")</f>
        <v>#N/A</v>
      </c>
    </row>
    <row r="890">
      <c r="A890" s="99" t="str">
        <f>IFERROR(__xludf.DUMMYFUNCTION("transpose(unique(FILTER(dCAGass[Type],dCAGass[Room no.]='records-CA Gass'!D254)))"),"#N/A")</f>
        <v>#N/A</v>
      </c>
    </row>
    <row r="891">
      <c r="A891" s="99" t="str">
        <f>IFERROR(__xludf.DUMMYFUNCTION("transpose(unique(FILTER(dCAGass[Type],dCAGass[Room no.]='records-CA Gass'!D255)))"),"#N/A")</f>
        <v>#N/A</v>
      </c>
    </row>
    <row r="892">
      <c r="A892" s="99" t="str">
        <f>IFERROR(__xludf.DUMMYFUNCTION("transpose(unique(FILTER(dCAGass[Type],dCAGass[Room no.]='records-CA Gass'!D256)))"),"#N/A")</f>
        <v>#N/A</v>
      </c>
    </row>
    <row r="893">
      <c r="A893" s="99" t="str">
        <f>IFERROR(__xludf.DUMMYFUNCTION("transpose(unique(FILTER(dCAGass[Type],dCAGass[Room no.]='records-CA Gass'!D257)))"),"#N/A")</f>
        <v>#N/A</v>
      </c>
    </row>
    <row r="894">
      <c r="A894" s="99" t="str">
        <f>IFERROR(__xludf.DUMMYFUNCTION("transpose(unique(FILTER(dCAGass[Type],dCAGass[Room no.]='records-CA Gass'!D258)))"),"#N/A")</f>
        <v>#N/A</v>
      </c>
    </row>
    <row r="895">
      <c r="A895" s="99" t="str">
        <f>IFERROR(__xludf.DUMMYFUNCTION("transpose(unique(FILTER(dCAGass[Type],dCAGass[Room no.]='records-CA Gass'!D259)))"),"#N/A")</f>
        <v>#N/A</v>
      </c>
    </row>
    <row r="896">
      <c r="A896" s="99" t="str">
        <f>IFERROR(__xludf.DUMMYFUNCTION("transpose(unique(FILTER(dCAGass[Type],dCAGass[Room no.]='records-CA Gass'!D260)))"),"#N/A")</f>
        <v>#N/A</v>
      </c>
    </row>
    <row r="897">
      <c r="A897" s="99" t="str">
        <f>IFERROR(__xludf.DUMMYFUNCTION("transpose(unique(FILTER(dCAGass[Type],dCAGass[Room no.]='records-CA Gass'!D261)))"),"#N/A")</f>
        <v>#N/A</v>
      </c>
    </row>
    <row r="898">
      <c r="A898" s="99" t="str">
        <f>IFERROR(__xludf.DUMMYFUNCTION("transpose(unique(FILTER(dCAGass[Type],dCAGass[Room no.]='records-CA Gass'!D262)))"),"#N/A")</f>
        <v>#N/A</v>
      </c>
    </row>
    <row r="899">
      <c r="A899" s="99" t="str">
        <f>IFERROR(__xludf.DUMMYFUNCTION("transpose(unique(FILTER(dCAGass[Type],dCAGass[Room no.]='records-CA Gass'!D263)))"),"#N/A")</f>
        <v>#N/A</v>
      </c>
    </row>
    <row r="900">
      <c r="A900" s="99" t="str">
        <f>IFERROR(__xludf.DUMMYFUNCTION("transpose(unique(FILTER(dCAGass[Type],dCAGass[Room no.]='records-CA Gass'!D264)))"),"#N/A")</f>
        <v>#N/A</v>
      </c>
    </row>
    <row r="901">
      <c r="A901" s="99" t="str">
        <f>IFERROR(__xludf.DUMMYFUNCTION("transpose(unique(FILTER(dCAGass[Type],dCAGass[Room no.]='records-CA Gass'!D265)))"),"#N/A")</f>
        <v>#N/A</v>
      </c>
    </row>
    <row r="902">
      <c r="A902" s="99" t="str">
        <f>IFERROR(__xludf.DUMMYFUNCTION("transpose(unique(FILTER(dCAGass[Type],dCAGass[Room no.]='records-CA Gass'!D266)))"),"#N/A")</f>
        <v>#N/A</v>
      </c>
    </row>
    <row r="903">
      <c r="A903" s="99" t="str">
        <f>IFERROR(__xludf.DUMMYFUNCTION("transpose(unique(FILTER(dCAGass[Type],dCAGass[Room no.]='records-CA Gass'!D267)))"),"#N/A")</f>
        <v>#N/A</v>
      </c>
    </row>
    <row r="904">
      <c r="A904" s="99" t="str">
        <f>IFERROR(__xludf.DUMMYFUNCTION("transpose(unique(FILTER(dCAGass[Type],dCAGass[Room no.]='records-CA Gass'!D268)))"),"#N/A")</f>
        <v>#N/A</v>
      </c>
    </row>
    <row r="905">
      <c r="A905" s="99" t="str">
        <f>IFERROR(__xludf.DUMMYFUNCTION("transpose(unique(FILTER(dCAGass[Type],dCAGass[Room no.]='records-CA Gass'!D269)))"),"#N/A")</f>
        <v>#N/A</v>
      </c>
    </row>
    <row r="906">
      <c r="A906" s="99" t="str">
        <f>IFERROR(__xludf.DUMMYFUNCTION("transpose(unique(FILTER(dCAGass[Type],dCAGass[Room no.]='records-CA Gass'!D270)))"),"#N/A")</f>
        <v>#N/A</v>
      </c>
    </row>
    <row r="907">
      <c r="A907" s="99" t="str">
        <f>IFERROR(__xludf.DUMMYFUNCTION("transpose(unique(FILTER(dCAGass[Type],dCAGass[Room no.]='records-CA Gass'!D271)))"),"#N/A")</f>
        <v>#N/A</v>
      </c>
    </row>
    <row r="908">
      <c r="A908" s="99" t="str">
        <f>IFERROR(__xludf.DUMMYFUNCTION("transpose(unique(FILTER(dCAGass[Type],dCAGass[Room no.]='records-CA Gass'!D272)))"),"#N/A")</f>
        <v>#N/A</v>
      </c>
    </row>
    <row r="909">
      <c r="A909" s="99" t="str">
        <f>IFERROR(__xludf.DUMMYFUNCTION("transpose(unique(FILTER(dCAGass[Type],dCAGass[Room no.]='records-CA Gass'!D273)))"),"#N/A")</f>
        <v>#N/A</v>
      </c>
    </row>
    <row r="910">
      <c r="A910" s="99" t="str">
        <f>IFERROR(__xludf.DUMMYFUNCTION("transpose(unique(FILTER(dCAGass[Type],dCAGass[Room no.]='records-CA Gass'!D274)))"),"#N/A")</f>
        <v>#N/A</v>
      </c>
    </row>
    <row r="911">
      <c r="A911" s="99" t="str">
        <f>IFERROR(__xludf.DUMMYFUNCTION("transpose(unique(FILTER(dCAGass[Type],dCAGass[Room no.]='records-CA Gass'!D275)))"),"#N/A")</f>
        <v>#N/A</v>
      </c>
    </row>
    <row r="912">
      <c r="A912" s="99" t="str">
        <f>IFERROR(__xludf.DUMMYFUNCTION("transpose(unique(FILTER(dCAGass[Type],dCAGass[Room no.]='records-CA Gass'!D276)))"),"#N/A")</f>
        <v>#N/A</v>
      </c>
    </row>
    <row r="913">
      <c r="A913" s="99" t="str">
        <f>IFERROR(__xludf.DUMMYFUNCTION("transpose(unique(FILTER(dCAGass[Type],dCAGass[Room no.]='records-CA Gass'!D277)))"),"#N/A")</f>
        <v>#N/A</v>
      </c>
    </row>
    <row r="914">
      <c r="A914" s="99" t="str">
        <f>IFERROR(__xludf.DUMMYFUNCTION("transpose(unique(FILTER(dCAGass[Type],dCAGass[Room no.]='records-CA Gass'!D278)))"),"#N/A")</f>
        <v>#N/A</v>
      </c>
    </row>
    <row r="915">
      <c r="A915" s="99" t="str">
        <f>IFERROR(__xludf.DUMMYFUNCTION("transpose(unique(FILTER(dCAGass[Type],dCAGass[Room no.]='records-CA Gass'!D279)))"),"#N/A")</f>
        <v>#N/A</v>
      </c>
    </row>
    <row r="916">
      <c r="A916" s="99" t="str">
        <f>IFERROR(__xludf.DUMMYFUNCTION("transpose(unique(FILTER(dCAGass[Type],dCAGass[Room no.]='records-CA Gass'!D280)))"),"#N/A")</f>
        <v>#N/A</v>
      </c>
    </row>
    <row r="917">
      <c r="A917" s="99" t="str">
        <f>IFERROR(__xludf.DUMMYFUNCTION("transpose(unique(FILTER(dCAGass[Type],dCAGass[Room no.]='records-CA Gass'!D281)))"),"#N/A")</f>
        <v>#N/A</v>
      </c>
    </row>
    <row r="918">
      <c r="A918" s="99" t="str">
        <f>IFERROR(__xludf.DUMMYFUNCTION("transpose(unique(FILTER(dCAGass[Type],dCAGass[Room no.]='records-CA Gass'!D282)))"),"#N/A")</f>
        <v>#N/A</v>
      </c>
    </row>
    <row r="919">
      <c r="A919" s="99" t="str">
        <f>IFERROR(__xludf.DUMMYFUNCTION("transpose(unique(FILTER(dCAGass[Type],dCAGass[Room no.]='records-CA Gass'!D283)))"),"#N/A")</f>
        <v>#N/A</v>
      </c>
    </row>
    <row r="920">
      <c r="A920" s="99" t="str">
        <f>IFERROR(__xludf.DUMMYFUNCTION("transpose(unique(FILTER(dCAGass[Type],dCAGass[Room no.]='records-CA Gass'!D284)))"),"#N/A")</f>
        <v>#N/A</v>
      </c>
    </row>
    <row r="921">
      <c r="A921" s="99" t="str">
        <f>IFERROR(__xludf.DUMMYFUNCTION("transpose(unique(FILTER(dCAGass[Type],dCAGass[Room no.]='records-CA Gass'!D285)))"),"#N/A")</f>
        <v>#N/A</v>
      </c>
    </row>
    <row r="922">
      <c r="A922" s="99" t="str">
        <f>IFERROR(__xludf.DUMMYFUNCTION("transpose(unique(FILTER(dCAGass[Type],dCAGass[Room no.]='records-CA Gass'!D286)))"),"#N/A")</f>
        <v>#N/A</v>
      </c>
    </row>
    <row r="923">
      <c r="A923" s="99" t="str">
        <f>IFERROR(__xludf.DUMMYFUNCTION("transpose(unique(FILTER(dCAGass[Type],dCAGass[Room no.]='records-CA Gass'!D287)))"),"#N/A")</f>
        <v>#N/A</v>
      </c>
    </row>
    <row r="924">
      <c r="A924" s="99" t="str">
        <f>IFERROR(__xludf.DUMMYFUNCTION("transpose(unique(FILTER(dCAGass[Type],dCAGass[Room no.]='records-CA Gass'!D288)))"),"#N/A")</f>
        <v>#N/A</v>
      </c>
    </row>
    <row r="925">
      <c r="A925" s="99" t="str">
        <f>IFERROR(__xludf.DUMMYFUNCTION("transpose(unique(FILTER(dCAGass[Type],dCAGass[Room no.]='records-CA Gass'!D289)))"),"#N/A")</f>
        <v>#N/A</v>
      </c>
    </row>
    <row r="926">
      <c r="A926" s="99" t="str">
        <f>IFERROR(__xludf.DUMMYFUNCTION("transpose(unique(FILTER(dCAGass[Type],dCAGass[Room no.]='records-CA Gass'!D290)))"),"#N/A")</f>
        <v>#N/A</v>
      </c>
    </row>
    <row r="927">
      <c r="A927" s="99" t="str">
        <f>IFERROR(__xludf.DUMMYFUNCTION("transpose(unique(FILTER(dCAGass[Type],dCAGass[Room no.]='records-CA Gass'!D291)))"),"#N/A")</f>
        <v>#N/A</v>
      </c>
    </row>
    <row r="928">
      <c r="A928" s="99" t="str">
        <f>IFERROR(__xludf.DUMMYFUNCTION("transpose(unique(FILTER(dCAGass[Type],dCAGass[Room no.]='records-CA Gass'!D292)))"),"#N/A")</f>
        <v>#N/A</v>
      </c>
    </row>
    <row r="929">
      <c r="A929" s="99" t="str">
        <f>IFERROR(__xludf.DUMMYFUNCTION("transpose(unique(FILTER(dCAGass[Type],dCAGass[Room no.]='records-CA Gass'!D293)))"),"#N/A")</f>
        <v>#N/A</v>
      </c>
    </row>
    <row r="930">
      <c r="A930" s="99" t="str">
        <f>IFERROR(__xludf.DUMMYFUNCTION("transpose(unique(FILTER(dCAGass[Type],dCAGass[Room no.]='records-CA Gass'!D294)))"),"#N/A")</f>
        <v>#N/A</v>
      </c>
    </row>
    <row r="931">
      <c r="A931" s="99" t="str">
        <f>IFERROR(__xludf.DUMMYFUNCTION("transpose(unique(FILTER(dCAGass[Type],dCAGass[Room no.]='records-CA Gass'!D295)))"),"#N/A")</f>
        <v>#N/A</v>
      </c>
    </row>
    <row r="932">
      <c r="A932" s="99" t="str">
        <f>IFERROR(__xludf.DUMMYFUNCTION("transpose(unique(FILTER(dCAGass[Type],dCAGass[Room no.]='records-CA Gass'!D296)))"),"#N/A")</f>
        <v>#N/A</v>
      </c>
    </row>
    <row r="933">
      <c r="A933" s="99" t="str">
        <f>IFERROR(__xludf.DUMMYFUNCTION("transpose(unique(FILTER(dCAGass[Type],dCAGass[Room no.]='records-CA Gass'!D297)))"),"#N/A")</f>
        <v>#N/A</v>
      </c>
    </row>
    <row r="934">
      <c r="A934" s="99" t="str">
        <f>IFERROR(__xludf.DUMMYFUNCTION("transpose(unique(FILTER(dCAGass[Type],dCAGass[Room no.]='records-CA Gass'!D298)))"),"#N/A")</f>
        <v>#N/A</v>
      </c>
    </row>
    <row r="935">
      <c r="A935" s="99" t="str">
        <f>IFERROR(__xludf.DUMMYFUNCTION("transpose(unique(FILTER(dCAGass[Type],dCAGass[Room no.]='records-CA Gass'!D299)))"),"#N/A")</f>
        <v>#N/A</v>
      </c>
    </row>
    <row r="936">
      <c r="A936" s="99" t="str">
        <f>IFERROR(__xludf.DUMMYFUNCTION("transpose(unique(FILTER(dCAGass[Type],dCAGass[Room no.]='records-CA Gass'!D300)))"),"#N/A")</f>
        <v>#N/A</v>
      </c>
    </row>
    <row r="937">
      <c r="A937" s="99" t="str">
        <f>IFERROR(__xludf.DUMMYFUNCTION("transpose(unique(FILTER(dCAGass[Type],dCAGass[Room no.]='records-CA Gass'!D301)))"),"#N/A")</f>
        <v>#N/A</v>
      </c>
    </row>
    <row r="938">
      <c r="A938" s="99" t="str">
        <f>IFERROR(__xludf.DUMMYFUNCTION("transpose(unique(FILTER(dCAGass[Type],dCAGass[Room no.]='records-CA Gass'!D302)))"),"#N/A")</f>
        <v>#N/A</v>
      </c>
    </row>
    <row r="939">
      <c r="A939" s="99" t="str">
        <f>IFERROR(__xludf.DUMMYFUNCTION("transpose(unique(FILTER(dCAGass[Type],dCAGass[Room no.]='records-CA Gass'!D303)))"),"#N/A")</f>
        <v>#N/A</v>
      </c>
    </row>
    <row r="940">
      <c r="A940" s="99" t="str">
        <f>IFERROR(__xludf.DUMMYFUNCTION("transpose(unique(FILTER(dCAGass[Type],dCAGass[Room no.]='records-CA Gass'!D304)))"),"#N/A")</f>
        <v>#N/A</v>
      </c>
    </row>
    <row r="941">
      <c r="A941" s="99" t="str">
        <f>IFERROR(__xludf.DUMMYFUNCTION("transpose(unique(FILTER(dCAGass[Type],dCAGass[Room no.]='records-CA Gass'!D305)))"),"#N/A")</f>
        <v>#N/A</v>
      </c>
    </row>
    <row r="942">
      <c r="A942" s="99" t="str">
        <f>IFERROR(__xludf.DUMMYFUNCTION("transpose(unique(FILTER(dCAGass[Type],dCAGass[Room no.]='records-CA Gass'!D306)))"),"#N/A")</f>
        <v>#N/A</v>
      </c>
    </row>
    <row r="943">
      <c r="A943" s="99" t="str">
        <f>IFERROR(__xludf.DUMMYFUNCTION("transpose(unique(FILTER(dCAGass[Type],dCAGass[Room no.]='records-CA Gass'!D307)))"),"#N/A")</f>
        <v>#N/A</v>
      </c>
    </row>
    <row r="944">
      <c r="A944" s="99" t="str">
        <f>IFERROR(__xludf.DUMMYFUNCTION("transpose(unique(FILTER(dCAGass[Type],dCAGass[Room no.]='records-CA Gass'!D308)))"),"#N/A")</f>
        <v>#N/A</v>
      </c>
    </row>
    <row r="945">
      <c r="A945" s="99" t="str">
        <f>IFERROR(__xludf.DUMMYFUNCTION("transpose(unique(FILTER(dCAGass[Type],dCAGass[Room no.]='records-CA Gass'!D309)))"),"#N/A")</f>
        <v>#N/A</v>
      </c>
    </row>
    <row r="946">
      <c r="A946" s="99" t="str">
        <f>IFERROR(__xludf.DUMMYFUNCTION("transpose(unique(FILTER(dCAGass[Type],dCAGass[Room no.]='records-CA Gass'!D310)))"),"#N/A")</f>
        <v>#N/A</v>
      </c>
    </row>
    <row r="947">
      <c r="A947" s="99" t="str">
        <f>IFERROR(__xludf.DUMMYFUNCTION("transpose(unique(FILTER(dCAGass[Type],dCAGass[Room no.]='records-CA Gass'!D311)))"),"#N/A")</f>
        <v>#N/A</v>
      </c>
    </row>
    <row r="948">
      <c r="A948" s="99" t="str">
        <f>IFERROR(__xludf.DUMMYFUNCTION("transpose(unique(FILTER(dCAGass[Type],dCAGass[Room no.]='records-CA Gass'!D312)))"),"#N/A")</f>
        <v>#N/A</v>
      </c>
    </row>
    <row r="949">
      <c r="A949" s="99" t="str">
        <f>IFERROR(__xludf.DUMMYFUNCTION("transpose(unique(FILTER(dCAGass[Type],dCAGass[Room no.]='records-CA Gass'!D313)))"),"#N/A")</f>
        <v>#N/A</v>
      </c>
    </row>
    <row r="950">
      <c r="A950" s="99" t="str">
        <f>IFERROR(__xludf.DUMMYFUNCTION("transpose(unique(FILTER(dCAGass[Type],dCAGass[Room no.]='records-CA Gass'!D314)))"),"#N/A")</f>
        <v>#N/A</v>
      </c>
    </row>
    <row r="951">
      <c r="A951" s="99" t="str">
        <f>IFERROR(__xludf.DUMMYFUNCTION("transpose(unique(FILTER(dCAGass[Type],dCAGass[Room no.]='records-CA Gass'!D315)))"),"#N/A")</f>
        <v>#N/A</v>
      </c>
    </row>
    <row r="952">
      <c r="A952" s="99" t="str">
        <f>IFERROR(__xludf.DUMMYFUNCTION("transpose(unique(FILTER(dCAGass[Type],dCAGass[Room no.]='records-CA Gass'!D316)))"),"#N/A")</f>
        <v>#N/A</v>
      </c>
    </row>
    <row r="953">
      <c r="A953" s="99" t="str">
        <f>IFERROR(__xludf.DUMMYFUNCTION("transpose(unique(FILTER(dCAGass[Type],dCAGass[Room no.]='records-CA Gass'!D317)))"),"#N/A")</f>
        <v>#N/A</v>
      </c>
    </row>
    <row r="954">
      <c r="A954" s="99" t="str">
        <f>IFERROR(__xludf.DUMMYFUNCTION("transpose(unique(FILTER(dCAGass[Type],dCAGass[Room no.]='records-CA Gass'!D318)))"),"#N/A")</f>
        <v>#N/A</v>
      </c>
    </row>
    <row r="955">
      <c r="A955" s="99" t="str">
        <f>IFERROR(__xludf.DUMMYFUNCTION("transpose(unique(FILTER(dCAGass[Type],dCAGass[Room no.]='records-CA Gass'!D319)))"),"#N/A")</f>
        <v>#N/A</v>
      </c>
    </row>
    <row r="956">
      <c r="A956" s="99" t="str">
        <f>IFERROR(__xludf.DUMMYFUNCTION("transpose(unique(FILTER(dCAGass[Type],dCAGass[Room no.]='records-CA Gass'!D320)))"),"#N/A")</f>
        <v>#N/A</v>
      </c>
    </row>
    <row r="957">
      <c r="A957" s="99" t="str">
        <f>IFERROR(__xludf.DUMMYFUNCTION("transpose(unique(FILTER(dCAGass[Type],dCAGass[Room no.]='records-CA Gass'!D321)))"),"#N/A")</f>
        <v>#N/A</v>
      </c>
    </row>
    <row r="958">
      <c r="A958" s="99" t="str">
        <f>IFERROR(__xludf.DUMMYFUNCTION("transpose(unique(FILTER(dCAGass[Type],dCAGass[Room no.]='records-CA Gass'!D322)))"),"#N/A")</f>
        <v>#N/A</v>
      </c>
    </row>
    <row r="959">
      <c r="A959" s="99" t="str">
        <f>IFERROR(__xludf.DUMMYFUNCTION("transpose(unique(FILTER(dCAGass[Type],dCAGass[Room no.]='records-CA Gass'!D323)))"),"#N/A")</f>
        <v>#N/A</v>
      </c>
    </row>
    <row r="960">
      <c r="A960" s="99" t="str">
        <f>IFERROR(__xludf.DUMMYFUNCTION("transpose(unique(FILTER(dCAGass[Type],dCAGass[Room no.]='records-CA Gass'!D324)))"),"#N/A")</f>
        <v>#N/A</v>
      </c>
    </row>
    <row r="961">
      <c r="A961" s="99" t="str">
        <f>IFERROR(__xludf.DUMMYFUNCTION("transpose(unique(FILTER(dCAGass[Type],dCAGass[Room no.]='records-CA Gass'!D325)))"),"#N/A")</f>
        <v>#N/A</v>
      </c>
    </row>
    <row r="962">
      <c r="A962" s="99" t="str">
        <f>IFERROR(__xludf.DUMMYFUNCTION("transpose(unique(FILTER(dCAGass[Type],dCAGass[Room no.]='records-CA Gass'!D326)))"),"#N/A")</f>
        <v>#N/A</v>
      </c>
    </row>
    <row r="963">
      <c r="A963" s="99" t="str">
        <f>IFERROR(__xludf.DUMMYFUNCTION("transpose(unique(FILTER(dCAGass[Type],dCAGass[Room no.]='records-CA Gass'!D327)))"),"#N/A")</f>
        <v>#N/A</v>
      </c>
    </row>
    <row r="964">
      <c r="A964" s="99" t="str">
        <f>IFERROR(__xludf.DUMMYFUNCTION("transpose(unique(FILTER(dCAGass[Type],dCAGass[Room no.]='records-CA Gass'!D328)))"),"#N/A")</f>
        <v>#N/A</v>
      </c>
    </row>
    <row r="965">
      <c r="A965" s="99" t="str">
        <f>IFERROR(__xludf.DUMMYFUNCTION("transpose(unique(FILTER(dCAGass[Type],dCAGass[Room no.]='records-CA Gass'!D329)))"),"#N/A")</f>
        <v>#N/A</v>
      </c>
    </row>
    <row r="966">
      <c r="A966" s="99" t="str">
        <f>IFERROR(__xludf.DUMMYFUNCTION("transpose(unique(FILTER(dCAGass[Type],dCAGass[Room no.]='records-CA Gass'!D330)))"),"#N/A")</f>
        <v>#N/A</v>
      </c>
    </row>
    <row r="967">
      <c r="A967" s="99" t="str">
        <f>IFERROR(__xludf.DUMMYFUNCTION("transpose(unique(FILTER(dCAGass[Type],dCAGass[Room no.]='records-CA Gass'!D331)))"),"#N/A")</f>
        <v>#N/A</v>
      </c>
    </row>
    <row r="968">
      <c r="A968" s="99" t="str">
        <f>IFERROR(__xludf.DUMMYFUNCTION("transpose(unique(FILTER(dCAGass[Type],dCAGass[Room no.]='records-CA Gass'!D332)))"),"#N/A")</f>
        <v>#N/A</v>
      </c>
    </row>
    <row r="969">
      <c r="A969" s="99" t="str">
        <f>IFERROR(__xludf.DUMMYFUNCTION("transpose(unique(FILTER(dCAGass[Type],dCAGass[Room no.]='records-CA Gass'!D333)))"),"#N/A")</f>
        <v>#N/A</v>
      </c>
    </row>
    <row r="970">
      <c r="A970" s="99" t="str">
        <f>IFERROR(__xludf.DUMMYFUNCTION("transpose(unique(FILTER(dCAGass[Type],dCAGass[Room no.]='records-CA Gass'!D334)))"),"#N/A")</f>
        <v>#N/A</v>
      </c>
    </row>
    <row r="971">
      <c r="A971" s="99" t="str">
        <f>IFERROR(__xludf.DUMMYFUNCTION("transpose(unique(FILTER(dCAGass[Type],dCAGass[Room no.]='records-CA Gass'!D335)))"),"#N/A")</f>
        <v>#N/A</v>
      </c>
    </row>
    <row r="972">
      <c r="A972" s="99" t="str">
        <f>IFERROR(__xludf.DUMMYFUNCTION("transpose(unique(FILTER(dCAGass[Type],dCAGass[Room no.]='records-CA Gass'!D336)))"),"#N/A")</f>
        <v>#N/A</v>
      </c>
    </row>
    <row r="973">
      <c r="A973" s="99" t="str">
        <f>IFERROR(__xludf.DUMMYFUNCTION("transpose(unique(FILTER(dCAGass[Type],dCAGass[Room no.]='records-CA Gass'!D337)))"),"#N/A")</f>
        <v>#N/A</v>
      </c>
    </row>
    <row r="974">
      <c r="A974" s="99" t="str">
        <f>IFERROR(__xludf.DUMMYFUNCTION("transpose(unique(FILTER(dCAGass[Type],dCAGass[Room no.]='records-CA Gass'!D338)))"),"#N/A")</f>
        <v>#N/A</v>
      </c>
    </row>
    <row r="975">
      <c r="A975" s="99" t="str">
        <f>IFERROR(__xludf.DUMMYFUNCTION("transpose(unique(FILTER(dCAGass[Type],dCAGass[Room no.]='records-CA Gass'!D339)))"),"#N/A")</f>
        <v>#N/A</v>
      </c>
    </row>
    <row r="976">
      <c r="A976" s="99" t="str">
        <f>IFERROR(__xludf.DUMMYFUNCTION("transpose(unique(FILTER(dCAGass[Type],dCAGass[Room no.]='records-CA Gass'!D340)))"),"#N/A")</f>
        <v>#N/A</v>
      </c>
    </row>
    <row r="977">
      <c r="A977" s="99" t="str">
        <f>IFERROR(__xludf.DUMMYFUNCTION("transpose(unique(FILTER(dCAGass[Type],dCAGass[Room no.]='records-CA Gass'!D341)))"),"#N/A")</f>
        <v>#N/A</v>
      </c>
    </row>
    <row r="978">
      <c r="A978" s="99" t="str">
        <f>IFERROR(__xludf.DUMMYFUNCTION("transpose(unique(FILTER(dCAGass[Type],dCAGass[Room no.]='records-CA Gass'!D342)))"),"#N/A")</f>
        <v>#N/A</v>
      </c>
    </row>
    <row r="979">
      <c r="A979" s="99" t="str">
        <f>IFERROR(__xludf.DUMMYFUNCTION("transpose(unique(FILTER(dCAGass[Type],dCAGass[Room no.]='records-CA Gass'!D343)))"),"#N/A")</f>
        <v>#N/A</v>
      </c>
    </row>
    <row r="980">
      <c r="A980" s="99" t="str">
        <f>IFERROR(__xludf.DUMMYFUNCTION("transpose(unique(FILTER(dCAGass[Type],dCAGass[Room no.]='records-CA Gass'!D344)))"),"#N/A")</f>
        <v>#N/A</v>
      </c>
    </row>
    <row r="981">
      <c r="A981" s="99" t="str">
        <f>IFERROR(__xludf.DUMMYFUNCTION("transpose(unique(FILTER(dCAGass[Type],dCAGass[Room no.]='records-CA Gass'!D345)))"),"#N/A")</f>
        <v>#N/A</v>
      </c>
    </row>
    <row r="982">
      <c r="A982" s="99" t="str">
        <f>IFERROR(__xludf.DUMMYFUNCTION("transpose(unique(FILTER(dCAGass[Type],dCAGass[Room no.]='records-CA Gass'!D346)))"),"#N/A")</f>
        <v>#N/A</v>
      </c>
    </row>
    <row r="983">
      <c r="A983" s="99" t="str">
        <f>IFERROR(__xludf.DUMMYFUNCTION("transpose(unique(FILTER(dCAGass[Type],dCAGass[Room no.]='records-CA Gass'!D347)))"),"#N/A")</f>
        <v>#N/A</v>
      </c>
    </row>
    <row r="984">
      <c r="A984" s="99" t="str">
        <f>IFERROR(__xludf.DUMMYFUNCTION("transpose(unique(FILTER(dCAGass[Type],dCAGass[Room no.]='records-CA Gass'!D348)))"),"#N/A")</f>
        <v>#N/A</v>
      </c>
    </row>
    <row r="985">
      <c r="A985" s="99" t="str">
        <f>IFERROR(__xludf.DUMMYFUNCTION("transpose(unique(FILTER(dCAGass[Type],dCAGass[Room no.]='records-CA Gass'!D349)))"),"#N/A")</f>
        <v>#N/A</v>
      </c>
    </row>
    <row r="986">
      <c r="A986" s="99" t="str">
        <f>IFERROR(__xludf.DUMMYFUNCTION("transpose(unique(FILTER(dCAGass[Type],dCAGass[Room no.]='records-CA Gass'!D350)))"),"#N/A")</f>
        <v>#N/A</v>
      </c>
    </row>
    <row r="987">
      <c r="A987" s="99" t="str">
        <f>IFERROR(__xludf.DUMMYFUNCTION("transpose(unique(FILTER(dCAGass[Type],dCAGass[Room no.]='records-CA Gass'!D351)))"),"#N/A")</f>
        <v>#N/A</v>
      </c>
    </row>
    <row r="988">
      <c r="A988" s="99" t="str">
        <f>IFERROR(__xludf.DUMMYFUNCTION("transpose(unique(FILTER(dCAGass[Type],dCAGass[Room no.]='records-CA Gass'!D352)))"),"#N/A")</f>
        <v>#N/A</v>
      </c>
    </row>
    <row r="989">
      <c r="A989" s="99" t="str">
        <f>IFERROR(__xludf.DUMMYFUNCTION("transpose(unique(FILTER(dCAGass[Type],dCAGass[Room no.]='records-CA Gass'!D353)))"),"#N/A")</f>
        <v>#N/A</v>
      </c>
    </row>
    <row r="990">
      <c r="A990" s="99" t="str">
        <f>IFERROR(__xludf.DUMMYFUNCTION("transpose(unique(FILTER(dCAGass[Type],dCAGass[Room no.]='records-CA Gass'!D354)))"),"#N/A")</f>
        <v>#N/A</v>
      </c>
    </row>
    <row r="991">
      <c r="A991" s="99" t="str">
        <f>IFERROR(__xludf.DUMMYFUNCTION("transpose(unique(FILTER(dCAGass[Type],dCAGass[Room no.]='records-CA Gass'!D355)))"),"#N/A")</f>
        <v>#N/A</v>
      </c>
    </row>
    <row r="992">
      <c r="A992" s="99" t="str">
        <f>IFERROR(__xludf.DUMMYFUNCTION("transpose(unique(FILTER(dCAGass[Type],dCAGass[Room no.]='records-CA Gass'!D356)))"),"#N/A")</f>
        <v>#N/A</v>
      </c>
    </row>
    <row r="993">
      <c r="A993" s="99" t="str">
        <f>IFERROR(__xludf.DUMMYFUNCTION("transpose(unique(FILTER(dCAGass[Type],dCAGass[Room no.]='records-CA Gass'!D357)))"),"#N/A")</f>
        <v>#N/A</v>
      </c>
    </row>
    <row r="994">
      <c r="A994" s="99" t="str">
        <f>IFERROR(__xludf.DUMMYFUNCTION("transpose(unique(FILTER(dCAGass[Type],dCAGass[Room no.]='records-CA Gass'!D358)))"),"#N/A")</f>
        <v>#N/A</v>
      </c>
    </row>
    <row r="995">
      <c r="A995" s="99" t="str">
        <f>IFERROR(__xludf.DUMMYFUNCTION("transpose(unique(FILTER(dCAGass[Type],dCAGass[Room no.]='records-CA Gass'!D359)))"),"#N/A")</f>
        <v>#N/A</v>
      </c>
    </row>
    <row r="996">
      <c r="A996" s="99" t="str">
        <f>IFERROR(__xludf.DUMMYFUNCTION("transpose(unique(FILTER(dCAGass[Type],dCAGass[Room no.]='records-CA Gass'!D360)))"),"#N/A")</f>
        <v>#N/A</v>
      </c>
    </row>
    <row r="997">
      <c r="A997" s="99" t="str">
        <f>IFERROR(__xludf.DUMMYFUNCTION("transpose(unique(FILTER(dCAGass[Type],dCAGass[Room no.]='records-CA Gass'!D361)))"),"#N/A")</f>
        <v>#N/A</v>
      </c>
    </row>
    <row r="998">
      <c r="A998" s="99" t="str">
        <f>IFERROR(__xludf.DUMMYFUNCTION("transpose(unique(FILTER(dCAGass[Type],dCAGass[Room no.]='records-CA Gass'!D362)))"),"#N/A")</f>
        <v>#N/A</v>
      </c>
    </row>
    <row r="999">
      <c r="A999" s="99" t="str">
        <f>IFERROR(__xludf.DUMMYFUNCTION("transpose(unique(FILTER(dCAGass[Type],dCAGass[Room no.]='records-CA Gass'!D363)))"),"#N/A")</f>
        <v>#N/A</v>
      </c>
    </row>
    <row r="1000">
      <c r="A1000" s="99" t="str">
        <f>IFERROR(__xludf.DUMMYFUNCTION("transpose(unique(FILTER(dCAGass[Type],dCAGass[Room no.]='records-CA Gass'!D364)))"),"#N/A")</f>
        <v>#N/A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9" t="str">
        <f>IFERROR(__xludf.DUMMYFUNCTION("transpose(unique(FILTER(dCAGass[Tag],dCAGass[Room no.]=#REF!,dCAGass[Type]=#REF!)))"),"#N/A")</f>
        <v>#N/A</v>
      </c>
    </row>
    <row r="3">
      <c r="A3" s="99" t="str">
        <f>IFERROR(__xludf.DUMMYFUNCTION("transpose(unique(FILTER(dCAGass[Tag],dCAGass[Room no.]=#REF!,dCAGass[Type]=#REF!)))"),"#N/A")</f>
        <v>#N/A</v>
      </c>
    </row>
    <row r="4">
      <c r="A4" s="99" t="str">
        <f>IFERROR(__xludf.DUMMYFUNCTION("transpose(unique(FILTER(dCAGass[Tag],dCAGass[Room no.]=#REF!,dCAGass[Type]=#REF!)))"),"#N/A")</f>
        <v>#N/A</v>
      </c>
    </row>
    <row r="5">
      <c r="A5" s="99" t="str">
        <f>IFERROR(__xludf.DUMMYFUNCTION("transpose(unique(FILTER(dCAGass[Tag],dCAGass[Room no.]=#REF!,dCAGass[Type]=#REF!)))"),"#N/A")</f>
        <v>#N/A</v>
      </c>
    </row>
    <row r="6">
      <c r="A6" s="99" t="str">
        <f>IFERROR(__xludf.DUMMYFUNCTION("transpose(unique(FILTER(dCAGass[Tag],dCAGass[Room no.]=#REF!,dCAGass[Type]=#REF!)))"),"#N/A")</f>
        <v>#N/A</v>
      </c>
    </row>
    <row r="7">
      <c r="A7" s="99" t="str">
        <f>IFERROR(__xludf.DUMMYFUNCTION("transpose(unique(FILTER(dCAGass[Tag],dCAGass[Room no.]=#REF!,dCAGass[Type]=#REF!)))"),"#N/A")</f>
        <v>#N/A</v>
      </c>
    </row>
    <row r="8">
      <c r="A8" s="99" t="str">
        <f>IFERROR(__xludf.DUMMYFUNCTION("transpose(unique(FILTER(dCAGass[Tag],dCAGass[Room no.]=#REF!,dCAGass[Type]=#REF!)))"),"#N/A")</f>
        <v>#N/A</v>
      </c>
    </row>
    <row r="9">
      <c r="A9" s="99" t="str">
        <f>IFERROR(__xludf.DUMMYFUNCTION("transpose(unique(FILTER(dCAGass[Tag],dCAGass[Room no.]=#REF!,dCAGass[Type]=#REF!)))"),"#N/A")</f>
        <v>#N/A</v>
      </c>
    </row>
    <row r="10">
      <c r="A10" s="99" t="str">
        <f>IFERROR(__xludf.DUMMYFUNCTION("transpose(unique(FILTER(dCAGass[Tag],dCAGass[Room no.]=#REF!,dCAGass[Type]=#REF!)))"),"#N/A")</f>
        <v>#N/A</v>
      </c>
    </row>
    <row r="11">
      <c r="A11" s="99" t="str">
        <f>IFERROR(__xludf.DUMMYFUNCTION("transpose(unique(FILTER(dCAGass[Tag],dCAGass[Room no.]=#REF!,dCAGass[Type]=#REF!)))"),"#N/A")</f>
        <v>#N/A</v>
      </c>
    </row>
    <row r="12">
      <c r="A12" s="99" t="str">
        <f>IFERROR(__xludf.DUMMYFUNCTION("transpose(unique(FILTER(dCAGass[Tag],dCAGass[Room no.]=#REF!,dCAGass[Type]=#REF!)))"),"#N/A")</f>
        <v>#N/A</v>
      </c>
    </row>
    <row r="13">
      <c r="A13" s="99" t="str">
        <f>IFERROR(__xludf.DUMMYFUNCTION("transpose(unique(FILTER(dCAGass[Tag],dCAGass[Room no.]=#REF!,dCAGass[Type]=#REF!)))"),"#N/A")</f>
        <v>#N/A</v>
      </c>
    </row>
    <row r="14">
      <c r="A14" s="99" t="str">
        <f>IFERROR(__xludf.DUMMYFUNCTION("transpose(unique(FILTER(dCAGass[Tag],dCAGass[Room no.]=#REF!,dCAGass[Type]=#REF!)))"),"#N/A")</f>
        <v>#N/A</v>
      </c>
    </row>
    <row r="15">
      <c r="A15" s="99" t="str">
        <f>IFERROR(__xludf.DUMMYFUNCTION("transpose(unique(FILTER(dCAGass[Tag],dCAGass[Room no.]=#REF!,dCAGass[Type]=#REF!)))"),"#N/A")</f>
        <v>#N/A</v>
      </c>
    </row>
    <row r="16">
      <c r="A16" s="99" t="str">
        <f>IFERROR(__xludf.DUMMYFUNCTION("transpose(unique(FILTER(dCAGass[Tag],dCAGass[Room no.]=#REF!,dCAGass[Type]=#REF!)))"),"#N/A")</f>
        <v>#N/A</v>
      </c>
    </row>
    <row r="17">
      <c r="A17" s="99" t="str">
        <f>IFERROR(__xludf.DUMMYFUNCTION("transpose(unique(FILTER(dCAGass[Tag],dCAGass[Room no.]=#REF!,dCAGass[Type]=#REF!)))"),"#N/A")</f>
        <v>#N/A</v>
      </c>
    </row>
    <row r="18">
      <c r="A18" s="99" t="str">
        <f>IFERROR(__xludf.DUMMYFUNCTION("transpose(unique(FILTER(dCAGass[Tag],dCAGass[Room no.]=#REF!,dCAGass[Type]=#REF!)))"),"#N/A")</f>
        <v>#N/A</v>
      </c>
    </row>
    <row r="19">
      <c r="A19" s="99" t="str">
        <f>IFERROR(__xludf.DUMMYFUNCTION("transpose(unique(FILTER(dCAGass[Tag],dCAGass[Room no.]=#REF!,dCAGass[Type]=#REF!)))"),"#N/A")</f>
        <v>#N/A</v>
      </c>
    </row>
    <row r="20">
      <c r="A20" s="99" t="str">
        <f>IFERROR(__xludf.DUMMYFUNCTION("transpose(unique(FILTER(dCAGass[Tag],dCAGass[Room no.]=#REF!,dCAGass[Type]=#REF!)))"),"#N/A")</f>
        <v>#N/A</v>
      </c>
    </row>
    <row r="21">
      <c r="A21" s="99" t="str">
        <f>IFERROR(__xludf.DUMMYFUNCTION("transpose(unique(FILTER(dCAGass[Tag],dCAGass[Room no.]=#REF!,dCAGass[Type]=#REF!)))"),"#N/A")</f>
        <v>#N/A</v>
      </c>
    </row>
    <row r="22">
      <c r="A22" s="99" t="str">
        <f>IFERROR(__xludf.DUMMYFUNCTION("transpose(unique(FILTER(dCAGass[Tag],dCAGass[Room no.]=#REF!,dCAGass[Type]=#REF!)))"),"#N/A")</f>
        <v>#N/A</v>
      </c>
    </row>
    <row r="23">
      <c r="A23" s="99" t="str">
        <f>IFERROR(__xludf.DUMMYFUNCTION("transpose(unique(FILTER(dCAGass[Tag],dCAGass[Room no.]=#REF!,dCAGass[Type]=#REF!)))"),"#N/A")</f>
        <v>#N/A</v>
      </c>
    </row>
    <row r="24">
      <c r="A24" s="99" t="str">
        <f>IFERROR(__xludf.DUMMYFUNCTION("transpose(unique(FILTER(dCAGass[Tag],dCAGass[Room no.]=#REF!,dCAGass[Type]=#REF!)))"),"#N/A")</f>
        <v>#N/A</v>
      </c>
    </row>
    <row r="25">
      <c r="A25" s="99" t="str">
        <f>IFERROR(__xludf.DUMMYFUNCTION("transpose(unique(FILTER(dCAGass[Tag],dCAGass[Room no.]=#REF!,dCAGass[Type]=#REF!)))"),"#N/A")</f>
        <v>#N/A</v>
      </c>
    </row>
    <row r="26">
      <c r="A26" s="99" t="str">
        <f>IFERROR(__xludf.DUMMYFUNCTION("transpose(unique(FILTER(dCAGass[Tag],dCAGass[Room no.]=#REF!,dCAGass[Type]=#REF!)))"),"#N/A")</f>
        <v>#N/A</v>
      </c>
    </row>
    <row r="27">
      <c r="A27" s="99" t="str">
        <f>IFERROR(__xludf.DUMMYFUNCTION("transpose(unique(FILTER(dCAGass[Tag],dCAGass[Room no.]=#REF!,dCAGass[Type]=#REF!)))"),"#N/A")</f>
        <v>#N/A</v>
      </c>
    </row>
    <row r="28">
      <c r="A28" s="99" t="str">
        <f>IFERROR(__xludf.DUMMYFUNCTION("transpose(unique(FILTER(dCAGass[Tag],dCAGass[Room no.]=#REF!,dCAGass[Type]=#REF!)))"),"#N/A")</f>
        <v>#N/A</v>
      </c>
    </row>
    <row r="29">
      <c r="A29" s="99" t="str">
        <f>IFERROR(__xludf.DUMMYFUNCTION("transpose(unique(FILTER(dCAGass[Tag],dCAGass[Room no.]=#REF!,dCAGass[Type]=#REF!)))"),"#N/A")</f>
        <v>#N/A</v>
      </c>
    </row>
    <row r="30">
      <c r="A30" s="99" t="str">
        <f>IFERROR(__xludf.DUMMYFUNCTION("transpose(unique(FILTER(dCAGass[Tag],dCAGass[Room no.]=#REF!,dCAGass[Type]=#REF!)))"),"#N/A")</f>
        <v>#N/A</v>
      </c>
    </row>
    <row r="31">
      <c r="A31" s="99" t="str">
        <f>IFERROR(__xludf.DUMMYFUNCTION("transpose(unique(FILTER(dCAGass[Tag],dCAGass[Room no.]=#REF!,dCAGass[Type]=#REF!)))"),"#N/A")</f>
        <v>#N/A</v>
      </c>
    </row>
    <row r="32">
      <c r="A32" s="99" t="str">
        <f>IFERROR(__xludf.DUMMYFUNCTION("transpose(unique(FILTER(dCAGass[Tag],dCAGass[Room no.]=#REF!,dCAGass[Type]=#REF!)))"),"#N/A")</f>
        <v>#N/A</v>
      </c>
    </row>
    <row r="33">
      <c r="A33" s="99" t="str">
        <f>IFERROR(__xludf.DUMMYFUNCTION("transpose(unique(FILTER(dCAGass[Tag],dCAGass[Room no.]=#REF!,dCAGass[Type]=#REF!)))"),"#N/A")</f>
        <v>#N/A</v>
      </c>
    </row>
    <row r="34">
      <c r="A34" s="99" t="str">
        <f>IFERROR(__xludf.DUMMYFUNCTION("transpose(unique(FILTER(dCAGass[Tag],dCAGass[Room no.]=#REF!,dCAGass[Type]=#REF!)))"),"#N/A")</f>
        <v>#N/A</v>
      </c>
    </row>
    <row r="35">
      <c r="A35" s="99" t="str">
        <f>IFERROR(__xludf.DUMMYFUNCTION("transpose(unique(FILTER(dCAGass[Tag],dCAGass[Room no.]=#REF!,dCAGass[Type]=#REF!)))"),"#N/A")</f>
        <v>#N/A</v>
      </c>
    </row>
    <row r="36">
      <c r="A36" s="99" t="str">
        <f>IFERROR(__xludf.DUMMYFUNCTION("transpose(unique(FILTER(dCAGass[Tag],dCAGass[Room no.]=#REF!,dCAGass[Type]=#REF!)))"),"#N/A")</f>
        <v>#N/A</v>
      </c>
    </row>
    <row r="37">
      <c r="A37" s="99" t="str">
        <f>IFERROR(__xludf.DUMMYFUNCTION("transpose(unique(FILTER(dCAGass[Tag],dCAGass[Room no.]=#REF!,dCAGass[Type]=#REF!)))"),"#N/A")</f>
        <v>#N/A</v>
      </c>
    </row>
    <row r="38">
      <c r="A38" s="99" t="str">
        <f>IFERROR(__xludf.DUMMYFUNCTION("transpose(unique(FILTER(dCAGass[Tag],dCAGass[Room no.]=#REF!,dCAGass[Type]=#REF!)))"),"#N/A")</f>
        <v>#N/A</v>
      </c>
    </row>
    <row r="39">
      <c r="A39" s="99" t="str">
        <f>IFERROR(__xludf.DUMMYFUNCTION("transpose(unique(FILTER(dCAGass[Tag],dCAGass[Room no.]=#REF!,dCAGass[Type]=#REF!)))"),"#N/A")</f>
        <v>#N/A</v>
      </c>
    </row>
    <row r="40">
      <c r="A40" s="99" t="str">
        <f>IFERROR(__xludf.DUMMYFUNCTION("transpose(unique(FILTER(dCAGass[Tag],dCAGass[Room no.]=#REF!,dCAGass[Type]=#REF!)))"),"#N/A")</f>
        <v>#N/A</v>
      </c>
    </row>
    <row r="41">
      <c r="A41" s="99" t="str">
        <f>IFERROR(__xludf.DUMMYFUNCTION("transpose(unique(FILTER(dCAGass[Tag],dCAGass[Room no.]=#REF!,dCAGass[Type]=#REF!)))"),"#N/A")</f>
        <v>#N/A</v>
      </c>
    </row>
    <row r="42">
      <c r="A42" s="99" t="str">
        <f>IFERROR(__xludf.DUMMYFUNCTION("transpose(unique(FILTER(dCAGass[Tag],dCAGass[Room no.]=#REF!,dCAGass[Type]=#REF!)))"),"#N/A")</f>
        <v>#N/A</v>
      </c>
    </row>
    <row r="43">
      <c r="A43" s="99" t="str">
        <f>IFERROR(__xludf.DUMMYFUNCTION("transpose(unique(FILTER(dCAGass[Tag],dCAGass[Room no.]=#REF!,dCAGass[Type]=#REF!)))"),"#N/A")</f>
        <v>#N/A</v>
      </c>
    </row>
    <row r="44">
      <c r="A44" s="99" t="str">
        <f>IFERROR(__xludf.DUMMYFUNCTION("transpose(unique(FILTER(dCAGass[Tag],dCAGass[Room no.]=#REF!,dCAGass[Type]=#REF!)))"),"#N/A")</f>
        <v>#N/A</v>
      </c>
    </row>
    <row r="45">
      <c r="A45" s="99" t="str">
        <f>IFERROR(__xludf.DUMMYFUNCTION("transpose(unique(FILTER(dCAGass[Tag],dCAGass[Room no.]=#REF!,dCAGass[Type]=#REF!)))"),"#N/A")</f>
        <v>#N/A</v>
      </c>
    </row>
    <row r="46">
      <c r="A46" s="99" t="str">
        <f>IFERROR(__xludf.DUMMYFUNCTION("transpose(unique(FILTER(dCAGass[Tag],dCAGass[Room no.]=#REF!,dCAGass[Type]=#REF!)))"),"#N/A")</f>
        <v>#N/A</v>
      </c>
    </row>
    <row r="47">
      <c r="A47" s="99" t="str">
        <f>IFERROR(__xludf.DUMMYFUNCTION("transpose(unique(FILTER(dCAGass[Tag],dCAGass[Room no.]=#REF!,dCAGass[Type]=#REF!)))"),"#N/A")</f>
        <v>#N/A</v>
      </c>
    </row>
    <row r="48">
      <c r="A48" s="99" t="str">
        <f>IFERROR(__xludf.DUMMYFUNCTION("transpose(unique(FILTER(dCAGass[Tag],dCAGass[Room no.]=#REF!,dCAGass[Type]=#REF!)))"),"#N/A")</f>
        <v>#N/A</v>
      </c>
    </row>
    <row r="49">
      <c r="A49" s="99" t="str">
        <f>IFERROR(__xludf.DUMMYFUNCTION("transpose(unique(FILTER(dCAGass[Tag],dCAGass[Room no.]=#REF!,dCAGass[Type]=#REF!)))"),"#N/A")</f>
        <v>#N/A</v>
      </c>
    </row>
    <row r="50">
      <c r="A50" s="99" t="str">
        <f>IFERROR(__xludf.DUMMYFUNCTION("transpose(unique(FILTER(dCAGass[Tag],dCAGass[Room no.]=#REF!,dCAGass[Type]=#REF!)))"),"#N/A")</f>
        <v>#N/A</v>
      </c>
    </row>
    <row r="51">
      <c r="A51" s="99" t="str">
        <f>IFERROR(__xludf.DUMMYFUNCTION("transpose(unique(FILTER(dCAGass[Tag],dCAGass[Room no.]=#REF!,dCAGass[Type]=#REF!)))"),"#N/A")</f>
        <v>#N/A</v>
      </c>
    </row>
    <row r="52">
      <c r="A52" s="99" t="str">
        <f>IFERROR(__xludf.DUMMYFUNCTION("transpose(unique(FILTER(dCAGass[Tag],dCAGass[Room no.]=#REF!,dCAGass[Type]=#REF!)))"),"#N/A")</f>
        <v>#N/A</v>
      </c>
    </row>
    <row r="53">
      <c r="A53" s="99" t="str">
        <f>IFERROR(__xludf.DUMMYFUNCTION("transpose(unique(FILTER(dCAGass[Tag],dCAGass[Room no.]=#REF!,dCAGass[Type]=#REF!)))"),"#N/A")</f>
        <v>#N/A</v>
      </c>
    </row>
    <row r="54">
      <c r="A54" s="99" t="str">
        <f>IFERROR(__xludf.DUMMYFUNCTION("transpose(unique(FILTER(dCAGass[Tag],dCAGass[Room no.]=#REF!,dCAGass[Type]=#REF!)))"),"#N/A")</f>
        <v>#N/A</v>
      </c>
    </row>
    <row r="55">
      <c r="A55" s="99" t="str">
        <f>IFERROR(__xludf.DUMMYFUNCTION("transpose(unique(FILTER(dCAGass[Tag],dCAGass[Room no.]=#REF!,dCAGass[Type]=#REF!)))"),"#N/A")</f>
        <v>#N/A</v>
      </c>
    </row>
    <row r="56">
      <c r="A56" s="99" t="str">
        <f>IFERROR(__xludf.DUMMYFUNCTION("transpose(unique(FILTER(dCAGass[Tag],dCAGass[Room no.]=#REF!,dCAGass[Type]=#REF!)))"),"#N/A")</f>
        <v>#N/A</v>
      </c>
    </row>
    <row r="57">
      <c r="A57" s="99" t="str">
        <f>IFERROR(__xludf.DUMMYFUNCTION("transpose(unique(FILTER(dCAGass[Tag],dCAGass[Room no.]=#REF!,dCAGass[Type]=#REF!)))"),"#N/A")</f>
        <v>#N/A</v>
      </c>
    </row>
    <row r="58">
      <c r="A58" s="99" t="str">
        <f>IFERROR(__xludf.DUMMYFUNCTION("transpose(unique(FILTER(dCAGass[Tag],dCAGass[Room no.]=#REF!,dCAGass[Type]=#REF!)))"),"#N/A")</f>
        <v>#N/A</v>
      </c>
    </row>
    <row r="59">
      <c r="A59" s="99" t="str">
        <f>IFERROR(__xludf.DUMMYFUNCTION("transpose(unique(FILTER(dCAGass[Tag],dCAGass[Room no.]=#REF!,dCAGass[Type]=#REF!)))"),"#N/A")</f>
        <v>#N/A</v>
      </c>
    </row>
    <row r="60">
      <c r="A60" s="99" t="str">
        <f>IFERROR(__xludf.DUMMYFUNCTION("transpose(unique(FILTER(dCAGass[Tag],dCAGass[Room no.]=#REF!,dCAGass[Type]=#REF!)))"),"#N/A")</f>
        <v>#N/A</v>
      </c>
    </row>
    <row r="61">
      <c r="A61" s="99" t="str">
        <f>IFERROR(__xludf.DUMMYFUNCTION("transpose(unique(FILTER(dCAGass[Tag],dCAGass[Room no.]=#REF!,dCAGass[Type]=#REF!)))"),"#N/A")</f>
        <v>#N/A</v>
      </c>
    </row>
    <row r="62">
      <c r="A62" s="99" t="str">
        <f>IFERROR(__xludf.DUMMYFUNCTION("transpose(unique(FILTER(dCAGass[Tag],dCAGass[Room no.]=#REF!,dCAGass[Type]=#REF!)))"),"#N/A")</f>
        <v>#N/A</v>
      </c>
    </row>
    <row r="63">
      <c r="A63" s="99" t="str">
        <f>IFERROR(__xludf.DUMMYFUNCTION("transpose(unique(FILTER(dCAGass[Tag],dCAGass[Room no.]=#REF!,dCAGass[Type]=#REF!)))"),"#N/A")</f>
        <v>#N/A</v>
      </c>
    </row>
    <row r="64">
      <c r="A64" s="99" t="str">
        <f>IFERROR(__xludf.DUMMYFUNCTION("transpose(unique(FILTER(dCAGass[Tag],dCAGass[Room no.]=#REF!,dCAGass[Type]=#REF!)))"),"#N/A")</f>
        <v>#N/A</v>
      </c>
    </row>
    <row r="65">
      <c r="A65" s="99" t="str">
        <f>IFERROR(__xludf.DUMMYFUNCTION("transpose(unique(FILTER(dCAGass[Tag],dCAGass[Room no.]=#REF!,dCAGass[Type]=#REF!)))"),"#N/A")</f>
        <v>#N/A</v>
      </c>
    </row>
    <row r="66">
      <c r="A66" s="99" t="str">
        <f>IFERROR(__xludf.DUMMYFUNCTION("transpose(unique(FILTER(dCAGass[Tag],dCAGass[Room no.]=#REF!,dCAGass[Type]=#REF!)))"),"#N/A")</f>
        <v>#N/A</v>
      </c>
    </row>
    <row r="67">
      <c r="A67" s="99" t="str">
        <f>IFERROR(__xludf.DUMMYFUNCTION("transpose(unique(FILTER(dCAGass[Tag],dCAGass[Room no.]=#REF!,dCAGass[Type]=#REF!)))"),"#N/A")</f>
        <v>#N/A</v>
      </c>
    </row>
    <row r="68">
      <c r="A68" s="99" t="str">
        <f>IFERROR(__xludf.DUMMYFUNCTION("transpose(unique(FILTER(dCAGass[Tag],dCAGass[Room no.]=#REF!,dCAGass[Type]=#REF!)))"),"#N/A")</f>
        <v>#N/A</v>
      </c>
    </row>
    <row r="69">
      <c r="A69" s="99" t="str">
        <f>IFERROR(__xludf.DUMMYFUNCTION("transpose(unique(FILTER(dCAGass[Tag],dCAGass[Room no.]=#REF!,dCAGass[Type]=#REF!)))"),"#N/A")</f>
        <v>#N/A</v>
      </c>
    </row>
    <row r="70">
      <c r="A70" s="99" t="str">
        <f>IFERROR(__xludf.DUMMYFUNCTION("transpose(unique(FILTER(dCAGass[Tag],dCAGass[Room no.]=#REF!,dCAGass[Type]=#REF!)))"),"#N/A")</f>
        <v>#N/A</v>
      </c>
    </row>
    <row r="71">
      <c r="A71" s="99" t="str">
        <f>IFERROR(__xludf.DUMMYFUNCTION("transpose(unique(FILTER(dCAGass[Tag],dCAGass[Room no.]=#REF!,dCAGass[Type]=#REF!)))"),"#N/A")</f>
        <v>#N/A</v>
      </c>
    </row>
    <row r="72">
      <c r="A72" s="99" t="str">
        <f>IFERROR(__xludf.DUMMYFUNCTION("transpose(unique(FILTER(dCAGass[Tag],dCAGass[Room no.]=#REF!,dCAGass[Type]=#REF!)))"),"#N/A")</f>
        <v>#N/A</v>
      </c>
    </row>
    <row r="73">
      <c r="A73" s="99" t="str">
        <f>IFERROR(__xludf.DUMMYFUNCTION("transpose(unique(FILTER(dCAGass[Tag],dCAGass[Room no.]=#REF!,dCAGass[Type]=#REF!)))"),"#N/A")</f>
        <v>#N/A</v>
      </c>
    </row>
    <row r="74">
      <c r="A74" s="99" t="str">
        <f>IFERROR(__xludf.DUMMYFUNCTION("transpose(unique(FILTER(dCAGass[Tag],dCAGass[Room no.]=#REF!,dCAGass[Type]=#REF!)))"),"#N/A")</f>
        <v>#N/A</v>
      </c>
    </row>
    <row r="75">
      <c r="A75" s="99" t="str">
        <f>IFERROR(__xludf.DUMMYFUNCTION("transpose(unique(FILTER(dCAGass[Tag],dCAGass[Room no.]=#REF!,dCAGass[Type]=#REF!)))"),"#N/A")</f>
        <v>#N/A</v>
      </c>
    </row>
    <row r="76">
      <c r="A76" s="99" t="str">
        <f>IFERROR(__xludf.DUMMYFUNCTION("transpose(unique(FILTER(dCAGass[Tag],dCAGass[Room no.]=#REF!,dCAGass[Type]=#REF!)))"),"#N/A")</f>
        <v>#N/A</v>
      </c>
    </row>
    <row r="77">
      <c r="A77" s="99" t="str">
        <f>IFERROR(__xludf.DUMMYFUNCTION("transpose(unique(FILTER(dCAGass[Tag],dCAGass[Room no.]=#REF!,dCAGass[Type]=#REF!)))"),"#N/A")</f>
        <v>#N/A</v>
      </c>
    </row>
    <row r="78">
      <c r="A78" s="99" t="str">
        <f>IFERROR(__xludf.DUMMYFUNCTION("transpose(unique(FILTER(dCAGass[Tag],dCAGass[Room no.]=#REF!,dCAGass[Type]=#REF!)))"),"#N/A")</f>
        <v>#N/A</v>
      </c>
    </row>
    <row r="79">
      <c r="A79" s="99" t="str">
        <f>IFERROR(__xludf.DUMMYFUNCTION("transpose(unique(FILTER(dCAGass[Tag],dCAGass[Room no.]=#REF!,dCAGass[Type]=#REF!)))"),"#N/A")</f>
        <v>#N/A</v>
      </c>
    </row>
    <row r="80">
      <c r="A80" s="99" t="str">
        <f>IFERROR(__xludf.DUMMYFUNCTION("transpose(unique(FILTER(dCAGass[Tag],dCAGass[Room no.]=#REF!,dCAGass[Type]=#REF!)))"),"#N/A")</f>
        <v>#N/A</v>
      </c>
    </row>
    <row r="81">
      <c r="A81" s="99" t="str">
        <f>IFERROR(__xludf.DUMMYFUNCTION("transpose(unique(FILTER(dCAGass[Tag],dCAGass[Room no.]=#REF!,dCAGass[Type]=#REF!)))"),"#N/A")</f>
        <v>#N/A</v>
      </c>
    </row>
    <row r="82">
      <c r="A82" s="99" t="str">
        <f>IFERROR(__xludf.DUMMYFUNCTION("transpose(unique(FILTER(dCAGass[Tag],dCAGass[Room no.]=#REF!,dCAGass[Type]=#REF!)))"),"#N/A")</f>
        <v>#N/A</v>
      </c>
    </row>
    <row r="83">
      <c r="A83" s="99" t="str">
        <f>IFERROR(__xludf.DUMMYFUNCTION("transpose(unique(FILTER(dCAGass[Tag],dCAGass[Room no.]=#REF!,dCAGass[Type]=#REF!)))"),"#N/A")</f>
        <v>#N/A</v>
      </c>
    </row>
    <row r="84">
      <c r="A84" s="99" t="str">
        <f>IFERROR(__xludf.DUMMYFUNCTION("transpose(unique(FILTER(dCAGass[Tag],dCAGass[Room no.]=#REF!,dCAGass[Type]=#REF!)))"),"#N/A")</f>
        <v>#N/A</v>
      </c>
    </row>
    <row r="85">
      <c r="A85" s="99" t="str">
        <f>IFERROR(__xludf.DUMMYFUNCTION("transpose(unique(FILTER(dCAGass[Tag],dCAGass[Room no.]=#REF!,dCAGass[Type]=#REF!)))"),"#N/A")</f>
        <v>#N/A</v>
      </c>
    </row>
    <row r="86">
      <c r="A86" s="99" t="str">
        <f>IFERROR(__xludf.DUMMYFUNCTION("transpose(unique(FILTER(dCAGass[Tag],dCAGass[Room no.]=#REF!,dCAGass[Type]=#REF!)))"),"#N/A")</f>
        <v>#N/A</v>
      </c>
    </row>
    <row r="87">
      <c r="A87" s="99" t="str">
        <f>IFERROR(__xludf.DUMMYFUNCTION("transpose(unique(FILTER(dCAGass[Tag],dCAGass[Room no.]=#REF!,dCAGass[Type]=#REF!)))"),"#N/A")</f>
        <v>#N/A</v>
      </c>
    </row>
    <row r="88">
      <c r="A88" s="99" t="str">
        <f>IFERROR(__xludf.DUMMYFUNCTION("transpose(unique(FILTER(dCAGass[Tag],dCAGass[Room no.]=#REF!,dCAGass[Type]=#REF!)))"),"#N/A")</f>
        <v>#N/A</v>
      </c>
    </row>
    <row r="89">
      <c r="A89" s="99" t="str">
        <f>IFERROR(__xludf.DUMMYFUNCTION("transpose(unique(FILTER(dCAGass[Tag],dCAGass[Room no.]=#REF!,dCAGass[Type]=#REF!)))"),"#N/A")</f>
        <v>#N/A</v>
      </c>
    </row>
    <row r="90">
      <c r="A90" s="99" t="str">
        <f>IFERROR(__xludf.DUMMYFUNCTION("transpose(unique(FILTER(dCAGass[Tag],dCAGass[Room no.]=#REF!,dCAGass[Type]=#REF!)))"),"#N/A")</f>
        <v>#N/A</v>
      </c>
    </row>
    <row r="91">
      <c r="A91" s="99" t="str">
        <f>IFERROR(__xludf.DUMMYFUNCTION("transpose(unique(FILTER(dCAGass[Tag],dCAGass[Room no.]=#REF!,dCAGass[Type]=#REF!)))"),"#N/A")</f>
        <v>#N/A</v>
      </c>
    </row>
    <row r="92">
      <c r="A92" s="99" t="str">
        <f>IFERROR(__xludf.DUMMYFUNCTION("transpose(unique(FILTER(dCAGass[Tag],dCAGass[Room no.]=#REF!,dCAGass[Type]=#REF!)))"),"#N/A")</f>
        <v>#N/A</v>
      </c>
    </row>
    <row r="93">
      <c r="A93" s="99" t="str">
        <f>IFERROR(__xludf.DUMMYFUNCTION("transpose(unique(FILTER(dCAGass[Tag],dCAGass[Room no.]=#REF!,dCAGass[Type]=#REF!)))"),"#N/A")</f>
        <v>#N/A</v>
      </c>
    </row>
    <row r="94">
      <c r="A94" s="99" t="str">
        <f>IFERROR(__xludf.DUMMYFUNCTION("transpose(unique(FILTER(dCAGass[Tag],dCAGass[Room no.]=#REF!,dCAGass[Type]=#REF!)))"),"#N/A")</f>
        <v>#N/A</v>
      </c>
    </row>
    <row r="95">
      <c r="A95" s="99" t="str">
        <f>IFERROR(__xludf.DUMMYFUNCTION("transpose(unique(FILTER(dCAGass[Tag],dCAGass[Room no.]=#REF!,dCAGass[Type]=#REF!)))"),"#N/A")</f>
        <v>#N/A</v>
      </c>
    </row>
    <row r="96">
      <c r="A96" s="99" t="str">
        <f>IFERROR(__xludf.DUMMYFUNCTION("transpose(unique(FILTER(dCAGass[Tag],dCAGass[Room no.]=#REF!,dCAGass[Type]=#REF!)))"),"#N/A")</f>
        <v>#N/A</v>
      </c>
    </row>
    <row r="97">
      <c r="A97" s="99" t="str">
        <f>IFERROR(__xludf.DUMMYFUNCTION("transpose(unique(FILTER(dCAGass[Tag],dCAGass[Room no.]=#REF!,dCAGass[Type]=#REF!)))"),"#N/A")</f>
        <v>#N/A</v>
      </c>
    </row>
    <row r="98">
      <c r="A98" s="99" t="str">
        <f>IFERROR(__xludf.DUMMYFUNCTION("transpose(unique(FILTER(dCAGass[Tag],dCAGass[Room no.]=#REF!,dCAGass[Type]=#REF!)))"),"#N/A")</f>
        <v>#N/A</v>
      </c>
    </row>
    <row r="99">
      <c r="A99" s="99" t="str">
        <f>IFERROR(__xludf.DUMMYFUNCTION("transpose(unique(FILTER(dCAGass[Tag],dCAGass[Room no.]=#REF!,dCAGass[Type]=#REF!)))"),"#N/A")</f>
        <v>#N/A</v>
      </c>
    </row>
    <row r="100">
      <c r="A100" s="99" t="str">
        <f>IFERROR(__xludf.DUMMYFUNCTION("transpose(unique(FILTER(dCAGass[Tag],dCAGass[Room no.]=#REF!,dCAGass[Type]=#REF!)))"),"#N/A")</f>
        <v>#N/A</v>
      </c>
    </row>
    <row r="101">
      <c r="A101" s="99" t="str">
        <f>IFERROR(__xludf.DUMMYFUNCTION("transpose(unique(FILTER(dCAGass[Tag],dCAGass[Room no.]=#REF!,dCAGass[Type]=#REF!)))"),"#N/A")</f>
        <v>#N/A</v>
      </c>
    </row>
    <row r="102">
      <c r="A102" s="99" t="str">
        <f>IFERROR(__xludf.DUMMYFUNCTION("transpose(unique(FILTER(dCAGass[Tag],dCAGass[Room no.]=#REF!,dCAGass[Type]=#REF!)))"),"#N/A")</f>
        <v>#N/A</v>
      </c>
    </row>
    <row r="103">
      <c r="A103" s="99" t="str">
        <f>IFERROR(__xludf.DUMMYFUNCTION("transpose(unique(FILTER(dCAGass[Tag],dCAGass[Room no.]=#REF!,dCAGass[Type]=#REF!)))"),"#N/A")</f>
        <v>#N/A</v>
      </c>
    </row>
    <row r="104">
      <c r="A104" s="99" t="str">
        <f>IFERROR(__xludf.DUMMYFUNCTION("transpose(unique(FILTER(dCAGass[Tag],dCAGass[Room no.]=#REF!,dCAGass[Type]=#REF!)))"),"#N/A")</f>
        <v>#N/A</v>
      </c>
    </row>
    <row r="105">
      <c r="A105" s="99" t="str">
        <f>IFERROR(__xludf.DUMMYFUNCTION("transpose(unique(FILTER(dCAGass[Tag],dCAGass[Room no.]=#REF!,dCAGass[Type]=#REF!)))"),"#N/A")</f>
        <v>#N/A</v>
      </c>
    </row>
    <row r="106">
      <c r="A106" s="99" t="str">
        <f>IFERROR(__xludf.DUMMYFUNCTION("transpose(unique(FILTER(dCAGass[Tag],dCAGass[Room no.]=#REF!,dCAGass[Type]=#REF!)))"),"#N/A")</f>
        <v>#N/A</v>
      </c>
    </row>
    <row r="107">
      <c r="A107" s="99" t="str">
        <f>IFERROR(__xludf.DUMMYFUNCTION("transpose(unique(FILTER(dCAGass[Tag],dCAGass[Room no.]=#REF!,dCAGass[Type]=#REF!)))"),"#N/A")</f>
        <v>#N/A</v>
      </c>
    </row>
    <row r="108">
      <c r="A108" s="99" t="str">
        <f>IFERROR(__xludf.DUMMYFUNCTION("transpose(unique(FILTER(dCAGass[Tag],dCAGass[Room no.]=#REF!,dCAGass[Type]=#REF!)))"),"#N/A")</f>
        <v>#N/A</v>
      </c>
    </row>
    <row r="109">
      <c r="A109" s="99" t="str">
        <f>IFERROR(__xludf.DUMMYFUNCTION("transpose(unique(FILTER(dCAGass[Tag],dCAGass[Room no.]=#REF!,dCAGass[Type]=#REF!)))"),"#N/A")</f>
        <v>#N/A</v>
      </c>
    </row>
    <row r="110">
      <c r="A110" s="99" t="str">
        <f>IFERROR(__xludf.DUMMYFUNCTION("transpose(unique(FILTER(dCAGass[Tag],dCAGass[Room no.]=#REF!,dCAGass[Type]=#REF!)))"),"#N/A")</f>
        <v>#N/A</v>
      </c>
    </row>
    <row r="111">
      <c r="A111" s="99" t="str">
        <f>IFERROR(__xludf.DUMMYFUNCTION("transpose(unique(FILTER(dCAGass[Tag],dCAGass[Room no.]=#REF!,dCAGass[Type]=#REF!)))"),"#N/A")</f>
        <v>#N/A</v>
      </c>
    </row>
    <row r="112">
      <c r="A112" s="99" t="str">
        <f>IFERROR(__xludf.DUMMYFUNCTION("transpose(unique(FILTER(dCAGass[Tag],dCAGass[Room no.]=#REF!,dCAGass[Type]=#REF!)))"),"#N/A")</f>
        <v>#N/A</v>
      </c>
    </row>
    <row r="113">
      <c r="A113" s="99" t="str">
        <f>IFERROR(__xludf.DUMMYFUNCTION("transpose(unique(FILTER(dCAGass[Tag],dCAGass[Room no.]=#REF!,dCAGass[Type]=#REF!)))"),"#N/A")</f>
        <v>#N/A</v>
      </c>
    </row>
    <row r="114">
      <c r="A114" s="99" t="str">
        <f>IFERROR(__xludf.DUMMYFUNCTION("transpose(unique(FILTER(dCAGass[Tag],dCAGass[Room no.]='records-CA Gass'!D2,dCAGass[Type]='records-CA Gass'!E2)))"),"B16-AIR RECIEVER TANK FL.2")</f>
        <v>B16-AIR RECIEVER TANK FL.2</v>
      </c>
    </row>
    <row r="115">
      <c r="A115" s="99" t="str">
        <f>IFERROR(__xludf.DUMMYFUNCTION("transpose(unique(FILTER(dCAGass[Tag],dCAGass[Room no.]='records-CA Gass'!D3,dCAGass[Type]='records-CA Gass'!E3)))"),"B16L3-FSL-12")</f>
        <v>B16L3-FSL-12</v>
      </c>
    </row>
    <row r="116">
      <c r="A116" s="99" t="str">
        <f>IFERROR(__xludf.DUMMYFUNCTION("transpose(unique(FILTER(dCAGass[Tag],dCAGass[Room no.]='records-CA Gass'!D4,dCAGass[Type]='records-CA Gass'!E4)))"),"B16L3-FSL-21")</f>
        <v>B16L3-FSL-21</v>
      </c>
    </row>
    <row r="117">
      <c r="A117" s="99" t="str">
        <f>IFERROR(__xludf.DUMMYFUNCTION("transpose(unique(FILTER(dCAGass[Tag],dCAGass[Room no.]='records-CA Gass'!D5,dCAGass[Type]='records-CA Gass'!E5)))"),"B16L3-FSL-31")</f>
        <v>B16L3-FSL-31</v>
      </c>
    </row>
    <row r="118">
      <c r="A118" s="99" t="str">
        <f>IFERROR(__xludf.DUMMYFUNCTION("transpose(unique(FILTER(dCAGass[Tag],dCAGass[Room no.]='records-CA Gass'!D6,dCAGass[Type]='records-CA Gass'!E6)))"),"B16L3-FSL-25")</f>
        <v>B16L3-FSL-25</v>
      </c>
    </row>
    <row r="119">
      <c r="A119" s="99" t="str">
        <f>IFERROR(__xludf.DUMMYFUNCTION("transpose(unique(FILTER(dCAGass[Tag],dCAGass[Room no.]='records-CA Gass'!D7,dCAGass[Type]='records-CA Gass'!E7)))"),"B16L3-FSL-20")</f>
        <v>B16L3-FSL-20</v>
      </c>
    </row>
    <row r="120">
      <c r="A120" s="99" t="str">
        <f>IFERROR(__xludf.DUMMYFUNCTION("transpose(unique(FILTER(dCAGass[Tag],dCAGass[Room no.]='records-CA Gass'!D8,dCAGass[Type]='records-CA Gass'!E8)))"),"B16L3-FSL-22")</f>
        <v>B16L3-FSL-22</v>
      </c>
    </row>
    <row r="121">
      <c r="A121" s="99" t="str">
        <f>IFERROR(__xludf.DUMMYFUNCTION("transpose(unique(FILTER(dCAGass[Tag],dCAGass[Room no.]='records-CA Gass'!D9,dCAGass[Type]='records-CA Gass'!E9)))"),"B16L3-FSL-15")</f>
        <v>B16L3-FSL-15</v>
      </c>
    </row>
    <row r="122">
      <c r="A122" s="99" t="str">
        <f>IFERROR(__xludf.DUMMYFUNCTION("transpose(unique(FILTER(dCAGass[Tag],dCAGass[Room no.]='records-CA Gass'!D10,dCAGass[Type]='records-CA Gass'!E10)))"),"B16L3-FSL-13")</f>
        <v>B16L3-FSL-13</v>
      </c>
    </row>
    <row r="123">
      <c r="A123" s="99" t="str">
        <f>IFERROR(__xludf.DUMMYFUNCTION("transpose(unique(FILTER(dCAGass[Tag],dCAGass[Room no.]='records-CA Gass'!D11,dCAGass[Type]='records-CA Gass'!E11)))"),"B16L3-FSL-06")</f>
        <v>B16L3-FSL-06</v>
      </c>
    </row>
    <row r="124">
      <c r="A124" s="99" t="str">
        <f>IFERROR(__xludf.DUMMYFUNCTION("transpose(unique(FILTER(dCAGass[Tag],dCAGass[Room no.]='records-CA Gass'!D12,dCAGass[Type]='records-CA Gass'!E12)))"),"B16L3-FSL-01")</f>
        <v>B16L3-FSL-01</v>
      </c>
      <c r="B124" s="99" t="str">
        <f>IFERROR(__xludf.DUMMYFUNCTION("""COMPUTED_VALUE"""),"B16L3-FSL-02")</f>
        <v>B16L3-FSL-02</v>
      </c>
      <c r="C124" s="99" t="str">
        <f>IFERROR(__xludf.DUMMYFUNCTION("""COMPUTED_VALUE"""),"B16L3-FSL-03")</f>
        <v>B16L3-FSL-03</v>
      </c>
    </row>
    <row r="125">
      <c r="A125" s="99" t="str">
        <f>IFERROR(__xludf.DUMMYFUNCTION("transpose(unique(FILTER(dCAGass[Tag],dCAGass[Room no.]='records-CA Gass'!D13,dCAGass[Type]='records-CA Gass'!E13)))"),"B16L3-FSL-01")</f>
        <v>B16L3-FSL-01</v>
      </c>
      <c r="B125" s="99" t="str">
        <f>IFERROR(__xludf.DUMMYFUNCTION("""COMPUTED_VALUE"""),"B16L3-FSL-02")</f>
        <v>B16L3-FSL-02</v>
      </c>
      <c r="C125" s="99" t="str">
        <f>IFERROR(__xludf.DUMMYFUNCTION("""COMPUTED_VALUE"""),"B16L3-FSL-03")</f>
        <v>B16L3-FSL-03</v>
      </c>
    </row>
    <row r="126">
      <c r="A126" s="99" t="str">
        <f>IFERROR(__xludf.DUMMYFUNCTION("transpose(unique(FILTER(dCAGass[Tag],dCAGass[Room no.]='records-CA Gass'!D14,dCAGass[Type]='records-CA Gass'!E14)))"),"B16L3-FSL-29")</f>
        <v>B16L3-FSL-29</v>
      </c>
    </row>
    <row r="127">
      <c r="A127" s="99" t="str">
        <f>IFERROR(__xludf.DUMMYFUNCTION("transpose(unique(FILTER(dCAGass[Tag],dCAGass[Room no.]=#REF!,dCAGass[Type]=#REF!)))"),"#N/A")</f>
        <v>#N/A</v>
      </c>
    </row>
    <row r="128">
      <c r="A128" s="99" t="str">
        <f>IFERROR(__xludf.DUMMYFUNCTION("transpose(unique(FILTER(dCAGass[Tag],dCAGass[Room no.]=#REF!,dCAGass[Type]=#REF!)))"),"#N/A")</f>
        <v>#N/A</v>
      </c>
    </row>
    <row r="129">
      <c r="A129" s="99" t="str">
        <f>IFERROR(__xludf.DUMMYFUNCTION("transpose(unique(FILTER(dCAGass[Tag],dCAGass[Room no.]=#REF!,dCAGass[Type]=#REF!)))"),"#N/A")</f>
        <v>#N/A</v>
      </c>
    </row>
    <row r="130">
      <c r="A130" s="99" t="str">
        <f>IFERROR(__xludf.DUMMYFUNCTION("transpose(unique(FILTER(dCAGass[Tag],dCAGass[Room no.]=#REF!,dCAGass[Type]=#REF!)))"),"#N/A")</f>
        <v>#N/A</v>
      </c>
    </row>
    <row r="131">
      <c r="A131" s="99" t="str">
        <f>IFERROR(__xludf.DUMMYFUNCTION("transpose(unique(FILTER(dCAGass[Tag],dCAGass[Room no.]=#REF!,dCAGass[Type]=#REF!)))"),"#N/A")</f>
        <v>#N/A</v>
      </c>
    </row>
    <row r="132">
      <c r="A132" s="99" t="str">
        <f>IFERROR(__xludf.DUMMYFUNCTION("transpose(unique(FILTER(dCAGass[Tag],dCAGass[Room no.]=#REF!,dCAGass[Type]=#REF!)))"),"#N/A")</f>
        <v>#N/A</v>
      </c>
    </row>
    <row r="133">
      <c r="A133" s="99" t="str">
        <f>IFERROR(__xludf.DUMMYFUNCTION("transpose(unique(FILTER(dCAGass[Tag],dCAGass[Room no.]=#REF!,dCAGass[Type]=#REF!)))"),"#N/A")</f>
        <v>#N/A</v>
      </c>
    </row>
    <row r="134">
      <c r="A134" s="99" t="str">
        <f>IFERROR(__xludf.DUMMYFUNCTION("transpose(unique(FILTER(dCAGass[Tag],dCAGass[Room no.]=#REF!,dCAGass[Type]=#REF!)))"),"#N/A")</f>
        <v>#N/A</v>
      </c>
    </row>
    <row r="135">
      <c r="A135" s="99" t="str">
        <f>IFERROR(__xludf.DUMMYFUNCTION("transpose(unique(FILTER(dCAGass[Tag],dCAGass[Room no.]=#REF!,dCAGass[Type]=#REF!)))"),"#N/A")</f>
        <v>#N/A</v>
      </c>
    </row>
    <row r="136">
      <c r="A136" s="99" t="str">
        <f>IFERROR(__xludf.DUMMYFUNCTION("transpose(unique(FILTER(dCAGass[Tag],dCAGass[Room no.]=#REF!,dCAGass[Type]=#REF!)))"),"#N/A")</f>
        <v>#N/A</v>
      </c>
    </row>
    <row r="137">
      <c r="A137" s="99" t="str">
        <f>IFERROR(__xludf.DUMMYFUNCTION("transpose(unique(FILTER(dCAGass[Tag],dCAGass[Room no.]=#REF!,dCAGass[Type]=#REF!)))"),"#N/A")</f>
        <v>#N/A</v>
      </c>
    </row>
    <row r="138">
      <c r="A138" s="99" t="str">
        <f>IFERROR(__xludf.DUMMYFUNCTION("transpose(unique(FILTER(dCAGass[Tag],dCAGass[Room no.]=#REF!,dCAGass[Type]=#REF!)))"),"#N/A")</f>
        <v>#N/A</v>
      </c>
    </row>
    <row r="139">
      <c r="A139" s="99" t="str">
        <f>IFERROR(__xludf.DUMMYFUNCTION("transpose(unique(FILTER(dCAGass[Tag],dCAGass[Room no.]=#REF!,dCAGass[Type]=#REF!)))"),"#N/A")</f>
        <v>#N/A</v>
      </c>
    </row>
    <row r="140">
      <c r="A140" s="99" t="str">
        <f>IFERROR(__xludf.DUMMYFUNCTION("transpose(unique(FILTER(dCAGass[Tag],dCAGass[Room no.]=#REF!,dCAGass[Type]=#REF!)))"),"#N/A")</f>
        <v>#N/A</v>
      </c>
    </row>
    <row r="141">
      <c r="A141" s="99" t="str">
        <f>IFERROR(__xludf.DUMMYFUNCTION("transpose(unique(FILTER(dCAGass[Tag],dCAGass[Room no.]=#REF!,dCAGass[Type]=#REF!)))"),"#N/A")</f>
        <v>#N/A</v>
      </c>
    </row>
    <row r="142">
      <c r="A142" s="99" t="str">
        <f>IFERROR(__xludf.DUMMYFUNCTION("transpose(unique(FILTER(dCAGass[Tag],dCAGass[Room no.]=#REF!,dCAGass[Type]=#REF!)))"),"#N/A")</f>
        <v>#N/A</v>
      </c>
    </row>
    <row r="143">
      <c r="A143" s="99" t="str">
        <f>IFERROR(__xludf.DUMMYFUNCTION("transpose(unique(FILTER(dCAGass[Tag],dCAGass[Room no.]=#REF!,dCAGass[Type]=#REF!)))"),"#N/A")</f>
        <v>#N/A</v>
      </c>
    </row>
    <row r="144">
      <c r="A144" s="99" t="str">
        <f>IFERROR(__xludf.DUMMYFUNCTION("transpose(unique(FILTER(dCAGass[Tag],dCAGass[Room no.]=#REF!,dCAGass[Type]=#REF!)))"),"#N/A")</f>
        <v>#N/A</v>
      </c>
    </row>
    <row r="145">
      <c r="A145" s="99" t="str">
        <f>IFERROR(__xludf.DUMMYFUNCTION("transpose(unique(FILTER(dCAGass[Tag],dCAGass[Room no.]=#REF!,dCAGass[Type]=#REF!)))"),"#N/A")</f>
        <v>#N/A</v>
      </c>
    </row>
    <row r="146">
      <c r="A146" s="99" t="str">
        <f>IFERROR(__xludf.DUMMYFUNCTION("transpose(unique(FILTER(dCAGass[Tag],dCAGass[Room no.]=#REF!,dCAGass[Type]=#REF!)))"),"#N/A")</f>
        <v>#N/A</v>
      </c>
    </row>
    <row r="147">
      <c r="A147" s="99" t="str">
        <f>IFERROR(__xludf.DUMMYFUNCTION("transpose(unique(FILTER(dCAGass[Tag],dCAGass[Room no.]=#REF!,dCAGass[Type]=#REF!)))"),"#N/A")</f>
        <v>#N/A</v>
      </c>
    </row>
    <row r="148">
      <c r="A148" s="99" t="str">
        <f>IFERROR(__xludf.DUMMYFUNCTION("transpose(unique(FILTER(dCAGass[Tag],dCAGass[Room no.]=#REF!,dCAGass[Type]=#REF!)))"),"#N/A")</f>
        <v>#N/A</v>
      </c>
    </row>
    <row r="149">
      <c r="A149" s="99" t="str">
        <f>IFERROR(__xludf.DUMMYFUNCTION("transpose(unique(FILTER(dCAGass[Tag],dCAGass[Room no.]=#REF!,dCAGass[Type]=#REF!)))"),"#N/A")</f>
        <v>#N/A</v>
      </c>
    </row>
    <row r="150">
      <c r="A150" s="99" t="str">
        <f>IFERROR(__xludf.DUMMYFUNCTION("transpose(unique(FILTER(dCAGass[Tag],dCAGass[Room no.]=#REF!,dCAGass[Type]=#REF!)))"),"#N/A")</f>
        <v>#N/A</v>
      </c>
    </row>
    <row r="151">
      <c r="A151" s="99" t="str">
        <f>IFERROR(__xludf.DUMMYFUNCTION("transpose(unique(FILTER(dCAGass[Tag],dCAGass[Room no.]=#REF!,dCAGass[Type]=#REF!)))"),"#N/A")</f>
        <v>#N/A</v>
      </c>
    </row>
    <row r="152">
      <c r="A152" s="99" t="str">
        <f>IFERROR(__xludf.DUMMYFUNCTION("transpose(unique(FILTER(dCAGass[Tag],dCAGass[Room no.]=#REF!,dCAGass[Type]=#REF!)))"),"#N/A")</f>
        <v>#N/A</v>
      </c>
    </row>
    <row r="153">
      <c r="A153" s="99" t="str">
        <f>IFERROR(__xludf.DUMMYFUNCTION("transpose(unique(FILTER(dCAGass[Tag],dCAGass[Room no.]=#REF!,dCAGass[Type]=#REF!)))"),"#N/A")</f>
        <v>#N/A</v>
      </c>
    </row>
    <row r="154">
      <c r="A154" s="99" t="str">
        <f>IFERROR(__xludf.DUMMYFUNCTION("transpose(unique(FILTER(dCAGass[Tag],dCAGass[Room no.]=#REF!,dCAGass[Type]=#REF!)))"),"#N/A")</f>
        <v>#N/A</v>
      </c>
    </row>
    <row r="155">
      <c r="A155" s="99" t="str">
        <f>IFERROR(__xludf.DUMMYFUNCTION("transpose(unique(FILTER(dCAGass[Tag],dCAGass[Room no.]=#REF!,dCAGass[Type]=#REF!)))"),"#N/A")</f>
        <v>#N/A</v>
      </c>
    </row>
    <row r="156">
      <c r="A156" s="99" t="str">
        <f>IFERROR(__xludf.DUMMYFUNCTION("transpose(unique(FILTER(dCAGass[Tag],dCAGass[Room no.]=#REF!,dCAGass[Type]=#REF!)))"),"#N/A")</f>
        <v>#N/A</v>
      </c>
    </row>
    <row r="157">
      <c r="A157" s="99" t="str">
        <f>IFERROR(__xludf.DUMMYFUNCTION("transpose(unique(FILTER(dCAGass[Tag],dCAGass[Room no.]=#REF!,dCAGass[Type]=#REF!)))"),"#N/A")</f>
        <v>#N/A</v>
      </c>
    </row>
    <row r="158">
      <c r="A158" s="99" t="str">
        <f>IFERROR(__xludf.DUMMYFUNCTION("transpose(unique(FILTER(dCAGass[Tag],dCAGass[Room no.]=#REF!,dCAGass[Type]=#REF!)))"),"#N/A")</f>
        <v>#N/A</v>
      </c>
    </row>
    <row r="159">
      <c r="A159" s="99" t="str">
        <f>IFERROR(__xludf.DUMMYFUNCTION("transpose(unique(FILTER(dCAGass[Tag],dCAGass[Room no.]=#REF!,dCAGass[Type]=#REF!)))"),"#N/A")</f>
        <v>#N/A</v>
      </c>
    </row>
    <row r="160">
      <c r="A160" s="99" t="str">
        <f>IFERROR(__xludf.DUMMYFUNCTION("transpose(unique(FILTER(dCAGass[Tag],dCAGass[Room no.]=#REF!,dCAGass[Type]=#REF!)))"),"#N/A")</f>
        <v>#N/A</v>
      </c>
    </row>
    <row r="161">
      <c r="A161" s="99" t="str">
        <f>IFERROR(__xludf.DUMMYFUNCTION("transpose(unique(FILTER(dCAGass[Tag],dCAGass[Room no.]=#REF!,dCAGass[Type]=#REF!)))"),"#N/A")</f>
        <v>#N/A</v>
      </c>
    </row>
    <row r="162">
      <c r="A162" s="99" t="str">
        <f>IFERROR(__xludf.DUMMYFUNCTION("transpose(unique(FILTER(dCAGass[Tag],dCAGass[Room no.]=#REF!,dCAGass[Type]=#REF!)))"),"#N/A")</f>
        <v>#N/A</v>
      </c>
    </row>
    <row r="163">
      <c r="A163" s="99" t="str">
        <f>IFERROR(__xludf.DUMMYFUNCTION("transpose(unique(FILTER(dCAGass[Tag],dCAGass[Room no.]=#REF!,dCAGass[Type]=#REF!)))"),"#N/A")</f>
        <v>#N/A</v>
      </c>
    </row>
    <row r="164">
      <c r="A164" s="99" t="str">
        <f>IFERROR(__xludf.DUMMYFUNCTION("transpose(unique(FILTER(dCAGass[Tag],dCAGass[Room no.]=#REF!,dCAGass[Type]=#REF!)))"),"#N/A")</f>
        <v>#N/A</v>
      </c>
    </row>
    <row r="165">
      <c r="A165" s="99" t="str">
        <f>IFERROR(__xludf.DUMMYFUNCTION("transpose(unique(FILTER(dCAGass[Tag],dCAGass[Room no.]=#REF!,dCAGass[Type]=#REF!)))"),"#N/A")</f>
        <v>#N/A</v>
      </c>
    </row>
    <row r="166">
      <c r="A166" s="99" t="str">
        <f>IFERROR(__xludf.DUMMYFUNCTION("transpose(unique(FILTER(dCAGass[Tag],dCAGass[Room no.]=#REF!,dCAGass[Type]=#REF!)))"),"#N/A")</f>
        <v>#N/A</v>
      </c>
    </row>
    <row r="167">
      <c r="A167" s="99" t="str">
        <f>IFERROR(__xludf.DUMMYFUNCTION("transpose(unique(FILTER(dCAGass[Tag],dCAGass[Room no.]=#REF!,dCAGass[Type]=#REF!)))"),"#N/A")</f>
        <v>#N/A</v>
      </c>
    </row>
    <row r="168">
      <c r="A168" s="99" t="str">
        <f>IFERROR(__xludf.DUMMYFUNCTION("transpose(unique(FILTER(dCAGass[Tag],dCAGass[Room no.]=#REF!,dCAGass[Type]=#REF!)))"),"#N/A")</f>
        <v>#N/A</v>
      </c>
    </row>
    <row r="169">
      <c r="A169" s="99" t="str">
        <f>IFERROR(__xludf.DUMMYFUNCTION("transpose(unique(FILTER(dCAGass[Tag],dCAGass[Room no.]=#REF!,dCAGass[Type]=#REF!)))"),"#N/A")</f>
        <v>#N/A</v>
      </c>
    </row>
    <row r="170">
      <c r="A170" s="99" t="str">
        <f>IFERROR(__xludf.DUMMYFUNCTION("transpose(unique(FILTER(dCAGass[Tag],dCAGass[Room no.]=#REF!,dCAGass[Type]=#REF!)))"),"#N/A")</f>
        <v>#N/A</v>
      </c>
    </row>
    <row r="171">
      <c r="A171" s="99" t="str">
        <f>IFERROR(__xludf.DUMMYFUNCTION("transpose(unique(FILTER(dCAGass[Tag],dCAGass[Room no.]=#REF!,dCAGass[Type]=#REF!)))"),"#N/A")</f>
        <v>#N/A</v>
      </c>
    </row>
    <row r="172">
      <c r="A172" s="99" t="str">
        <f>IFERROR(__xludf.DUMMYFUNCTION("transpose(unique(FILTER(dCAGass[Tag],dCAGass[Room no.]=#REF!,dCAGass[Type]=#REF!)))"),"#N/A")</f>
        <v>#N/A</v>
      </c>
    </row>
    <row r="173">
      <c r="A173" s="99" t="str">
        <f>IFERROR(__xludf.DUMMYFUNCTION("transpose(unique(FILTER(dCAGass[Tag],dCAGass[Room no.]=#REF!,dCAGass[Type]=#REF!)))"),"#N/A")</f>
        <v>#N/A</v>
      </c>
    </row>
    <row r="174">
      <c r="A174" s="99" t="str">
        <f>IFERROR(__xludf.DUMMYFUNCTION("transpose(unique(FILTER(dCAGass[Tag],dCAGass[Room no.]=#REF!,dCAGass[Type]=#REF!)))"),"#N/A")</f>
        <v>#N/A</v>
      </c>
    </row>
    <row r="175">
      <c r="A175" s="99" t="str">
        <f>IFERROR(__xludf.DUMMYFUNCTION("transpose(unique(FILTER(dCAGass[Tag],dCAGass[Room no.]=#REF!,dCAGass[Type]=#REF!)))"),"#N/A")</f>
        <v>#N/A</v>
      </c>
    </row>
    <row r="176">
      <c r="A176" s="99" t="str">
        <f>IFERROR(__xludf.DUMMYFUNCTION("transpose(unique(FILTER(dCAGass[Tag],dCAGass[Room no.]=#REF!,dCAGass[Type]=#REF!)))"),"#N/A")</f>
        <v>#N/A</v>
      </c>
    </row>
    <row r="177">
      <c r="A177" s="99" t="str">
        <f>IFERROR(__xludf.DUMMYFUNCTION("transpose(unique(FILTER(dCAGass[Tag],dCAGass[Room no.]=#REF!,dCAGass[Type]=#REF!)))"),"#N/A")</f>
        <v>#N/A</v>
      </c>
    </row>
    <row r="178">
      <c r="A178" s="99" t="str">
        <f>IFERROR(__xludf.DUMMYFUNCTION("transpose(unique(FILTER(dCAGass[Tag],dCAGass[Room no.]=#REF!,dCAGass[Type]=#REF!)))"),"#N/A")</f>
        <v>#N/A</v>
      </c>
    </row>
    <row r="179">
      <c r="A179" s="99" t="str">
        <f>IFERROR(__xludf.DUMMYFUNCTION("transpose(unique(FILTER(dCAGass[Tag],dCAGass[Room no.]=#REF!,dCAGass[Type]=#REF!)))"),"#N/A")</f>
        <v>#N/A</v>
      </c>
    </row>
    <row r="180">
      <c r="A180" s="99" t="str">
        <f>IFERROR(__xludf.DUMMYFUNCTION("transpose(unique(FILTER(dCAGass[Tag],dCAGass[Room no.]=#REF!,dCAGass[Type]=#REF!)))"),"#N/A")</f>
        <v>#N/A</v>
      </c>
    </row>
    <row r="181">
      <c r="A181" s="99" t="str">
        <f>IFERROR(__xludf.DUMMYFUNCTION("transpose(unique(FILTER(dCAGass[Tag],dCAGass[Room no.]=#REF!,dCAGass[Type]=#REF!)))"),"#N/A")</f>
        <v>#N/A</v>
      </c>
    </row>
    <row r="182">
      <c r="A182" s="99" t="str">
        <f>IFERROR(__xludf.DUMMYFUNCTION("transpose(unique(FILTER(dCAGass[Tag],dCAGass[Room no.]=#REF!,dCAGass[Type]=#REF!)))"),"#N/A")</f>
        <v>#N/A</v>
      </c>
    </row>
    <row r="183">
      <c r="A183" s="99" t="str">
        <f>IFERROR(__xludf.DUMMYFUNCTION("transpose(unique(FILTER(dCAGass[Tag],dCAGass[Room no.]=#REF!,dCAGass[Type]=#REF!)))"),"#N/A")</f>
        <v>#N/A</v>
      </c>
    </row>
    <row r="184">
      <c r="A184" s="99" t="str">
        <f>IFERROR(__xludf.DUMMYFUNCTION("transpose(unique(FILTER(dCAGass[Tag],dCAGass[Room no.]=#REF!,dCAGass[Type]=#REF!)))"),"#N/A")</f>
        <v>#N/A</v>
      </c>
    </row>
    <row r="185">
      <c r="A185" s="99" t="str">
        <f>IFERROR(__xludf.DUMMYFUNCTION("transpose(unique(FILTER(dCAGass[Tag],dCAGass[Room no.]=#REF!,dCAGass[Type]=#REF!)))"),"#N/A")</f>
        <v>#N/A</v>
      </c>
    </row>
    <row r="186">
      <c r="A186" s="99" t="str">
        <f>IFERROR(__xludf.DUMMYFUNCTION("transpose(unique(FILTER(dCAGass[Tag],dCAGass[Room no.]=#REF!,dCAGass[Type]=#REF!)))"),"#N/A")</f>
        <v>#N/A</v>
      </c>
    </row>
    <row r="187">
      <c r="A187" s="99" t="str">
        <f>IFERROR(__xludf.DUMMYFUNCTION("transpose(unique(FILTER(dCAGass[Tag],dCAGass[Room no.]=#REF!,dCAGass[Type]=#REF!)))"),"#N/A")</f>
        <v>#N/A</v>
      </c>
    </row>
    <row r="188">
      <c r="A188" s="99" t="str">
        <f>IFERROR(__xludf.DUMMYFUNCTION("transpose(unique(FILTER(dCAGass[Tag],dCAGass[Room no.]=#REF!,dCAGass[Type]=#REF!)))"),"#N/A")</f>
        <v>#N/A</v>
      </c>
    </row>
    <row r="189">
      <c r="A189" s="99" t="str">
        <f>IFERROR(__xludf.DUMMYFUNCTION("transpose(unique(FILTER(dCAGass[Tag],dCAGass[Room no.]=#REF!,dCAGass[Type]=#REF!)))"),"#N/A")</f>
        <v>#N/A</v>
      </c>
    </row>
    <row r="190">
      <c r="A190" s="99" t="str">
        <f>IFERROR(__xludf.DUMMYFUNCTION("transpose(unique(FILTER(dCAGass[Tag],dCAGass[Room no.]=#REF!,dCAGass[Type]=#REF!)))"),"#N/A")</f>
        <v>#N/A</v>
      </c>
    </row>
    <row r="191">
      <c r="A191" s="99" t="str">
        <f>IFERROR(__xludf.DUMMYFUNCTION("transpose(unique(FILTER(dCAGass[Tag],dCAGass[Room no.]=#REF!,dCAGass[Type]=#REF!)))"),"#N/A")</f>
        <v>#N/A</v>
      </c>
    </row>
    <row r="192">
      <c r="A192" s="99" t="str">
        <f>IFERROR(__xludf.DUMMYFUNCTION("transpose(unique(FILTER(dCAGass[Tag],dCAGass[Room no.]=#REF!,dCAGass[Type]=#REF!)))"),"#N/A")</f>
        <v>#N/A</v>
      </c>
    </row>
    <row r="193">
      <c r="A193" s="99" t="str">
        <f>IFERROR(__xludf.DUMMYFUNCTION("transpose(unique(FILTER(dCAGass[Tag],dCAGass[Room no.]=#REF!,dCAGass[Type]=#REF!)))"),"#N/A")</f>
        <v>#N/A</v>
      </c>
    </row>
    <row r="194">
      <c r="A194" s="99" t="str">
        <f>IFERROR(__xludf.DUMMYFUNCTION("transpose(unique(FILTER(dCAGass[Tag],dCAGass[Room no.]=#REF!,dCAGass[Type]=#REF!)))"),"#N/A")</f>
        <v>#N/A</v>
      </c>
    </row>
    <row r="195">
      <c r="A195" s="99" t="str">
        <f>IFERROR(__xludf.DUMMYFUNCTION("transpose(unique(FILTER(dCAGass[Tag],dCAGass[Room no.]=#REF!,dCAGass[Type]=#REF!)))"),"#N/A")</f>
        <v>#N/A</v>
      </c>
    </row>
    <row r="196">
      <c r="A196" s="99" t="str">
        <f>IFERROR(__xludf.DUMMYFUNCTION("transpose(unique(FILTER(dCAGass[Tag],dCAGass[Room no.]=#REF!,dCAGass[Type]=#REF!)))"),"#N/A")</f>
        <v>#N/A</v>
      </c>
    </row>
    <row r="197">
      <c r="A197" s="99" t="str">
        <f>IFERROR(__xludf.DUMMYFUNCTION("transpose(unique(FILTER(dCAGass[Tag],dCAGass[Room no.]=#REF!,dCAGass[Type]=#REF!)))"),"#N/A")</f>
        <v>#N/A</v>
      </c>
    </row>
    <row r="198">
      <c r="A198" s="99" t="str">
        <f>IFERROR(__xludf.DUMMYFUNCTION("transpose(unique(FILTER(dCAGass[Tag],dCAGass[Room no.]=#REF!,dCAGass[Type]=#REF!)))"),"#N/A")</f>
        <v>#N/A</v>
      </c>
    </row>
    <row r="199">
      <c r="A199" s="99" t="str">
        <f>IFERROR(__xludf.DUMMYFUNCTION("transpose(unique(FILTER(dCAGass[Tag],dCAGass[Room no.]=#REF!,dCAGass[Type]=#REF!)))"),"#N/A")</f>
        <v>#N/A</v>
      </c>
    </row>
    <row r="200">
      <c r="A200" s="99" t="str">
        <f>IFERROR(__xludf.DUMMYFUNCTION("transpose(unique(FILTER(dCAGass[Tag],dCAGass[Room no.]=#REF!,dCAGass[Type]=#REF!)))"),"#N/A")</f>
        <v>#N/A</v>
      </c>
    </row>
    <row r="201">
      <c r="A201" s="99" t="str">
        <f>IFERROR(__xludf.DUMMYFUNCTION("transpose(unique(FILTER(dCAGass[Tag],dCAGass[Room no.]=#REF!,dCAGass[Type]=#REF!)))"),"#N/A")</f>
        <v>#N/A</v>
      </c>
    </row>
    <row r="202">
      <c r="A202" s="99" t="str">
        <f>IFERROR(__xludf.DUMMYFUNCTION("transpose(unique(FILTER(dCAGass[Tag],dCAGass[Room no.]=#REF!,dCAGass[Type]=#REF!)))"),"#N/A")</f>
        <v>#N/A</v>
      </c>
    </row>
    <row r="203">
      <c r="A203" s="99" t="str">
        <f>IFERROR(__xludf.DUMMYFUNCTION("transpose(unique(FILTER(dCAGass[Tag],dCAGass[Room no.]=#REF!,dCAGass[Type]=#REF!)))"),"#N/A")</f>
        <v>#N/A</v>
      </c>
    </row>
    <row r="204">
      <c r="A204" s="99" t="str">
        <f>IFERROR(__xludf.DUMMYFUNCTION("transpose(unique(FILTER(dCAGass[Tag],dCAGass[Room no.]=#REF!,dCAGass[Type]=#REF!)))"),"#N/A")</f>
        <v>#N/A</v>
      </c>
    </row>
    <row r="205">
      <c r="A205" s="99" t="str">
        <f>IFERROR(__xludf.DUMMYFUNCTION("transpose(unique(FILTER(dCAGass[Tag],dCAGass[Room no.]=#REF!,dCAGass[Type]=#REF!)))"),"#N/A")</f>
        <v>#N/A</v>
      </c>
    </row>
    <row r="206">
      <c r="A206" s="99" t="str">
        <f>IFERROR(__xludf.DUMMYFUNCTION("transpose(unique(FILTER(dCAGass[Tag],dCAGass[Room no.]=#REF!,dCAGass[Type]=#REF!)))"),"#N/A")</f>
        <v>#N/A</v>
      </c>
    </row>
    <row r="207">
      <c r="A207" s="99" t="str">
        <f>IFERROR(__xludf.DUMMYFUNCTION("transpose(unique(FILTER(dCAGass[Tag],dCAGass[Room no.]=#REF!,dCAGass[Type]=#REF!)))"),"#N/A")</f>
        <v>#N/A</v>
      </c>
    </row>
    <row r="208">
      <c r="A208" s="99" t="str">
        <f>IFERROR(__xludf.DUMMYFUNCTION("transpose(unique(FILTER(dCAGass[Tag],dCAGass[Room no.]=#REF!,dCAGass[Type]=#REF!)))"),"#N/A")</f>
        <v>#N/A</v>
      </c>
    </row>
    <row r="209">
      <c r="A209" s="99" t="str">
        <f>IFERROR(__xludf.DUMMYFUNCTION("transpose(unique(FILTER(dCAGass[Tag],dCAGass[Room no.]=#REF!,dCAGass[Type]=#REF!)))"),"#N/A")</f>
        <v>#N/A</v>
      </c>
    </row>
    <row r="210">
      <c r="A210" s="99" t="str">
        <f>IFERROR(__xludf.DUMMYFUNCTION("transpose(unique(FILTER(dCAGass[Tag],dCAGass[Room no.]=#REF!,dCAGass[Type]=#REF!)))"),"#N/A")</f>
        <v>#N/A</v>
      </c>
    </row>
    <row r="211">
      <c r="A211" s="99" t="str">
        <f>IFERROR(__xludf.DUMMYFUNCTION("transpose(unique(FILTER(dCAGass[Tag],dCAGass[Room no.]=#REF!,dCAGass[Type]=#REF!)))"),"#N/A")</f>
        <v>#N/A</v>
      </c>
    </row>
    <row r="212">
      <c r="A212" s="99" t="str">
        <f>IFERROR(__xludf.DUMMYFUNCTION("transpose(unique(FILTER(dCAGass[Tag],dCAGass[Room no.]=#REF!,dCAGass[Type]=#REF!)))"),"#N/A")</f>
        <v>#N/A</v>
      </c>
    </row>
    <row r="213">
      <c r="A213" s="99" t="str">
        <f>IFERROR(__xludf.DUMMYFUNCTION("transpose(unique(FILTER(dCAGass[Tag],dCAGass[Room no.]=#REF!,dCAGass[Type]=#REF!)))"),"#N/A")</f>
        <v>#N/A</v>
      </c>
    </row>
    <row r="214">
      <c r="A214" s="99" t="str">
        <f>IFERROR(__xludf.DUMMYFUNCTION("transpose(unique(FILTER(dCAGass[Tag],dCAGass[Room no.]=#REF!,dCAGass[Type]=#REF!)))"),"#N/A")</f>
        <v>#N/A</v>
      </c>
    </row>
    <row r="215">
      <c r="A215" s="99" t="str">
        <f>IFERROR(__xludf.DUMMYFUNCTION("transpose(unique(FILTER(dCAGass[Tag],dCAGass[Room no.]=#REF!,dCAGass[Type]=#REF!)))"),"#N/A")</f>
        <v>#N/A</v>
      </c>
    </row>
    <row r="216">
      <c r="A216" s="99" t="str">
        <f>IFERROR(__xludf.DUMMYFUNCTION("transpose(unique(FILTER(dCAGass[Tag],dCAGass[Room no.]=#REF!,dCAGass[Type]=#REF!)))"),"#N/A")</f>
        <v>#N/A</v>
      </c>
    </row>
    <row r="217">
      <c r="A217" s="99" t="str">
        <f>IFERROR(__xludf.DUMMYFUNCTION("transpose(unique(FILTER(dCAGass[Tag],dCAGass[Room no.]=#REF!,dCAGass[Type]=#REF!)))"),"#N/A")</f>
        <v>#N/A</v>
      </c>
    </row>
    <row r="218">
      <c r="A218" s="99" t="str">
        <f>IFERROR(__xludf.DUMMYFUNCTION("transpose(unique(FILTER(dCAGass[Tag],dCAGass[Room no.]=#REF!,dCAGass[Type]=#REF!)))"),"#N/A")</f>
        <v>#N/A</v>
      </c>
    </row>
    <row r="219">
      <c r="A219" s="99" t="str">
        <f>IFERROR(__xludf.DUMMYFUNCTION("transpose(unique(FILTER(dCAGass[Tag],dCAGass[Room no.]=#REF!,dCAGass[Type]=#REF!)))"),"#N/A")</f>
        <v>#N/A</v>
      </c>
    </row>
    <row r="220">
      <c r="A220" s="99" t="str">
        <f>IFERROR(__xludf.DUMMYFUNCTION("transpose(unique(FILTER(dCAGass[Tag],dCAGass[Room no.]=#REF!,dCAGass[Type]=#REF!)))"),"#N/A")</f>
        <v>#N/A</v>
      </c>
    </row>
    <row r="221">
      <c r="A221" s="99" t="str">
        <f>IFERROR(__xludf.DUMMYFUNCTION("transpose(unique(FILTER(dCAGass[Tag],dCAGass[Room no.]=#REF!,dCAGass[Type]=#REF!)))"),"#N/A")</f>
        <v>#N/A</v>
      </c>
    </row>
    <row r="222">
      <c r="A222" s="99" t="str">
        <f>IFERROR(__xludf.DUMMYFUNCTION("transpose(unique(FILTER(dCAGass[Tag],dCAGass[Room no.]=#REF!,dCAGass[Type]=#REF!)))"),"#N/A")</f>
        <v>#N/A</v>
      </c>
    </row>
    <row r="223">
      <c r="A223" s="99" t="str">
        <f>IFERROR(__xludf.DUMMYFUNCTION("transpose(unique(FILTER(dCAGass[Tag],dCAGass[Room no.]=#REF!,dCAGass[Type]=#REF!)))"),"#N/A")</f>
        <v>#N/A</v>
      </c>
    </row>
    <row r="224">
      <c r="A224" s="99" t="str">
        <f>IFERROR(__xludf.DUMMYFUNCTION("transpose(unique(FILTER(dCAGass[Tag],dCAGass[Room no.]=#REF!,dCAGass[Type]=#REF!)))"),"#N/A")</f>
        <v>#N/A</v>
      </c>
    </row>
    <row r="225">
      <c r="A225" s="99" t="str">
        <f>IFERROR(__xludf.DUMMYFUNCTION("transpose(unique(FILTER(dCAGass[Tag],dCAGass[Room no.]=#REF!,dCAGass[Type]=#REF!)))"),"#N/A")</f>
        <v>#N/A</v>
      </c>
    </row>
    <row r="226">
      <c r="A226" s="99" t="str">
        <f>IFERROR(__xludf.DUMMYFUNCTION("transpose(unique(FILTER(dCAGass[Tag],dCAGass[Room no.]=#REF!,dCAGass[Type]=#REF!)))"),"#N/A")</f>
        <v>#N/A</v>
      </c>
    </row>
    <row r="227">
      <c r="A227" s="99" t="str">
        <f>IFERROR(__xludf.DUMMYFUNCTION("transpose(unique(FILTER(dCAGass[Tag],dCAGass[Room no.]=#REF!,dCAGass[Type]=#REF!)))"),"#N/A")</f>
        <v>#N/A</v>
      </c>
    </row>
    <row r="228">
      <c r="A228" s="99" t="str">
        <f>IFERROR(__xludf.DUMMYFUNCTION("transpose(unique(FILTER(dCAGass[Tag],dCAGass[Room no.]=#REF!,dCAGass[Type]=#REF!)))"),"#N/A")</f>
        <v>#N/A</v>
      </c>
    </row>
    <row r="229">
      <c r="A229" s="99" t="str">
        <f>IFERROR(__xludf.DUMMYFUNCTION("transpose(unique(FILTER(dCAGass[Tag],dCAGass[Room no.]=#REF!,dCAGass[Type]=#REF!)))"),"#N/A")</f>
        <v>#N/A</v>
      </c>
    </row>
    <row r="230">
      <c r="A230" s="99" t="str">
        <f>IFERROR(__xludf.DUMMYFUNCTION("transpose(unique(FILTER(dCAGass[Tag],dCAGass[Room no.]=#REF!,dCAGass[Type]=#REF!)))"),"#N/A")</f>
        <v>#N/A</v>
      </c>
    </row>
    <row r="231">
      <c r="A231" s="99" t="str">
        <f>IFERROR(__xludf.DUMMYFUNCTION("transpose(unique(FILTER(dCAGass[Tag],dCAGass[Room no.]=#REF!,dCAGass[Type]=#REF!)))"),"#N/A")</f>
        <v>#N/A</v>
      </c>
    </row>
    <row r="232">
      <c r="A232" s="99" t="str">
        <f>IFERROR(__xludf.DUMMYFUNCTION("transpose(unique(FILTER(dCAGass[Tag],dCAGass[Room no.]=#REF!,dCAGass[Type]=#REF!)))"),"#N/A")</f>
        <v>#N/A</v>
      </c>
    </row>
    <row r="233">
      <c r="A233" s="99" t="str">
        <f>IFERROR(__xludf.DUMMYFUNCTION("transpose(unique(FILTER(dCAGass[Tag],dCAGass[Room no.]=#REF!,dCAGass[Type]=#REF!)))"),"#N/A")</f>
        <v>#N/A</v>
      </c>
    </row>
    <row r="234">
      <c r="A234" s="99" t="str">
        <f>IFERROR(__xludf.DUMMYFUNCTION("transpose(unique(FILTER(dCAGass[Tag],dCAGass[Room no.]=#REF!,dCAGass[Type]=#REF!)))"),"#N/A")</f>
        <v>#N/A</v>
      </c>
    </row>
    <row r="235">
      <c r="A235" s="99" t="str">
        <f>IFERROR(__xludf.DUMMYFUNCTION("transpose(unique(FILTER(dCAGass[Tag],dCAGass[Room no.]=#REF!,dCAGass[Type]=#REF!)))"),"#N/A")</f>
        <v>#N/A</v>
      </c>
    </row>
    <row r="236">
      <c r="A236" s="99" t="str">
        <f>IFERROR(__xludf.DUMMYFUNCTION("transpose(unique(FILTER(dCAGass[Tag],dCAGass[Room no.]=#REF!,dCAGass[Type]=#REF!)))"),"#N/A")</f>
        <v>#N/A</v>
      </c>
    </row>
    <row r="237">
      <c r="A237" s="99" t="str">
        <f>IFERROR(__xludf.DUMMYFUNCTION("transpose(unique(FILTER(dCAGass[Tag],dCAGass[Room no.]=#REF!,dCAGass[Type]=#REF!)))"),"#N/A")</f>
        <v>#N/A</v>
      </c>
    </row>
    <row r="238">
      <c r="A238" s="99" t="str">
        <f>IFERROR(__xludf.DUMMYFUNCTION("transpose(unique(FILTER(dCAGass[Tag],dCAGass[Room no.]=#REF!,dCAGass[Type]=#REF!)))"),"#N/A")</f>
        <v>#N/A</v>
      </c>
    </row>
    <row r="239">
      <c r="A239" s="99" t="str">
        <f>IFERROR(__xludf.DUMMYFUNCTION("transpose(unique(FILTER(dCAGass[Tag],dCAGass[Room no.]=#REF!,dCAGass[Type]=#REF!)))"),"#N/A")</f>
        <v>#N/A</v>
      </c>
    </row>
    <row r="240">
      <c r="A240" s="99" t="str">
        <f>IFERROR(__xludf.DUMMYFUNCTION("transpose(unique(FILTER(dCAGass[Tag],dCAGass[Room no.]=#REF!,dCAGass[Type]=#REF!)))"),"#N/A")</f>
        <v>#N/A</v>
      </c>
    </row>
    <row r="241">
      <c r="A241" s="99" t="str">
        <f>IFERROR(__xludf.DUMMYFUNCTION("transpose(unique(FILTER(dCAGass[Tag],dCAGass[Room no.]=#REF!,dCAGass[Type]=#REF!)))"),"#N/A")</f>
        <v>#N/A</v>
      </c>
    </row>
    <row r="242">
      <c r="A242" s="99" t="str">
        <f>IFERROR(__xludf.DUMMYFUNCTION("transpose(unique(FILTER(dCAGass[Tag],dCAGass[Room no.]=#REF!,dCAGass[Type]=#REF!)))"),"#N/A")</f>
        <v>#N/A</v>
      </c>
    </row>
    <row r="243">
      <c r="A243" s="99" t="str">
        <f>IFERROR(__xludf.DUMMYFUNCTION("transpose(unique(FILTER(dCAGass[Tag],dCAGass[Room no.]=#REF!,dCAGass[Type]=#REF!)))"),"#N/A")</f>
        <v>#N/A</v>
      </c>
    </row>
    <row r="244">
      <c r="A244" s="99" t="str">
        <f>IFERROR(__xludf.DUMMYFUNCTION("transpose(unique(FILTER(dCAGass[Tag],dCAGass[Room no.]=#REF!,dCAGass[Type]=#REF!)))"),"#N/A")</f>
        <v>#N/A</v>
      </c>
    </row>
    <row r="245">
      <c r="A245" s="99" t="str">
        <f>IFERROR(__xludf.DUMMYFUNCTION("transpose(unique(FILTER(dCAGass[Tag],dCAGass[Room no.]=#REF!,dCAGass[Type]=#REF!)))"),"#N/A")</f>
        <v>#N/A</v>
      </c>
    </row>
    <row r="246">
      <c r="A246" s="99" t="str">
        <f>IFERROR(__xludf.DUMMYFUNCTION("transpose(unique(FILTER(dCAGass[Tag],dCAGass[Room no.]=#REF!,dCAGass[Type]=#REF!)))"),"#N/A")</f>
        <v>#N/A</v>
      </c>
    </row>
    <row r="247">
      <c r="A247" s="99" t="str">
        <f>IFERROR(__xludf.DUMMYFUNCTION("transpose(unique(FILTER(dCAGass[Tag],dCAGass[Room no.]=#REF!,dCAGass[Type]=#REF!)))"),"#N/A")</f>
        <v>#N/A</v>
      </c>
    </row>
    <row r="248">
      <c r="A248" s="99" t="str">
        <f>IFERROR(__xludf.DUMMYFUNCTION("transpose(unique(FILTER(dCAGass[Tag],dCAGass[Room no.]=#REF!,dCAGass[Type]=#REF!)))"),"#N/A")</f>
        <v>#N/A</v>
      </c>
    </row>
    <row r="249">
      <c r="A249" s="99" t="str">
        <f>IFERROR(__xludf.DUMMYFUNCTION("transpose(unique(FILTER(dCAGass[Tag],dCAGass[Room no.]=#REF!,dCAGass[Type]=#REF!)))"),"#N/A")</f>
        <v>#N/A</v>
      </c>
    </row>
    <row r="250">
      <c r="A250" s="99" t="str">
        <f>IFERROR(__xludf.DUMMYFUNCTION("transpose(unique(FILTER(dCAGass[Tag],dCAGass[Room no.]=#REF!,dCAGass[Type]=#REF!)))"),"#N/A")</f>
        <v>#N/A</v>
      </c>
    </row>
    <row r="251">
      <c r="A251" s="99" t="str">
        <f>IFERROR(__xludf.DUMMYFUNCTION("transpose(unique(FILTER(dCAGass[Tag],dCAGass[Room no.]=#REF!,dCAGass[Type]=#REF!)))"),"#N/A")</f>
        <v>#N/A</v>
      </c>
    </row>
    <row r="252">
      <c r="A252" s="99" t="str">
        <f>IFERROR(__xludf.DUMMYFUNCTION("transpose(unique(FILTER(dCAGass[Tag],dCAGass[Room no.]=#REF!,dCAGass[Type]=#REF!)))"),"#N/A")</f>
        <v>#N/A</v>
      </c>
    </row>
    <row r="253">
      <c r="A253" s="99" t="str">
        <f>IFERROR(__xludf.DUMMYFUNCTION("transpose(unique(FILTER(dCAGass[Tag],dCAGass[Room no.]=#REF!,dCAGass[Type]=#REF!)))"),"#N/A")</f>
        <v>#N/A</v>
      </c>
    </row>
    <row r="254">
      <c r="A254" s="99" t="str">
        <f>IFERROR(__xludf.DUMMYFUNCTION("transpose(unique(FILTER(dCAGass[Tag],dCAGass[Room no.]=#REF!,dCAGass[Type]=#REF!)))"),"#N/A")</f>
        <v>#N/A</v>
      </c>
    </row>
    <row r="255">
      <c r="A255" s="99" t="str">
        <f>IFERROR(__xludf.DUMMYFUNCTION("transpose(unique(FILTER(dCAGass[Tag],dCAGass[Room no.]=#REF!,dCAGass[Type]=#REF!)))"),"#N/A")</f>
        <v>#N/A</v>
      </c>
    </row>
    <row r="256">
      <c r="A256" s="99" t="str">
        <f>IFERROR(__xludf.DUMMYFUNCTION("transpose(unique(FILTER(dCAGass[Tag],dCAGass[Room no.]=#REF!,dCAGass[Type]=#REF!)))"),"#N/A")</f>
        <v>#N/A</v>
      </c>
    </row>
    <row r="257">
      <c r="A257" s="99" t="str">
        <f>IFERROR(__xludf.DUMMYFUNCTION("transpose(unique(FILTER(dCAGass[Tag],dCAGass[Room no.]=#REF!,dCAGass[Type]=#REF!)))"),"#N/A")</f>
        <v>#N/A</v>
      </c>
    </row>
    <row r="258">
      <c r="A258" s="99" t="str">
        <f>IFERROR(__xludf.DUMMYFUNCTION("transpose(unique(FILTER(dCAGass[Tag],dCAGass[Room no.]=#REF!,dCAGass[Type]=#REF!)))"),"#N/A")</f>
        <v>#N/A</v>
      </c>
    </row>
    <row r="259">
      <c r="A259" s="99" t="str">
        <f>IFERROR(__xludf.DUMMYFUNCTION("transpose(unique(FILTER(dCAGass[Tag],dCAGass[Room no.]=#REF!,dCAGass[Type]=#REF!)))"),"#N/A")</f>
        <v>#N/A</v>
      </c>
    </row>
    <row r="260">
      <c r="A260" s="99" t="str">
        <f>IFERROR(__xludf.DUMMYFUNCTION("transpose(unique(FILTER(dCAGass[Tag],dCAGass[Room no.]=#REF!,dCAGass[Type]=#REF!)))"),"#N/A")</f>
        <v>#N/A</v>
      </c>
    </row>
    <row r="261">
      <c r="A261" s="99" t="str">
        <f>IFERROR(__xludf.DUMMYFUNCTION("transpose(unique(FILTER(dCAGass[Tag],dCAGass[Room no.]=#REF!,dCAGass[Type]=#REF!)))"),"#N/A")</f>
        <v>#N/A</v>
      </c>
    </row>
    <row r="262">
      <c r="A262" s="99" t="str">
        <f>IFERROR(__xludf.DUMMYFUNCTION("transpose(unique(FILTER(dCAGass[Tag],dCAGass[Room no.]=#REF!,dCAGass[Type]=#REF!)))"),"#N/A")</f>
        <v>#N/A</v>
      </c>
    </row>
    <row r="263">
      <c r="A263" s="99" t="str">
        <f>IFERROR(__xludf.DUMMYFUNCTION("transpose(unique(FILTER(dCAGass[Tag],dCAGass[Room no.]=#REF!,dCAGass[Type]=#REF!)))"),"#N/A")</f>
        <v>#N/A</v>
      </c>
    </row>
    <row r="264">
      <c r="A264" s="99" t="str">
        <f>IFERROR(__xludf.DUMMYFUNCTION("transpose(unique(FILTER(dCAGass[Tag],dCAGass[Room no.]=#REF!,dCAGass[Type]=#REF!)))"),"#N/A")</f>
        <v>#N/A</v>
      </c>
    </row>
    <row r="265">
      <c r="A265" s="99" t="str">
        <f>IFERROR(__xludf.DUMMYFUNCTION("transpose(unique(FILTER(dCAGass[Tag],dCAGass[Room no.]=#REF!,dCAGass[Type]=#REF!)))"),"#N/A")</f>
        <v>#N/A</v>
      </c>
    </row>
    <row r="266">
      <c r="A266" s="99" t="str">
        <f>IFERROR(__xludf.DUMMYFUNCTION("transpose(unique(FILTER(dCAGass[Tag],dCAGass[Room no.]=#REF!,dCAGass[Type]=#REF!)))"),"#N/A")</f>
        <v>#N/A</v>
      </c>
    </row>
    <row r="267">
      <c r="A267" s="99" t="str">
        <f>IFERROR(__xludf.DUMMYFUNCTION("transpose(unique(FILTER(dCAGass[Tag],dCAGass[Room no.]=#REF!,dCAGass[Type]=#REF!)))"),"#N/A")</f>
        <v>#N/A</v>
      </c>
    </row>
    <row r="268">
      <c r="A268" s="99" t="str">
        <f>IFERROR(__xludf.DUMMYFUNCTION("transpose(unique(FILTER(dCAGass[Tag],dCAGass[Room no.]=#REF!,dCAGass[Type]=#REF!)))"),"#N/A")</f>
        <v>#N/A</v>
      </c>
    </row>
    <row r="269">
      <c r="A269" s="99" t="str">
        <f>IFERROR(__xludf.DUMMYFUNCTION("transpose(unique(FILTER(dCAGass[Tag],dCAGass[Room no.]=#REF!,dCAGass[Type]=#REF!)))"),"#N/A")</f>
        <v>#N/A</v>
      </c>
    </row>
    <row r="270">
      <c r="A270" s="99" t="str">
        <f>IFERROR(__xludf.DUMMYFUNCTION("transpose(unique(FILTER(dCAGass[Tag],dCAGass[Room no.]=#REF!,dCAGass[Type]=#REF!)))"),"#N/A")</f>
        <v>#N/A</v>
      </c>
    </row>
    <row r="271">
      <c r="A271" s="99" t="str">
        <f>IFERROR(__xludf.DUMMYFUNCTION("transpose(unique(FILTER(dCAGass[Tag],dCAGass[Room no.]=#REF!,dCAGass[Type]=#REF!)))"),"#N/A")</f>
        <v>#N/A</v>
      </c>
    </row>
    <row r="272">
      <c r="A272" s="99" t="str">
        <f>IFERROR(__xludf.DUMMYFUNCTION("transpose(unique(FILTER(dCAGass[Tag],dCAGass[Room no.]=#REF!,dCAGass[Type]=#REF!)))"),"#N/A")</f>
        <v>#N/A</v>
      </c>
    </row>
    <row r="273">
      <c r="A273" s="99" t="str">
        <f>IFERROR(__xludf.DUMMYFUNCTION("transpose(unique(FILTER(dCAGass[Tag],dCAGass[Room no.]=#REF!,dCAGass[Type]=#REF!)))"),"#N/A")</f>
        <v>#N/A</v>
      </c>
    </row>
    <row r="274">
      <c r="A274" s="99" t="str">
        <f>IFERROR(__xludf.DUMMYFUNCTION("transpose(unique(FILTER(dCAGass[Tag],dCAGass[Room no.]=#REF!,dCAGass[Type]=#REF!)))"),"#N/A")</f>
        <v>#N/A</v>
      </c>
    </row>
    <row r="275">
      <c r="A275" s="99" t="str">
        <f>IFERROR(__xludf.DUMMYFUNCTION("transpose(unique(FILTER(dCAGass[Tag],dCAGass[Room no.]=#REF!,dCAGass[Type]=#REF!)))"),"#N/A")</f>
        <v>#N/A</v>
      </c>
    </row>
    <row r="276">
      <c r="A276" s="99" t="str">
        <f>IFERROR(__xludf.DUMMYFUNCTION("transpose(unique(FILTER(dCAGass[Tag],dCAGass[Room no.]=#REF!,dCAGass[Type]=#REF!)))"),"#N/A")</f>
        <v>#N/A</v>
      </c>
    </row>
    <row r="277">
      <c r="A277" s="99" t="str">
        <f>IFERROR(__xludf.DUMMYFUNCTION("transpose(unique(FILTER(dCAGass[Tag],dCAGass[Room no.]=#REF!,dCAGass[Type]=#REF!)))"),"#N/A")</f>
        <v>#N/A</v>
      </c>
    </row>
    <row r="278">
      <c r="A278" s="99" t="str">
        <f>IFERROR(__xludf.DUMMYFUNCTION("transpose(unique(FILTER(dCAGass[Tag],dCAGass[Room no.]=#REF!,dCAGass[Type]=#REF!)))"),"#N/A")</f>
        <v>#N/A</v>
      </c>
    </row>
    <row r="279">
      <c r="A279" s="99" t="str">
        <f>IFERROR(__xludf.DUMMYFUNCTION("transpose(unique(FILTER(dCAGass[Tag],dCAGass[Room no.]=#REF!,dCAGass[Type]=#REF!)))"),"#N/A")</f>
        <v>#N/A</v>
      </c>
    </row>
    <row r="280">
      <c r="A280" s="99" t="str">
        <f>IFERROR(__xludf.DUMMYFUNCTION("transpose(unique(FILTER(dCAGass[Tag],dCAGass[Room no.]=#REF!,dCAGass[Type]=#REF!)))"),"#N/A")</f>
        <v>#N/A</v>
      </c>
    </row>
    <row r="281">
      <c r="A281" s="99" t="str">
        <f>IFERROR(__xludf.DUMMYFUNCTION("transpose(unique(FILTER(dCAGass[Tag],dCAGass[Room no.]=#REF!,dCAGass[Type]=#REF!)))"),"#N/A")</f>
        <v>#N/A</v>
      </c>
    </row>
    <row r="282">
      <c r="A282" s="99" t="str">
        <f>IFERROR(__xludf.DUMMYFUNCTION("transpose(unique(FILTER(dCAGass[Tag],dCAGass[Room no.]=#REF!,dCAGass[Type]=#REF!)))"),"#N/A")</f>
        <v>#N/A</v>
      </c>
    </row>
    <row r="283">
      <c r="A283" s="99" t="str">
        <f>IFERROR(__xludf.DUMMYFUNCTION("transpose(unique(FILTER(dCAGass[Tag],dCAGass[Room no.]=#REF!,dCAGass[Type]=#REF!)))"),"#N/A")</f>
        <v>#N/A</v>
      </c>
    </row>
    <row r="284">
      <c r="A284" s="99" t="str">
        <f>IFERROR(__xludf.DUMMYFUNCTION("transpose(unique(FILTER(dCAGass[Tag],dCAGass[Room no.]=#REF!,dCAGass[Type]=#REF!)))"),"#N/A")</f>
        <v>#N/A</v>
      </c>
    </row>
    <row r="285">
      <c r="A285" s="99" t="str">
        <f>IFERROR(__xludf.DUMMYFUNCTION("transpose(unique(FILTER(dCAGass[Tag],dCAGass[Room no.]=#REF!,dCAGass[Type]=#REF!)))"),"#N/A")</f>
        <v>#N/A</v>
      </c>
    </row>
    <row r="286">
      <c r="A286" s="99" t="str">
        <f>IFERROR(__xludf.DUMMYFUNCTION("transpose(unique(FILTER(dCAGass[Tag],dCAGass[Room no.]=#REF!,dCAGass[Type]=#REF!)))"),"#N/A")</f>
        <v>#N/A</v>
      </c>
    </row>
    <row r="287">
      <c r="A287" s="99" t="str">
        <f>IFERROR(__xludf.DUMMYFUNCTION("transpose(unique(FILTER(dCAGass[Tag],dCAGass[Room no.]=#REF!,dCAGass[Type]=#REF!)))"),"#N/A")</f>
        <v>#N/A</v>
      </c>
    </row>
    <row r="288">
      <c r="A288" s="99" t="str">
        <f>IFERROR(__xludf.DUMMYFUNCTION("transpose(unique(FILTER(dCAGass[Tag],dCAGass[Room no.]=#REF!,dCAGass[Type]=#REF!)))"),"#N/A")</f>
        <v>#N/A</v>
      </c>
    </row>
    <row r="289">
      <c r="A289" s="99" t="str">
        <f>IFERROR(__xludf.DUMMYFUNCTION("transpose(unique(FILTER(dCAGass[Tag],dCAGass[Room no.]=#REF!,dCAGass[Type]=#REF!)))"),"#N/A")</f>
        <v>#N/A</v>
      </c>
    </row>
    <row r="290">
      <c r="A290" s="99" t="str">
        <f>IFERROR(__xludf.DUMMYFUNCTION("transpose(unique(FILTER(dCAGass[Tag],dCAGass[Room no.]=#REF!,dCAGass[Type]=#REF!)))"),"#N/A")</f>
        <v>#N/A</v>
      </c>
    </row>
    <row r="291">
      <c r="A291" s="99" t="str">
        <f>IFERROR(__xludf.DUMMYFUNCTION("transpose(unique(FILTER(dCAGass[Tag],dCAGass[Room no.]=#REF!,dCAGass[Type]=#REF!)))"),"#N/A")</f>
        <v>#N/A</v>
      </c>
    </row>
    <row r="292">
      <c r="A292" s="99" t="str">
        <f>IFERROR(__xludf.DUMMYFUNCTION("transpose(unique(FILTER(dCAGass[Tag],dCAGass[Room no.]=#REF!,dCAGass[Type]=#REF!)))"),"#N/A")</f>
        <v>#N/A</v>
      </c>
    </row>
    <row r="293">
      <c r="A293" s="99" t="str">
        <f>IFERROR(__xludf.DUMMYFUNCTION("transpose(unique(FILTER(dCAGass[Tag],dCAGass[Room no.]=#REF!,dCAGass[Type]=#REF!)))"),"#N/A")</f>
        <v>#N/A</v>
      </c>
    </row>
    <row r="294">
      <c r="A294" s="99" t="str">
        <f>IFERROR(__xludf.DUMMYFUNCTION("transpose(unique(FILTER(dCAGass[Tag],dCAGass[Room no.]=#REF!,dCAGass[Type]=#REF!)))"),"#N/A")</f>
        <v>#N/A</v>
      </c>
    </row>
    <row r="295">
      <c r="A295" s="99" t="str">
        <f>IFERROR(__xludf.DUMMYFUNCTION("transpose(unique(FILTER(dCAGass[Tag],dCAGass[Room no.]=#REF!,dCAGass[Type]=#REF!)))"),"#N/A")</f>
        <v>#N/A</v>
      </c>
    </row>
    <row r="296">
      <c r="A296" s="99" t="str">
        <f>IFERROR(__xludf.DUMMYFUNCTION("transpose(unique(FILTER(dCAGass[Tag],dCAGass[Room no.]=#REF!,dCAGass[Type]=#REF!)))"),"#N/A")</f>
        <v>#N/A</v>
      </c>
    </row>
    <row r="297">
      <c r="A297" s="99" t="str">
        <f>IFERROR(__xludf.DUMMYFUNCTION("transpose(unique(FILTER(dCAGass[Tag],dCAGass[Room no.]=#REF!,dCAGass[Type]=#REF!)))"),"#N/A")</f>
        <v>#N/A</v>
      </c>
    </row>
    <row r="298">
      <c r="A298" s="99" t="str">
        <f>IFERROR(__xludf.DUMMYFUNCTION("transpose(unique(FILTER(dCAGass[Tag],dCAGass[Room no.]=#REF!,dCAGass[Type]=#REF!)))"),"#N/A")</f>
        <v>#N/A</v>
      </c>
    </row>
    <row r="299">
      <c r="A299" s="99" t="str">
        <f>IFERROR(__xludf.DUMMYFUNCTION("transpose(unique(FILTER(dCAGass[Tag],dCAGass[Room no.]=#REF!,dCAGass[Type]=#REF!)))"),"#N/A")</f>
        <v>#N/A</v>
      </c>
    </row>
    <row r="300">
      <c r="A300" s="99" t="str">
        <f>IFERROR(__xludf.DUMMYFUNCTION("transpose(unique(FILTER(dCAGass[Tag],dCAGass[Room no.]=#REF!,dCAGass[Type]=#REF!)))"),"#N/A")</f>
        <v>#N/A</v>
      </c>
    </row>
    <row r="301">
      <c r="A301" s="99" t="str">
        <f>IFERROR(__xludf.DUMMYFUNCTION("transpose(unique(FILTER(dCAGass[Tag],dCAGass[Room no.]=#REF!,dCAGass[Type]=#REF!)))"),"#N/A")</f>
        <v>#N/A</v>
      </c>
    </row>
    <row r="302">
      <c r="A302" s="99" t="str">
        <f>IFERROR(__xludf.DUMMYFUNCTION("transpose(unique(FILTER(dCAGass[Tag],dCAGass[Room no.]=#REF!,dCAGass[Type]=#REF!)))"),"#N/A")</f>
        <v>#N/A</v>
      </c>
    </row>
    <row r="303">
      <c r="A303" s="99" t="str">
        <f>IFERROR(__xludf.DUMMYFUNCTION("transpose(unique(FILTER(dCAGass[Tag],dCAGass[Room no.]=#REF!,dCAGass[Type]=#REF!)))"),"#N/A")</f>
        <v>#N/A</v>
      </c>
    </row>
    <row r="304">
      <c r="A304" s="99" t="str">
        <f>IFERROR(__xludf.DUMMYFUNCTION("transpose(unique(FILTER(dCAGass[Tag],dCAGass[Room no.]=#REF!,dCAGass[Type]=#REF!)))"),"#N/A")</f>
        <v>#N/A</v>
      </c>
    </row>
    <row r="305">
      <c r="A305" s="99" t="str">
        <f>IFERROR(__xludf.DUMMYFUNCTION("transpose(unique(FILTER(dCAGass[Tag],dCAGass[Room no.]=#REF!,dCAGass[Type]=#REF!)))"),"#N/A")</f>
        <v>#N/A</v>
      </c>
    </row>
    <row r="306">
      <c r="A306" s="99" t="str">
        <f>IFERROR(__xludf.DUMMYFUNCTION("transpose(unique(FILTER(dCAGass[Tag],dCAGass[Room no.]=#REF!,dCAGass[Type]=#REF!)))"),"#N/A")</f>
        <v>#N/A</v>
      </c>
    </row>
    <row r="307">
      <c r="A307" s="99" t="str">
        <f>IFERROR(__xludf.DUMMYFUNCTION("transpose(unique(FILTER(dCAGass[Tag],dCAGass[Room no.]=#REF!,dCAGass[Type]=#REF!)))"),"#N/A")</f>
        <v>#N/A</v>
      </c>
    </row>
    <row r="308">
      <c r="A308" s="99" t="str">
        <f>IFERROR(__xludf.DUMMYFUNCTION("transpose(unique(FILTER(dCAGass[Tag],dCAGass[Room no.]=#REF!,dCAGass[Type]=#REF!)))"),"#N/A")</f>
        <v>#N/A</v>
      </c>
    </row>
    <row r="309">
      <c r="A309" s="99" t="str">
        <f>IFERROR(__xludf.DUMMYFUNCTION("transpose(unique(FILTER(dCAGass[Tag],dCAGass[Room no.]=#REF!,dCAGass[Type]=#REF!)))"),"#N/A")</f>
        <v>#N/A</v>
      </c>
    </row>
    <row r="310">
      <c r="A310" s="99" t="str">
        <f>IFERROR(__xludf.DUMMYFUNCTION("transpose(unique(FILTER(dCAGass[Tag],dCAGass[Room no.]=#REF!,dCAGass[Type]=#REF!)))"),"#N/A")</f>
        <v>#N/A</v>
      </c>
    </row>
    <row r="311">
      <c r="A311" s="99" t="str">
        <f>IFERROR(__xludf.DUMMYFUNCTION("transpose(unique(FILTER(dCAGass[Tag],dCAGass[Room no.]=#REF!,dCAGass[Type]=#REF!)))"),"#N/A")</f>
        <v>#N/A</v>
      </c>
    </row>
    <row r="312">
      <c r="A312" s="99" t="str">
        <f>IFERROR(__xludf.DUMMYFUNCTION("transpose(unique(FILTER(dCAGass[Tag],dCAGass[Room no.]=#REF!,dCAGass[Type]=#REF!)))"),"#N/A")</f>
        <v>#N/A</v>
      </c>
    </row>
    <row r="313">
      <c r="A313" s="99" t="str">
        <f>IFERROR(__xludf.DUMMYFUNCTION("transpose(unique(FILTER(dCAGass[Tag],dCAGass[Room no.]=#REF!,dCAGass[Type]=#REF!)))"),"#N/A")</f>
        <v>#N/A</v>
      </c>
    </row>
    <row r="314">
      <c r="A314" s="99" t="str">
        <f>IFERROR(__xludf.DUMMYFUNCTION("transpose(unique(FILTER(dCAGass[Tag],dCAGass[Room no.]=#REF!,dCAGass[Type]=#REF!)))"),"#N/A")</f>
        <v>#N/A</v>
      </c>
    </row>
    <row r="315">
      <c r="A315" s="99" t="str">
        <f>IFERROR(__xludf.DUMMYFUNCTION("transpose(unique(FILTER(dCAGass[Tag],dCAGass[Room no.]=#REF!,dCAGass[Type]=#REF!)))"),"#N/A")</f>
        <v>#N/A</v>
      </c>
    </row>
    <row r="316">
      <c r="A316" s="99" t="str">
        <f>IFERROR(__xludf.DUMMYFUNCTION("transpose(unique(FILTER(dCAGass[Tag],dCAGass[Room no.]=#REF!,dCAGass[Type]=#REF!)))"),"#N/A")</f>
        <v>#N/A</v>
      </c>
    </row>
    <row r="317">
      <c r="A317" s="99" t="str">
        <f>IFERROR(__xludf.DUMMYFUNCTION("transpose(unique(FILTER(dCAGass[Tag],dCAGass[Room no.]=#REF!,dCAGass[Type]=#REF!)))"),"#N/A")</f>
        <v>#N/A</v>
      </c>
    </row>
    <row r="318">
      <c r="A318" s="99" t="str">
        <f>IFERROR(__xludf.DUMMYFUNCTION("transpose(unique(FILTER(dCAGass[Tag],dCAGass[Room no.]=#REF!,dCAGass[Type]=#REF!)))"),"#N/A")</f>
        <v>#N/A</v>
      </c>
    </row>
    <row r="319">
      <c r="A319" s="99" t="str">
        <f>IFERROR(__xludf.DUMMYFUNCTION("transpose(unique(FILTER(dCAGass[Tag],dCAGass[Room no.]=#REF!,dCAGass[Type]=#REF!)))"),"#N/A")</f>
        <v>#N/A</v>
      </c>
    </row>
    <row r="320">
      <c r="A320" s="99" t="str">
        <f>IFERROR(__xludf.DUMMYFUNCTION("transpose(unique(FILTER(dCAGass[Tag],dCAGass[Room no.]=#REF!,dCAGass[Type]=#REF!)))"),"#N/A")</f>
        <v>#N/A</v>
      </c>
    </row>
    <row r="321">
      <c r="A321" s="99" t="str">
        <f>IFERROR(__xludf.DUMMYFUNCTION("transpose(unique(FILTER(dCAGass[Tag],dCAGass[Room no.]=#REF!,dCAGass[Type]=#REF!)))"),"#N/A")</f>
        <v>#N/A</v>
      </c>
    </row>
    <row r="322">
      <c r="A322" s="99" t="str">
        <f>IFERROR(__xludf.DUMMYFUNCTION("transpose(unique(FILTER(dCAGass[Tag],dCAGass[Room no.]=#REF!,dCAGass[Type]=#REF!)))"),"#N/A")</f>
        <v>#N/A</v>
      </c>
    </row>
    <row r="323">
      <c r="A323" s="99" t="str">
        <f>IFERROR(__xludf.DUMMYFUNCTION("transpose(unique(FILTER(dCAGass[Tag],dCAGass[Room no.]=#REF!,dCAGass[Type]=#REF!)))"),"#N/A")</f>
        <v>#N/A</v>
      </c>
    </row>
    <row r="324">
      <c r="A324" s="99" t="str">
        <f>IFERROR(__xludf.DUMMYFUNCTION("transpose(unique(FILTER(dCAGass[Tag],dCAGass[Room no.]=#REF!,dCAGass[Type]=#REF!)))"),"#N/A")</f>
        <v>#N/A</v>
      </c>
    </row>
    <row r="325">
      <c r="A325" s="99" t="str">
        <f>IFERROR(__xludf.DUMMYFUNCTION("transpose(unique(FILTER(dCAGass[Tag],dCAGass[Room no.]=#REF!,dCAGass[Type]=#REF!)))"),"#N/A")</f>
        <v>#N/A</v>
      </c>
    </row>
    <row r="326">
      <c r="A326" s="99" t="str">
        <f>IFERROR(__xludf.DUMMYFUNCTION("transpose(unique(FILTER(dCAGass[Tag],dCAGass[Room no.]=#REF!,dCAGass[Type]=#REF!)))"),"#N/A")</f>
        <v>#N/A</v>
      </c>
    </row>
    <row r="327">
      <c r="A327" s="99" t="str">
        <f>IFERROR(__xludf.DUMMYFUNCTION("transpose(unique(FILTER(dCAGass[Tag],dCAGass[Room no.]=#REF!,dCAGass[Type]=#REF!)))"),"#N/A")</f>
        <v>#N/A</v>
      </c>
    </row>
    <row r="328">
      <c r="A328" s="99" t="str">
        <f>IFERROR(__xludf.DUMMYFUNCTION("transpose(unique(FILTER(dCAGass[Tag],dCAGass[Room no.]=#REF!,dCAGass[Type]=#REF!)))"),"#N/A")</f>
        <v>#N/A</v>
      </c>
    </row>
    <row r="329">
      <c r="A329" s="99" t="str">
        <f>IFERROR(__xludf.DUMMYFUNCTION("transpose(unique(FILTER(dCAGass[Tag],dCAGass[Room no.]=#REF!,dCAGass[Type]=#REF!)))"),"#N/A")</f>
        <v>#N/A</v>
      </c>
    </row>
    <row r="330">
      <c r="A330" s="99" t="str">
        <f>IFERROR(__xludf.DUMMYFUNCTION("transpose(unique(FILTER(dCAGass[Tag],dCAGass[Room no.]=#REF!,dCAGass[Type]=#REF!)))"),"#N/A")</f>
        <v>#N/A</v>
      </c>
    </row>
    <row r="331">
      <c r="A331" s="99" t="str">
        <f>IFERROR(__xludf.DUMMYFUNCTION("transpose(unique(FILTER(dCAGass[Tag],dCAGass[Room no.]=#REF!,dCAGass[Type]=#REF!)))"),"#N/A")</f>
        <v>#N/A</v>
      </c>
    </row>
    <row r="332">
      <c r="A332" s="99" t="str">
        <f>IFERROR(__xludf.DUMMYFUNCTION("transpose(unique(FILTER(dCAGass[Tag],dCAGass[Room no.]=#REF!,dCAGass[Type]=#REF!)))"),"#N/A")</f>
        <v>#N/A</v>
      </c>
    </row>
    <row r="333">
      <c r="A333" s="99" t="str">
        <f>IFERROR(__xludf.DUMMYFUNCTION("transpose(unique(FILTER(dCAGass[Tag],dCAGass[Room no.]=#REF!,dCAGass[Type]=#REF!)))"),"#N/A")</f>
        <v>#N/A</v>
      </c>
    </row>
    <row r="334">
      <c r="A334" s="99" t="str">
        <f>IFERROR(__xludf.DUMMYFUNCTION("transpose(unique(FILTER(dCAGass[Tag],dCAGass[Room no.]=#REF!,dCAGass[Type]=#REF!)))"),"#N/A")</f>
        <v>#N/A</v>
      </c>
    </row>
    <row r="335">
      <c r="A335" s="99" t="str">
        <f>IFERROR(__xludf.DUMMYFUNCTION("transpose(unique(FILTER(dCAGass[Tag],dCAGass[Room no.]=#REF!,dCAGass[Type]=#REF!)))"),"#N/A")</f>
        <v>#N/A</v>
      </c>
    </row>
    <row r="336">
      <c r="A336" s="99" t="str">
        <f>IFERROR(__xludf.DUMMYFUNCTION("transpose(unique(FILTER(dCAGass[Tag],dCAGass[Room no.]=#REF!,dCAGass[Type]=#REF!)))"),"#N/A")</f>
        <v>#N/A</v>
      </c>
    </row>
    <row r="337">
      <c r="A337" s="99" t="str">
        <f>IFERROR(__xludf.DUMMYFUNCTION("transpose(unique(FILTER(dCAGass[Tag],dCAGass[Room no.]=#REF!,dCAGass[Type]=#REF!)))"),"#N/A")</f>
        <v>#N/A</v>
      </c>
    </row>
    <row r="338">
      <c r="A338" s="99" t="str">
        <f>IFERROR(__xludf.DUMMYFUNCTION("transpose(unique(FILTER(dCAGass[Tag],dCAGass[Room no.]=#REF!,dCAGass[Type]=#REF!)))"),"#N/A")</f>
        <v>#N/A</v>
      </c>
    </row>
    <row r="339">
      <c r="A339" s="99" t="str">
        <f>IFERROR(__xludf.DUMMYFUNCTION("transpose(unique(FILTER(dCAGass[Tag],dCAGass[Room no.]=#REF!,dCAGass[Type]=#REF!)))"),"#N/A")</f>
        <v>#N/A</v>
      </c>
    </row>
    <row r="340">
      <c r="A340" s="99" t="str">
        <f>IFERROR(__xludf.DUMMYFUNCTION("transpose(unique(FILTER(dCAGass[Tag],dCAGass[Room no.]=#REF!,dCAGass[Type]=#REF!)))"),"#N/A")</f>
        <v>#N/A</v>
      </c>
    </row>
    <row r="341">
      <c r="A341" s="99" t="str">
        <f>IFERROR(__xludf.DUMMYFUNCTION("transpose(unique(FILTER(dCAGass[Tag],dCAGass[Room no.]=#REF!,dCAGass[Type]=#REF!)))"),"#N/A")</f>
        <v>#N/A</v>
      </c>
    </row>
    <row r="342">
      <c r="A342" s="99" t="str">
        <f>IFERROR(__xludf.DUMMYFUNCTION("transpose(unique(FILTER(dCAGass[Tag],dCAGass[Room no.]=#REF!,dCAGass[Type]=#REF!)))"),"#N/A")</f>
        <v>#N/A</v>
      </c>
    </row>
    <row r="343">
      <c r="A343" s="99" t="str">
        <f>IFERROR(__xludf.DUMMYFUNCTION("transpose(unique(FILTER(dCAGass[Tag],dCAGass[Room no.]=#REF!,dCAGass[Type]=#REF!)))"),"#N/A")</f>
        <v>#N/A</v>
      </c>
    </row>
    <row r="344">
      <c r="A344" s="99" t="str">
        <f>IFERROR(__xludf.DUMMYFUNCTION("transpose(unique(FILTER(dCAGass[Tag],dCAGass[Room no.]=#REF!,dCAGass[Type]=#REF!)))"),"#N/A")</f>
        <v>#N/A</v>
      </c>
    </row>
    <row r="345">
      <c r="A345" s="99" t="str">
        <f>IFERROR(__xludf.DUMMYFUNCTION("transpose(unique(FILTER(dCAGass[Tag],dCAGass[Room no.]=#REF!,dCAGass[Type]=#REF!)))"),"#N/A")</f>
        <v>#N/A</v>
      </c>
    </row>
    <row r="346">
      <c r="A346" s="99" t="str">
        <f>IFERROR(__xludf.DUMMYFUNCTION("transpose(unique(FILTER(dCAGass[Tag],dCAGass[Room no.]=#REF!,dCAGass[Type]=#REF!)))"),"#N/A")</f>
        <v>#N/A</v>
      </c>
    </row>
    <row r="347">
      <c r="A347" s="99" t="str">
        <f>IFERROR(__xludf.DUMMYFUNCTION("transpose(unique(FILTER(dCAGass[Tag],dCAGass[Room no.]=#REF!,dCAGass[Type]=#REF!)))"),"#N/A")</f>
        <v>#N/A</v>
      </c>
    </row>
    <row r="348">
      <c r="A348" s="99" t="str">
        <f>IFERROR(__xludf.DUMMYFUNCTION("transpose(unique(FILTER(dCAGass[Tag],dCAGass[Room no.]=#REF!,dCAGass[Type]=#REF!)))"),"#N/A")</f>
        <v>#N/A</v>
      </c>
    </row>
    <row r="349">
      <c r="A349" s="99" t="str">
        <f>IFERROR(__xludf.DUMMYFUNCTION("transpose(unique(FILTER(dCAGass[Tag],dCAGass[Room no.]=#REF!,dCAGass[Type]=#REF!)))"),"#N/A")</f>
        <v>#N/A</v>
      </c>
    </row>
    <row r="350">
      <c r="A350" s="99" t="str">
        <f>IFERROR(__xludf.DUMMYFUNCTION("transpose(unique(FILTER(dCAGass[Tag],dCAGass[Room no.]=#REF!,dCAGass[Type]=#REF!)))"),"#N/A")</f>
        <v>#N/A</v>
      </c>
    </row>
    <row r="351">
      <c r="A351" s="99" t="str">
        <f>IFERROR(__xludf.DUMMYFUNCTION("transpose(unique(FILTER(dCAGass[Tag],dCAGass[Room no.]=#REF!,dCAGass[Type]=#REF!)))"),"#N/A")</f>
        <v>#N/A</v>
      </c>
    </row>
    <row r="352">
      <c r="A352" s="99" t="str">
        <f>IFERROR(__xludf.DUMMYFUNCTION("transpose(unique(FILTER(dCAGass[Tag],dCAGass[Room no.]=#REF!,dCAGass[Type]=#REF!)))"),"#N/A")</f>
        <v>#N/A</v>
      </c>
    </row>
    <row r="353">
      <c r="A353" s="99" t="str">
        <f>IFERROR(__xludf.DUMMYFUNCTION("transpose(unique(FILTER(dCAGass[Tag],dCAGass[Room no.]=#REF!,dCAGass[Type]=#REF!)))"),"#N/A")</f>
        <v>#N/A</v>
      </c>
    </row>
    <row r="354">
      <c r="A354" s="99" t="str">
        <f>IFERROR(__xludf.DUMMYFUNCTION("transpose(unique(FILTER(dCAGass[Tag],dCAGass[Room no.]=#REF!,dCAGass[Type]=#REF!)))"),"#N/A")</f>
        <v>#N/A</v>
      </c>
    </row>
    <row r="355">
      <c r="A355" s="99" t="str">
        <f>IFERROR(__xludf.DUMMYFUNCTION("transpose(unique(FILTER(dCAGass[Tag],dCAGass[Room no.]=#REF!,dCAGass[Type]=#REF!)))"),"#N/A")</f>
        <v>#N/A</v>
      </c>
    </row>
    <row r="356">
      <c r="A356" s="99" t="str">
        <f>IFERROR(__xludf.DUMMYFUNCTION("transpose(unique(FILTER(dCAGass[Tag],dCAGass[Room no.]=#REF!,dCAGass[Type]=#REF!)))"),"#N/A")</f>
        <v>#N/A</v>
      </c>
    </row>
    <row r="357">
      <c r="A357" s="99" t="str">
        <f>IFERROR(__xludf.DUMMYFUNCTION("transpose(unique(FILTER(dCAGass[Tag],dCAGass[Room no.]=#REF!,dCAGass[Type]=#REF!)))"),"#N/A")</f>
        <v>#N/A</v>
      </c>
    </row>
    <row r="358">
      <c r="A358" s="99" t="str">
        <f>IFERROR(__xludf.DUMMYFUNCTION("transpose(unique(FILTER(dCAGass[Tag],dCAGass[Room no.]=#REF!,dCAGass[Type]=#REF!)))"),"#N/A")</f>
        <v>#N/A</v>
      </c>
    </row>
    <row r="359">
      <c r="A359" s="99" t="str">
        <f>IFERROR(__xludf.DUMMYFUNCTION("transpose(unique(FILTER(dCAGass[Tag],dCAGass[Room no.]=#REF!,dCAGass[Type]=#REF!)))"),"#N/A")</f>
        <v>#N/A</v>
      </c>
    </row>
    <row r="360">
      <c r="A360" s="99" t="str">
        <f>IFERROR(__xludf.DUMMYFUNCTION("transpose(unique(FILTER(dCAGass[Tag],dCAGass[Room no.]=#REF!,dCAGass[Type]=#REF!)))"),"#N/A")</f>
        <v>#N/A</v>
      </c>
    </row>
    <row r="361">
      <c r="A361" s="99" t="str">
        <f>IFERROR(__xludf.DUMMYFUNCTION("transpose(unique(FILTER(dCAGass[Tag],dCAGass[Room no.]=#REF!,dCAGass[Type]=#REF!)))"),"#N/A")</f>
        <v>#N/A</v>
      </c>
    </row>
    <row r="362">
      <c r="A362" s="99" t="str">
        <f>IFERROR(__xludf.DUMMYFUNCTION("transpose(unique(FILTER(dCAGass[Tag],dCAGass[Room no.]=#REF!,dCAGass[Type]=#REF!)))"),"#N/A")</f>
        <v>#N/A</v>
      </c>
    </row>
    <row r="363">
      <c r="A363" s="99" t="str">
        <f>IFERROR(__xludf.DUMMYFUNCTION("transpose(unique(FILTER(dCAGass[Tag],dCAGass[Room no.]=#REF!,dCAGass[Type]=#REF!)))"),"#N/A")</f>
        <v>#N/A</v>
      </c>
    </row>
    <row r="364">
      <c r="A364" s="99" t="str">
        <f>IFERROR(__xludf.DUMMYFUNCTION("transpose(unique(FILTER(dCAGass[Tag],dCAGass[Room no.]=#REF!,dCAGass[Type]=#REF!)))"),"#N/A")</f>
        <v>#N/A</v>
      </c>
    </row>
    <row r="365">
      <c r="A365" s="99" t="str">
        <f>IFERROR(__xludf.DUMMYFUNCTION("transpose(unique(FILTER(dCAGass[Tag],dCAGass[Room no.]=#REF!,dCAGass[Type]=#REF!)))"),"#N/A")</f>
        <v>#N/A</v>
      </c>
    </row>
    <row r="366">
      <c r="A366" s="99" t="str">
        <f>IFERROR(__xludf.DUMMYFUNCTION("transpose(unique(FILTER(dCAGass[Tag],dCAGass[Room no.]=#REF!,dCAGass[Type]=#REF!)))"),"#N/A")</f>
        <v>#N/A</v>
      </c>
    </row>
    <row r="367">
      <c r="A367" s="99" t="str">
        <f>IFERROR(__xludf.DUMMYFUNCTION("transpose(unique(FILTER(dCAGass[Tag],dCAGass[Room no.]=#REF!,dCAGass[Type]=#REF!)))"),"#N/A")</f>
        <v>#N/A</v>
      </c>
    </row>
    <row r="368">
      <c r="A368" s="99" t="str">
        <f>IFERROR(__xludf.DUMMYFUNCTION("transpose(unique(FILTER(dCAGass[Tag],dCAGass[Room no.]=#REF!,dCAGass[Type]=#REF!)))"),"#N/A")</f>
        <v>#N/A</v>
      </c>
    </row>
    <row r="369">
      <c r="A369" s="99" t="str">
        <f>IFERROR(__xludf.DUMMYFUNCTION("transpose(unique(FILTER(dCAGass[Tag],dCAGass[Room no.]=#REF!,dCAGass[Type]=#REF!)))"),"#N/A")</f>
        <v>#N/A</v>
      </c>
    </row>
    <row r="370">
      <c r="A370" s="99" t="str">
        <f>IFERROR(__xludf.DUMMYFUNCTION("transpose(unique(FILTER(dCAGass[Tag],dCAGass[Room no.]=#REF!,dCAGass[Type]=#REF!)))"),"#N/A")</f>
        <v>#N/A</v>
      </c>
    </row>
    <row r="371">
      <c r="A371" s="99" t="str">
        <f>IFERROR(__xludf.DUMMYFUNCTION("transpose(unique(FILTER(dCAGass[Tag],dCAGass[Room no.]=#REF!,dCAGass[Type]=#REF!)))"),"#N/A")</f>
        <v>#N/A</v>
      </c>
    </row>
    <row r="372">
      <c r="A372" s="99" t="str">
        <f>IFERROR(__xludf.DUMMYFUNCTION("transpose(unique(FILTER(dCAGass[Tag],dCAGass[Room no.]=#REF!,dCAGass[Type]=#REF!)))"),"#N/A")</f>
        <v>#N/A</v>
      </c>
    </row>
    <row r="373">
      <c r="A373" s="99" t="str">
        <f>IFERROR(__xludf.DUMMYFUNCTION("transpose(unique(FILTER(dCAGass[Tag],dCAGass[Room no.]=#REF!,dCAGass[Type]=#REF!)))"),"#N/A")</f>
        <v>#N/A</v>
      </c>
    </row>
    <row r="374">
      <c r="A374" s="99" t="str">
        <f>IFERROR(__xludf.DUMMYFUNCTION("transpose(unique(FILTER(dCAGass[Tag],dCAGass[Room no.]=#REF!,dCAGass[Type]=#REF!)))"),"#N/A")</f>
        <v>#N/A</v>
      </c>
    </row>
    <row r="375">
      <c r="A375" s="99" t="str">
        <f>IFERROR(__xludf.DUMMYFUNCTION("transpose(unique(FILTER(dCAGass[Tag],dCAGass[Room no.]=#REF!,dCAGass[Type]=#REF!)))"),"#N/A")</f>
        <v>#N/A</v>
      </c>
    </row>
    <row r="376">
      <c r="A376" s="99" t="str">
        <f>IFERROR(__xludf.DUMMYFUNCTION("transpose(unique(FILTER(dCAGass[Tag],dCAGass[Room no.]=#REF!,dCAGass[Type]=#REF!)))"),"#N/A")</f>
        <v>#N/A</v>
      </c>
    </row>
    <row r="377">
      <c r="A377" s="99" t="str">
        <f>IFERROR(__xludf.DUMMYFUNCTION("transpose(unique(FILTER(dCAGass[Tag],dCAGass[Room no.]=#REF!,dCAGass[Type]=#REF!)))"),"#N/A")</f>
        <v>#N/A</v>
      </c>
    </row>
    <row r="378">
      <c r="A378" s="99" t="str">
        <f>IFERROR(__xludf.DUMMYFUNCTION("transpose(unique(FILTER(dCAGass[Tag],dCAGass[Room no.]=#REF!,dCAGass[Type]=#REF!)))"),"#N/A")</f>
        <v>#N/A</v>
      </c>
    </row>
    <row r="379">
      <c r="A379" s="99" t="str">
        <f>IFERROR(__xludf.DUMMYFUNCTION("transpose(unique(FILTER(dCAGass[Tag],dCAGass[Room no.]=#REF!,dCAGass[Type]=#REF!)))"),"#N/A")</f>
        <v>#N/A</v>
      </c>
    </row>
    <row r="380">
      <c r="A380" s="99" t="str">
        <f>IFERROR(__xludf.DUMMYFUNCTION("transpose(unique(FILTER(dCAGass[Tag],dCAGass[Room no.]=#REF!,dCAGass[Type]=#REF!)))"),"#N/A")</f>
        <v>#N/A</v>
      </c>
    </row>
    <row r="381">
      <c r="A381" s="99" t="str">
        <f>IFERROR(__xludf.DUMMYFUNCTION("transpose(unique(FILTER(dCAGass[Tag],dCAGass[Room no.]=#REF!,dCAGass[Type]=#REF!)))"),"#N/A")</f>
        <v>#N/A</v>
      </c>
    </row>
    <row r="382">
      <c r="A382" s="99" t="str">
        <f>IFERROR(__xludf.DUMMYFUNCTION("transpose(unique(FILTER(dCAGass[Tag],dCAGass[Room no.]=#REF!,dCAGass[Type]=#REF!)))"),"#N/A")</f>
        <v>#N/A</v>
      </c>
    </row>
    <row r="383">
      <c r="A383" s="99" t="str">
        <f>IFERROR(__xludf.DUMMYFUNCTION("transpose(unique(FILTER(dCAGass[Tag],dCAGass[Room no.]=#REF!,dCAGass[Type]=#REF!)))"),"#N/A")</f>
        <v>#N/A</v>
      </c>
    </row>
    <row r="384">
      <c r="A384" s="99" t="str">
        <f>IFERROR(__xludf.DUMMYFUNCTION("transpose(unique(FILTER(dCAGass[Tag],dCAGass[Room no.]=#REF!,dCAGass[Type]=#REF!)))"),"#N/A")</f>
        <v>#N/A</v>
      </c>
    </row>
    <row r="385">
      <c r="A385" s="99" t="str">
        <f>IFERROR(__xludf.DUMMYFUNCTION("transpose(unique(FILTER(dCAGass[Tag],dCAGass[Room no.]=#REF!,dCAGass[Type]=#REF!)))"),"#N/A")</f>
        <v>#N/A</v>
      </c>
    </row>
    <row r="386">
      <c r="A386" s="99" t="str">
        <f>IFERROR(__xludf.DUMMYFUNCTION("transpose(unique(FILTER(dCAGass[Tag],dCAGass[Room no.]=#REF!,dCAGass[Type]=#REF!)))"),"#N/A")</f>
        <v>#N/A</v>
      </c>
    </row>
    <row r="387">
      <c r="A387" s="99" t="str">
        <f>IFERROR(__xludf.DUMMYFUNCTION("transpose(unique(FILTER(dCAGass[Tag],dCAGass[Room no.]=#REF!,dCAGass[Type]=#REF!)))"),"#N/A")</f>
        <v>#N/A</v>
      </c>
    </row>
    <row r="388">
      <c r="A388" s="99" t="str">
        <f>IFERROR(__xludf.DUMMYFUNCTION("transpose(unique(FILTER(dCAGass[Tag],dCAGass[Room no.]=#REF!,dCAGass[Type]=#REF!)))"),"#N/A")</f>
        <v>#N/A</v>
      </c>
    </row>
    <row r="389">
      <c r="A389" s="99" t="str">
        <f>IFERROR(__xludf.DUMMYFUNCTION("transpose(unique(FILTER(dCAGass[Tag],dCAGass[Room no.]=#REF!,dCAGass[Type]=#REF!)))"),"#N/A")</f>
        <v>#N/A</v>
      </c>
    </row>
    <row r="390">
      <c r="A390" s="99" t="str">
        <f>IFERROR(__xludf.DUMMYFUNCTION("transpose(unique(FILTER(dCAGass[Tag],dCAGass[Room no.]=#REF!,dCAGass[Type]=#REF!)))"),"#N/A")</f>
        <v>#N/A</v>
      </c>
    </row>
    <row r="391">
      <c r="A391" s="99" t="str">
        <f>IFERROR(__xludf.DUMMYFUNCTION("transpose(unique(FILTER(dCAGass[Tag],dCAGass[Room no.]=#REF!,dCAGass[Type]=#REF!)))"),"#N/A")</f>
        <v>#N/A</v>
      </c>
    </row>
    <row r="392">
      <c r="A392" s="99" t="str">
        <f>IFERROR(__xludf.DUMMYFUNCTION("transpose(unique(FILTER(dCAGass[Tag],dCAGass[Room no.]=#REF!,dCAGass[Type]=#REF!)))"),"#N/A")</f>
        <v>#N/A</v>
      </c>
    </row>
    <row r="393">
      <c r="A393" s="99" t="str">
        <f>IFERROR(__xludf.DUMMYFUNCTION("transpose(unique(FILTER(dCAGass[Tag],dCAGass[Room no.]=#REF!,dCAGass[Type]=#REF!)))"),"#N/A")</f>
        <v>#N/A</v>
      </c>
    </row>
    <row r="394">
      <c r="A394" s="99" t="str">
        <f>IFERROR(__xludf.DUMMYFUNCTION("transpose(unique(FILTER(dCAGass[Tag],dCAGass[Room no.]=#REF!,dCAGass[Type]=#REF!)))"),"#N/A")</f>
        <v>#N/A</v>
      </c>
    </row>
    <row r="395">
      <c r="A395" s="99" t="str">
        <f>IFERROR(__xludf.DUMMYFUNCTION("transpose(unique(FILTER(dCAGass[Tag],dCAGass[Room no.]=#REF!,dCAGass[Type]=#REF!)))"),"#N/A")</f>
        <v>#N/A</v>
      </c>
    </row>
    <row r="396">
      <c r="A396" s="99" t="str">
        <f>IFERROR(__xludf.DUMMYFUNCTION("transpose(unique(FILTER(dCAGass[Tag],dCAGass[Room no.]=#REF!,dCAGass[Type]=#REF!)))"),"#N/A")</f>
        <v>#N/A</v>
      </c>
    </row>
    <row r="397">
      <c r="A397" s="99" t="str">
        <f>IFERROR(__xludf.DUMMYFUNCTION("transpose(unique(FILTER(dCAGass[Tag],dCAGass[Room no.]=#REF!,dCAGass[Type]=#REF!)))"),"#N/A")</f>
        <v>#N/A</v>
      </c>
    </row>
    <row r="398">
      <c r="A398" s="99" t="str">
        <f>IFERROR(__xludf.DUMMYFUNCTION("transpose(unique(FILTER(dCAGass[Tag],dCAGass[Room no.]=#REF!,dCAGass[Type]=#REF!)))"),"#N/A")</f>
        <v>#N/A</v>
      </c>
    </row>
    <row r="399">
      <c r="A399" s="99" t="str">
        <f>IFERROR(__xludf.DUMMYFUNCTION("transpose(unique(FILTER(dCAGass[Tag],dCAGass[Room no.]=#REF!,dCAGass[Type]=#REF!)))"),"#N/A")</f>
        <v>#N/A</v>
      </c>
    </row>
    <row r="400">
      <c r="A400" s="99" t="str">
        <f>IFERROR(__xludf.DUMMYFUNCTION("transpose(unique(FILTER(dCAGass[Tag],dCAGass[Room no.]=#REF!,dCAGass[Type]=#REF!)))"),"#N/A")</f>
        <v>#N/A</v>
      </c>
    </row>
    <row r="401">
      <c r="A401" s="99" t="str">
        <f>IFERROR(__xludf.DUMMYFUNCTION("transpose(unique(FILTER(dCAGass[Tag],dCAGass[Room no.]=#REF!,dCAGass[Type]=#REF!)))"),"#N/A")</f>
        <v>#N/A</v>
      </c>
    </row>
    <row r="402">
      <c r="A402" s="99" t="str">
        <f>IFERROR(__xludf.DUMMYFUNCTION("transpose(unique(FILTER(dCAGass[Tag],dCAGass[Room no.]=#REF!,dCAGass[Type]=#REF!)))"),"#N/A")</f>
        <v>#N/A</v>
      </c>
    </row>
    <row r="403">
      <c r="A403" s="99" t="str">
        <f>IFERROR(__xludf.DUMMYFUNCTION("transpose(unique(FILTER(dCAGass[Tag],dCAGass[Room no.]=#REF!,dCAGass[Type]=#REF!)))"),"#N/A")</f>
        <v>#N/A</v>
      </c>
    </row>
    <row r="404">
      <c r="A404" s="99" t="str">
        <f>IFERROR(__xludf.DUMMYFUNCTION("transpose(unique(FILTER(dCAGass[Tag],dCAGass[Room no.]=#REF!,dCAGass[Type]=#REF!)))"),"#N/A")</f>
        <v>#N/A</v>
      </c>
    </row>
    <row r="405">
      <c r="A405" s="99" t="str">
        <f>IFERROR(__xludf.DUMMYFUNCTION("transpose(unique(FILTER(dCAGass[Tag],dCAGass[Room no.]=#REF!,dCAGass[Type]=#REF!)))"),"#N/A")</f>
        <v>#N/A</v>
      </c>
    </row>
    <row r="406">
      <c r="A406" s="99" t="str">
        <f>IFERROR(__xludf.DUMMYFUNCTION("transpose(unique(FILTER(dCAGass[Tag],dCAGass[Room no.]=#REF!,dCAGass[Type]=#REF!)))"),"#N/A")</f>
        <v>#N/A</v>
      </c>
    </row>
    <row r="407">
      <c r="A407" s="99" t="str">
        <f>IFERROR(__xludf.DUMMYFUNCTION("transpose(unique(FILTER(dCAGass[Tag],dCAGass[Room no.]=#REF!,dCAGass[Type]=#REF!)))"),"#N/A")</f>
        <v>#N/A</v>
      </c>
    </row>
    <row r="408">
      <c r="A408" s="99" t="str">
        <f>IFERROR(__xludf.DUMMYFUNCTION("transpose(unique(FILTER(dCAGass[Tag],dCAGass[Room no.]=#REF!,dCAGass[Type]=#REF!)))"),"#N/A")</f>
        <v>#N/A</v>
      </c>
    </row>
    <row r="409">
      <c r="A409" s="99" t="str">
        <f>IFERROR(__xludf.DUMMYFUNCTION("transpose(unique(FILTER(dCAGass[Tag],dCAGass[Room no.]=#REF!,dCAGass[Type]=#REF!)))"),"#N/A")</f>
        <v>#N/A</v>
      </c>
    </row>
    <row r="410">
      <c r="A410" s="99" t="str">
        <f>IFERROR(__xludf.DUMMYFUNCTION("transpose(unique(FILTER(dCAGass[Tag],dCAGass[Room no.]=#REF!,dCAGass[Type]=#REF!)))"),"#N/A")</f>
        <v>#N/A</v>
      </c>
    </row>
    <row r="411">
      <c r="A411" s="99" t="str">
        <f>IFERROR(__xludf.DUMMYFUNCTION("transpose(unique(FILTER(dCAGass[Tag],dCAGass[Room no.]=#REF!,dCAGass[Type]=#REF!)))"),"#N/A")</f>
        <v>#N/A</v>
      </c>
    </row>
    <row r="412">
      <c r="A412" s="99" t="str">
        <f>IFERROR(__xludf.DUMMYFUNCTION("transpose(unique(FILTER(dCAGass[Tag],dCAGass[Room no.]=#REF!,dCAGass[Type]=#REF!)))"),"#N/A")</f>
        <v>#N/A</v>
      </c>
    </row>
    <row r="413">
      <c r="A413" s="99" t="str">
        <f>IFERROR(__xludf.DUMMYFUNCTION("transpose(unique(FILTER(dCAGass[Tag],dCAGass[Room no.]=#REF!,dCAGass[Type]=#REF!)))"),"#N/A")</f>
        <v>#N/A</v>
      </c>
    </row>
    <row r="414">
      <c r="A414" s="99" t="str">
        <f>IFERROR(__xludf.DUMMYFUNCTION("transpose(unique(FILTER(dCAGass[Tag],dCAGass[Room no.]=#REF!,dCAGass[Type]=#REF!)))"),"#N/A")</f>
        <v>#N/A</v>
      </c>
    </row>
    <row r="415">
      <c r="A415" s="99" t="str">
        <f>IFERROR(__xludf.DUMMYFUNCTION("transpose(unique(FILTER(dCAGass[Tag],dCAGass[Room no.]=#REF!,dCAGass[Type]=#REF!)))"),"#N/A")</f>
        <v>#N/A</v>
      </c>
    </row>
    <row r="416">
      <c r="A416" s="99" t="str">
        <f>IFERROR(__xludf.DUMMYFUNCTION("transpose(unique(FILTER(dCAGass[Tag],dCAGass[Room no.]=#REF!,dCAGass[Type]=#REF!)))"),"#N/A")</f>
        <v>#N/A</v>
      </c>
    </row>
    <row r="417">
      <c r="A417" s="99" t="str">
        <f>IFERROR(__xludf.DUMMYFUNCTION("transpose(unique(FILTER(dCAGass[Tag],dCAGass[Room no.]=#REF!,dCAGass[Type]=#REF!)))"),"#N/A")</f>
        <v>#N/A</v>
      </c>
    </row>
    <row r="418">
      <c r="A418" s="99" t="str">
        <f>IFERROR(__xludf.DUMMYFUNCTION("transpose(unique(FILTER(dCAGass[Tag],dCAGass[Room no.]=#REF!,dCAGass[Type]=#REF!)))"),"#N/A")</f>
        <v>#N/A</v>
      </c>
    </row>
    <row r="419">
      <c r="A419" s="99" t="str">
        <f>IFERROR(__xludf.DUMMYFUNCTION("transpose(unique(FILTER(dCAGass[Tag],dCAGass[Room no.]=#REF!,dCAGass[Type]=#REF!)))"),"#N/A")</f>
        <v>#N/A</v>
      </c>
    </row>
    <row r="420">
      <c r="A420" s="99" t="str">
        <f>IFERROR(__xludf.DUMMYFUNCTION("transpose(unique(FILTER(dCAGass[Tag],dCAGass[Room no.]=#REF!,dCAGass[Type]=#REF!)))"),"#N/A")</f>
        <v>#N/A</v>
      </c>
    </row>
    <row r="421">
      <c r="A421" s="99" t="str">
        <f>IFERROR(__xludf.DUMMYFUNCTION("transpose(unique(FILTER(dCAGass[Tag],dCAGass[Room no.]=#REF!,dCAGass[Type]=#REF!)))"),"#N/A")</f>
        <v>#N/A</v>
      </c>
    </row>
    <row r="422">
      <c r="A422" s="99" t="str">
        <f>IFERROR(__xludf.DUMMYFUNCTION("transpose(unique(FILTER(dCAGass[Tag],dCAGass[Room no.]=#REF!,dCAGass[Type]=#REF!)))"),"#N/A")</f>
        <v>#N/A</v>
      </c>
    </row>
    <row r="423">
      <c r="A423" s="99" t="str">
        <f>IFERROR(__xludf.DUMMYFUNCTION("transpose(unique(FILTER(dCAGass[Tag],dCAGass[Room no.]=#REF!,dCAGass[Type]=#REF!)))"),"#N/A")</f>
        <v>#N/A</v>
      </c>
    </row>
    <row r="424">
      <c r="A424" s="99" t="str">
        <f>IFERROR(__xludf.DUMMYFUNCTION("transpose(unique(FILTER(dCAGass[Tag],dCAGass[Room no.]=#REF!,dCAGass[Type]=#REF!)))"),"#N/A")</f>
        <v>#N/A</v>
      </c>
    </row>
    <row r="425">
      <c r="A425" s="99" t="str">
        <f>IFERROR(__xludf.DUMMYFUNCTION("transpose(unique(FILTER(dCAGass[Tag],dCAGass[Room no.]=#REF!,dCAGass[Type]=#REF!)))"),"#N/A")</f>
        <v>#N/A</v>
      </c>
    </row>
    <row r="426">
      <c r="A426" s="99" t="str">
        <f>IFERROR(__xludf.DUMMYFUNCTION("transpose(unique(FILTER(dCAGass[Tag],dCAGass[Room no.]=#REF!,dCAGass[Type]=#REF!)))"),"#N/A")</f>
        <v>#N/A</v>
      </c>
    </row>
    <row r="427">
      <c r="A427" s="99" t="str">
        <f>IFERROR(__xludf.DUMMYFUNCTION("transpose(unique(FILTER(dCAGass[Tag],dCAGass[Room no.]=#REF!,dCAGass[Type]=#REF!)))"),"#N/A")</f>
        <v>#N/A</v>
      </c>
    </row>
    <row r="428">
      <c r="A428" s="99" t="str">
        <f>IFERROR(__xludf.DUMMYFUNCTION("transpose(unique(FILTER(dCAGass[Tag],dCAGass[Room no.]=#REF!,dCAGass[Type]=#REF!)))"),"#N/A")</f>
        <v>#N/A</v>
      </c>
    </row>
    <row r="429">
      <c r="A429" s="99" t="str">
        <f>IFERROR(__xludf.DUMMYFUNCTION("transpose(unique(FILTER(dCAGass[Tag],dCAGass[Room no.]=#REF!,dCAGass[Type]=#REF!)))"),"#N/A")</f>
        <v>#N/A</v>
      </c>
    </row>
    <row r="430">
      <c r="A430" s="99" t="str">
        <f>IFERROR(__xludf.DUMMYFUNCTION("transpose(unique(FILTER(dCAGass[Tag],dCAGass[Room no.]=#REF!,dCAGass[Type]=#REF!)))"),"#N/A")</f>
        <v>#N/A</v>
      </c>
    </row>
    <row r="431">
      <c r="A431" s="99" t="str">
        <f>IFERROR(__xludf.DUMMYFUNCTION("transpose(unique(FILTER(dCAGass[Tag],dCAGass[Room no.]=#REF!,dCAGass[Type]=#REF!)))"),"#N/A")</f>
        <v>#N/A</v>
      </c>
    </row>
    <row r="432">
      <c r="A432" s="99" t="str">
        <f>IFERROR(__xludf.DUMMYFUNCTION("transpose(unique(FILTER(dCAGass[Tag],dCAGass[Room no.]=#REF!,dCAGass[Type]=#REF!)))"),"#N/A")</f>
        <v>#N/A</v>
      </c>
    </row>
    <row r="433">
      <c r="A433" s="99" t="str">
        <f>IFERROR(__xludf.DUMMYFUNCTION("transpose(unique(FILTER(dCAGass[Tag],dCAGass[Room no.]=#REF!,dCAGass[Type]=#REF!)))"),"#N/A")</f>
        <v>#N/A</v>
      </c>
    </row>
    <row r="434">
      <c r="A434" s="99" t="str">
        <f>IFERROR(__xludf.DUMMYFUNCTION("transpose(unique(FILTER(dCAGass[Tag],dCAGass[Room no.]=#REF!,dCAGass[Type]=#REF!)))"),"#N/A")</f>
        <v>#N/A</v>
      </c>
    </row>
    <row r="435">
      <c r="A435" s="99" t="str">
        <f>IFERROR(__xludf.DUMMYFUNCTION("transpose(unique(FILTER(dCAGass[Tag],dCAGass[Room no.]=#REF!,dCAGass[Type]=#REF!)))"),"#N/A")</f>
        <v>#N/A</v>
      </c>
    </row>
    <row r="436">
      <c r="A436" s="99" t="str">
        <f>IFERROR(__xludf.DUMMYFUNCTION("transpose(unique(FILTER(dCAGass[Tag],dCAGass[Room no.]=#REF!,dCAGass[Type]=#REF!)))"),"#N/A")</f>
        <v>#N/A</v>
      </c>
    </row>
    <row r="437">
      <c r="A437" s="99" t="str">
        <f>IFERROR(__xludf.DUMMYFUNCTION("transpose(unique(FILTER(dCAGass[Tag],dCAGass[Room no.]=#REF!,dCAGass[Type]=#REF!)))"),"#N/A")</f>
        <v>#N/A</v>
      </c>
    </row>
    <row r="438">
      <c r="A438" s="99" t="str">
        <f>IFERROR(__xludf.DUMMYFUNCTION("transpose(unique(FILTER(dCAGass[Tag],dCAGass[Room no.]=#REF!,dCAGass[Type]=#REF!)))"),"#N/A")</f>
        <v>#N/A</v>
      </c>
    </row>
    <row r="439">
      <c r="A439" s="99" t="str">
        <f>IFERROR(__xludf.DUMMYFUNCTION("transpose(unique(FILTER(dCAGass[Tag],dCAGass[Room no.]=#REF!,dCAGass[Type]=#REF!)))"),"#N/A")</f>
        <v>#N/A</v>
      </c>
    </row>
    <row r="440">
      <c r="A440" s="99" t="str">
        <f>IFERROR(__xludf.DUMMYFUNCTION("transpose(unique(FILTER(dCAGass[Tag],dCAGass[Room no.]=#REF!,dCAGass[Type]=#REF!)))"),"#N/A")</f>
        <v>#N/A</v>
      </c>
    </row>
    <row r="441">
      <c r="A441" s="99" t="str">
        <f>IFERROR(__xludf.DUMMYFUNCTION("transpose(unique(FILTER(dCAGass[Tag],dCAGass[Room no.]=#REF!,dCAGass[Type]=#REF!)))"),"#N/A")</f>
        <v>#N/A</v>
      </c>
    </row>
    <row r="442">
      <c r="A442" s="99" t="str">
        <f>IFERROR(__xludf.DUMMYFUNCTION("transpose(unique(FILTER(dCAGass[Tag],dCAGass[Room no.]=#REF!,dCAGass[Type]=#REF!)))"),"#N/A")</f>
        <v>#N/A</v>
      </c>
    </row>
    <row r="443">
      <c r="A443" s="99" t="str">
        <f>IFERROR(__xludf.DUMMYFUNCTION("transpose(unique(FILTER(dCAGass[Tag],dCAGass[Room no.]=#REF!,dCAGass[Type]=#REF!)))"),"#N/A")</f>
        <v>#N/A</v>
      </c>
    </row>
    <row r="444">
      <c r="A444" s="99" t="str">
        <f>IFERROR(__xludf.DUMMYFUNCTION("transpose(unique(FILTER(dCAGass[Tag],dCAGass[Room no.]=#REF!,dCAGass[Type]=#REF!)))"),"#N/A")</f>
        <v>#N/A</v>
      </c>
    </row>
    <row r="445">
      <c r="A445" s="99" t="str">
        <f>IFERROR(__xludf.DUMMYFUNCTION("transpose(unique(FILTER(dCAGass[Tag],dCAGass[Room no.]=#REF!,dCAGass[Type]=#REF!)))"),"#N/A")</f>
        <v>#N/A</v>
      </c>
    </row>
    <row r="446">
      <c r="A446" s="99" t="str">
        <f>IFERROR(__xludf.DUMMYFUNCTION("transpose(unique(FILTER(dCAGass[Tag],dCAGass[Room no.]=#REF!,dCAGass[Type]=#REF!)))"),"#N/A")</f>
        <v>#N/A</v>
      </c>
    </row>
    <row r="447">
      <c r="A447" s="99" t="str">
        <f>IFERROR(__xludf.DUMMYFUNCTION("transpose(unique(FILTER(dCAGass[Tag],dCAGass[Room no.]=#REF!,dCAGass[Type]=#REF!)))"),"#N/A")</f>
        <v>#N/A</v>
      </c>
    </row>
    <row r="448">
      <c r="A448" s="99" t="str">
        <f>IFERROR(__xludf.DUMMYFUNCTION("transpose(unique(FILTER(dCAGass[Tag],dCAGass[Room no.]=#REF!,dCAGass[Type]=#REF!)))"),"#N/A")</f>
        <v>#N/A</v>
      </c>
    </row>
    <row r="449">
      <c r="A449" s="99" t="str">
        <f>IFERROR(__xludf.DUMMYFUNCTION("transpose(unique(FILTER(dCAGass[Tag],dCAGass[Room no.]=#REF!,dCAGass[Type]=#REF!)))"),"#N/A")</f>
        <v>#N/A</v>
      </c>
    </row>
    <row r="450">
      <c r="A450" s="99" t="str">
        <f>IFERROR(__xludf.DUMMYFUNCTION("transpose(unique(FILTER(dCAGass[Tag],dCAGass[Room no.]=#REF!,dCAGass[Type]=#REF!)))"),"#N/A")</f>
        <v>#N/A</v>
      </c>
    </row>
    <row r="451">
      <c r="A451" s="99" t="str">
        <f>IFERROR(__xludf.DUMMYFUNCTION("transpose(unique(FILTER(dCAGass[Tag],dCAGass[Room no.]=#REF!,dCAGass[Type]=#REF!)))"),"#N/A")</f>
        <v>#N/A</v>
      </c>
    </row>
    <row r="452">
      <c r="A452" s="99" t="str">
        <f>IFERROR(__xludf.DUMMYFUNCTION("transpose(unique(FILTER(dCAGass[Tag],dCAGass[Room no.]=#REF!,dCAGass[Type]=#REF!)))"),"#N/A")</f>
        <v>#N/A</v>
      </c>
    </row>
    <row r="453">
      <c r="A453" s="99" t="str">
        <f>IFERROR(__xludf.DUMMYFUNCTION("transpose(unique(FILTER(dCAGass[Tag],dCAGass[Room no.]=#REF!,dCAGass[Type]=#REF!)))"),"#N/A")</f>
        <v>#N/A</v>
      </c>
    </row>
    <row r="454">
      <c r="A454" s="99" t="str">
        <f>IFERROR(__xludf.DUMMYFUNCTION("transpose(unique(FILTER(dCAGass[Tag],dCAGass[Room no.]=#REF!,dCAGass[Type]=#REF!)))"),"#N/A")</f>
        <v>#N/A</v>
      </c>
    </row>
    <row r="455">
      <c r="A455" s="99" t="str">
        <f>IFERROR(__xludf.DUMMYFUNCTION("transpose(unique(FILTER(dCAGass[Tag],dCAGass[Room no.]=#REF!,dCAGass[Type]=#REF!)))"),"#N/A")</f>
        <v>#N/A</v>
      </c>
    </row>
    <row r="456">
      <c r="A456" s="99" t="str">
        <f>IFERROR(__xludf.DUMMYFUNCTION("transpose(unique(FILTER(dCAGass[Tag],dCAGass[Room no.]=#REF!,dCAGass[Type]=#REF!)))"),"#N/A")</f>
        <v>#N/A</v>
      </c>
    </row>
    <row r="457">
      <c r="A457" s="99" t="str">
        <f>IFERROR(__xludf.DUMMYFUNCTION("transpose(unique(FILTER(dCAGass[Tag],dCAGass[Room no.]=#REF!,dCAGass[Type]=#REF!)))"),"#N/A")</f>
        <v>#N/A</v>
      </c>
    </row>
    <row r="458">
      <c r="A458" s="99" t="str">
        <f>IFERROR(__xludf.DUMMYFUNCTION("transpose(unique(FILTER(dCAGass[Tag],dCAGass[Room no.]=#REF!,dCAGass[Type]=#REF!)))"),"#N/A")</f>
        <v>#N/A</v>
      </c>
    </row>
    <row r="459">
      <c r="A459" s="99" t="str">
        <f>IFERROR(__xludf.DUMMYFUNCTION("transpose(unique(FILTER(dCAGass[Tag],dCAGass[Room no.]=#REF!,dCAGass[Type]=#REF!)))"),"#N/A")</f>
        <v>#N/A</v>
      </c>
    </row>
    <row r="460">
      <c r="A460" s="99" t="str">
        <f>IFERROR(__xludf.DUMMYFUNCTION("transpose(unique(FILTER(dCAGass[Tag],dCAGass[Room no.]=#REF!,dCAGass[Type]=#REF!)))"),"#N/A")</f>
        <v>#N/A</v>
      </c>
    </row>
    <row r="461">
      <c r="A461" s="99" t="str">
        <f>IFERROR(__xludf.DUMMYFUNCTION("transpose(unique(FILTER(dCAGass[Tag],dCAGass[Room no.]=#REF!,dCAGass[Type]=#REF!)))"),"#N/A")</f>
        <v>#N/A</v>
      </c>
    </row>
    <row r="462">
      <c r="A462" s="99" t="str">
        <f>IFERROR(__xludf.DUMMYFUNCTION("transpose(unique(FILTER(dCAGass[Tag],dCAGass[Room no.]=#REF!,dCAGass[Type]=#REF!)))"),"#N/A")</f>
        <v>#N/A</v>
      </c>
    </row>
    <row r="463">
      <c r="A463" s="99" t="str">
        <f>IFERROR(__xludf.DUMMYFUNCTION("transpose(unique(FILTER(dCAGass[Tag],dCAGass[Room no.]=#REF!,dCAGass[Type]=#REF!)))"),"#N/A")</f>
        <v>#N/A</v>
      </c>
    </row>
    <row r="464">
      <c r="A464" s="99" t="str">
        <f>IFERROR(__xludf.DUMMYFUNCTION("transpose(unique(FILTER(dCAGass[Tag],dCAGass[Room no.]=#REF!,dCAGass[Type]=#REF!)))"),"#N/A")</f>
        <v>#N/A</v>
      </c>
    </row>
    <row r="465">
      <c r="A465" s="99" t="str">
        <f>IFERROR(__xludf.DUMMYFUNCTION("transpose(unique(FILTER(dCAGass[Tag],dCAGass[Room no.]=#REF!,dCAGass[Type]=#REF!)))"),"#N/A")</f>
        <v>#N/A</v>
      </c>
    </row>
    <row r="466">
      <c r="A466" s="99" t="str">
        <f>IFERROR(__xludf.DUMMYFUNCTION("transpose(unique(FILTER(dCAGass[Tag],dCAGass[Room no.]=#REF!,dCAGass[Type]=#REF!)))"),"#N/A")</f>
        <v>#N/A</v>
      </c>
    </row>
    <row r="467">
      <c r="A467" s="99" t="str">
        <f>IFERROR(__xludf.DUMMYFUNCTION("transpose(unique(FILTER(dCAGass[Tag],dCAGass[Room no.]=#REF!,dCAGass[Type]=#REF!)))"),"#N/A")</f>
        <v>#N/A</v>
      </c>
    </row>
    <row r="468">
      <c r="A468" s="99" t="str">
        <f>IFERROR(__xludf.DUMMYFUNCTION("transpose(unique(FILTER(dCAGass[Tag],dCAGass[Room no.]=#REF!,dCAGass[Type]=#REF!)))"),"#N/A")</f>
        <v>#N/A</v>
      </c>
    </row>
    <row r="469">
      <c r="A469" s="99" t="str">
        <f>IFERROR(__xludf.DUMMYFUNCTION("transpose(unique(FILTER(dCAGass[Tag],dCAGass[Room no.]=#REF!,dCAGass[Type]=#REF!)))"),"#N/A")</f>
        <v>#N/A</v>
      </c>
    </row>
    <row r="470">
      <c r="A470" s="99" t="str">
        <f>IFERROR(__xludf.DUMMYFUNCTION("transpose(unique(FILTER(dCAGass[Tag],dCAGass[Room no.]=#REF!,dCAGass[Type]=#REF!)))"),"#N/A")</f>
        <v>#N/A</v>
      </c>
    </row>
    <row r="471">
      <c r="A471" s="99" t="str">
        <f>IFERROR(__xludf.DUMMYFUNCTION("transpose(unique(FILTER(dCAGass[Tag],dCAGass[Room no.]=#REF!,dCAGass[Type]=#REF!)))"),"#N/A")</f>
        <v>#N/A</v>
      </c>
    </row>
    <row r="472">
      <c r="A472" s="99" t="str">
        <f>IFERROR(__xludf.DUMMYFUNCTION("transpose(unique(FILTER(dCAGass[Tag],dCAGass[Room no.]=#REF!,dCAGass[Type]=#REF!)))"),"#N/A")</f>
        <v>#N/A</v>
      </c>
    </row>
    <row r="473">
      <c r="A473" s="99" t="str">
        <f>IFERROR(__xludf.DUMMYFUNCTION("transpose(unique(FILTER(dCAGass[Tag],dCAGass[Room no.]=#REF!,dCAGass[Type]=#REF!)))"),"#N/A")</f>
        <v>#N/A</v>
      </c>
    </row>
    <row r="474">
      <c r="A474" s="99" t="str">
        <f>IFERROR(__xludf.DUMMYFUNCTION("transpose(unique(FILTER(dCAGass[Tag],dCAGass[Room no.]=#REF!,dCAGass[Type]=#REF!)))"),"#N/A")</f>
        <v>#N/A</v>
      </c>
    </row>
    <row r="475">
      <c r="A475" s="99" t="str">
        <f>IFERROR(__xludf.DUMMYFUNCTION("transpose(unique(FILTER(dCAGass[Tag],dCAGass[Room no.]=#REF!,dCAGass[Type]=#REF!)))"),"#N/A")</f>
        <v>#N/A</v>
      </c>
    </row>
    <row r="476">
      <c r="A476" s="99" t="str">
        <f>IFERROR(__xludf.DUMMYFUNCTION("transpose(unique(FILTER(dCAGass[Tag],dCAGass[Room no.]=#REF!,dCAGass[Type]=#REF!)))"),"#N/A")</f>
        <v>#N/A</v>
      </c>
    </row>
    <row r="477">
      <c r="A477" s="99" t="str">
        <f>IFERROR(__xludf.DUMMYFUNCTION("transpose(unique(FILTER(dCAGass[Tag],dCAGass[Room no.]=#REF!,dCAGass[Type]=#REF!)))"),"#N/A")</f>
        <v>#N/A</v>
      </c>
    </row>
    <row r="478">
      <c r="A478" s="99" t="str">
        <f>IFERROR(__xludf.DUMMYFUNCTION("transpose(unique(FILTER(dCAGass[Tag],dCAGass[Room no.]=#REF!,dCAGass[Type]=#REF!)))"),"#N/A")</f>
        <v>#N/A</v>
      </c>
    </row>
    <row r="479">
      <c r="A479" s="99" t="str">
        <f>IFERROR(__xludf.DUMMYFUNCTION("transpose(unique(FILTER(dCAGass[Tag],dCAGass[Room no.]=#REF!,dCAGass[Type]=#REF!)))"),"#N/A")</f>
        <v>#N/A</v>
      </c>
    </row>
    <row r="480">
      <c r="A480" s="99" t="str">
        <f>IFERROR(__xludf.DUMMYFUNCTION("transpose(unique(FILTER(dCAGass[Tag],dCAGass[Room no.]=#REF!,dCAGass[Type]=#REF!)))"),"#N/A")</f>
        <v>#N/A</v>
      </c>
    </row>
    <row r="481">
      <c r="A481" s="99" t="str">
        <f>IFERROR(__xludf.DUMMYFUNCTION("transpose(unique(FILTER(dCAGass[Tag],dCAGass[Room no.]=#REF!,dCAGass[Type]=#REF!)))"),"#N/A")</f>
        <v>#N/A</v>
      </c>
    </row>
    <row r="482">
      <c r="A482" s="99" t="str">
        <f>IFERROR(__xludf.DUMMYFUNCTION("transpose(unique(FILTER(dCAGass[Tag],dCAGass[Room no.]=#REF!,dCAGass[Type]=#REF!)))"),"#N/A")</f>
        <v>#N/A</v>
      </c>
    </row>
    <row r="483">
      <c r="A483" s="99" t="str">
        <f>IFERROR(__xludf.DUMMYFUNCTION("transpose(unique(FILTER(dCAGass[Tag],dCAGass[Room no.]=#REF!,dCAGass[Type]=#REF!)))"),"#N/A")</f>
        <v>#N/A</v>
      </c>
    </row>
    <row r="484">
      <c r="A484" s="99" t="str">
        <f>IFERROR(__xludf.DUMMYFUNCTION("transpose(unique(FILTER(dCAGass[Tag],dCAGass[Room no.]=#REF!,dCAGass[Type]=#REF!)))"),"#N/A")</f>
        <v>#N/A</v>
      </c>
    </row>
    <row r="485">
      <c r="A485" s="99" t="str">
        <f>IFERROR(__xludf.DUMMYFUNCTION("transpose(unique(FILTER(dCAGass[Tag],dCAGass[Room no.]=#REF!,dCAGass[Type]=#REF!)))"),"#N/A")</f>
        <v>#N/A</v>
      </c>
    </row>
    <row r="486">
      <c r="A486" s="99" t="str">
        <f>IFERROR(__xludf.DUMMYFUNCTION("transpose(unique(FILTER(dCAGass[Tag],dCAGass[Room no.]=#REF!,dCAGass[Type]=#REF!)))"),"#N/A")</f>
        <v>#N/A</v>
      </c>
    </row>
    <row r="487">
      <c r="A487" s="99" t="str">
        <f>IFERROR(__xludf.DUMMYFUNCTION("transpose(unique(FILTER(dCAGass[Tag],dCAGass[Room no.]=#REF!,dCAGass[Type]=#REF!)))"),"#N/A")</f>
        <v>#N/A</v>
      </c>
    </row>
    <row r="488">
      <c r="A488" s="99" t="str">
        <f>IFERROR(__xludf.DUMMYFUNCTION("transpose(unique(FILTER(dCAGass[Tag],dCAGass[Room no.]=#REF!,dCAGass[Type]=#REF!)))"),"#N/A")</f>
        <v>#N/A</v>
      </c>
    </row>
    <row r="489">
      <c r="A489" s="99" t="str">
        <f>IFERROR(__xludf.DUMMYFUNCTION("transpose(unique(FILTER(dCAGass[Tag],dCAGass[Room no.]=#REF!,dCAGass[Type]=#REF!)))"),"#N/A")</f>
        <v>#N/A</v>
      </c>
    </row>
    <row r="490">
      <c r="A490" s="99" t="str">
        <f>IFERROR(__xludf.DUMMYFUNCTION("transpose(unique(FILTER(dCAGass[Tag],dCAGass[Room no.]=#REF!,dCAGass[Type]=#REF!)))"),"#N/A")</f>
        <v>#N/A</v>
      </c>
    </row>
    <row r="491">
      <c r="A491" s="99" t="str">
        <f>IFERROR(__xludf.DUMMYFUNCTION("transpose(unique(FILTER(dCAGass[Tag],dCAGass[Room no.]=#REF!,dCAGass[Type]=#REF!)))"),"#N/A")</f>
        <v>#N/A</v>
      </c>
    </row>
    <row r="492">
      <c r="A492" s="99" t="str">
        <f>IFERROR(__xludf.DUMMYFUNCTION("transpose(unique(FILTER(dCAGass[Tag],dCAGass[Room no.]=#REF!,dCAGass[Type]=#REF!)))"),"#N/A")</f>
        <v>#N/A</v>
      </c>
    </row>
    <row r="493">
      <c r="A493" s="99" t="str">
        <f>IFERROR(__xludf.DUMMYFUNCTION("transpose(unique(FILTER(dCAGass[Tag],dCAGass[Room no.]=#REF!,dCAGass[Type]=#REF!)))"),"#N/A")</f>
        <v>#N/A</v>
      </c>
    </row>
    <row r="494">
      <c r="A494" s="99" t="str">
        <f>IFERROR(__xludf.DUMMYFUNCTION("transpose(unique(FILTER(dCAGass[Tag],dCAGass[Room no.]=#REF!,dCAGass[Type]=#REF!)))"),"#N/A")</f>
        <v>#N/A</v>
      </c>
    </row>
    <row r="495">
      <c r="A495" s="99" t="str">
        <f>IFERROR(__xludf.DUMMYFUNCTION("transpose(unique(FILTER(dCAGass[Tag],dCAGass[Room no.]=#REF!,dCAGass[Type]=#REF!)))"),"#N/A")</f>
        <v>#N/A</v>
      </c>
    </row>
    <row r="496">
      <c r="A496" s="99" t="str">
        <f>IFERROR(__xludf.DUMMYFUNCTION("transpose(unique(FILTER(dCAGass[Tag],dCAGass[Room no.]=#REF!,dCAGass[Type]=#REF!)))"),"#N/A")</f>
        <v>#N/A</v>
      </c>
    </row>
    <row r="497">
      <c r="A497" s="99" t="str">
        <f>IFERROR(__xludf.DUMMYFUNCTION("transpose(unique(FILTER(dCAGass[Tag],dCAGass[Room no.]=#REF!,dCAGass[Type]=#REF!)))"),"#N/A")</f>
        <v>#N/A</v>
      </c>
    </row>
    <row r="498">
      <c r="A498" s="99" t="str">
        <f>IFERROR(__xludf.DUMMYFUNCTION("transpose(unique(FILTER(dCAGass[Tag],dCAGass[Room no.]=#REF!,dCAGass[Type]=#REF!)))"),"#N/A")</f>
        <v>#N/A</v>
      </c>
    </row>
    <row r="499">
      <c r="A499" s="99" t="str">
        <f>IFERROR(__xludf.DUMMYFUNCTION("transpose(unique(FILTER(dCAGass[Tag],dCAGass[Room no.]=#REF!,dCAGass[Type]=#REF!)))"),"#N/A")</f>
        <v>#N/A</v>
      </c>
    </row>
    <row r="500">
      <c r="A500" s="99" t="str">
        <f>IFERROR(__xludf.DUMMYFUNCTION("transpose(unique(FILTER(dCAGass[Tag],dCAGass[Room no.]=#REF!,dCAGass[Type]=#REF!)))"),"#N/A")</f>
        <v>#N/A</v>
      </c>
    </row>
    <row r="501">
      <c r="A501" s="99" t="str">
        <f>IFERROR(__xludf.DUMMYFUNCTION("transpose(unique(FILTER(dCAGass[Tag],dCAGass[Room no.]=#REF!,dCAGass[Type]=#REF!)))"),"#N/A")</f>
        <v>#N/A</v>
      </c>
    </row>
    <row r="502">
      <c r="A502" s="99" t="str">
        <f>IFERROR(__xludf.DUMMYFUNCTION("transpose(unique(FILTER(dCAGass[Tag],dCAGass[Room no.]=#REF!,dCAGass[Type]=#REF!)))"),"#N/A")</f>
        <v>#N/A</v>
      </c>
    </row>
    <row r="503">
      <c r="A503" s="99" t="str">
        <f>IFERROR(__xludf.DUMMYFUNCTION("transpose(unique(FILTER(dCAGass[Tag],dCAGass[Room no.]=#REF!,dCAGass[Type]=#REF!)))"),"#N/A")</f>
        <v>#N/A</v>
      </c>
    </row>
    <row r="504">
      <c r="A504" s="99" t="str">
        <f>IFERROR(__xludf.DUMMYFUNCTION("transpose(unique(FILTER(dCAGass[Tag],dCAGass[Room no.]=#REF!,dCAGass[Type]=#REF!)))"),"#N/A")</f>
        <v>#N/A</v>
      </c>
    </row>
    <row r="505">
      <c r="A505" s="99" t="str">
        <f>IFERROR(__xludf.DUMMYFUNCTION("transpose(unique(FILTER(dCAGass[Tag],dCAGass[Room no.]=#REF!,dCAGass[Type]=#REF!)))"),"#N/A")</f>
        <v>#N/A</v>
      </c>
    </row>
    <row r="506">
      <c r="A506" s="99" t="str">
        <f>IFERROR(__xludf.DUMMYFUNCTION("transpose(unique(FILTER(dCAGass[Tag],dCAGass[Room no.]=#REF!,dCAGass[Type]=#REF!)))"),"#N/A")</f>
        <v>#N/A</v>
      </c>
    </row>
    <row r="507">
      <c r="A507" s="99" t="str">
        <f>IFERROR(__xludf.DUMMYFUNCTION("transpose(unique(FILTER(dCAGass[Tag],dCAGass[Room no.]=#REF!,dCAGass[Type]=#REF!)))"),"#N/A")</f>
        <v>#N/A</v>
      </c>
    </row>
    <row r="508">
      <c r="A508" s="99" t="str">
        <f>IFERROR(__xludf.DUMMYFUNCTION("transpose(unique(FILTER(dCAGass[Tag],dCAGass[Room no.]=#REF!,dCAGass[Type]=#REF!)))"),"#N/A")</f>
        <v>#N/A</v>
      </c>
    </row>
    <row r="509">
      <c r="A509" s="99" t="str">
        <f>IFERROR(__xludf.DUMMYFUNCTION("transpose(unique(FILTER(dCAGass[Tag],dCAGass[Room no.]=#REF!,dCAGass[Type]=#REF!)))"),"#N/A")</f>
        <v>#N/A</v>
      </c>
    </row>
    <row r="510">
      <c r="A510" s="99" t="str">
        <f>IFERROR(__xludf.DUMMYFUNCTION("transpose(unique(FILTER(dCAGass[Tag],dCAGass[Room no.]=#REF!,dCAGass[Type]=#REF!)))"),"#N/A")</f>
        <v>#N/A</v>
      </c>
    </row>
    <row r="511">
      <c r="A511" s="99" t="str">
        <f>IFERROR(__xludf.DUMMYFUNCTION("transpose(unique(FILTER(dCAGass[Tag],dCAGass[Room no.]=#REF!,dCAGass[Type]=#REF!)))"),"#N/A")</f>
        <v>#N/A</v>
      </c>
    </row>
    <row r="512">
      <c r="A512" s="99" t="str">
        <f>IFERROR(__xludf.DUMMYFUNCTION("transpose(unique(FILTER(dCAGass[Tag],dCAGass[Room no.]=#REF!,dCAGass[Type]=#REF!)))"),"#N/A")</f>
        <v>#N/A</v>
      </c>
    </row>
    <row r="513">
      <c r="A513" s="99" t="str">
        <f>IFERROR(__xludf.DUMMYFUNCTION("transpose(unique(FILTER(dCAGass[Tag],dCAGass[Room no.]=#REF!,dCAGass[Type]=#REF!)))"),"#N/A")</f>
        <v>#N/A</v>
      </c>
    </row>
    <row r="514">
      <c r="A514" s="99" t="str">
        <f>IFERROR(__xludf.DUMMYFUNCTION("transpose(unique(FILTER(dCAGass[Tag],dCAGass[Room no.]=#REF!,dCAGass[Type]=#REF!)))"),"#N/A")</f>
        <v>#N/A</v>
      </c>
    </row>
    <row r="515">
      <c r="A515" s="99" t="str">
        <f>IFERROR(__xludf.DUMMYFUNCTION("transpose(unique(FILTER(dCAGass[Tag],dCAGass[Room no.]=#REF!,dCAGass[Type]=#REF!)))"),"#N/A")</f>
        <v>#N/A</v>
      </c>
    </row>
    <row r="516">
      <c r="A516" s="99" t="str">
        <f>IFERROR(__xludf.DUMMYFUNCTION("transpose(unique(FILTER(dCAGass[Tag],dCAGass[Room no.]=#REF!,dCAGass[Type]=#REF!)))"),"#N/A")</f>
        <v>#N/A</v>
      </c>
    </row>
    <row r="517">
      <c r="A517" s="99" t="str">
        <f>IFERROR(__xludf.DUMMYFUNCTION("transpose(unique(FILTER(dCAGass[Tag],dCAGass[Room no.]=#REF!,dCAGass[Type]=#REF!)))"),"#N/A")</f>
        <v>#N/A</v>
      </c>
    </row>
    <row r="518">
      <c r="A518" s="99" t="str">
        <f>IFERROR(__xludf.DUMMYFUNCTION("transpose(unique(FILTER(dCAGass[Tag],dCAGass[Room no.]=#REF!,dCAGass[Type]=#REF!)))"),"#N/A")</f>
        <v>#N/A</v>
      </c>
    </row>
    <row r="519">
      <c r="A519" s="99" t="str">
        <f>IFERROR(__xludf.DUMMYFUNCTION("transpose(unique(FILTER(dCAGass[Tag],dCAGass[Room no.]=#REF!,dCAGass[Type]=#REF!)))"),"#N/A")</f>
        <v>#N/A</v>
      </c>
    </row>
    <row r="520">
      <c r="A520" s="99" t="str">
        <f>IFERROR(__xludf.DUMMYFUNCTION("transpose(unique(FILTER(dCAGass[Tag],dCAGass[Room no.]=#REF!,dCAGass[Type]=#REF!)))"),"#N/A")</f>
        <v>#N/A</v>
      </c>
    </row>
    <row r="521">
      <c r="A521" s="99" t="str">
        <f>IFERROR(__xludf.DUMMYFUNCTION("transpose(unique(FILTER(dCAGass[Tag],dCAGass[Room no.]=#REF!,dCAGass[Type]=#REF!)))"),"#N/A")</f>
        <v>#N/A</v>
      </c>
    </row>
    <row r="522">
      <c r="A522" s="99" t="str">
        <f>IFERROR(__xludf.DUMMYFUNCTION("transpose(unique(FILTER(dCAGass[Tag],dCAGass[Room no.]=#REF!,dCAGass[Type]=#REF!)))"),"#N/A")</f>
        <v>#N/A</v>
      </c>
    </row>
    <row r="523">
      <c r="A523" s="99" t="str">
        <f>IFERROR(__xludf.DUMMYFUNCTION("transpose(unique(FILTER(dCAGass[Tag],dCAGass[Room no.]=#REF!,dCAGass[Type]=#REF!)))"),"#N/A")</f>
        <v>#N/A</v>
      </c>
    </row>
    <row r="524">
      <c r="A524" s="99" t="str">
        <f>IFERROR(__xludf.DUMMYFUNCTION("transpose(unique(FILTER(dCAGass[Tag],dCAGass[Room no.]=#REF!,dCAGass[Type]=#REF!)))"),"#N/A")</f>
        <v>#N/A</v>
      </c>
    </row>
    <row r="525">
      <c r="A525" s="99" t="str">
        <f>IFERROR(__xludf.DUMMYFUNCTION("transpose(unique(FILTER(dCAGass[Tag],dCAGass[Room no.]=#REF!,dCAGass[Type]=#REF!)))"),"#N/A")</f>
        <v>#N/A</v>
      </c>
    </row>
    <row r="526">
      <c r="A526" s="99" t="str">
        <f>IFERROR(__xludf.DUMMYFUNCTION("transpose(unique(FILTER(dCAGass[Tag],dCAGass[Room no.]=#REF!,dCAGass[Type]=#REF!)))"),"#N/A")</f>
        <v>#N/A</v>
      </c>
    </row>
    <row r="527">
      <c r="A527" s="99" t="str">
        <f>IFERROR(__xludf.DUMMYFUNCTION("transpose(unique(FILTER(dCAGass[Tag],dCAGass[Room no.]=#REF!,dCAGass[Type]=#REF!)))"),"#N/A")</f>
        <v>#N/A</v>
      </c>
    </row>
    <row r="528">
      <c r="A528" s="99" t="str">
        <f>IFERROR(__xludf.DUMMYFUNCTION("transpose(unique(FILTER(dCAGass[Tag],dCAGass[Room no.]=#REF!,dCAGass[Type]=#REF!)))"),"#N/A")</f>
        <v>#N/A</v>
      </c>
    </row>
    <row r="529">
      <c r="A529" s="99" t="str">
        <f>IFERROR(__xludf.DUMMYFUNCTION("transpose(unique(FILTER(dCAGass[Tag],dCAGass[Room no.]=#REF!,dCAGass[Type]=#REF!)))"),"#N/A")</f>
        <v>#N/A</v>
      </c>
    </row>
    <row r="530">
      <c r="A530" s="99" t="str">
        <f>IFERROR(__xludf.DUMMYFUNCTION("transpose(unique(FILTER(dCAGass[Tag],dCAGass[Room no.]=#REF!,dCAGass[Type]=#REF!)))"),"#N/A")</f>
        <v>#N/A</v>
      </c>
    </row>
    <row r="531">
      <c r="A531" s="99" t="str">
        <f>IFERROR(__xludf.DUMMYFUNCTION("transpose(unique(FILTER(dCAGass[Tag],dCAGass[Room no.]=#REF!,dCAGass[Type]=#REF!)))"),"#N/A")</f>
        <v>#N/A</v>
      </c>
    </row>
    <row r="532">
      <c r="A532" s="99" t="str">
        <f>IFERROR(__xludf.DUMMYFUNCTION("transpose(unique(FILTER(dCAGass[Tag],dCAGass[Room no.]=#REF!,dCAGass[Type]=#REF!)))"),"#N/A")</f>
        <v>#N/A</v>
      </c>
    </row>
    <row r="533">
      <c r="A533" s="99" t="str">
        <f>IFERROR(__xludf.DUMMYFUNCTION("transpose(unique(FILTER(dCAGass[Tag],dCAGass[Room no.]=#REF!,dCAGass[Type]=#REF!)))"),"#N/A")</f>
        <v>#N/A</v>
      </c>
    </row>
    <row r="534">
      <c r="A534" s="99" t="str">
        <f>IFERROR(__xludf.DUMMYFUNCTION("transpose(unique(FILTER(dCAGass[Tag],dCAGass[Room no.]=#REF!,dCAGass[Type]=#REF!)))"),"#N/A")</f>
        <v>#N/A</v>
      </c>
    </row>
    <row r="535">
      <c r="A535" s="99" t="str">
        <f>IFERROR(__xludf.DUMMYFUNCTION("transpose(unique(FILTER(dCAGass[Tag],dCAGass[Room no.]=#REF!,dCAGass[Type]=#REF!)))"),"#N/A")</f>
        <v>#N/A</v>
      </c>
    </row>
    <row r="536">
      <c r="A536" s="99" t="str">
        <f>IFERROR(__xludf.DUMMYFUNCTION("transpose(unique(FILTER(dCAGass[Tag],dCAGass[Room no.]=#REF!,dCAGass[Type]=#REF!)))"),"#N/A")</f>
        <v>#N/A</v>
      </c>
    </row>
    <row r="537">
      <c r="A537" s="99" t="str">
        <f>IFERROR(__xludf.DUMMYFUNCTION("transpose(unique(FILTER(dCAGass[Tag],dCAGass[Room no.]=#REF!,dCAGass[Type]=#REF!)))"),"#N/A")</f>
        <v>#N/A</v>
      </c>
    </row>
    <row r="538">
      <c r="A538" s="99" t="str">
        <f>IFERROR(__xludf.DUMMYFUNCTION("transpose(unique(FILTER(dCAGass[Tag],dCAGass[Room no.]=#REF!,dCAGass[Type]=#REF!)))"),"#N/A")</f>
        <v>#N/A</v>
      </c>
    </row>
    <row r="539">
      <c r="A539" s="99" t="str">
        <f>IFERROR(__xludf.DUMMYFUNCTION("transpose(unique(FILTER(dCAGass[Tag],dCAGass[Room no.]=#REF!,dCAGass[Type]=#REF!)))"),"#N/A")</f>
        <v>#N/A</v>
      </c>
    </row>
    <row r="540">
      <c r="A540" s="99" t="str">
        <f>IFERROR(__xludf.DUMMYFUNCTION("transpose(unique(FILTER(dCAGass[Tag],dCAGass[Room no.]=#REF!,dCAGass[Type]=#REF!)))"),"#N/A")</f>
        <v>#N/A</v>
      </c>
    </row>
    <row r="541">
      <c r="A541" s="99" t="str">
        <f>IFERROR(__xludf.DUMMYFUNCTION("transpose(unique(FILTER(dCAGass[Tag],dCAGass[Room no.]=#REF!,dCAGass[Type]=#REF!)))"),"#N/A")</f>
        <v>#N/A</v>
      </c>
    </row>
    <row r="542">
      <c r="A542" s="99" t="str">
        <f>IFERROR(__xludf.DUMMYFUNCTION("transpose(unique(FILTER(dCAGass[Tag],dCAGass[Room no.]=#REF!,dCAGass[Type]=#REF!)))"),"#N/A")</f>
        <v>#N/A</v>
      </c>
    </row>
    <row r="543">
      <c r="A543" s="99" t="str">
        <f>IFERROR(__xludf.DUMMYFUNCTION("transpose(unique(FILTER(dCAGass[Tag],dCAGass[Room no.]=#REF!,dCAGass[Type]=#REF!)))"),"#N/A")</f>
        <v>#N/A</v>
      </c>
    </row>
    <row r="544">
      <c r="A544" s="99" t="str">
        <f>IFERROR(__xludf.DUMMYFUNCTION("transpose(unique(FILTER(dCAGass[Tag],dCAGass[Room no.]=#REF!,dCAGass[Type]=#REF!)))"),"#N/A")</f>
        <v>#N/A</v>
      </c>
    </row>
    <row r="545">
      <c r="A545" s="99" t="str">
        <f>IFERROR(__xludf.DUMMYFUNCTION("transpose(unique(FILTER(dCAGass[Tag],dCAGass[Room no.]=#REF!,dCAGass[Type]=#REF!)))"),"#N/A")</f>
        <v>#N/A</v>
      </c>
    </row>
    <row r="546">
      <c r="A546" s="99" t="str">
        <f>IFERROR(__xludf.DUMMYFUNCTION("transpose(unique(FILTER(dCAGass[Tag],dCAGass[Room no.]=#REF!,dCAGass[Type]=#REF!)))"),"#N/A")</f>
        <v>#N/A</v>
      </c>
    </row>
    <row r="547">
      <c r="A547" s="99" t="str">
        <f>IFERROR(__xludf.DUMMYFUNCTION("transpose(unique(FILTER(dCAGass[Tag],dCAGass[Room no.]=#REF!,dCAGass[Type]=#REF!)))"),"#N/A")</f>
        <v>#N/A</v>
      </c>
    </row>
    <row r="548">
      <c r="A548" s="99" t="str">
        <f>IFERROR(__xludf.DUMMYFUNCTION("transpose(unique(FILTER(dCAGass[Tag],dCAGass[Room no.]=#REF!,dCAGass[Type]=#REF!)))"),"#N/A")</f>
        <v>#N/A</v>
      </c>
    </row>
    <row r="549">
      <c r="A549" s="99" t="str">
        <f>IFERROR(__xludf.DUMMYFUNCTION("transpose(unique(FILTER(dCAGass[Tag],dCAGass[Room no.]=#REF!,dCAGass[Type]=#REF!)))"),"#N/A")</f>
        <v>#N/A</v>
      </c>
    </row>
    <row r="550">
      <c r="A550" s="99" t="str">
        <f>IFERROR(__xludf.DUMMYFUNCTION("transpose(unique(FILTER(dCAGass[Tag],dCAGass[Room no.]=#REF!,dCAGass[Type]=#REF!)))"),"#N/A")</f>
        <v>#N/A</v>
      </c>
    </row>
    <row r="551">
      <c r="A551" s="99" t="str">
        <f>IFERROR(__xludf.DUMMYFUNCTION("transpose(unique(FILTER(dCAGass[Tag],dCAGass[Room no.]=#REF!,dCAGass[Type]=#REF!)))"),"#N/A")</f>
        <v>#N/A</v>
      </c>
    </row>
    <row r="552">
      <c r="A552" s="99" t="str">
        <f>IFERROR(__xludf.DUMMYFUNCTION("transpose(unique(FILTER(dCAGass[Tag],dCAGass[Room no.]=#REF!,dCAGass[Type]=#REF!)))"),"#N/A")</f>
        <v>#N/A</v>
      </c>
    </row>
    <row r="553">
      <c r="A553" s="99" t="str">
        <f>IFERROR(__xludf.DUMMYFUNCTION("transpose(unique(FILTER(dCAGass[Tag],dCAGass[Room no.]=#REF!,dCAGass[Type]=#REF!)))"),"#N/A")</f>
        <v>#N/A</v>
      </c>
    </row>
    <row r="554">
      <c r="A554" s="99" t="str">
        <f>IFERROR(__xludf.DUMMYFUNCTION("transpose(unique(FILTER(dCAGass[Tag],dCAGass[Room no.]=#REF!,dCAGass[Type]=#REF!)))"),"#N/A")</f>
        <v>#N/A</v>
      </c>
    </row>
    <row r="555">
      <c r="A555" s="99" t="str">
        <f>IFERROR(__xludf.DUMMYFUNCTION("transpose(unique(FILTER(dCAGass[Tag],dCAGass[Room no.]=#REF!,dCAGass[Type]=#REF!)))"),"#N/A")</f>
        <v>#N/A</v>
      </c>
    </row>
    <row r="556">
      <c r="A556" s="99" t="str">
        <f>IFERROR(__xludf.DUMMYFUNCTION("transpose(unique(FILTER(dCAGass[Tag],dCAGass[Room no.]=#REF!,dCAGass[Type]=#REF!)))"),"#N/A")</f>
        <v>#N/A</v>
      </c>
    </row>
    <row r="557">
      <c r="A557" s="99" t="str">
        <f>IFERROR(__xludf.DUMMYFUNCTION("transpose(unique(FILTER(dCAGass[Tag],dCAGass[Room no.]=#REF!,dCAGass[Type]=#REF!)))"),"#N/A")</f>
        <v>#N/A</v>
      </c>
    </row>
    <row r="558">
      <c r="A558" s="99" t="str">
        <f>IFERROR(__xludf.DUMMYFUNCTION("transpose(unique(FILTER(dCAGass[Tag],dCAGass[Room no.]=#REF!,dCAGass[Type]=#REF!)))"),"#N/A")</f>
        <v>#N/A</v>
      </c>
    </row>
    <row r="559">
      <c r="A559" s="99" t="str">
        <f>IFERROR(__xludf.DUMMYFUNCTION("transpose(unique(FILTER(dCAGass[Tag],dCAGass[Room no.]=#REF!,dCAGass[Type]=#REF!)))"),"#N/A")</f>
        <v>#N/A</v>
      </c>
    </row>
    <row r="560">
      <c r="A560" s="99" t="str">
        <f>IFERROR(__xludf.DUMMYFUNCTION("transpose(unique(FILTER(dCAGass[Tag],dCAGass[Room no.]=#REF!,dCAGass[Type]=#REF!)))"),"#N/A")</f>
        <v>#N/A</v>
      </c>
    </row>
    <row r="561">
      <c r="A561" s="99" t="str">
        <f>IFERROR(__xludf.DUMMYFUNCTION("transpose(unique(FILTER(dCAGass[Tag],dCAGass[Room no.]=#REF!,dCAGass[Type]=#REF!)))"),"#N/A")</f>
        <v>#N/A</v>
      </c>
    </row>
    <row r="562">
      <c r="A562" s="99" t="str">
        <f>IFERROR(__xludf.DUMMYFUNCTION("transpose(unique(FILTER(dCAGass[Tag],dCAGass[Room no.]=#REF!,dCAGass[Type]=#REF!)))"),"#N/A")</f>
        <v>#N/A</v>
      </c>
    </row>
    <row r="563">
      <c r="A563" s="99" t="str">
        <f>IFERROR(__xludf.DUMMYFUNCTION("transpose(unique(FILTER(dCAGass[Tag],dCAGass[Room no.]=#REF!,dCAGass[Type]=#REF!)))"),"#N/A")</f>
        <v>#N/A</v>
      </c>
    </row>
    <row r="564">
      <c r="A564" s="99" t="str">
        <f>IFERROR(__xludf.DUMMYFUNCTION("transpose(unique(FILTER(dCAGass[Tag],dCAGass[Room no.]=#REF!,dCAGass[Type]=#REF!)))"),"#N/A")</f>
        <v>#N/A</v>
      </c>
    </row>
    <row r="565">
      <c r="A565" s="99" t="str">
        <f>IFERROR(__xludf.DUMMYFUNCTION("transpose(unique(FILTER(dCAGass[Tag],dCAGass[Room no.]=#REF!,dCAGass[Type]=#REF!)))"),"#N/A")</f>
        <v>#N/A</v>
      </c>
    </row>
    <row r="566">
      <c r="A566" s="99" t="str">
        <f>IFERROR(__xludf.DUMMYFUNCTION("transpose(unique(FILTER(dCAGass[Tag],dCAGass[Room no.]=#REF!,dCAGass[Type]=#REF!)))"),"#N/A")</f>
        <v>#N/A</v>
      </c>
    </row>
    <row r="567">
      <c r="A567" s="99" t="str">
        <f>IFERROR(__xludf.DUMMYFUNCTION("transpose(unique(FILTER(dCAGass[Tag],dCAGass[Room no.]=#REF!,dCAGass[Type]=#REF!)))"),"#N/A")</f>
        <v>#N/A</v>
      </c>
    </row>
    <row r="568">
      <c r="A568" s="99" t="str">
        <f>IFERROR(__xludf.DUMMYFUNCTION("transpose(unique(FILTER(dCAGass[Tag],dCAGass[Room no.]=#REF!,dCAGass[Type]=#REF!)))"),"#N/A")</f>
        <v>#N/A</v>
      </c>
    </row>
    <row r="569">
      <c r="A569" s="99" t="str">
        <f>IFERROR(__xludf.DUMMYFUNCTION("transpose(unique(FILTER(dCAGass[Tag],dCAGass[Room no.]=#REF!,dCAGass[Type]=#REF!)))"),"#N/A")</f>
        <v>#N/A</v>
      </c>
    </row>
    <row r="570">
      <c r="A570" s="99" t="str">
        <f>IFERROR(__xludf.DUMMYFUNCTION("transpose(unique(FILTER(dCAGass[Tag],dCAGass[Room no.]=#REF!,dCAGass[Type]=#REF!)))"),"#N/A")</f>
        <v>#N/A</v>
      </c>
    </row>
    <row r="571">
      <c r="A571" s="99" t="str">
        <f>IFERROR(__xludf.DUMMYFUNCTION("transpose(unique(FILTER(dCAGass[Tag],dCAGass[Room no.]=#REF!,dCAGass[Type]=#REF!)))"),"#N/A")</f>
        <v>#N/A</v>
      </c>
    </row>
    <row r="572">
      <c r="A572" s="99" t="str">
        <f>IFERROR(__xludf.DUMMYFUNCTION("transpose(unique(FILTER(dCAGass[Tag],dCAGass[Room no.]=#REF!,dCAGass[Type]=#REF!)))"),"#N/A")</f>
        <v>#N/A</v>
      </c>
    </row>
    <row r="573">
      <c r="A573" s="99" t="str">
        <f>IFERROR(__xludf.DUMMYFUNCTION("transpose(unique(FILTER(dCAGass[Tag],dCAGass[Room no.]=#REF!,dCAGass[Type]=#REF!)))"),"#N/A")</f>
        <v>#N/A</v>
      </c>
    </row>
    <row r="574">
      <c r="A574" s="99" t="str">
        <f>IFERROR(__xludf.DUMMYFUNCTION("transpose(unique(FILTER(dCAGass[Tag],dCAGass[Room no.]=#REF!,dCAGass[Type]=#REF!)))"),"#N/A")</f>
        <v>#N/A</v>
      </c>
    </row>
    <row r="575">
      <c r="A575" s="99" t="str">
        <f>IFERROR(__xludf.DUMMYFUNCTION("transpose(unique(FILTER(dCAGass[Tag],dCAGass[Room no.]=#REF!,dCAGass[Type]=#REF!)))"),"#N/A")</f>
        <v>#N/A</v>
      </c>
    </row>
    <row r="576">
      <c r="A576" s="99" t="str">
        <f>IFERROR(__xludf.DUMMYFUNCTION("transpose(unique(FILTER(dCAGass[Tag],dCAGass[Room no.]=#REF!,dCAGass[Type]=#REF!)))"),"#N/A")</f>
        <v>#N/A</v>
      </c>
    </row>
    <row r="577">
      <c r="A577" s="99" t="str">
        <f>IFERROR(__xludf.DUMMYFUNCTION("transpose(unique(FILTER(dCAGass[Tag],dCAGass[Room no.]=#REF!,dCAGass[Type]=#REF!)))"),"#N/A")</f>
        <v>#N/A</v>
      </c>
    </row>
    <row r="578">
      <c r="A578" s="99" t="str">
        <f>IFERROR(__xludf.DUMMYFUNCTION("transpose(unique(FILTER(dCAGass[Tag],dCAGass[Room no.]=#REF!,dCAGass[Type]=#REF!)))"),"#N/A")</f>
        <v>#N/A</v>
      </c>
    </row>
    <row r="579">
      <c r="A579" s="99" t="str">
        <f>IFERROR(__xludf.DUMMYFUNCTION("transpose(unique(FILTER(dCAGass[Tag],dCAGass[Room no.]=#REF!,dCAGass[Type]=#REF!)))"),"#N/A")</f>
        <v>#N/A</v>
      </c>
    </row>
    <row r="580">
      <c r="A580" s="99" t="str">
        <f>IFERROR(__xludf.DUMMYFUNCTION("transpose(unique(FILTER(dCAGass[Tag],dCAGass[Room no.]=#REF!,dCAGass[Type]=#REF!)))"),"#N/A")</f>
        <v>#N/A</v>
      </c>
    </row>
    <row r="581">
      <c r="A581" s="99" t="str">
        <f>IFERROR(__xludf.DUMMYFUNCTION("transpose(unique(FILTER(dCAGass[Tag],dCAGass[Room no.]=#REF!,dCAGass[Type]=#REF!)))"),"#N/A")</f>
        <v>#N/A</v>
      </c>
    </row>
    <row r="582">
      <c r="A582" s="99" t="str">
        <f>IFERROR(__xludf.DUMMYFUNCTION("transpose(unique(FILTER(dCAGass[Tag],dCAGass[Room no.]=#REF!,dCAGass[Type]=#REF!)))"),"#N/A")</f>
        <v>#N/A</v>
      </c>
    </row>
    <row r="583">
      <c r="A583" s="99" t="str">
        <f>IFERROR(__xludf.DUMMYFUNCTION("transpose(unique(FILTER(dCAGass[Tag],dCAGass[Room no.]=#REF!,dCAGass[Type]=#REF!)))"),"#N/A")</f>
        <v>#N/A</v>
      </c>
    </row>
    <row r="584">
      <c r="A584" s="99" t="str">
        <f>IFERROR(__xludf.DUMMYFUNCTION("transpose(unique(FILTER(dCAGass[Tag],dCAGass[Room no.]=#REF!,dCAGass[Type]=#REF!)))"),"#N/A")</f>
        <v>#N/A</v>
      </c>
    </row>
    <row r="585">
      <c r="A585" s="99" t="str">
        <f>IFERROR(__xludf.DUMMYFUNCTION("transpose(unique(FILTER(dCAGass[Tag],dCAGass[Room no.]=#REF!,dCAGass[Type]=#REF!)))"),"#N/A")</f>
        <v>#N/A</v>
      </c>
    </row>
    <row r="586">
      <c r="A586" s="99" t="str">
        <f>IFERROR(__xludf.DUMMYFUNCTION("transpose(unique(FILTER(dCAGass[Tag],dCAGass[Room no.]=#REF!,dCAGass[Type]=#REF!)))"),"#N/A")</f>
        <v>#N/A</v>
      </c>
    </row>
    <row r="587">
      <c r="A587" s="99" t="str">
        <f>IFERROR(__xludf.DUMMYFUNCTION("transpose(unique(FILTER(dCAGass[Tag],dCAGass[Room no.]=#REF!,dCAGass[Type]=#REF!)))"),"#N/A")</f>
        <v>#N/A</v>
      </c>
    </row>
    <row r="588">
      <c r="A588" s="99" t="str">
        <f>IFERROR(__xludf.DUMMYFUNCTION("transpose(unique(FILTER(dCAGass[Tag],dCAGass[Room no.]=#REF!,dCAGass[Type]=#REF!)))"),"#N/A")</f>
        <v>#N/A</v>
      </c>
    </row>
    <row r="589">
      <c r="A589" s="99" t="str">
        <f>IFERROR(__xludf.DUMMYFUNCTION("transpose(unique(FILTER(dCAGass[Tag],dCAGass[Room no.]=#REF!,dCAGass[Type]=#REF!)))"),"#N/A")</f>
        <v>#N/A</v>
      </c>
    </row>
    <row r="590">
      <c r="A590" s="99" t="str">
        <f>IFERROR(__xludf.DUMMYFUNCTION("transpose(unique(FILTER(dCAGass[Tag],dCAGass[Room no.]=#REF!,dCAGass[Type]=#REF!)))"),"#N/A")</f>
        <v>#N/A</v>
      </c>
    </row>
    <row r="591">
      <c r="A591" s="99" t="str">
        <f>IFERROR(__xludf.DUMMYFUNCTION("transpose(unique(FILTER(dCAGass[Tag],dCAGass[Room no.]=#REF!,dCAGass[Type]=#REF!)))"),"#N/A")</f>
        <v>#N/A</v>
      </c>
    </row>
    <row r="592">
      <c r="A592" s="99" t="str">
        <f>IFERROR(__xludf.DUMMYFUNCTION("transpose(unique(FILTER(dCAGass[Tag],dCAGass[Room no.]=#REF!,dCAGass[Type]=#REF!)))"),"#N/A")</f>
        <v>#N/A</v>
      </c>
    </row>
    <row r="593">
      <c r="A593" s="99" t="str">
        <f>IFERROR(__xludf.DUMMYFUNCTION("transpose(unique(FILTER(dCAGass[Tag],dCAGass[Room no.]=#REF!,dCAGass[Type]=#REF!)))"),"#N/A")</f>
        <v>#N/A</v>
      </c>
    </row>
    <row r="594">
      <c r="A594" s="99" t="str">
        <f>IFERROR(__xludf.DUMMYFUNCTION("transpose(unique(FILTER(dCAGass[Tag],dCAGass[Room no.]=#REF!,dCAGass[Type]=#REF!)))"),"#N/A")</f>
        <v>#N/A</v>
      </c>
    </row>
    <row r="595">
      <c r="A595" s="99" t="str">
        <f>IFERROR(__xludf.DUMMYFUNCTION("transpose(unique(FILTER(dCAGass[Tag],dCAGass[Room no.]=#REF!,dCAGass[Type]=#REF!)))"),"#N/A")</f>
        <v>#N/A</v>
      </c>
    </row>
    <row r="596">
      <c r="A596" s="99" t="str">
        <f>IFERROR(__xludf.DUMMYFUNCTION("transpose(unique(FILTER(dCAGass[Tag],dCAGass[Room no.]=#REF!,dCAGass[Type]=#REF!)))"),"#N/A")</f>
        <v>#N/A</v>
      </c>
    </row>
    <row r="597">
      <c r="A597" s="99" t="str">
        <f>IFERROR(__xludf.DUMMYFUNCTION("transpose(unique(FILTER(dCAGass[Tag],dCAGass[Room no.]=#REF!,dCAGass[Type]=#REF!)))"),"#N/A")</f>
        <v>#N/A</v>
      </c>
    </row>
    <row r="598">
      <c r="A598" s="99" t="str">
        <f>IFERROR(__xludf.DUMMYFUNCTION("transpose(unique(FILTER(dCAGass[Tag],dCAGass[Room no.]=#REF!,dCAGass[Type]=#REF!)))"),"#N/A")</f>
        <v>#N/A</v>
      </c>
    </row>
    <row r="599">
      <c r="A599" s="99" t="str">
        <f>IFERROR(__xludf.DUMMYFUNCTION("transpose(unique(FILTER(dCAGass[Tag],dCAGass[Room no.]=#REF!,dCAGass[Type]=#REF!)))"),"#N/A")</f>
        <v>#N/A</v>
      </c>
    </row>
    <row r="600">
      <c r="A600" s="99" t="str">
        <f>IFERROR(__xludf.DUMMYFUNCTION("transpose(unique(FILTER(dCAGass[Tag],dCAGass[Room no.]=#REF!,dCAGass[Type]=#REF!)))"),"#N/A")</f>
        <v>#N/A</v>
      </c>
    </row>
    <row r="601">
      <c r="A601" s="99" t="str">
        <f>IFERROR(__xludf.DUMMYFUNCTION("transpose(unique(FILTER(dCAGass[Tag],dCAGass[Room no.]=#REF!,dCAGass[Type]=#REF!)))"),"#N/A")</f>
        <v>#N/A</v>
      </c>
    </row>
    <row r="602">
      <c r="A602" s="99" t="str">
        <f>IFERROR(__xludf.DUMMYFUNCTION("transpose(unique(FILTER(dCAGass[Tag],dCAGass[Room no.]=#REF!,dCAGass[Type]=#REF!)))"),"#N/A")</f>
        <v>#N/A</v>
      </c>
    </row>
    <row r="603">
      <c r="A603" s="99" t="str">
        <f>IFERROR(__xludf.DUMMYFUNCTION("transpose(unique(FILTER(dCAGass[Tag],dCAGass[Room no.]=#REF!,dCAGass[Type]=#REF!)))"),"#N/A")</f>
        <v>#N/A</v>
      </c>
    </row>
    <row r="604">
      <c r="A604" s="99" t="str">
        <f>IFERROR(__xludf.DUMMYFUNCTION("transpose(unique(FILTER(dCAGass[Tag],dCAGass[Room no.]=#REF!,dCAGass[Type]=#REF!)))"),"#N/A")</f>
        <v>#N/A</v>
      </c>
    </row>
    <row r="605">
      <c r="A605" s="99" t="str">
        <f>IFERROR(__xludf.DUMMYFUNCTION("transpose(unique(FILTER(dCAGass[Tag],dCAGass[Room no.]=#REF!,dCAGass[Type]=#REF!)))"),"#N/A")</f>
        <v>#N/A</v>
      </c>
    </row>
    <row r="606">
      <c r="A606" s="99" t="str">
        <f>IFERROR(__xludf.DUMMYFUNCTION("transpose(unique(FILTER(dCAGass[Tag],dCAGass[Room no.]=#REF!,dCAGass[Type]=#REF!)))"),"#N/A")</f>
        <v>#N/A</v>
      </c>
    </row>
    <row r="607">
      <c r="A607" s="99" t="str">
        <f>IFERROR(__xludf.DUMMYFUNCTION("transpose(unique(FILTER(dCAGass[Tag],dCAGass[Room no.]=#REF!,dCAGass[Type]=#REF!)))"),"#N/A")</f>
        <v>#N/A</v>
      </c>
    </row>
    <row r="608">
      <c r="A608" s="99" t="str">
        <f>IFERROR(__xludf.DUMMYFUNCTION("transpose(unique(FILTER(dCAGass[Tag],dCAGass[Room no.]=#REF!,dCAGass[Type]=#REF!)))"),"#N/A")</f>
        <v>#N/A</v>
      </c>
    </row>
    <row r="609">
      <c r="A609" s="99" t="str">
        <f>IFERROR(__xludf.DUMMYFUNCTION("transpose(unique(FILTER(dCAGass[Tag],dCAGass[Room no.]=#REF!,dCAGass[Type]=#REF!)))"),"#N/A")</f>
        <v>#N/A</v>
      </c>
    </row>
    <row r="610">
      <c r="A610" s="99" t="str">
        <f>IFERROR(__xludf.DUMMYFUNCTION("transpose(unique(FILTER(dCAGass[Tag],dCAGass[Room no.]=#REF!,dCAGass[Type]=#REF!)))"),"#N/A")</f>
        <v>#N/A</v>
      </c>
    </row>
    <row r="611">
      <c r="A611" s="99" t="str">
        <f>IFERROR(__xludf.DUMMYFUNCTION("transpose(unique(FILTER(dCAGass[Tag],dCAGass[Room no.]=#REF!,dCAGass[Type]=#REF!)))"),"#N/A")</f>
        <v>#N/A</v>
      </c>
    </row>
    <row r="612">
      <c r="A612" s="99" t="str">
        <f>IFERROR(__xludf.DUMMYFUNCTION("transpose(unique(FILTER(dCAGass[Tag],dCAGass[Room no.]=#REF!,dCAGass[Type]=#REF!)))"),"#N/A")</f>
        <v>#N/A</v>
      </c>
    </row>
    <row r="613">
      <c r="A613" s="99" t="str">
        <f>IFERROR(__xludf.DUMMYFUNCTION("transpose(unique(FILTER(dCAGass[Tag],dCAGass[Room no.]=#REF!,dCAGass[Type]=#REF!)))"),"#N/A")</f>
        <v>#N/A</v>
      </c>
    </row>
    <row r="614">
      <c r="A614" s="99" t="str">
        <f>IFERROR(__xludf.DUMMYFUNCTION("transpose(unique(FILTER(dCAGass[Tag],dCAGass[Room no.]=#REF!,dCAGass[Type]=#REF!)))"),"#N/A")</f>
        <v>#N/A</v>
      </c>
    </row>
    <row r="615">
      <c r="A615" s="99" t="str">
        <f>IFERROR(__xludf.DUMMYFUNCTION("transpose(unique(FILTER(dCAGass[Tag],dCAGass[Room no.]=#REF!,dCAGass[Type]=#REF!)))"),"#N/A")</f>
        <v>#N/A</v>
      </c>
    </row>
    <row r="616">
      <c r="A616" s="99" t="str">
        <f>IFERROR(__xludf.DUMMYFUNCTION("transpose(unique(FILTER(dCAGass[Tag],dCAGass[Room no.]=#REF!,dCAGass[Type]=#REF!)))"),"#N/A")</f>
        <v>#N/A</v>
      </c>
    </row>
    <row r="617">
      <c r="A617" s="99" t="str">
        <f>IFERROR(__xludf.DUMMYFUNCTION("transpose(unique(FILTER(dCAGass[Tag],dCAGass[Room no.]=#REF!,dCAGass[Type]=#REF!)))"),"#N/A")</f>
        <v>#N/A</v>
      </c>
    </row>
    <row r="618">
      <c r="A618" s="99" t="str">
        <f>IFERROR(__xludf.DUMMYFUNCTION("transpose(unique(FILTER(dCAGass[Tag],dCAGass[Room no.]=#REF!,dCAGass[Type]=#REF!)))"),"#N/A")</f>
        <v>#N/A</v>
      </c>
    </row>
    <row r="619">
      <c r="A619" s="99" t="str">
        <f>IFERROR(__xludf.DUMMYFUNCTION("transpose(unique(FILTER(dCAGass[Tag],dCAGass[Room no.]=#REF!,dCAGass[Type]=#REF!)))"),"#N/A")</f>
        <v>#N/A</v>
      </c>
    </row>
    <row r="620">
      <c r="A620" s="99" t="str">
        <f>IFERROR(__xludf.DUMMYFUNCTION("transpose(unique(FILTER(dCAGass[Tag],dCAGass[Room no.]=#REF!,dCAGass[Type]=#REF!)))"),"#N/A")</f>
        <v>#N/A</v>
      </c>
    </row>
    <row r="621">
      <c r="A621" s="99" t="str">
        <f>IFERROR(__xludf.DUMMYFUNCTION("transpose(unique(FILTER(dCAGass[Tag],dCAGass[Room no.]=#REF!,dCAGass[Type]=#REF!)))"),"#N/A")</f>
        <v>#N/A</v>
      </c>
    </row>
    <row r="622">
      <c r="A622" s="99" t="str">
        <f>IFERROR(__xludf.DUMMYFUNCTION("transpose(unique(FILTER(dCAGass[Tag],dCAGass[Room no.]=#REF!,dCAGass[Type]=#REF!)))"),"#N/A")</f>
        <v>#N/A</v>
      </c>
    </row>
    <row r="623">
      <c r="A623" s="99" t="str">
        <f>IFERROR(__xludf.DUMMYFUNCTION("transpose(unique(FILTER(dCAGass[Tag],dCAGass[Room no.]=#REF!,dCAGass[Type]=#REF!)))"),"#N/A")</f>
        <v>#N/A</v>
      </c>
    </row>
    <row r="624">
      <c r="A624" s="99" t="str">
        <f>IFERROR(__xludf.DUMMYFUNCTION("transpose(unique(FILTER(dCAGass[Tag],dCAGass[Room no.]=#REF!,dCAGass[Type]=#REF!)))"),"#N/A")</f>
        <v>#N/A</v>
      </c>
    </row>
    <row r="625">
      <c r="A625" s="99" t="str">
        <f>IFERROR(__xludf.DUMMYFUNCTION("transpose(unique(FILTER(dCAGass[Tag],dCAGass[Room no.]=#REF!,dCAGass[Type]=#REF!)))"),"#N/A")</f>
        <v>#N/A</v>
      </c>
    </row>
    <row r="626">
      <c r="A626" s="99" t="str">
        <f>IFERROR(__xludf.DUMMYFUNCTION("transpose(unique(FILTER(dCAGass[Tag],dCAGass[Room no.]=#REF!,dCAGass[Type]=#REF!)))"),"#N/A")</f>
        <v>#N/A</v>
      </c>
    </row>
    <row r="627">
      <c r="A627" s="99" t="str">
        <f>IFERROR(__xludf.DUMMYFUNCTION("transpose(unique(FILTER(dCAGass[Tag],dCAGass[Room no.]=#REF!,dCAGass[Type]=#REF!)))"),"#N/A")</f>
        <v>#N/A</v>
      </c>
    </row>
    <row r="628">
      <c r="A628" s="99" t="str">
        <f>IFERROR(__xludf.DUMMYFUNCTION("transpose(unique(FILTER(dCAGass[Tag],dCAGass[Room no.]=#REF!,dCAGass[Type]=#REF!)))"),"#N/A")</f>
        <v>#N/A</v>
      </c>
    </row>
    <row r="629">
      <c r="A629" s="99" t="str">
        <f>IFERROR(__xludf.DUMMYFUNCTION("transpose(unique(FILTER(dCAGass[Tag],dCAGass[Room no.]=#REF!,dCAGass[Type]=#REF!)))"),"#N/A")</f>
        <v>#N/A</v>
      </c>
    </row>
    <row r="630">
      <c r="A630" s="99" t="str">
        <f>IFERROR(__xludf.DUMMYFUNCTION("transpose(unique(FILTER(dCAGass[Tag],dCAGass[Room no.]=#REF!,dCAGass[Type]=#REF!)))"),"#N/A")</f>
        <v>#N/A</v>
      </c>
    </row>
    <row r="631">
      <c r="A631" s="99" t="str">
        <f>IFERROR(__xludf.DUMMYFUNCTION("transpose(unique(FILTER(dCAGass[Tag],dCAGass[Room no.]=#REF!,dCAGass[Type]=#REF!)))"),"#N/A")</f>
        <v>#N/A</v>
      </c>
    </row>
    <row r="632">
      <c r="A632" s="99" t="str">
        <f>IFERROR(__xludf.DUMMYFUNCTION("transpose(unique(FILTER(dCAGass[Tag],dCAGass[Room no.]=#REF!,dCAGass[Type]=#REF!)))"),"#N/A")</f>
        <v>#N/A</v>
      </c>
    </row>
    <row r="633">
      <c r="A633" s="99" t="str">
        <f>IFERROR(__xludf.DUMMYFUNCTION("transpose(unique(FILTER(dCAGass[Tag],dCAGass[Room no.]=#REF!,dCAGass[Type]=#REF!)))"),"#N/A")</f>
        <v>#N/A</v>
      </c>
    </row>
    <row r="634">
      <c r="A634" s="99" t="str">
        <f>IFERROR(__xludf.DUMMYFUNCTION("transpose(unique(FILTER(dCAGass[Tag],dCAGass[Room no.]=#REF!,dCAGass[Type]=#REF!)))"),"#N/A")</f>
        <v>#N/A</v>
      </c>
    </row>
    <row r="635">
      <c r="A635" s="99" t="str">
        <f>IFERROR(__xludf.DUMMYFUNCTION("transpose(unique(FILTER(dCAGass[Tag],dCAGass[Room no.]=#REF!,dCAGass[Type]=#REF!)))"),"#N/A")</f>
        <v>#N/A</v>
      </c>
    </row>
    <row r="636">
      <c r="A636" s="99" t="str">
        <f>IFERROR(__xludf.DUMMYFUNCTION("transpose(unique(FILTER(dCAGass[Tag],dCAGass[Room no.]=#REF!,dCAGass[Type]=#REF!)))"),"#N/A")</f>
        <v>#N/A</v>
      </c>
    </row>
    <row r="637">
      <c r="A637" s="99" t="str">
        <f>IFERROR(__xludf.DUMMYFUNCTION("transpose(unique(FILTER(dCAGass[Tag],dCAGass[Room no.]=#REF!,dCAGass[Type]=#REF!)))"),"#N/A")</f>
        <v>#N/A</v>
      </c>
    </row>
    <row r="638">
      <c r="A638" s="99" t="str">
        <f>IFERROR(__xludf.DUMMYFUNCTION("transpose(unique(FILTER(dCAGass[Tag],dCAGass[Room no.]=#REF!,dCAGass[Type]=#REF!)))"),"#N/A")</f>
        <v>#N/A</v>
      </c>
    </row>
    <row r="639">
      <c r="A639" s="99" t="str">
        <f>IFERROR(__xludf.DUMMYFUNCTION("transpose(unique(FILTER(dCAGass[Tag],dCAGass[Room no.]=#REF!,dCAGass[Type]=#REF!)))"),"#N/A")</f>
        <v>#N/A</v>
      </c>
    </row>
    <row r="640">
      <c r="A640" s="99" t="str">
        <f>IFERROR(__xludf.DUMMYFUNCTION("transpose(unique(FILTER(dCAGass[Tag],dCAGass[Room no.]=#REF!,dCAGass[Type]=#REF!)))"),"#N/A")</f>
        <v>#N/A</v>
      </c>
    </row>
    <row r="641">
      <c r="A641" s="99" t="str">
        <f>IFERROR(__xludf.DUMMYFUNCTION("transpose(unique(FILTER(dCAGass[Tag],dCAGass[Room no.]=#REF!,dCAGass[Type]=#REF!)))"),"#N/A")</f>
        <v>#N/A</v>
      </c>
    </row>
    <row r="642">
      <c r="A642" s="99" t="str">
        <f>IFERROR(__xludf.DUMMYFUNCTION("transpose(unique(FILTER(dCAGass[Tag],dCAGass[Room no.]=#REF!,dCAGass[Type]=#REF!)))"),"#N/A")</f>
        <v>#N/A</v>
      </c>
    </row>
    <row r="643">
      <c r="A643" s="99" t="str">
        <f>IFERROR(__xludf.DUMMYFUNCTION("transpose(unique(FILTER(dCAGass[Tag],dCAGass[Room no.]=#REF!,dCAGass[Type]=#REF!)))"),"#N/A")</f>
        <v>#N/A</v>
      </c>
    </row>
    <row r="644">
      <c r="A644" s="99" t="str">
        <f>IFERROR(__xludf.DUMMYFUNCTION("transpose(unique(FILTER(dCAGass[Tag],dCAGass[Room no.]=#REF!,dCAGass[Type]=#REF!)))"),"#N/A")</f>
        <v>#N/A</v>
      </c>
    </row>
    <row r="645">
      <c r="A645" s="99" t="str">
        <f>IFERROR(__xludf.DUMMYFUNCTION("transpose(unique(FILTER(dCAGass[Tag],dCAGass[Room no.]=#REF!,dCAGass[Type]=#REF!)))"),"#N/A")</f>
        <v>#N/A</v>
      </c>
    </row>
    <row r="646">
      <c r="A646" s="99" t="str">
        <f>IFERROR(__xludf.DUMMYFUNCTION("transpose(unique(FILTER(dCAGass[Tag],dCAGass[Room no.]=#REF!,dCAGass[Type]=#REF!)))"),"#N/A")</f>
        <v>#N/A</v>
      </c>
    </row>
    <row r="647">
      <c r="A647" s="99" t="str">
        <f>IFERROR(__xludf.DUMMYFUNCTION("transpose(unique(FILTER(dCAGass[Tag],dCAGass[Room no.]=#REF!,dCAGass[Type]=#REF!)))"),"#N/A")</f>
        <v>#N/A</v>
      </c>
    </row>
    <row r="648">
      <c r="A648" s="99" t="str">
        <f>IFERROR(__xludf.DUMMYFUNCTION("transpose(unique(FILTER(dCAGass[Tag],dCAGass[Room no.]=#REF!,dCAGass[Type]=#REF!)))"),"#N/A")</f>
        <v>#N/A</v>
      </c>
    </row>
    <row r="649">
      <c r="A649" s="99" t="str">
        <f>IFERROR(__xludf.DUMMYFUNCTION("transpose(unique(FILTER(dCAGass[Tag],dCAGass[Room no.]=#REF!,dCAGass[Type]=#REF!)))"),"#N/A")</f>
        <v>#N/A</v>
      </c>
    </row>
    <row r="650">
      <c r="A650" s="99" t="str">
        <f>IFERROR(__xludf.DUMMYFUNCTION("transpose(unique(FILTER(dCAGass[Tag],dCAGass[Room no.]=#REF!,dCAGass[Type]=#REF!)))"),"#N/A")</f>
        <v>#N/A</v>
      </c>
    </row>
    <row r="651">
      <c r="A651" s="99" t="str">
        <f>IFERROR(__xludf.DUMMYFUNCTION("transpose(unique(FILTER(dCAGass[Tag],dCAGass[Room no.]=#REF!,dCAGass[Type]=#REF!)))"),"#N/A")</f>
        <v>#N/A</v>
      </c>
    </row>
    <row r="652">
      <c r="A652" s="99" t="str">
        <f>IFERROR(__xludf.DUMMYFUNCTION("transpose(unique(FILTER(dCAGass[Tag],dCAGass[Room no.]=#REF!,dCAGass[Type]=#REF!)))"),"#N/A")</f>
        <v>#N/A</v>
      </c>
    </row>
    <row r="653">
      <c r="A653" s="99" t="str">
        <f>IFERROR(__xludf.DUMMYFUNCTION("transpose(unique(FILTER(dCAGass[Tag],dCAGass[Room no.]=#REF!,dCAGass[Type]=#REF!)))"),"#N/A")</f>
        <v>#N/A</v>
      </c>
    </row>
    <row r="654">
      <c r="A654" s="99" t="str">
        <f>IFERROR(__xludf.DUMMYFUNCTION("transpose(unique(FILTER(dCAGass[Tag],dCAGass[Room no.]=#REF!,dCAGass[Type]=#REF!)))"),"#N/A")</f>
        <v>#N/A</v>
      </c>
    </row>
    <row r="655">
      <c r="A655" s="99" t="str">
        <f>IFERROR(__xludf.DUMMYFUNCTION("transpose(unique(FILTER(dCAGass[Tag],dCAGass[Room no.]=#REF!,dCAGass[Type]=#REF!)))"),"#N/A")</f>
        <v>#N/A</v>
      </c>
    </row>
    <row r="656">
      <c r="A656" s="99" t="str">
        <f>IFERROR(__xludf.DUMMYFUNCTION("transpose(unique(FILTER(dCAGass[Tag],dCAGass[Room no.]=#REF!,dCAGass[Type]=#REF!)))"),"#N/A")</f>
        <v>#N/A</v>
      </c>
    </row>
    <row r="657">
      <c r="A657" s="99" t="str">
        <f>IFERROR(__xludf.DUMMYFUNCTION("transpose(unique(FILTER(dCAGass[Tag],dCAGass[Room no.]=#REF!,dCAGass[Type]=#REF!)))"),"#N/A")</f>
        <v>#N/A</v>
      </c>
    </row>
    <row r="658">
      <c r="A658" s="99" t="str">
        <f>IFERROR(__xludf.DUMMYFUNCTION("transpose(unique(FILTER(dCAGass[Tag],dCAGass[Room no.]=#REF!,dCAGass[Type]=#REF!)))"),"#N/A")</f>
        <v>#N/A</v>
      </c>
    </row>
    <row r="659">
      <c r="A659" s="99" t="str">
        <f>IFERROR(__xludf.DUMMYFUNCTION("transpose(unique(FILTER(dCAGass[Tag],dCAGass[Room no.]=#REF!,dCAGass[Type]=#REF!)))"),"#N/A")</f>
        <v>#N/A</v>
      </c>
    </row>
    <row r="660">
      <c r="A660" s="99" t="str">
        <f>IFERROR(__xludf.DUMMYFUNCTION("transpose(unique(FILTER(dCAGass[Tag],dCAGass[Room no.]=#REF!,dCAGass[Type]=#REF!)))"),"#N/A")</f>
        <v>#N/A</v>
      </c>
    </row>
    <row r="661">
      <c r="A661" s="99" t="str">
        <f>IFERROR(__xludf.DUMMYFUNCTION("transpose(unique(FILTER(dCAGass[Tag],dCAGass[Room no.]=#REF!,dCAGass[Type]=#REF!)))"),"#N/A")</f>
        <v>#N/A</v>
      </c>
    </row>
    <row r="662">
      <c r="A662" s="99" t="str">
        <f>IFERROR(__xludf.DUMMYFUNCTION("transpose(unique(FILTER(dCAGass[Tag],dCAGass[Room no.]=#REF!,dCAGass[Type]=#REF!)))"),"#N/A")</f>
        <v>#N/A</v>
      </c>
    </row>
    <row r="663">
      <c r="A663" s="99" t="str">
        <f>IFERROR(__xludf.DUMMYFUNCTION("transpose(unique(FILTER(dCAGass[Tag],dCAGass[Room no.]=#REF!,dCAGass[Type]=#REF!)))"),"#N/A")</f>
        <v>#N/A</v>
      </c>
    </row>
    <row r="664">
      <c r="A664" s="99" t="str">
        <f>IFERROR(__xludf.DUMMYFUNCTION("transpose(unique(FILTER(dCAGass[Tag],dCAGass[Room no.]=#REF!,dCAGass[Type]=#REF!)))"),"#N/A")</f>
        <v>#N/A</v>
      </c>
    </row>
    <row r="665">
      <c r="A665" s="99" t="str">
        <f>IFERROR(__xludf.DUMMYFUNCTION("transpose(unique(FILTER(dCAGass[Tag],dCAGass[Room no.]=#REF!,dCAGass[Type]=#REF!)))"),"#N/A")</f>
        <v>#N/A</v>
      </c>
    </row>
    <row r="666">
      <c r="A666" s="99" t="str">
        <f>IFERROR(__xludf.DUMMYFUNCTION("transpose(unique(FILTER(dCAGass[Tag],dCAGass[Room no.]=#REF!,dCAGass[Type]=#REF!)))"),"#N/A")</f>
        <v>#N/A</v>
      </c>
    </row>
    <row r="667">
      <c r="A667" s="99" t="str">
        <f>IFERROR(__xludf.DUMMYFUNCTION("transpose(unique(FILTER(dCAGass[Tag],dCAGass[Room no.]=#REF!,dCAGass[Type]=#REF!)))"),"#N/A")</f>
        <v>#N/A</v>
      </c>
    </row>
    <row r="668">
      <c r="A668" s="99" t="str">
        <f>IFERROR(__xludf.DUMMYFUNCTION("transpose(unique(FILTER(dCAGass[Tag],dCAGass[Room no.]=#REF!,dCAGass[Type]=#REF!)))"),"#N/A")</f>
        <v>#N/A</v>
      </c>
    </row>
    <row r="669">
      <c r="A669" s="99" t="str">
        <f>IFERROR(__xludf.DUMMYFUNCTION("transpose(unique(FILTER(dCAGass[Tag],dCAGass[Room no.]=#REF!,dCAGass[Type]=#REF!)))"),"#N/A")</f>
        <v>#N/A</v>
      </c>
    </row>
    <row r="670">
      <c r="A670" s="99" t="str">
        <f>IFERROR(__xludf.DUMMYFUNCTION("transpose(unique(FILTER(dCAGass[Tag],dCAGass[Room no.]=#REF!,dCAGass[Type]=#REF!)))"),"#N/A")</f>
        <v>#N/A</v>
      </c>
    </row>
    <row r="671">
      <c r="A671" s="99" t="str">
        <f>IFERROR(__xludf.DUMMYFUNCTION("transpose(unique(FILTER(dCAGass[Tag],dCAGass[Room no.]=#REF!,dCAGass[Type]=#REF!)))"),"#N/A")</f>
        <v>#N/A</v>
      </c>
    </row>
    <row r="672">
      <c r="A672" s="99" t="str">
        <f>IFERROR(__xludf.DUMMYFUNCTION("transpose(unique(FILTER(dCAGass[Tag],dCAGass[Room no.]=#REF!,dCAGass[Type]=#REF!)))"),"#N/A")</f>
        <v>#N/A</v>
      </c>
    </row>
    <row r="673">
      <c r="A673" s="99" t="str">
        <f>IFERROR(__xludf.DUMMYFUNCTION("transpose(unique(FILTER(dCAGass[Tag],dCAGass[Room no.]=#REF!,dCAGass[Type]=#REF!)))"),"#N/A")</f>
        <v>#N/A</v>
      </c>
    </row>
    <row r="674">
      <c r="A674" s="99" t="str">
        <f>IFERROR(__xludf.DUMMYFUNCTION("transpose(unique(FILTER(dCAGass[Tag],dCAGass[Room no.]=#REF!,dCAGass[Type]=#REF!)))"),"#N/A")</f>
        <v>#N/A</v>
      </c>
    </row>
    <row r="675">
      <c r="A675" s="99" t="str">
        <f>IFERROR(__xludf.DUMMYFUNCTION("transpose(unique(FILTER(dCAGass[Tag],dCAGass[Room no.]=#REF!,dCAGass[Type]=#REF!)))"),"#N/A")</f>
        <v>#N/A</v>
      </c>
    </row>
    <row r="676">
      <c r="A676" s="99" t="str">
        <f>IFERROR(__xludf.DUMMYFUNCTION("transpose(unique(FILTER(dCAGass[Tag],dCAGass[Room no.]=#REF!,dCAGass[Type]=#REF!)))"),"#N/A")</f>
        <v>#N/A</v>
      </c>
    </row>
    <row r="677">
      <c r="A677" s="99" t="str">
        <f>IFERROR(__xludf.DUMMYFUNCTION("transpose(unique(FILTER(dCAGass[Tag],dCAGass[Room no.]=#REF!,dCAGass[Type]=#REF!)))"),"#N/A")</f>
        <v>#N/A</v>
      </c>
    </row>
    <row r="678">
      <c r="A678" s="99" t="str">
        <f>IFERROR(__xludf.DUMMYFUNCTION("transpose(unique(FILTER(dCAGass[Tag],dCAGass[Room no.]=#REF!,dCAGass[Type]=#REF!)))"),"#N/A")</f>
        <v>#N/A</v>
      </c>
    </row>
    <row r="679">
      <c r="A679" s="99" t="str">
        <f>IFERROR(__xludf.DUMMYFUNCTION("transpose(unique(FILTER(dCAGass[Tag],dCAGass[Room no.]=#REF!,dCAGass[Type]=#REF!)))"),"#N/A")</f>
        <v>#N/A</v>
      </c>
    </row>
    <row r="680">
      <c r="A680" s="99" t="str">
        <f>IFERROR(__xludf.DUMMYFUNCTION("transpose(unique(FILTER(dCAGass[Tag],dCAGass[Room no.]=#REF!,dCAGass[Type]=#REF!)))"),"#N/A")</f>
        <v>#N/A</v>
      </c>
    </row>
    <row r="681">
      <c r="A681" s="99" t="str">
        <f>IFERROR(__xludf.DUMMYFUNCTION("transpose(unique(FILTER(dCAGass[Tag],dCAGass[Room no.]=#REF!,dCAGass[Type]=#REF!)))"),"#N/A")</f>
        <v>#N/A</v>
      </c>
    </row>
    <row r="682">
      <c r="A682" s="99" t="str">
        <f>IFERROR(__xludf.DUMMYFUNCTION("transpose(unique(FILTER(dCAGass[Tag],dCAGass[Room no.]=#REF!,dCAGass[Type]=#REF!)))"),"#N/A")</f>
        <v>#N/A</v>
      </c>
    </row>
    <row r="683">
      <c r="A683" s="99" t="str">
        <f>IFERROR(__xludf.DUMMYFUNCTION("transpose(unique(FILTER(dCAGass[Tag],dCAGass[Room no.]=#REF!,dCAGass[Type]=#REF!)))"),"#N/A")</f>
        <v>#N/A</v>
      </c>
    </row>
    <row r="684">
      <c r="A684" s="99" t="str">
        <f>IFERROR(__xludf.DUMMYFUNCTION("transpose(unique(FILTER(dCAGass[Tag],dCAGass[Room no.]=#REF!,dCAGass[Type]=#REF!)))"),"#N/A")</f>
        <v>#N/A</v>
      </c>
    </row>
    <row r="685">
      <c r="A685" s="99" t="str">
        <f>IFERROR(__xludf.DUMMYFUNCTION("transpose(unique(FILTER(dCAGass[Tag],dCAGass[Room no.]=#REF!,dCAGass[Type]=#REF!)))"),"#N/A")</f>
        <v>#N/A</v>
      </c>
    </row>
    <row r="686">
      <c r="A686" s="99" t="str">
        <f>IFERROR(__xludf.DUMMYFUNCTION("transpose(unique(FILTER(dCAGass[Tag],dCAGass[Room no.]=#REF!,dCAGass[Type]=#REF!)))"),"#N/A")</f>
        <v>#N/A</v>
      </c>
    </row>
    <row r="687">
      <c r="A687" s="99" t="str">
        <f>IFERROR(__xludf.DUMMYFUNCTION("transpose(unique(FILTER(dCAGass[Tag],dCAGass[Room no.]=#REF!,dCAGass[Type]=#REF!)))"),"#N/A")</f>
        <v>#N/A</v>
      </c>
    </row>
    <row r="688">
      <c r="A688" s="99" t="str">
        <f>IFERROR(__xludf.DUMMYFUNCTION("transpose(unique(FILTER(dCAGass[Tag],dCAGass[Room no.]=#REF!,dCAGass[Type]=#REF!)))"),"#N/A")</f>
        <v>#N/A</v>
      </c>
    </row>
    <row r="689">
      <c r="A689" s="99" t="str">
        <f>IFERROR(__xludf.DUMMYFUNCTION("transpose(unique(FILTER(dCAGass[Tag],dCAGass[Room no.]=#REF!,dCAGass[Type]=#REF!)))"),"#N/A")</f>
        <v>#N/A</v>
      </c>
    </row>
    <row r="690">
      <c r="A690" s="99" t="str">
        <f>IFERROR(__xludf.DUMMYFUNCTION("transpose(unique(FILTER(dCAGass[Tag],dCAGass[Room no.]=#REF!,dCAGass[Type]=#REF!)))"),"#N/A")</f>
        <v>#N/A</v>
      </c>
    </row>
    <row r="691">
      <c r="A691" s="99" t="str">
        <f>IFERROR(__xludf.DUMMYFUNCTION("transpose(unique(FILTER(dCAGass[Tag],dCAGass[Room no.]=#REF!,dCAGass[Type]=#REF!)))"),"#N/A")</f>
        <v>#N/A</v>
      </c>
    </row>
    <row r="692">
      <c r="A692" s="99" t="str">
        <f>IFERROR(__xludf.DUMMYFUNCTION("transpose(unique(FILTER(dCAGass[Tag],dCAGass[Room no.]=#REF!,dCAGass[Type]=#REF!)))"),"#N/A")</f>
        <v>#N/A</v>
      </c>
    </row>
    <row r="693">
      <c r="A693" s="99" t="str">
        <f>IFERROR(__xludf.DUMMYFUNCTION("transpose(unique(FILTER(dCAGass[Tag],dCAGass[Room no.]=#REF!,dCAGass[Type]=#REF!)))"),"#N/A")</f>
        <v>#N/A</v>
      </c>
    </row>
    <row r="694">
      <c r="A694" s="99" t="str">
        <f>IFERROR(__xludf.DUMMYFUNCTION("transpose(unique(FILTER(dCAGass[Tag],dCAGass[Room no.]=#REF!,dCAGass[Type]=#REF!)))"),"#N/A")</f>
        <v>#N/A</v>
      </c>
    </row>
    <row r="695">
      <c r="A695" s="99" t="str">
        <f>IFERROR(__xludf.DUMMYFUNCTION("transpose(unique(FILTER(dCAGass[Tag],dCAGass[Room no.]=#REF!,dCAGass[Type]=#REF!)))"),"#N/A")</f>
        <v>#N/A</v>
      </c>
    </row>
    <row r="696">
      <c r="A696" s="99" t="str">
        <f>IFERROR(__xludf.DUMMYFUNCTION("transpose(unique(FILTER(dCAGass[Tag],dCAGass[Room no.]=#REF!,dCAGass[Type]=#REF!)))"),"#N/A")</f>
        <v>#N/A</v>
      </c>
    </row>
    <row r="697">
      <c r="A697" s="99" t="str">
        <f>IFERROR(__xludf.DUMMYFUNCTION("transpose(unique(FILTER(dCAGass[Tag],dCAGass[Room no.]=#REF!,dCAGass[Type]=#REF!)))"),"#N/A")</f>
        <v>#N/A</v>
      </c>
    </row>
    <row r="698">
      <c r="A698" s="99" t="str">
        <f>IFERROR(__xludf.DUMMYFUNCTION("transpose(unique(FILTER(dCAGass[Tag],dCAGass[Room no.]=#REF!,dCAGass[Type]=#REF!)))"),"#N/A")</f>
        <v>#N/A</v>
      </c>
    </row>
    <row r="699">
      <c r="A699" s="99" t="str">
        <f>IFERROR(__xludf.DUMMYFUNCTION("transpose(unique(FILTER(dCAGass[Tag],dCAGass[Room no.]=#REF!,dCAGass[Type]=#REF!)))"),"#N/A")</f>
        <v>#N/A</v>
      </c>
    </row>
    <row r="700">
      <c r="A700" s="99" t="str">
        <f>IFERROR(__xludf.DUMMYFUNCTION("transpose(unique(FILTER(dCAGass[Tag],dCAGass[Room no.]=#REF!,dCAGass[Type]=#REF!)))"),"#N/A")</f>
        <v>#N/A</v>
      </c>
    </row>
    <row r="701">
      <c r="A701" s="99" t="str">
        <f>IFERROR(__xludf.DUMMYFUNCTION("transpose(unique(FILTER(dCAGass[Tag],dCAGass[Room no.]=#REF!,dCAGass[Type]=#REF!)))"),"#N/A")</f>
        <v>#N/A</v>
      </c>
    </row>
    <row r="702">
      <c r="A702" s="99" t="str">
        <f>IFERROR(__xludf.DUMMYFUNCTION("transpose(unique(FILTER(dCAGass[Tag],dCAGass[Room no.]=#REF!,dCAGass[Type]=#REF!)))"),"#N/A")</f>
        <v>#N/A</v>
      </c>
    </row>
    <row r="703">
      <c r="A703" s="99" t="str">
        <f>IFERROR(__xludf.DUMMYFUNCTION("transpose(unique(FILTER(dCAGass[Tag],dCAGass[Room no.]=#REF!,dCAGass[Type]=#REF!)))"),"#N/A")</f>
        <v>#N/A</v>
      </c>
    </row>
    <row r="704">
      <c r="A704" s="99" t="str">
        <f>IFERROR(__xludf.DUMMYFUNCTION("transpose(unique(FILTER(dCAGass[Tag],dCAGass[Room no.]=#REF!,dCAGass[Type]=#REF!)))"),"#N/A")</f>
        <v>#N/A</v>
      </c>
    </row>
    <row r="705">
      <c r="A705" s="99" t="str">
        <f>IFERROR(__xludf.DUMMYFUNCTION("transpose(unique(FILTER(dCAGass[Tag],dCAGass[Room no.]=#REF!,dCAGass[Type]=#REF!)))"),"#N/A")</f>
        <v>#N/A</v>
      </c>
    </row>
    <row r="706">
      <c r="A706" s="99" t="str">
        <f>IFERROR(__xludf.DUMMYFUNCTION("transpose(unique(FILTER(dCAGass[Tag],dCAGass[Room no.]=#REF!,dCAGass[Type]=#REF!)))"),"#N/A")</f>
        <v>#N/A</v>
      </c>
    </row>
    <row r="707">
      <c r="A707" s="99" t="str">
        <f>IFERROR(__xludf.DUMMYFUNCTION("transpose(unique(FILTER(dCAGass[Tag],dCAGass[Room no.]=#REF!,dCAGass[Type]=#REF!)))"),"#N/A")</f>
        <v>#N/A</v>
      </c>
    </row>
    <row r="708">
      <c r="A708" s="99" t="str">
        <f>IFERROR(__xludf.DUMMYFUNCTION("transpose(unique(FILTER(dCAGass[Tag],dCAGass[Room no.]=#REF!,dCAGass[Type]=#REF!)))"),"#N/A")</f>
        <v>#N/A</v>
      </c>
    </row>
    <row r="709">
      <c r="A709" s="99" t="str">
        <f>IFERROR(__xludf.DUMMYFUNCTION("transpose(unique(FILTER(dCAGass[Tag],dCAGass[Room no.]=#REF!,dCAGass[Type]=#REF!)))"),"#N/A")</f>
        <v>#N/A</v>
      </c>
    </row>
    <row r="710">
      <c r="A710" s="99" t="str">
        <f>IFERROR(__xludf.DUMMYFUNCTION("transpose(unique(FILTER(dCAGass[Tag],dCAGass[Room no.]=#REF!,dCAGass[Type]=#REF!)))"),"#N/A")</f>
        <v>#N/A</v>
      </c>
    </row>
    <row r="711">
      <c r="A711" s="99" t="str">
        <f>IFERROR(__xludf.DUMMYFUNCTION("transpose(unique(FILTER(dCAGass[Tag],dCAGass[Room no.]=#REF!,dCAGass[Type]=#REF!)))"),"#N/A")</f>
        <v>#N/A</v>
      </c>
    </row>
    <row r="712">
      <c r="A712" s="99" t="str">
        <f>IFERROR(__xludf.DUMMYFUNCTION("transpose(unique(FILTER(dCAGass[Tag],dCAGass[Room no.]=#REF!,dCAGass[Type]=#REF!)))"),"#N/A")</f>
        <v>#N/A</v>
      </c>
    </row>
    <row r="713">
      <c r="A713" s="99" t="str">
        <f>IFERROR(__xludf.DUMMYFUNCTION("transpose(unique(FILTER(dCAGass[Tag],dCAGass[Room no.]=#REF!,dCAGass[Type]=#REF!)))"),"#N/A")</f>
        <v>#N/A</v>
      </c>
    </row>
    <row r="714">
      <c r="A714" s="99" t="str">
        <f>IFERROR(__xludf.DUMMYFUNCTION("transpose(unique(FILTER(dCAGass[Tag],dCAGass[Room no.]=#REF!,dCAGass[Type]=#REF!)))"),"#N/A")</f>
        <v>#N/A</v>
      </c>
    </row>
    <row r="715">
      <c r="A715" s="99" t="str">
        <f>IFERROR(__xludf.DUMMYFUNCTION("transpose(unique(FILTER(dCAGass[Tag],dCAGass[Room no.]=#REF!,dCAGass[Type]=#REF!)))"),"#N/A")</f>
        <v>#N/A</v>
      </c>
    </row>
    <row r="716">
      <c r="A716" s="99" t="str">
        <f>IFERROR(__xludf.DUMMYFUNCTION("transpose(unique(FILTER(dCAGass[Tag],dCAGass[Room no.]=#REF!,dCAGass[Type]=#REF!)))"),"#N/A")</f>
        <v>#N/A</v>
      </c>
    </row>
    <row r="717">
      <c r="A717" s="99" t="str">
        <f>IFERROR(__xludf.DUMMYFUNCTION("transpose(unique(FILTER(dCAGass[Tag],dCAGass[Room no.]=#REF!,dCAGass[Type]=#REF!)))"),"#N/A")</f>
        <v>#N/A</v>
      </c>
    </row>
    <row r="718">
      <c r="A718" s="99" t="str">
        <f>IFERROR(__xludf.DUMMYFUNCTION("transpose(unique(FILTER(dCAGass[Tag],dCAGass[Room no.]=#REF!,dCAGass[Type]=#REF!)))"),"#N/A")</f>
        <v>#N/A</v>
      </c>
    </row>
    <row r="719">
      <c r="A719" s="99" t="str">
        <f>IFERROR(__xludf.DUMMYFUNCTION("transpose(unique(FILTER(dCAGass[Tag],dCAGass[Room no.]=#REF!,dCAGass[Type]=#REF!)))"),"#N/A")</f>
        <v>#N/A</v>
      </c>
    </row>
    <row r="720">
      <c r="A720" s="99" t="str">
        <f>IFERROR(__xludf.DUMMYFUNCTION("transpose(unique(FILTER(dCAGass[Tag],dCAGass[Room no.]=#REF!,dCAGass[Type]=#REF!)))"),"#N/A")</f>
        <v>#N/A</v>
      </c>
    </row>
    <row r="721">
      <c r="A721" s="99" t="str">
        <f>IFERROR(__xludf.DUMMYFUNCTION("transpose(unique(FILTER(dCAGass[Tag],dCAGass[Room no.]='records-CA Gass'!D85,dCAGass[Type]='records-CA Gass'!E85)))"),"#N/A")</f>
        <v>#N/A</v>
      </c>
    </row>
    <row r="722">
      <c r="A722" s="99" t="str">
        <f>IFERROR(__xludf.DUMMYFUNCTION("transpose(unique(FILTER(dCAGass[Tag],dCAGass[Room no.]='records-CA Gass'!D86,dCAGass[Type]='records-CA Gass'!E86)))"),"#N/A")</f>
        <v>#N/A</v>
      </c>
    </row>
    <row r="723">
      <c r="A723" s="99" t="str">
        <f>IFERROR(__xludf.DUMMYFUNCTION("transpose(unique(FILTER(dCAGass[Tag],dCAGass[Room no.]='records-CA Gass'!D87,dCAGass[Type]='records-CA Gass'!E87)))"),"#N/A")</f>
        <v>#N/A</v>
      </c>
    </row>
    <row r="724">
      <c r="A724" s="99" t="str">
        <f>IFERROR(__xludf.DUMMYFUNCTION("transpose(unique(FILTER(dCAGass[Tag],dCAGass[Room no.]='records-CA Gass'!D88,dCAGass[Type]='records-CA Gass'!E88)))"),"#N/A")</f>
        <v>#N/A</v>
      </c>
    </row>
    <row r="725">
      <c r="A725" s="99" t="str">
        <f>IFERROR(__xludf.DUMMYFUNCTION("transpose(unique(FILTER(dCAGass[Tag],dCAGass[Room no.]='records-CA Gass'!D89,dCAGass[Type]='records-CA Gass'!E89)))"),"#N/A")</f>
        <v>#N/A</v>
      </c>
    </row>
    <row r="726">
      <c r="A726" s="99" t="str">
        <f>IFERROR(__xludf.DUMMYFUNCTION("transpose(unique(FILTER(dCAGass[Tag],dCAGass[Room no.]='records-CA Gass'!D90,dCAGass[Type]='records-CA Gass'!E90)))"),"#N/A")</f>
        <v>#N/A</v>
      </c>
    </row>
    <row r="727">
      <c r="A727" s="99" t="str">
        <f>IFERROR(__xludf.DUMMYFUNCTION("transpose(unique(FILTER(dCAGass[Tag],dCAGass[Room no.]='records-CA Gass'!D91,dCAGass[Type]='records-CA Gass'!E91)))"),"#N/A")</f>
        <v>#N/A</v>
      </c>
    </row>
    <row r="728">
      <c r="A728" s="99" t="str">
        <f>IFERROR(__xludf.DUMMYFUNCTION("transpose(unique(FILTER(dCAGass[Tag],dCAGass[Room no.]='records-CA Gass'!D92,dCAGass[Type]='records-CA Gass'!E92)))"),"#N/A")</f>
        <v>#N/A</v>
      </c>
    </row>
    <row r="729">
      <c r="A729" s="99" t="str">
        <f>IFERROR(__xludf.DUMMYFUNCTION("transpose(unique(FILTER(dCAGass[Tag],dCAGass[Room no.]='records-CA Gass'!D93,dCAGass[Type]='records-CA Gass'!E93)))"),"#N/A")</f>
        <v>#N/A</v>
      </c>
    </row>
    <row r="730">
      <c r="A730" s="99" t="str">
        <f>IFERROR(__xludf.DUMMYFUNCTION("transpose(unique(FILTER(dCAGass[Tag],dCAGass[Room no.]='records-CA Gass'!D94,dCAGass[Type]='records-CA Gass'!E94)))"),"#N/A")</f>
        <v>#N/A</v>
      </c>
    </row>
    <row r="731">
      <c r="A731" s="99" t="str">
        <f>IFERROR(__xludf.DUMMYFUNCTION("transpose(unique(FILTER(dCAGass[Tag],dCAGass[Room no.]='records-CA Gass'!D95,dCAGass[Type]='records-CA Gass'!E95)))"),"#N/A")</f>
        <v>#N/A</v>
      </c>
    </row>
    <row r="732">
      <c r="A732" s="99" t="str">
        <f>IFERROR(__xludf.DUMMYFUNCTION("transpose(unique(FILTER(dCAGass[Tag],dCAGass[Room no.]='records-CA Gass'!D96,dCAGass[Type]='records-CA Gass'!E96)))"),"#N/A")</f>
        <v>#N/A</v>
      </c>
    </row>
    <row r="733">
      <c r="A733" s="99" t="str">
        <f>IFERROR(__xludf.DUMMYFUNCTION("transpose(unique(FILTER(dCAGass[Tag],dCAGass[Room no.]='records-CA Gass'!D97,dCAGass[Type]='records-CA Gass'!E97)))"),"#N/A")</f>
        <v>#N/A</v>
      </c>
    </row>
    <row r="734">
      <c r="A734" s="99" t="str">
        <f>IFERROR(__xludf.DUMMYFUNCTION("transpose(unique(FILTER(dCAGass[Tag],dCAGass[Room no.]='records-CA Gass'!D98,dCAGass[Type]='records-CA Gass'!E98)))"),"#N/A")</f>
        <v>#N/A</v>
      </c>
    </row>
    <row r="735">
      <c r="A735" s="99" t="str">
        <f>IFERROR(__xludf.DUMMYFUNCTION("transpose(unique(FILTER(dCAGass[Tag],dCAGass[Room no.]='records-CA Gass'!D99,dCAGass[Type]='records-CA Gass'!E99)))"),"#N/A")</f>
        <v>#N/A</v>
      </c>
    </row>
    <row r="736">
      <c r="A736" s="99" t="str">
        <f>IFERROR(__xludf.DUMMYFUNCTION("transpose(unique(FILTER(dCAGass[Tag],dCAGass[Room no.]='records-CA Gass'!D100,dCAGass[Type]='records-CA Gass'!E100)))"),"#N/A")</f>
        <v>#N/A</v>
      </c>
    </row>
    <row r="737">
      <c r="A737" s="99" t="str">
        <f>IFERROR(__xludf.DUMMYFUNCTION("transpose(unique(FILTER(dCAGass[Tag],dCAGass[Room no.]='records-CA Gass'!D101,dCAGass[Type]='records-CA Gass'!E101)))"),"#N/A")</f>
        <v>#N/A</v>
      </c>
    </row>
    <row r="738">
      <c r="A738" s="99" t="str">
        <f>IFERROR(__xludf.DUMMYFUNCTION("transpose(unique(FILTER(dCAGass[Tag],dCAGass[Room no.]='records-CA Gass'!D102,dCAGass[Type]='records-CA Gass'!E102)))"),"#N/A")</f>
        <v>#N/A</v>
      </c>
    </row>
    <row r="739">
      <c r="A739" s="99" t="str">
        <f>IFERROR(__xludf.DUMMYFUNCTION("transpose(unique(FILTER(dCAGass[Tag],dCAGass[Room no.]='records-CA Gass'!D103,dCAGass[Type]='records-CA Gass'!E103)))"),"#N/A")</f>
        <v>#N/A</v>
      </c>
    </row>
    <row r="740">
      <c r="A740" s="99" t="str">
        <f>IFERROR(__xludf.DUMMYFUNCTION("transpose(unique(FILTER(dCAGass[Tag],dCAGass[Room no.]='records-CA Gass'!D104,dCAGass[Type]='records-CA Gass'!E104)))"),"#N/A")</f>
        <v>#N/A</v>
      </c>
    </row>
    <row r="741">
      <c r="A741" s="99" t="str">
        <f>IFERROR(__xludf.DUMMYFUNCTION("transpose(unique(FILTER(dCAGass[Tag],dCAGass[Room no.]='records-CA Gass'!D105,dCAGass[Type]='records-CA Gass'!E105)))"),"#N/A")</f>
        <v>#N/A</v>
      </c>
    </row>
    <row r="742">
      <c r="A742" s="99" t="str">
        <f>IFERROR(__xludf.DUMMYFUNCTION("transpose(unique(FILTER(dCAGass[Tag],dCAGass[Room no.]='records-CA Gass'!D106,dCAGass[Type]='records-CA Gass'!E106)))"),"#N/A")</f>
        <v>#N/A</v>
      </c>
    </row>
    <row r="743">
      <c r="A743" s="99" t="str">
        <f>IFERROR(__xludf.DUMMYFUNCTION("transpose(unique(FILTER(dCAGass[Tag],dCAGass[Room no.]='records-CA Gass'!D107,dCAGass[Type]='records-CA Gass'!E107)))"),"#N/A")</f>
        <v>#N/A</v>
      </c>
    </row>
    <row r="744">
      <c r="A744" s="99" t="str">
        <f>IFERROR(__xludf.DUMMYFUNCTION("transpose(unique(FILTER(dCAGass[Tag],dCAGass[Room no.]='records-CA Gass'!D108,dCAGass[Type]='records-CA Gass'!E108)))"),"#N/A")</f>
        <v>#N/A</v>
      </c>
    </row>
    <row r="745">
      <c r="A745" s="99" t="str">
        <f>IFERROR(__xludf.DUMMYFUNCTION("transpose(unique(FILTER(dCAGass[Tag],dCAGass[Room no.]='records-CA Gass'!D109,dCAGass[Type]='records-CA Gass'!E109)))"),"#N/A")</f>
        <v>#N/A</v>
      </c>
    </row>
    <row r="746">
      <c r="A746" s="99" t="str">
        <f>IFERROR(__xludf.DUMMYFUNCTION("transpose(unique(FILTER(dCAGass[Tag],dCAGass[Room no.]='records-CA Gass'!D110,dCAGass[Type]='records-CA Gass'!E110)))"),"#N/A")</f>
        <v>#N/A</v>
      </c>
    </row>
    <row r="747">
      <c r="A747" s="99" t="str">
        <f>IFERROR(__xludf.DUMMYFUNCTION("transpose(unique(FILTER(dCAGass[Tag],dCAGass[Room no.]='records-CA Gass'!D111,dCAGass[Type]='records-CA Gass'!E111)))"),"#N/A")</f>
        <v>#N/A</v>
      </c>
    </row>
    <row r="748">
      <c r="A748" s="99" t="str">
        <f>IFERROR(__xludf.DUMMYFUNCTION("transpose(unique(FILTER(dCAGass[Tag],dCAGass[Room no.]='records-CA Gass'!D112,dCAGass[Type]='records-CA Gass'!E112)))"),"#N/A")</f>
        <v>#N/A</v>
      </c>
    </row>
    <row r="749">
      <c r="A749" s="99" t="str">
        <f>IFERROR(__xludf.DUMMYFUNCTION("transpose(unique(FILTER(dCAGass[Tag],dCAGass[Room no.]='records-CA Gass'!D113,dCAGass[Type]='records-CA Gass'!E113)))"),"#N/A")</f>
        <v>#N/A</v>
      </c>
    </row>
    <row r="750">
      <c r="A750" s="99" t="str">
        <f>IFERROR(__xludf.DUMMYFUNCTION("transpose(unique(FILTER(dCAGass[Tag],dCAGass[Room no.]='records-CA Gass'!D114,dCAGass[Type]='records-CA Gass'!E114)))"),"#N/A")</f>
        <v>#N/A</v>
      </c>
    </row>
    <row r="751">
      <c r="A751" s="99" t="str">
        <f>IFERROR(__xludf.DUMMYFUNCTION("transpose(unique(FILTER(dCAGass[Tag],dCAGass[Room no.]='records-CA Gass'!D115,dCAGass[Type]='records-CA Gass'!E115)))"),"#N/A")</f>
        <v>#N/A</v>
      </c>
    </row>
    <row r="752">
      <c r="A752" s="99" t="str">
        <f>IFERROR(__xludf.DUMMYFUNCTION("transpose(unique(FILTER(dCAGass[Tag],dCAGass[Room no.]='records-CA Gass'!D116,dCAGass[Type]='records-CA Gass'!E116)))"),"#N/A")</f>
        <v>#N/A</v>
      </c>
    </row>
    <row r="753">
      <c r="A753" s="99" t="str">
        <f>IFERROR(__xludf.DUMMYFUNCTION("transpose(unique(FILTER(dCAGass[Tag],dCAGass[Room no.]='records-CA Gass'!D117,dCAGass[Type]='records-CA Gass'!E117)))"),"#N/A")</f>
        <v>#N/A</v>
      </c>
    </row>
    <row r="754">
      <c r="A754" s="99" t="str">
        <f>IFERROR(__xludf.DUMMYFUNCTION("transpose(unique(FILTER(dCAGass[Tag],dCAGass[Room no.]='records-CA Gass'!D118,dCAGass[Type]='records-CA Gass'!E118)))"),"#N/A")</f>
        <v>#N/A</v>
      </c>
    </row>
    <row r="755">
      <c r="A755" s="99" t="str">
        <f>IFERROR(__xludf.DUMMYFUNCTION("transpose(unique(FILTER(dCAGass[Tag],dCAGass[Room no.]='records-CA Gass'!D119,dCAGass[Type]='records-CA Gass'!E119)))"),"#N/A")</f>
        <v>#N/A</v>
      </c>
    </row>
    <row r="756">
      <c r="A756" s="99" t="str">
        <f>IFERROR(__xludf.DUMMYFUNCTION("transpose(unique(FILTER(dCAGass[Tag],dCAGass[Room no.]='records-CA Gass'!D120,dCAGass[Type]='records-CA Gass'!E120)))"),"#N/A")</f>
        <v>#N/A</v>
      </c>
    </row>
    <row r="757">
      <c r="A757" s="99" t="str">
        <f>IFERROR(__xludf.DUMMYFUNCTION("transpose(unique(FILTER(dCAGass[Tag],dCAGass[Room no.]='records-CA Gass'!D121,dCAGass[Type]='records-CA Gass'!E121)))"),"#N/A")</f>
        <v>#N/A</v>
      </c>
    </row>
    <row r="758">
      <c r="A758" s="99" t="str">
        <f>IFERROR(__xludf.DUMMYFUNCTION("transpose(unique(FILTER(dCAGass[Tag],dCAGass[Room no.]='records-CA Gass'!D122,dCAGass[Type]='records-CA Gass'!E122)))"),"#N/A")</f>
        <v>#N/A</v>
      </c>
    </row>
    <row r="759">
      <c r="A759" s="99" t="str">
        <f>IFERROR(__xludf.DUMMYFUNCTION("transpose(unique(FILTER(dCAGass[Tag],dCAGass[Room no.]='records-CA Gass'!D123,dCAGass[Type]='records-CA Gass'!E123)))"),"#N/A")</f>
        <v>#N/A</v>
      </c>
    </row>
    <row r="760">
      <c r="A760" s="99" t="str">
        <f>IFERROR(__xludf.DUMMYFUNCTION("transpose(unique(FILTER(dCAGass[Tag],dCAGass[Room no.]='records-CA Gass'!D124,dCAGass[Type]='records-CA Gass'!E124)))"),"#N/A")</f>
        <v>#N/A</v>
      </c>
    </row>
    <row r="761">
      <c r="A761" s="99" t="str">
        <f>IFERROR(__xludf.DUMMYFUNCTION("transpose(unique(FILTER(dCAGass[Tag],dCAGass[Room no.]='records-CA Gass'!D125,dCAGass[Type]='records-CA Gass'!E125)))"),"#N/A")</f>
        <v>#N/A</v>
      </c>
    </row>
    <row r="762">
      <c r="A762" s="99" t="str">
        <f>IFERROR(__xludf.DUMMYFUNCTION("transpose(unique(FILTER(dCAGass[Tag],dCAGass[Room no.]='records-CA Gass'!D126,dCAGass[Type]='records-CA Gass'!E126)))"),"#N/A")</f>
        <v>#N/A</v>
      </c>
    </row>
    <row r="763">
      <c r="A763" s="99" t="str">
        <f>IFERROR(__xludf.DUMMYFUNCTION("transpose(unique(FILTER(dCAGass[Tag],dCAGass[Room no.]='records-CA Gass'!D127,dCAGass[Type]='records-CA Gass'!E127)))"),"#N/A")</f>
        <v>#N/A</v>
      </c>
    </row>
    <row r="764">
      <c r="A764" s="99" t="str">
        <f>IFERROR(__xludf.DUMMYFUNCTION("transpose(unique(FILTER(dCAGass[Tag],dCAGass[Room no.]='records-CA Gass'!D128,dCAGass[Type]='records-CA Gass'!E128)))"),"#N/A")</f>
        <v>#N/A</v>
      </c>
    </row>
    <row r="765">
      <c r="A765" s="99" t="str">
        <f>IFERROR(__xludf.DUMMYFUNCTION("transpose(unique(FILTER(dCAGass[Tag],dCAGass[Room no.]='records-CA Gass'!D129,dCAGass[Type]='records-CA Gass'!E129)))"),"#N/A")</f>
        <v>#N/A</v>
      </c>
    </row>
    <row r="766">
      <c r="A766" s="99" t="str">
        <f>IFERROR(__xludf.DUMMYFUNCTION("transpose(unique(FILTER(dCAGass[Tag],dCAGass[Room no.]='records-CA Gass'!D130,dCAGass[Type]='records-CA Gass'!E130)))"),"#N/A")</f>
        <v>#N/A</v>
      </c>
    </row>
    <row r="767">
      <c r="A767" s="99" t="str">
        <f>IFERROR(__xludf.DUMMYFUNCTION("transpose(unique(FILTER(dCAGass[Tag],dCAGass[Room no.]='records-CA Gass'!D131,dCAGass[Type]='records-CA Gass'!E131)))"),"#N/A")</f>
        <v>#N/A</v>
      </c>
    </row>
    <row r="768">
      <c r="A768" s="99" t="str">
        <f>IFERROR(__xludf.DUMMYFUNCTION("transpose(unique(FILTER(dCAGass[Tag],dCAGass[Room no.]='records-CA Gass'!D132,dCAGass[Type]='records-CA Gass'!E132)))"),"#N/A")</f>
        <v>#N/A</v>
      </c>
    </row>
    <row r="769">
      <c r="A769" s="99" t="str">
        <f>IFERROR(__xludf.DUMMYFUNCTION("transpose(unique(FILTER(dCAGass[Tag],dCAGass[Room no.]='records-CA Gass'!D133,dCAGass[Type]='records-CA Gass'!E133)))"),"#N/A")</f>
        <v>#N/A</v>
      </c>
    </row>
    <row r="770">
      <c r="A770" s="99" t="str">
        <f>IFERROR(__xludf.DUMMYFUNCTION("transpose(unique(FILTER(dCAGass[Tag],dCAGass[Room no.]='records-CA Gass'!D134,dCAGass[Type]='records-CA Gass'!E134)))"),"#N/A")</f>
        <v>#N/A</v>
      </c>
    </row>
    <row r="771">
      <c r="A771" s="99" t="str">
        <f>IFERROR(__xludf.DUMMYFUNCTION("transpose(unique(FILTER(dCAGass[Tag],dCAGass[Room no.]='records-CA Gass'!D135,dCAGass[Type]='records-CA Gass'!E135)))"),"#N/A")</f>
        <v>#N/A</v>
      </c>
    </row>
    <row r="772">
      <c r="A772" s="99" t="str">
        <f>IFERROR(__xludf.DUMMYFUNCTION("transpose(unique(FILTER(dCAGass[Tag],dCAGass[Room no.]='records-CA Gass'!D136,dCAGass[Type]='records-CA Gass'!E136)))"),"#N/A")</f>
        <v>#N/A</v>
      </c>
    </row>
    <row r="773">
      <c r="A773" s="99" t="str">
        <f>IFERROR(__xludf.DUMMYFUNCTION("transpose(unique(FILTER(dCAGass[Tag],dCAGass[Room no.]='records-CA Gass'!D137,dCAGass[Type]='records-CA Gass'!E137)))"),"#N/A")</f>
        <v>#N/A</v>
      </c>
    </row>
    <row r="774">
      <c r="A774" s="99" t="str">
        <f>IFERROR(__xludf.DUMMYFUNCTION("transpose(unique(FILTER(dCAGass[Tag],dCAGass[Room no.]='records-CA Gass'!D138,dCAGass[Type]='records-CA Gass'!E138)))"),"#N/A")</f>
        <v>#N/A</v>
      </c>
    </row>
    <row r="775">
      <c r="A775" s="99" t="str">
        <f>IFERROR(__xludf.DUMMYFUNCTION("transpose(unique(FILTER(dCAGass[Tag],dCAGass[Room no.]='records-CA Gass'!D139,dCAGass[Type]='records-CA Gass'!E139)))"),"#N/A")</f>
        <v>#N/A</v>
      </c>
    </row>
    <row r="776">
      <c r="A776" s="99" t="str">
        <f>IFERROR(__xludf.DUMMYFUNCTION("transpose(unique(FILTER(dCAGass[Tag],dCAGass[Room no.]='records-CA Gass'!D140,dCAGass[Type]='records-CA Gass'!E140)))"),"#N/A")</f>
        <v>#N/A</v>
      </c>
    </row>
    <row r="777">
      <c r="A777" s="99" t="str">
        <f>IFERROR(__xludf.DUMMYFUNCTION("transpose(unique(FILTER(dCAGass[Tag],dCAGass[Room no.]='records-CA Gass'!D141,dCAGass[Type]='records-CA Gass'!E141)))"),"#N/A")</f>
        <v>#N/A</v>
      </c>
    </row>
    <row r="778">
      <c r="A778" s="99" t="str">
        <f>IFERROR(__xludf.DUMMYFUNCTION("transpose(unique(FILTER(dCAGass[Tag],dCAGass[Room no.]='records-CA Gass'!D142,dCAGass[Type]='records-CA Gass'!E142)))"),"#N/A")</f>
        <v>#N/A</v>
      </c>
    </row>
    <row r="779">
      <c r="A779" s="99" t="str">
        <f>IFERROR(__xludf.DUMMYFUNCTION("transpose(unique(FILTER(dCAGass[Tag],dCAGass[Room no.]='records-CA Gass'!D143,dCAGass[Type]='records-CA Gass'!E143)))"),"#N/A")</f>
        <v>#N/A</v>
      </c>
    </row>
    <row r="780">
      <c r="A780" s="99" t="str">
        <f>IFERROR(__xludf.DUMMYFUNCTION("transpose(unique(FILTER(dCAGass[Tag],dCAGass[Room no.]='records-CA Gass'!D144,dCAGass[Type]='records-CA Gass'!E144)))"),"#N/A")</f>
        <v>#N/A</v>
      </c>
    </row>
    <row r="781">
      <c r="A781" s="99" t="str">
        <f>IFERROR(__xludf.DUMMYFUNCTION("transpose(unique(FILTER(dCAGass[Tag],dCAGass[Room no.]='records-CA Gass'!D145,dCAGass[Type]='records-CA Gass'!E145)))"),"#N/A")</f>
        <v>#N/A</v>
      </c>
    </row>
    <row r="782">
      <c r="A782" s="99" t="str">
        <f>IFERROR(__xludf.DUMMYFUNCTION("transpose(unique(FILTER(dCAGass[Tag],dCAGass[Room no.]='records-CA Gass'!D146,dCAGass[Type]='records-CA Gass'!E146)))"),"#N/A")</f>
        <v>#N/A</v>
      </c>
    </row>
    <row r="783">
      <c r="A783" s="99" t="str">
        <f>IFERROR(__xludf.DUMMYFUNCTION("transpose(unique(FILTER(dCAGass[Tag],dCAGass[Room no.]='records-CA Gass'!D147,dCAGass[Type]='records-CA Gass'!E147)))"),"#N/A")</f>
        <v>#N/A</v>
      </c>
    </row>
    <row r="784">
      <c r="A784" s="99" t="str">
        <f>IFERROR(__xludf.DUMMYFUNCTION("transpose(unique(FILTER(dCAGass[Tag],dCAGass[Room no.]='records-CA Gass'!D148,dCAGass[Type]='records-CA Gass'!E148)))"),"#N/A")</f>
        <v>#N/A</v>
      </c>
    </row>
    <row r="785">
      <c r="A785" s="99" t="str">
        <f>IFERROR(__xludf.DUMMYFUNCTION("transpose(unique(FILTER(dCAGass[Tag],dCAGass[Room no.]='records-CA Gass'!D149,dCAGass[Type]='records-CA Gass'!E149)))"),"#N/A")</f>
        <v>#N/A</v>
      </c>
    </row>
    <row r="786">
      <c r="A786" s="99" t="str">
        <f>IFERROR(__xludf.DUMMYFUNCTION("transpose(unique(FILTER(dCAGass[Tag],dCAGass[Room no.]='records-CA Gass'!D150,dCAGass[Type]='records-CA Gass'!E150)))"),"#N/A")</f>
        <v>#N/A</v>
      </c>
    </row>
    <row r="787">
      <c r="A787" s="99" t="str">
        <f>IFERROR(__xludf.DUMMYFUNCTION("transpose(unique(FILTER(dCAGass[Tag],dCAGass[Room no.]='records-CA Gass'!D151,dCAGass[Type]='records-CA Gass'!E151)))"),"#N/A")</f>
        <v>#N/A</v>
      </c>
    </row>
    <row r="788">
      <c r="A788" s="99" t="str">
        <f>IFERROR(__xludf.DUMMYFUNCTION("transpose(unique(FILTER(dCAGass[Tag],dCAGass[Room no.]='records-CA Gass'!D152,dCAGass[Type]='records-CA Gass'!E152)))"),"#N/A")</f>
        <v>#N/A</v>
      </c>
    </row>
    <row r="789">
      <c r="A789" s="99" t="str">
        <f>IFERROR(__xludf.DUMMYFUNCTION("transpose(unique(FILTER(dCAGass[Tag],dCAGass[Room no.]='records-CA Gass'!D153,dCAGass[Type]='records-CA Gass'!E153)))"),"#N/A")</f>
        <v>#N/A</v>
      </c>
    </row>
    <row r="790">
      <c r="A790" s="99" t="str">
        <f>IFERROR(__xludf.DUMMYFUNCTION("transpose(unique(FILTER(dCAGass[Tag],dCAGass[Room no.]='records-CA Gass'!D154,dCAGass[Type]='records-CA Gass'!E154)))"),"#N/A")</f>
        <v>#N/A</v>
      </c>
    </row>
    <row r="791">
      <c r="A791" s="99" t="str">
        <f>IFERROR(__xludf.DUMMYFUNCTION("transpose(unique(FILTER(dCAGass[Tag],dCAGass[Room no.]='records-CA Gass'!D155,dCAGass[Type]='records-CA Gass'!E155)))"),"#N/A")</f>
        <v>#N/A</v>
      </c>
    </row>
    <row r="792">
      <c r="A792" s="99" t="str">
        <f>IFERROR(__xludf.DUMMYFUNCTION("transpose(unique(FILTER(dCAGass[Tag],dCAGass[Room no.]='records-CA Gass'!D156,dCAGass[Type]='records-CA Gass'!E156)))"),"#N/A")</f>
        <v>#N/A</v>
      </c>
    </row>
    <row r="793">
      <c r="A793" s="99" t="str">
        <f>IFERROR(__xludf.DUMMYFUNCTION("transpose(unique(FILTER(dCAGass[Tag],dCAGass[Room no.]='records-CA Gass'!D157,dCAGass[Type]='records-CA Gass'!E157)))"),"#N/A")</f>
        <v>#N/A</v>
      </c>
    </row>
    <row r="794">
      <c r="A794" s="99" t="str">
        <f>IFERROR(__xludf.DUMMYFUNCTION("transpose(unique(FILTER(dCAGass[Tag],dCAGass[Room no.]='records-CA Gass'!D158,dCAGass[Type]='records-CA Gass'!E158)))"),"#N/A")</f>
        <v>#N/A</v>
      </c>
    </row>
    <row r="795">
      <c r="A795" s="99" t="str">
        <f>IFERROR(__xludf.DUMMYFUNCTION("transpose(unique(FILTER(dCAGass[Tag],dCAGass[Room no.]='records-CA Gass'!D159,dCAGass[Type]='records-CA Gass'!E159)))"),"#N/A")</f>
        <v>#N/A</v>
      </c>
    </row>
    <row r="796">
      <c r="A796" s="99" t="str">
        <f>IFERROR(__xludf.DUMMYFUNCTION("transpose(unique(FILTER(dCAGass[Tag],dCAGass[Room no.]='records-CA Gass'!D160,dCAGass[Type]='records-CA Gass'!E160)))"),"#N/A")</f>
        <v>#N/A</v>
      </c>
    </row>
    <row r="797">
      <c r="A797" s="99" t="str">
        <f>IFERROR(__xludf.DUMMYFUNCTION("transpose(unique(FILTER(dCAGass[Tag],dCAGass[Room no.]='records-CA Gass'!D161,dCAGass[Type]='records-CA Gass'!E161)))"),"#N/A")</f>
        <v>#N/A</v>
      </c>
    </row>
    <row r="798">
      <c r="A798" s="99" t="str">
        <f>IFERROR(__xludf.DUMMYFUNCTION("transpose(unique(FILTER(dCAGass[Tag],dCAGass[Room no.]='records-CA Gass'!D162,dCAGass[Type]='records-CA Gass'!E162)))"),"#N/A")</f>
        <v>#N/A</v>
      </c>
    </row>
    <row r="799">
      <c r="A799" s="99" t="str">
        <f>IFERROR(__xludf.DUMMYFUNCTION("transpose(unique(FILTER(dCAGass[Tag],dCAGass[Room no.]='records-CA Gass'!D163,dCAGass[Type]='records-CA Gass'!E163)))"),"#N/A")</f>
        <v>#N/A</v>
      </c>
    </row>
    <row r="800">
      <c r="A800" s="99" t="str">
        <f>IFERROR(__xludf.DUMMYFUNCTION("transpose(unique(FILTER(dCAGass[Tag],dCAGass[Room no.]='records-CA Gass'!D164,dCAGass[Type]='records-CA Gass'!E164)))"),"#N/A")</f>
        <v>#N/A</v>
      </c>
    </row>
    <row r="801">
      <c r="A801" s="99" t="str">
        <f>IFERROR(__xludf.DUMMYFUNCTION("transpose(unique(FILTER(dCAGass[Tag],dCAGass[Room no.]='records-CA Gass'!D165,dCAGass[Type]='records-CA Gass'!E165)))"),"#N/A")</f>
        <v>#N/A</v>
      </c>
    </row>
    <row r="802">
      <c r="A802" s="99" t="str">
        <f>IFERROR(__xludf.DUMMYFUNCTION("transpose(unique(FILTER(dCAGass[Tag],dCAGass[Room no.]='records-CA Gass'!D166,dCAGass[Type]='records-CA Gass'!E166)))"),"#N/A")</f>
        <v>#N/A</v>
      </c>
    </row>
    <row r="803">
      <c r="A803" s="99" t="str">
        <f>IFERROR(__xludf.DUMMYFUNCTION("transpose(unique(FILTER(dCAGass[Tag],dCAGass[Room no.]='records-CA Gass'!D167,dCAGass[Type]='records-CA Gass'!E167)))"),"#N/A")</f>
        <v>#N/A</v>
      </c>
    </row>
    <row r="804">
      <c r="A804" s="99" t="str">
        <f>IFERROR(__xludf.DUMMYFUNCTION("transpose(unique(FILTER(dCAGass[Tag],dCAGass[Room no.]='records-CA Gass'!D168,dCAGass[Type]='records-CA Gass'!E168)))"),"#N/A")</f>
        <v>#N/A</v>
      </c>
    </row>
    <row r="805">
      <c r="A805" s="99" t="str">
        <f>IFERROR(__xludf.DUMMYFUNCTION("transpose(unique(FILTER(dCAGass[Tag],dCAGass[Room no.]='records-CA Gass'!D169,dCAGass[Type]='records-CA Gass'!E169)))"),"#N/A")</f>
        <v>#N/A</v>
      </c>
    </row>
    <row r="806">
      <c r="A806" s="99" t="str">
        <f>IFERROR(__xludf.DUMMYFUNCTION("transpose(unique(FILTER(dCAGass[Tag],dCAGass[Room no.]='records-CA Gass'!D170,dCAGass[Type]='records-CA Gass'!E170)))"),"#N/A")</f>
        <v>#N/A</v>
      </c>
    </row>
    <row r="807">
      <c r="A807" s="99" t="str">
        <f>IFERROR(__xludf.DUMMYFUNCTION("transpose(unique(FILTER(dCAGass[Tag],dCAGass[Room no.]='records-CA Gass'!D171,dCAGass[Type]='records-CA Gass'!E171)))"),"#N/A")</f>
        <v>#N/A</v>
      </c>
    </row>
    <row r="808">
      <c r="A808" s="99" t="str">
        <f>IFERROR(__xludf.DUMMYFUNCTION("transpose(unique(FILTER(dCAGass[Tag],dCAGass[Room no.]='records-CA Gass'!D172,dCAGass[Type]='records-CA Gass'!E172)))"),"#N/A")</f>
        <v>#N/A</v>
      </c>
    </row>
    <row r="809">
      <c r="A809" s="99" t="str">
        <f>IFERROR(__xludf.DUMMYFUNCTION("transpose(unique(FILTER(dCAGass[Tag],dCAGass[Room no.]='records-CA Gass'!D173,dCAGass[Type]='records-CA Gass'!E173)))"),"#N/A")</f>
        <v>#N/A</v>
      </c>
    </row>
    <row r="810">
      <c r="A810" s="99" t="str">
        <f>IFERROR(__xludf.DUMMYFUNCTION("transpose(unique(FILTER(dCAGass[Tag],dCAGass[Room no.]='records-CA Gass'!D174,dCAGass[Type]='records-CA Gass'!E174)))"),"#N/A")</f>
        <v>#N/A</v>
      </c>
    </row>
    <row r="811">
      <c r="A811" s="99" t="str">
        <f>IFERROR(__xludf.DUMMYFUNCTION("transpose(unique(FILTER(dCAGass[Tag],dCAGass[Room no.]='records-CA Gass'!D175,dCAGass[Type]='records-CA Gass'!E175)))"),"#N/A")</f>
        <v>#N/A</v>
      </c>
    </row>
    <row r="812">
      <c r="A812" s="99" t="str">
        <f>IFERROR(__xludf.DUMMYFUNCTION("transpose(unique(FILTER(dCAGass[Tag],dCAGass[Room no.]='records-CA Gass'!D176,dCAGass[Type]='records-CA Gass'!E176)))"),"#N/A")</f>
        <v>#N/A</v>
      </c>
    </row>
    <row r="813">
      <c r="A813" s="99" t="str">
        <f>IFERROR(__xludf.DUMMYFUNCTION("transpose(unique(FILTER(dCAGass[Tag],dCAGass[Room no.]='records-CA Gass'!D177,dCAGass[Type]='records-CA Gass'!E177)))"),"#N/A")</f>
        <v>#N/A</v>
      </c>
    </row>
    <row r="814">
      <c r="A814" s="99" t="str">
        <f>IFERROR(__xludf.DUMMYFUNCTION("transpose(unique(FILTER(dCAGass[Tag],dCAGass[Room no.]='records-CA Gass'!D178,dCAGass[Type]='records-CA Gass'!E178)))"),"#N/A")</f>
        <v>#N/A</v>
      </c>
    </row>
    <row r="815">
      <c r="A815" s="99" t="str">
        <f>IFERROR(__xludf.DUMMYFUNCTION("transpose(unique(FILTER(dCAGass[Tag],dCAGass[Room no.]='records-CA Gass'!D179,dCAGass[Type]='records-CA Gass'!E179)))"),"#N/A")</f>
        <v>#N/A</v>
      </c>
    </row>
    <row r="816">
      <c r="A816" s="99" t="str">
        <f>IFERROR(__xludf.DUMMYFUNCTION("transpose(unique(FILTER(dCAGass[Tag],dCAGass[Room no.]='records-CA Gass'!D180,dCAGass[Type]='records-CA Gass'!E180)))"),"#N/A")</f>
        <v>#N/A</v>
      </c>
    </row>
    <row r="817">
      <c r="A817" s="99" t="str">
        <f>IFERROR(__xludf.DUMMYFUNCTION("transpose(unique(FILTER(dCAGass[Tag],dCAGass[Room no.]='records-CA Gass'!D181,dCAGass[Type]='records-CA Gass'!E181)))"),"#N/A")</f>
        <v>#N/A</v>
      </c>
    </row>
    <row r="818">
      <c r="A818" s="99" t="str">
        <f>IFERROR(__xludf.DUMMYFUNCTION("transpose(unique(FILTER(dCAGass[Tag],dCAGass[Room no.]='records-CA Gass'!D182,dCAGass[Type]='records-CA Gass'!E182)))"),"#N/A")</f>
        <v>#N/A</v>
      </c>
    </row>
    <row r="819">
      <c r="A819" s="99" t="str">
        <f>IFERROR(__xludf.DUMMYFUNCTION("transpose(unique(FILTER(dCAGass[Tag],dCAGass[Room no.]='records-CA Gass'!D183,dCAGass[Type]='records-CA Gass'!E183)))"),"#N/A")</f>
        <v>#N/A</v>
      </c>
    </row>
    <row r="820">
      <c r="A820" s="99" t="str">
        <f>IFERROR(__xludf.DUMMYFUNCTION("transpose(unique(FILTER(dCAGass[Tag],dCAGass[Room no.]='records-CA Gass'!D184,dCAGass[Type]='records-CA Gass'!E184)))"),"#N/A")</f>
        <v>#N/A</v>
      </c>
    </row>
    <row r="821">
      <c r="A821" s="99" t="str">
        <f>IFERROR(__xludf.DUMMYFUNCTION("transpose(unique(FILTER(dCAGass[Tag],dCAGass[Room no.]='records-CA Gass'!D185,dCAGass[Type]='records-CA Gass'!E185)))"),"#N/A")</f>
        <v>#N/A</v>
      </c>
    </row>
    <row r="822">
      <c r="A822" s="99" t="str">
        <f>IFERROR(__xludf.DUMMYFUNCTION("transpose(unique(FILTER(dCAGass[Tag],dCAGass[Room no.]='records-CA Gass'!D186,dCAGass[Type]='records-CA Gass'!E186)))"),"#N/A")</f>
        <v>#N/A</v>
      </c>
    </row>
    <row r="823">
      <c r="A823" s="99" t="str">
        <f>IFERROR(__xludf.DUMMYFUNCTION("transpose(unique(FILTER(dCAGass[Tag],dCAGass[Room no.]='records-CA Gass'!D187,dCAGass[Type]='records-CA Gass'!E187)))"),"#N/A")</f>
        <v>#N/A</v>
      </c>
    </row>
    <row r="824">
      <c r="A824" s="99" t="str">
        <f>IFERROR(__xludf.DUMMYFUNCTION("transpose(unique(FILTER(dCAGass[Tag],dCAGass[Room no.]='records-CA Gass'!D188,dCAGass[Type]='records-CA Gass'!E188)))"),"#N/A")</f>
        <v>#N/A</v>
      </c>
    </row>
    <row r="825">
      <c r="A825" s="99" t="str">
        <f>IFERROR(__xludf.DUMMYFUNCTION("transpose(unique(FILTER(dCAGass[Tag],dCAGass[Room no.]='records-CA Gass'!D189,dCAGass[Type]='records-CA Gass'!E189)))"),"#N/A")</f>
        <v>#N/A</v>
      </c>
    </row>
    <row r="826">
      <c r="A826" s="99" t="str">
        <f>IFERROR(__xludf.DUMMYFUNCTION("transpose(unique(FILTER(dCAGass[Tag],dCAGass[Room no.]='records-CA Gass'!D190,dCAGass[Type]='records-CA Gass'!E190)))"),"#N/A")</f>
        <v>#N/A</v>
      </c>
    </row>
    <row r="827">
      <c r="A827" s="99" t="str">
        <f>IFERROR(__xludf.DUMMYFUNCTION("transpose(unique(FILTER(dCAGass[Tag],dCAGass[Room no.]='records-CA Gass'!D191,dCAGass[Type]='records-CA Gass'!E191)))"),"#N/A")</f>
        <v>#N/A</v>
      </c>
    </row>
    <row r="828">
      <c r="A828" s="99" t="str">
        <f>IFERROR(__xludf.DUMMYFUNCTION("transpose(unique(FILTER(dCAGass[Tag],dCAGass[Room no.]='records-CA Gass'!D192,dCAGass[Type]='records-CA Gass'!E192)))"),"#N/A")</f>
        <v>#N/A</v>
      </c>
    </row>
    <row r="829">
      <c r="A829" s="99" t="str">
        <f>IFERROR(__xludf.DUMMYFUNCTION("transpose(unique(FILTER(dCAGass[Tag],dCAGass[Room no.]='records-CA Gass'!D193,dCAGass[Type]='records-CA Gass'!E193)))"),"#N/A")</f>
        <v>#N/A</v>
      </c>
    </row>
    <row r="830">
      <c r="A830" s="99" t="str">
        <f>IFERROR(__xludf.DUMMYFUNCTION("transpose(unique(FILTER(dCAGass[Tag],dCAGass[Room no.]='records-CA Gass'!D194,dCAGass[Type]='records-CA Gass'!E194)))"),"#N/A")</f>
        <v>#N/A</v>
      </c>
    </row>
    <row r="831">
      <c r="A831" s="99" t="str">
        <f>IFERROR(__xludf.DUMMYFUNCTION("transpose(unique(FILTER(dCAGass[Tag],dCAGass[Room no.]='records-CA Gass'!D195,dCAGass[Type]='records-CA Gass'!E195)))"),"#N/A")</f>
        <v>#N/A</v>
      </c>
    </row>
    <row r="832">
      <c r="A832" s="99" t="str">
        <f>IFERROR(__xludf.DUMMYFUNCTION("transpose(unique(FILTER(dCAGass[Tag],dCAGass[Room no.]='records-CA Gass'!D196,dCAGass[Type]='records-CA Gass'!E196)))"),"#N/A")</f>
        <v>#N/A</v>
      </c>
    </row>
    <row r="833">
      <c r="A833" s="99" t="str">
        <f>IFERROR(__xludf.DUMMYFUNCTION("transpose(unique(FILTER(dCAGass[Tag],dCAGass[Room no.]='records-CA Gass'!D197,dCAGass[Type]='records-CA Gass'!E197)))"),"#N/A")</f>
        <v>#N/A</v>
      </c>
    </row>
    <row r="834">
      <c r="A834" s="99" t="str">
        <f>IFERROR(__xludf.DUMMYFUNCTION("transpose(unique(FILTER(dCAGass[Tag],dCAGass[Room no.]='records-CA Gass'!D198,dCAGass[Type]='records-CA Gass'!E198)))"),"#N/A")</f>
        <v>#N/A</v>
      </c>
    </row>
    <row r="835">
      <c r="A835" s="99" t="str">
        <f>IFERROR(__xludf.DUMMYFUNCTION("transpose(unique(FILTER(dCAGass[Tag],dCAGass[Room no.]='records-CA Gass'!D199,dCAGass[Type]='records-CA Gass'!E199)))"),"#N/A")</f>
        <v>#N/A</v>
      </c>
    </row>
    <row r="836">
      <c r="A836" s="99" t="str">
        <f>IFERROR(__xludf.DUMMYFUNCTION("transpose(unique(FILTER(dCAGass[Tag],dCAGass[Room no.]='records-CA Gass'!D200,dCAGass[Type]='records-CA Gass'!E200)))"),"#N/A")</f>
        <v>#N/A</v>
      </c>
    </row>
    <row r="837">
      <c r="A837" s="99" t="str">
        <f>IFERROR(__xludf.DUMMYFUNCTION("transpose(unique(FILTER(dCAGass[Tag],dCAGass[Room no.]='records-CA Gass'!D201,dCAGass[Type]='records-CA Gass'!E201)))"),"#N/A")</f>
        <v>#N/A</v>
      </c>
    </row>
    <row r="838">
      <c r="A838" s="99" t="str">
        <f>IFERROR(__xludf.DUMMYFUNCTION("transpose(unique(FILTER(dCAGass[Tag],dCAGass[Room no.]='records-CA Gass'!D202,dCAGass[Type]='records-CA Gass'!E202)))"),"#N/A")</f>
        <v>#N/A</v>
      </c>
    </row>
    <row r="839">
      <c r="A839" s="99" t="str">
        <f>IFERROR(__xludf.DUMMYFUNCTION("transpose(unique(FILTER(dCAGass[Tag],dCAGass[Room no.]='records-CA Gass'!D203,dCAGass[Type]='records-CA Gass'!E203)))"),"#N/A")</f>
        <v>#N/A</v>
      </c>
    </row>
    <row r="840">
      <c r="A840" s="99" t="str">
        <f>IFERROR(__xludf.DUMMYFUNCTION("transpose(unique(FILTER(dCAGass[Tag],dCAGass[Room no.]='records-CA Gass'!D204,dCAGass[Type]='records-CA Gass'!E204)))"),"#N/A")</f>
        <v>#N/A</v>
      </c>
    </row>
    <row r="841">
      <c r="A841" s="99" t="str">
        <f>IFERROR(__xludf.DUMMYFUNCTION("transpose(unique(FILTER(dCAGass[Tag],dCAGass[Room no.]='records-CA Gass'!D205,dCAGass[Type]='records-CA Gass'!E205)))"),"#N/A")</f>
        <v>#N/A</v>
      </c>
    </row>
    <row r="842">
      <c r="A842" s="99" t="str">
        <f>IFERROR(__xludf.DUMMYFUNCTION("transpose(unique(FILTER(dCAGass[Tag],dCAGass[Room no.]='records-CA Gass'!D206,dCAGass[Type]='records-CA Gass'!E206)))"),"#N/A")</f>
        <v>#N/A</v>
      </c>
    </row>
    <row r="843">
      <c r="A843" s="99" t="str">
        <f>IFERROR(__xludf.DUMMYFUNCTION("transpose(unique(FILTER(dCAGass[Tag],dCAGass[Room no.]='records-CA Gass'!D207,dCAGass[Type]='records-CA Gass'!E207)))"),"#N/A")</f>
        <v>#N/A</v>
      </c>
    </row>
    <row r="844">
      <c r="A844" s="99" t="str">
        <f>IFERROR(__xludf.DUMMYFUNCTION("transpose(unique(FILTER(dCAGass[Tag],dCAGass[Room no.]='records-CA Gass'!D208,dCAGass[Type]='records-CA Gass'!E208)))"),"#N/A")</f>
        <v>#N/A</v>
      </c>
    </row>
    <row r="845">
      <c r="A845" s="99" t="str">
        <f>IFERROR(__xludf.DUMMYFUNCTION("transpose(unique(FILTER(dCAGass[Tag],dCAGass[Room no.]='records-CA Gass'!D209,dCAGass[Type]='records-CA Gass'!E209)))"),"#N/A")</f>
        <v>#N/A</v>
      </c>
    </row>
    <row r="846">
      <c r="A846" s="99" t="str">
        <f>IFERROR(__xludf.DUMMYFUNCTION("transpose(unique(FILTER(dCAGass[Tag],dCAGass[Room no.]='records-CA Gass'!D210,dCAGass[Type]='records-CA Gass'!E210)))"),"#N/A")</f>
        <v>#N/A</v>
      </c>
    </row>
    <row r="847">
      <c r="A847" s="99" t="str">
        <f>IFERROR(__xludf.DUMMYFUNCTION("transpose(unique(FILTER(dCAGass[Tag],dCAGass[Room no.]='records-CA Gass'!D211,dCAGass[Type]='records-CA Gass'!E211)))"),"#N/A")</f>
        <v>#N/A</v>
      </c>
    </row>
    <row r="848">
      <c r="A848" s="99" t="str">
        <f>IFERROR(__xludf.DUMMYFUNCTION("transpose(unique(FILTER(dCAGass[Tag],dCAGass[Room no.]='records-CA Gass'!D212,dCAGass[Type]='records-CA Gass'!E212)))"),"#N/A")</f>
        <v>#N/A</v>
      </c>
    </row>
    <row r="849">
      <c r="A849" s="99" t="str">
        <f>IFERROR(__xludf.DUMMYFUNCTION("transpose(unique(FILTER(dCAGass[Tag],dCAGass[Room no.]='records-CA Gass'!D213,dCAGass[Type]='records-CA Gass'!E213)))"),"#N/A")</f>
        <v>#N/A</v>
      </c>
    </row>
    <row r="850">
      <c r="A850" s="99" t="str">
        <f>IFERROR(__xludf.DUMMYFUNCTION("transpose(unique(FILTER(dCAGass[Tag],dCAGass[Room no.]='records-CA Gass'!D214,dCAGass[Type]='records-CA Gass'!E214)))"),"#N/A")</f>
        <v>#N/A</v>
      </c>
    </row>
    <row r="851">
      <c r="A851" s="99" t="str">
        <f>IFERROR(__xludf.DUMMYFUNCTION("transpose(unique(FILTER(dCAGass[Tag],dCAGass[Room no.]='records-CA Gass'!D215,dCAGass[Type]='records-CA Gass'!E215)))"),"#N/A")</f>
        <v>#N/A</v>
      </c>
    </row>
    <row r="852">
      <c r="A852" s="99" t="str">
        <f>IFERROR(__xludf.DUMMYFUNCTION("transpose(unique(FILTER(dCAGass[Tag],dCAGass[Room no.]='records-CA Gass'!D216,dCAGass[Type]='records-CA Gass'!E216)))"),"#N/A")</f>
        <v>#N/A</v>
      </c>
    </row>
    <row r="853">
      <c r="A853" s="99" t="str">
        <f>IFERROR(__xludf.DUMMYFUNCTION("transpose(unique(FILTER(dCAGass[Tag],dCAGass[Room no.]='records-CA Gass'!D217,dCAGass[Type]='records-CA Gass'!E217)))"),"#N/A")</f>
        <v>#N/A</v>
      </c>
    </row>
    <row r="854">
      <c r="A854" s="99" t="str">
        <f>IFERROR(__xludf.DUMMYFUNCTION("transpose(unique(FILTER(dCAGass[Tag],dCAGass[Room no.]='records-CA Gass'!D218,dCAGass[Type]='records-CA Gass'!E218)))"),"#N/A")</f>
        <v>#N/A</v>
      </c>
    </row>
    <row r="855">
      <c r="A855" s="99" t="str">
        <f>IFERROR(__xludf.DUMMYFUNCTION("transpose(unique(FILTER(dCAGass[Tag],dCAGass[Room no.]='records-CA Gass'!D219,dCAGass[Type]='records-CA Gass'!E219)))"),"#N/A")</f>
        <v>#N/A</v>
      </c>
    </row>
    <row r="856">
      <c r="A856" s="99" t="str">
        <f>IFERROR(__xludf.DUMMYFUNCTION("transpose(unique(FILTER(dCAGass[Tag],dCAGass[Room no.]='records-CA Gass'!D220,dCAGass[Type]='records-CA Gass'!E220)))"),"#N/A")</f>
        <v>#N/A</v>
      </c>
    </row>
    <row r="857">
      <c r="A857" s="99" t="str">
        <f>IFERROR(__xludf.DUMMYFUNCTION("transpose(unique(FILTER(dCAGass[Tag],dCAGass[Room no.]='records-CA Gass'!D221,dCAGass[Type]='records-CA Gass'!E221)))"),"#N/A")</f>
        <v>#N/A</v>
      </c>
    </row>
    <row r="858">
      <c r="A858" s="99" t="str">
        <f>IFERROR(__xludf.DUMMYFUNCTION("transpose(unique(FILTER(dCAGass[Tag],dCAGass[Room no.]='records-CA Gass'!D222,dCAGass[Type]='records-CA Gass'!E222)))"),"#N/A")</f>
        <v>#N/A</v>
      </c>
    </row>
    <row r="859">
      <c r="A859" s="99" t="str">
        <f>IFERROR(__xludf.DUMMYFUNCTION("transpose(unique(FILTER(dCAGass[Tag],dCAGass[Room no.]='records-CA Gass'!D223,dCAGass[Type]='records-CA Gass'!E223)))"),"#N/A")</f>
        <v>#N/A</v>
      </c>
    </row>
    <row r="860">
      <c r="A860" s="99" t="str">
        <f>IFERROR(__xludf.DUMMYFUNCTION("transpose(unique(FILTER(dCAGass[Tag],dCAGass[Room no.]='records-CA Gass'!D224,dCAGass[Type]='records-CA Gass'!E224)))"),"#N/A")</f>
        <v>#N/A</v>
      </c>
    </row>
    <row r="861">
      <c r="A861" s="99" t="str">
        <f>IFERROR(__xludf.DUMMYFUNCTION("transpose(unique(FILTER(dCAGass[Tag],dCAGass[Room no.]='records-CA Gass'!D225,dCAGass[Type]='records-CA Gass'!E225)))"),"#N/A")</f>
        <v>#N/A</v>
      </c>
    </row>
    <row r="862">
      <c r="A862" s="99" t="str">
        <f>IFERROR(__xludf.DUMMYFUNCTION("transpose(unique(FILTER(dCAGass[Tag],dCAGass[Room no.]='records-CA Gass'!D226,dCAGass[Type]='records-CA Gass'!E226)))"),"#N/A")</f>
        <v>#N/A</v>
      </c>
    </row>
    <row r="863">
      <c r="A863" s="99" t="str">
        <f>IFERROR(__xludf.DUMMYFUNCTION("transpose(unique(FILTER(dCAGass[Tag],dCAGass[Room no.]='records-CA Gass'!D227,dCAGass[Type]='records-CA Gass'!E227)))"),"#N/A")</f>
        <v>#N/A</v>
      </c>
    </row>
    <row r="864">
      <c r="A864" s="99" t="str">
        <f>IFERROR(__xludf.DUMMYFUNCTION("transpose(unique(FILTER(dCAGass[Tag],dCAGass[Room no.]='records-CA Gass'!D228,dCAGass[Type]='records-CA Gass'!E228)))"),"#N/A")</f>
        <v>#N/A</v>
      </c>
    </row>
    <row r="865">
      <c r="A865" s="99" t="str">
        <f>IFERROR(__xludf.DUMMYFUNCTION("transpose(unique(FILTER(dCAGass[Tag],dCAGass[Room no.]='records-CA Gass'!D229,dCAGass[Type]='records-CA Gass'!E229)))"),"#N/A")</f>
        <v>#N/A</v>
      </c>
    </row>
    <row r="866">
      <c r="A866" s="99" t="str">
        <f>IFERROR(__xludf.DUMMYFUNCTION("transpose(unique(FILTER(dCAGass[Tag],dCAGass[Room no.]='records-CA Gass'!D230,dCAGass[Type]='records-CA Gass'!E230)))"),"#N/A")</f>
        <v>#N/A</v>
      </c>
    </row>
    <row r="867">
      <c r="A867" s="99" t="str">
        <f>IFERROR(__xludf.DUMMYFUNCTION("transpose(unique(FILTER(dCAGass[Tag],dCAGass[Room no.]='records-CA Gass'!D231,dCAGass[Type]='records-CA Gass'!E231)))"),"#N/A")</f>
        <v>#N/A</v>
      </c>
    </row>
    <row r="868">
      <c r="A868" s="99" t="str">
        <f>IFERROR(__xludf.DUMMYFUNCTION("transpose(unique(FILTER(dCAGass[Tag],dCAGass[Room no.]='records-CA Gass'!D232,dCAGass[Type]='records-CA Gass'!E232)))"),"#N/A")</f>
        <v>#N/A</v>
      </c>
    </row>
    <row r="869">
      <c r="A869" s="99" t="str">
        <f>IFERROR(__xludf.DUMMYFUNCTION("transpose(unique(FILTER(dCAGass[Tag],dCAGass[Room no.]='records-CA Gass'!D233,dCAGass[Type]='records-CA Gass'!E233)))"),"#N/A")</f>
        <v>#N/A</v>
      </c>
    </row>
    <row r="870">
      <c r="A870" s="99" t="str">
        <f>IFERROR(__xludf.DUMMYFUNCTION("transpose(unique(FILTER(dCAGass[Tag],dCAGass[Room no.]='records-CA Gass'!D234,dCAGass[Type]='records-CA Gass'!E234)))"),"#N/A")</f>
        <v>#N/A</v>
      </c>
    </row>
    <row r="871">
      <c r="A871" s="99" t="str">
        <f>IFERROR(__xludf.DUMMYFUNCTION("transpose(unique(FILTER(dCAGass[Tag],dCAGass[Room no.]='records-CA Gass'!D235,dCAGass[Type]='records-CA Gass'!E235)))"),"#N/A")</f>
        <v>#N/A</v>
      </c>
    </row>
    <row r="872">
      <c r="A872" s="99" t="str">
        <f>IFERROR(__xludf.DUMMYFUNCTION("transpose(unique(FILTER(dCAGass[Tag],dCAGass[Room no.]='records-CA Gass'!D236,dCAGass[Type]='records-CA Gass'!E236)))"),"#N/A")</f>
        <v>#N/A</v>
      </c>
    </row>
    <row r="873">
      <c r="A873" s="99" t="str">
        <f>IFERROR(__xludf.DUMMYFUNCTION("transpose(unique(FILTER(dCAGass[Tag],dCAGass[Room no.]='records-CA Gass'!D237,dCAGass[Type]='records-CA Gass'!E237)))"),"#N/A")</f>
        <v>#N/A</v>
      </c>
    </row>
    <row r="874">
      <c r="A874" s="99" t="str">
        <f>IFERROR(__xludf.DUMMYFUNCTION("transpose(unique(FILTER(dCAGass[Tag],dCAGass[Room no.]='records-CA Gass'!D238,dCAGass[Type]='records-CA Gass'!E238)))"),"#N/A")</f>
        <v>#N/A</v>
      </c>
    </row>
    <row r="875">
      <c r="A875" s="99" t="str">
        <f>IFERROR(__xludf.DUMMYFUNCTION("transpose(unique(FILTER(dCAGass[Tag],dCAGass[Room no.]='records-CA Gass'!D239,dCAGass[Type]='records-CA Gass'!E239)))"),"#N/A")</f>
        <v>#N/A</v>
      </c>
    </row>
    <row r="876">
      <c r="A876" s="99" t="str">
        <f>IFERROR(__xludf.DUMMYFUNCTION("transpose(unique(FILTER(dCAGass[Tag],dCAGass[Room no.]='records-CA Gass'!D240,dCAGass[Type]='records-CA Gass'!E240)))"),"#N/A")</f>
        <v>#N/A</v>
      </c>
    </row>
    <row r="877">
      <c r="A877" s="99" t="str">
        <f>IFERROR(__xludf.DUMMYFUNCTION("transpose(unique(FILTER(dCAGass[Tag],dCAGass[Room no.]='records-CA Gass'!D241,dCAGass[Type]='records-CA Gass'!E241)))"),"#N/A")</f>
        <v>#N/A</v>
      </c>
    </row>
    <row r="878">
      <c r="A878" s="99" t="str">
        <f>IFERROR(__xludf.DUMMYFUNCTION("transpose(unique(FILTER(dCAGass[Tag],dCAGass[Room no.]='records-CA Gass'!D242,dCAGass[Type]='records-CA Gass'!E242)))"),"#N/A")</f>
        <v>#N/A</v>
      </c>
    </row>
    <row r="879">
      <c r="A879" s="99" t="str">
        <f>IFERROR(__xludf.DUMMYFUNCTION("transpose(unique(FILTER(dCAGass[Tag],dCAGass[Room no.]='records-CA Gass'!D243,dCAGass[Type]='records-CA Gass'!E243)))"),"#N/A")</f>
        <v>#N/A</v>
      </c>
    </row>
    <row r="880">
      <c r="A880" s="99" t="str">
        <f>IFERROR(__xludf.DUMMYFUNCTION("transpose(unique(FILTER(dCAGass[Tag],dCAGass[Room no.]='records-CA Gass'!D244,dCAGass[Type]='records-CA Gass'!E244)))"),"#N/A")</f>
        <v>#N/A</v>
      </c>
    </row>
    <row r="881">
      <c r="A881" s="99" t="str">
        <f>IFERROR(__xludf.DUMMYFUNCTION("transpose(unique(FILTER(dCAGass[Tag],dCAGass[Room no.]='records-CA Gass'!D245,dCAGass[Type]='records-CA Gass'!E245)))"),"#N/A")</f>
        <v>#N/A</v>
      </c>
    </row>
    <row r="882">
      <c r="A882" s="99" t="str">
        <f>IFERROR(__xludf.DUMMYFUNCTION("transpose(unique(FILTER(dCAGass[Tag],dCAGass[Room no.]='records-CA Gass'!D246,dCAGass[Type]='records-CA Gass'!E246)))"),"#N/A")</f>
        <v>#N/A</v>
      </c>
    </row>
    <row r="883">
      <c r="A883" s="99" t="str">
        <f>IFERROR(__xludf.DUMMYFUNCTION("transpose(unique(FILTER(dCAGass[Tag],dCAGass[Room no.]='records-CA Gass'!D247,dCAGass[Type]='records-CA Gass'!E247)))"),"#N/A")</f>
        <v>#N/A</v>
      </c>
    </row>
    <row r="884">
      <c r="A884" s="99" t="str">
        <f>IFERROR(__xludf.DUMMYFUNCTION("transpose(unique(FILTER(dCAGass[Tag],dCAGass[Room no.]='records-CA Gass'!D248,dCAGass[Type]='records-CA Gass'!E248)))"),"#N/A")</f>
        <v>#N/A</v>
      </c>
    </row>
    <row r="885">
      <c r="A885" s="99" t="str">
        <f>IFERROR(__xludf.DUMMYFUNCTION("transpose(unique(FILTER(dCAGass[Tag],dCAGass[Room no.]='records-CA Gass'!D249,dCAGass[Type]='records-CA Gass'!E249)))"),"#N/A")</f>
        <v>#N/A</v>
      </c>
    </row>
    <row r="886">
      <c r="A886" s="99" t="str">
        <f>IFERROR(__xludf.DUMMYFUNCTION("transpose(unique(FILTER(dCAGass[Tag],dCAGass[Room no.]='records-CA Gass'!D250,dCAGass[Type]='records-CA Gass'!E250)))"),"#N/A")</f>
        <v>#N/A</v>
      </c>
    </row>
    <row r="887">
      <c r="A887" s="99" t="str">
        <f>IFERROR(__xludf.DUMMYFUNCTION("transpose(unique(FILTER(dCAGass[Tag],dCAGass[Room no.]='records-CA Gass'!D251,dCAGass[Type]='records-CA Gass'!E251)))"),"#N/A")</f>
        <v>#N/A</v>
      </c>
    </row>
    <row r="888">
      <c r="A888" s="99" t="str">
        <f>IFERROR(__xludf.DUMMYFUNCTION("transpose(unique(FILTER(dCAGass[Tag],dCAGass[Room no.]='records-CA Gass'!D252,dCAGass[Type]='records-CA Gass'!E252)))"),"#N/A")</f>
        <v>#N/A</v>
      </c>
    </row>
    <row r="889">
      <c r="A889" s="99" t="str">
        <f>IFERROR(__xludf.DUMMYFUNCTION("transpose(unique(FILTER(dCAGass[Tag],dCAGass[Room no.]='records-CA Gass'!D253,dCAGass[Type]='records-CA Gass'!E253)))"),"#N/A")</f>
        <v>#N/A</v>
      </c>
    </row>
    <row r="890">
      <c r="A890" s="99" t="str">
        <f>IFERROR(__xludf.DUMMYFUNCTION("transpose(unique(FILTER(dCAGass[Tag],dCAGass[Room no.]='records-CA Gass'!D254,dCAGass[Type]='records-CA Gass'!E254)))"),"#N/A")</f>
        <v>#N/A</v>
      </c>
    </row>
    <row r="891">
      <c r="A891" s="99" t="str">
        <f>IFERROR(__xludf.DUMMYFUNCTION("transpose(unique(FILTER(dCAGass[Tag],dCAGass[Room no.]='records-CA Gass'!D255,dCAGass[Type]='records-CA Gass'!E255)))"),"#N/A")</f>
        <v>#N/A</v>
      </c>
    </row>
    <row r="892">
      <c r="A892" s="99" t="str">
        <f>IFERROR(__xludf.DUMMYFUNCTION("transpose(unique(FILTER(dCAGass[Tag],dCAGass[Room no.]='records-CA Gass'!D256,dCAGass[Type]='records-CA Gass'!E256)))"),"#N/A")</f>
        <v>#N/A</v>
      </c>
    </row>
    <row r="893">
      <c r="A893" s="99" t="str">
        <f>IFERROR(__xludf.DUMMYFUNCTION("transpose(unique(FILTER(dCAGass[Tag],dCAGass[Room no.]='records-CA Gass'!D257,dCAGass[Type]='records-CA Gass'!E257)))"),"#N/A")</f>
        <v>#N/A</v>
      </c>
    </row>
    <row r="894">
      <c r="A894" s="99" t="str">
        <f>IFERROR(__xludf.DUMMYFUNCTION("transpose(unique(FILTER(dCAGass[Tag],dCAGass[Room no.]='records-CA Gass'!D258,dCAGass[Type]='records-CA Gass'!E258)))"),"#N/A")</f>
        <v>#N/A</v>
      </c>
    </row>
    <row r="895">
      <c r="A895" s="99" t="str">
        <f>IFERROR(__xludf.DUMMYFUNCTION("transpose(unique(FILTER(dCAGass[Tag],dCAGass[Room no.]='records-CA Gass'!D259,dCAGass[Type]='records-CA Gass'!E259)))"),"#N/A")</f>
        <v>#N/A</v>
      </c>
    </row>
    <row r="896">
      <c r="A896" s="99" t="str">
        <f>IFERROR(__xludf.DUMMYFUNCTION("transpose(unique(FILTER(dCAGass[Tag],dCAGass[Room no.]='records-CA Gass'!D260,dCAGass[Type]='records-CA Gass'!E260)))"),"#N/A")</f>
        <v>#N/A</v>
      </c>
    </row>
    <row r="897">
      <c r="A897" s="99" t="str">
        <f>IFERROR(__xludf.DUMMYFUNCTION("transpose(unique(FILTER(dCAGass[Tag],dCAGass[Room no.]='records-CA Gass'!D261,dCAGass[Type]='records-CA Gass'!E261)))"),"#N/A")</f>
        <v>#N/A</v>
      </c>
    </row>
    <row r="898">
      <c r="A898" s="99" t="str">
        <f>IFERROR(__xludf.DUMMYFUNCTION("transpose(unique(FILTER(dCAGass[Tag],dCAGass[Room no.]='records-CA Gass'!D262,dCAGass[Type]='records-CA Gass'!E262)))"),"#N/A")</f>
        <v>#N/A</v>
      </c>
    </row>
    <row r="899">
      <c r="A899" s="99" t="str">
        <f>IFERROR(__xludf.DUMMYFUNCTION("transpose(unique(FILTER(dCAGass[Tag],dCAGass[Room no.]='records-CA Gass'!D263,dCAGass[Type]='records-CA Gass'!E263)))"),"#N/A")</f>
        <v>#N/A</v>
      </c>
    </row>
    <row r="900">
      <c r="A900" s="99" t="str">
        <f>IFERROR(__xludf.DUMMYFUNCTION("transpose(unique(FILTER(dCAGass[Tag],dCAGass[Room no.]='records-CA Gass'!D264,dCAGass[Type]='records-CA Gass'!E264)))"),"#N/A")</f>
        <v>#N/A</v>
      </c>
    </row>
    <row r="901">
      <c r="A901" s="99" t="str">
        <f>IFERROR(__xludf.DUMMYFUNCTION("transpose(unique(FILTER(dCAGass[Tag],dCAGass[Room no.]='records-CA Gass'!D265,dCAGass[Type]='records-CA Gass'!E265)))"),"#N/A")</f>
        <v>#N/A</v>
      </c>
    </row>
    <row r="902">
      <c r="A902" s="99" t="str">
        <f>IFERROR(__xludf.DUMMYFUNCTION("transpose(unique(FILTER(dCAGass[Tag],dCAGass[Room no.]='records-CA Gass'!D266,dCAGass[Type]='records-CA Gass'!E266)))"),"#N/A")</f>
        <v>#N/A</v>
      </c>
    </row>
    <row r="903">
      <c r="A903" s="99" t="str">
        <f>IFERROR(__xludf.DUMMYFUNCTION("transpose(unique(FILTER(dCAGass[Tag],dCAGass[Room no.]='records-CA Gass'!D267,dCAGass[Type]='records-CA Gass'!E267)))"),"#N/A")</f>
        <v>#N/A</v>
      </c>
    </row>
    <row r="904">
      <c r="A904" s="99" t="str">
        <f>IFERROR(__xludf.DUMMYFUNCTION("transpose(unique(FILTER(dCAGass[Tag],dCAGass[Room no.]='records-CA Gass'!D268,dCAGass[Type]='records-CA Gass'!E268)))"),"#N/A")</f>
        <v>#N/A</v>
      </c>
    </row>
    <row r="905">
      <c r="A905" s="99" t="str">
        <f>IFERROR(__xludf.DUMMYFUNCTION("transpose(unique(FILTER(dCAGass[Tag],dCAGass[Room no.]='records-CA Gass'!D269,dCAGass[Type]='records-CA Gass'!E269)))"),"#N/A")</f>
        <v>#N/A</v>
      </c>
    </row>
    <row r="906">
      <c r="A906" s="99" t="str">
        <f>IFERROR(__xludf.DUMMYFUNCTION("transpose(unique(FILTER(dCAGass[Tag],dCAGass[Room no.]='records-CA Gass'!D270,dCAGass[Type]='records-CA Gass'!E270)))"),"#N/A")</f>
        <v>#N/A</v>
      </c>
    </row>
    <row r="907">
      <c r="A907" s="99" t="str">
        <f>IFERROR(__xludf.DUMMYFUNCTION("transpose(unique(FILTER(dCAGass[Tag],dCAGass[Room no.]='records-CA Gass'!D271,dCAGass[Type]='records-CA Gass'!E271)))"),"#N/A")</f>
        <v>#N/A</v>
      </c>
    </row>
    <row r="908">
      <c r="A908" s="99" t="str">
        <f>IFERROR(__xludf.DUMMYFUNCTION("transpose(unique(FILTER(dCAGass[Tag],dCAGass[Room no.]='records-CA Gass'!D272,dCAGass[Type]='records-CA Gass'!E272)))"),"#N/A")</f>
        <v>#N/A</v>
      </c>
    </row>
    <row r="909">
      <c r="A909" s="99" t="str">
        <f>IFERROR(__xludf.DUMMYFUNCTION("transpose(unique(FILTER(dCAGass[Tag],dCAGass[Room no.]='records-CA Gass'!D273,dCAGass[Type]='records-CA Gass'!E273)))"),"#N/A")</f>
        <v>#N/A</v>
      </c>
    </row>
    <row r="910">
      <c r="A910" s="99" t="str">
        <f>IFERROR(__xludf.DUMMYFUNCTION("transpose(unique(FILTER(dCAGass[Tag],dCAGass[Room no.]='records-CA Gass'!D274,dCAGass[Type]='records-CA Gass'!E274)))"),"#N/A")</f>
        <v>#N/A</v>
      </c>
    </row>
    <row r="911">
      <c r="A911" s="99" t="str">
        <f>IFERROR(__xludf.DUMMYFUNCTION("transpose(unique(FILTER(dCAGass[Tag],dCAGass[Room no.]='records-CA Gass'!D275,dCAGass[Type]='records-CA Gass'!E275)))"),"#N/A")</f>
        <v>#N/A</v>
      </c>
    </row>
    <row r="912">
      <c r="A912" s="99" t="str">
        <f>IFERROR(__xludf.DUMMYFUNCTION("transpose(unique(FILTER(dCAGass[Tag],dCAGass[Room no.]='records-CA Gass'!D276,dCAGass[Type]='records-CA Gass'!E276)))"),"#N/A")</f>
        <v>#N/A</v>
      </c>
    </row>
    <row r="913">
      <c r="A913" s="99" t="str">
        <f>IFERROR(__xludf.DUMMYFUNCTION("transpose(unique(FILTER(dCAGass[Tag],dCAGass[Room no.]='records-CA Gass'!D277,dCAGass[Type]='records-CA Gass'!E277)))"),"#N/A")</f>
        <v>#N/A</v>
      </c>
    </row>
    <row r="914">
      <c r="A914" s="99" t="str">
        <f>IFERROR(__xludf.DUMMYFUNCTION("transpose(unique(FILTER(dCAGass[Tag],dCAGass[Room no.]='records-CA Gass'!D278,dCAGass[Type]='records-CA Gass'!E278)))"),"#N/A")</f>
        <v>#N/A</v>
      </c>
    </row>
    <row r="915">
      <c r="A915" s="99" t="str">
        <f>IFERROR(__xludf.DUMMYFUNCTION("transpose(unique(FILTER(dCAGass[Tag],dCAGass[Room no.]='records-CA Gass'!D279,dCAGass[Type]='records-CA Gass'!E279)))"),"#N/A")</f>
        <v>#N/A</v>
      </c>
    </row>
    <row r="916">
      <c r="A916" s="99" t="str">
        <f>IFERROR(__xludf.DUMMYFUNCTION("transpose(unique(FILTER(dCAGass[Tag],dCAGass[Room no.]='records-CA Gass'!D280,dCAGass[Type]='records-CA Gass'!E280)))"),"#N/A")</f>
        <v>#N/A</v>
      </c>
    </row>
    <row r="917">
      <c r="A917" s="99" t="str">
        <f>IFERROR(__xludf.DUMMYFUNCTION("transpose(unique(FILTER(dCAGass[Tag],dCAGass[Room no.]='records-CA Gass'!D281,dCAGass[Type]='records-CA Gass'!E281)))"),"#N/A")</f>
        <v>#N/A</v>
      </c>
    </row>
    <row r="918">
      <c r="A918" s="99" t="str">
        <f>IFERROR(__xludf.DUMMYFUNCTION("transpose(unique(FILTER(dCAGass[Tag],dCAGass[Room no.]='records-CA Gass'!D282,dCAGass[Type]='records-CA Gass'!E282)))"),"#N/A")</f>
        <v>#N/A</v>
      </c>
    </row>
    <row r="919">
      <c r="A919" s="99" t="str">
        <f>IFERROR(__xludf.DUMMYFUNCTION("transpose(unique(FILTER(dCAGass[Tag],dCAGass[Room no.]='records-CA Gass'!D283,dCAGass[Type]='records-CA Gass'!E283)))"),"#N/A")</f>
        <v>#N/A</v>
      </c>
    </row>
    <row r="920">
      <c r="A920" s="99" t="str">
        <f>IFERROR(__xludf.DUMMYFUNCTION("transpose(unique(FILTER(dCAGass[Tag],dCAGass[Room no.]='records-CA Gass'!D284,dCAGass[Type]='records-CA Gass'!E284)))"),"#N/A")</f>
        <v>#N/A</v>
      </c>
    </row>
    <row r="921">
      <c r="A921" s="99" t="str">
        <f>IFERROR(__xludf.DUMMYFUNCTION("transpose(unique(FILTER(dCAGass[Tag],dCAGass[Room no.]='records-CA Gass'!D285,dCAGass[Type]='records-CA Gass'!E285)))"),"#N/A")</f>
        <v>#N/A</v>
      </c>
    </row>
    <row r="922">
      <c r="A922" s="99" t="str">
        <f>IFERROR(__xludf.DUMMYFUNCTION("transpose(unique(FILTER(dCAGass[Tag],dCAGass[Room no.]='records-CA Gass'!D286,dCAGass[Type]='records-CA Gass'!E286)))"),"#N/A")</f>
        <v>#N/A</v>
      </c>
    </row>
    <row r="923">
      <c r="A923" s="99" t="str">
        <f>IFERROR(__xludf.DUMMYFUNCTION("transpose(unique(FILTER(dCAGass[Tag],dCAGass[Room no.]='records-CA Gass'!D287,dCAGass[Type]='records-CA Gass'!E287)))"),"#N/A")</f>
        <v>#N/A</v>
      </c>
    </row>
    <row r="924">
      <c r="A924" s="99" t="str">
        <f>IFERROR(__xludf.DUMMYFUNCTION("transpose(unique(FILTER(dCAGass[Tag],dCAGass[Room no.]='records-CA Gass'!D288,dCAGass[Type]='records-CA Gass'!E288)))"),"#N/A")</f>
        <v>#N/A</v>
      </c>
    </row>
    <row r="925">
      <c r="A925" s="99" t="str">
        <f>IFERROR(__xludf.DUMMYFUNCTION("transpose(unique(FILTER(dCAGass[Tag],dCAGass[Room no.]='records-CA Gass'!D289,dCAGass[Type]='records-CA Gass'!E289)))"),"#N/A")</f>
        <v>#N/A</v>
      </c>
    </row>
    <row r="926">
      <c r="A926" s="99" t="str">
        <f>IFERROR(__xludf.DUMMYFUNCTION("transpose(unique(FILTER(dCAGass[Tag],dCAGass[Room no.]='records-CA Gass'!D290,dCAGass[Type]='records-CA Gass'!E290)))"),"#N/A")</f>
        <v>#N/A</v>
      </c>
    </row>
    <row r="927">
      <c r="A927" s="99" t="str">
        <f>IFERROR(__xludf.DUMMYFUNCTION("transpose(unique(FILTER(dCAGass[Tag],dCAGass[Room no.]='records-CA Gass'!D291,dCAGass[Type]='records-CA Gass'!E291)))"),"#N/A")</f>
        <v>#N/A</v>
      </c>
    </row>
    <row r="928">
      <c r="A928" s="99" t="str">
        <f>IFERROR(__xludf.DUMMYFUNCTION("transpose(unique(FILTER(dCAGass[Tag],dCAGass[Room no.]='records-CA Gass'!D292,dCAGass[Type]='records-CA Gass'!E292)))"),"#N/A")</f>
        <v>#N/A</v>
      </c>
    </row>
    <row r="929">
      <c r="A929" s="99" t="str">
        <f>IFERROR(__xludf.DUMMYFUNCTION("transpose(unique(FILTER(dCAGass[Tag],dCAGass[Room no.]='records-CA Gass'!D293,dCAGass[Type]='records-CA Gass'!E293)))"),"#N/A")</f>
        <v>#N/A</v>
      </c>
    </row>
    <row r="930">
      <c r="A930" s="99" t="str">
        <f>IFERROR(__xludf.DUMMYFUNCTION("transpose(unique(FILTER(dCAGass[Tag],dCAGass[Room no.]='records-CA Gass'!D294,dCAGass[Type]='records-CA Gass'!E294)))"),"#N/A")</f>
        <v>#N/A</v>
      </c>
    </row>
    <row r="931">
      <c r="A931" s="99" t="str">
        <f>IFERROR(__xludf.DUMMYFUNCTION("transpose(unique(FILTER(dCAGass[Tag],dCAGass[Room no.]='records-CA Gass'!D295,dCAGass[Type]='records-CA Gass'!E295)))"),"#N/A")</f>
        <v>#N/A</v>
      </c>
    </row>
    <row r="932">
      <c r="A932" s="99" t="str">
        <f>IFERROR(__xludf.DUMMYFUNCTION("transpose(unique(FILTER(dCAGass[Tag],dCAGass[Room no.]='records-CA Gass'!D296,dCAGass[Type]='records-CA Gass'!E296)))"),"#N/A")</f>
        <v>#N/A</v>
      </c>
    </row>
    <row r="933">
      <c r="A933" s="99" t="str">
        <f>IFERROR(__xludf.DUMMYFUNCTION("transpose(unique(FILTER(dCAGass[Tag],dCAGass[Room no.]='records-CA Gass'!D297,dCAGass[Type]='records-CA Gass'!E297)))"),"#N/A")</f>
        <v>#N/A</v>
      </c>
    </row>
    <row r="934">
      <c r="A934" s="99" t="str">
        <f>IFERROR(__xludf.DUMMYFUNCTION("transpose(unique(FILTER(dCAGass[Tag],dCAGass[Room no.]='records-CA Gass'!D298,dCAGass[Type]='records-CA Gass'!E298)))"),"#N/A")</f>
        <v>#N/A</v>
      </c>
    </row>
    <row r="935">
      <c r="A935" s="99" t="str">
        <f>IFERROR(__xludf.DUMMYFUNCTION("transpose(unique(FILTER(dCAGass[Tag],dCAGass[Room no.]='records-CA Gass'!D299,dCAGass[Type]='records-CA Gass'!E299)))"),"#N/A")</f>
        <v>#N/A</v>
      </c>
    </row>
    <row r="936">
      <c r="A936" s="99" t="str">
        <f>IFERROR(__xludf.DUMMYFUNCTION("transpose(unique(FILTER(dCAGass[Tag],dCAGass[Room no.]='records-CA Gass'!D300,dCAGass[Type]='records-CA Gass'!E300)))"),"#N/A")</f>
        <v>#N/A</v>
      </c>
    </row>
    <row r="937">
      <c r="A937" s="99" t="str">
        <f>IFERROR(__xludf.DUMMYFUNCTION("transpose(unique(FILTER(dCAGass[Tag],dCAGass[Room no.]='records-CA Gass'!D301,dCAGass[Type]='records-CA Gass'!E301)))"),"#N/A")</f>
        <v>#N/A</v>
      </c>
    </row>
    <row r="938">
      <c r="A938" s="99" t="str">
        <f>IFERROR(__xludf.DUMMYFUNCTION("transpose(unique(FILTER(dCAGass[Tag],dCAGass[Room no.]='records-CA Gass'!D302,dCAGass[Type]='records-CA Gass'!E302)))"),"#N/A")</f>
        <v>#N/A</v>
      </c>
    </row>
    <row r="939">
      <c r="A939" s="99" t="str">
        <f>IFERROR(__xludf.DUMMYFUNCTION("transpose(unique(FILTER(dCAGass[Tag],dCAGass[Room no.]='records-CA Gass'!D303,dCAGass[Type]='records-CA Gass'!E303)))"),"#N/A")</f>
        <v>#N/A</v>
      </c>
    </row>
    <row r="940">
      <c r="A940" s="99" t="str">
        <f>IFERROR(__xludf.DUMMYFUNCTION("transpose(unique(FILTER(dCAGass[Tag],dCAGass[Room no.]='records-CA Gass'!D304,dCAGass[Type]='records-CA Gass'!E304)))"),"#N/A")</f>
        <v>#N/A</v>
      </c>
    </row>
    <row r="941">
      <c r="A941" s="99" t="str">
        <f>IFERROR(__xludf.DUMMYFUNCTION("transpose(unique(FILTER(dCAGass[Tag],dCAGass[Room no.]='records-CA Gass'!D305,dCAGass[Type]='records-CA Gass'!E305)))"),"#N/A")</f>
        <v>#N/A</v>
      </c>
    </row>
    <row r="942">
      <c r="A942" s="99" t="str">
        <f>IFERROR(__xludf.DUMMYFUNCTION("transpose(unique(FILTER(dCAGass[Tag],dCAGass[Room no.]='records-CA Gass'!D306,dCAGass[Type]='records-CA Gass'!E306)))"),"#N/A")</f>
        <v>#N/A</v>
      </c>
    </row>
    <row r="943">
      <c r="A943" s="99" t="str">
        <f>IFERROR(__xludf.DUMMYFUNCTION("transpose(unique(FILTER(dCAGass[Tag],dCAGass[Room no.]='records-CA Gass'!D307,dCAGass[Type]='records-CA Gass'!E307)))"),"#N/A")</f>
        <v>#N/A</v>
      </c>
    </row>
    <row r="944">
      <c r="A944" s="99" t="str">
        <f>IFERROR(__xludf.DUMMYFUNCTION("transpose(unique(FILTER(dCAGass[Tag],dCAGass[Room no.]='records-CA Gass'!D308,dCAGass[Type]='records-CA Gass'!E308)))"),"#N/A")</f>
        <v>#N/A</v>
      </c>
    </row>
    <row r="945">
      <c r="A945" s="99" t="str">
        <f>IFERROR(__xludf.DUMMYFUNCTION("transpose(unique(FILTER(dCAGass[Tag],dCAGass[Room no.]='records-CA Gass'!D309,dCAGass[Type]='records-CA Gass'!E309)))"),"#N/A")</f>
        <v>#N/A</v>
      </c>
    </row>
    <row r="946">
      <c r="A946" s="99" t="str">
        <f>IFERROR(__xludf.DUMMYFUNCTION("transpose(unique(FILTER(dCAGass[Tag],dCAGass[Room no.]='records-CA Gass'!D310,dCAGass[Type]='records-CA Gass'!E310)))"),"#N/A")</f>
        <v>#N/A</v>
      </c>
    </row>
    <row r="947">
      <c r="A947" s="99" t="str">
        <f>IFERROR(__xludf.DUMMYFUNCTION("transpose(unique(FILTER(dCAGass[Tag],dCAGass[Room no.]='records-CA Gass'!D311,dCAGass[Type]='records-CA Gass'!E311)))"),"#N/A")</f>
        <v>#N/A</v>
      </c>
    </row>
    <row r="948">
      <c r="A948" s="99" t="str">
        <f>IFERROR(__xludf.DUMMYFUNCTION("transpose(unique(FILTER(dCAGass[Tag],dCAGass[Room no.]='records-CA Gass'!D312,dCAGass[Type]='records-CA Gass'!E312)))"),"#N/A")</f>
        <v>#N/A</v>
      </c>
    </row>
    <row r="949">
      <c r="A949" s="99" t="str">
        <f>IFERROR(__xludf.DUMMYFUNCTION("transpose(unique(FILTER(dCAGass[Tag],dCAGass[Room no.]='records-CA Gass'!D313,dCAGass[Type]='records-CA Gass'!E313)))"),"#N/A")</f>
        <v>#N/A</v>
      </c>
    </row>
    <row r="950">
      <c r="A950" s="99" t="str">
        <f>IFERROR(__xludf.DUMMYFUNCTION("transpose(unique(FILTER(dCAGass[Tag],dCAGass[Room no.]='records-CA Gass'!D314,dCAGass[Type]='records-CA Gass'!E314)))"),"#N/A")</f>
        <v>#N/A</v>
      </c>
    </row>
    <row r="951">
      <c r="A951" s="99" t="str">
        <f>IFERROR(__xludf.DUMMYFUNCTION("transpose(unique(FILTER(dCAGass[Tag],dCAGass[Room no.]='records-CA Gass'!D315,dCAGass[Type]='records-CA Gass'!E315)))"),"#N/A")</f>
        <v>#N/A</v>
      </c>
    </row>
    <row r="952">
      <c r="A952" s="99" t="str">
        <f>IFERROR(__xludf.DUMMYFUNCTION("transpose(unique(FILTER(dCAGass[Tag],dCAGass[Room no.]='records-CA Gass'!D316,dCAGass[Type]='records-CA Gass'!E316)))"),"#N/A")</f>
        <v>#N/A</v>
      </c>
    </row>
    <row r="953">
      <c r="A953" s="99" t="str">
        <f>IFERROR(__xludf.DUMMYFUNCTION("transpose(unique(FILTER(dCAGass[Tag],dCAGass[Room no.]='records-CA Gass'!D317,dCAGass[Type]='records-CA Gass'!E317)))"),"#N/A")</f>
        <v>#N/A</v>
      </c>
    </row>
    <row r="954">
      <c r="A954" s="99" t="str">
        <f>IFERROR(__xludf.DUMMYFUNCTION("transpose(unique(FILTER(dCAGass[Tag],dCAGass[Room no.]='records-CA Gass'!D318,dCAGass[Type]='records-CA Gass'!E318)))"),"#N/A")</f>
        <v>#N/A</v>
      </c>
    </row>
    <row r="955">
      <c r="A955" s="99" t="str">
        <f>IFERROR(__xludf.DUMMYFUNCTION("transpose(unique(FILTER(dCAGass[Tag],dCAGass[Room no.]='records-CA Gass'!D319,dCAGass[Type]='records-CA Gass'!E319)))"),"#N/A")</f>
        <v>#N/A</v>
      </c>
    </row>
    <row r="956">
      <c r="A956" s="99" t="str">
        <f>IFERROR(__xludf.DUMMYFUNCTION("transpose(unique(FILTER(dCAGass[Tag],dCAGass[Room no.]='records-CA Gass'!D320,dCAGass[Type]='records-CA Gass'!E320)))"),"#N/A")</f>
        <v>#N/A</v>
      </c>
    </row>
    <row r="957">
      <c r="A957" s="99" t="str">
        <f>IFERROR(__xludf.DUMMYFUNCTION("transpose(unique(FILTER(dCAGass[Tag],dCAGass[Room no.]='records-CA Gass'!D321,dCAGass[Type]='records-CA Gass'!E321)))"),"#N/A")</f>
        <v>#N/A</v>
      </c>
    </row>
    <row r="958">
      <c r="A958" s="99" t="str">
        <f>IFERROR(__xludf.DUMMYFUNCTION("transpose(unique(FILTER(dCAGass[Tag],dCAGass[Room no.]='records-CA Gass'!D322,dCAGass[Type]='records-CA Gass'!E322)))"),"#N/A")</f>
        <v>#N/A</v>
      </c>
    </row>
    <row r="959">
      <c r="A959" s="99" t="str">
        <f>IFERROR(__xludf.DUMMYFUNCTION("transpose(unique(FILTER(dCAGass[Tag],dCAGass[Room no.]='records-CA Gass'!D323,dCAGass[Type]='records-CA Gass'!E323)))"),"#N/A")</f>
        <v>#N/A</v>
      </c>
    </row>
    <row r="960">
      <c r="A960" s="99" t="str">
        <f>IFERROR(__xludf.DUMMYFUNCTION("transpose(unique(FILTER(dCAGass[Tag],dCAGass[Room no.]='records-CA Gass'!D324,dCAGass[Type]='records-CA Gass'!E324)))"),"#N/A")</f>
        <v>#N/A</v>
      </c>
    </row>
    <row r="961">
      <c r="A961" s="99" t="str">
        <f>IFERROR(__xludf.DUMMYFUNCTION("transpose(unique(FILTER(dCAGass[Tag],dCAGass[Room no.]='records-CA Gass'!D325,dCAGass[Type]='records-CA Gass'!E325)))"),"#N/A")</f>
        <v>#N/A</v>
      </c>
    </row>
    <row r="962">
      <c r="A962" s="99" t="str">
        <f>IFERROR(__xludf.DUMMYFUNCTION("transpose(unique(FILTER(dCAGass[Tag],dCAGass[Room no.]='records-CA Gass'!D326,dCAGass[Type]='records-CA Gass'!E326)))"),"#N/A")</f>
        <v>#N/A</v>
      </c>
    </row>
    <row r="963">
      <c r="A963" s="99" t="str">
        <f>IFERROR(__xludf.DUMMYFUNCTION("transpose(unique(FILTER(dCAGass[Tag],dCAGass[Room no.]='records-CA Gass'!D327,dCAGass[Type]='records-CA Gass'!E327)))"),"#N/A")</f>
        <v>#N/A</v>
      </c>
    </row>
    <row r="964">
      <c r="A964" s="99" t="str">
        <f>IFERROR(__xludf.DUMMYFUNCTION("transpose(unique(FILTER(dCAGass[Tag],dCAGass[Room no.]='records-CA Gass'!D328,dCAGass[Type]='records-CA Gass'!E328)))"),"#N/A")</f>
        <v>#N/A</v>
      </c>
    </row>
    <row r="965">
      <c r="A965" s="99" t="str">
        <f>IFERROR(__xludf.DUMMYFUNCTION("transpose(unique(FILTER(dCAGass[Tag],dCAGass[Room no.]='records-CA Gass'!D329,dCAGass[Type]='records-CA Gass'!E329)))"),"#N/A")</f>
        <v>#N/A</v>
      </c>
    </row>
    <row r="966">
      <c r="A966" s="99" t="str">
        <f>IFERROR(__xludf.DUMMYFUNCTION("transpose(unique(FILTER(dCAGass[Tag],dCAGass[Room no.]='records-CA Gass'!D330,dCAGass[Type]='records-CA Gass'!E330)))"),"#N/A")</f>
        <v>#N/A</v>
      </c>
    </row>
    <row r="967">
      <c r="A967" s="99" t="str">
        <f>IFERROR(__xludf.DUMMYFUNCTION("transpose(unique(FILTER(dCAGass[Tag],dCAGass[Room no.]='records-CA Gass'!D331,dCAGass[Type]='records-CA Gass'!E331)))"),"#N/A")</f>
        <v>#N/A</v>
      </c>
    </row>
    <row r="968">
      <c r="A968" s="99" t="str">
        <f>IFERROR(__xludf.DUMMYFUNCTION("transpose(unique(FILTER(dCAGass[Tag],dCAGass[Room no.]='records-CA Gass'!D332,dCAGass[Type]='records-CA Gass'!E332)))"),"#N/A")</f>
        <v>#N/A</v>
      </c>
    </row>
    <row r="969">
      <c r="A969" s="99" t="str">
        <f>IFERROR(__xludf.DUMMYFUNCTION("transpose(unique(FILTER(dCAGass[Tag],dCAGass[Room no.]='records-CA Gass'!D333,dCAGass[Type]='records-CA Gass'!E333)))"),"#N/A")</f>
        <v>#N/A</v>
      </c>
    </row>
    <row r="970">
      <c r="A970" s="99" t="str">
        <f>IFERROR(__xludf.DUMMYFUNCTION("transpose(unique(FILTER(dCAGass[Tag],dCAGass[Room no.]='records-CA Gass'!D334,dCAGass[Type]='records-CA Gass'!E334)))"),"#N/A")</f>
        <v>#N/A</v>
      </c>
    </row>
    <row r="971">
      <c r="A971" s="99" t="str">
        <f>IFERROR(__xludf.DUMMYFUNCTION("transpose(unique(FILTER(dCAGass[Tag],dCAGass[Room no.]='records-CA Gass'!D335,dCAGass[Type]='records-CA Gass'!E335)))"),"#N/A")</f>
        <v>#N/A</v>
      </c>
    </row>
    <row r="972">
      <c r="A972" s="99" t="str">
        <f>IFERROR(__xludf.DUMMYFUNCTION("transpose(unique(FILTER(dCAGass[Tag],dCAGass[Room no.]='records-CA Gass'!D336,dCAGass[Type]='records-CA Gass'!E336)))"),"#N/A")</f>
        <v>#N/A</v>
      </c>
    </row>
    <row r="973">
      <c r="A973" s="99" t="str">
        <f>IFERROR(__xludf.DUMMYFUNCTION("transpose(unique(FILTER(dCAGass[Tag],dCAGass[Room no.]='records-CA Gass'!D337,dCAGass[Type]='records-CA Gass'!E337)))"),"#N/A")</f>
        <v>#N/A</v>
      </c>
    </row>
    <row r="974">
      <c r="A974" s="99" t="str">
        <f>IFERROR(__xludf.DUMMYFUNCTION("transpose(unique(FILTER(dCAGass[Tag],dCAGass[Room no.]='records-CA Gass'!D338,dCAGass[Type]='records-CA Gass'!E338)))"),"#N/A")</f>
        <v>#N/A</v>
      </c>
    </row>
    <row r="975">
      <c r="A975" s="99" t="str">
        <f>IFERROR(__xludf.DUMMYFUNCTION("transpose(unique(FILTER(dCAGass[Tag],dCAGass[Room no.]='records-CA Gass'!D339,dCAGass[Type]='records-CA Gass'!E339)))"),"#N/A")</f>
        <v>#N/A</v>
      </c>
    </row>
    <row r="976">
      <c r="A976" s="99" t="str">
        <f>IFERROR(__xludf.DUMMYFUNCTION("transpose(unique(FILTER(dCAGass[Tag],dCAGass[Room no.]='records-CA Gass'!D340,dCAGass[Type]='records-CA Gass'!E340)))"),"#N/A")</f>
        <v>#N/A</v>
      </c>
    </row>
    <row r="977">
      <c r="A977" s="99" t="str">
        <f>IFERROR(__xludf.DUMMYFUNCTION("transpose(unique(FILTER(dCAGass[Tag],dCAGass[Room no.]='records-CA Gass'!D341,dCAGass[Type]='records-CA Gass'!E341)))"),"#N/A")</f>
        <v>#N/A</v>
      </c>
    </row>
    <row r="978">
      <c r="A978" s="99" t="str">
        <f>IFERROR(__xludf.DUMMYFUNCTION("transpose(unique(FILTER(dCAGass[Tag],dCAGass[Room no.]='records-CA Gass'!D342,dCAGass[Type]='records-CA Gass'!E342)))"),"#N/A")</f>
        <v>#N/A</v>
      </c>
    </row>
    <row r="979">
      <c r="A979" s="99" t="str">
        <f>IFERROR(__xludf.DUMMYFUNCTION("transpose(unique(FILTER(dCAGass[Tag],dCAGass[Room no.]='records-CA Gass'!D343,dCAGass[Type]='records-CA Gass'!E343)))"),"#N/A")</f>
        <v>#N/A</v>
      </c>
    </row>
    <row r="980">
      <c r="A980" s="99" t="str">
        <f>IFERROR(__xludf.DUMMYFUNCTION("transpose(unique(FILTER(dCAGass[Tag],dCAGass[Room no.]='records-CA Gass'!D344,dCAGass[Type]='records-CA Gass'!E344)))"),"#N/A")</f>
        <v>#N/A</v>
      </c>
    </row>
    <row r="981">
      <c r="A981" s="99" t="str">
        <f>IFERROR(__xludf.DUMMYFUNCTION("transpose(unique(FILTER(dCAGass[Tag],dCAGass[Room no.]='records-CA Gass'!D345,dCAGass[Type]='records-CA Gass'!E345)))"),"#N/A")</f>
        <v>#N/A</v>
      </c>
    </row>
    <row r="982">
      <c r="A982" s="99" t="str">
        <f>IFERROR(__xludf.DUMMYFUNCTION("transpose(unique(FILTER(dCAGass[Tag],dCAGass[Room no.]='records-CA Gass'!D346,dCAGass[Type]='records-CA Gass'!E346)))"),"#N/A")</f>
        <v>#N/A</v>
      </c>
    </row>
    <row r="983">
      <c r="A983" s="99" t="str">
        <f>IFERROR(__xludf.DUMMYFUNCTION("transpose(unique(FILTER(dCAGass[Tag],dCAGass[Room no.]='records-CA Gass'!D347,dCAGass[Type]='records-CA Gass'!E347)))"),"#N/A")</f>
        <v>#N/A</v>
      </c>
    </row>
    <row r="984">
      <c r="A984" s="99" t="str">
        <f>IFERROR(__xludf.DUMMYFUNCTION("transpose(unique(FILTER(dCAGass[Tag],dCAGass[Room no.]='records-CA Gass'!D348,dCAGass[Type]='records-CA Gass'!E348)))"),"#N/A")</f>
        <v>#N/A</v>
      </c>
    </row>
    <row r="985">
      <c r="A985" s="99" t="str">
        <f>IFERROR(__xludf.DUMMYFUNCTION("transpose(unique(FILTER(dCAGass[Tag],dCAGass[Room no.]='records-CA Gass'!D349,dCAGass[Type]='records-CA Gass'!E349)))"),"#N/A")</f>
        <v>#N/A</v>
      </c>
    </row>
    <row r="986">
      <c r="A986" s="99" t="str">
        <f>IFERROR(__xludf.DUMMYFUNCTION("transpose(unique(FILTER(dCAGass[Tag],dCAGass[Room no.]='records-CA Gass'!D350,dCAGass[Type]='records-CA Gass'!E350)))"),"#N/A")</f>
        <v>#N/A</v>
      </c>
    </row>
    <row r="987">
      <c r="A987" s="99" t="str">
        <f>IFERROR(__xludf.DUMMYFUNCTION("transpose(unique(FILTER(dCAGass[Tag],dCAGass[Room no.]='records-CA Gass'!D351,dCAGass[Type]='records-CA Gass'!E351)))"),"#N/A")</f>
        <v>#N/A</v>
      </c>
    </row>
    <row r="988">
      <c r="A988" s="99" t="str">
        <f>IFERROR(__xludf.DUMMYFUNCTION("transpose(unique(FILTER(dCAGass[Tag],dCAGass[Room no.]='records-CA Gass'!D352,dCAGass[Type]='records-CA Gass'!E352)))"),"#N/A")</f>
        <v>#N/A</v>
      </c>
    </row>
    <row r="989">
      <c r="A989" s="99" t="str">
        <f>IFERROR(__xludf.DUMMYFUNCTION("transpose(unique(FILTER(dCAGass[Tag],dCAGass[Room no.]='records-CA Gass'!D353,dCAGass[Type]='records-CA Gass'!E353)))"),"#N/A")</f>
        <v>#N/A</v>
      </c>
    </row>
    <row r="990">
      <c r="A990" s="99" t="str">
        <f>IFERROR(__xludf.DUMMYFUNCTION("transpose(unique(FILTER(dCAGass[Tag],dCAGass[Room no.]='records-CA Gass'!D354,dCAGass[Type]='records-CA Gass'!E354)))"),"#N/A")</f>
        <v>#N/A</v>
      </c>
    </row>
    <row r="991">
      <c r="A991" s="99" t="str">
        <f>IFERROR(__xludf.DUMMYFUNCTION("transpose(unique(FILTER(dCAGass[Tag],dCAGass[Room no.]='records-CA Gass'!D355,dCAGass[Type]='records-CA Gass'!E355)))"),"#N/A")</f>
        <v>#N/A</v>
      </c>
    </row>
    <row r="992">
      <c r="A992" s="99" t="str">
        <f>IFERROR(__xludf.DUMMYFUNCTION("transpose(unique(FILTER(dCAGass[Tag],dCAGass[Room no.]='records-CA Gass'!D356,dCAGass[Type]='records-CA Gass'!E356)))"),"#N/A")</f>
        <v>#N/A</v>
      </c>
    </row>
    <row r="993">
      <c r="A993" s="99" t="str">
        <f>IFERROR(__xludf.DUMMYFUNCTION("transpose(unique(FILTER(dCAGass[Tag],dCAGass[Room no.]='records-CA Gass'!D357,dCAGass[Type]='records-CA Gass'!E357)))"),"#N/A")</f>
        <v>#N/A</v>
      </c>
    </row>
    <row r="994">
      <c r="A994" s="99" t="str">
        <f>IFERROR(__xludf.DUMMYFUNCTION("transpose(unique(FILTER(dCAGass[Tag],dCAGass[Room no.]='records-CA Gass'!D358,dCAGass[Type]='records-CA Gass'!E358)))"),"#N/A")</f>
        <v>#N/A</v>
      </c>
    </row>
    <row r="995">
      <c r="A995" s="99" t="str">
        <f>IFERROR(__xludf.DUMMYFUNCTION("transpose(unique(FILTER(dCAGass[Tag],dCAGass[Room no.]='records-CA Gass'!D359,dCAGass[Type]='records-CA Gass'!E359)))"),"#N/A")</f>
        <v>#N/A</v>
      </c>
    </row>
    <row r="996">
      <c r="A996" s="99" t="str">
        <f>IFERROR(__xludf.DUMMYFUNCTION("transpose(unique(FILTER(dCAGass[Tag],dCAGass[Room no.]='records-CA Gass'!D360,dCAGass[Type]='records-CA Gass'!E360)))"),"#N/A")</f>
        <v>#N/A</v>
      </c>
    </row>
    <row r="997">
      <c r="A997" s="99" t="str">
        <f>IFERROR(__xludf.DUMMYFUNCTION("transpose(unique(FILTER(dCAGass[Tag],dCAGass[Room no.]='records-CA Gass'!D361,dCAGass[Type]='records-CA Gass'!E361)))"),"#N/A")</f>
        <v>#N/A</v>
      </c>
    </row>
    <row r="998">
      <c r="A998" s="99" t="str">
        <f>IFERROR(__xludf.DUMMYFUNCTION("transpose(unique(FILTER(dCAGass[Tag],dCAGass[Room no.]='records-CA Gass'!D362,dCAGass[Type]='records-CA Gass'!E362)))"),"#N/A")</f>
        <v>#N/A</v>
      </c>
    </row>
    <row r="999">
      <c r="A999" s="99" t="str">
        <f>IFERROR(__xludf.DUMMYFUNCTION("transpose(unique(FILTER(dCAGass[Tag],dCAGass[Room no.]='records-CA Gass'!D363,dCAGass[Type]='records-CA Gass'!E363)))"),"#N/A")</f>
        <v>#N/A</v>
      </c>
    </row>
    <row r="1000">
      <c r="A1000" s="99" t="str">
        <f>IFERROR(__xludf.DUMMYFUNCTION("transpose(unique(FILTER(dCAGass[Tag],dCAGass[Room no.]='records-CA Gass'!D364,dCAGass[Type]='records-CA Gass'!E364)))"),"#N/A")</f>
        <v>#N/A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9.0"/>
    <col customWidth="1" min="2" max="2" width="13.5"/>
    <col customWidth="1" min="4" max="4" width="37.63"/>
    <col customWidth="1" min="5" max="5" width="7.13"/>
    <col customWidth="1" min="6" max="7" width="8.63"/>
    <col customWidth="1" hidden="1" min="8" max="9" width="8.63"/>
    <col hidden="1" min="10" max="10" width="12.63"/>
    <col customWidth="1" hidden="1" min="11" max="11" width="15.0"/>
  </cols>
  <sheetData>
    <row r="1" ht="22.5" customHeight="1">
      <c r="A1" s="4" t="s">
        <v>1815</v>
      </c>
      <c r="B1" s="146" t="s">
        <v>1816</v>
      </c>
      <c r="C1" s="4" t="s">
        <v>81</v>
      </c>
      <c r="D1" s="4" t="s">
        <v>162</v>
      </c>
      <c r="E1" s="146" t="s">
        <v>1817</v>
      </c>
      <c r="F1" s="147" t="s">
        <v>1818</v>
      </c>
      <c r="G1" s="148" t="s">
        <v>1819</v>
      </c>
      <c r="H1" s="148" t="s">
        <v>1820</v>
      </c>
      <c r="I1" s="149" t="s">
        <v>1821</v>
      </c>
      <c r="J1" s="89" t="s">
        <v>150</v>
      </c>
      <c r="K1" s="4" t="s">
        <v>1822</v>
      </c>
      <c r="L1" s="89" t="s">
        <v>1823</v>
      </c>
      <c r="M1" s="89" t="s">
        <v>1824</v>
      </c>
    </row>
    <row r="2" ht="22.5" customHeight="1">
      <c r="A2" s="150">
        <v>46062.0</v>
      </c>
      <c r="B2" s="151">
        <v>46065.0</v>
      </c>
      <c r="C2" s="25" t="s">
        <v>840</v>
      </c>
      <c r="D2" s="152" t="s">
        <v>1455</v>
      </c>
      <c r="E2" s="153" t="s">
        <v>855</v>
      </c>
      <c r="F2" s="11">
        <v>1.0</v>
      </c>
      <c r="G2" s="23">
        <f t="array" ref="G2">if(F2=0, 0, (iferror(_xlfn.XLOOKUP(M2, feller[code], feller[Vc]), 1000)))</f>
        <v>1</v>
      </c>
      <c r="H2" s="23">
        <v>1.0</v>
      </c>
      <c r="I2" s="23">
        <v>1.0</v>
      </c>
      <c r="J2" s="28"/>
      <c r="K2" s="11" t="s">
        <v>1792</v>
      </c>
      <c r="L2" s="93" t="str">
        <f t="shared" ref="L2:L61" si="1">_xlfn.XLOOKUP($K2, $O$2:$O$5, $Q$2:$Q$5)</f>
        <v>VWR</v>
      </c>
      <c r="M2" s="93" t="str">
        <f t="shared" ref="M2:M61" si="2">F2&amp;L2</f>
        <v>1VWR</v>
      </c>
      <c r="O2" s="99" t="s">
        <v>1792</v>
      </c>
      <c r="P2" s="1" t="s">
        <v>1825</v>
      </c>
      <c r="Q2" s="1" t="s">
        <v>534</v>
      </c>
      <c r="R2" s="154" t="s">
        <v>1826</v>
      </c>
    </row>
    <row r="3" ht="22.5" customHeight="1">
      <c r="A3" s="150">
        <v>46062.0</v>
      </c>
      <c r="B3" s="151">
        <v>46065.0</v>
      </c>
      <c r="C3" s="23" t="s">
        <v>845</v>
      </c>
      <c r="D3" s="152" t="s">
        <v>1457</v>
      </c>
      <c r="E3" s="153" t="s">
        <v>1060</v>
      </c>
      <c r="F3" s="11">
        <v>2.0</v>
      </c>
      <c r="G3" s="23">
        <f t="array" ref="G3">if(F3=0, 0, (iferror(_xlfn.XLOOKUP(M3, feller[code], feller[Vc]), 1000)))</f>
        <v>2</v>
      </c>
      <c r="H3" s="23">
        <v>2.0</v>
      </c>
      <c r="I3" s="23">
        <v>2.0</v>
      </c>
      <c r="J3" s="93"/>
      <c r="K3" s="11" t="s">
        <v>1792</v>
      </c>
      <c r="L3" s="93" t="str">
        <f t="shared" si="1"/>
        <v>VWR</v>
      </c>
      <c r="M3" s="93" t="str">
        <f t="shared" si="2"/>
        <v>2VWR</v>
      </c>
      <c r="O3" s="99" t="s">
        <v>1810</v>
      </c>
      <c r="P3" s="1" t="s">
        <v>1827</v>
      </c>
      <c r="Q3" s="1" t="s">
        <v>1413</v>
      </c>
      <c r="R3" s="154" t="s">
        <v>1828</v>
      </c>
    </row>
    <row r="4" ht="22.5" customHeight="1">
      <c r="A4" s="150">
        <v>46062.0</v>
      </c>
      <c r="B4" s="151">
        <v>46065.0</v>
      </c>
      <c r="C4" s="23" t="s">
        <v>857</v>
      </c>
      <c r="D4" s="152" t="s">
        <v>1458</v>
      </c>
      <c r="E4" s="153" t="s">
        <v>855</v>
      </c>
      <c r="F4" s="11">
        <v>0.0</v>
      </c>
      <c r="G4" s="23">
        <f t="array" ref="G4">if(F4=0, 0, (iferror(_xlfn.XLOOKUP(M4, feller[code], feller[Vc]), 1000)))</f>
        <v>0</v>
      </c>
      <c r="H4" s="23">
        <v>0.0</v>
      </c>
      <c r="I4" s="23">
        <v>0.0</v>
      </c>
      <c r="J4" s="28"/>
      <c r="K4" s="11" t="s">
        <v>1792</v>
      </c>
      <c r="L4" s="93" t="str">
        <f t="shared" si="1"/>
        <v>VWR</v>
      </c>
      <c r="M4" s="25" t="str">
        <f t="shared" si="2"/>
        <v>0VWR</v>
      </c>
      <c r="N4" s="155"/>
      <c r="O4" s="155" t="s">
        <v>1830</v>
      </c>
      <c r="P4" s="1" t="s">
        <v>1831</v>
      </c>
      <c r="Q4" s="156" t="s">
        <v>203</v>
      </c>
      <c r="R4" s="157" t="s">
        <v>1832</v>
      </c>
    </row>
    <row r="5" ht="22.5" customHeight="1">
      <c r="A5" s="150">
        <v>46062.0</v>
      </c>
      <c r="B5" s="151">
        <v>46065.0</v>
      </c>
      <c r="C5" s="23" t="s">
        <v>878</v>
      </c>
      <c r="D5" s="152" t="s">
        <v>1459</v>
      </c>
      <c r="E5" s="153" t="s">
        <v>1060</v>
      </c>
      <c r="F5" s="11">
        <v>0.0</v>
      </c>
      <c r="G5" s="23">
        <f t="array" ref="G5">if(F5=0, 0, (iferror(_xlfn.XLOOKUP(M5, feller[code], feller[Vc]), 1000)))</f>
        <v>0</v>
      </c>
      <c r="H5" s="23">
        <v>0.0</v>
      </c>
      <c r="I5" s="23">
        <v>0.0</v>
      </c>
      <c r="J5" s="28"/>
      <c r="K5" s="11" t="s">
        <v>1792</v>
      </c>
      <c r="L5" s="93" t="str">
        <f t="shared" si="1"/>
        <v>VWR</v>
      </c>
      <c r="M5" s="93" t="str">
        <f t="shared" si="2"/>
        <v>0VWR</v>
      </c>
      <c r="O5" s="99" t="s">
        <v>1834</v>
      </c>
      <c r="P5" s="1" t="s">
        <v>1827</v>
      </c>
      <c r="Q5" s="1" t="s">
        <v>1413</v>
      </c>
      <c r="R5" s="154" t="s">
        <v>1828</v>
      </c>
    </row>
    <row r="6" ht="22.5" customHeight="1">
      <c r="A6" s="150">
        <v>46062.0</v>
      </c>
      <c r="B6" s="151">
        <v>46065.0</v>
      </c>
      <c r="C6" s="23" t="s">
        <v>898</v>
      </c>
      <c r="D6" s="152" t="s">
        <v>1069</v>
      </c>
      <c r="E6" s="153" t="s">
        <v>1060</v>
      </c>
      <c r="F6" s="11">
        <v>0.0</v>
      </c>
      <c r="G6" s="23">
        <f t="array" ref="G6">if(F6=0, 0, (iferror(_xlfn.XLOOKUP(M6, feller[code], feller[Vc]), 1000)))</f>
        <v>0</v>
      </c>
      <c r="H6" s="23">
        <v>0.0</v>
      </c>
      <c r="I6" s="23">
        <v>0.0</v>
      </c>
      <c r="J6" s="23" t="s">
        <v>902</v>
      </c>
      <c r="K6" s="11" t="s">
        <v>1792</v>
      </c>
      <c r="L6" s="93" t="str">
        <f t="shared" si="1"/>
        <v>VWR</v>
      </c>
      <c r="M6" s="93" t="str">
        <f t="shared" si="2"/>
        <v>0VWR</v>
      </c>
    </row>
    <row r="7" ht="22.5" customHeight="1">
      <c r="A7" s="150">
        <v>46062.0</v>
      </c>
      <c r="B7" s="151">
        <v>46065.0</v>
      </c>
      <c r="C7" s="23" t="s">
        <v>919</v>
      </c>
      <c r="D7" s="152" t="s">
        <v>1048</v>
      </c>
      <c r="E7" s="153" t="s">
        <v>1060</v>
      </c>
      <c r="F7" s="11">
        <v>0.0</v>
      </c>
      <c r="G7" s="23">
        <f t="array" ref="G7">if(F7=0, 0, (iferror(_xlfn.XLOOKUP(M7, feller[code], feller[Vc]), 1000)))</f>
        <v>0</v>
      </c>
      <c r="H7" s="23">
        <v>0.0</v>
      </c>
      <c r="I7" s="23">
        <v>0.0</v>
      </c>
      <c r="J7" s="93"/>
      <c r="K7" s="11" t="s">
        <v>1792</v>
      </c>
      <c r="L7" s="93" t="str">
        <f t="shared" si="1"/>
        <v>VWR</v>
      </c>
      <c r="M7" s="93" t="str">
        <f t="shared" si="2"/>
        <v>0VWR</v>
      </c>
    </row>
    <row r="8" ht="22.5" customHeight="1">
      <c r="A8" s="150">
        <v>46062.0</v>
      </c>
      <c r="B8" s="151">
        <v>46065.0</v>
      </c>
      <c r="C8" s="23" t="s">
        <v>753</v>
      </c>
      <c r="D8" s="152" t="s">
        <v>1720</v>
      </c>
      <c r="E8" s="158" t="s">
        <v>1060</v>
      </c>
      <c r="F8" s="11">
        <v>0.0</v>
      </c>
      <c r="G8" s="23">
        <f t="array" ref="G8">if(F8=0, 0, (iferror(_xlfn.XLOOKUP(M8, feller[code], feller[Vc]), 1000)))</f>
        <v>0</v>
      </c>
      <c r="H8" s="23">
        <v>0.0</v>
      </c>
      <c r="I8" s="23">
        <v>0.0</v>
      </c>
      <c r="J8" s="23" t="s">
        <v>1835</v>
      </c>
      <c r="K8" s="11" t="s">
        <v>1792</v>
      </c>
      <c r="L8" s="93" t="str">
        <f t="shared" si="1"/>
        <v>VWR</v>
      </c>
      <c r="M8" s="93" t="str">
        <f t="shared" si="2"/>
        <v>0VWR</v>
      </c>
    </row>
    <row r="9" ht="22.5" customHeight="1">
      <c r="A9" s="150">
        <v>46062.0</v>
      </c>
      <c r="B9" s="151">
        <v>46065.0</v>
      </c>
      <c r="C9" s="23" t="s">
        <v>753</v>
      </c>
      <c r="D9" s="152" t="s">
        <v>1720</v>
      </c>
      <c r="E9" s="158" t="s">
        <v>975</v>
      </c>
      <c r="F9" s="11">
        <v>0.0</v>
      </c>
      <c r="G9" s="23">
        <f t="array" ref="G9">if(F9=0, 0, (iferror(_xlfn.XLOOKUP(M9, feller[code], feller[Vc]), 1000)))</f>
        <v>0</v>
      </c>
      <c r="H9" s="23">
        <v>0.0</v>
      </c>
      <c r="I9" s="23">
        <v>0.0</v>
      </c>
      <c r="J9" s="93"/>
      <c r="K9" s="11" t="s">
        <v>1792</v>
      </c>
      <c r="L9" s="93" t="str">
        <f t="shared" si="1"/>
        <v>VWR</v>
      </c>
      <c r="M9" s="93" t="str">
        <f t="shared" si="2"/>
        <v>0VWR</v>
      </c>
    </row>
    <row r="10" ht="22.5" customHeight="1">
      <c r="A10" s="150">
        <v>46062.0</v>
      </c>
      <c r="B10" s="151">
        <v>46065.0</v>
      </c>
      <c r="C10" s="23" t="s">
        <v>765</v>
      </c>
      <c r="D10" s="152" t="s">
        <v>1029</v>
      </c>
      <c r="E10" s="153" t="s">
        <v>975</v>
      </c>
      <c r="F10" s="11">
        <v>0.0</v>
      </c>
      <c r="G10" s="23">
        <f t="array" ref="G10">if(F10=0, 0, (iferror(_xlfn.XLOOKUP(M10, feller[code], feller[Vc]), 1000)))</f>
        <v>0</v>
      </c>
      <c r="H10" s="23">
        <v>0.0</v>
      </c>
      <c r="I10" s="23">
        <v>0.0</v>
      </c>
      <c r="J10" s="23" t="s">
        <v>1835</v>
      </c>
      <c r="K10" s="11" t="s">
        <v>1810</v>
      </c>
      <c r="L10" s="93" t="str">
        <f t="shared" si="1"/>
        <v>MAS-100 VF</v>
      </c>
      <c r="M10" s="93" t="str">
        <f t="shared" si="2"/>
        <v>0MAS-100 VF</v>
      </c>
    </row>
    <row r="11" ht="22.5" customHeight="1">
      <c r="A11" s="150">
        <v>46062.0</v>
      </c>
      <c r="B11" s="151">
        <v>46065.0</v>
      </c>
      <c r="C11" s="23" t="s">
        <v>765</v>
      </c>
      <c r="D11" s="152" t="s">
        <v>1029</v>
      </c>
      <c r="E11" s="153" t="s">
        <v>975</v>
      </c>
      <c r="F11" s="11">
        <v>1.0</v>
      </c>
      <c r="G11" s="23">
        <f t="array" ref="G11">if(F11=0, 0, (iferror(_xlfn.XLOOKUP(M11, feller[code], feller[Vc]), 1000)))</f>
        <v>1</v>
      </c>
      <c r="H11" s="23">
        <v>1.0</v>
      </c>
      <c r="I11" s="23">
        <v>1.0</v>
      </c>
      <c r="J11" s="23" t="s">
        <v>1837</v>
      </c>
      <c r="K11" s="11" t="s">
        <v>1792</v>
      </c>
      <c r="L11" s="93" t="str">
        <f t="shared" si="1"/>
        <v>VWR</v>
      </c>
      <c r="M11" s="93" t="str">
        <f t="shared" si="2"/>
        <v>1VWR</v>
      </c>
    </row>
    <row r="12" ht="22.5" customHeight="1">
      <c r="A12" s="150">
        <v>46062.0</v>
      </c>
      <c r="B12" s="151">
        <v>46065.0</v>
      </c>
      <c r="C12" s="23" t="s">
        <v>765</v>
      </c>
      <c r="D12" s="152" t="s">
        <v>1029</v>
      </c>
      <c r="E12" s="153" t="s">
        <v>1060</v>
      </c>
      <c r="F12" s="11">
        <v>0.0</v>
      </c>
      <c r="G12" s="23">
        <f t="array" ref="G12">if(F12=0, 0, (iferror(_xlfn.XLOOKUP(M12, feller[code], feller[Vc]), 1000)))</f>
        <v>0</v>
      </c>
      <c r="H12" s="23">
        <v>0.0</v>
      </c>
      <c r="I12" s="23">
        <v>0.0</v>
      </c>
      <c r="J12" s="93"/>
      <c r="K12" s="11" t="s">
        <v>1810</v>
      </c>
      <c r="L12" s="93" t="str">
        <f t="shared" si="1"/>
        <v>MAS-100 VF</v>
      </c>
      <c r="M12" s="93" t="str">
        <f t="shared" si="2"/>
        <v>0MAS-100 VF</v>
      </c>
    </row>
    <row r="13" ht="22.5" customHeight="1">
      <c r="A13" s="150">
        <v>46062.0</v>
      </c>
      <c r="B13" s="151">
        <v>46065.0</v>
      </c>
      <c r="C13" s="23" t="s">
        <v>729</v>
      </c>
      <c r="D13" s="159" t="s">
        <v>1724</v>
      </c>
      <c r="E13" s="153" t="s">
        <v>1060</v>
      </c>
      <c r="F13" s="11">
        <v>0.0</v>
      </c>
      <c r="G13" s="23">
        <f t="array" ref="G13">if(F13=0, 0, (iferror(_xlfn.XLOOKUP(M13, feller[code], feller[Vc]), 1000)))</f>
        <v>0</v>
      </c>
      <c r="H13" s="23">
        <v>0.0</v>
      </c>
      <c r="I13" s="23">
        <v>0.0</v>
      </c>
      <c r="J13" s="93"/>
      <c r="K13" s="11" t="s">
        <v>1810</v>
      </c>
      <c r="L13" s="93" t="str">
        <f t="shared" si="1"/>
        <v>MAS-100 VF</v>
      </c>
      <c r="M13" s="93" t="str">
        <f t="shared" si="2"/>
        <v>0MAS-100 VF</v>
      </c>
    </row>
    <row r="14" ht="22.5" customHeight="1">
      <c r="A14" s="150">
        <v>46062.0</v>
      </c>
      <c r="B14" s="151">
        <v>46065.0</v>
      </c>
      <c r="C14" s="23" t="s">
        <v>1041</v>
      </c>
      <c r="D14" s="152" t="s">
        <v>1467</v>
      </c>
      <c r="E14" s="153" t="s">
        <v>1060</v>
      </c>
      <c r="F14" s="11">
        <v>1.0</v>
      </c>
      <c r="G14" s="23">
        <f t="array" ref="G14">if(F14=0, 0, (iferror(_xlfn.XLOOKUP(M14, feller[code], feller[Vc]), 1000)))</f>
        <v>1</v>
      </c>
      <c r="H14" s="23">
        <v>1.0</v>
      </c>
      <c r="I14" s="23">
        <v>1.0</v>
      </c>
      <c r="J14" s="23" t="s">
        <v>1043</v>
      </c>
      <c r="K14" s="11" t="s">
        <v>1810</v>
      </c>
      <c r="L14" s="93" t="str">
        <f t="shared" si="1"/>
        <v>MAS-100 VF</v>
      </c>
      <c r="M14" s="93" t="str">
        <f t="shared" si="2"/>
        <v>1MAS-100 VF</v>
      </c>
    </row>
    <row r="15" ht="22.5" customHeight="1">
      <c r="A15" s="150">
        <v>46062.0</v>
      </c>
      <c r="B15" s="151">
        <v>46065.0</v>
      </c>
      <c r="C15" s="23" t="s">
        <v>1047</v>
      </c>
      <c r="D15" s="152" t="s">
        <v>1789</v>
      </c>
      <c r="E15" s="153" t="s">
        <v>1060</v>
      </c>
      <c r="F15" s="11">
        <v>0.0</v>
      </c>
      <c r="G15" s="23">
        <f t="array" ref="G15">if(F15=0, 0, (iferror(_xlfn.XLOOKUP(M15, feller[code], feller[Vc]), 1000)))</f>
        <v>0</v>
      </c>
      <c r="H15" s="23">
        <v>0.0</v>
      </c>
      <c r="I15" s="23">
        <v>0.0</v>
      </c>
      <c r="J15" s="93"/>
      <c r="K15" s="11" t="s">
        <v>1810</v>
      </c>
      <c r="L15" s="93" t="str">
        <f t="shared" si="1"/>
        <v>MAS-100 VF</v>
      </c>
      <c r="M15" s="93" t="str">
        <f t="shared" si="2"/>
        <v>0MAS-100 VF</v>
      </c>
    </row>
    <row r="16" ht="22.5" customHeight="1">
      <c r="A16" s="150">
        <v>46062.0</v>
      </c>
      <c r="B16" s="151">
        <v>46065.0</v>
      </c>
      <c r="C16" s="23" t="s">
        <v>1052</v>
      </c>
      <c r="D16" s="152" t="s">
        <v>1725</v>
      </c>
      <c r="E16" s="153" t="s">
        <v>1060</v>
      </c>
      <c r="F16" s="11">
        <v>0.0</v>
      </c>
      <c r="G16" s="23">
        <f t="array" ref="G16">if(F16=0, 0, (iferror(_xlfn.XLOOKUP(M16, feller[code], feller[Vc]), 1000)))</f>
        <v>0</v>
      </c>
      <c r="H16" s="23">
        <v>0.0</v>
      </c>
      <c r="I16" s="23">
        <v>0.0</v>
      </c>
      <c r="J16" s="93"/>
      <c r="K16" s="11" t="s">
        <v>1810</v>
      </c>
      <c r="L16" s="93" t="str">
        <f t="shared" si="1"/>
        <v>MAS-100 VF</v>
      </c>
      <c r="M16" s="93" t="str">
        <f t="shared" si="2"/>
        <v>0MAS-100 VF</v>
      </c>
    </row>
    <row r="17" ht="22.5" customHeight="1">
      <c r="A17" s="150">
        <v>46062.0</v>
      </c>
      <c r="B17" s="151">
        <v>46065.0</v>
      </c>
      <c r="C17" s="23" t="s">
        <v>1068</v>
      </c>
      <c r="D17" s="152" t="s">
        <v>1048</v>
      </c>
      <c r="E17" s="153" t="s">
        <v>1060</v>
      </c>
      <c r="F17" s="11">
        <v>1.0</v>
      </c>
      <c r="G17" s="23">
        <f t="array" ref="G17">if(F17=0, 0, (iferror(_xlfn.XLOOKUP(M17, feller[code], feller[Vc]), 1000)))</f>
        <v>1</v>
      </c>
      <c r="H17" s="23">
        <v>1.0</v>
      </c>
      <c r="I17" s="23">
        <v>1.0</v>
      </c>
      <c r="J17" s="28"/>
      <c r="K17" s="11" t="s">
        <v>1792</v>
      </c>
      <c r="L17" s="93" t="str">
        <f t="shared" si="1"/>
        <v>VWR</v>
      </c>
      <c r="M17" s="93" t="str">
        <f t="shared" si="2"/>
        <v>1VWR</v>
      </c>
    </row>
    <row r="18" ht="22.5" customHeight="1">
      <c r="A18" s="150">
        <v>46062.0</v>
      </c>
      <c r="B18" s="151">
        <v>46065.0</v>
      </c>
      <c r="C18" s="23" t="s">
        <v>736</v>
      </c>
      <c r="D18" s="159" t="s">
        <v>940</v>
      </c>
      <c r="E18" s="153" t="s">
        <v>1060</v>
      </c>
      <c r="F18" s="11">
        <v>2.0</v>
      </c>
      <c r="G18" s="23">
        <f t="array" ref="G18">if(F18=0, 0, (iferror(_xlfn.XLOOKUP(M18, feller[code], feller[Vc]), 1000)))</f>
        <v>2</v>
      </c>
      <c r="H18" s="23">
        <v>2.0</v>
      </c>
      <c r="I18" s="23">
        <v>2.0</v>
      </c>
      <c r="J18" s="28"/>
      <c r="K18" s="11" t="s">
        <v>1792</v>
      </c>
      <c r="L18" s="93" t="str">
        <f t="shared" si="1"/>
        <v>VWR</v>
      </c>
      <c r="M18" s="93" t="str">
        <f t="shared" si="2"/>
        <v>2VWR</v>
      </c>
    </row>
    <row r="19" ht="22.5" customHeight="1">
      <c r="A19" s="150">
        <v>46062.0</v>
      </c>
      <c r="B19" s="151">
        <v>46065.0</v>
      </c>
      <c r="C19" s="23" t="s">
        <v>740</v>
      </c>
      <c r="D19" s="159" t="s">
        <v>1726</v>
      </c>
      <c r="E19" s="153" t="s">
        <v>1060</v>
      </c>
      <c r="F19" s="11">
        <v>0.0</v>
      </c>
      <c r="G19" s="23">
        <f t="array" ref="G19">if(F19=0, 0, (iferror(_xlfn.XLOOKUP(M19, feller[code], feller[Vc]), 1000)))</f>
        <v>0</v>
      </c>
      <c r="H19" s="23">
        <v>0.0</v>
      </c>
      <c r="I19" s="23">
        <v>0.0</v>
      </c>
      <c r="J19" s="28"/>
      <c r="K19" s="11" t="s">
        <v>1810</v>
      </c>
      <c r="L19" s="93" t="str">
        <f t="shared" si="1"/>
        <v>MAS-100 VF</v>
      </c>
      <c r="M19" s="93" t="str">
        <f t="shared" si="2"/>
        <v>0MAS-100 VF</v>
      </c>
    </row>
    <row r="20" ht="22.5" customHeight="1">
      <c r="A20" s="150">
        <v>46062.0</v>
      </c>
      <c r="B20" s="151">
        <v>46065.0</v>
      </c>
      <c r="C20" s="23" t="s">
        <v>774</v>
      </c>
      <c r="D20" s="152" t="s">
        <v>1015</v>
      </c>
      <c r="E20" s="153" t="s">
        <v>975</v>
      </c>
      <c r="F20" s="11">
        <v>0.0</v>
      </c>
      <c r="G20" s="23">
        <f t="array" ref="G20">if(F20=0, 0, (iferror(_xlfn.XLOOKUP(M20, feller[code], feller[Vc]), 1000)))</f>
        <v>0</v>
      </c>
      <c r="H20" s="23">
        <v>0.0</v>
      </c>
      <c r="I20" s="23">
        <v>0.0</v>
      </c>
      <c r="J20" s="23" t="s">
        <v>1835</v>
      </c>
      <c r="K20" s="11" t="s">
        <v>1810</v>
      </c>
      <c r="L20" s="93" t="str">
        <f t="shared" si="1"/>
        <v>MAS-100 VF</v>
      </c>
      <c r="M20" s="93" t="str">
        <f t="shared" si="2"/>
        <v>0MAS-100 VF</v>
      </c>
    </row>
    <row r="21" ht="22.5" customHeight="1">
      <c r="A21" s="150">
        <v>46062.0</v>
      </c>
      <c r="B21" s="151">
        <v>46065.0</v>
      </c>
      <c r="C21" s="23" t="s">
        <v>774</v>
      </c>
      <c r="D21" s="152" t="s">
        <v>1015</v>
      </c>
      <c r="E21" s="153" t="s">
        <v>975</v>
      </c>
      <c r="F21" s="11">
        <v>0.0</v>
      </c>
      <c r="G21" s="23">
        <f t="array" ref="G21">if(F21=0, 0, (iferror(_xlfn.XLOOKUP(M21, feller[code], feller[Vc]), 1000)))</f>
        <v>0</v>
      </c>
      <c r="H21" s="23">
        <v>0.0</v>
      </c>
      <c r="I21" s="23">
        <v>0.0</v>
      </c>
      <c r="J21" s="23" t="s">
        <v>1844</v>
      </c>
      <c r="K21" s="11" t="s">
        <v>1792</v>
      </c>
      <c r="L21" s="93" t="str">
        <f t="shared" si="1"/>
        <v>VWR</v>
      </c>
      <c r="M21" s="93" t="str">
        <f t="shared" si="2"/>
        <v>0VWR</v>
      </c>
    </row>
    <row r="22" ht="22.5" customHeight="1">
      <c r="A22" s="150">
        <v>46062.0</v>
      </c>
      <c r="B22" s="151">
        <v>46065.0</v>
      </c>
      <c r="C22" s="23" t="s">
        <v>774</v>
      </c>
      <c r="D22" s="152" t="s">
        <v>1015</v>
      </c>
      <c r="E22" s="153" t="s">
        <v>1060</v>
      </c>
      <c r="F22" s="11">
        <v>0.0</v>
      </c>
      <c r="G22" s="23">
        <f t="array" ref="G22">if(F22=0, 0, (iferror(_xlfn.XLOOKUP(M22, feller[code], feller[Vc]), 1000)))</f>
        <v>0</v>
      </c>
      <c r="H22" s="23">
        <v>0.0</v>
      </c>
      <c r="I22" s="23">
        <v>0.0</v>
      </c>
      <c r="J22" s="28"/>
      <c r="K22" s="11" t="s">
        <v>1810</v>
      </c>
      <c r="L22" s="93" t="str">
        <f t="shared" si="1"/>
        <v>MAS-100 VF</v>
      </c>
      <c r="M22" s="93" t="str">
        <f t="shared" si="2"/>
        <v>0MAS-100 VF</v>
      </c>
    </row>
    <row r="23" ht="22.5" customHeight="1">
      <c r="A23" s="150">
        <v>46062.0</v>
      </c>
      <c r="B23" s="151">
        <v>46065.0</v>
      </c>
      <c r="C23" s="23" t="s">
        <v>1162</v>
      </c>
      <c r="D23" s="152" t="s">
        <v>1076</v>
      </c>
      <c r="E23" s="153" t="s">
        <v>1060</v>
      </c>
      <c r="F23" s="11">
        <v>0.0</v>
      </c>
      <c r="G23" s="23">
        <f t="array" ref="G23">if(F23=0, 0, (iferror(_xlfn.XLOOKUP(M23, feller[code], feller[Vc]), 1000)))</f>
        <v>0</v>
      </c>
      <c r="H23" s="23">
        <v>0.0</v>
      </c>
      <c r="I23" s="23">
        <v>0.0</v>
      </c>
      <c r="J23" s="28"/>
      <c r="K23" s="11" t="s">
        <v>1792</v>
      </c>
      <c r="L23" s="93" t="str">
        <f t="shared" si="1"/>
        <v>VWR</v>
      </c>
      <c r="M23" s="93" t="str">
        <f t="shared" si="2"/>
        <v>0VWR</v>
      </c>
    </row>
    <row r="24" ht="22.5" customHeight="1">
      <c r="A24" s="150">
        <v>46062.0</v>
      </c>
      <c r="B24" s="151">
        <v>46065.0</v>
      </c>
      <c r="C24" s="23" t="s">
        <v>1174</v>
      </c>
      <c r="D24" s="152" t="s">
        <v>1125</v>
      </c>
      <c r="E24" s="153" t="s">
        <v>1060</v>
      </c>
      <c r="F24" s="11">
        <v>0.0</v>
      </c>
      <c r="G24" s="23">
        <f t="array" ref="G24">if(F24=0, 0, (iferror(_xlfn.XLOOKUP(M24, feller[code], feller[Vc]), 1000)))</f>
        <v>0</v>
      </c>
      <c r="H24" s="23">
        <v>0.0</v>
      </c>
      <c r="I24" s="23">
        <v>0.0</v>
      </c>
      <c r="J24" s="93"/>
      <c r="K24" s="11" t="s">
        <v>1810</v>
      </c>
      <c r="L24" s="93" t="str">
        <f t="shared" si="1"/>
        <v>MAS-100 VF</v>
      </c>
      <c r="M24" s="93" t="str">
        <f t="shared" si="2"/>
        <v>0MAS-100 VF</v>
      </c>
    </row>
    <row r="25" ht="22.5" customHeight="1">
      <c r="A25" s="150">
        <v>46062.0</v>
      </c>
      <c r="B25" s="151">
        <v>46065.0</v>
      </c>
      <c r="C25" s="23" t="s">
        <v>1194</v>
      </c>
      <c r="D25" s="152" t="s">
        <v>1455</v>
      </c>
      <c r="E25" s="153" t="s">
        <v>855</v>
      </c>
      <c r="F25" s="11">
        <v>9.0</v>
      </c>
      <c r="G25" s="23">
        <f t="array" ref="G25">if(F25=0, 0, (iferror(_xlfn.XLOOKUP(M25, feller[code], feller[Vc]), 1000)))</f>
        <v>9</v>
      </c>
      <c r="H25" s="23">
        <v>10.0</v>
      </c>
      <c r="I25" s="23">
        <v>11.0</v>
      </c>
      <c r="J25" s="28"/>
      <c r="K25" s="17" t="s">
        <v>1830</v>
      </c>
      <c r="L25" s="93" t="str">
        <f t="shared" si="1"/>
        <v>miniCapt</v>
      </c>
      <c r="M25" s="93" t="str">
        <f t="shared" si="2"/>
        <v>9miniCapt</v>
      </c>
    </row>
    <row r="26" ht="22.5" customHeight="1">
      <c r="A26" s="150">
        <v>46062.0</v>
      </c>
      <c r="B26" s="151">
        <v>46065.0</v>
      </c>
      <c r="C26" s="23" t="s">
        <v>1226</v>
      </c>
      <c r="D26" s="152" t="s">
        <v>1457</v>
      </c>
      <c r="E26" s="153" t="s">
        <v>1060</v>
      </c>
      <c r="F26" s="11">
        <v>7.0</v>
      </c>
      <c r="G26" s="23">
        <f t="array" ref="G26">if(F26=0, 0, (iferror(_xlfn.XLOOKUP(M26, feller[code], feller[Vc]), 1000)))</f>
        <v>7</v>
      </c>
      <c r="H26" s="23">
        <v>7.0</v>
      </c>
      <c r="I26" s="23">
        <v>8.0</v>
      </c>
      <c r="J26" s="28"/>
      <c r="K26" s="17" t="s">
        <v>1830</v>
      </c>
      <c r="L26" s="93" t="str">
        <f t="shared" si="1"/>
        <v>miniCapt</v>
      </c>
      <c r="M26" s="93" t="str">
        <f t="shared" si="2"/>
        <v>7miniCapt</v>
      </c>
    </row>
    <row r="27" ht="22.5" customHeight="1">
      <c r="A27" s="150">
        <v>46062.0</v>
      </c>
      <c r="B27" s="151">
        <v>46065.0</v>
      </c>
      <c r="C27" s="23" t="s">
        <v>1250</v>
      </c>
      <c r="D27" s="152" t="s">
        <v>1458</v>
      </c>
      <c r="E27" s="153" t="s">
        <v>855</v>
      </c>
      <c r="F27" s="11">
        <v>1.0</v>
      </c>
      <c r="G27" s="23">
        <f t="array" ref="G27">if(F27=0, 0, (iferror(_xlfn.XLOOKUP(M27, feller[code], feller[Vc]), 1000)))</f>
        <v>1</v>
      </c>
      <c r="H27" s="23">
        <v>1.0</v>
      </c>
      <c r="I27" s="23">
        <v>1.0</v>
      </c>
      <c r="J27" s="28"/>
      <c r="K27" s="11" t="s">
        <v>1792</v>
      </c>
      <c r="L27" s="93" t="str">
        <f t="shared" si="1"/>
        <v>VWR</v>
      </c>
      <c r="M27" s="93" t="str">
        <f t="shared" si="2"/>
        <v>1VWR</v>
      </c>
    </row>
    <row r="28" ht="22.5" customHeight="1">
      <c r="A28" s="150">
        <v>46062.0</v>
      </c>
      <c r="B28" s="151">
        <v>46065.0</v>
      </c>
      <c r="C28" s="23" t="s">
        <v>1273</v>
      </c>
      <c r="D28" s="152" t="s">
        <v>1459</v>
      </c>
      <c r="E28" s="153" t="s">
        <v>1060</v>
      </c>
      <c r="F28" s="11">
        <v>1.0</v>
      </c>
      <c r="G28" s="23">
        <f t="array" ref="G28">if(F28=0, 0, (iferror(_xlfn.XLOOKUP(M28, feller[code], feller[Vc]), 1000)))</f>
        <v>1</v>
      </c>
      <c r="H28" s="23">
        <v>1.0</v>
      </c>
      <c r="I28" s="23">
        <v>2.0</v>
      </c>
      <c r="J28" s="28"/>
      <c r="K28" s="17" t="s">
        <v>1830</v>
      </c>
      <c r="L28" s="93" t="str">
        <f t="shared" si="1"/>
        <v>miniCapt</v>
      </c>
      <c r="M28" s="93" t="str">
        <f t="shared" si="2"/>
        <v>1miniCapt</v>
      </c>
    </row>
    <row r="29" ht="22.5" customHeight="1">
      <c r="A29" s="150">
        <v>46062.0</v>
      </c>
      <c r="B29" s="151">
        <v>46065.0</v>
      </c>
      <c r="C29" s="23" t="s">
        <v>1311</v>
      </c>
      <c r="D29" s="152" t="s">
        <v>1069</v>
      </c>
      <c r="E29" s="153" t="s">
        <v>1060</v>
      </c>
      <c r="F29" s="23">
        <v>3.0</v>
      </c>
      <c r="G29" s="23">
        <f t="array" ref="G29">if(F29=0, 0, (iferror(_xlfn.XLOOKUP(M29, feller[code], feller[Vc]), 1000)))</f>
        <v>3</v>
      </c>
      <c r="H29" s="23">
        <v>3.0</v>
      </c>
      <c r="I29" s="11">
        <v>3.0</v>
      </c>
      <c r="J29" s="11" t="s">
        <v>1318</v>
      </c>
      <c r="K29" s="17" t="s">
        <v>1830</v>
      </c>
      <c r="L29" s="93" t="str">
        <f t="shared" si="1"/>
        <v>miniCapt</v>
      </c>
      <c r="M29" s="93" t="str">
        <f t="shared" si="2"/>
        <v>3miniCapt</v>
      </c>
    </row>
    <row r="30" ht="22.5" customHeight="1">
      <c r="A30" s="150">
        <v>46062.0</v>
      </c>
      <c r="B30" s="151">
        <v>46065.0</v>
      </c>
      <c r="C30" s="23" t="s">
        <v>1311</v>
      </c>
      <c r="D30" s="152" t="s">
        <v>1069</v>
      </c>
      <c r="E30" s="153" t="s">
        <v>1060</v>
      </c>
      <c r="F30" s="23">
        <v>2.0</v>
      </c>
      <c r="G30" s="23">
        <f t="array" ref="G30">if(F30=0, 0, (iferror(_xlfn.XLOOKUP(M30, feller[code], feller[Vc]), 1000)))</f>
        <v>2</v>
      </c>
      <c r="H30" s="23">
        <v>2.0</v>
      </c>
      <c r="I30" s="11">
        <v>2.0</v>
      </c>
      <c r="J30" s="11" t="s">
        <v>1847</v>
      </c>
      <c r="K30" s="17" t="s">
        <v>1830</v>
      </c>
      <c r="L30" s="93" t="str">
        <f t="shared" si="1"/>
        <v>miniCapt</v>
      </c>
      <c r="M30" s="93" t="str">
        <f t="shared" si="2"/>
        <v>2miniCapt</v>
      </c>
    </row>
    <row r="31" ht="22.5" customHeight="1">
      <c r="A31" s="150">
        <v>46062.0</v>
      </c>
      <c r="B31" s="151">
        <v>46065.0</v>
      </c>
      <c r="C31" s="23" t="s">
        <v>1311</v>
      </c>
      <c r="D31" s="152" t="s">
        <v>1069</v>
      </c>
      <c r="E31" s="153" t="s">
        <v>1060</v>
      </c>
      <c r="F31" s="23">
        <v>4.0</v>
      </c>
      <c r="G31" s="23">
        <f t="array" ref="G31">if(F31=0, 0, (iferror(_xlfn.XLOOKUP(M31, feller[code], feller[Vc]), 1000)))</f>
        <v>4</v>
      </c>
      <c r="H31" s="23">
        <v>4.0</v>
      </c>
      <c r="I31" s="11">
        <v>4.0</v>
      </c>
      <c r="J31" s="11" t="s">
        <v>1848</v>
      </c>
      <c r="K31" s="11" t="s">
        <v>1810</v>
      </c>
      <c r="L31" s="93" t="str">
        <f t="shared" si="1"/>
        <v>MAS-100 VF</v>
      </c>
      <c r="M31" s="93" t="str">
        <f t="shared" si="2"/>
        <v>4MAS-100 VF</v>
      </c>
    </row>
    <row r="32" ht="22.5" customHeight="1">
      <c r="A32" s="150">
        <v>46062.0</v>
      </c>
      <c r="B32" s="151">
        <v>46065.0</v>
      </c>
      <c r="C32" s="23" t="s">
        <v>1311</v>
      </c>
      <c r="D32" s="152" t="s">
        <v>1069</v>
      </c>
      <c r="E32" s="153" t="s">
        <v>1060</v>
      </c>
      <c r="F32" s="23">
        <v>5.0</v>
      </c>
      <c r="G32" s="23">
        <f t="array" ref="G32">if(F32=0, 0, (iferror(_xlfn.XLOOKUP(M32, feller[code], feller[Vc]), 1000)))</f>
        <v>5</v>
      </c>
      <c r="H32" s="23">
        <v>5.0</v>
      </c>
      <c r="I32" s="11">
        <v>6.0</v>
      </c>
      <c r="J32" s="11" t="s">
        <v>1403</v>
      </c>
      <c r="K32" s="17" t="s">
        <v>1830</v>
      </c>
      <c r="L32" s="93" t="str">
        <f t="shared" si="1"/>
        <v>miniCapt</v>
      </c>
      <c r="M32" s="93" t="str">
        <f t="shared" si="2"/>
        <v>5miniCapt</v>
      </c>
    </row>
    <row r="33" ht="22.5" customHeight="1">
      <c r="A33" s="150">
        <v>46062.0</v>
      </c>
      <c r="B33" s="151">
        <v>46065.0</v>
      </c>
      <c r="C33" s="23" t="s">
        <v>1412</v>
      </c>
      <c r="D33" s="152" t="s">
        <v>1066</v>
      </c>
      <c r="E33" s="153" t="s">
        <v>1060</v>
      </c>
      <c r="F33" s="11">
        <v>1.0</v>
      </c>
      <c r="G33" s="23">
        <f t="array" ref="G33">if(F33=0, 0, (iferror(_xlfn.XLOOKUP(M33, feller[code], feller[Vc]), 1000)))</f>
        <v>1</v>
      </c>
      <c r="H33" s="23">
        <v>1.0</v>
      </c>
      <c r="I33" s="23">
        <v>2.0</v>
      </c>
      <c r="J33" s="28"/>
      <c r="K33" s="11" t="s">
        <v>1834</v>
      </c>
      <c r="L33" s="93" t="str">
        <f t="shared" si="1"/>
        <v>MAS-100 VF</v>
      </c>
      <c r="M33" s="93" t="str">
        <f t="shared" si="2"/>
        <v>1MAS-100 VF</v>
      </c>
    </row>
    <row r="34" ht="22.5" customHeight="1">
      <c r="A34" s="150">
        <v>46062.0</v>
      </c>
      <c r="B34" s="151">
        <v>46065.0</v>
      </c>
      <c r="C34" s="23" t="s">
        <v>1417</v>
      </c>
      <c r="D34" s="152" t="s">
        <v>1063</v>
      </c>
      <c r="E34" s="153" t="s">
        <v>1060</v>
      </c>
      <c r="F34" s="11">
        <v>0.0</v>
      </c>
      <c r="G34" s="23">
        <f t="array" ref="G34">if(F34=0, 0, (iferror(_xlfn.XLOOKUP(M34, feller[code], feller[Vc]), 1000)))</f>
        <v>0</v>
      </c>
      <c r="H34" s="23">
        <v>0.0</v>
      </c>
      <c r="I34" s="23">
        <v>0.0</v>
      </c>
      <c r="J34" s="28"/>
      <c r="K34" s="11" t="s">
        <v>1792</v>
      </c>
      <c r="L34" s="93" t="str">
        <f t="shared" si="1"/>
        <v>VWR</v>
      </c>
      <c r="M34" s="93" t="str">
        <f t="shared" si="2"/>
        <v>0VWR</v>
      </c>
    </row>
    <row r="35" ht="22.5" customHeight="1">
      <c r="A35" s="150">
        <v>46062.0</v>
      </c>
      <c r="B35" s="151">
        <v>46065.0</v>
      </c>
      <c r="C35" s="23" t="s">
        <v>1421</v>
      </c>
      <c r="D35" s="152" t="s">
        <v>1141</v>
      </c>
      <c r="E35" s="153" t="s">
        <v>1060</v>
      </c>
      <c r="F35" s="11">
        <v>1.0</v>
      </c>
      <c r="G35" s="23">
        <f t="array" ref="G35">if(F35=0, 0, (iferror(_xlfn.XLOOKUP(M35, feller[code], feller[Vc]), 1000)))</f>
        <v>1</v>
      </c>
      <c r="H35" s="23">
        <v>1.0</v>
      </c>
      <c r="I35" s="23">
        <v>1.0</v>
      </c>
      <c r="J35" s="28"/>
      <c r="K35" s="11" t="s">
        <v>1792</v>
      </c>
      <c r="L35" s="93" t="str">
        <f t="shared" si="1"/>
        <v>VWR</v>
      </c>
      <c r="M35" s="93" t="str">
        <f t="shared" si="2"/>
        <v>1VWR</v>
      </c>
    </row>
    <row r="36" ht="22.5" customHeight="1">
      <c r="A36" s="150">
        <v>46062.0</v>
      </c>
      <c r="B36" s="151">
        <v>46065.0</v>
      </c>
      <c r="C36" s="23" t="s">
        <v>1431</v>
      </c>
      <c r="D36" s="152" t="s">
        <v>1061</v>
      </c>
      <c r="E36" s="153" t="s">
        <v>1060</v>
      </c>
      <c r="F36" s="11">
        <v>2.0</v>
      </c>
      <c r="G36" s="23">
        <f t="array" ref="G36">if(F36=0, 0, (iferror(_xlfn.XLOOKUP(M36, feller[code], feller[Vc]), 1000)))</f>
        <v>2</v>
      </c>
      <c r="H36" s="23">
        <v>2.0</v>
      </c>
      <c r="I36" s="23">
        <v>3.0</v>
      </c>
      <c r="J36" s="28"/>
      <c r="K36" s="11" t="s">
        <v>1834</v>
      </c>
      <c r="L36" s="93" t="str">
        <f t="shared" si="1"/>
        <v>MAS-100 VF</v>
      </c>
      <c r="M36" s="93" t="str">
        <f t="shared" si="2"/>
        <v>2MAS-100 VF</v>
      </c>
    </row>
    <row r="37" ht="22.5" customHeight="1">
      <c r="A37" s="150">
        <v>46062.0</v>
      </c>
      <c r="B37" s="151">
        <v>46065.0</v>
      </c>
      <c r="C37" s="23" t="s">
        <v>745</v>
      </c>
      <c r="D37" s="159" t="s">
        <v>1727</v>
      </c>
      <c r="E37" s="153" t="s">
        <v>1060</v>
      </c>
      <c r="F37" s="11">
        <v>0.0</v>
      </c>
      <c r="G37" s="23">
        <f t="array" ref="G37">if(F37=0, 0, (iferror(_xlfn.XLOOKUP(M37, feller[code], feller[Vc]), 1000)))</f>
        <v>0</v>
      </c>
      <c r="H37" s="23">
        <v>0.0</v>
      </c>
      <c r="I37" s="23">
        <v>0.0</v>
      </c>
      <c r="J37" s="28"/>
      <c r="K37" s="11" t="s">
        <v>1810</v>
      </c>
      <c r="L37" s="93" t="str">
        <f t="shared" si="1"/>
        <v>MAS-100 VF</v>
      </c>
      <c r="M37" s="93" t="str">
        <f t="shared" si="2"/>
        <v>0MAS-100 VF</v>
      </c>
    </row>
    <row r="38" ht="22.5" customHeight="1">
      <c r="A38" s="150">
        <v>46062.0</v>
      </c>
      <c r="B38" s="151">
        <v>46065.0</v>
      </c>
      <c r="C38" s="23" t="s">
        <v>1471</v>
      </c>
      <c r="D38" s="152" t="s">
        <v>1480</v>
      </c>
      <c r="E38" s="158" t="s">
        <v>1060</v>
      </c>
      <c r="F38" s="11">
        <v>0.0</v>
      </c>
      <c r="G38" s="23">
        <f t="array" ref="G38">if(F38=0, 0, (iferror(_xlfn.XLOOKUP(M38, feller[code], feller[Vc]), 1000)))</f>
        <v>0</v>
      </c>
      <c r="H38" s="23">
        <v>0.0</v>
      </c>
      <c r="I38" s="23">
        <v>0.0</v>
      </c>
      <c r="J38" s="23"/>
      <c r="K38" s="11" t="s">
        <v>1810</v>
      </c>
      <c r="L38" s="93" t="str">
        <f t="shared" si="1"/>
        <v>MAS-100 VF</v>
      </c>
      <c r="M38" s="93" t="str">
        <f t="shared" si="2"/>
        <v>0MAS-100 VF</v>
      </c>
    </row>
    <row r="39" ht="22.5" customHeight="1">
      <c r="A39" s="150">
        <v>46062.0</v>
      </c>
      <c r="B39" s="151">
        <v>46065.0</v>
      </c>
      <c r="C39" s="23" t="s">
        <v>1471</v>
      </c>
      <c r="D39" s="152" t="s">
        <v>1480</v>
      </c>
      <c r="E39" s="153" t="s">
        <v>1060</v>
      </c>
      <c r="F39" s="11">
        <v>0.0</v>
      </c>
      <c r="G39" s="23">
        <f t="array" ref="G39">if(F39=0, 0, (iferror(_xlfn.XLOOKUP(M39, feller[code], feller[Vc]), 1000)))</f>
        <v>0</v>
      </c>
      <c r="H39" s="23">
        <v>0.0</v>
      </c>
      <c r="I39" s="23">
        <v>0.0</v>
      </c>
      <c r="J39" s="23" t="s">
        <v>1851</v>
      </c>
      <c r="K39" s="11" t="s">
        <v>1810</v>
      </c>
      <c r="L39" s="93" t="str">
        <f t="shared" si="1"/>
        <v>MAS-100 VF</v>
      </c>
      <c r="M39" s="93" t="str">
        <f t="shared" si="2"/>
        <v>0MAS-100 VF</v>
      </c>
    </row>
    <row r="40" ht="22.5" customHeight="1">
      <c r="A40" s="150">
        <v>46062.0</v>
      </c>
      <c r="B40" s="151">
        <v>46065.0</v>
      </c>
      <c r="C40" s="23" t="s">
        <v>749</v>
      </c>
      <c r="D40" s="159" t="s">
        <v>1728</v>
      </c>
      <c r="E40" s="153" t="s">
        <v>1060</v>
      </c>
      <c r="F40" s="11">
        <v>0.0</v>
      </c>
      <c r="G40" s="23">
        <f t="array" ref="G40">if(F40=0, 0, (iferror(_xlfn.XLOOKUP(M40, feller[code], feller[Vc]), 1000)))</f>
        <v>0</v>
      </c>
      <c r="H40" s="23">
        <v>0.0</v>
      </c>
      <c r="I40" s="23">
        <v>8.0</v>
      </c>
      <c r="J40" s="28"/>
      <c r="K40" s="11" t="s">
        <v>1834</v>
      </c>
      <c r="L40" s="93" t="str">
        <f t="shared" si="1"/>
        <v>MAS-100 VF</v>
      </c>
      <c r="M40" s="93" t="str">
        <f t="shared" si="2"/>
        <v>0MAS-100 VF</v>
      </c>
      <c r="N40" s="1"/>
      <c r="O40" s="1" t="s">
        <v>1852</v>
      </c>
    </row>
    <row r="41" ht="22.5" customHeight="1">
      <c r="A41" s="150">
        <v>46062.0</v>
      </c>
      <c r="B41" s="151">
        <v>46065.0</v>
      </c>
      <c r="C41" s="23" t="s">
        <v>1484</v>
      </c>
      <c r="D41" s="152" t="s">
        <v>1132</v>
      </c>
      <c r="E41" s="153" t="s">
        <v>1060</v>
      </c>
      <c r="F41" s="11">
        <v>2.0</v>
      </c>
      <c r="G41" s="23">
        <f t="array" ref="G41">if(F41=0, 0, (iferror(_xlfn.XLOOKUP(M41, feller[code], feller[Vc]), 1000)))</f>
        <v>2</v>
      </c>
      <c r="H41" s="23">
        <v>2.0</v>
      </c>
      <c r="I41" s="23">
        <v>2.0</v>
      </c>
      <c r="J41" s="23"/>
      <c r="K41" s="17" t="s">
        <v>1830</v>
      </c>
      <c r="L41" s="93" t="str">
        <f t="shared" si="1"/>
        <v>miniCapt</v>
      </c>
      <c r="M41" s="93" t="str">
        <f t="shared" si="2"/>
        <v>2miniCapt</v>
      </c>
    </row>
    <row r="42" ht="22.5" customHeight="1">
      <c r="A42" s="150">
        <v>46062.0</v>
      </c>
      <c r="B42" s="151">
        <v>46065.0</v>
      </c>
      <c r="C42" s="23" t="s">
        <v>1485</v>
      </c>
      <c r="D42" s="152" t="s">
        <v>1132</v>
      </c>
      <c r="E42" s="153" t="s">
        <v>855</v>
      </c>
      <c r="F42" s="11">
        <v>0.0</v>
      </c>
      <c r="G42" s="23">
        <f t="array" ref="G42">if(F42=0, 0, (iferror(_xlfn.XLOOKUP(M42, feller[code], feller[Vc]), 1000)))</f>
        <v>0</v>
      </c>
      <c r="H42" s="23">
        <v>0.0</v>
      </c>
      <c r="I42" s="23">
        <v>0.0</v>
      </c>
      <c r="J42" s="28"/>
      <c r="K42" s="11" t="s">
        <v>1810</v>
      </c>
      <c r="L42" s="93" t="str">
        <f t="shared" si="1"/>
        <v>MAS-100 VF</v>
      </c>
      <c r="M42" s="93" t="str">
        <f t="shared" si="2"/>
        <v>0MAS-100 VF</v>
      </c>
    </row>
    <row r="43" ht="22.5" customHeight="1">
      <c r="A43" s="150">
        <v>46062.0</v>
      </c>
      <c r="B43" s="151">
        <v>46065.0</v>
      </c>
      <c r="C43" s="23" t="s">
        <v>1486</v>
      </c>
      <c r="D43" s="152" t="s">
        <v>1048</v>
      </c>
      <c r="E43" s="158" t="s">
        <v>1060</v>
      </c>
      <c r="F43" s="11">
        <v>9.0</v>
      </c>
      <c r="G43" s="23">
        <f t="array" ref="G43">if(F43=0, 0, (iferror(_xlfn.XLOOKUP(M43, feller[code], feller[Vc]), 1000)))</f>
        <v>9</v>
      </c>
      <c r="H43" s="23">
        <v>9.0</v>
      </c>
      <c r="I43" s="23">
        <v>20.0</v>
      </c>
      <c r="J43" s="23"/>
      <c r="K43" s="11" t="s">
        <v>1834</v>
      </c>
      <c r="L43" s="93" t="str">
        <f t="shared" si="1"/>
        <v>MAS-100 VF</v>
      </c>
      <c r="M43" s="93" t="str">
        <f t="shared" si="2"/>
        <v>9MAS-100 VF</v>
      </c>
      <c r="N43" s="1"/>
      <c r="O43" s="1" t="s">
        <v>1852</v>
      </c>
    </row>
    <row r="44" ht="22.5" customHeight="1">
      <c r="A44" s="150">
        <v>46062.0</v>
      </c>
      <c r="B44" s="151">
        <v>46065.0</v>
      </c>
      <c r="C44" s="23" t="s">
        <v>1486</v>
      </c>
      <c r="D44" s="152" t="s">
        <v>1048</v>
      </c>
      <c r="E44" s="153" t="s">
        <v>1060</v>
      </c>
      <c r="F44" s="11">
        <v>0.0</v>
      </c>
      <c r="G44" s="23">
        <f t="array" ref="G44">if(F44=0, 0, (iferror(_xlfn.XLOOKUP(M44, feller[code], feller[Vc]), 1000)))</f>
        <v>0</v>
      </c>
      <c r="H44" s="23">
        <v>0.0</v>
      </c>
      <c r="I44" s="23">
        <v>1.0</v>
      </c>
      <c r="J44" s="23" t="s">
        <v>1851</v>
      </c>
      <c r="K44" s="17" t="s">
        <v>1830</v>
      </c>
      <c r="L44" s="93" t="str">
        <f t="shared" si="1"/>
        <v>miniCapt</v>
      </c>
      <c r="M44" s="93" t="str">
        <f t="shared" si="2"/>
        <v>0miniCapt</v>
      </c>
    </row>
    <row r="45" ht="22.5" customHeight="1">
      <c r="A45" s="150">
        <v>46062.0</v>
      </c>
      <c r="B45" s="151">
        <v>46065.0</v>
      </c>
      <c r="C45" s="23" t="s">
        <v>786</v>
      </c>
      <c r="D45" s="152" t="s">
        <v>1489</v>
      </c>
      <c r="E45" s="153" t="s">
        <v>975</v>
      </c>
      <c r="F45" s="11">
        <v>1.0</v>
      </c>
      <c r="G45" s="23">
        <f t="array" ref="G45">if(F45=0, 0, (iferror(_xlfn.XLOOKUP(M45, feller[code], feller[Vc]), 1000)))</f>
        <v>1</v>
      </c>
      <c r="H45" s="23">
        <v>1000.0</v>
      </c>
      <c r="I45" s="23">
        <v>1000.0</v>
      </c>
      <c r="J45" s="23" t="s">
        <v>1837</v>
      </c>
      <c r="K45" s="17" t="s">
        <v>1830</v>
      </c>
      <c r="L45" s="93" t="str">
        <f t="shared" si="1"/>
        <v>miniCapt</v>
      </c>
      <c r="M45" s="93" t="str">
        <f t="shared" si="2"/>
        <v>1miniCapt</v>
      </c>
      <c r="N45" s="1"/>
      <c r="O45" s="1" t="s">
        <v>1855</v>
      </c>
    </row>
    <row r="46" ht="22.5" customHeight="1">
      <c r="A46" s="150">
        <v>46062.0</v>
      </c>
      <c r="B46" s="151">
        <v>46065.0</v>
      </c>
      <c r="C46" s="23" t="s">
        <v>786</v>
      </c>
      <c r="D46" s="152" t="s">
        <v>1489</v>
      </c>
      <c r="E46" s="153" t="s">
        <v>1060</v>
      </c>
      <c r="F46" s="11">
        <v>3.0</v>
      </c>
      <c r="G46" s="23">
        <f t="array" ref="G46">if(F46=0, 0, (iferror(_xlfn.XLOOKUP(M46, feller[code], feller[Vc]), 1000)))</f>
        <v>3</v>
      </c>
      <c r="H46" s="23">
        <v>3.0</v>
      </c>
      <c r="I46" s="23">
        <v>3.0</v>
      </c>
      <c r="J46" s="28"/>
      <c r="K46" s="17" t="s">
        <v>1830</v>
      </c>
      <c r="L46" s="93" t="str">
        <f t="shared" si="1"/>
        <v>miniCapt</v>
      </c>
      <c r="M46" s="93" t="str">
        <f t="shared" si="2"/>
        <v>3miniCapt</v>
      </c>
    </row>
    <row r="47" ht="22.5" customHeight="1">
      <c r="A47" s="150">
        <v>46062.0</v>
      </c>
      <c r="B47" s="151">
        <v>46065.0</v>
      </c>
      <c r="C47" s="23" t="s">
        <v>1492</v>
      </c>
      <c r="D47" s="152" t="s">
        <v>1214</v>
      </c>
      <c r="E47" s="153" t="s">
        <v>1060</v>
      </c>
      <c r="F47" s="11">
        <v>1.0</v>
      </c>
      <c r="G47" s="23">
        <f t="array" ref="G47">if(F47=0, 0, (iferror(_xlfn.XLOOKUP(M47, feller[code], feller[Vc]), 1000)))</f>
        <v>1</v>
      </c>
      <c r="H47" s="23">
        <v>1.0</v>
      </c>
      <c r="I47" s="23">
        <v>2.0</v>
      </c>
      <c r="J47" s="93"/>
      <c r="K47" s="17" t="s">
        <v>1830</v>
      </c>
      <c r="L47" s="93" t="str">
        <f t="shared" si="1"/>
        <v>miniCapt</v>
      </c>
      <c r="M47" s="93" t="str">
        <f t="shared" si="2"/>
        <v>1miniCapt</v>
      </c>
    </row>
    <row r="48" ht="22.5" customHeight="1">
      <c r="A48" s="150">
        <v>46062.0</v>
      </c>
      <c r="B48" s="151">
        <v>46065.0</v>
      </c>
      <c r="C48" s="23" t="s">
        <v>1493</v>
      </c>
      <c r="D48" s="152" t="s">
        <v>1494</v>
      </c>
      <c r="E48" s="158" t="s">
        <v>1060</v>
      </c>
      <c r="F48" s="11">
        <v>22.0</v>
      </c>
      <c r="G48" s="23">
        <f t="array" ref="G48">if(F48=0, 0, (iferror(_xlfn.XLOOKUP(M48, feller[code], feller[Vc]), 1000)))</f>
        <v>22</v>
      </c>
      <c r="H48" s="23">
        <v>22.0</v>
      </c>
      <c r="I48" s="23">
        <v>28.0</v>
      </c>
      <c r="J48" s="23"/>
      <c r="K48" s="17" t="s">
        <v>1830</v>
      </c>
      <c r="L48" s="93" t="str">
        <f t="shared" si="1"/>
        <v>miniCapt</v>
      </c>
      <c r="M48" s="93" t="str">
        <f t="shared" si="2"/>
        <v>22miniCapt</v>
      </c>
      <c r="N48" s="1"/>
      <c r="O48" s="1" t="s">
        <v>1855</v>
      </c>
    </row>
    <row r="49" ht="22.5" customHeight="1">
      <c r="A49" s="150">
        <v>46062.0</v>
      </c>
      <c r="B49" s="151">
        <v>46065.0</v>
      </c>
      <c r="C49" s="23" t="s">
        <v>1493</v>
      </c>
      <c r="D49" s="152" t="s">
        <v>1494</v>
      </c>
      <c r="E49" s="153" t="s">
        <v>1060</v>
      </c>
      <c r="F49" s="11">
        <v>24.0</v>
      </c>
      <c r="G49" s="23">
        <f t="array" ref="G49">if(F49=0, 0, (iferror(_xlfn.XLOOKUP(M49, feller[code], feller[Vc]), 1000)))</f>
        <v>25</v>
      </c>
      <c r="H49" s="23">
        <v>1000.0</v>
      </c>
      <c r="I49" s="23">
        <v>1000.0</v>
      </c>
      <c r="J49" s="23" t="s">
        <v>1851</v>
      </c>
      <c r="K49" s="11" t="s">
        <v>1834</v>
      </c>
      <c r="L49" s="93" t="str">
        <f t="shared" si="1"/>
        <v>MAS-100 VF</v>
      </c>
      <c r="M49" s="93" t="str">
        <f t="shared" si="2"/>
        <v>24MAS-100 VF</v>
      </c>
      <c r="N49" s="1"/>
      <c r="O49" s="1" t="s">
        <v>1855</v>
      </c>
    </row>
    <row r="50" ht="22.5" customHeight="1">
      <c r="A50" s="150">
        <v>46062.0</v>
      </c>
      <c r="B50" s="151">
        <v>46065.0</v>
      </c>
      <c r="C50" s="23" t="s">
        <v>754</v>
      </c>
      <c r="D50" s="159" t="s">
        <v>1729</v>
      </c>
      <c r="E50" s="153" t="s">
        <v>1060</v>
      </c>
      <c r="F50" s="11">
        <v>0.0</v>
      </c>
      <c r="G50" s="23">
        <f t="array" ref="G50">if(F50=0, 0, (iferror(_xlfn.XLOOKUP(M50, feller[code], feller[Vc]), 1000)))</f>
        <v>0</v>
      </c>
      <c r="H50" s="23">
        <v>0.0</v>
      </c>
      <c r="I50" s="23">
        <v>0.0</v>
      </c>
      <c r="J50" s="28"/>
      <c r="K50" s="11" t="s">
        <v>1834</v>
      </c>
      <c r="L50" s="93" t="str">
        <f t="shared" si="1"/>
        <v>MAS-100 VF</v>
      </c>
      <c r="M50" s="93" t="str">
        <f t="shared" si="2"/>
        <v>0MAS-100 VF</v>
      </c>
    </row>
    <row r="51" ht="22.5" customHeight="1">
      <c r="A51" s="150">
        <v>46062.0</v>
      </c>
      <c r="B51" s="151">
        <v>46065.0</v>
      </c>
      <c r="C51" s="23" t="s">
        <v>1498</v>
      </c>
      <c r="D51" s="152" t="s">
        <v>1786</v>
      </c>
      <c r="E51" s="153" t="s">
        <v>1060</v>
      </c>
      <c r="F51" s="11">
        <v>9.0</v>
      </c>
      <c r="G51" s="23">
        <f t="array" ref="G51">if(F51=0, 0, (iferror(_xlfn.XLOOKUP(M51, feller[code], feller[Vc]), 1000)))</f>
        <v>9</v>
      </c>
      <c r="H51" s="23">
        <v>9.0</v>
      </c>
      <c r="I51" s="23">
        <v>10.0</v>
      </c>
      <c r="J51" s="28"/>
      <c r="K51" s="17" t="s">
        <v>1830</v>
      </c>
      <c r="L51" s="93" t="str">
        <f t="shared" si="1"/>
        <v>miniCapt</v>
      </c>
      <c r="M51" s="93" t="str">
        <f t="shared" si="2"/>
        <v>9miniCapt</v>
      </c>
    </row>
    <row r="52" ht="22.5" customHeight="1">
      <c r="A52" s="150">
        <v>46062.0</v>
      </c>
      <c r="B52" s="151">
        <v>46065.0</v>
      </c>
      <c r="C52" s="23" t="s">
        <v>763</v>
      </c>
      <c r="D52" s="159" t="s">
        <v>1730</v>
      </c>
      <c r="E52" s="153" t="s">
        <v>1060</v>
      </c>
      <c r="F52" s="11">
        <v>1.0</v>
      </c>
      <c r="G52" s="23">
        <f t="array" ref="G52">if(F52=0, 0, (iferror(_xlfn.XLOOKUP(M52, feller[code], feller[Vc]), 1000)))</f>
        <v>1</v>
      </c>
      <c r="H52" s="23">
        <v>2.0</v>
      </c>
      <c r="I52" s="23">
        <v>2.0</v>
      </c>
      <c r="J52" s="28"/>
      <c r="K52" s="11" t="s">
        <v>1834</v>
      </c>
      <c r="L52" s="93" t="str">
        <f t="shared" si="1"/>
        <v>MAS-100 VF</v>
      </c>
      <c r="M52" s="93" t="str">
        <f t="shared" si="2"/>
        <v>1MAS-100 VF</v>
      </c>
    </row>
    <row r="53" ht="22.5" customHeight="1">
      <c r="A53" s="150">
        <v>46062.0</v>
      </c>
      <c r="B53" s="151">
        <v>46065.0</v>
      </c>
      <c r="C53" s="23" t="s">
        <v>1499</v>
      </c>
      <c r="D53" s="152" t="s">
        <v>1125</v>
      </c>
      <c r="E53" s="153" t="s">
        <v>1060</v>
      </c>
      <c r="F53" s="11">
        <v>1.0</v>
      </c>
      <c r="G53" s="23">
        <f t="array" ref="G53">if(F53=0, 0, (iferror(_xlfn.XLOOKUP(M53, feller[code], feller[Vc]), 1000)))</f>
        <v>1</v>
      </c>
      <c r="H53" s="23">
        <v>1.0</v>
      </c>
      <c r="I53" s="23">
        <v>3.0</v>
      </c>
      <c r="J53" s="28"/>
      <c r="K53" s="11" t="s">
        <v>1834</v>
      </c>
      <c r="L53" s="93" t="str">
        <f t="shared" si="1"/>
        <v>MAS-100 VF</v>
      </c>
      <c r="M53" s="93" t="str">
        <f t="shared" si="2"/>
        <v>1MAS-100 VF</v>
      </c>
    </row>
    <row r="54" ht="22.5" customHeight="1">
      <c r="A54" s="150">
        <v>46062.0</v>
      </c>
      <c r="B54" s="151">
        <v>46065.0</v>
      </c>
      <c r="C54" s="23" t="s">
        <v>769</v>
      </c>
      <c r="D54" s="159" t="s">
        <v>244</v>
      </c>
      <c r="E54" s="153" t="s">
        <v>1060</v>
      </c>
      <c r="F54" s="11">
        <v>7.0</v>
      </c>
      <c r="G54" s="23">
        <f t="array" ref="G54">if(F54=0, 0, (iferror(_xlfn.XLOOKUP(M54, feller[code], feller[Vc]), 1000)))</f>
        <v>7</v>
      </c>
      <c r="H54" s="23">
        <v>7.0</v>
      </c>
      <c r="I54" s="23">
        <v>10.0</v>
      </c>
      <c r="J54" s="93"/>
      <c r="K54" s="11" t="s">
        <v>1834</v>
      </c>
      <c r="L54" s="93" t="str">
        <f t="shared" si="1"/>
        <v>MAS-100 VF</v>
      </c>
      <c r="M54" s="93" t="str">
        <f t="shared" si="2"/>
        <v>7MAS-100 VF</v>
      </c>
      <c r="N54" s="1"/>
      <c r="O54" s="1" t="s">
        <v>1855</v>
      </c>
    </row>
    <row r="55" ht="22.5" customHeight="1">
      <c r="A55" s="150">
        <v>46062.0</v>
      </c>
      <c r="B55" s="151">
        <v>46065.0</v>
      </c>
      <c r="C55" s="23" t="s">
        <v>1024</v>
      </c>
      <c r="D55" s="152" t="s">
        <v>1725</v>
      </c>
      <c r="E55" s="153" t="s">
        <v>1060</v>
      </c>
      <c r="F55" s="11">
        <v>2.0</v>
      </c>
      <c r="G55" s="23">
        <f t="array" ref="G55">if(F55=0, 0, (iferror(_xlfn.XLOOKUP(M55, feller[code], feller[Vc]), 1000)))</f>
        <v>2</v>
      </c>
      <c r="H55" s="23">
        <v>2.0</v>
      </c>
      <c r="I55" s="23">
        <v>2.0</v>
      </c>
      <c r="J55" s="28"/>
      <c r="K55" s="11" t="s">
        <v>1834</v>
      </c>
      <c r="L55" s="93" t="str">
        <f t="shared" si="1"/>
        <v>MAS-100 VF</v>
      </c>
      <c r="M55" s="93" t="str">
        <f t="shared" si="2"/>
        <v>2MAS-100 VF</v>
      </c>
    </row>
    <row r="56" ht="22.5" customHeight="1">
      <c r="A56" s="150">
        <v>46062.0</v>
      </c>
      <c r="B56" s="151">
        <v>46065.0</v>
      </c>
      <c r="C56" s="23" t="s">
        <v>1500</v>
      </c>
      <c r="D56" s="152" t="s">
        <v>1501</v>
      </c>
      <c r="E56" s="153" t="s">
        <v>1060</v>
      </c>
      <c r="F56" s="11">
        <v>2.0</v>
      </c>
      <c r="G56" s="23">
        <f t="array" ref="G56">if(F56=0, 0, (iferror(_xlfn.XLOOKUP(M56, feller[code], feller[Vc]), 1000)))</f>
        <v>2</v>
      </c>
      <c r="H56" s="23">
        <v>2.0</v>
      </c>
      <c r="I56" s="23">
        <v>2.0</v>
      </c>
      <c r="J56" s="28"/>
      <c r="K56" s="11" t="s">
        <v>1834</v>
      </c>
      <c r="L56" s="93" t="str">
        <f t="shared" si="1"/>
        <v>MAS-100 VF</v>
      </c>
      <c r="M56" s="93" t="str">
        <f t="shared" si="2"/>
        <v>2MAS-100 VF</v>
      </c>
    </row>
    <row r="57" ht="22.5" customHeight="1">
      <c r="A57" s="150">
        <v>46062.0</v>
      </c>
      <c r="B57" s="151">
        <v>46065.0</v>
      </c>
      <c r="C57" s="23" t="s">
        <v>1502</v>
      </c>
      <c r="D57" s="152" t="s">
        <v>1467</v>
      </c>
      <c r="E57" s="153" t="s">
        <v>1060</v>
      </c>
      <c r="F57" s="11">
        <v>0.0</v>
      </c>
      <c r="G57" s="23">
        <f t="array" ref="G57">if(F57=0, 0, (iferror(_xlfn.XLOOKUP(M57, feller[code], feller[Vc]), 1000)))</f>
        <v>0</v>
      </c>
      <c r="H57" s="23">
        <v>0.0</v>
      </c>
      <c r="I57" s="23">
        <v>1.0</v>
      </c>
      <c r="J57" s="23" t="s">
        <v>1043</v>
      </c>
      <c r="K57" s="11" t="s">
        <v>1834</v>
      </c>
      <c r="L57" s="93" t="str">
        <f t="shared" si="1"/>
        <v>MAS-100 VF</v>
      </c>
      <c r="M57" s="93" t="str">
        <f t="shared" si="2"/>
        <v>0MAS-100 VF</v>
      </c>
    </row>
    <row r="58" ht="22.5" customHeight="1">
      <c r="A58" s="150">
        <v>46062.0</v>
      </c>
      <c r="B58" s="151">
        <v>46065.0</v>
      </c>
      <c r="C58" s="23" t="s">
        <v>1503</v>
      </c>
      <c r="D58" s="152" t="s">
        <v>1048</v>
      </c>
      <c r="E58" s="153" t="s">
        <v>1060</v>
      </c>
      <c r="F58" s="11">
        <v>2.0</v>
      </c>
      <c r="G58" s="23">
        <f t="array" ref="G58">if(F58=0, 0, (iferror(_xlfn.XLOOKUP(M58, feller[code], feller[Vc]), 1000)))</f>
        <v>2</v>
      </c>
      <c r="H58" s="23">
        <v>2.0</v>
      </c>
      <c r="I58" s="23">
        <v>2.0</v>
      </c>
      <c r="J58" s="28"/>
      <c r="K58" s="17" t="s">
        <v>1830</v>
      </c>
      <c r="L58" s="93" t="str">
        <f t="shared" si="1"/>
        <v>miniCapt</v>
      </c>
      <c r="M58" s="93" t="str">
        <f t="shared" si="2"/>
        <v>2miniCapt</v>
      </c>
    </row>
    <row r="59" ht="22.5" customHeight="1">
      <c r="A59" s="150">
        <v>46062.0</v>
      </c>
      <c r="B59" s="151">
        <v>46065.0</v>
      </c>
      <c r="C59" s="23" t="s">
        <v>776</v>
      </c>
      <c r="D59" s="159" t="s">
        <v>1732</v>
      </c>
      <c r="E59" s="153" t="s">
        <v>1060</v>
      </c>
      <c r="F59" s="11">
        <v>2.0</v>
      </c>
      <c r="G59" s="23">
        <f t="array" ref="G59">if(F59=0, 0, (iferror(_xlfn.XLOOKUP(M59, feller[code], feller[Vc]), 1000)))</f>
        <v>2</v>
      </c>
      <c r="H59" s="23">
        <v>2.0</v>
      </c>
      <c r="I59" s="23">
        <v>3.0</v>
      </c>
      <c r="J59" s="28"/>
      <c r="K59" s="11" t="s">
        <v>1792</v>
      </c>
      <c r="L59" s="93" t="str">
        <f t="shared" si="1"/>
        <v>VWR</v>
      </c>
      <c r="M59" s="93" t="str">
        <f t="shared" si="2"/>
        <v>2VWR</v>
      </c>
    </row>
    <row r="60" ht="22.5" customHeight="1">
      <c r="A60" s="150">
        <v>46062.0</v>
      </c>
      <c r="B60" s="151">
        <v>46065.0</v>
      </c>
      <c r="C60" s="23" t="s">
        <v>1504</v>
      </c>
      <c r="D60" s="152" t="s">
        <v>1069</v>
      </c>
      <c r="E60" s="153" t="s">
        <v>1060</v>
      </c>
      <c r="F60" s="11">
        <v>4.0</v>
      </c>
      <c r="G60" s="23">
        <f t="array" ref="G60">if(F60=0, 0, (iferror(_xlfn.XLOOKUP(M60, feller[code], feller[Vc]), 1000)))</f>
        <v>4</v>
      </c>
      <c r="H60" s="23">
        <v>4.0</v>
      </c>
      <c r="I60" s="23">
        <v>4.0</v>
      </c>
      <c r="J60" s="28"/>
      <c r="K60" s="11" t="s">
        <v>1834</v>
      </c>
      <c r="L60" s="93" t="str">
        <f t="shared" si="1"/>
        <v>MAS-100 VF</v>
      </c>
      <c r="M60" s="93" t="str">
        <f t="shared" si="2"/>
        <v>4MAS-100 VF</v>
      </c>
    </row>
    <row r="61" ht="22.5" customHeight="1">
      <c r="A61" s="150">
        <v>46062.0</v>
      </c>
      <c r="B61" s="151">
        <v>46065.0</v>
      </c>
      <c r="C61" s="23" t="s">
        <v>1505</v>
      </c>
      <c r="D61" s="152" t="s">
        <v>1069</v>
      </c>
      <c r="E61" s="153" t="s">
        <v>1060</v>
      </c>
      <c r="F61" s="11">
        <v>1.0</v>
      </c>
      <c r="G61" s="23">
        <f t="array" ref="G61">if(F61=0, 0, (iferror(_xlfn.XLOOKUP(M61, feller[code], feller[Vc]), 1000)))</f>
        <v>1</v>
      </c>
      <c r="H61" s="23">
        <v>1.0</v>
      </c>
      <c r="I61" s="23">
        <v>1.0</v>
      </c>
      <c r="J61" s="28"/>
      <c r="K61" s="11" t="s">
        <v>1792</v>
      </c>
      <c r="L61" s="93" t="str">
        <f t="shared" si="1"/>
        <v>VWR</v>
      </c>
      <c r="M61" s="93" t="str">
        <f t="shared" si="2"/>
        <v>1VWR</v>
      </c>
    </row>
  </sheetData>
  <dataValidations>
    <dataValidation type="custom" allowBlank="1" showDropDown="1" sqref="A2:B61">
      <formula1>OR(NOT(ISERROR(DATEVALUE(A2))), AND(ISNUMBER(A2), LEFT(CELL("format", A2))="D"))</formula1>
    </dataValidation>
    <dataValidation allowBlank="1" showDropDown="1" sqref="K2:K61"/>
    <dataValidation type="list" allowBlank="1" sqref="E2:E61">
      <formula1>"D,C,A,B"</formula1>
    </dataValidation>
  </dataValidations>
  <hyperlinks>
    <hyperlink r:id="rId1" ref="R2"/>
    <hyperlink r:id="rId2" ref="R3"/>
    <hyperlink r:id="rId3" ref="R4"/>
    <hyperlink r:id="rId4" ref="R5"/>
  </hyperlinks>
  <drawing r:id="rId5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7.13"/>
    <col customWidth="1" min="3" max="4" width="16.13"/>
    <col customWidth="1" min="5" max="5" width="19.5"/>
    <col customWidth="1" min="6" max="6" width="13.0"/>
    <col customWidth="1" min="8" max="8" width="43.88"/>
    <col customWidth="1" min="9" max="9" width="13.5"/>
  </cols>
  <sheetData>
    <row r="1" ht="22.5" customHeight="1">
      <c r="A1" s="160" t="s">
        <v>1863</v>
      </c>
      <c r="B1" s="160" t="s">
        <v>1864</v>
      </c>
      <c r="C1" s="161" t="s">
        <v>1865</v>
      </c>
      <c r="D1" s="160" t="s">
        <v>1866</v>
      </c>
      <c r="E1" s="162" t="s">
        <v>89</v>
      </c>
      <c r="F1" s="162" t="s">
        <v>1867</v>
      </c>
      <c r="G1" s="162" t="s">
        <v>1868</v>
      </c>
      <c r="H1" s="160" t="s">
        <v>150</v>
      </c>
      <c r="I1" s="163" t="s">
        <v>169</v>
      </c>
    </row>
    <row r="2" ht="22.5" customHeight="1">
      <c r="A2" s="17" t="s">
        <v>308</v>
      </c>
      <c r="B2" s="17" t="s">
        <v>1869</v>
      </c>
      <c r="C2" s="11" t="s">
        <v>309</v>
      </c>
      <c r="D2" s="158" t="s">
        <v>1870</v>
      </c>
      <c r="E2" s="164">
        <v>45897.0</v>
      </c>
      <c r="F2" s="165">
        <v>21.4</v>
      </c>
      <c r="G2" s="165">
        <v>52.1</v>
      </c>
      <c r="H2" s="17"/>
      <c r="I2" s="166">
        <v>0.0</v>
      </c>
    </row>
    <row r="3" ht="22.5" customHeight="1">
      <c r="A3" s="17" t="s">
        <v>322</v>
      </c>
      <c r="B3" s="17" t="s">
        <v>1871</v>
      </c>
      <c r="C3" s="11" t="s">
        <v>323</v>
      </c>
      <c r="D3" s="158" t="s">
        <v>1870</v>
      </c>
      <c r="E3" s="164">
        <v>45897.0</v>
      </c>
      <c r="F3" s="165">
        <v>21.1</v>
      </c>
      <c r="G3" s="165">
        <v>51.1</v>
      </c>
      <c r="H3" s="159"/>
      <c r="I3" s="166">
        <v>0.0</v>
      </c>
    </row>
    <row r="4" ht="22.5" customHeight="1">
      <c r="A4" s="17" t="s">
        <v>322</v>
      </c>
      <c r="B4" s="17" t="s">
        <v>1872</v>
      </c>
      <c r="C4" s="11" t="s">
        <v>334</v>
      </c>
      <c r="D4" s="158" t="s">
        <v>1870</v>
      </c>
      <c r="E4" s="164">
        <v>45897.0</v>
      </c>
      <c r="F4" s="165">
        <v>21.1</v>
      </c>
      <c r="G4" s="165">
        <v>51.1</v>
      </c>
      <c r="H4" s="159"/>
      <c r="I4" s="166">
        <v>0.0</v>
      </c>
    </row>
    <row r="5" ht="22.5" customHeight="1">
      <c r="A5" s="17" t="s">
        <v>340</v>
      </c>
      <c r="B5" s="17" t="s">
        <v>1873</v>
      </c>
      <c r="C5" s="11" t="s">
        <v>342</v>
      </c>
      <c r="D5" s="158" t="s">
        <v>1870</v>
      </c>
      <c r="E5" s="164">
        <v>45897.0</v>
      </c>
      <c r="F5" s="165">
        <v>20.7</v>
      </c>
      <c r="G5" s="165">
        <v>52.5</v>
      </c>
      <c r="H5" s="17"/>
      <c r="I5" s="166">
        <v>0.0</v>
      </c>
    </row>
    <row r="6" ht="22.5" customHeight="1">
      <c r="A6" s="17" t="s">
        <v>348</v>
      </c>
      <c r="B6" s="17" t="s">
        <v>1876</v>
      </c>
      <c r="C6" s="11" t="s">
        <v>349</v>
      </c>
      <c r="D6" s="158" t="s">
        <v>1870</v>
      </c>
      <c r="E6" s="164">
        <v>45897.0</v>
      </c>
      <c r="F6" s="165">
        <v>20.9</v>
      </c>
      <c r="G6" s="165">
        <v>52.8</v>
      </c>
      <c r="H6" s="17"/>
      <c r="I6" s="166">
        <v>0.0</v>
      </c>
    </row>
    <row r="7" ht="22.5" customHeight="1">
      <c r="A7" s="17" t="s">
        <v>357</v>
      </c>
      <c r="B7" s="17" t="s">
        <v>1877</v>
      </c>
      <c r="C7" s="11" t="s">
        <v>358</v>
      </c>
      <c r="D7" s="158" t="s">
        <v>1870</v>
      </c>
      <c r="E7" s="164">
        <v>45897.0</v>
      </c>
      <c r="F7" s="165">
        <v>19.2</v>
      </c>
      <c r="G7" s="165">
        <v>57.8</v>
      </c>
      <c r="H7" s="17"/>
      <c r="I7" s="166">
        <v>0.0</v>
      </c>
    </row>
    <row r="8" ht="22.5" customHeight="1">
      <c r="A8" s="17" t="s">
        <v>370</v>
      </c>
      <c r="B8" s="17" t="s">
        <v>1878</v>
      </c>
      <c r="C8" s="11" t="s">
        <v>371</v>
      </c>
      <c r="D8" s="158" t="s">
        <v>1870</v>
      </c>
      <c r="E8" s="164">
        <v>45897.0</v>
      </c>
      <c r="F8" s="165">
        <v>21.1</v>
      </c>
      <c r="G8" s="165">
        <v>53.9</v>
      </c>
      <c r="H8" s="17"/>
      <c r="I8" s="166">
        <v>0.0</v>
      </c>
    </row>
    <row r="9" ht="22.5" customHeight="1">
      <c r="A9" s="17" t="s">
        <v>374</v>
      </c>
      <c r="B9" s="17" t="s">
        <v>1116</v>
      </c>
      <c r="C9" s="11" t="s">
        <v>376</v>
      </c>
      <c r="D9" s="158" t="s">
        <v>1870</v>
      </c>
      <c r="E9" s="164">
        <v>45897.0</v>
      </c>
      <c r="F9" s="165">
        <v>20.7</v>
      </c>
      <c r="G9" s="165">
        <v>52.7</v>
      </c>
      <c r="H9" s="17"/>
      <c r="I9" s="166">
        <v>0.0</v>
      </c>
    </row>
    <row r="10" ht="22.5" customHeight="1">
      <c r="A10" s="17" t="s">
        <v>384</v>
      </c>
      <c r="B10" s="17" t="s">
        <v>1117</v>
      </c>
      <c r="C10" s="11" t="s">
        <v>385</v>
      </c>
      <c r="D10" s="158" t="s">
        <v>1870</v>
      </c>
      <c r="E10" s="164">
        <v>45897.0</v>
      </c>
      <c r="F10" s="165">
        <v>17.3</v>
      </c>
      <c r="G10" s="165">
        <v>62.2</v>
      </c>
      <c r="H10" s="17"/>
      <c r="I10" s="166">
        <v>0.0</v>
      </c>
    </row>
    <row r="11" ht="22.5" customHeight="1">
      <c r="A11" s="17" t="s">
        <v>400</v>
      </c>
      <c r="B11" s="17" t="s">
        <v>1879</v>
      </c>
      <c r="C11" s="11" t="s">
        <v>401</v>
      </c>
      <c r="D11" s="158" t="s">
        <v>1870</v>
      </c>
      <c r="E11" s="164">
        <v>45898.0</v>
      </c>
      <c r="F11" s="165">
        <v>21.7</v>
      </c>
      <c r="G11" s="165">
        <v>50.3</v>
      </c>
      <c r="H11" s="17"/>
      <c r="I11" s="166">
        <v>0.0</v>
      </c>
    </row>
    <row r="12" ht="22.5" customHeight="1">
      <c r="A12" s="17" t="s">
        <v>408</v>
      </c>
      <c r="B12" s="17" t="s">
        <v>1880</v>
      </c>
      <c r="C12" s="11" t="s">
        <v>409</v>
      </c>
      <c r="D12" s="158" t="s">
        <v>1870</v>
      </c>
      <c r="E12" s="164">
        <v>45898.0</v>
      </c>
      <c r="F12" s="165">
        <v>21.6</v>
      </c>
      <c r="G12" s="165">
        <v>50.0</v>
      </c>
      <c r="H12" s="17"/>
      <c r="I12" s="166">
        <v>0.0</v>
      </c>
    </row>
    <row r="13" ht="22.5" customHeight="1">
      <c r="A13" s="17" t="s">
        <v>394</v>
      </c>
      <c r="B13" s="17" t="s">
        <v>1881</v>
      </c>
      <c r="C13" s="11" t="s">
        <v>395</v>
      </c>
      <c r="D13" s="158" t="s">
        <v>1870</v>
      </c>
      <c r="E13" s="164">
        <v>45897.0</v>
      </c>
      <c r="F13" s="165">
        <v>19.8</v>
      </c>
      <c r="G13" s="165">
        <v>38.3</v>
      </c>
      <c r="H13" s="17"/>
      <c r="I13" s="166">
        <v>0.0</v>
      </c>
    </row>
    <row r="14" ht="22.5" customHeight="1">
      <c r="A14" s="17" t="s">
        <v>413</v>
      </c>
      <c r="B14" s="17" t="s">
        <v>1882</v>
      </c>
      <c r="C14" s="11" t="s">
        <v>414</v>
      </c>
      <c r="D14" s="158" t="s">
        <v>1870</v>
      </c>
      <c r="E14" s="164">
        <v>45898.0</v>
      </c>
      <c r="F14" s="165">
        <v>17.7</v>
      </c>
      <c r="G14" s="165">
        <v>65.2</v>
      </c>
      <c r="H14" s="17"/>
      <c r="I14" s="166">
        <v>0.0</v>
      </c>
    </row>
    <row r="15" ht="22.5" customHeight="1">
      <c r="A15" s="17" t="s">
        <v>660</v>
      </c>
      <c r="B15" s="17" t="s">
        <v>1118</v>
      </c>
      <c r="C15" s="11" t="s">
        <v>606</v>
      </c>
      <c r="D15" s="158" t="s">
        <v>1870</v>
      </c>
      <c r="E15" s="164">
        <v>45960.0</v>
      </c>
      <c r="F15" s="165">
        <v>20.3</v>
      </c>
      <c r="G15" s="165">
        <v>29.7</v>
      </c>
      <c r="H15" s="17"/>
      <c r="I15" s="166">
        <v>0.0</v>
      </c>
    </row>
    <row r="16" ht="22.5" customHeight="1">
      <c r="A16" s="17" t="s">
        <v>720</v>
      </c>
      <c r="B16" s="17" t="s">
        <v>1880</v>
      </c>
      <c r="C16" s="11" t="s">
        <v>629</v>
      </c>
      <c r="D16" s="158" t="s">
        <v>1870</v>
      </c>
      <c r="E16" s="164">
        <v>46002.0</v>
      </c>
      <c r="F16" s="165"/>
      <c r="G16" s="165"/>
      <c r="H16" s="159"/>
      <c r="I16" s="166">
        <v>0.0</v>
      </c>
    </row>
    <row r="17" ht="22.5" customHeight="1">
      <c r="A17" s="17" t="s">
        <v>422</v>
      </c>
      <c r="B17" s="17" t="s">
        <v>1884</v>
      </c>
      <c r="C17" s="11" t="s">
        <v>423</v>
      </c>
      <c r="D17" s="158" t="s">
        <v>1870</v>
      </c>
      <c r="E17" s="164">
        <v>45898.0</v>
      </c>
      <c r="F17" s="165">
        <v>18.7</v>
      </c>
      <c r="G17" s="165">
        <v>56.4</v>
      </c>
      <c r="H17" s="17"/>
      <c r="I17" s="166">
        <v>0.0</v>
      </c>
    </row>
    <row r="18" ht="22.5" customHeight="1">
      <c r="A18" s="17" t="s">
        <v>433</v>
      </c>
      <c r="B18" s="17" t="s">
        <v>1128</v>
      </c>
      <c r="C18" s="11" t="s">
        <v>434</v>
      </c>
      <c r="D18" s="158" t="s">
        <v>1870</v>
      </c>
      <c r="E18" s="164">
        <v>45898.0</v>
      </c>
      <c r="F18" s="165">
        <v>20.2</v>
      </c>
      <c r="G18" s="165">
        <v>53.7</v>
      </c>
      <c r="H18" s="17"/>
      <c r="I18" s="166">
        <v>0.0</v>
      </c>
    </row>
    <row r="19" ht="22.5" customHeight="1">
      <c r="A19" s="25" t="s">
        <v>698</v>
      </c>
      <c r="B19" s="25" t="s">
        <v>879</v>
      </c>
      <c r="C19" s="23" t="s">
        <v>614</v>
      </c>
      <c r="D19" s="158" t="s">
        <v>1870</v>
      </c>
      <c r="E19" s="167">
        <v>46000.0</v>
      </c>
      <c r="F19" s="166"/>
      <c r="G19" s="166"/>
      <c r="H19" s="25"/>
      <c r="I19" s="166">
        <v>0.0</v>
      </c>
    </row>
    <row r="20" ht="22.5" customHeight="1">
      <c r="A20" s="25" t="s">
        <v>443</v>
      </c>
      <c r="B20" s="25" t="s">
        <v>1885</v>
      </c>
      <c r="C20" s="23" t="s">
        <v>444</v>
      </c>
      <c r="D20" s="158" t="s">
        <v>1870</v>
      </c>
      <c r="E20" s="164">
        <v>45898.0</v>
      </c>
      <c r="F20" s="166">
        <v>18.3</v>
      </c>
      <c r="G20" s="166">
        <v>54.7</v>
      </c>
      <c r="H20" s="25"/>
      <c r="I20" s="166">
        <v>0.0</v>
      </c>
    </row>
    <row r="21" ht="22.5" customHeight="1">
      <c r="A21" s="25" t="s">
        <v>705</v>
      </c>
      <c r="B21" s="25" t="s">
        <v>1887</v>
      </c>
      <c r="C21" s="23" t="s">
        <v>663</v>
      </c>
      <c r="D21" s="158" t="s">
        <v>1870</v>
      </c>
      <c r="E21" s="164">
        <v>46002.0</v>
      </c>
      <c r="F21" s="166"/>
      <c r="G21" s="166"/>
      <c r="H21" s="25" t="s">
        <v>1888</v>
      </c>
      <c r="I21" s="166">
        <v>0.0</v>
      </c>
    </row>
    <row r="22" ht="22.5" customHeight="1">
      <c r="A22" s="25" t="s">
        <v>555</v>
      </c>
      <c r="B22" s="25" t="s">
        <v>882</v>
      </c>
      <c r="C22" s="23" t="s">
        <v>1576</v>
      </c>
      <c r="D22" s="76" t="s">
        <v>1889</v>
      </c>
      <c r="E22" s="167">
        <v>46000.0</v>
      </c>
      <c r="F22" s="166"/>
      <c r="G22" s="166"/>
      <c r="H22" s="25"/>
      <c r="I22" s="166">
        <v>0.0</v>
      </c>
    </row>
    <row r="23" ht="22.5" customHeight="1">
      <c r="A23" s="25" t="s">
        <v>589</v>
      </c>
      <c r="B23" s="25" t="s">
        <v>1103</v>
      </c>
      <c r="C23" s="23" t="s">
        <v>1579</v>
      </c>
      <c r="D23" s="76" t="s">
        <v>1889</v>
      </c>
      <c r="E23" s="167">
        <v>46000.0</v>
      </c>
      <c r="F23" s="166"/>
      <c r="G23" s="166"/>
      <c r="H23" s="25"/>
      <c r="I23" s="166">
        <v>0.0</v>
      </c>
    </row>
    <row r="24" ht="22.5" customHeight="1">
      <c r="A24" s="25" t="s">
        <v>607</v>
      </c>
      <c r="B24" s="25" t="s">
        <v>1890</v>
      </c>
      <c r="C24" s="23" t="s">
        <v>1581</v>
      </c>
      <c r="D24" s="76" t="s">
        <v>1889</v>
      </c>
      <c r="E24" s="167">
        <v>46000.0</v>
      </c>
      <c r="F24" s="166"/>
      <c r="G24" s="166"/>
      <c r="H24" s="25"/>
      <c r="I24" s="166">
        <v>0.0</v>
      </c>
    </row>
    <row r="25" ht="22.5" customHeight="1">
      <c r="A25" s="25" t="s">
        <v>598</v>
      </c>
      <c r="B25" s="25" t="s">
        <v>1104</v>
      </c>
      <c r="C25" s="23" t="s">
        <v>1580</v>
      </c>
      <c r="D25" s="76" t="s">
        <v>1889</v>
      </c>
      <c r="E25" s="167">
        <v>46000.0</v>
      </c>
      <c r="F25" s="166"/>
      <c r="G25" s="166"/>
      <c r="H25" s="25"/>
      <c r="I25" s="166">
        <v>0.0</v>
      </c>
    </row>
    <row r="26" ht="22.5" customHeight="1">
      <c r="A26" s="25" t="s">
        <v>173</v>
      </c>
      <c r="B26" s="25" t="s">
        <v>1891</v>
      </c>
      <c r="C26" s="23" t="s">
        <v>1589</v>
      </c>
      <c r="D26" s="76" t="s">
        <v>1870</v>
      </c>
      <c r="E26" s="167">
        <v>45904.0</v>
      </c>
      <c r="F26" s="166">
        <v>23.1</v>
      </c>
      <c r="G26" s="166">
        <v>62.2</v>
      </c>
      <c r="H26" s="25"/>
      <c r="I26" s="166">
        <v>0.0</v>
      </c>
    </row>
    <row r="27" ht="22.5" customHeight="1">
      <c r="A27" s="25" t="s">
        <v>179</v>
      </c>
      <c r="B27" s="25" t="s">
        <v>1892</v>
      </c>
      <c r="C27" s="23" t="s">
        <v>1590</v>
      </c>
      <c r="D27" s="76" t="s">
        <v>1870</v>
      </c>
      <c r="E27" s="167">
        <v>45904.0</v>
      </c>
      <c r="F27" s="166">
        <v>23.2</v>
      </c>
      <c r="G27" s="166">
        <v>60.6</v>
      </c>
      <c r="H27" s="25"/>
      <c r="I27" s="166">
        <v>0.0</v>
      </c>
    </row>
    <row r="28" ht="22.5" customHeight="1">
      <c r="A28" s="25" t="s">
        <v>463</v>
      </c>
      <c r="B28" s="25" t="s">
        <v>887</v>
      </c>
      <c r="C28" s="23" t="s">
        <v>1591</v>
      </c>
      <c r="D28" s="76" t="s">
        <v>1870</v>
      </c>
      <c r="E28" s="167">
        <v>45999.0</v>
      </c>
      <c r="F28" s="166">
        <v>26.3</v>
      </c>
      <c r="G28" s="166">
        <v>48.2</v>
      </c>
      <c r="H28" s="25"/>
      <c r="I28" s="166">
        <v>0.0</v>
      </c>
    </row>
    <row r="29" ht="22.5" customHeight="1">
      <c r="A29" s="25" t="s">
        <v>471</v>
      </c>
      <c r="B29" s="25" t="s">
        <v>1893</v>
      </c>
      <c r="C29" s="23" t="s">
        <v>1592</v>
      </c>
      <c r="D29" s="76" t="s">
        <v>1870</v>
      </c>
      <c r="E29" s="167">
        <v>45999.0</v>
      </c>
      <c r="F29" s="166">
        <v>25.0</v>
      </c>
      <c r="G29" s="166">
        <v>51.3</v>
      </c>
      <c r="H29" s="25"/>
      <c r="I29" s="166">
        <v>0.0</v>
      </c>
    </row>
    <row r="30" ht="22.5" customHeight="1">
      <c r="A30" s="25" t="s">
        <v>187</v>
      </c>
      <c r="B30" s="25" t="s">
        <v>1894</v>
      </c>
      <c r="C30" s="23" t="s">
        <v>1593</v>
      </c>
      <c r="D30" s="76" t="s">
        <v>1870</v>
      </c>
      <c r="E30" s="167">
        <v>45999.0</v>
      </c>
      <c r="F30" s="166">
        <v>22.5</v>
      </c>
      <c r="G30" s="166">
        <v>50.9</v>
      </c>
      <c r="H30" s="25"/>
      <c r="I30" s="166">
        <v>1.0</v>
      </c>
    </row>
    <row r="31" ht="22.5" customHeight="1">
      <c r="A31" s="25" t="s">
        <v>249</v>
      </c>
      <c r="B31" s="25" t="s">
        <v>895</v>
      </c>
      <c r="C31" s="23" t="s">
        <v>1594</v>
      </c>
      <c r="D31" s="76" t="s">
        <v>1870</v>
      </c>
      <c r="E31" s="167">
        <v>45999.0</v>
      </c>
      <c r="F31" s="166">
        <v>22.7</v>
      </c>
      <c r="G31" s="166">
        <v>48.3</v>
      </c>
      <c r="H31" s="25"/>
      <c r="I31" s="166">
        <v>0.0</v>
      </c>
    </row>
    <row r="32" ht="22.5" customHeight="1">
      <c r="A32" s="25" t="s">
        <v>492</v>
      </c>
      <c r="B32" s="25" t="s">
        <v>896</v>
      </c>
      <c r="C32" s="23" t="s">
        <v>1595</v>
      </c>
      <c r="D32" s="76" t="s">
        <v>1870</v>
      </c>
      <c r="E32" s="167">
        <v>45904.0</v>
      </c>
      <c r="F32" s="166">
        <v>26.4</v>
      </c>
      <c r="G32" s="166">
        <v>53.6</v>
      </c>
      <c r="H32" s="25"/>
      <c r="I32" s="166">
        <v>0.0</v>
      </c>
    </row>
    <row r="33" ht="22.5" customHeight="1">
      <c r="A33" s="25" t="s">
        <v>498</v>
      </c>
      <c r="B33" s="25" t="s">
        <v>897</v>
      </c>
      <c r="C33" s="23" t="s">
        <v>1596</v>
      </c>
      <c r="D33" s="76" t="s">
        <v>1870</v>
      </c>
      <c r="E33" s="167">
        <v>45903.0</v>
      </c>
      <c r="F33" s="166">
        <v>24.2</v>
      </c>
      <c r="G33" s="166">
        <v>64.7</v>
      </c>
      <c r="H33" s="25"/>
      <c r="I33" s="166">
        <v>0.0</v>
      </c>
    </row>
    <row r="34" ht="22.5" customHeight="1">
      <c r="A34" s="25" t="s">
        <v>505</v>
      </c>
      <c r="B34" s="25" t="s">
        <v>899</v>
      </c>
      <c r="C34" s="23" t="s">
        <v>1597</v>
      </c>
      <c r="D34" s="76" t="s">
        <v>1870</v>
      </c>
      <c r="E34" s="167">
        <v>45904.0</v>
      </c>
      <c r="F34" s="166">
        <v>24.4</v>
      </c>
      <c r="G34" s="166">
        <v>63.4</v>
      </c>
      <c r="H34" s="25"/>
      <c r="I34" s="166">
        <v>0.0</v>
      </c>
    </row>
    <row r="35" ht="22.5" customHeight="1">
      <c r="A35" s="25" t="s">
        <v>195</v>
      </c>
      <c r="B35" s="25" t="s">
        <v>1895</v>
      </c>
      <c r="C35" s="23" t="s">
        <v>1598</v>
      </c>
      <c r="D35" s="76" t="s">
        <v>1870</v>
      </c>
      <c r="E35" s="167">
        <v>45903.0</v>
      </c>
      <c r="F35" s="166">
        <v>22.4</v>
      </c>
      <c r="G35" s="166">
        <v>47.8</v>
      </c>
      <c r="H35" s="25"/>
      <c r="I35" s="166">
        <v>0.0</v>
      </c>
    </row>
    <row r="36" ht="22.5" customHeight="1">
      <c r="A36" s="25" t="s">
        <v>208</v>
      </c>
      <c r="B36" s="25" t="s">
        <v>1896</v>
      </c>
      <c r="C36" s="23" t="s">
        <v>1599</v>
      </c>
      <c r="D36" s="76" t="s">
        <v>1870</v>
      </c>
      <c r="E36" s="167">
        <v>45903.0</v>
      </c>
      <c r="F36" s="166">
        <v>23.1</v>
      </c>
      <c r="G36" s="166">
        <v>49.5</v>
      </c>
      <c r="H36" s="25"/>
      <c r="I36" s="166">
        <v>0.0</v>
      </c>
    </row>
    <row r="37" ht="22.5" customHeight="1">
      <c r="A37" s="25" t="s">
        <v>533</v>
      </c>
      <c r="B37" s="25" t="s">
        <v>903</v>
      </c>
      <c r="C37" s="23" t="s">
        <v>1600</v>
      </c>
      <c r="D37" s="76" t="s">
        <v>1870</v>
      </c>
      <c r="E37" s="167">
        <v>45903.0</v>
      </c>
      <c r="F37" s="166">
        <v>22.4</v>
      </c>
      <c r="G37" s="166">
        <v>51.9</v>
      </c>
      <c r="H37" s="25"/>
      <c r="I37" s="166">
        <v>0.0</v>
      </c>
    </row>
    <row r="38" ht="22.5" customHeight="1">
      <c r="A38" s="25" t="s">
        <v>219</v>
      </c>
      <c r="B38" s="25" t="s">
        <v>1898</v>
      </c>
      <c r="C38" s="23" t="s">
        <v>1601</v>
      </c>
      <c r="D38" s="76" t="s">
        <v>1870</v>
      </c>
      <c r="E38" s="167">
        <v>45904.0</v>
      </c>
      <c r="F38" s="166">
        <v>19.6</v>
      </c>
      <c r="G38" s="166">
        <v>59.4</v>
      </c>
      <c r="H38" s="25"/>
      <c r="I38" s="166">
        <v>0.0</v>
      </c>
    </row>
    <row r="39" ht="22.5" customHeight="1">
      <c r="A39" s="25" t="s">
        <v>228</v>
      </c>
      <c r="B39" s="25" t="s">
        <v>229</v>
      </c>
      <c r="C39" s="23" t="s">
        <v>1602</v>
      </c>
      <c r="D39" s="76" t="s">
        <v>1870</v>
      </c>
      <c r="E39" s="167">
        <v>45951.0</v>
      </c>
      <c r="F39" s="166">
        <v>21.2</v>
      </c>
      <c r="G39" s="166">
        <v>28.5</v>
      </c>
      <c r="H39" s="25" t="s">
        <v>1900</v>
      </c>
      <c r="I39" s="166">
        <v>0.0</v>
      </c>
    </row>
    <row r="40" ht="22.5" customHeight="1">
      <c r="A40" s="25" t="s">
        <v>236</v>
      </c>
      <c r="B40" s="25" t="s">
        <v>237</v>
      </c>
      <c r="C40" s="23" t="s">
        <v>1603</v>
      </c>
      <c r="D40" s="76" t="s">
        <v>1870</v>
      </c>
      <c r="E40" s="167">
        <v>45904.0</v>
      </c>
      <c r="F40" s="166">
        <v>22.5</v>
      </c>
      <c r="G40" s="166">
        <v>50.9</v>
      </c>
      <c r="H40" s="25"/>
      <c r="I40" s="166">
        <v>0.0</v>
      </c>
    </row>
    <row r="41" ht="22.5" customHeight="1">
      <c r="A41" s="25" t="s">
        <v>243</v>
      </c>
      <c r="B41" s="25" t="s">
        <v>244</v>
      </c>
      <c r="C41" s="23" t="s">
        <v>1606</v>
      </c>
      <c r="D41" s="76" t="s">
        <v>1870</v>
      </c>
      <c r="E41" s="167">
        <v>45951.0</v>
      </c>
      <c r="F41" s="166">
        <v>22.5</v>
      </c>
      <c r="G41" s="166">
        <v>48.3</v>
      </c>
      <c r="H41" s="25"/>
      <c r="I41" s="166">
        <v>1.0</v>
      </c>
    </row>
    <row r="42" ht="22.5" customHeight="1">
      <c r="A42" s="25" t="s">
        <v>251</v>
      </c>
      <c r="B42" s="25" t="s">
        <v>244</v>
      </c>
      <c r="C42" s="23" t="s">
        <v>1607</v>
      </c>
      <c r="D42" s="76" t="s">
        <v>1870</v>
      </c>
      <c r="E42" s="167">
        <v>45951.0</v>
      </c>
      <c r="F42" s="166">
        <v>21.2</v>
      </c>
      <c r="G42" s="166">
        <v>46.2</v>
      </c>
      <c r="H42" s="25"/>
      <c r="I42" s="166">
        <v>0.0</v>
      </c>
    </row>
    <row r="43" ht="22.5" customHeight="1">
      <c r="A43" s="25" t="s">
        <v>565</v>
      </c>
      <c r="B43" s="25" t="s">
        <v>910</v>
      </c>
      <c r="C43" s="23" t="s">
        <v>1608</v>
      </c>
      <c r="D43" s="76" t="s">
        <v>1870</v>
      </c>
      <c r="E43" s="167">
        <v>45951.0</v>
      </c>
      <c r="F43" s="166">
        <v>22.4</v>
      </c>
      <c r="G43" s="166">
        <v>47.7</v>
      </c>
      <c r="H43" s="25" t="s">
        <v>1902</v>
      </c>
      <c r="I43" s="166">
        <v>0.0</v>
      </c>
    </row>
    <row r="44" ht="22.5" customHeight="1">
      <c r="A44" s="25" t="s">
        <v>573</v>
      </c>
      <c r="B44" s="25" t="s">
        <v>1903</v>
      </c>
      <c r="C44" s="23" t="s">
        <v>1610</v>
      </c>
      <c r="D44" s="76" t="s">
        <v>1870</v>
      </c>
      <c r="E44" s="167">
        <v>45951.0</v>
      </c>
      <c r="F44" s="166">
        <v>21.6</v>
      </c>
      <c r="G44" s="166">
        <v>59.5</v>
      </c>
      <c r="H44" s="25" t="s">
        <v>1904</v>
      </c>
      <c r="I44" s="166">
        <v>0.0</v>
      </c>
    </row>
    <row r="45" ht="22.5" customHeight="1">
      <c r="A45" s="25" t="s">
        <v>257</v>
      </c>
      <c r="B45" s="25" t="s">
        <v>258</v>
      </c>
      <c r="C45" s="23" t="s">
        <v>1611</v>
      </c>
      <c r="D45" s="76" t="s">
        <v>1870</v>
      </c>
      <c r="E45" s="167">
        <v>45954.0</v>
      </c>
      <c r="F45" s="166">
        <v>0.0</v>
      </c>
      <c r="G45" s="166">
        <v>0.0</v>
      </c>
      <c r="H45" s="25" t="s">
        <v>1905</v>
      </c>
      <c r="I45" s="166">
        <v>0.0</v>
      </c>
    </row>
    <row r="46" ht="22.5" customHeight="1">
      <c r="A46" s="25" t="s">
        <v>267</v>
      </c>
      <c r="B46" s="25" t="s">
        <v>1906</v>
      </c>
      <c r="C46" s="23" t="s">
        <v>1614</v>
      </c>
      <c r="D46" s="76" t="s">
        <v>1870</v>
      </c>
      <c r="E46" s="167">
        <v>45951.0</v>
      </c>
      <c r="F46" s="166">
        <v>23.1</v>
      </c>
      <c r="G46" s="166">
        <v>70.3</v>
      </c>
      <c r="H46" s="25" t="s">
        <v>1907</v>
      </c>
      <c r="I46" s="166">
        <v>0.0</v>
      </c>
    </row>
    <row r="47" ht="22.5" customHeight="1">
      <c r="A47" s="25" t="s">
        <v>270</v>
      </c>
      <c r="B47" s="25" t="s">
        <v>1908</v>
      </c>
      <c r="C47" s="23" t="s">
        <v>1615</v>
      </c>
      <c r="D47" s="76" t="s">
        <v>1870</v>
      </c>
      <c r="E47" s="167">
        <v>45951.0</v>
      </c>
      <c r="F47" s="166">
        <v>23.0</v>
      </c>
      <c r="G47" s="166">
        <v>71.5</v>
      </c>
      <c r="H47" s="25" t="s">
        <v>1909</v>
      </c>
      <c r="I47" s="166">
        <v>0.0</v>
      </c>
    </row>
    <row r="48" ht="22.5" customHeight="1">
      <c r="A48" s="25" t="s">
        <v>200</v>
      </c>
      <c r="B48" s="25" t="s">
        <v>272</v>
      </c>
      <c r="C48" s="23" t="s">
        <v>1616</v>
      </c>
      <c r="D48" s="76" t="s">
        <v>1870</v>
      </c>
      <c r="E48" s="167">
        <v>45903.0</v>
      </c>
      <c r="F48" s="166">
        <v>23.4</v>
      </c>
      <c r="G48" s="166">
        <v>74.9</v>
      </c>
      <c r="H48" s="25"/>
      <c r="I48" s="166">
        <v>0.0</v>
      </c>
    </row>
    <row r="49" ht="22.5" customHeight="1">
      <c r="A49" s="25" t="s">
        <v>205</v>
      </c>
      <c r="B49" s="25" t="s">
        <v>273</v>
      </c>
      <c r="C49" s="23" t="s">
        <v>1617</v>
      </c>
      <c r="D49" s="76" t="s">
        <v>1870</v>
      </c>
      <c r="E49" s="167">
        <v>45903.0</v>
      </c>
      <c r="F49" s="166">
        <v>23.4</v>
      </c>
      <c r="G49" s="166">
        <v>76.7</v>
      </c>
      <c r="H49" s="25"/>
      <c r="I49" s="166">
        <v>0.0</v>
      </c>
    </row>
    <row r="50" ht="22.5" customHeight="1">
      <c r="A50" s="25" t="s">
        <v>609</v>
      </c>
      <c r="B50" s="25" t="s">
        <v>1911</v>
      </c>
      <c r="C50" s="23" t="s">
        <v>1618</v>
      </c>
      <c r="D50" s="76" t="s">
        <v>1870</v>
      </c>
      <c r="E50" s="167">
        <v>45951.0</v>
      </c>
      <c r="F50" s="166">
        <v>21.4</v>
      </c>
      <c r="G50" s="166">
        <v>55.5</v>
      </c>
      <c r="H50" s="25" t="s">
        <v>1912</v>
      </c>
      <c r="I50" s="166">
        <v>0.0</v>
      </c>
    </row>
    <row r="51" ht="22.5" customHeight="1">
      <c r="A51" s="25" t="s">
        <v>212</v>
      </c>
      <c r="B51" s="25" t="s">
        <v>1913</v>
      </c>
      <c r="C51" s="23" t="s">
        <v>1619</v>
      </c>
      <c r="D51" s="76" t="s">
        <v>1870</v>
      </c>
      <c r="E51" s="167">
        <v>45903.0</v>
      </c>
      <c r="F51" s="166">
        <v>0.0</v>
      </c>
      <c r="G51" s="166">
        <v>0.0</v>
      </c>
      <c r="H51" s="25"/>
      <c r="I51" s="166">
        <v>0.0</v>
      </c>
    </row>
    <row r="52" ht="22.5" customHeight="1">
      <c r="A52" s="25" t="s">
        <v>217</v>
      </c>
      <c r="B52" s="25" t="s">
        <v>1914</v>
      </c>
      <c r="C52" s="23" t="s">
        <v>1620</v>
      </c>
      <c r="D52" s="76" t="s">
        <v>1870</v>
      </c>
      <c r="E52" s="167">
        <v>45903.0</v>
      </c>
      <c r="F52" s="166">
        <v>23.1</v>
      </c>
      <c r="G52" s="166">
        <v>72.6</v>
      </c>
      <c r="H52" s="25"/>
      <c r="I52" s="166">
        <v>0.0</v>
      </c>
    </row>
    <row r="53" ht="22.5" customHeight="1">
      <c r="A53" s="25" t="s">
        <v>222</v>
      </c>
      <c r="B53" s="25" t="s">
        <v>1915</v>
      </c>
      <c r="C53" s="23" t="s">
        <v>1621</v>
      </c>
      <c r="D53" s="76" t="s">
        <v>1870</v>
      </c>
      <c r="E53" s="167">
        <v>45903.0</v>
      </c>
      <c r="F53" s="166">
        <v>23.2</v>
      </c>
      <c r="G53" s="166">
        <v>75.2</v>
      </c>
      <c r="H53" s="25"/>
      <c r="I53" s="166">
        <v>0.0</v>
      </c>
    </row>
    <row r="54" ht="22.5" customHeight="1">
      <c r="A54" s="25" t="s">
        <v>168</v>
      </c>
      <c r="B54" s="25" t="s">
        <v>1916</v>
      </c>
      <c r="C54" s="23" t="s">
        <v>1624</v>
      </c>
      <c r="D54" s="76" t="s">
        <v>1889</v>
      </c>
      <c r="E54" s="167">
        <v>45954.0</v>
      </c>
      <c r="F54" s="166">
        <v>23.2</v>
      </c>
      <c r="G54" s="166">
        <v>61.8</v>
      </c>
      <c r="H54" s="25" t="s">
        <v>1917</v>
      </c>
      <c r="I54" s="166">
        <v>0.0</v>
      </c>
    </row>
    <row r="55" ht="22.5" customHeight="1">
      <c r="A55" s="25" t="s">
        <v>226</v>
      </c>
      <c r="B55" s="25" t="s">
        <v>281</v>
      </c>
      <c r="C55" s="23" t="s">
        <v>1625</v>
      </c>
      <c r="D55" s="76" t="s">
        <v>1889</v>
      </c>
      <c r="E55" s="167">
        <v>45999.0</v>
      </c>
      <c r="F55" s="166">
        <v>22.8</v>
      </c>
      <c r="G55" s="166">
        <v>46.0</v>
      </c>
      <c r="H55" s="25"/>
      <c r="I55" s="166">
        <v>0.0</v>
      </c>
    </row>
    <row r="56" ht="22.5" customHeight="1">
      <c r="A56" s="25" t="s">
        <v>643</v>
      </c>
      <c r="B56" s="25" t="s">
        <v>924</v>
      </c>
      <c r="C56" s="23" t="s">
        <v>1626</v>
      </c>
      <c r="D56" s="76" t="s">
        <v>1889</v>
      </c>
      <c r="E56" s="167">
        <v>45999.0</v>
      </c>
      <c r="F56" s="166">
        <v>23.5</v>
      </c>
      <c r="G56" s="166">
        <v>43.9</v>
      </c>
      <c r="H56" s="25"/>
      <c r="I56" s="166">
        <v>0.0</v>
      </c>
    </row>
    <row r="57" ht="22.5" customHeight="1">
      <c r="A57" s="25" t="s">
        <v>177</v>
      </c>
      <c r="B57" s="25" t="s">
        <v>283</v>
      </c>
      <c r="C57" s="23" t="s">
        <v>1627</v>
      </c>
      <c r="D57" s="76" t="s">
        <v>1889</v>
      </c>
      <c r="E57" s="167">
        <v>45954.0</v>
      </c>
      <c r="F57" s="166">
        <v>22.0</v>
      </c>
      <c r="G57" s="166">
        <v>58.2</v>
      </c>
      <c r="H57" s="25" t="s">
        <v>1919</v>
      </c>
      <c r="I57" s="166">
        <v>0.0</v>
      </c>
    </row>
    <row r="58" ht="22.5" customHeight="1">
      <c r="A58" s="25" t="s">
        <v>183</v>
      </c>
      <c r="B58" s="25" t="s">
        <v>286</v>
      </c>
      <c r="C58" s="23" t="s">
        <v>1628</v>
      </c>
      <c r="D58" s="76" t="s">
        <v>1889</v>
      </c>
      <c r="E58" s="167">
        <v>45954.0</v>
      </c>
      <c r="F58" s="166">
        <v>21.1</v>
      </c>
      <c r="G58" s="166">
        <v>63.8</v>
      </c>
      <c r="H58" s="25" t="s">
        <v>1907</v>
      </c>
      <c r="I58" s="166">
        <v>0.0</v>
      </c>
    </row>
    <row r="59" ht="22.5" customHeight="1">
      <c r="A59" s="25" t="s">
        <v>231</v>
      </c>
      <c r="B59" s="25" t="s">
        <v>1920</v>
      </c>
      <c r="C59" s="23" t="s">
        <v>1630</v>
      </c>
      <c r="D59" s="76" t="s">
        <v>1889</v>
      </c>
      <c r="E59" s="167">
        <v>45954.0</v>
      </c>
      <c r="F59" s="166">
        <v>22.3</v>
      </c>
      <c r="G59" s="166">
        <v>58.5</v>
      </c>
      <c r="H59" s="25" t="s">
        <v>1902</v>
      </c>
      <c r="I59" s="166">
        <v>0.0</v>
      </c>
    </row>
    <row r="60" ht="22.5" customHeight="1">
      <c r="A60" s="25" t="s">
        <v>233</v>
      </c>
      <c r="B60" s="25" t="s">
        <v>291</v>
      </c>
      <c r="C60" s="23" t="s">
        <v>1631</v>
      </c>
      <c r="D60" s="76" t="s">
        <v>1889</v>
      </c>
      <c r="E60" s="167">
        <v>45954.0</v>
      </c>
      <c r="F60" s="166">
        <v>22.7</v>
      </c>
      <c r="G60" s="166">
        <v>56.9</v>
      </c>
      <c r="H60" s="25" t="s">
        <v>1900</v>
      </c>
      <c r="I60" s="166">
        <v>0.0</v>
      </c>
    </row>
    <row r="61" ht="22.5" customHeight="1">
      <c r="A61" s="25" t="s">
        <v>239</v>
      </c>
      <c r="B61" s="25" t="s">
        <v>293</v>
      </c>
      <c r="C61" s="23" t="s">
        <v>1632</v>
      </c>
      <c r="D61" s="76" t="s">
        <v>1889</v>
      </c>
      <c r="E61" s="167">
        <v>45954.0</v>
      </c>
      <c r="F61" s="166">
        <v>23.6</v>
      </c>
      <c r="G61" s="166">
        <v>54.3</v>
      </c>
      <c r="H61" s="25"/>
      <c r="I61" s="166">
        <v>0.0</v>
      </c>
    </row>
    <row r="62" ht="22.5" customHeight="1">
      <c r="A62" s="25" t="s">
        <v>241</v>
      </c>
      <c r="B62" s="25" t="s">
        <v>295</v>
      </c>
      <c r="C62" s="23" t="s">
        <v>1633</v>
      </c>
      <c r="D62" s="76" t="s">
        <v>1889</v>
      </c>
      <c r="E62" s="167">
        <v>45954.0</v>
      </c>
      <c r="F62" s="166">
        <v>23.8</v>
      </c>
      <c r="G62" s="166">
        <v>51.5</v>
      </c>
      <c r="H62" s="25"/>
      <c r="I62" s="166">
        <v>0.0</v>
      </c>
    </row>
    <row r="63" ht="22.5" customHeight="1">
      <c r="A63" s="25" t="s">
        <v>246</v>
      </c>
      <c r="B63" s="25" t="s">
        <v>296</v>
      </c>
      <c r="C63" s="23" t="s">
        <v>1634</v>
      </c>
      <c r="D63" s="76" t="s">
        <v>1889</v>
      </c>
      <c r="E63" s="167">
        <v>45954.0</v>
      </c>
      <c r="F63" s="166">
        <v>22.7</v>
      </c>
      <c r="G63" s="166">
        <v>52.3</v>
      </c>
      <c r="H63" s="25" t="s">
        <v>1923</v>
      </c>
      <c r="I63" s="166">
        <v>0.0</v>
      </c>
    </row>
    <row r="64" ht="22.5" customHeight="1">
      <c r="A64" s="25" t="s">
        <v>151</v>
      </c>
      <c r="B64" s="25" t="s">
        <v>159</v>
      </c>
      <c r="C64" s="23" t="s">
        <v>151</v>
      </c>
      <c r="D64" s="169"/>
      <c r="E64" s="167">
        <v>46000.0</v>
      </c>
      <c r="F64" s="166"/>
      <c r="G64" s="166"/>
      <c r="H64" s="25"/>
      <c r="I64" s="166">
        <v>0.0</v>
      </c>
    </row>
    <row r="70">
      <c r="E70" s="1" t="s">
        <v>1924</v>
      </c>
    </row>
  </sheetData>
  <dataValidations>
    <dataValidation type="custom" allowBlank="1" showDropDown="1" sqref="E2:E64">
      <formula1>OR(NOT(ISERROR(DATEVALUE(E2))), AND(ISNUMBER(E2), LEFT(CELL("format", E2))="D"))</formula1>
    </dataValidation>
    <dataValidation type="custom" allowBlank="1" showDropDown="1" sqref="F2:G64 I2:I64">
      <formula1>AND(ISNUMBER(F2),(NOT(OR(NOT(ISERROR(DATEVALUE(F2))), AND(ISNUMBER(F2), LEFT(CELL("format", F2))="D")))))</formula1>
    </dataValidation>
    <dataValidation allowBlank="1" showDropDown="1" sqref="A2:B64 H2:H64"/>
    <dataValidation type="list" allowBlank="1" sqref="D2:D64">
      <formula1>"NON-POTENT,POTENT"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0.13"/>
    <col customWidth="1" min="2" max="2" width="12.0"/>
    <col customWidth="1" min="3" max="4" width="17.75"/>
    <col customWidth="1" min="5" max="5" width="13.0"/>
    <col customWidth="1" min="9" max="9" width="13.38"/>
    <col customWidth="1" min="10" max="10" width="15.75"/>
    <col customWidth="1" min="11" max="11" width="15.38"/>
    <col customWidth="1" min="12" max="12" width="38.75"/>
    <col customWidth="1" min="13" max="13" width="15.25"/>
    <col customWidth="1" min="16" max="16" width="19.63"/>
    <col customWidth="1" min="17" max="17" width="17.25"/>
    <col customWidth="1" min="19" max="19" width="15.38"/>
  </cols>
  <sheetData>
    <row r="1" ht="22.5" customHeight="1">
      <c r="A1" s="2" t="s">
        <v>580</v>
      </c>
      <c r="B1" s="2" t="s">
        <v>81</v>
      </c>
      <c r="C1" s="3" t="s">
        <v>107</v>
      </c>
      <c r="D1" s="2" t="s">
        <v>112</v>
      </c>
      <c r="E1" s="2" t="s">
        <v>100</v>
      </c>
      <c r="F1" s="2" t="s">
        <v>105</v>
      </c>
      <c r="G1" s="2" t="s">
        <v>110</v>
      </c>
      <c r="H1" s="2" t="s">
        <v>122</v>
      </c>
      <c r="I1" s="3" t="s">
        <v>127</v>
      </c>
      <c r="J1" s="3" t="s">
        <v>134</v>
      </c>
      <c r="K1" s="3" t="s">
        <v>142</v>
      </c>
      <c r="L1" s="2" t="s">
        <v>162</v>
      </c>
      <c r="M1" s="3" t="s">
        <v>163</v>
      </c>
      <c r="N1" s="3" t="s">
        <v>164</v>
      </c>
      <c r="O1" s="2" t="s">
        <v>1897</v>
      </c>
      <c r="P1" s="5" t="s">
        <v>0</v>
      </c>
      <c r="Q1" s="5" t="s">
        <v>150</v>
      </c>
      <c r="R1" s="9" t="s">
        <v>138</v>
      </c>
      <c r="S1" s="9" t="s">
        <v>145</v>
      </c>
      <c r="T1" s="5" t="s">
        <v>1824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ht="22.5" customHeight="1">
      <c r="A2" s="68">
        <v>46028.0</v>
      </c>
      <c r="B2" s="70" t="s">
        <v>729</v>
      </c>
      <c r="C2" s="168"/>
      <c r="D2" s="71" t="s">
        <v>1899</v>
      </c>
      <c r="E2" s="72" t="s">
        <v>194</v>
      </c>
      <c r="F2" s="72" t="s">
        <v>194</v>
      </c>
      <c r="G2" s="72" t="s">
        <v>194</v>
      </c>
      <c r="H2" s="72" t="s">
        <v>194</v>
      </c>
      <c r="I2" s="70" t="s">
        <v>263</v>
      </c>
      <c r="J2" s="70" t="s">
        <v>264</v>
      </c>
      <c r="K2" s="73">
        <v>46267.0</v>
      </c>
      <c r="L2" s="77" t="str">
        <f t="array" ref="L2">_xlfn.XLOOKUP(records_3[roomNo], database[roomNo], database[roomName])</f>
        <v>FILTRATION 2 (UTILITY SKID ADAM)</v>
      </c>
      <c r="M2" s="81" t="str">
        <f t="array" ref="M2">_xlfn.XLOOKUP(records_3[roomNo], database[roomNo], database[building])</f>
        <v>Building 16</v>
      </c>
      <c r="N2" s="81" t="str">
        <f t="array" ref="N2">_xlfn.XLOOKUP(records_3[roomNo], database[roomNo], database[floor])</f>
        <v>Floor 1</v>
      </c>
      <c r="O2" s="74">
        <v>0.0</v>
      </c>
      <c r="P2" s="70" t="s">
        <v>731</v>
      </c>
      <c r="Q2" s="75"/>
      <c r="R2" s="33"/>
      <c r="S2" s="33"/>
      <c r="T2" s="43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 ht="22.5" customHeight="1">
      <c r="A3" s="18">
        <v>46028.0</v>
      </c>
      <c r="B3" s="20" t="s">
        <v>736</v>
      </c>
      <c r="C3" s="139"/>
      <c r="D3" s="21" t="s">
        <v>1899</v>
      </c>
      <c r="E3" s="32" t="s">
        <v>194</v>
      </c>
      <c r="F3" s="32" t="s">
        <v>194</v>
      </c>
      <c r="G3" s="32" t="s">
        <v>194</v>
      </c>
      <c r="H3" s="32" t="s">
        <v>194</v>
      </c>
      <c r="I3" s="20" t="s">
        <v>263</v>
      </c>
      <c r="J3" s="20" t="s">
        <v>264</v>
      </c>
      <c r="K3" s="30">
        <v>46267.0</v>
      </c>
      <c r="L3" s="35" t="str">
        <f t="array" ref="L3">_xlfn.XLOOKUP(records_3[roomNo], database[roomNo], database[roomName])</f>
        <v>WASHING</v>
      </c>
      <c r="M3" s="38" t="str">
        <f t="array" ref="M3">_xlfn.XLOOKUP(records_3[roomNo], database[roomNo], database[building])</f>
        <v>Building 16</v>
      </c>
      <c r="N3" s="38" t="str">
        <f t="array" ref="N3">_xlfn.XLOOKUP(records_3[roomNo], database[roomNo], database[floor])</f>
        <v>Floor 1</v>
      </c>
      <c r="O3" s="31">
        <v>0.0</v>
      </c>
      <c r="P3" s="20" t="s">
        <v>731</v>
      </c>
      <c r="Q3" s="80"/>
      <c r="R3" s="33"/>
      <c r="S3" s="33"/>
      <c r="T3" s="43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</row>
    <row r="4" ht="22.5" customHeight="1">
      <c r="A4" s="27">
        <v>46028.0</v>
      </c>
      <c r="B4" s="34" t="s">
        <v>740</v>
      </c>
      <c r="C4" s="140"/>
      <c r="D4" s="36" t="s">
        <v>1899</v>
      </c>
      <c r="E4" s="39" t="s">
        <v>194</v>
      </c>
      <c r="F4" s="39" t="s">
        <v>194</v>
      </c>
      <c r="G4" s="39" t="s">
        <v>194</v>
      </c>
      <c r="H4" s="39" t="s">
        <v>194</v>
      </c>
      <c r="I4" s="34" t="s">
        <v>263</v>
      </c>
      <c r="J4" s="34" t="s">
        <v>264</v>
      </c>
      <c r="K4" s="48">
        <v>46267.0</v>
      </c>
      <c r="L4" s="54" t="str">
        <f t="array" ref="L4">_xlfn.XLOOKUP(records_3[roomNo], database[roomNo], database[roomName])</f>
        <v>FILTRATION 1 (UTILITY SKID ADAM)</v>
      </c>
      <c r="M4" s="56" t="str">
        <f t="array" ref="M4">_xlfn.XLOOKUP(records_3[roomNo], database[roomNo], database[building])</f>
        <v>Building 16</v>
      </c>
      <c r="N4" s="56" t="str">
        <f t="array" ref="N4">_xlfn.XLOOKUP(records_3[roomNo], database[roomNo], database[floor])</f>
        <v>Floor 1</v>
      </c>
      <c r="O4" s="50">
        <v>0.0</v>
      </c>
      <c r="P4" s="34" t="s">
        <v>731</v>
      </c>
      <c r="Q4" s="80"/>
      <c r="R4" s="33"/>
      <c r="S4" s="33"/>
      <c r="T4" s="43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  <row r="5" ht="22.5" customHeight="1">
      <c r="A5" s="27">
        <v>46028.0</v>
      </c>
      <c r="B5" s="34" t="s">
        <v>745</v>
      </c>
      <c r="C5" s="140"/>
      <c r="D5" s="36" t="s">
        <v>1899</v>
      </c>
      <c r="E5" s="39" t="s">
        <v>194</v>
      </c>
      <c r="F5" s="39" t="s">
        <v>194</v>
      </c>
      <c r="G5" s="39" t="s">
        <v>194</v>
      </c>
      <c r="H5" s="39" t="s">
        <v>194</v>
      </c>
      <c r="I5" s="34" t="s">
        <v>263</v>
      </c>
      <c r="J5" s="34" t="s">
        <v>264</v>
      </c>
      <c r="K5" s="48">
        <v>46267.0</v>
      </c>
      <c r="L5" s="54" t="str">
        <f t="array" ref="L5">_xlfn.XLOOKUP(records_3[roomNo], database[roomNo], database[roomName])</f>
        <v>WASHING/TUNNEL 2 (WASHING TUNNEL AMPOULE MACHINE)</v>
      </c>
      <c r="M5" s="56" t="str">
        <f t="array" ref="M5">_xlfn.XLOOKUP(records_3[roomNo], database[roomNo], database[building])</f>
        <v>Building 16</v>
      </c>
      <c r="N5" s="56" t="str">
        <f t="array" ref="N5">_xlfn.XLOOKUP(records_3[roomNo], database[roomNo], database[floor])</f>
        <v>Floor 1</v>
      </c>
      <c r="O5" s="50">
        <v>0.0</v>
      </c>
      <c r="P5" s="34" t="s">
        <v>731</v>
      </c>
      <c r="Q5" s="80"/>
      <c r="R5" s="33"/>
      <c r="S5" s="33"/>
      <c r="T5" s="43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</row>
    <row r="6" ht="22.5" customHeight="1">
      <c r="A6" s="27">
        <v>46028.0</v>
      </c>
      <c r="B6" s="34" t="s">
        <v>749</v>
      </c>
      <c r="C6" s="140"/>
      <c r="D6" s="36" t="s">
        <v>1899</v>
      </c>
      <c r="E6" s="39" t="s">
        <v>194</v>
      </c>
      <c r="F6" s="39" t="s">
        <v>194</v>
      </c>
      <c r="G6" s="39" t="s">
        <v>194</v>
      </c>
      <c r="H6" s="39" t="s">
        <v>194</v>
      </c>
      <c r="I6" s="34" t="s">
        <v>263</v>
      </c>
      <c r="J6" s="34" t="s">
        <v>264</v>
      </c>
      <c r="K6" s="48">
        <v>46267.0</v>
      </c>
      <c r="L6" s="54" t="str">
        <f t="array" ref="L6">_xlfn.XLOOKUP(records_3[roomNo], database[roomNo], database[roomName])</f>
        <v>CIP/SIP (CIP VESSEL)</v>
      </c>
      <c r="M6" s="56" t="str">
        <f t="array" ref="M6">_xlfn.XLOOKUP(records_3[roomNo], database[roomNo], database[building])</f>
        <v>Building 16</v>
      </c>
      <c r="N6" s="56" t="str">
        <f t="array" ref="N6">_xlfn.XLOOKUP(records_3[roomNo], database[roomNo], database[floor])</f>
        <v>Floor 1</v>
      </c>
      <c r="O6" s="50">
        <v>15.0</v>
      </c>
      <c r="P6" s="34" t="s">
        <v>731</v>
      </c>
      <c r="Q6" s="80"/>
      <c r="R6" s="33"/>
      <c r="S6" s="33"/>
      <c r="T6" s="43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</row>
    <row r="7" ht="22.5" customHeight="1">
      <c r="A7" s="27">
        <v>46028.0</v>
      </c>
      <c r="B7" s="34" t="s">
        <v>754</v>
      </c>
      <c r="C7" s="140"/>
      <c r="D7" s="36" t="s">
        <v>1899</v>
      </c>
      <c r="E7" s="39" t="s">
        <v>194</v>
      </c>
      <c r="F7" s="39" t="s">
        <v>194</v>
      </c>
      <c r="G7" s="39" t="s">
        <v>194</v>
      </c>
      <c r="H7" s="39" t="s">
        <v>194</v>
      </c>
      <c r="I7" s="34" t="s">
        <v>263</v>
      </c>
      <c r="J7" s="34" t="s">
        <v>264</v>
      </c>
      <c r="K7" s="48">
        <v>46267.0</v>
      </c>
      <c r="L7" s="54" t="str">
        <f t="array" ref="L7">_xlfn.XLOOKUP(records_3[roomNo], database[roomNo], database[roomName])</f>
        <v>WASHING/TUNNEL 1 (WASHING/TUNNEL VIAL MACHINE)</v>
      </c>
      <c r="M7" s="56" t="str">
        <f t="array" ref="M7">_xlfn.XLOOKUP(records_3[roomNo], database[roomNo], database[building])</f>
        <v>Building 16</v>
      </c>
      <c r="N7" s="56" t="str">
        <f t="array" ref="N7">_xlfn.XLOOKUP(records_3[roomNo], database[roomNo], database[floor])</f>
        <v>Floor 1</v>
      </c>
      <c r="O7" s="50">
        <v>0.0</v>
      </c>
      <c r="P7" s="34" t="s">
        <v>731</v>
      </c>
      <c r="Q7" s="80"/>
      <c r="R7" s="33"/>
      <c r="S7" s="33"/>
      <c r="T7" s="43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</row>
    <row r="8" ht="22.5" customHeight="1">
      <c r="A8" s="27">
        <v>46028.0</v>
      </c>
      <c r="B8" s="34" t="s">
        <v>763</v>
      </c>
      <c r="C8" s="140"/>
      <c r="D8" s="36" t="s">
        <v>1899</v>
      </c>
      <c r="E8" s="39" t="s">
        <v>194</v>
      </c>
      <c r="F8" s="39" t="s">
        <v>194</v>
      </c>
      <c r="G8" s="39" t="s">
        <v>194</v>
      </c>
      <c r="H8" s="39" t="s">
        <v>194</v>
      </c>
      <c r="I8" s="34" t="s">
        <v>263</v>
      </c>
      <c r="J8" s="34" t="s">
        <v>264</v>
      </c>
      <c r="K8" s="48">
        <v>46267.0</v>
      </c>
      <c r="L8" s="54" t="str">
        <f t="array" ref="L8">_xlfn.XLOOKUP(records_3[roomNo], database[roomNo], database[roomName])</f>
        <v>COMPOUNDING 1 (UTILITY SKID ADAM)</v>
      </c>
      <c r="M8" s="56" t="str">
        <f t="array" ref="M8">_xlfn.XLOOKUP(records_3[roomNo], database[roomNo], database[building])</f>
        <v>Building 16</v>
      </c>
      <c r="N8" s="56" t="str">
        <f t="array" ref="N8">_xlfn.XLOOKUP(records_3[roomNo], database[roomNo], database[floor])</f>
        <v>Floor 1</v>
      </c>
      <c r="O8" s="50">
        <v>0.0</v>
      </c>
      <c r="P8" s="34" t="s">
        <v>731</v>
      </c>
      <c r="Q8" s="80"/>
      <c r="R8" s="33"/>
      <c r="S8" s="33"/>
      <c r="T8" s="43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</row>
    <row r="9" ht="22.5" customHeight="1">
      <c r="A9" s="27">
        <v>46028.0</v>
      </c>
      <c r="B9" s="34" t="s">
        <v>769</v>
      </c>
      <c r="C9" s="140"/>
      <c r="D9" s="36" t="s">
        <v>1899</v>
      </c>
      <c r="E9" s="39" t="s">
        <v>194</v>
      </c>
      <c r="F9" s="39" t="s">
        <v>194</v>
      </c>
      <c r="G9" s="39" t="s">
        <v>194</v>
      </c>
      <c r="H9" s="39" t="s">
        <v>194</v>
      </c>
      <c r="I9" s="34" t="s">
        <v>263</v>
      </c>
      <c r="J9" s="34" t="s">
        <v>264</v>
      </c>
      <c r="K9" s="48">
        <v>46267.0</v>
      </c>
      <c r="L9" s="54" t="str">
        <f t="array" ref="L9">_xlfn.XLOOKUP(records_3[roomNo], database[roomNo], database[roomName])</f>
        <v>DRYING</v>
      </c>
      <c r="M9" s="56" t="str">
        <f t="array" ref="M9">_xlfn.XLOOKUP(records_3[roomNo], database[roomNo], database[building])</f>
        <v>Building 16</v>
      </c>
      <c r="N9" s="56" t="str">
        <f t="array" ref="N9">_xlfn.XLOOKUP(records_3[roomNo], database[roomNo], database[floor])</f>
        <v>Floor 1</v>
      </c>
      <c r="O9" s="50">
        <v>0.0</v>
      </c>
      <c r="P9" s="34" t="s">
        <v>731</v>
      </c>
      <c r="Q9" s="80"/>
      <c r="R9" s="33"/>
      <c r="S9" s="33"/>
      <c r="T9" s="43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</row>
    <row r="10" ht="22.5" customHeight="1">
      <c r="A10" s="27">
        <v>46028.0</v>
      </c>
      <c r="B10" s="34" t="s">
        <v>776</v>
      </c>
      <c r="C10" s="140"/>
      <c r="D10" s="36" t="s">
        <v>1899</v>
      </c>
      <c r="E10" s="39" t="s">
        <v>194</v>
      </c>
      <c r="F10" s="39" t="s">
        <v>194</v>
      </c>
      <c r="G10" s="39" t="s">
        <v>194</v>
      </c>
      <c r="H10" s="39" t="s">
        <v>194</v>
      </c>
      <c r="I10" s="34" t="s">
        <v>263</v>
      </c>
      <c r="J10" s="34" t="s">
        <v>264</v>
      </c>
      <c r="K10" s="48">
        <v>46267.0</v>
      </c>
      <c r="L10" s="54" t="str">
        <f t="array" ref="L10">_xlfn.XLOOKUP(records_3[roomNo], database[roomNo], database[roomName])</f>
        <v>COMPOUNDING 2 (UTILITY SKID)</v>
      </c>
      <c r="M10" s="56" t="str">
        <f t="array" ref="M10">_xlfn.XLOOKUP(records_3[roomNo], database[roomNo], database[building])</f>
        <v>Building 16</v>
      </c>
      <c r="N10" s="56" t="str">
        <f t="array" ref="N10">_xlfn.XLOOKUP(records_3[roomNo], database[roomNo], database[floor])</f>
        <v>Floor 1</v>
      </c>
      <c r="O10" s="50">
        <v>0.0</v>
      </c>
      <c r="P10" s="34" t="s">
        <v>731</v>
      </c>
      <c r="Q10" s="80"/>
      <c r="R10" s="33"/>
      <c r="S10" s="33"/>
      <c r="T10" s="43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</row>
    <row r="11" ht="22.5" customHeight="1">
      <c r="A11" s="68">
        <v>46034.0</v>
      </c>
      <c r="B11" s="70" t="s">
        <v>779</v>
      </c>
      <c r="C11" s="168"/>
      <c r="D11" s="71" t="s">
        <v>1899</v>
      </c>
      <c r="E11" s="70" t="s">
        <v>330</v>
      </c>
      <c r="F11" s="70" t="s">
        <v>781</v>
      </c>
      <c r="G11" s="70" t="s">
        <v>782</v>
      </c>
      <c r="H11" s="70" t="s">
        <v>194</v>
      </c>
      <c r="I11" s="70" t="s">
        <v>263</v>
      </c>
      <c r="J11" s="70" t="s">
        <v>264</v>
      </c>
      <c r="K11" s="73">
        <v>46267.0</v>
      </c>
      <c r="L11" s="77" t="str">
        <f t="array" ref="L11">_xlfn.XLOOKUP(records_3[roomNo], database[roomNo], database[roomName])</f>
        <v>DRYING</v>
      </c>
      <c r="M11" s="81" t="str">
        <f t="array" ref="M11">_xlfn.XLOOKUP(records_3[roomNo], database[roomNo], database[building])</f>
        <v>Building 12</v>
      </c>
      <c r="N11" s="81" t="str">
        <f t="array" ref="N11">_xlfn.XLOOKUP(records_3[roomNo], database[roomNo], database[floor])</f>
        <v>Floor 1</v>
      </c>
      <c r="O11" s="74">
        <v>0.0</v>
      </c>
      <c r="P11" s="70" t="s">
        <v>783</v>
      </c>
      <c r="Q11" s="75"/>
      <c r="R11" s="33"/>
      <c r="S11" s="33"/>
      <c r="T11" s="43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</row>
    <row r="12" ht="22.5" customHeight="1">
      <c r="A12" s="27">
        <v>46034.0</v>
      </c>
      <c r="B12" s="34" t="s">
        <v>789</v>
      </c>
      <c r="C12" s="140"/>
      <c r="D12" s="36" t="s">
        <v>1899</v>
      </c>
      <c r="E12" s="34" t="s">
        <v>791</v>
      </c>
      <c r="F12" s="34" t="s">
        <v>792</v>
      </c>
      <c r="G12" s="34" t="s">
        <v>793</v>
      </c>
      <c r="H12" s="34" t="s">
        <v>194</v>
      </c>
      <c r="I12" s="34" t="s">
        <v>263</v>
      </c>
      <c r="J12" s="34" t="s">
        <v>264</v>
      </c>
      <c r="K12" s="48">
        <v>46267.0</v>
      </c>
      <c r="L12" s="54" t="str">
        <f t="array" ref="L12">_xlfn.XLOOKUP(records_3[roomNo], database[roomNo], database[roomName])</f>
        <v>WASHING</v>
      </c>
      <c r="M12" s="56" t="str">
        <f t="array" ref="M12">_xlfn.XLOOKUP(records_3[roomNo], database[roomNo], database[building])</f>
        <v>Building 12</v>
      </c>
      <c r="N12" s="56" t="str">
        <f t="array" ref="N12">_xlfn.XLOOKUP(records_3[roomNo], database[roomNo], database[floor])</f>
        <v>Floor 1</v>
      </c>
      <c r="O12" s="50">
        <v>0.0</v>
      </c>
      <c r="P12" s="34" t="s">
        <v>783</v>
      </c>
      <c r="Q12" s="80"/>
      <c r="R12" s="33"/>
      <c r="S12" s="33"/>
      <c r="T12" s="43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</row>
    <row r="13" ht="22.5" customHeight="1">
      <c r="A13" s="27">
        <v>46034.0</v>
      </c>
      <c r="B13" s="34" t="s">
        <v>796</v>
      </c>
      <c r="C13" s="140"/>
      <c r="D13" s="36" t="s">
        <v>1899</v>
      </c>
      <c r="E13" s="34" t="s">
        <v>798</v>
      </c>
      <c r="F13" s="34" t="s">
        <v>799</v>
      </c>
      <c r="G13" s="34" t="s">
        <v>800</v>
      </c>
      <c r="H13" s="34" t="s">
        <v>194</v>
      </c>
      <c r="I13" s="34" t="s">
        <v>263</v>
      </c>
      <c r="J13" s="34" t="s">
        <v>264</v>
      </c>
      <c r="K13" s="48">
        <v>46267.0</v>
      </c>
      <c r="L13" s="54" t="str">
        <f t="array" ref="L13">_xlfn.XLOOKUP(records_3[roomNo], database[roomNo], database[roomName])</f>
        <v>BOTTLE CLEANING 1 (BLOWER) (DEPALLETIZER)</v>
      </c>
      <c r="M13" s="56" t="str">
        <f t="array" ref="M13">_xlfn.XLOOKUP(records_3[roomNo], database[roomNo], database[building])</f>
        <v>Building 12</v>
      </c>
      <c r="N13" s="56" t="str">
        <f t="array" ref="N13">_xlfn.XLOOKUP(records_3[roomNo], database[roomNo], database[floor])</f>
        <v>Floor 1</v>
      </c>
      <c r="O13" s="50">
        <v>0.0</v>
      </c>
      <c r="P13" s="34" t="s">
        <v>783</v>
      </c>
      <c r="Q13" s="80"/>
      <c r="R13" s="33"/>
      <c r="S13" s="33"/>
      <c r="T13" s="43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</row>
    <row r="14" ht="22.5" customHeight="1">
      <c r="A14" s="27">
        <v>46034.0</v>
      </c>
      <c r="B14" s="34" t="s">
        <v>804</v>
      </c>
      <c r="C14" s="140"/>
      <c r="D14" s="36" t="s">
        <v>1899</v>
      </c>
      <c r="E14" s="34" t="s">
        <v>500</v>
      </c>
      <c r="F14" s="34" t="s">
        <v>806</v>
      </c>
      <c r="G14" s="34" t="s">
        <v>807</v>
      </c>
      <c r="H14" s="34" t="s">
        <v>194</v>
      </c>
      <c r="I14" s="34" t="s">
        <v>263</v>
      </c>
      <c r="J14" s="34" t="s">
        <v>264</v>
      </c>
      <c r="K14" s="48">
        <v>46267.0</v>
      </c>
      <c r="L14" s="54" t="str">
        <f t="array" ref="L14">_xlfn.XLOOKUP(records_3[roomNo], database[roomNo], database[roomName])</f>
        <v>BOTTLE CLEANING 2 (BLOWER) (DEPALLETIZER)</v>
      </c>
      <c r="M14" s="56" t="str">
        <f t="array" ref="M14">_xlfn.XLOOKUP(records_3[roomNo], database[roomNo], database[building])</f>
        <v>Building 12</v>
      </c>
      <c r="N14" s="56" t="str">
        <f t="array" ref="N14">_xlfn.XLOOKUP(records_3[roomNo], database[roomNo], database[floor])</f>
        <v>Floor 1</v>
      </c>
      <c r="O14" s="50">
        <v>0.0</v>
      </c>
      <c r="P14" s="34" t="s">
        <v>783</v>
      </c>
      <c r="Q14" s="80"/>
      <c r="R14" s="33"/>
      <c r="S14" s="33"/>
      <c r="T14" s="43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</row>
    <row r="15" ht="22.5" customHeight="1">
      <c r="A15" s="27">
        <v>46034.0</v>
      </c>
      <c r="B15" s="39" t="s">
        <v>812</v>
      </c>
      <c r="C15" s="140"/>
      <c r="D15" s="36" t="s">
        <v>1899</v>
      </c>
      <c r="E15" s="34" t="s">
        <v>194</v>
      </c>
      <c r="F15" s="34" t="s">
        <v>194</v>
      </c>
      <c r="G15" s="34" t="s">
        <v>420</v>
      </c>
      <c r="H15" s="34" t="s">
        <v>194</v>
      </c>
      <c r="I15" s="34" t="s">
        <v>263</v>
      </c>
      <c r="J15" s="34" t="s">
        <v>264</v>
      </c>
      <c r="K15" s="48">
        <v>46267.0</v>
      </c>
      <c r="L15" s="54" t="str">
        <f t="array" ref="L15">_xlfn.XLOOKUP(records_3[roomNo], database[roomNo], database[roomName])</f>
        <v>BOTTLE CLEANING 3 (BLOWER) (DEPALLETIZER)</v>
      </c>
      <c r="M15" s="56" t="str">
        <f t="array" ref="M15">_xlfn.XLOOKUP(records_3[roomNo], database[roomNo], database[building])</f>
        <v>Building 12</v>
      </c>
      <c r="N15" s="56" t="str">
        <f t="array" ref="N15">_xlfn.XLOOKUP(records_3[roomNo], database[roomNo], database[floor])</f>
        <v>Floor 1</v>
      </c>
      <c r="O15" s="50">
        <v>0.0</v>
      </c>
      <c r="P15" s="34" t="s">
        <v>783</v>
      </c>
      <c r="Q15" s="80"/>
      <c r="R15" s="33"/>
      <c r="S15" s="33"/>
      <c r="T15" s="43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</row>
    <row r="16" ht="22.5" customHeight="1">
      <c r="A16" s="27">
        <v>46034.0</v>
      </c>
      <c r="B16" s="39" t="s">
        <v>815</v>
      </c>
      <c r="C16" s="140"/>
      <c r="D16" s="36" t="s">
        <v>1899</v>
      </c>
      <c r="E16" s="34" t="s">
        <v>428</v>
      </c>
      <c r="F16" s="34" t="s">
        <v>817</v>
      </c>
      <c r="G16" s="34" t="s">
        <v>818</v>
      </c>
      <c r="H16" s="34" t="s">
        <v>194</v>
      </c>
      <c r="I16" s="34" t="s">
        <v>263</v>
      </c>
      <c r="J16" s="34" t="s">
        <v>264</v>
      </c>
      <c r="K16" s="48">
        <v>46267.0</v>
      </c>
      <c r="L16" s="54" t="str">
        <f t="array" ref="L16">_xlfn.XLOOKUP(records_3[roomNo], database[roomNo], database[roomName])</f>
        <v>BOTTLE CLEANING 4 (BLOWER)</v>
      </c>
      <c r="M16" s="56" t="str">
        <f t="array" ref="M16">_xlfn.XLOOKUP(records_3[roomNo], database[roomNo], database[building])</f>
        <v>Building 12</v>
      </c>
      <c r="N16" s="56" t="str">
        <f t="array" ref="N16">_xlfn.XLOOKUP(records_3[roomNo], database[roomNo], database[floor])</f>
        <v>Floor 1</v>
      </c>
      <c r="O16" s="50">
        <v>0.0</v>
      </c>
      <c r="P16" s="34" t="s">
        <v>783</v>
      </c>
      <c r="Q16" s="80"/>
      <c r="R16" s="33"/>
      <c r="S16" s="33"/>
      <c r="T16" s="43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</row>
    <row r="17" ht="22.5" customHeight="1">
      <c r="A17" s="27">
        <v>46034.0</v>
      </c>
      <c r="B17" s="39" t="s">
        <v>404</v>
      </c>
      <c r="C17" s="140"/>
      <c r="D17" s="36" t="s">
        <v>1899</v>
      </c>
      <c r="E17" s="34" t="s">
        <v>381</v>
      </c>
      <c r="F17" s="34" t="s">
        <v>253</v>
      </c>
      <c r="G17" s="34" t="s">
        <v>823</v>
      </c>
      <c r="H17" s="34" t="s">
        <v>194</v>
      </c>
      <c r="I17" s="34" t="s">
        <v>263</v>
      </c>
      <c r="J17" s="34" t="s">
        <v>264</v>
      </c>
      <c r="K17" s="48">
        <v>46267.0</v>
      </c>
      <c r="L17" s="54" t="str">
        <f t="array" ref="L17">_xlfn.XLOOKUP(records_3[roomNo], database[roomNo], database[roomName])</f>
        <v>OPIUM TINCTURE (UTILITY TINCTURE)</v>
      </c>
      <c r="M17" s="56" t="str">
        <f t="array" ref="M17">_xlfn.XLOOKUP(records_3[roomNo], database[roomNo], database[building])</f>
        <v>Building 12</v>
      </c>
      <c r="N17" s="56" t="str">
        <f t="array" ref="N17">_xlfn.XLOOKUP(records_3[roomNo], database[roomNo], database[floor])</f>
        <v>Floor 2</v>
      </c>
      <c r="O17" s="50">
        <v>0.0</v>
      </c>
      <c r="P17" s="34" t="s">
        <v>783</v>
      </c>
      <c r="Q17" s="80"/>
      <c r="R17" s="33"/>
      <c r="S17" s="33"/>
      <c r="T17" s="43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</row>
    <row r="18" ht="22.5" customHeight="1">
      <c r="A18" s="27">
        <v>46034.0</v>
      </c>
      <c r="B18" s="39" t="s">
        <v>530</v>
      </c>
      <c r="C18" s="140"/>
      <c r="D18" s="36" t="s">
        <v>1899</v>
      </c>
      <c r="E18" s="34" t="s">
        <v>339</v>
      </c>
      <c r="F18" s="34" t="s">
        <v>799</v>
      </c>
      <c r="G18" s="34" t="s">
        <v>827</v>
      </c>
      <c r="H18" s="34" t="s">
        <v>194</v>
      </c>
      <c r="I18" s="34" t="s">
        <v>263</v>
      </c>
      <c r="J18" s="34" t="s">
        <v>264</v>
      </c>
      <c r="K18" s="48">
        <v>46267.0</v>
      </c>
      <c r="L18" s="54" t="str">
        <f t="array" ref="L18">_xlfn.XLOOKUP(records_3[roomNo], database[roomNo], database[roomName])</f>
        <v>MFG 3 (UTILITY SKID ADAM)</v>
      </c>
      <c r="M18" s="56" t="str">
        <f t="array" ref="M18">_xlfn.XLOOKUP(records_3[roomNo], database[roomNo], database[building])</f>
        <v>Building 12</v>
      </c>
      <c r="N18" s="56" t="str">
        <f t="array" ref="N18">_xlfn.XLOOKUP(records_3[roomNo], database[roomNo], database[floor])</f>
        <v>Floor 2</v>
      </c>
      <c r="O18" s="50">
        <v>0.0</v>
      </c>
      <c r="P18" s="34" t="s">
        <v>783</v>
      </c>
      <c r="Q18" s="80"/>
      <c r="R18" s="33"/>
      <c r="S18" s="33"/>
      <c r="T18" s="43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</row>
    <row r="19" ht="22.5" customHeight="1">
      <c r="A19" s="27">
        <v>46034.0</v>
      </c>
      <c r="B19" s="39" t="s">
        <v>749</v>
      </c>
      <c r="C19" s="140"/>
      <c r="D19" s="36" t="s">
        <v>1899</v>
      </c>
      <c r="E19" s="34" t="s">
        <v>681</v>
      </c>
      <c r="F19" s="34" t="s">
        <v>832</v>
      </c>
      <c r="G19" s="34" t="s">
        <v>602</v>
      </c>
      <c r="H19" s="34" t="s">
        <v>194</v>
      </c>
      <c r="I19" s="34" t="s">
        <v>263</v>
      </c>
      <c r="J19" s="34" t="s">
        <v>264</v>
      </c>
      <c r="K19" s="48">
        <v>46267.0</v>
      </c>
      <c r="L19" s="54" t="str">
        <f t="array" ref="L19">_xlfn.XLOOKUP(records_3[roomNo], database[roomNo], database[roomName])</f>
        <v>CIP/SIP (CIP VESSEL)</v>
      </c>
      <c r="M19" s="56" t="str">
        <f t="array" ref="M19">_xlfn.XLOOKUP(records_3[roomNo], database[roomNo], database[building])</f>
        <v>Building 16</v>
      </c>
      <c r="N19" s="56" t="str">
        <f t="array" ref="N19">_xlfn.XLOOKUP(records_3[roomNo], database[roomNo], database[floor])</f>
        <v>Floor 1</v>
      </c>
      <c r="O19" s="50">
        <v>0.0</v>
      </c>
      <c r="P19" s="34" t="s">
        <v>833</v>
      </c>
      <c r="Q19" s="80"/>
      <c r="R19" s="33"/>
      <c r="S19" s="33"/>
      <c r="T19" s="43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</row>
    <row r="20" ht="22.5" customHeight="1">
      <c r="A20" s="68">
        <v>46036.0</v>
      </c>
      <c r="B20" s="72" t="s">
        <v>421</v>
      </c>
      <c r="C20" s="168"/>
      <c r="D20" s="71" t="s">
        <v>1899</v>
      </c>
      <c r="E20" s="70" t="s">
        <v>396</v>
      </c>
      <c r="F20" s="70" t="s">
        <v>842</v>
      </c>
      <c r="G20" s="70" t="s">
        <v>677</v>
      </c>
      <c r="H20" s="70" t="s">
        <v>194</v>
      </c>
      <c r="I20" s="70" t="s">
        <v>263</v>
      </c>
      <c r="J20" s="70" t="s">
        <v>264</v>
      </c>
      <c r="K20" s="73">
        <v>46267.0</v>
      </c>
      <c r="L20" s="77" t="str">
        <f t="array" ref="L20">_xlfn.XLOOKUP(records_3[roomNo], database[roomNo], database[roomName])</f>
        <v>CAMPHORATED OPIUM TINCTURE (UTILITY SKID ADAM)</v>
      </c>
      <c r="M20" s="81" t="str">
        <f t="array" ref="M20">_xlfn.XLOOKUP(records_3[roomNo], database[roomNo], database[building])</f>
        <v>Building 12</v>
      </c>
      <c r="N20" s="81" t="str">
        <f t="array" ref="N20">_xlfn.XLOOKUP(records_3[roomNo], database[roomNo], database[floor])</f>
        <v>Floor 2</v>
      </c>
      <c r="O20" s="74">
        <v>0.0</v>
      </c>
      <c r="P20" s="70" t="s">
        <v>843</v>
      </c>
      <c r="Q20" s="75"/>
      <c r="R20" s="33"/>
      <c r="S20" s="33"/>
      <c r="T20" s="43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</row>
    <row r="21" ht="22.5" customHeight="1">
      <c r="A21" s="27">
        <v>46036.0</v>
      </c>
      <c r="B21" s="39" t="s">
        <v>442</v>
      </c>
      <c r="C21" s="140"/>
      <c r="D21" s="36" t="s">
        <v>1899</v>
      </c>
      <c r="E21" s="34" t="s">
        <v>194</v>
      </c>
      <c r="F21" s="34" t="s">
        <v>194</v>
      </c>
      <c r="G21" s="34" t="s">
        <v>194</v>
      </c>
      <c r="H21" s="34" t="s">
        <v>194</v>
      </c>
      <c r="I21" s="34" t="s">
        <v>263</v>
      </c>
      <c r="J21" s="34" t="s">
        <v>264</v>
      </c>
      <c r="K21" s="48">
        <v>46267.0</v>
      </c>
      <c r="L21" s="54" t="str">
        <f t="array" ref="L21">_xlfn.XLOOKUP(records_3[roomNo], database[roomNo], database[roomName])</f>
        <v>SYRUP PREPARATION (UTILITY SKID ADAM)</v>
      </c>
      <c r="M21" s="56" t="str">
        <f t="array" ref="M21">_xlfn.XLOOKUP(records_3[roomNo], database[roomNo], database[building])</f>
        <v>Building 12</v>
      </c>
      <c r="N21" s="56" t="str">
        <f t="array" ref="N21">_xlfn.XLOOKUP(records_3[roomNo], database[roomNo], database[floor])</f>
        <v>Floor 2</v>
      </c>
      <c r="O21" s="50">
        <v>0.0</v>
      </c>
      <c r="P21" s="34" t="s">
        <v>843</v>
      </c>
      <c r="Q21" s="80"/>
      <c r="R21" s="33"/>
      <c r="S21" s="33"/>
      <c r="T21" s="43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</row>
    <row r="22" ht="22.5" customHeight="1">
      <c r="A22" s="27">
        <v>46036.0</v>
      </c>
      <c r="B22" s="39" t="s">
        <v>456</v>
      </c>
      <c r="C22" s="140"/>
      <c r="D22" s="36" t="s">
        <v>1899</v>
      </c>
      <c r="E22" s="34" t="s">
        <v>194</v>
      </c>
      <c r="F22" s="34" t="s">
        <v>194</v>
      </c>
      <c r="G22" s="34" t="s">
        <v>194</v>
      </c>
      <c r="H22" s="34" t="s">
        <v>194</v>
      </c>
      <c r="I22" s="34" t="s">
        <v>263</v>
      </c>
      <c r="J22" s="34" t="s">
        <v>264</v>
      </c>
      <c r="K22" s="48">
        <v>46267.0</v>
      </c>
      <c r="L22" s="54" t="str">
        <f t="array" ref="L22">_xlfn.XLOOKUP(records_3[roomNo], database[roomNo], database[roomName])</f>
        <v>CIP 1 (UTILITY SKID ADAM)</v>
      </c>
      <c r="M22" s="56" t="str">
        <f t="array" ref="M22">_xlfn.XLOOKUP(records_3[roomNo], database[roomNo], database[building])</f>
        <v>Building 12</v>
      </c>
      <c r="N22" s="56" t="str">
        <f t="array" ref="N22">_xlfn.XLOOKUP(records_3[roomNo], database[roomNo], database[floor])</f>
        <v>Floor 2</v>
      </c>
      <c r="O22" s="50">
        <v>2.0</v>
      </c>
      <c r="P22" s="34" t="s">
        <v>843</v>
      </c>
      <c r="Q22" s="80"/>
      <c r="R22" s="33"/>
      <c r="S22" s="33"/>
      <c r="T22" s="43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</row>
    <row r="23" ht="22.5" customHeight="1">
      <c r="A23" s="27">
        <v>46036.0</v>
      </c>
      <c r="B23" s="39" t="s">
        <v>486</v>
      </c>
      <c r="C23" s="140"/>
      <c r="D23" s="36" t="s">
        <v>1899</v>
      </c>
      <c r="E23" s="34" t="s">
        <v>194</v>
      </c>
      <c r="F23" s="34" t="s">
        <v>194</v>
      </c>
      <c r="G23" s="34" t="s">
        <v>194</v>
      </c>
      <c r="H23" s="34" t="s">
        <v>194</v>
      </c>
      <c r="I23" s="34" t="s">
        <v>263</v>
      </c>
      <c r="J23" s="34" t="s">
        <v>264</v>
      </c>
      <c r="K23" s="48">
        <v>46267.0</v>
      </c>
      <c r="L23" s="54" t="str">
        <f t="array" ref="L23">_xlfn.XLOOKUP(records_3[roomNo], database[roomNo], database[roomName])</f>
        <v>MFG 1 (UTILITY SKID ADAM)</v>
      </c>
      <c r="M23" s="56" t="str">
        <f t="array" ref="M23">_xlfn.XLOOKUP(records_3[roomNo], database[roomNo], database[building])</f>
        <v>Building 12</v>
      </c>
      <c r="N23" s="56" t="str">
        <f t="array" ref="N23">_xlfn.XLOOKUP(records_3[roomNo], database[roomNo], database[floor])</f>
        <v>Floor 2</v>
      </c>
      <c r="O23" s="50">
        <v>0.0</v>
      </c>
      <c r="P23" s="34" t="s">
        <v>843</v>
      </c>
      <c r="Q23" s="80"/>
      <c r="R23" s="33"/>
      <c r="S23" s="33"/>
      <c r="T23" s="43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</row>
    <row r="24" ht="22.5" customHeight="1">
      <c r="A24" s="27">
        <v>46036.0</v>
      </c>
      <c r="B24" s="39" t="s">
        <v>507</v>
      </c>
      <c r="C24" s="140"/>
      <c r="D24" s="36" t="s">
        <v>1899</v>
      </c>
      <c r="E24" s="34" t="s">
        <v>194</v>
      </c>
      <c r="F24" s="34" t="s">
        <v>194</v>
      </c>
      <c r="G24" s="34" t="s">
        <v>194</v>
      </c>
      <c r="H24" s="34" t="s">
        <v>194</v>
      </c>
      <c r="I24" s="34" t="s">
        <v>263</v>
      </c>
      <c r="J24" s="34" t="s">
        <v>264</v>
      </c>
      <c r="K24" s="48">
        <v>46267.0</v>
      </c>
      <c r="L24" s="54" t="str">
        <f t="array" ref="L24">_xlfn.XLOOKUP(records_3[roomNo], database[roomNo], database[roomName])</f>
        <v>MFG 2 (UTILITY SKID ADAM)</v>
      </c>
      <c r="M24" s="56" t="str">
        <f t="array" ref="M24">_xlfn.XLOOKUP(records_3[roomNo], database[roomNo], database[building])</f>
        <v>Building 12</v>
      </c>
      <c r="N24" s="56" t="str">
        <f t="array" ref="N24">_xlfn.XLOOKUP(records_3[roomNo], database[roomNo], database[floor])</f>
        <v>Floor 2</v>
      </c>
      <c r="O24" s="50">
        <v>0.0</v>
      </c>
      <c r="P24" s="34" t="s">
        <v>843</v>
      </c>
      <c r="Q24" s="80"/>
      <c r="R24" s="33"/>
      <c r="S24" s="33"/>
      <c r="T24" s="43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</row>
    <row r="25" ht="22.5" customHeight="1">
      <c r="A25" s="27">
        <v>46036.0</v>
      </c>
      <c r="B25" s="39" t="s">
        <v>552</v>
      </c>
      <c r="C25" s="140"/>
      <c r="D25" s="36" t="s">
        <v>1899</v>
      </c>
      <c r="E25" s="34" t="s">
        <v>874</v>
      </c>
      <c r="F25" s="34" t="s">
        <v>875</v>
      </c>
      <c r="G25" s="34" t="s">
        <v>877</v>
      </c>
      <c r="H25" s="34" t="s">
        <v>194</v>
      </c>
      <c r="I25" s="34" t="s">
        <v>263</v>
      </c>
      <c r="J25" s="34" t="s">
        <v>264</v>
      </c>
      <c r="K25" s="48">
        <v>46267.0</v>
      </c>
      <c r="L25" s="54" t="str">
        <f t="array" ref="L25">_xlfn.XLOOKUP(records_3[roomNo], database[roomNo], database[roomName])</f>
        <v>MFG 4 (UTILITY SKID ADAM)</v>
      </c>
      <c r="M25" s="56" t="str">
        <f t="array" ref="M25">_xlfn.XLOOKUP(records_3[roomNo], database[roomNo], database[building])</f>
        <v>Building 12</v>
      </c>
      <c r="N25" s="56" t="str">
        <f t="array" ref="N25">_xlfn.XLOOKUP(records_3[roomNo], database[roomNo], database[floor])</f>
        <v>Floor 2</v>
      </c>
      <c r="O25" s="50">
        <v>0.0</v>
      </c>
      <c r="P25" s="34" t="s">
        <v>843</v>
      </c>
      <c r="Q25" s="80"/>
      <c r="R25" s="33"/>
      <c r="S25" s="33"/>
      <c r="T25" s="43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</row>
    <row r="26" ht="22.5" customHeight="1">
      <c r="A26" s="27">
        <v>46036.0</v>
      </c>
      <c r="B26" s="39" t="s">
        <v>648</v>
      </c>
      <c r="C26" s="140"/>
      <c r="D26" s="36" t="s">
        <v>1899</v>
      </c>
      <c r="E26" s="34" t="s">
        <v>891</v>
      </c>
      <c r="F26" s="34" t="s">
        <v>893</v>
      </c>
      <c r="G26" s="34" t="s">
        <v>894</v>
      </c>
      <c r="H26" s="34" t="s">
        <v>194</v>
      </c>
      <c r="I26" s="34" t="s">
        <v>263</v>
      </c>
      <c r="J26" s="34" t="s">
        <v>264</v>
      </c>
      <c r="K26" s="48">
        <v>46267.0</v>
      </c>
      <c r="L26" s="54" t="str">
        <f t="array" ref="L26">_xlfn.XLOOKUP(records_3[roomNo], database[roomNo], database[roomName])</f>
        <v>CIP 2 (UTILITY SKID ADAM)</v>
      </c>
      <c r="M26" s="56" t="str">
        <f t="array" ref="M26">_xlfn.XLOOKUP(records_3[roomNo], database[roomNo], database[building])</f>
        <v>Building 12</v>
      </c>
      <c r="N26" s="56" t="str">
        <f t="array" ref="N26">_xlfn.XLOOKUP(records_3[roomNo], database[roomNo], database[floor])</f>
        <v>Floor 2</v>
      </c>
      <c r="O26" s="50">
        <v>0.0</v>
      </c>
      <c r="P26" s="34" t="s">
        <v>843</v>
      </c>
      <c r="Q26" s="80"/>
      <c r="R26" s="33"/>
      <c r="S26" s="33"/>
      <c r="T26" s="43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</row>
    <row r="27" ht="22.5" customHeight="1">
      <c r="A27" s="27">
        <v>46036.0</v>
      </c>
      <c r="B27" s="39" t="s">
        <v>655</v>
      </c>
      <c r="C27" s="140"/>
      <c r="D27" s="36" t="s">
        <v>1899</v>
      </c>
      <c r="E27" s="34" t="s">
        <v>681</v>
      </c>
      <c r="F27" s="34" t="s">
        <v>908</v>
      </c>
      <c r="G27" s="34" t="s">
        <v>909</v>
      </c>
      <c r="H27" s="34" t="s">
        <v>194</v>
      </c>
      <c r="I27" s="34" t="s">
        <v>263</v>
      </c>
      <c r="J27" s="34" t="s">
        <v>264</v>
      </c>
      <c r="K27" s="48">
        <v>46267.0</v>
      </c>
      <c r="L27" s="54" t="str">
        <f t="array" ref="L27">_xlfn.XLOOKUP(records_3[roomNo], database[roomNo], database[roomName])</f>
        <v>STAGING 1 (UTILITY SKID ADAM)</v>
      </c>
      <c r="M27" s="56" t="str">
        <f t="array" ref="M27">_xlfn.XLOOKUP(records_3[roomNo], database[roomNo], database[building])</f>
        <v>Building 12</v>
      </c>
      <c r="N27" s="56" t="str">
        <f t="array" ref="N27">_xlfn.XLOOKUP(records_3[roomNo], database[roomNo], database[floor])</f>
        <v>Floor 2</v>
      </c>
      <c r="O27" s="50">
        <v>0.0</v>
      </c>
      <c r="P27" s="34" t="s">
        <v>843</v>
      </c>
      <c r="Q27" s="80"/>
      <c r="R27" s="33"/>
      <c r="S27" s="33"/>
      <c r="T27" s="43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</row>
    <row r="28" ht="22.5" customHeight="1">
      <c r="A28" s="27">
        <v>46036.0</v>
      </c>
      <c r="B28" s="39" t="s">
        <v>719</v>
      </c>
      <c r="C28" s="140"/>
      <c r="D28" s="36" t="s">
        <v>1899</v>
      </c>
      <c r="E28" s="34" t="s">
        <v>638</v>
      </c>
      <c r="F28" s="34" t="s">
        <v>893</v>
      </c>
      <c r="G28" s="34" t="s">
        <v>431</v>
      </c>
      <c r="H28" s="34" t="s">
        <v>194</v>
      </c>
      <c r="I28" s="34" t="s">
        <v>263</v>
      </c>
      <c r="J28" s="34" t="s">
        <v>264</v>
      </c>
      <c r="K28" s="48">
        <v>46267.0</v>
      </c>
      <c r="L28" s="54" t="str">
        <f t="array" ref="L28">_xlfn.XLOOKUP(records_3[roomNo], database[roomNo], database[roomName])</f>
        <v>WASHING</v>
      </c>
      <c r="M28" s="56" t="str">
        <f t="array" ref="M28">_xlfn.XLOOKUP(records_3[roomNo], database[roomNo], database[building])</f>
        <v>Building 12</v>
      </c>
      <c r="N28" s="56" t="str">
        <f t="array" ref="N28">_xlfn.XLOOKUP(records_3[roomNo], database[roomNo], database[floor])</f>
        <v>Floor 2</v>
      </c>
      <c r="O28" s="50">
        <v>0.0</v>
      </c>
      <c r="P28" s="34" t="s">
        <v>843</v>
      </c>
      <c r="Q28" s="80"/>
      <c r="R28" s="33"/>
      <c r="S28" s="33"/>
      <c r="T28" s="43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</row>
    <row r="29" ht="22.5" customHeight="1">
      <c r="A29" s="27">
        <v>46036.0</v>
      </c>
      <c r="B29" s="39" t="s">
        <v>725</v>
      </c>
      <c r="C29" s="140"/>
      <c r="D29" s="36" t="s">
        <v>1899</v>
      </c>
      <c r="E29" s="34" t="s">
        <v>452</v>
      </c>
      <c r="F29" s="34" t="s">
        <v>938</v>
      </c>
      <c r="G29" s="34" t="s">
        <v>939</v>
      </c>
      <c r="H29" s="34" t="s">
        <v>194</v>
      </c>
      <c r="I29" s="34" t="s">
        <v>263</v>
      </c>
      <c r="J29" s="34" t="s">
        <v>264</v>
      </c>
      <c r="K29" s="48">
        <v>46267.0</v>
      </c>
      <c r="L29" s="54" t="str">
        <f t="array" ref="L29">_xlfn.XLOOKUP(records_3[roomNo], database[roomNo], database[roomName])</f>
        <v>DRYING</v>
      </c>
      <c r="M29" s="56" t="str">
        <f t="array" ref="M29">_xlfn.XLOOKUP(records_3[roomNo], database[roomNo], database[building])</f>
        <v>Building 12</v>
      </c>
      <c r="N29" s="56" t="str">
        <f t="array" ref="N29">_xlfn.XLOOKUP(records_3[roomNo], database[roomNo], database[floor])</f>
        <v>Floor 2</v>
      </c>
      <c r="O29" s="50">
        <v>0.0</v>
      </c>
      <c r="P29" s="34" t="s">
        <v>843</v>
      </c>
      <c r="Q29" s="80"/>
      <c r="R29" s="33"/>
      <c r="S29" s="33"/>
      <c r="T29" s="43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</row>
    <row r="30" ht="22.5" customHeight="1">
      <c r="A30" s="68">
        <v>46037.0</v>
      </c>
      <c r="B30" s="72" t="s">
        <v>945</v>
      </c>
      <c r="C30" s="168"/>
      <c r="D30" s="71" t="s">
        <v>1899</v>
      </c>
      <c r="E30" s="70" t="s">
        <v>339</v>
      </c>
      <c r="F30" s="70" t="s">
        <v>952</v>
      </c>
      <c r="G30" s="70" t="s">
        <v>954</v>
      </c>
      <c r="H30" s="70" t="s">
        <v>194</v>
      </c>
      <c r="I30" s="70" t="s">
        <v>263</v>
      </c>
      <c r="J30" s="70" t="s">
        <v>264</v>
      </c>
      <c r="K30" s="73">
        <v>46267.0</v>
      </c>
      <c r="L30" s="77" t="str">
        <f t="array" ref="L30">_xlfn.XLOOKUP(records_3[roomNo], database[roomNo], database[roomName])</f>
        <v>SOLVENTS UNLOADING</v>
      </c>
      <c r="M30" s="81" t="str">
        <f t="array" ref="M30">_xlfn.XLOOKUP(records_3[roomNo], database[roomNo], database[building])</f>
        <v>Building 12</v>
      </c>
      <c r="N30" s="81" t="str">
        <f t="array" ref="N30">_xlfn.XLOOKUP(records_3[roomNo], database[roomNo], database[floor])</f>
        <v>Floor 1</v>
      </c>
      <c r="O30" s="74">
        <v>1.0</v>
      </c>
      <c r="P30" s="70" t="s">
        <v>956</v>
      </c>
      <c r="Q30" s="75"/>
      <c r="R30" s="33"/>
      <c r="S30" s="33"/>
      <c r="T30" s="43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</row>
    <row r="31" ht="22.5" customHeight="1">
      <c r="A31" s="27">
        <v>46037.0</v>
      </c>
      <c r="B31" s="39" t="s">
        <v>321</v>
      </c>
      <c r="C31" s="140"/>
      <c r="D31" s="36" t="s">
        <v>1899</v>
      </c>
      <c r="E31" s="34" t="s">
        <v>353</v>
      </c>
      <c r="F31" s="34" t="s">
        <v>971</v>
      </c>
      <c r="G31" s="34" t="s">
        <v>972</v>
      </c>
      <c r="H31" s="34" t="s">
        <v>194</v>
      </c>
      <c r="I31" s="34" t="s">
        <v>263</v>
      </c>
      <c r="J31" s="34" t="s">
        <v>264</v>
      </c>
      <c r="K31" s="48">
        <v>46267.0</v>
      </c>
      <c r="L31" s="54" t="str">
        <f t="array" ref="L31">_xlfn.XLOOKUP(records_3[roomNo], database[roomNo], database[roomName])</f>
        <v>LIQUORICE EXTRACT (UTILITY SKID ADAM)</v>
      </c>
      <c r="M31" s="56" t="str">
        <f t="array" ref="M31">_xlfn.XLOOKUP(records_3[roomNo], database[roomNo], database[building])</f>
        <v>Building 12</v>
      </c>
      <c r="N31" s="56" t="str">
        <f t="array" ref="N31">_xlfn.XLOOKUP(records_3[roomNo], database[roomNo], database[floor])</f>
        <v>Floor 2</v>
      </c>
      <c r="O31" s="50">
        <v>251.0</v>
      </c>
      <c r="P31" s="34" t="s">
        <v>956</v>
      </c>
      <c r="Q31" s="80"/>
      <c r="R31" s="33"/>
      <c r="S31" s="33"/>
      <c r="T31" s="43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</row>
    <row r="32" ht="22.5" customHeight="1">
      <c r="A32" s="27">
        <v>46037.0</v>
      </c>
      <c r="B32" s="39" t="s">
        <v>626</v>
      </c>
      <c r="C32" s="140"/>
      <c r="D32" s="36" t="s">
        <v>1899</v>
      </c>
      <c r="E32" s="34" t="s">
        <v>791</v>
      </c>
      <c r="F32" s="34" t="s">
        <v>983</v>
      </c>
      <c r="G32" s="34" t="s">
        <v>690</v>
      </c>
      <c r="H32" s="34" t="s">
        <v>194</v>
      </c>
      <c r="I32" s="34" t="s">
        <v>263</v>
      </c>
      <c r="J32" s="34" t="s">
        <v>264</v>
      </c>
      <c r="K32" s="48">
        <v>46267.0</v>
      </c>
      <c r="L32" s="54" t="str">
        <f t="array" ref="L32">_xlfn.XLOOKUP(records_3[roomNo], database[roomNo], database[roomName])</f>
        <v>STAGING 3 (UTILITY SKID ADAM)</v>
      </c>
      <c r="M32" s="56" t="str">
        <f t="array" ref="M32">_xlfn.XLOOKUP(records_3[roomNo], database[roomNo], database[building])</f>
        <v>Building 12</v>
      </c>
      <c r="N32" s="56" t="str">
        <f t="array" ref="N32">_xlfn.XLOOKUP(records_3[roomNo], database[roomNo], database[floor])</f>
        <v>Floor 2</v>
      </c>
      <c r="O32" s="50">
        <v>0.0</v>
      </c>
      <c r="P32" s="34" t="s">
        <v>956</v>
      </c>
      <c r="Q32" s="80"/>
      <c r="R32" s="33"/>
      <c r="S32" s="33"/>
      <c r="T32" s="4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</row>
    <row r="33" ht="22.5" customHeight="1">
      <c r="A33" s="27">
        <v>46037.0</v>
      </c>
      <c r="B33" s="39" t="s">
        <v>635</v>
      </c>
      <c r="C33" s="140"/>
      <c r="D33" s="36" t="s">
        <v>1899</v>
      </c>
      <c r="E33" s="34" t="s">
        <v>787</v>
      </c>
      <c r="F33" s="34" t="s">
        <v>999</v>
      </c>
      <c r="G33" s="34" t="s">
        <v>571</v>
      </c>
      <c r="H33" s="34" t="s">
        <v>194</v>
      </c>
      <c r="I33" s="34" t="s">
        <v>263</v>
      </c>
      <c r="J33" s="34" t="s">
        <v>264</v>
      </c>
      <c r="K33" s="48">
        <v>46267.0</v>
      </c>
      <c r="L33" s="54" t="str">
        <f t="array" ref="L33">_xlfn.XLOOKUP(records_3[roomNo], database[roomNo], database[roomName])</f>
        <v>CIP 3 (UTILITY SKID ADAM)</v>
      </c>
      <c r="M33" s="56" t="str">
        <f t="array" ref="M33">_xlfn.XLOOKUP(records_3[roomNo], database[roomNo], database[building])</f>
        <v>Building 12</v>
      </c>
      <c r="N33" s="56" t="str">
        <f t="array" ref="N33">_xlfn.XLOOKUP(records_3[roomNo], database[roomNo], database[floor])</f>
        <v>Floor 2</v>
      </c>
      <c r="O33" s="50">
        <v>0.0</v>
      </c>
      <c r="P33" s="34" t="s">
        <v>956</v>
      </c>
      <c r="Q33" s="80"/>
      <c r="R33" s="33"/>
      <c r="S33" s="33"/>
      <c r="T33" s="4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</row>
    <row r="34" ht="22.5" customHeight="1">
      <c r="A34" s="27">
        <v>46037.0</v>
      </c>
      <c r="B34" s="39" t="s">
        <v>642</v>
      </c>
      <c r="C34" s="140"/>
      <c r="D34" s="36" t="s">
        <v>1899</v>
      </c>
      <c r="E34" s="34" t="s">
        <v>330</v>
      </c>
      <c r="F34" s="34" t="s">
        <v>1012</v>
      </c>
      <c r="G34" s="34" t="s">
        <v>1013</v>
      </c>
      <c r="H34" s="34" t="s">
        <v>194</v>
      </c>
      <c r="I34" s="34" t="s">
        <v>263</v>
      </c>
      <c r="J34" s="34" t="s">
        <v>264</v>
      </c>
      <c r="K34" s="48">
        <v>46267.0</v>
      </c>
      <c r="L34" s="54" t="str">
        <f t="array" ref="L34">_xlfn.XLOOKUP(records_3[roomNo], database[roomNo], database[roomName])</f>
        <v>STAGING 2 (UTILITY SKID ADAM)</v>
      </c>
      <c r="M34" s="56" t="str">
        <f t="array" ref="M34">_xlfn.XLOOKUP(records_3[roomNo], database[roomNo], database[building])</f>
        <v>Building 12</v>
      </c>
      <c r="N34" s="56" t="str">
        <f t="array" ref="N34">_xlfn.XLOOKUP(records_3[roomNo], database[roomNo], database[floor])</f>
        <v>Floor 2</v>
      </c>
      <c r="O34" s="50">
        <v>0.0</v>
      </c>
      <c r="P34" s="34" t="s">
        <v>956</v>
      </c>
      <c r="Q34" s="80"/>
      <c r="R34" s="33"/>
      <c r="S34" s="33"/>
      <c r="T34" s="4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</row>
    <row r="35" ht="22.5" customHeight="1">
      <c r="A35" s="68">
        <v>46040.0</v>
      </c>
      <c r="B35" s="72" t="s">
        <v>255</v>
      </c>
      <c r="C35" s="168"/>
      <c r="D35" s="71" t="s">
        <v>213</v>
      </c>
      <c r="E35" s="70" t="s">
        <v>259</v>
      </c>
      <c r="F35" s="70" t="s">
        <v>260</v>
      </c>
      <c r="G35" s="70" t="s">
        <v>261</v>
      </c>
      <c r="H35" s="70" t="s">
        <v>262</v>
      </c>
      <c r="I35" s="70" t="s">
        <v>263</v>
      </c>
      <c r="J35" s="70" t="s">
        <v>264</v>
      </c>
      <c r="K35" s="73">
        <v>46267.0</v>
      </c>
      <c r="L35" s="77" t="str">
        <f t="array" ref="L35">_xlfn.XLOOKUP(records_3[roomNo], database[roomNo], database[roomName])</f>
        <v>AIR LOCK</v>
      </c>
      <c r="M35" s="81" t="str">
        <f t="array" ref="M35">_xlfn.XLOOKUP(records_3[roomNo], database[roomNo], database[building])</f>
        <v>Building 10</v>
      </c>
      <c r="N35" s="81" t="str">
        <f t="array" ref="N35">_xlfn.XLOOKUP(records_3[roomNo], database[roomNo], database[floor])</f>
        <v>Floor 1</v>
      </c>
      <c r="O35" s="74">
        <v>0.0</v>
      </c>
      <c r="P35" s="70" t="s">
        <v>265</v>
      </c>
      <c r="Q35" s="80"/>
      <c r="R35" s="33"/>
      <c r="S35" s="33"/>
      <c r="T35" s="43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</row>
    <row r="36" ht="22.5" customHeight="1">
      <c r="A36" s="27">
        <v>46040.0</v>
      </c>
      <c r="B36" s="39" t="s">
        <v>290</v>
      </c>
      <c r="C36" s="140"/>
      <c r="D36" s="36" t="s">
        <v>213</v>
      </c>
      <c r="E36" s="34" t="s">
        <v>292</v>
      </c>
      <c r="F36" s="34" t="s">
        <v>294</v>
      </c>
      <c r="G36" s="34" t="s">
        <v>261</v>
      </c>
      <c r="H36" s="34" t="s">
        <v>262</v>
      </c>
      <c r="I36" s="34" t="s">
        <v>263</v>
      </c>
      <c r="J36" s="34" t="s">
        <v>264</v>
      </c>
      <c r="K36" s="48">
        <v>46267.0</v>
      </c>
      <c r="L36" s="54" t="str">
        <f t="array" ref="L36">_xlfn.XLOOKUP(records_3[roomNo], database[roomNo], database[roomName])</f>
        <v>BULK STAGING 1</v>
      </c>
      <c r="M36" s="56" t="str">
        <f t="array" ref="M36">_xlfn.XLOOKUP(records_3[roomNo], database[roomNo], database[building])</f>
        <v>Building 10</v>
      </c>
      <c r="N36" s="56" t="str">
        <f t="array" ref="N36">_xlfn.XLOOKUP(records_3[roomNo], database[roomNo], database[floor])</f>
        <v>Floor 1</v>
      </c>
      <c r="O36" s="50">
        <v>0.0</v>
      </c>
      <c r="P36" s="34" t="s">
        <v>265</v>
      </c>
      <c r="Q36" s="80"/>
      <c r="R36" s="33"/>
      <c r="S36" s="33"/>
      <c r="T36" s="43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</row>
    <row r="37" ht="22.5" customHeight="1">
      <c r="A37" s="27">
        <v>46040.0</v>
      </c>
      <c r="B37" s="39" t="s">
        <v>301</v>
      </c>
      <c r="C37" s="140"/>
      <c r="D37" s="36" t="s">
        <v>213</v>
      </c>
      <c r="E37" s="34" t="s">
        <v>303</v>
      </c>
      <c r="F37" s="34" t="s">
        <v>304</v>
      </c>
      <c r="G37" s="34" t="s">
        <v>261</v>
      </c>
      <c r="H37" s="34" t="s">
        <v>262</v>
      </c>
      <c r="I37" s="34" t="s">
        <v>263</v>
      </c>
      <c r="J37" s="34" t="s">
        <v>264</v>
      </c>
      <c r="K37" s="48">
        <v>46267.0</v>
      </c>
      <c r="L37" s="54" t="str">
        <f t="array" ref="L37">_xlfn.XLOOKUP(records_3[roomNo], database[roomNo], database[roomName])</f>
        <v>BULK STAGING 2</v>
      </c>
      <c r="M37" s="56" t="str">
        <f t="array" ref="M37">_xlfn.XLOOKUP(records_3[roomNo], database[roomNo], database[building])</f>
        <v>Building 10</v>
      </c>
      <c r="N37" s="56" t="str">
        <f t="array" ref="N37">_xlfn.XLOOKUP(records_3[roomNo], database[roomNo], database[floor])</f>
        <v>Floor 1</v>
      </c>
      <c r="O37" s="50">
        <v>0.0</v>
      </c>
      <c r="P37" s="34" t="s">
        <v>265</v>
      </c>
      <c r="Q37" s="80"/>
      <c r="R37" s="33"/>
      <c r="S37" s="33"/>
      <c r="T37" s="43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</row>
    <row r="38" ht="22.5" customHeight="1">
      <c r="A38" s="27">
        <v>46040.0</v>
      </c>
      <c r="B38" s="39" t="s">
        <v>313</v>
      </c>
      <c r="C38" s="140"/>
      <c r="D38" s="36" t="s">
        <v>213</v>
      </c>
      <c r="E38" s="34" t="s">
        <v>317</v>
      </c>
      <c r="F38" s="34" t="s">
        <v>318</v>
      </c>
      <c r="G38" s="34" t="s">
        <v>319</v>
      </c>
      <c r="H38" s="34" t="s">
        <v>320</v>
      </c>
      <c r="I38" s="34" t="s">
        <v>263</v>
      </c>
      <c r="J38" s="34" t="s">
        <v>264</v>
      </c>
      <c r="K38" s="48">
        <v>46267.0</v>
      </c>
      <c r="L38" s="54" t="str">
        <f t="array" ref="L38">_xlfn.XLOOKUP(records_3[roomNo], database[roomNo], database[roomName])</f>
        <v>JANITOR</v>
      </c>
      <c r="M38" s="56" t="str">
        <f t="array" ref="M38">_xlfn.XLOOKUP(records_3[roomNo], database[roomNo], database[building])</f>
        <v>Building 10</v>
      </c>
      <c r="N38" s="56" t="str">
        <f t="array" ref="N38">_xlfn.XLOOKUP(records_3[roomNo], database[roomNo], database[floor])</f>
        <v>Floor 1</v>
      </c>
      <c r="O38" s="50">
        <v>0.0</v>
      </c>
      <c r="P38" s="34" t="s">
        <v>265</v>
      </c>
      <c r="Q38" s="80"/>
      <c r="R38" s="33"/>
      <c r="S38" s="33"/>
      <c r="T38" s="43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</row>
    <row r="39" ht="22.5" customHeight="1">
      <c r="A39" s="27">
        <v>46040.0</v>
      </c>
      <c r="B39" s="39" t="s">
        <v>329</v>
      </c>
      <c r="C39" s="140"/>
      <c r="D39" s="36" t="s">
        <v>213</v>
      </c>
      <c r="E39" s="34" t="s">
        <v>330</v>
      </c>
      <c r="F39" s="34" t="s">
        <v>331</v>
      </c>
      <c r="G39" s="34" t="s">
        <v>332</v>
      </c>
      <c r="H39" s="34" t="s">
        <v>333</v>
      </c>
      <c r="I39" s="34" t="s">
        <v>263</v>
      </c>
      <c r="J39" s="34" t="s">
        <v>264</v>
      </c>
      <c r="K39" s="48">
        <v>46267.0</v>
      </c>
      <c r="L39" s="54" t="str">
        <f t="array" ref="L39">_xlfn.XLOOKUP(records_3[roomNo], database[roomNo], database[roomName])</f>
        <v>LINEN DRY</v>
      </c>
      <c r="M39" s="56" t="str">
        <f t="array" ref="M39">_xlfn.XLOOKUP(records_3[roomNo], database[roomNo], database[building])</f>
        <v>Building 10</v>
      </c>
      <c r="N39" s="56" t="str">
        <f t="array" ref="N39">_xlfn.XLOOKUP(records_3[roomNo], database[roomNo], database[floor])</f>
        <v>Floor 1</v>
      </c>
      <c r="O39" s="50">
        <v>1.0</v>
      </c>
      <c r="P39" s="34" t="s">
        <v>265</v>
      </c>
      <c r="Q39" s="80"/>
      <c r="R39" s="33"/>
      <c r="S39" s="33"/>
      <c r="T39" s="43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</row>
    <row r="40" ht="22.5" customHeight="1">
      <c r="A40" s="27">
        <v>46040.0</v>
      </c>
      <c r="B40" s="39" t="s">
        <v>338</v>
      </c>
      <c r="C40" s="140"/>
      <c r="D40" s="36" t="s">
        <v>213</v>
      </c>
      <c r="E40" s="34" t="s">
        <v>339</v>
      </c>
      <c r="F40" s="34" t="s">
        <v>324</v>
      </c>
      <c r="G40" s="34" t="s">
        <v>332</v>
      </c>
      <c r="H40" s="34" t="s">
        <v>320</v>
      </c>
      <c r="I40" s="34" t="s">
        <v>263</v>
      </c>
      <c r="J40" s="34" t="s">
        <v>264</v>
      </c>
      <c r="K40" s="48">
        <v>46267.0</v>
      </c>
      <c r="L40" s="54" t="str">
        <f t="array" ref="L40">_xlfn.XLOOKUP(records_3[roomNo], database[roomNo], database[roomName])</f>
        <v>LINEN WASHING</v>
      </c>
      <c r="M40" s="56" t="str">
        <f t="array" ref="M40">_xlfn.XLOOKUP(records_3[roomNo], database[roomNo], database[building])</f>
        <v>Building 10</v>
      </c>
      <c r="N40" s="56" t="str">
        <f t="array" ref="N40">_xlfn.XLOOKUP(records_3[roomNo], database[roomNo], database[floor])</f>
        <v>Floor 1</v>
      </c>
      <c r="O40" s="50">
        <v>1.0</v>
      </c>
      <c r="P40" s="34" t="s">
        <v>265</v>
      </c>
      <c r="Q40" s="80"/>
      <c r="R40" s="33"/>
      <c r="S40" s="33"/>
      <c r="T40" s="43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</row>
    <row r="41" ht="22.5" customHeight="1">
      <c r="A41" s="27">
        <v>46040.0</v>
      </c>
      <c r="B41" s="39" t="s">
        <v>352</v>
      </c>
      <c r="C41" s="140"/>
      <c r="D41" s="36" t="s">
        <v>213</v>
      </c>
      <c r="E41" s="34" t="s">
        <v>252</v>
      </c>
      <c r="F41" s="34" t="s">
        <v>356</v>
      </c>
      <c r="G41" s="34" t="s">
        <v>332</v>
      </c>
      <c r="H41" s="34" t="s">
        <v>333</v>
      </c>
      <c r="I41" s="34" t="s">
        <v>263</v>
      </c>
      <c r="J41" s="34" t="s">
        <v>264</v>
      </c>
      <c r="K41" s="48">
        <v>46267.0</v>
      </c>
      <c r="L41" s="54" t="str">
        <f t="array" ref="L41">_xlfn.XLOOKUP(records_3[roomNo], database[roomNo], database[roomName])</f>
        <v>CORRIDOR</v>
      </c>
      <c r="M41" s="56" t="str">
        <f t="array" ref="M41">_xlfn.XLOOKUP(records_3[roomNo], database[roomNo], database[building])</f>
        <v>Building 10</v>
      </c>
      <c r="N41" s="56" t="str">
        <f t="array" ref="N41">_xlfn.XLOOKUP(records_3[roomNo], database[roomNo], database[floor])</f>
        <v>Floor 1</v>
      </c>
      <c r="O41" s="50">
        <v>0.0</v>
      </c>
      <c r="P41" s="34" t="s">
        <v>265</v>
      </c>
      <c r="Q41" s="80"/>
      <c r="R41" s="33"/>
      <c r="S41" s="33"/>
      <c r="T41" s="43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</row>
    <row r="42" ht="22.5" customHeight="1">
      <c r="A42" s="27">
        <v>46040.0</v>
      </c>
      <c r="B42" s="39" t="s">
        <v>364</v>
      </c>
      <c r="C42" s="140"/>
      <c r="D42" s="36" t="s">
        <v>213</v>
      </c>
      <c r="E42" s="34" t="s">
        <v>366</v>
      </c>
      <c r="F42" s="34" t="s">
        <v>367</v>
      </c>
      <c r="G42" s="34" t="s">
        <v>368</v>
      </c>
      <c r="H42" s="34" t="s">
        <v>369</v>
      </c>
      <c r="I42" s="34" t="s">
        <v>263</v>
      </c>
      <c r="J42" s="34" t="s">
        <v>264</v>
      </c>
      <c r="K42" s="48">
        <v>46267.0</v>
      </c>
      <c r="L42" s="54" t="str">
        <f t="array" ref="L42">_xlfn.XLOOKUP(records_3[roomNo], database[roomNo], database[roomName])</f>
        <v>PROCESS CHANGE</v>
      </c>
      <c r="M42" s="56" t="str">
        <f t="array" ref="M42">_xlfn.XLOOKUP(records_3[roomNo], database[roomNo], database[building])</f>
        <v>Building 10</v>
      </c>
      <c r="N42" s="56" t="str">
        <f t="array" ref="N42">_xlfn.XLOOKUP(records_3[roomNo], database[roomNo], database[floor])</f>
        <v>Floor 1</v>
      </c>
      <c r="O42" s="50">
        <v>6.0</v>
      </c>
      <c r="P42" s="34" t="s">
        <v>265</v>
      </c>
      <c r="Q42" s="80"/>
      <c r="R42" s="33"/>
      <c r="S42" s="33"/>
      <c r="T42" s="43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</row>
    <row r="43" ht="22.5" customHeight="1">
      <c r="A43" s="27">
        <v>46040.0</v>
      </c>
      <c r="B43" s="39" t="s">
        <v>375</v>
      </c>
      <c r="C43" s="140"/>
      <c r="D43" s="36" t="s">
        <v>213</v>
      </c>
      <c r="E43" s="34" t="s">
        <v>377</v>
      </c>
      <c r="F43" s="34" t="s">
        <v>343</v>
      </c>
      <c r="G43" s="34" t="s">
        <v>378</v>
      </c>
      <c r="H43" s="34" t="s">
        <v>320</v>
      </c>
      <c r="I43" s="34" t="s">
        <v>263</v>
      </c>
      <c r="J43" s="34" t="s">
        <v>264</v>
      </c>
      <c r="K43" s="48">
        <v>46267.0</v>
      </c>
      <c r="L43" s="54" t="str">
        <f t="array" ref="L43">_xlfn.XLOOKUP(records_3[roomNo], database[roomNo], database[roomName])</f>
        <v>PROCESS CHANGE VISITOR</v>
      </c>
      <c r="M43" s="56" t="str">
        <f t="array" ref="M43">_xlfn.XLOOKUP(records_3[roomNo], database[roomNo], database[building])</f>
        <v>Building 10</v>
      </c>
      <c r="N43" s="56" t="str">
        <f t="array" ref="N43">_xlfn.XLOOKUP(records_3[roomNo], database[roomNo], database[floor])</f>
        <v>Floor 1</v>
      </c>
      <c r="O43" s="50">
        <v>1.0</v>
      </c>
      <c r="P43" s="34" t="s">
        <v>265</v>
      </c>
      <c r="Q43" s="80"/>
      <c r="R43" s="33"/>
      <c r="S43" s="33"/>
      <c r="T43" s="43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</row>
    <row r="44" ht="22.5" customHeight="1">
      <c r="A44" s="27">
        <v>46040.0</v>
      </c>
      <c r="B44" s="39" t="s">
        <v>388</v>
      </c>
      <c r="C44" s="140"/>
      <c r="D44" s="36" t="s">
        <v>213</v>
      </c>
      <c r="E44" s="34" t="s">
        <v>317</v>
      </c>
      <c r="F44" s="34" t="s">
        <v>389</v>
      </c>
      <c r="G44" s="34" t="s">
        <v>378</v>
      </c>
      <c r="H44" s="34" t="s">
        <v>320</v>
      </c>
      <c r="I44" s="34" t="s">
        <v>263</v>
      </c>
      <c r="J44" s="34" t="s">
        <v>264</v>
      </c>
      <c r="K44" s="48">
        <v>46267.0</v>
      </c>
      <c r="L44" s="54" t="str">
        <f t="array" ref="L44">_xlfn.XLOOKUP(records_3[roomNo], database[roomNo], database[roomName])</f>
        <v>IPQC</v>
      </c>
      <c r="M44" s="56" t="str">
        <f t="array" ref="M44">_xlfn.XLOOKUP(records_3[roomNo], database[roomNo], database[building])</f>
        <v>Building 10</v>
      </c>
      <c r="N44" s="56" t="str">
        <f t="array" ref="N44">_xlfn.XLOOKUP(records_3[roomNo], database[roomNo], database[floor])</f>
        <v>Floor 1</v>
      </c>
      <c r="O44" s="50">
        <v>0.0</v>
      </c>
      <c r="P44" s="34" t="s">
        <v>265</v>
      </c>
      <c r="Q44" s="80"/>
      <c r="R44" s="33"/>
      <c r="S44" s="33"/>
      <c r="T44" s="43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</row>
    <row r="45" ht="22.5" customHeight="1">
      <c r="A45" s="27">
        <v>46040.0</v>
      </c>
      <c r="B45" s="39" t="s">
        <v>398</v>
      </c>
      <c r="C45" s="140"/>
      <c r="D45" s="36" t="s">
        <v>213</v>
      </c>
      <c r="E45" s="34" t="s">
        <v>381</v>
      </c>
      <c r="F45" s="34" t="s">
        <v>315</v>
      </c>
      <c r="G45" s="34" t="s">
        <v>378</v>
      </c>
      <c r="H45" s="34" t="s">
        <v>399</v>
      </c>
      <c r="I45" s="34" t="s">
        <v>263</v>
      </c>
      <c r="J45" s="34" t="s">
        <v>264</v>
      </c>
      <c r="K45" s="48">
        <v>46267.0</v>
      </c>
      <c r="L45" s="54" t="str">
        <f t="array" ref="L45">_xlfn.XLOOKUP(records_3[roomNo], database[roomNo], database[roomName])</f>
        <v>SCRAP OUT</v>
      </c>
      <c r="M45" s="56" t="str">
        <f t="array" ref="M45">_xlfn.XLOOKUP(records_3[roomNo], database[roomNo], database[building])</f>
        <v>Building 10</v>
      </c>
      <c r="N45" s="56" t="str">
        <f t="array" ref="N45">_xlfn.XLOOKUP(records_3[roomNo], database[roomNo], database[floor])</f>
        <v>Floor 1</v>
      </c>
      <c r="O45" s="50">
        <v>0.0</v>
      </c>
      <c r="P45" s="34" t="s">
        <v>265</v>
      </c>
      <c r="Q45" s="80"/>
      <c r="R45" s="33"/>
      <c r="S45" s="33"/>
      <c r="T45" s="43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</row>
    <row r="46" ht="22.5" customHeight="1">
      <c r="A46" s="27">
        <v>46040.0</v>
      </c>
      <c r="B46" s="39" t="s">
        <v>406</v>
      </c>
      <c r="C46" s="140"/>
      <c r="D46" s="36" t="s">
        <v>213</v>
      </c>
      <c r="E46" s="34" t="s">
        <v>377</v>
      </c>
      <c r="F46" s="34" t="s">
        <v>407</v>
      </c>
      <c r="G46" s="34" t="s">
        <v>378</v>
      </c>
      <c r="H46" s="34" t="s">
        <v>399</v>
      </c>
      <c r="I46" s="34" t="s">
        <v>263</v>
      </c>
      <c r="J46" s="34" t="s">
        <v>264</v>
      </c>
      <c r="K46" s="48">
        <v>46267.0</v>
      </c>
      <c r="L46" s="54" t="str">
        <f t="array" ref="L46">_xlfn.XLOOKUP(records_3[roomNo], database[roomNo], database[roomName])</f>
        <v>OFFICE</v>
      </c>
      <c r="M46" s="56" t="str">
        <f t="array" ref="M46">_xlfn.XLOOKUP(records_3[roomNo], database[roomNo], database[building])</f>
        <v>Building 10</v>
      </c>
      <c r="N46" s="56" t="str">
        <f t="array" ref="N46">_xlfn.XLOOKUP(records_3[roomNo], database[roomNo], database[floor])</f>
        <v>Floor 1</v>
      </c>
      <c r="O46" s="50">
        <v>0.0</v>
      </c>
      <c r="P46" s="34" t="s">
        <v>265</v>
      </c>
      <c r="Q46" s="80"/>
      <c r="R46" s="33"/>
      <c r="S46" s="33"/>
      <c r="T46" s="43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</row>
    <row r="47" ht="22.5" customHeight="1">
      <c r="A47" s="18">
        <v>46040.0</v>
      </c>
      <c r="B47" s="32" t="s">
        <v>417</v>
      </c>
      <c r="C47" s="139"/>
      <c r="D47" s="21" t="s">
        <v>213</v>
      </c>
      <c r="E47" s="20" t="s">
        <v>326</v>
      </c>
      <c r="F47" s="20" t="s">
        <v>418</v>
      </c>
      <c r="G47" s="20" t="s">
        <v>419</v>
      </c>
      <c r="H47" s="20" t="s">
        <v>420</v>
      </c>
      <c r="I47" s="20" t="s">
        <v>263</v>
      </c>
      <c r="J47" s="20" t="s">
        <v>264</v>
      </c>
      <c r="K47" s="30">
        <v>46267.0</v>
      </c>
      <c r="L47" s="35" t="str">
        <f t="array" ref="L47">_xlfn.XLOOKUP(records_3[roomNo], database[roomNo], database[roomName])</f>
        <v>PROCESS CHANGE-P</v>
      </c>
      <c r="M47" s="38" t="str">
        <f t="array" ref="M47">_xlfn.XLOOKUP(records_3[roomNo], database[roomNo], database[building])</f>
        <v>Building 10</v>
      </c>
      <c r="N47" s="38" t="str">
        <f t="array" ref="N47">_xlfn.XLOOKUP(records_3[roomNo], database[roomNo], database[floor])</f>
        <v>Floor 1</v>
      </c>
      <c r="O47" s="31">
        <v>3.0</v>
      </c>
      <c r="P47" s="20" t="s">
        <v>265</v>
      </c>
      <c r="Q47" s="172"/>
      <c r="R47" s="33"/>
      <c r="S47" s="33"/>
      <c r="T47" s="43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</row>
    <row r="48" ht="22.5" customHeight="1">
      <c r="A48" s="27">
        <v>46040.0</v>
      </c>
      <c r="B48" s="39" t="s">
        <v>427</v>
      </c>
      <c r="C48" s="140"/>
      <c r="D48" s="36" t="s">
        <v>213</v>
      </c>
      <c r="E48" s="34" t="s">
        <v>428</v>
      </c>
      <c r="F48" s="34" t="s">
        <v>429</v>
      </c>
      <c r="G48" s="34" t="s">
        <v>430</v>
      </c>
      <c r="H48" s="34" t="s">
        <v>431</v>
      </c>
      <c r="I48" s="34" t="s">
        <v>263</v>
      </c>
      <c r="J48" s="34" t="s">
        <v>264</v>
      </c>
      <c r="K48" s="48">
        <v>46267.0</v>
      </c>
      <c r="L48" s="54" t="str">
        <f t="array" ref="L48">_xlfn.XLOOKUP(records_3[roomNo], database[roomNo], database[roomName])</f>
        <v>LINEN WASHING-P</v>
      </c>
      <c r="M48" s="56" t="str">
        <f t="array" ref="M48">_xlfn.XLOOKUP(records_3[roomNo], database[roomNo], database[building])</f>
        <v>Building 10</v>
      </c>
      <c r="N48" s="56" t="str">
        <f t="array" ref="N48">_xlfn.XLOOKUP(records_3[roomNo], database[roomNo], database[floor])</f>
        <v>Floor 1</v>
      </c>
      <c r="O48" s="50">
        <v>0.0</v>
      </c>
      <c r="P48" s="34" t="s">
        <v>265</v>
      </c>
      <c r="Q48" s="80"/>
      <c r="R48" s="33"/>
      <c r="S48" s="33"/>
      <c r="T48" s="43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</row>
    <row r="49" ht="22.5" customHeight="1">
      <c r="A49" s="27">
        <v>46040.0</v>
      </c>
      <c r="B49" s="173" t="s">
        <v>438</v>
      </c>
      <c r="C49" s="140"/>
      <c r="D49" s="36" t="s">
        <v>213</v>
      </c>
      <c r="E49" s="34" t="s">
        <v>366</v>
      </c>
      <c r="F49" s="34" t="s">
        <v>439</v>
      </c>
      <c r="G49" s="34" t="s">
        <v>440</v>
      </c>
      <c r="H49" s="34" t="s">
        <v>441</v>
      </c>
      <c r="I49" s="34" t="s">
        <v>263</v>
      </c>
      <c r="J49" s="34" t="s">
        <v>264</v>
      </c>
      <c r="K49" s="48">
        <v>46267.0</v>
      </c>
      <c r="L49" s="54" t="str">
        <f t="array" ref="L49">_xlfn.XLOOKUP(records_3[roomNo], database[roomNo], database[roomName])</f>
        <v>LINEN DRY-P</v>
      </c>
      <c r="M49" s="56" t="str">
        <f t="array" ref="M49">_xlfn.XLOOKUP(records_3[roomNo], database[roomNo], database[building])</f>
        <v>Building 10</v>
      </c>
      <c r="N49" s="56" t="str">
        <f t="array" ref="N49">_xlfn.XLOOKUP(records_3[roomNo], database[roomNo], database[floor])</f>
        <v>Floor 1</v>
      </c>
      <c r="O49" s="50">
        <v>0.0</v>
      </c>
      <c r="P49" s="34" t="s">
        <v>265</v>
      </c>
      <c r="Q49" s="80"/>
      <c r="R49" s="33"/>
      <c r="S49" s="33"/>
      <c r="T49" s="43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</row>
    <row r="50" ht="22.5" customHeight="1">
      <c r="A50" s="27">
        <v>46040.0</v>
      </c>
      <c r="B50" s="39" t="s">
        <v>448</v>
      </c>
      <c r="C50" s="140"/>
      <c r="D50" s="36" t="s">
        <v>213</v>
      </c>
      <c r="E50" s="34" t="s">
        <v>292</v>
      </c>
      <c r="F50" s="34" t="s">
        <v>449</v>
      </c>
      <c r="G50" s="34" t="s">
        <v>440</v>
      </c>
      <c r="H50" s="34" t="s">
        <v>431</v>
      </c>
      <c r="I50" s="34" t="s">
        <v>263</v>
      </c>
      <c r="J50" s="34" t="s">
        <v>264</v>
      </c>
      <c r="K50" s="48">
        <v>46267.0</v>
      </c>
      <c r="L50" s="54" t="str">
        <f t="array" ref="L50">_xlfn.XLOOKUP(records_3[roomNo], database[roomNo], database[roomName])</f>
        <v>CORRIDOR-P</v>
      </c>
      <c r="M50" s="56" t="str">
        <f t="array" ref="M50">_xlfn.XLOOKUP(records_3[roomNo], database[roomNo], database[building])</f>
        <v>Building 10</v>
      </c>
      <c r="N50" s="56" t="str">
        <f t="array" ref="N50">_xlfn.XLOOKUP(records_3[roomNo], database[roomNo], database[floor])</f>
        <v>Floor 1</v>
      </c>
      <c r="O50" s="50">
        <v>0.0</v>
      </c>
      <c r="P50" s="34" t="s">
        <v>265</v>
      </c>
      <c r="Q50" s="80"/>
      <c r="R50" s="33"/>
      <c r="S50" s="33"/>
      <c r="T50" s="43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</row>
    <row r="51" ht="22.5" customHeight="1">
      <c r="A51" s="27">
        <v>46040.0</v>
      </c>
      <c r="B51" s="39" t="s">
        <v>454</v>
      </c>
      <c r="C51" s="140"/>
      <c r="D51" s="36" t="s">
        <v>213</v>
      </c>
      <c r="E51" s="34" t="s">
        <v>366</v>
      </c>
      <c r="F51" s="34" t="s">
        <v>455</v>
      </c>
      <c r="G51" s="34" t="s">
        <v>440</v>
      </c>
      <c r="H51" s="34" t="s">
        <v>431</v>
      </c>
      <c r="I51" s="34" t="s">
        <v>263</v>
      </c>
      <c r="J51" s="34" t="s">
        <v>264</v>
      </c>
      <c r="K51" s="48">
        <v>46267.0</v>
      </c>
      <c r="L51" s="54" t="str">
        <f t="array" ref="L51">_xlfn.XLOOKUP(records_3[roomNo], database[roomNo], database[roomName])</f>
        <v>PROCESS CHANGE EXIT-P</v>
      </c>
      <c r="M51" s="56" t="str">
        <f t="array" ref="M51">_xlfn.XLOOKUP(records_3[roomNo], database[roomNo], database[building])</f>
        <v>Building 10</v>
      </c>
      <c r="N51" s="56" t="str">
        <f t="array" ref="N51">_xlfn.XLOOKUP(records_3[roomNo], database[roomNo], database[floor])</f>
        <v>Floor 1</v>
      </c>
      <c r="O51" s="50">
        <v>0.0</v>
      </c>
      <c r="P51" s="34" t="s">
        <v>265</v>
      </c>
      <c r="Q51" s="80"/>
      <c r="R51" s="33"/>
      <c r="S51" s="33"/>
      <c r="T51" s="43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</row>
    <row r="52" ht="22.5" customHeight="1">
      <c r="A52" s="27">
        <v>46040.0</v>
      </c>
      <c r="B52" s="39" t="s">
        <v>461</v>
      </c>
      <c r="C52" s="140"/>
      <c r="D52" s="36" t="s">
        <v>213</v>
      </c>
      <c r="E52" s="34" t="s">
        <v>326</v>
      </c>
      <c r="F52" s="34" t="s">
        <v>403</v>
      </c>
      <c r="G52" s="34" t="s">
        <v>462</v>
      </c>
      <c r="H52" s="34" t="s">
        <v>431</v>
      </c>
      <c r="I52" s="34" t="s">
        <v>263</v>
      </c>
      <c r="J52" s="34" t="s">
        <v>264</v>
      </c>
      <c r="K52" s="48">
        <v>46267.0</v>
      </c>
      <c r="L52" s="54" t="str">
        <f t="array" ref="L52">_xlfn.XLOOKUP(records_3[roomNo], database[roomNo], database[roomName])</f>
        <v>AIR LOCK-P</v>
      </c>
      <c r="M52" s="56" t="str">
        <f t="array" ref="M52">_xlfn.XLOOKUP(records_3[roomNo], database[roomNo], database[building])</f>
        <v>Building 10</v>
      </c>
      <c r="N52" s="56" t="str">
        <f t="array" ref="N52">_xlfn.XLOOKUP(records_3[roomNo], database[roomNo], database[floor])</f>
        <v>Floor 1</v>
      </c>
      <c r="O52" s="50">
        <v>0.0</v>
      </c>
      <c r="P52" s="34" t="s">
        <v>265</v>
      </c>
      <c r="Q52" s="80"/>
      <c r="R52" s="33"/>
      <c r="S52" s="33"/>
      <c r="T52" s="43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</row>
    <row r="53" ht="22.5" customHeight="1">
      <c r="A53" s="27">
        <v>46040.0</v>
      </c>
      <c r="B53" s="39" t="s">
        <v>468</v>
      </c>
      <c r="C53" s="140"/>
      <c r="D53" s="36" t="s">
        <v>213</v>
      </c>
      <c r="E53" s="34" t="s">
        <v>469</v>
      </c>
      <c r="F53" s="34" t="s">
        <v>439</v>
      </c>
      <c r="G53" s="34" t="s">
        <v>470</v>
      </c>
      <c r="H53" s="34" t="s">
        <v>431</v>
      </c>
      <c r="I53" s="34" t="s">
        <v>263</v>
      </c>
      <c r="J53" s="34" t="s">
        <v>264</v>
      </c>
      <c r="K53" s="48">
        <v>46267.0</v>
      </c>
      <c r="L53" s="54" t="str">
        <f t="array" ref="L53">_xlfn.XLOOKUP(records_3[roomNo], database[roomNo], database[roomName])</f>
        <v>SCRAP OUT-P</v>
      </c>
      <c r="M53" s="56" t="str">
        <f t="array" ref="M53">_xlfn.XLOOKUP(records_3[roomNo], database[roomNo], database[building])</f>
        <v>Building 10</v>
      </c>
      <c r="N53" s="56" t="str">
        <f t="array" ref="N53">_xlfn.XLOOKUP(records_3[roomNo], database[roomNo], database[floor])</f>
        <v>Floor 1</v>
      </c>
      <c r="O53" s="50">
        <v>0.0</v>
      </c>
      <c r="P53" s="34" t="s">
        <v>265</v>
      </c>
      <c r="Q53" s="80"/>
      <c r="R53" s="33"/>
      <c r="S53" s="33"/>
      <c r="T53" s="43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</row>
    <row r="54" ht="22.5" customHeight="1">
      <c r="A54" s="27">
        <v>46040.0</v>
      </c>
      <c r="B54" s="39" t="s">
        <v>476</v>
      </c>
      <c r="C54" s="140"/>
      <c r="D54" s="36" t="s">
        <v>213</v>
      </c>
      <c r="E54" s="34" t="s">
        <v>469</v>
      </c>
      <c r="F54" s="34" t="s">
        <v>477</v>
      </c>
      <c r="G54" s="34" t="s">
        <v>462</v>
      </c>
      <c r="H54" s="34" t="s">
        <v>478</v>
      </c>
      <c r="I54" s="34" t="s">
        <v>263</v>
      </c>
      <c r="J54" s="34" t="s">
        <v>264</v>
      </c>
      <c r="K54" s="48">
        <v>46267.0</v>
      </c>
      <c r="L54" s="54" t="str">
        <f t="array" ref="L54">_xlfn.XLOOKUP(records_3[roomNo], database[roomNo], database[roomName])</f>
        <v>MAL-P</v>
      </c>
      <c r="M54" s="56" t="str">
        <f t="array" ref="M54">_xlfn.XLOOKUP(records_3[roomNo], database[roomNo], database[building])</f>
        <v>Building 10</v>
      </c>
      <c r="N54" s="56" t="str">
        <f t="array" ref="N54">_xlfn.XLOOKUP(records_3[roomNo], database[roomNo], database[floor])</f>
        <v>Floor 1</v>
      </c>
      <c r="O54" s="50">
        <v>0.0</v>
      </c>
      <c r="P54" s="34" t="s">
        <v>265</v>
      </c>
      <c r="Q54" s="80"/>
      <c r="R54" s="33"/>
      <c r="S54" s="33"/>
      <c r="T54" s="43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</row>
    <row r="55" ht="22.5" customHeight="1">
      <c r="A55" s="27">
        <v>46040.0</v>
      </c>
      <c r="B55" s="39" t="s">
        <v>482</v>
      </c>
      <c r="C55" s="140"/>
      <c r="D55" s="36" t="s">
        <v>213</v>
      </c>
      <c r="E55" s="34" t="s">
        <v>484</v>
      </c>
      <c r="F55" s="34" t="s">
        <v>485</v>
      </c>
      <c r="G55" s="34" t="s">
        <v>470</v>
      </c>
      <c r="H55" s="34" t="s">
        <v>431</v>
      </c>
      <c r="I55" s="34" t="s">
        <v>263</v>
      </c>
      <c r="J55" s="34" t="s">
        <v>264</v>
      </c>
      <c r="K55" s="48">
        <v>46267.0</v>
      </c>
      <c r="L55" s="54" t="str">
        <f t="array" ref="L55">_xlfn.XLOOKUP(records_3[roomNo], database[roomNo], database[roomName])</f>
        <v>CORRIDOR-P</v>
      </c>
      <c r="M55" s="56" t="str">
        <f t="array" ref="M55">_xlfn.XLOOKUP(records_3[roomNo], database[roomNo], database[building])</f>
        <v>Building 10</v>
      </c>
      <c r="N55" s="56" t="str">
        <f t="array" ref="N55">_xlfn.XLOOKUP(records_3[roomNo], database[roomNo], database[floor])</f>
        <v>Floor 1</v>
      </c>
      <c r="O55" s="50">
        <v>0.0</v>
      </c>
      <c r="P55" s="34" t="s">
        <v>265</v>
      </c>
      <c r="Q55" s="80"/>
      <c r="R55" s="33"/>
      <c r="S55" s="33"/>
      <c r="T55" s="43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</row>
    <row r="56" ht="22.5" customHeight="1">
      <c r="A56" s="27">
        <v>46040.0</v>
      </c>
      <c r="B56" s="39" t="s">
        <v>489</v>
      </c>
      <c r="C56" s="140"/>
      <c r="D56" s="36" t="s">
        <v>213</v>
      </c>
      <c r="E56" s="34" t="s">
        <v>366</v>
      </c>
      <c r="F56" s="34" t="s">
        <v>490</v>
      </c>
      <c r="G56" s="34" t="s">
        <v>470</v>
      </c>
      <c r="H56" s="34" t="s">
        <v>478</v>
      </c>
      <c r="I56" s="34" t="s">
        <v>263</v>
      </c>
      <c r="J56" s="34" t="s">
        <v>264</v>
      </c>
      <c r="K56" s="48">
        <v>46267.0</v>
      </c>
      <c r="L56" s="54" t="str">
        <f t="array" ref="L56">_xlfn.XLOOKUP(records_3[roomNo], database[roomNo], database[roomName])</f>
        <v>OFFICE-P</v>
      </c>
      <c r="M56" s="56" t="str">
        <f t="array" ref="M56">_xlfn.XLOOKUP(records_3[roomNo], database[roomNo], database[building])</f>
        <v>Building 10</v>
      </c>
      <c r="N56" s="56" t="str">
        <f t="array" ref="N56">_xlfn.XLOOKUP(records_3[roomNo], database[roomNo], database[floor])</f>
        <v>Floor 1</v>
      </c>
      <c r="O56" s="50">
        <v>0.0</v>
      </c>
      <c r="P56" s="34" t="s">
        <v>265</v>
      </c>
      <c r="Q56" s="80"/>
      <c r="R56" s="33"/>
      <c r="S56" s="33"/>
      <c r="T56" s="43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</row>
    <row r="57" ht="22.5" customHeight="1">
      <c r="A57" s="27">
        <v>46040.0</v>
      </c>
      <c r="B57" s="39" t="s">
        <v>502</v>
      </c>
      <c r="C57" s="140"/>
      <c r="D57" s="36" t="s">
        <v>213</v>
      </c>
      <c r="E57" s="34" t="s">
        <v>292</v>
      </c>
      <c r="F57" s="34" t="s">
        <v>503</v>
      </c>
      <c r="G57" s="34" t="s">
        <v>470</v>
      </c>
      <c r="H57" s="34" t="s">
        <v>504</v>
      </c>
      <c r="I57" s="34" t="s">
        <v>263</v>
      </c>
      <c r="J57" s="34" t="s">
        <v>264</v>
      </c>
      <c r="K57" s="48">
        <v>46267.0</v>
      </c>
      <c r="L57" s="54" t="str">
        <f t="array" ref="L57">_xlfn.XLOOKUP(records_3[roomNo], database[roomNo], database[roomName])</f>
        <v>IPQC-P</v>
      </c>
      <c r="M57" s="56" t="str">
        <f t="array" ref="M57">_xlfn.XLOOKUP(records_3[roomNo], database[roomNo], database[building])</f>
        <v>Building 10</v>
      </c>
      <c r="N57" s="56" t="str">
        <f t="array" ref="N57">_xlfn.XLOOKUP(records_3[roomNo], database[roomNo], database[floor])</f>
        <v>Floor 1</v>
      </c>
      <c r="O57" s="50">
        <v>1.0</v>
      </c>
      <c r="P57" s="34" t="s">
        <v>265</v>
      </c>
      <c r="Q57" s="80"/>
      <c r="R57" s="33"/>
      <c r="S57" s="33"/>
      <c r="T57" s="43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</row>
    <row r="58" ht="22.5" customHeight="1">
      <c r="A58" s="27">
        <v>46040.0</v>
      </c>
      <c r="B58" s="39" t="s">
        <v>512</v>
      </c>
      <c r="C58" s="140"/>
      <c r="D58" s="36" t="s">
        <v>213</v>
      </c>
      <c r="E58" s="34" t="s">
        <v>513</v>
      </c>
      <c r="F58" s="34" t="s">
        <v>514</v>
      </c>
      <c r="G58" s="34" t="s">
        <v>515</v>
      </c>
      <c r="H58" s="34" t="s">
        <v>516</v>
      </c>
      <c r="I58" s="34" t="s">
        <v>263</v>
      </c>
      <c r="J58" s="34" t="s">
        <v>264</v>
      </c>
      <c r="K58" s="48">
        <v>46267.0</v>
      </c>
      <c r="L58" s="54" t="str">
        <f t="array" ref="L58">_xlfn.XLOOKUP(records_3[roomNo], database[roomNo], database[roomName])</f>
        <v>USED EQUIPMENT-P</v>
      </c>
      <c r="M58" s="56" t="str">
        <f t="array" ref="M58">_xlfn.XLOOKUP(records_3[roomNo], database[roomNo], database[building])</f>
        <v>Building 10</v>
      </c>
      <c r="N58" s="56" t="str">
        <f t="array" ref="N58">_xlfn.XLOOKUP(records_3[roomNo], database[roomNo], database[floor])</f>
        <v>Floor 1</v>
      </c>
      <c r="O58" s="50">
        <v>0.0</v>
      </c>
      <c r="P58" s="34" t="s">
        <v>265</v>
      </c>
      <c r="Q58" s="80"/>
      <c r="R58" s="33"/>
      <c r="S58" s="33"/>
      <c r="T58" s="43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</row>
    <row r="59" ht="22.5" customHeight="1">
      <c r="A59" s="27">
        <v>46040.0</v>
      </c>
      <c r="B59" s="39" t="s">
        <v>521</v>
      </c>
      <c r="C59" s="140"/>
      <c r="D59" s="36" t="s">
        <v>213</v>
      </c>
      <c r="E59" s="34" t="s">
        <v>292</v>
      </c>
      <c r="F59" s="34" t="s">
        <v>522</v>
      </c>
      <c r="G59" s="34" t="s">
        <v>523</v>
      </c>
      <c r="H59" s="34" t="s">
        <v>478</v>
      </c>
      <c r="I59" s="34" t="s">
        <v>263</v>
      </c>
      <c r="J59" s="34" t="s">
        <v>264</v>
      </c>
      <c r="K59" s="48">
        <v>46267.0</v>
      </c>
      <c r="L59" s="54" t="str">
        <f t="array" ref="L59">_xlfn.XLOOKUP(records_3[roomNo], database[roomNo], database[roomName])</f>
        <v>PPM STAGING-P</v>
      </c>
      <c r="M59" s="56" t="str">
        <f t="array" ref="M59">_xlfn.XLOOKUP(records_3[roomNo], database[roomNo], database[building])</f>
        <v>Building 10</v>
      </c>
      <c r="N59" s="56" t="str">
        <f t="array" ref="N59">_xlfn.XLOOKUP(records_3[roomNo], database[roomNo], database[floor])</f>
        <v>Floor 1</v>
      </c>
      <c r="O59" s="50">
        <v>0.0</v>
      </c>
      <c r="P59" s="34" t="s">
        <v>265</v>
      </c>
      <c r="Q59" s="80"/>
      <c r="R59" s="33"/>
      <c r="S59" s="33"/>
      <c r="T59" s="43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</row>
    <row r="60" ht="22.5" customHeight="1">
      <c r="A60" s="27">
        <v>46040.0</v>
      </c>
      <c r="B60" s="39" t="s">
        <v>529</v>
      </c>
      <c r="C60" s="140"/>
      <c r="D60" s="36" t="s">
        <v>213</v>
      </c>
      <c r="E60" s="34" t="s">
        <v>428</v>
      </c>
      <c r="F60" s="34" t="s">
        <v>532</v>
      </c>
      <c r="G60" s="34" t="s">
        <v>515</v>
      </c>
      <c r="H60" s="34" t="s">
        <v>516</v>
      </c>
      <c r="I60" s="34" t="s">
        <v>263</v>
      </c>
      <c r="J60" s="34" t="s">
        <v>264</v>
      </c>
      <c r="K60" s="48">
        <v>46267.0</v>
      </c>
      <c r="L60" s="54" t="str">
        <f t="array" ref="L60">_xlfn.XLOOKUP(records_3[roomNo], database[roomNo], database[roomName])</f>
        <v>WASHING-P</v>
      </c>
      <c r="M60" s="56" t="str">
        <f t="array" ref="M60">_xlfn.XLOOKUP(records_3[roomNo], database[roomNo], database[building])</f>
        <v>Building 10</v>
      </c>
      <c r="N60" s="56" t="str">
        <f t="array" ref="N60">_xlfn.XLOOKUP(records_3[roomNo], database[roomNo], database[floor])</f>
        <v>Floor 1</v>
      </c>
      <c r="O60" s="50">
        <v>14.0</v>
      </c>
      <c r="P60" s="34" t="s">
        <v>265</v>
      </c>
      <c r="Q60" s="80"/>
      <c r="R60" s="33"/>
      <c r="S60" s="33"/>
      <c r="T60" s="43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</row>
    <row r="61" ht="22.5" customHeight="1">
      <c r="A61" s="27">
        <v>46040.0</v>
      </c>
      <c r="B61" s="39" t="s">
        <v>542</v>
      </c>
      <c r="C61" s="140"/>
      <c r="D61" s="36" t="s">
        <v>213</v>
      </c>
      <c r="E61" s="34" t="s">
        <v>366</v>
      </c>
      <c r="F61" s="34" t="s">
        <v>532</v>
      </c>
      <c r="G61" s="34" t="s">
        <v>544</v>
      </c>
      <c r="H61" s="34" t="s">
        <v>516</v>
      </c>
      <c r="I61" s="34" t="s">
        <v>263</v>
      </c>
      <c r="J61" s="34" t="s">
        <v>264</v>
      </c>
      <c r="K61" s="48">
        <v>46267.0</v>
      </c>
      <c r="L61" s="54" t="str">
        <f t="array" ref="L61">_xlfn.XLOOKUP(records_3[roomNo], database[roomNo], database[roomName])</f>
        <v>JANITOR-P</v>
      </c>
      <c r="M61" s="56" t="str">
        <f t="array" ref="M61">_xlfn.XLOOKUP(records_3[roomNo], database[roomNo], database[building])</f>
        <v>Building 10</v>
      </c>
      <c r="N61" s="56" t="str">
        <f t="array" ref="N61">_xlfn.XLOOKUP(records_3[roomNo], database[roomNo], database[floor])</f>
        <v>Floor 1</v>
      </c>
      <c r="O61" s="50">
        <v>0.0</v>
      </c>
      <c r="P61" s="34" t="s">
        <v>265</v>
      </c>
      <c r="Q61" s="80"/>
      <c r="R61" s="33"/>
      <c r="S61" s="33"/>
      <c r="T61" s="43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</row>
    <row r="62" ht="22.5" customHeight="1">
      <c r="A62" s="27">
        <v>46040.0</v>
      </c>
      <c r="B62" s="39" t="s">
        <v>549</v>
      </c>
      <c r="C62" s="140"/>
      <c r="D62" s="36" t="s">
        <v>213</v>
      </c>
      <c r="E62" s="34" t="s">
        <v>550</v>
      </c>
      <c r="F62" s="34" t="s">
        <v>551</v>
      </c>
      <c r="G62" s="34" t="s">
        <v>523</v>
      </c>
      <c r="H62" s="34" t="s">
        <v>504</v>
      </c>
      <c r="I62" s="34" t="s">
        <v>263</v>
      </c>
      <c r="J62" s="34" t="s">
        <v>264</v>
      </c>
      <c r="K62" s="48">
        <v>46267.0</v>
      </c>
      <c r="L62" s="54" t="str">
        <f t="array" ref="L62">_xlfn.XLOOKUP(records_3[roomNo], database[roomNo], database[roomName])</f>
        <v>CORRIDOR-P</v>
      </c>
      <c r="M62" s="56" t="str">
        <f t="array" ref="M62">_xlfn.XLOOKUP(records_3[roomNo], database[roomNo], database[building])</f>
        <v>Building 10</v>
      </c>
      <c r="N62" s="56" t="str">
        <f t="array" ref="N62">_xlfn.XLOOKUP(records_3[roomNo], database[roomNo], database[floor])</f>
        <v>Floor 1</v>
      </c>
      <c r="O62" s="50">
        <v>0.0</v>
      </c>
      <c r="P62" s="34" t="s">
        <v>265</v>
      </c>
      <c r="Q62" s="80"/>
      <c r="R62" s="33"/>
      <c r="S62" s="33"/>
      <c r="T62" s="43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</row>
    <row r="63" ht="22.5" customHeight="1">
      <c r="A63" s="27">
        <v>46040.0</v>
      </c>
      <c r="B63" s="39" t="s">
        <v>555</v>
      </c>
      <c r="C63" s="140"/>
      <c r="D63" s="36" t="s">
        <v>213</v>
      </c>
      <c r="E63" s="34" t="s">
        <v>381</v>
      </c>
      <c r="F63" s="34" t="s">
        <v>557</v>
      </c>
      <c r="G63" s="34" t="s">
        <v>523</v>
      </c>
      <c r="H63" s="34" t="s">
        <v>504</v>
      </c>
      <c r="I63" s="34" t="s">
        <v>263</v>
      </c>
      <c r="J63" s="34" t="s">
        <v>264</v>
      </c>
      <c r="K63" s="48">
        <v>46267.0</v>
      </c>
      <c r="L63" s="54" t="str">
        <f t="array" ref="L63">_xlfn.XLOOKUP(records_3[roomNo], database[roomNo], database[roomName])</f>
        <v>BOTTLE CLEANING-P</v>
      </c>
      <c r="M63" s="56" t="str">
        <f t="array" ref="M63">_xlfn.XLOOKUP(records_3[roomNo], database[roomNo], database[building])</f>
        <v>Building 10</v>
      </c>
      <c r="N63" s="56" t="str">
        <f t="array" ref="N63">_xlfn.XLOOKUP(records_3[roomNo], database[roomNo], database[floor])</f>
        <v>Floor 1</v>
      </c>
      <c r="O63" s="50">
        <v>0.0</v>
      </c>
      <c r="P63" s="34" t="s">
        <v>265</v>
      </c>
      <c r="Q63" s="80"/>
      <c r="R63" s="33"/>
      <c r="S63" s="33"/>
      <c r="T63" s="43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</row>
    <row r="64" ht="22.5" customHeight="1">
      <c r="A64" s="27">
        <v>46040.0</v>
      </c>
      <c r="B64" s="39" t="s">
        <v>560</v>
      </c>
      <c r="C64" s="140"/>
      <c r="D64" s="36" t="s">
        <v>213</v>
      </c>
      <c r="E64" s="34" t="s">
        <v>292</v>
      </c>
      <c r="F64" s="34" t="s">
        <v>455</v>
      </c>
      <c r="G64" s="34" t="s">
        <v>544</v>
      </c>
      <c r="H64" s="34" t="s">
        <v>564</v>
      </c>
      <c r="I64" s="34" t="s">
        <v>263</v>
      </c>
      <c r="J64" s="34" t="s">
        <v>264</v>
      </c>
      <c r="K64" s="48">
        <v>46267.0</v>
      </c>
      <c r="L64" s="54" t="str">
        <f t="array" ref="L64">_xlfn.XLOOKUP(records_3[roomNo], database[roomNo], database[roomName])</f>
        <v>CLEANED EQUIPMENT-P</v>
      </c>
      <c r="M64" s="56" t="str">
        <f t="array" ref="M64">_xlfn.XLOOKUP(records_3[roomNo], database[roomNo], database[building])</f>
        <v>Building 10</v>
      </c>
      <c r="N64" s="56" t="str">
        <f t="array" ref="N64">_xlfn.XLOOKUP(records_3[roomNo], database[roomNo], database[floor])</f>
        <v>Floor 1</v>
      </c>
      <c r="O64" s="50">
        <v>0.0</v>
      </c>
      <c r="P64" s="34" t="s">
        <v>265</v>
      </c>
      <c r="Q64" s="80"/>
      <c r="R64" s="33"/>
      <c r="S64" s="33"/>
      <c r="T64" s="43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</row>
    <row r="65" ht="22.5" customHeight="1">
      <c r="A65" s="27">
        <v>46040.0</v>
      </c>
      <c r="B65" s="39" t="s">
        <v>568</v>
      </c>
      <c r="C65" s="140"/>
      <c r="D65" s="36" t="s">
        <v>213</v>
      </c>
      <c r="E65" s="34" t="s">
        <v>569</v>
      </c>
      <c r="F65" s="34" t="s">
        <v>570</v>
      </c>
      <c r="G65" s="34" t="s">
        <v>571</v>
      </c>
      <c r="H65" s="34" t="s">
        <v>420</v>
      </c>
      <c r="I65" s="34" t="s">
        <v>263</v>
      </c>
      <c r="J65" s="34" t="s">
        <v>264</v>
      </c>
      <c r="K65" s="48">
        <v>46267.0</v>
      </c>
      <c r="L65" s="54" t="str">
        <f t="array" ref="L65">_xlfn.XLOOKUP(records_3[roomNo], database[roomNo], database[roomName])</f>
        <v>BULK STAGING-P</v>
      </c>
      <c r="M65" s="56" t="str">
        <f t="array" ref="M65">_xlfn.XLOOKUP(records_3[roomNo], database[roomNo], database[building])</f>
        <v>Building 10</v>
      </c>
      <c r="N65" s="56" t="str">
        <f t="array" ref="N65">_xlfn.XLOOKUP(records_3[roomNo], database[roomNo], database[floor])</f>
        <v>Floor 1</v>
      </c>
      <c r="O65" s="50">
        <v>2.0</v>
      </c>
      <c r="P65" s="34" t="s">
        <v>265</v>
      </c>
      <c r="Q65" s="80"/>
      <c r="R65" s="33"/>
      <c r="S65" s="33"/>
      <c r="T65" s="43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</row>
    <row r="66" ht="22.5" customHeight="1">
      <c r="A66" s="27">
        <v>46040.0</v>
      </c>
      <c r="B66" s="39" t="s">
        <v>577</v>
      </c>
      <c r="C66" s="140"/>
      <c r="D66" s="36" t="s">
        <v>213</v>
      </c>
      <c r="E66" s="34" t="s">
        <v>578</v>
      </c>
      <c r="F66" s="34" t="s">
        <v>318</v>
      </c>
      <c r="G66" s="34" t="s">
        <v>544</v>
      </c>
      <c r="H66" s="34" t="s">
        <v>564</v>
      </c>
      <c r="I66" s="34" t="s">
        <v>263</v>
      </c>
      <c r="J66" s="34" t="s">
        <v>264</v>
      </c>
      <c r="K66" s="48">
        <v>46267.0</v>
      </c>
      <c r="L66" s="54" t="str">
        <f t="array" ref="L66">_xlfn.XLOOKUP(records_3[roomNo], database[roomNo], database[roomName])</f>
        <v>AIR LOCK-P</v>
      </c>
      <c r="M66" s="56" t="str">
        <f t="array" ref="M66">_xlfn.XLOOKUP(records_3[roomNo], database[roomNo], database[building])</f>
        <v>Building 10</v>
      </c>
      <c r="N66" s="56" t="str">
        <f t="array" ref="N66">_xlfn.XLOOKUP(records_3[roomNo], database[roomNo], database[floor])</f>
        <v>Floor 1</v>
      </c>
      <c r="O66" s="50">
        <v>0.0</v>
      </c>
      <c r="P66" s="34" t="s">
        <v>265</v>
      </c>
      <c r="Q66" s="80"/>
      <c r="R66" s="33"/>
      <c r="S66" s="33"/>
      <c r="T66" s="43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</row>
    <row r="67" ht="22.5" customHeight="1">
      <c r="A67" s="27">
        <v>46040.0</v>
      </c>
      <c r="B67" s="39" t="s">
        <v>582</v>
      </c>
      <c r="C67" s="140"/>
      <c r="D67" s="36" t="s">
        <v>213</v>
      </c>
      <c r="E67" s="34" t="s">
        <v>435</v>
      </c>
      <c r="F67" s="34" t="s">
        <v>585</v>
      </c>
      <c r="G67" s="34" t="s">
        <v>544</v>
      </c>
      <c r="H67" s="34" t="s">
        <v>564</v>
      </c>
      <c r="I67" s="34" t="s">
        <v>263</v>
      </c>
      <c r="J67" s="34" t="s">
        <v>264</v>
      </c>
      <c r="K67" s="48">
        <v>46267.0</v>
      </c>
      <c r="L67" s="54" t="str">
        <f t="array" ref="L67">_xlfn.XLOOKUP(records_3[roomNo], database[roomNo], database[roomName])</f>
        <v>CORRIDOR-P</v>
      </c>
      <c r="M67" s="56" t="str">
        <f t="array" ref="M67">_xlfn.XLOOKUP(records_3[roomNo], database[roomNo], database[building])</f>
        <v>Building 10</v>
      </c>
      <c r="N67" s="56" t="str">
        <f t="array" ref="N67">_xlfn.XLOOKUP(records_3[roomNo], database[roomNo], database[floor])</f>
        <v>Floor 1</v>
      </c>
      <c r="O67" s="50">
        <v>0.0</v>
      </c>
      <c r="P67" s="34" t="s">
        <v>265</v>
      </c>
      <c r="Q67" s="80"/>
      <c r="R67" s="33"/>
      <c r="S67" s="33"/>
      <c r="T67" s="43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</row>
    <row r="68" ht="22.5" customHeight="1">
      <c r="A68" s="27">
        <v>46040.0</v>
      </c>
      <c r="B68" s="39" t="s">
        <v>589</v>
      </c>
      <c r="C68" s="140"/>
      <c r="D68" s="36" t="s">
        <v>213</v>
      </c>
      <c r="E68" s="34" t="s">
        <v>591</v>
      </c>
      <c r="F68" s="34" t="s">
        <v>592</v>
      </c>
      <c r="G68" s="34" t="s">
        <v>593</v>
      </c>
      <c r="H68" s="34" t="s">
        <v>564</v>
      </c>
      <c r="I68" s="34" t="s">
        <v>263</v>
      </c>
      <c r="J68" s="34" t="s">
        <v>264</v>
      </c>
      <c r="K68" s="48">
        <v>46267.0</v>
      </c>
      <c r="L68" s="54" t="str">
        <f t="array" ref="L68">_xlfn.XLOOKUP(records_3[roomNo], database[roomNo], database[roomName])</f>
        <v>BOTTLE FILLING-P (LOW RH) (BOTTLE FILLING LINE)</v>
      </c>
      <c r="M68" s="56" t="str">
        <f t="array" ref="M68">_xlfn.XLOOKUP(records_3[roomNo], database[roomNo], database[building])</f>
        <v>Building 10</v>
      </c>
      <c r="N68" s="56" t="str">
        <f t="array" ref="N68">_xlfn.XLOOKUP(records_3[roomNo], database[roomNo], database[floor])</f>
        <v>Floor 1</v>
      </c>
      <c r="O68" s="50">
        <v>0.0</v>
      </c>
      <c r="P68" s="34" t="s">
        <v>265</v>
      </c>
      <c r="Q68" s="80"/>
      <c r="R68" s="33"/>
      <c r="S68" s="33"/>
      <c r="T68" s="43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</row>
    <row r="69" ht="22.5" customHeight="1">
      <c r="A69" s="27">
        <v>46040.0</v>
      </c>
      <c r="B69" s="39" t="s">
        <v>598</v>
      </c>
      <c r="C69" s="140"/>
      <c r="D69" s="36" t="s">
        <v>213</v>
      </c>
      <c r="E69" s="34" t="s">
        <v>599</v>
      </c>
      <c r="F69" s="34" t="s">
        <v>600</v>
      </c>
      <c r="G69" s="34" t="s">
        <v>602</v>
      </c>
      <c r="H69" s="34" t="s">
        <v>420</v>
      </c>
      <c r="I69" s="34" t="s">
        <v>263</v>
      </c>
      <c r="J69" s="34" t="s">
        <v>264</v>
      </c>
      <c r="K69" s="48">
        <v>46267.0</v>
      </c>
      <c r="L69" s="54" t="str">
        <f t="array" ref="L69">_xlfn.XLOOKUP(records_3[roomNo], database[roomNo], database[roomName])</f>
        <v>BLISTER PACKING-P (LOW RH) (BLISTER PACKING MACHINE)</v>
      </c>
      <c r="M69" s="56" t="str">
        <f t="array" ref="M69">_xlfn.XLOOKUP(records_3[roomNo], database[roomNo], database[building])</f>
        <v>Building 10</v>
      </c>
      <c r="N69" s="56" t="str">
        <f t="array" ref="N69">_xlfn.XLOOKUP(records_3[roomNo], database[roomNo], database[floor])</f>
        <v>Floor 1</v>
      </c>
      <c r="O69" s="50">
        <v>5.0</v>
      </c>
      <c r="P69" s="34" t="s">
        <v>265</v>
      </c>
      <c r="Q69" s="80"/>
      <c r="R69" s="33"/>
      <c r="S69" s="33"/>
      <c r="T69" s="43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</row>
    <row r="70" ht="22.5" customHeight="1">
      <c r="A70" s="27">
        <v>46040.0</v>
      </c>
      <c r="B70" s="39" t="s">
        <v>607</v>
      </c>
      <c r="C70" s="140"/>
      <c r="D70" s="36" t="s">
        <v>213</v>
      </c>
      <c r="E70" s="34" t="s">
        <v>428</v>
      </c>
      <c r="F70" s="34" t="s">
        <v>608</v>
      </c>
      <c r="G70" s="34" t="s">
        <v>602</v>
      </c>
      <c r="H70" s="34" t="s">
        <v>420</v>
      </c>
      <c r="I70" s="34" t="s">
        <v>263</v>
      </c>
      <c r="J70" s="34" t="s">
        <v>264</v>
      </c>
      <c r="K70" s="48">
        <v>46267.0</v>
      </c>
      <c r="L70" s="54" t="str">
        <f t="array" ref="L70">_xlfn.XLOOKUP(records_3[roomNo], database[roomNo], database[roomName])</f>
        <v>STRIP PACKING-P (LOW RH) (DRUM TIPPER) &amp; (STRIP PACKING MACHINE)</v>
      </c>
      <c r="M70" s="56" t="str">
        <f t="array" ref="M70">_xlfn.XLOOKUP(records_3[roomNo], database[roomNo], database[building])</f>
        <v>Building 10</v>
      </c>
      <c r="N70" s="56" t="str">
        <f t="array" ref="N70">_xlfn.XLOOKUP(records_3[roomNo], database[roomNo], database[floor])</f>
        <v>Floor 1</v>
      </c>
      <c r="O70" s="50">
        <v>1.0</v>
      </c>
      <c r="P70" s="34" t="s">
        <v>265</v>
      </c>
      <c r="Q70" s="80"/>
      <c r="R70" s="33"/>
      <c r="S70" s="33"/>
      <c r="T70" s="43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</row>
    <row r="71" ht="22.5" customHeight="1">
      <c r="A71" s="27">
        <v>46040.0</v>
      </c>
      <c r="B71" s="39" t="s">
        <v>408</v>
      </c>
      <c r="C71" s="140"/>
      <c r="D71" s="36" t="s">
        <v>213</v>
      </c>
      <c r="E71" s="34" t="s">
        <v>615</v>
      </c>
      <c r="F71" s="34" t="s">
        <v>616</v>
      </c>
      <c r="G71" s="34" t="s">
        <v>617</v>
      </c>
      <c r="H71" s="34" t="s">
        <v>618</v>
      </c>
      <c r="I71" s="34" t="s">
        <v>263</v>
      </c>
      <c r="J71" s="34" t="s">
        <v>264</v>
      </c>
      <c r="K71" s="48">
        <v>46267.0</v>
      </c>
      <c r="L71" s="54" t="str">
        <f t="array" ref="L71">_xlfn.XLOOKUP(records_3[roomNo], database[roomNo], database[roomName])</f>
        <v>BOTTLE CLEANING (BOTTLE CLEANING MACHINE)</v>
      </c>
      <c r="M71" s="56" t="str">
        <f t="array" ref="M71">_xlfn.XLOOKUP(records_3[roomNo], database[roomNo], database[building])</f>
        <v>Building 10</v>
      </c>
      <c r="N71" s="56" t="str">
        <f t="array" ref="N71">_xlfn.XLOOKUP(records_3[roomNo], database[roomNo], database[floor])</f>
        <v>Floor 1</v>
      </c>
      <c r="O71" s="50">
        <v>0.0</v>
      </c>
      <c r="P71" s="34" t="s">
        <v>265</v>
      </c>
      <c r="Q71" s="80"/>
      <c r="R71" s="33"/>
      <c r="S71" s="33"/>
      <c r="T71" s="43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</row>
    <row r="72" ht="22.5" customHeight="1">
      <c r="A72" s="27">
        <v>46040.0</v>
      </c>
      <c r="B72" s="39" t="s">
        <v>400</v>
      </c>
      <c r="C72" s="140"/>
      <c r="D72" s="36" t="s">
        <v>213</v>
      </c>
      <c r="E72" s="34" t="s">
        <v>381</v>
      </c>
      <c r="F72" s="34" t="s">
        <v>621</v>
      </c>
      <c r="G72" s="34" t="s">
        <v>617</v>
      </c>
      <c r="H72" s="34" t="s">
        <v>618</v>
      </c>
      <c r="I72" s="34" t="s">
        <v>263</v>
      </c>
      <c r="J72" s="34" t="s">
        <v>264</v>
      </c>
      <c r="K72" s="48">
        <v>46267.0</v>
      </c>
      <c r="L72" s="54" t="str">
        <f t="array" ref="L72">_xlfn.XLOOKUP(records_3[roomNo], database[roomNo], database[roomName])</f>
        <v>POS FILLING (LOW RH) (BOTTLE FILLING MACHINE)</v>
      </c>
      <c r="M72" s="56" t="str">
        <f t="array" ref="M72">_xlfn.XLOOKUP(records_3[roomNo], database[roomNo], database[building])</f>
        <v>Building 10</v>
      </c>
      <c r="N72" s="56" t="str">
        <f t="array" ref="N72">_xlfn.XLOOKUP(records_3[roomNo], database[roomNo], database[floor])</f>
        <v>Floor 1</v>
      </c>
      <c r="O72" s="50">
        <v>0.0</v>
      </c>
      <c r="P72" s="34" t="s">
        <v>265</v>
      </c>
      <c r="Q72" s="80"/>
      <c r="R72" s="33"/>
      <c r="S72" s="33"/>
      <c r="T72" s="43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</row>
    <row r="73" ht="22.5" customHeight="1">
      <c r="A73" s="27">
        <v>46040.0</v>
      </c>
      <c r="B73" s="39" t="s">
        <v>308</v>
      </c>
      <c r="C73" s="140"/>
      <c r="D73" s="36" t="s">
        <v>213</v>
      </c>
      <c r="E73" s="34" t="s">
        <v>539</v>
      </c>
      <c r="F73" s="34" t="s">
        <v>625</v>
      </c>
      <c r="G73" s="34" t="s">
        <v>617</v>
      </c>
      <c r="H73" s="34" t="s">
        <v>618</v>
      </c>
      <c r="I73" s="34" t="s">
        <v>263</v>
      </c>
      <c r="J73" s="34" t="s">
        <v>264</v>
      </c>
      <c r="K73" s="48">
        <v>46267.0</v>
      </c>
      <c r="L73" s="54" t="str">
        <f t="array" ref="L73">_xlfn.XLOOKUP(records_3[roomNo], database[roomNo], database[roomName])</f>
        <v>BLISTER PACKING 1 (BLISTER PACKING MACHINE)</v>
      </c>
      <c r="M73" s="56" t="str">
        <f t="array" ref="M73">_xlfn.XLOOKUP(records_3[roomNo], database[roomNo], database[building])</f>
        <v>Building 10</v>
      </c>
      <c r="N73" s="56" t="str">
        <f t="array" ref="N73">_xlfn.XLOOKUP(records_3[roomNo], database[roomNo], database[floor])</f>
        <v>Floor 1</v>
      </c>
      <c r="O73" s="50">
        <v>0.0</v>
      </c>
      <c r="P73" s="34" t="s">
        <v>265</v>
      </c>
      <c r="Q73" s="80"/>
      <c r="R73" s="33"/>
      <c r="S73" s="33"/>
      <c r="T73" s="43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</row>
    <row r="74" ht="22.5" customHeight="1">
      <c r="A74" s="27">
        <v>46040.0</v>
      </c>
      <c r="B74" s="39" t="s">
        <v>322</v>
      </c>
      <c r="C74" s="140"/>
      <c r="D74" s="36" t="s">
        <v>213</v>
      </c>
      <c r="E74" s="34" t="s">
        <v>632</v>
      </c>
      <c r="F74" s="34" t="s">
        <v>633</v>
      </c>
      <c r="G74" s="34" t="s">
        <v>617</v>
      </c>
      <c r="H74" s="34" t="s">
        <v>634</v>
      </c>
      <c r="I74" s="34" t="s">
        <v>263</v>
      </c>
      <c r="J74" s="34" t="s">
        <v>264</v>
      </c>
      <c r="K74" s="48">
        <v>46267.0</v>
      </c>
      <c r="L74" s="54" t="str">
        <f t="array" ref="L74">_xlfn.XLOOKUP(records_3[roomNo], database[roomNo], database[roomName])</f>
        <v>BLISTER PACKING 2 (DRUM TIPPER)  (BLISTER PACKING MACHINE)</v>
      </c>
      <c r="M74" s="56" t="str">
        <f t="array" ref="M74">_xlfn.XLOOKUP(records_3[roomNo], database[roomNo], database[building])</f>
        <v>Building 10</v>
      </c>
      <c r="N74" s="56" t="str">
        <f t="array" ref="N74">_xlfn.XLOOKUP(records_3[roomNo], database[roomNo], database[floor])</f>
        <v>Floor 1</v>
      </c>
      <c r="O74" s="50">
        <v>0.0</v>
      </c>
      <c r="P74" s="34" t="s">
        <v>265</v>
      </c>
      <c r="Q74" s="80"/>
      <c r="R74" s="33"/>
      <c r="S74" s="33"/>
      <c r="T74" s="43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</row>
    <row r="75" ht="22.5" customHeight="1">
      <c r="A75" s="27">
        <v>46040.0</v>
      </c>
      <c r="B75" s="39" t="s">
        <v>340</v>
      </c>
      <c r="C75" s="140"/>
      <c r="D75" s="36" t="s">
        <v>213</v>
      </c>
      <c r="E75" s="34" t="s">
        <v>359</v>
      </c>
      <c r="F75" s="34" t="s">
        <v>640</v>
      </c>
      <c r="G75" s="34" t="s">
        <v>641</v>
      </c>
      <c r="H75" s="34" t="s">
        <v>634</v>
      </c>
      <c r="I75" s="34" t="s">
        <v>263</v>
      </c>
      <c r="J75" s="34" t="s">
        <v>264</v>
      </c>
      <c r="K75" s="48">
        <v>46267.0</v>
      </c>
      <c r="L75" s="54" t="str">
        <f t="array" ref="L75">_xlfn.XLOOKUP(records_3[roomNo], database[roomNo], database[roomName])</f>
        <v>BLISTER PACKING 3 (BLISTER PACKING MACHINE)</v>
      </c>
      <c r="M75" s="56" t="str">
        <f t="array" ref="M75">_xlfn.XLOOKUP(records_3[roomNo], database[roomNo], database[building])</f>
        <v>Building 10</v>
      </c>
      <c r="N75" s="56" t="str">
        <f t="array" ref="N75">_xlfn.XLOOKUP(records_3[roomNo], database[roomNo], database[floor])</f>
        <v>Floor 1</v>
      </c>
      <c r="O75" s="50">
        <v>0.0</v>
      </c>
      <c r="P75" s="34" t="s">
        <v>265</v>
      </c>
      <c r="Q75" s="80"/>
      <c r="R75" s="33"/>
      <c r="S75" s="33"/>
      <c r="T75" s="43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</row>
    <row r="76" ht="22.5" customHeight="1">
      <c r="A76" s="27">
        <v>46040.0</v>
      </c>
      <c r="B76" s="39" t="s">
        <v>348</v>
      </c>
      <c r="C76" s="140"/>
      <c r="D76" s="36" t="s">
        <v>213</v>
      </c>
      <c r="E76" s="34" t="s">
        <v>513</v>
      </c>
      <c r="F76" s="34" t="s">
        <v>649</v>
      </c>
      <c r="G76" s="34" t="s">
        <v>641</v>
      </c>
      <c r="H76" s="34" t="s">
        <v>650</v>
      </c>
      <c r="I76" s="34" t="s">
        <v>263</v>
      </c>
      <c r="J76" s="34" t="s">
        <v>264</v>
      </c>
      <c r="K76" s="48">
        <v>46267.0</v>
      </c>
      <c r="L76" s="54" t="str">
        <f t="array" ref="L76">_xlfn.XLOOKUP(records_3[roomNo], database[roomNo], database[roomName])</f>
        <v>BLISTER PACKING 4 (BLISTER PACKING MACHINE)</v>
      </c>
      <c r="M76" s="56" t="str">
        <f t="array" ref="M76">_xlfn.XLOOKUP(records_3[roomNo], database[roomNo], database[building])</f>
        <v>Building 10</v>
      </c>
      <c r="N76" s="56" t="str">
        <f t="array" ref="N76">_xlfn.XLOOKUP(records_3[roomNo], database[roomNo], database[floor])</f>
        <v>Floor 1</v>
      </c>
      <c r="O76" s="50">
        <v>0.0</v>
      </c>
      <c r="P76" s="34" t="s">
        <v>265</v>
      </c>
      <c r="Q76" s="80"/>
      <c r="R76" s="33"/>
      <c r="S76" s="33"/>
      <c r="T76" s="43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</row>
    <row r="77" ht="22.5" customHeight="1">
      <c r="A77" s="27">
        <v>46040.0</v>
      </c>
      <c r="B77" s="39" t="s">
        <v>357</v>
      </c>
      <c r="C77" s="140"/>
      <c r="D77" s="36" t="s">
        <v>213</v>
      </c>
      <c r="E77" s="34" t="s">
        <v>656</v>
      </c>
      <c r="F77" s="34" t="s">
        <v>657</v>
      </c>
      <c r="G77" s="34" t="s">
        <v>658</v>
      </c>
      <c r="H77" s="34" t="s">
        <v>650</v>
      </c>
      <c r="I77" s="34" t="s">
        <v>263</v>
      </c>
      <c r="J77" s="34" t="s">
        <v>264</v>
      </c>
      <c r="K77" s="48">
        <v>46267.0</v>
      </c>
      <c r="L77" s="54" t="str">
        <f t="array" ref="L77">_xlfn.XLOOKUP(records_3[roomNo], database[roomNo], database[roomName])</f>
        <v>BLISTER PACKING 5 (BLISTER PACKING MACHINE)</v>
      </c>
      <c r="M77" s="56" t="str">
        <f t="array" ref="M77">_xlfn.XLOOKUP(records_3[roomNo], database[roomNo], database[building])</f>
        <v>Building 10</v>
      </c>
      <c r="N77" s="56" t="str">
        <f t="array" ref="N77">_xlfn.XLOOKUP(records_3[roomNo], database[roomNo], database[floor])</f>
        <v>Floor 1</v>
      </c>
      <c r="O77" s="50">
        <v>0.0</v>
      </c>
      <c r="P77" s="34" t="s">
        <v>265</v>
      </c>
      <c r="Q77" s="80"/>
      <c r="R77" s="33"/>
      <c r="S77" s="33"/>
      <c r="T77" s="43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</row>
    <row r="78" ht="22.5" customHeight="1">
      <c r="A78" s="27">
        <v>46040.0</v>
      </c>
      <c r="B78" s="39" t="s">
        <v>370</v>
      </c>
      <c r="C78" s="140"/>
      <c r="D78" s="36" t="s">
        <v>213</v>
      </c>
      <c r="E78" s="34" t="s">
        <v>326</v>
      </c>
      <c r="F78" s="34" t="s">
        <v>597</v>
      </c>
      <c r="G78" s="34" t="s">
        <v>664</v>
      </c>
      <c r="H78" s="34" t="s">
        <v>336</v>
      </c>
      <c r="I78" s="34" t="s">
        <v>263</v>
      </c>
      <c r="J78" s="34" t="s">
        <v>264</v>
      </c>
      <c r="K78" s="48">
        <v>46267.0</v>
      </c>
      <c r="L78" s="54" t="str">
        <f t="array" ref="L78">_xlfn.XLOOKUP(records_3[roomNo], database[roomNo], database[roomName])</f>
        <v>BLISTER PACKING 6 (BLISTER PACKING MACHINE)</v>
      </c>
      <c r="M78" s="56" t="str">
        <f t="array" ref="M78">_xlfn.XLOOKUP(records_3[roomNo], database[roomNo], database[building])</f>
        <v>Building 10</v>
      </c>
      <c r="N78" s="56" t="str">
        <f t="array" ref="N78">_xlfn.XLOOKUP(records_3[roomNo], database[roomNo], database[floor])</f>
        <v>Floor 1</v>
      </c>
      <c r="O78" s="50">
        <v>1.0</v>
      </c>
      <c r="P78" s="34" t="s">
        <v>265</v>
      </c>
      <c r="Q78" s="80"/>
      <c r="R78" s="33"/>
      <c r="S78" s="33"/>
      <c r="T78" s="43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</row>
    <row r="79" ht="22.5" customHeight="1">
      <c r="A79" s="27">
        <v>46040.0</v>
      </c>
      <c r="B79" s="39" t="s">
        <v>374</v>
      </c>
      <c r="C79" s="140"/>
      <c r="D79" s="36" t="s">
        <v>213</v>
      </c>
      <c r="E79" s="34" t="s">
        <v>668</v>
      </c>
      <c r="F79" s="34" t="s">
        <v>669</v>
      </c>
      <c r="G79" s="34" t="s">
        <v>664</v>
      </c>
      <c r="H79" s="34" t="s">
        <v>336</v>
      </c>
      <c r="I79" s="34" t="s">
        <v>263</v>
      </c>
      <c r="J79" s="34" t="s">
        <v>264</v>
      </c>
      <c r="K79" s="48">
        <v>46267.0</v>
      </c>
      <c r="L79" s="54" t="str">
        <f t="array" ref="L79">_xlfn.XLOOKUP(records_3[roomNo], database[roomNo], database[roomName])</f>
        <v>BLISTER PACKING 4 (LOW RH) (BLISTER PACKING MACHINE)</v>
      </c>
      <c r="M79" s="56" t="str">
        <f t="array" ref="M79">_xlfn.XLOOKUP(records_3[roomNo], database[roomNo], database[building])</f>
        <v>Building 10</v>
      </c>
      <c r="N79" s="56" t="str">
        <f t="array" ref="N79">_xlfn.XLOOKUP(records_3[roomNo], database[roomNo], database[floor])</f>
        <v>Floor 1</v>
      </c>
      <c r="O79" s="50">
        <v>0.0</v>
      </c>
      <c r="P79" s="34" t="s">
        <v>265</v>
      </c>
      <c r="Q79" s="80"/>
      <c r="R79" s="33"/>
      <c r="S79" s="33"/>
      <c r="T79" s="43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</row>
    <row r="80" ht="22.5" customHeight="1">
      <c r="A80" s="27">
        <v>46040.0</v>
      </c>
      <c r="B80" s="39" t="s">
        <v>384</v>
      </c>
      <c r="C80" s="140"/>
      <c r="D80" s="36" t="s">
        <v>213</v>
      </c>
      <c r="E80" s="34" t="s">
        <v>675</v>
      </c>
      <c r="F80" s="34" t="s">
        <v>676</v>
      </c>
      <c r="G80" s="34" t="s">
        <v>677</v>
      </c>
      <c r="H80" s="34" t="s">
        <v>336</v>
      </c>
      <c r="I80" s="34" t="s">
        <v>263</v>
      </c>
      <c r="J80" s="34" t="s">
        <v>264</v>
      </c>
      <c r="K80" s="48">
        <v>46267.0</v>
      </c>
      <c r="L80" s="54" t="str">
        <f t="array" ref="L80">_xlfn.XLOOKUP(records_3[roomNo], database[roomNo], database[roomName])</f>
        <v>BLISTER PACKING 5 (LOW RH) (BLISTER PACKING MACHINE)</v>
      </c>
      <c r="M80" s="56" t="str">
        <f t="array" ref="M80">_xlfn.XLOOKUP(records_3[roomNo], database[roomNo], database[building])</f>
        <v>Building 10</v>
      </c>
      <c r="N80" s="56" t="str">
        <f t="array" ref="N80">_xlfn.XLOOKUP(records_3[roomNo], database[roomNo], database[floor])</f>
        <v>Floor 1</v>
      </c>
      <c r="O80" s="50">
        <v>0.0</v>
      </c>
      <c r="P80" s="34" t="s">
        <v>265</v>
      </c>
      <c r="Q80" s="80"/>
      <c r="R80" s="33"/>
      <c r="S80" s="33"/>
      <c r="T80" s="43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</row>
    <row r="81" ht="22.5" customHeight="1">
      <c r="A81" s="27">
        <v>46040.0</v>
      </c>
      <c r="B81" s="39" t="s">
        <v>684</v>
      </c>
      <c r="C81" s="140"/>
      <c r="D81" s="36" t="s">
        <v>213</v>
      </c>
      <c r="E81" s="34" t="s">
        <v>685</v>
      </c>
      <c r="F81" s="34" t="s">
        <v>649</v>
      </c>
      <c r="G81" s="34" t="s">
        <v>641</v>
      </c>
      <c r="H81" s="34" t="s">
        <v>634</v>
      </c>
      <c r="I81" s="34" t="s">
        <v>263</v>
      </c>
      <c r="J81" s="34" t="s">
        <v>264</v>
      </c>
      <c r="K81" s="48">
        <v>46267.0</v>
      </c>
      <c r="L81" s="54" t="str">
        <f t="array" ref="L81">_xlfn.XLOOKUP(records_3[roomNo], database[roomNo], database[roomName])</f>
        <v>CORRIDOR</v>
      </c>
      <c r="M81" s="56" t="str">
        <f t="array" ref="M81">_xlfn.XLOOKUP(records_3[roomNo], database[roomNo], database[building])</f>
        <v>Building 10</v>
      </c>
      <c r="N81" s="56" t="str">
        <f t="array" ref="N81">_xlfn.XLOOKUP(records_3[roomNo], database[roomNo], database[floor])</f>
        <v>Floor 1</v>
      </c>
      <c r="O81" s="50">
        <v>1.0</v>
      </c>
      <c r="P81" s="34" t="s">
        <v>265</v>
      </c>
      <c r="Q81" s="80"/>
      <c r="R81" s="33"/>
      <c r="S81" s="33"/>
      <c r="T81" s="43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</row>
    <row r="82" ht="22.5" customHeight="1">
      <c r="A82" s="27">
        <v>46040.0</v>
      </c>
      <c r="B82" s="39" t="s">
        <v>688</v>
      </c>
      <c r="C82" s="140"/>
      <c r="D82" s="36" t="s">
        <v>213</v>
      </c>
      <c r="E82" s="34" t="s">
        <v>194</v>
      </c>
      <c r="F82" s="34" t="s">
        <v>194</v>
      </c>
      <c r="G82" s="34" t="s">
        <v>690</v>
      </c>
      <c r="H82" s="34" t="s">
        <v>691</v>
      </c>
      <c r="I82" s="34" t="s">
        <v>263</v>
      </c>
      <c r="J82" s="34" t="s">
        <v>264</v>
      </c>
      <c r="K82" s="48">
        <v>46267.0</v>
      </c>
      <c r="L82" s="54" t="str">
        <f t="array" ref="L82">_xlfn.XLOOKUP(records_3[roomNo], database[roomNo], database[roomName])</f>
        <v>PPM STAGING</v>
      </c>
      <c r="M82" s="56" t="str">
        <f t="array" ref="M82">_xlfn.XLOOKUP(records_3[roomNo], database[roomNo], database[building])</f>
        <v>Building 10</v>
      </c>
      <c r="N82" s="56" t="str">
        <f t="array" ref="N82">_xlfn.XLOOKUP(records_3[roomNo], database[roomNo], database[floor])</f>
        <v>Floor 1</v>
      </c>
      <c r="O82" s="50">
        <v>0.0</v>
      </c>
      <c r="P82" s="34" t="s">
        <v>265</v>
      </c>
      <c r="Q82" s="80"/>
      <c r="R82" s="33"/>
      <c r="S82" s="33"/>
      <c r="T82" s="43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</row>
    <row r="83" ht="22.5" customHeight="1">
      <c r="A83" s="27">
        <v>46040.0</v>
      </c>
      <c r="B83" s="39" t="s">
        <v>394</v>
      </c>
      <c r="C83" s="140"/>
      <c r="D83" s="36" t="s">
        <v>213</v>
      </c>
      <c r="E83" s="34" t="s">
        <v>696</v>
      </c>
      <c r="F83" s="34" t="s">
        <v>697</v>
      </c>
      <c r="G83" s="34" t="s">
        <v>690</v>
      </c>
      <c r="H83" s="34" t="s">
        <v>691</v>
      </c>
      <c r="I83" s="34" t="s">
        <v>263</v>
      </c>
      <c r="J83" s="34" t="s">
        <v>264</v>
      </c>
      <c r="K83" s="48">
        <v>46267.0</v>
      </c>
      <c r="L83" s="54" t="str">
        <f t="array" ref="L83">_xlfn.XLOOKUP(records_3[roomNo], database[roomNo], database[roomName])</f>
        <v>STRIP PACKING 1 (LOW RH) (DRUM TIPPER) &amp; (STRIP PACKING MACHINE)</v>
      </c>
      <c r="M83" s="56" t="str">
        <f t="array" ref="M83">_xlfn.XLOOKUP(records_3[roomNo], database[roomNo], database[building])</f>
        <v>Building 10</v>
      </c>
      <c r="N83" s="56" t="str">
        <f t="array" ref="N83">_xlfn.XLOOKUP(records_3[roomNo], database[roomNo], database[floor])</f>
        <v>Floor 1</v>
      </c>
      <c r="O83" s="50">
        <v>0.0</v>
      </c>
      <c r="P83" s="34" t="s">
        <v>265</v>
      </c>
      <c r="Q83" s="80"/>
      <c r="R83" s="33"/>
      <c r="S83" s="33"/>
      <c r="T83" s="43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</row>
    <row r="84" ht="22.5" customHeight="1">
      <c r="A84" s="27">
        <v>46040.0</v>
      </c>
      <c r="B84" s="39" t="s">
        <v>413</v>
      </c>
      <c r="C84" s="140"/>
      <c r="D84" s="36" t="s">
        <v>213</v>
      </c>
      <c r="E84" s="34" t="s">
        <v>700</v>
      </c>
      <c r="F84" s="34" t="s">
        <v>701</v>
      </c>
      <c r="G84" s="34" t="s">
        <v>702</v>
      </c>
      <c r="H84" s="34" t="s">
        <v>691</v>
      </c>
      <c r="I84" s="34" t="s">
        <v>263</v>
      </c>
      <c r="J84" s="34" t="s">
        <v>264</v>
      </c>
      <c r="K84" s="48">
        <v>46267.0</v>
      </c>
      <c r="L84" s="54" t="str">
        <f t="array" ref="L84">_xlfn.XLOOKUP(records_3[roomNo], database[roomNo], database[roomName])</f>
        <v>SACHET PACKING (LOW RH) (STRIP PACKING MACHINE)</v>
      </c>
      <c r="M84" s="56" t="str">
        <f t="array" ref="M84">_xlfn.XLOOKUP(records_3[roomNo], database[roomNo], database[building])</f>
        <v>Building 10</v>
      </c>
      <c r="N84" s="56" t="str">
        <f t="array" ref="N84">_xlfn.XLOOKUP(records_3[roomNo], database[roomNo], database[floor])</f>
        <v>Floor 1</v>
      </c>
      <c r="O84" s="50">
        <v>1.0</v>
      </c>
      <c r="P84" s="34" t="s">
        <v>265</v>
      </c>
      <c r="Q84" s="80"/>
      <c r="R84" s="33"/>
      <c r="S84" s="33"/>
      <c r="T84" s="43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</row>
    <row r="85" ht="22.5" customHeight="1">
      <c r="A85" s="27">
        <v>46040.0</v>
      </c>
      <c r="B85" s="39" t="s">
        <v>705</v>
      </c>
      <c r="C85" s="140"/>
      <c r="D85" s="36" t="s">
        <v>213</v>
      </c>
      <c r="E85" s="34" t="s">
        <v>706</v>
      </c>
      <c r="F85" s="34" t="s">
        <v>707</v>
      </c>
      <c r="G85" s="34" t="s">
        <v>708</v>
      </c>
      <c r="H85" s="34" t="s">
        <v>691</v>
      </c>
      <c r="I85" s="34" t="s">
        <v>263</v>
      </c>
      <c r="J85" s="34" t="s">
        <v>264</v>
      </c>
      <c r="K85" s="48">
        <v>46267.0</v>
      </c>
      <c r="L85" s="54" t="str">
        <f t="array" ref="L85">_xlfn.XLOOKUP(records_3[roomNo], database[roomNo], database[roomName])</f>
        <v>STRIP PACKING 2 (DRUM TIPPER) &amp; (STRIP PACKING MACHINE)</v>
      </c>
      <c r="M85" s="56" t="str">
        <f t="array" ref="M85">_xlfn.XLOOKUP(records_3[roomNo], database[roomNo], database[building])</f>
        <v>Building 10</v>
      </c>
      <c r="N85" s="56" t="str">
        <f t="array" ref="N85">_xlfn.XLOOKUP(records_3[roomNo], database[roomNo], database[floor])</f>
        <v>Floor 1</v>
      </c>
      <c r="O85" s="50">
        <v>0.0</v>
      </c>
      <c r="P85" s="34" t="s">
        <v>265</v>
      </c>
      <c r="Q85" s="80"/>
      <c r="R85" s="33"/>
      <c r="S85" s="33"/>
      <c r="T85" s="43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</row>
    <row r="86" ht="22.5" customHeight="1">
      <c r="A86" s="27">
        <v>46040.0</v>
      </c>
      <c r="B86" s="39" t="s">
        <v>443</v>
      </c>
      <c r="C86" s="140"/>
      <c r="D86" s="36" t="s">
        <v>213</v>
      </c>
      <c r="E86" s="34" t="s">
        <v>706</v>
      </c>
      <c r="F86" s="34" t="s">
        <v>712</v>
      </c>
      <c r="G86" s="34" t="s">
        <v>702</v>
      </c>
      <c r="H86" s="34" t="s">
        <v>713</v>
      </c>
      <c r="I86" s="34" t="s">
        <v>263</v>
      </c>
      <c r="J86" s="34" t="s">
        <v>264</v>
      </c>
      <c r="K86" s="48">
        <v>46267.0</v>
      </c>
      <c r="L86" s="54" t="str">
        <f t="array" ref="L86">_xlfn.XLOOKUP(records_3[roomNo], database[roomNo], database[roomName])</f>
        <v>STRIP PACKING 3 (DRUM TIPPER) &amp; (STRIP PACKING MACHINE)</v>
      </c>
      <c r="M86" s="56" t="str">
        <f t="array" ref="M86">_xlfn.XLOOKUP(records_3[roomNo], database[roomNo], database[building])</f>
        <v>Building 10</v>
      </c>
      <c r="N86" s="56" t="str">
        <f t="array" ref="N86">_xlfn.XLOOKUP(records_3[roomNo], database[roomNo], database[floor])</f>
        <v>Floor 1</v>
      </c>
      <c r="O86" s="50">
        <v>0.0</v>
      </c>
      <c r="P86" s="34" t="s">
        <v>265</v>
      </c>
      <c r="Q86" s="80"/>
      <c r="R86" s="33"/>
      <c r="S86" s="33"/>
      <c r="T86" s="43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</row>
    <row r="87" ht="22.5" customHeight="1">
      <c r="A87" s="27">
        <v>46040.0</v>
      </c>
      <c r="B87" s="39" t="s">
        <v>717</v>
      </c>
      <c r="C87" s="140"/>
      <c r="D87" s="36" t="s">
        <v>213</v>
      </c>
      <c r="E87" s="34" t="s">
        <v>513</v>
      </c>
      <c r="F87" s="34" t="s">
        <v>718</v>
      </c>
      <c r="G87" s="34" t="s">
        <v>690</v>
      </c>
      <c r="H87" s="34" t="s">
        <v>618</v>
      </c>
      <c r="I87" s="34" t="s">
        <v>263</v>
      </c>
      <c r="J87" s="34" t="s">
        <v>264</v>
      </c>
      <c r="K87" s="48">
        <v>46267.0</v>
      </c>
      <c r="L87" s="54" t="str">
        <f t="array" ref="L87">_xlfn.XLOOKUP(records_3[roomNo], database[roomNo], database[roomName])</f>
        <v>CORRIDOR</v>
      </c>
      <c r="M87" s="56" t="str">
        <f t="array" ref="M87">_xlfn.XLOOKUP(records_3[roomNo], database[roomNo], database[building])</f>
        <v>Building 10</v>
      </c>
      <c r="N87" s="56" t="str">
        <f t="array" ref="N87">_xlfn.XLOOKUP(records_3[roomNo], database[roomNo], database[floor])</f>
        <v>Floor 1</v>
      </c>
      <c r="O87" s="50">
        <v>2.0</v>
      </c>
      <c r="P87" s="34" t="s">
        <v>265</v>
      </c>
      <c r="Q87" s="80"/>
      <c r="R87" s="33"/>
      <c r="S87" s="33"/>
      <c r="T87" s="43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</row>
    <row r="88" ht="22.5" customHeight="1">
      <c r="A88" s="27">
        <v>46040.0</v>
      </c>
      <c r="B88" s="178" t="s">
        <v>721</v>
      </c>
      <c r="C88" s="140"/>
      <c r="D88" s="36" t="s">
        <v>213</v>
      </c>
      <c r="E88" s="34" t="s">
        <v>445</v>
      </c>
      <c r="F88" s="34" t="s">
        <v>722</v>
      </c>
      <c r="G88" s="34" t="s">
        <v>723</v>
      </c>
      <c r="H88" s="34" t="s">
        <v>724</v>
      </c>
      <c r="I88" s="34" t="s">
        <v>263</v>
      </c>
      <c r="J88" s="34" t="s">
        <v>264</v>
      </c>
      <c r="K88" s="48">
        <v>46267.0</v>
      </c>
      <c r="L88" s="54" t="str">
        <f t="array" ref="L88">_xlfn.XLOOKUP(records_3[roomNo], database[roomNo], database[roomName])</f>
        <v>CHANGE PARTS STORAGE</v>
      </c>
      <c r="M88" s="56" t="str">
        <f t="array" ref="M88">_xlfn.XLOOKUP(records_3[roomNo], database[roomNo], database[building])</f>
        <v>Building 10</v>
      </c>
      <c r="N88" s="56" t="str">
        <f t="array" ref="N88">_xlfn.XLOOKUP(records_3[roomNo], database[roomNo], database[floor])</f>
        <v>Floor 1</v>
      </c>
      <c r="O88" s="50">
        <v>1.0</v>
      </c>
      <c r="P88" s="34" t="s">
        <v>265</v>
      </c>
      <c r="Q88" s="80"/>
      <c r="R88" s="33"/>
      <c r="S88" s="33"/>
      <c r="T88" s="43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</row>
    <row r="89" ht="22.5" customHeight="1">
      <c r="A89" s="27">
        <v>46040.0</v>
      </c>
      <c r="B89" s="39" t="s">
        <v>726</v>
      </c>
      <c r="C89" s="140"/>
      <c r="D89" s="36" t="s">
        <v>213</v>
      </c>
      <c r="E89" s="34" t="s">
        <v>706</v>
      </c>
      <c r="F89" s="34" t="s">
        <v>389</v>
      </c>
      <c r="G89" s="34" t="s">
        <v>727</v>
      </c>
      <c r="H89" s="34" t="s">
        <v>724</v>
      </c>
      <c r="I89" s="34" t="s">
        <v>263</v>
      </c>
      <c r="J89" s="34" t="s">
        <v>264</v>
      </c>
      <c r="K89" s="48">
        <v>46267.0</v>
      </c>
      <c r="L89" s="54" t="str">
        <f t="array" ref="L89">_xlfn.XLOOKUP(records_3[roomNo], database[roomNo], database[roomName])</f>
        <v>CLEANED EQUIPMENT</v>
      </c>
      <c r="M89" s="56" t="str">
        <f t="array" ref="M89">_xlfn.XLOOKUP(records_3[roomNo], database[roomNo], database[building])</f>
        <v>Building 10</v>
      </c>
      <c r="N89" s="56" t="str">
        <f t="array" ref="N89">_xlfn.XLOOKUP(records_3[roomNo], database[roomNo], database[floor])</f>
        <v>Floor 1</v>
      </c>
      <c r="O89" s="50">
        <v>0.0</v>
      </c>
      <c r="P89" s="34" t="s">
        <v>265</v>
      </c>
      <c r="Q89" s="80"/>
      <c r="R89" s="33"/>
      <c r="S89" s="33"/>
      <c r="T89" s="43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</row>
    <row r="90" ht="22.5" customHeight="1">
      <c r="A90" s="27">
        <v>46040.0</v>
      </c>
      <c r="B90" s="39" t="s">
        <v>732</v>
      </c>
      <c r="C90" s="140"/>
      <c r="D90" s="36" t="s">
        <v>213</v>
      </c>
      <c r="E90" s="34" t="s">
        <v>733</v>
      </c>
      <c r="F90" s="34" t="s">
        <v>734</v>
      </c>
      <c r="G90" s="34" t="s">
        <v>727</v>
      </c>
      <c r="H90" s="34" t="s">
        <v>724</v>
      </c>
      <c r="I90" s="34" t="s">
        <v>263</v>
      </c>
      <c r="J90" s="34" t="s">
        <v>264</v>
      </c>
      <c r="K90" s="48">
        <v>46267.0</v>
      </c>
      <c r="L90" s="54" t="str">
        <f t="array" ref="L90">_xlfn.XLOOKUP(records_3[roomNo], database[roomNo], database[roomName])</f>
        <v>JANITOR</v>
      </c>
      <c r="M90" s="56" t="str">
        <f t="array" ref="M90">_xlfn.XLOOKUP(records_3[roomNo], database[roomNo], database[building])</f>
        <v>Building 10</v>
      </c>
      <c r="N90" s="56" t="str">
        <f t="array" ref="N90">_xlfn.XLOOKUP(records_3[roomNo], database[roomNo], database[floor])</f>
        <v>Floor 1</v>
      </c>
      <c r="O90" s="50">
        <v>0.0</v>
      </c>
      <c r="P90" s="34" t="s">
        <v>265</v>
      </c>
      <c r="Q90" s="80"/>
      <c r="R90" s="33"/>
      <c r="S90" s="33"/>
      <c r="T90" s="43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</row>
    <row r="91" ht="22.5" customHeight="1">
      <c r="A91" s="27">
        <v>46040.0</v>
      </c>
      <c r="B91" s="39" t="s">
        <v>739</v>
      </c>
      <c r="C91" s="140"/>
      <c r="D91" s="36" t="s">
        <v>213</v>
      </c>
      <c r="E91" s="34" t="s">
        <v>706</v>
      </c>
      <c r="F91" s="34" t="s">
        <v>742</v>
      </c>
      <c r="G91" s="34" t="s">
        <v>743</v>
      </c>
      <c r="H91" s="34" t="s">
        <v>713</v>
      </c>
      <c r="I91" s="34" t="s">
        <v>263</v>
      </c>
      <c r="J91" s="34" t="s">
        <v>264</v>
      </c>
      <c r="K91" s="48">
        <v>46267.0</v>
      </c>
      <c r="L91" s="54" t="str">
        <f t="array" ref="L91">_xlfn.XLOOKUP(records_3[roomNo], database[roomNo], database[roomName])</f>
        <v>WASHING</v>
      </c>
      <c r="M91" s="56" t="str">
        <f t="array" ref="M91">_xlfn.XLOOKUP(records_3[roomNo], database[roomNo], database[building])</f>
        <v>Building 10</v>
      </c>
      <c r="N91" s="56" t="str">
        <f t="array" ref="N91">_xlfn.XLOOKUP(records_3[roomNo], database[roomNo], database[floor])</f>
        <v>Floor 1</v>
      </c>
      <c r="O91" s="50">
        <v>0.0</v>
      </c>
      <c r="P91" s="34" t="s">
        <v>265</v>
      </c>
      <c r="Q91" s="80"/>
      <c r="R91" s="33"/>
      <c r="S91" s="33"/>
      <c r="T91" s="43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</row>
    <row r="92" ht="22.5" customHeight="1">
      <c r="A92" s="27">
        <v>46040.0</v>
      </c>
      <c r="B92" s="39" t="s">
        <v>747</v>
      </c>
      <c r="C92" s="140"/>
      <c r="D92" s="36" t="s">
        <v>213</v>
      </c>
      <c r="E92" s="34" t="s">
        <v>696</v>
      </c>
      <c r="F92" s="34" t="s">
        <v>382</v>
      </c>
      <c r="G92" s="34" t="s">
        <v>743</v>
      </c>
      <c r="H92" s="34" t="s">
        <v>713</v>
      </c>
      <c r="I92" s="34" t="s">
        <v>263</v>
      </c>
      <c r="J92" s="34" t="s">
        <v>264</v>
      </c>
      <c r="K92" s="48">
        <v>46267.0</v>
      </c>
      <c r="L92" s="54" t="str">
        <f t="array" ref="L92">_xlfn.XLOOKUP(records_3[roomNo], database[roomNo], database[roomName])</f>
        <v>AIRLOCK</v>
      </c>
      <c r="M92" s="56" t="str">
        <f t="array" ref="M92">_xlfn.XLOOKUP(records_3[roomNo], database[roomNo], database[building])</f>
        <v>Building 10</v>
      </c>
      <c r="N92" s="56" t="str">
        <f t="array" ref="N92">_xlfn.XLOOKUP(records_3[roomNo], database[roomNo], database[floor])</f>
        <v>Floor 1</v>
      </c>
      <c r="O92" s="50">
        <v>0.0</v>
      </c>
      <c r="P92" s="34" t="s">
        <v>265</v>
      </c>
      <c r="Q92" s="80"/>
      <c r="R92" s="33"/>
      <c r="S92" s="33"/>
      <c r="T92" s="43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</row>
    <row r="93" ht="22.5" customHeight="1">
      <c r="A93" s="27">
        <v>46040.0</v>
      </c>
      <c r="B93" s="39" t="s">
        <v>698</v>
      </c>
      <c r="C93" s="140"/>
      <c r="D93" s="36" t="s">
        <v>213</v>
      </c>
      <c r="E93" s="34" t="s">
        <v>751</v>
      </c>
      <c r="F93" s="34" t="s">
        <v>752</v>
      </c>
      <c r="G93" s="34" t="s">
        <v>743</v>
      </c>
      <c r="H93" s="34" t="s">
        <v>713</v>
      </c>
      <c r="I93" s="34" t="s">
        <v>263</v>
      </c>
      <c r="J93" s="34" t="s">
        <v>264</v>
      </c>
      <c r="K93" s="48">
        <v>46267.0</v>
      </c>
      <c r="L93" s="54" t="str">
        <f t="array" ref="L93">_xlfn.XLOOKUP(records_3[roomNo], database[roomNo], database[roomName])</f>
        <v>USED EQUIPMENT</v>
      </c>
      <c r="M93" s="56" t="str">
        <f t="array" ref="M93">_xlfn.XLOOKUP(records_3[roomNo], database[roomNo], database[building])</f>
        <v>Building 10</v>
      </c>
      <c r="N93" s="56" t="str">
        <f t="array" ref="N93">_xlfn.XLOOKUP(records_3[roomNo], database[roomNo], database[floor])</f>
        <v>Floor 1</v>
      </c>
      <c r="O93" s="50">
        <v>0.0</v>
      </c>
      <c r="P93" s="34" t="s">
        <v>265</v>
      </c>
      <c r="Q93" s="80"/>
      <c r="R93" s="33"/>
      <c r="S93" s="33"/>
      <c r="T93" s="43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</row>
    <row r="94" ht="22.5" customHeight="1">
      <c r="A94" s="27">
        <v>46040.0</v>
      </c>
      <c r="B94" s="39" t="s">
        <v>761</v>
      </c>
      <c r="C94" s="140"/>
      <c r="D94" s="36" t="s">
        <v>213</v>
      </c>
      <c r="E94" s="34" t="s">
        <v>762</v>
      </c>
      <c r="F94" s="34" t="s">
        <v>764</v>
      </c>
      <c r="G94" s="34" t="s">
        <v>658</v>
      </c>
      <c r="H94" s="34" t="s">
        <v>650</v>
      </c>
      <c r="I94" s="34" t="s">
        <v>263</v>
      </c>
      <c r="J94" s="34" t="s">
        <v>264</v>
      </c>
      <c r="K94" s="48">
        <v>46267.0</v>
      </c>
      <c r="L94" s="54" t="str">
        <f t="array" ref="L94">_xlfn.XLOOKUP(records_3[roomNo], database[roomNo], database[roomName])</f>
        <v>CORRIDOR</v>
      </c>
      <c r="M94" s="56" t="str">
        <f t="array" ref="M94">_xlfn.XLOOKUP(records_3[roomNo], database[roomNo], database[building])</f>
        <v>Building 10</v>
      </c>
      <c r="N94" s="56" t="str">
        <f t="array" ref="N94">_xlfn.XLOOKUP(records_3[roomNo], database[roomNo], database[floor])</f>
        <v>Floor 1</v>
      </c>
      <c r="O94" s="50">
        <v>0.0</v>
      </c>
      <c r="P94" s="34" t="s">
        <v>265</v>
      </c>
      <c r="Q94" s="80"/>
      <c r="R94" s="33"/>
      <c r="S94" s="33"/>
      <c r="T94" s="43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</row>
    <row r="95" ht="22.5" customHeight="1">
      <c r="A95" s="27">
        <v>46040.0</v>
      </c>
      <c r="B95" s="39" t="s">
        <v>768</v>
      </c>
      <c r="C95" s="140"/>
      <c r="D95" s="36" t="s">
        <v>213</v>
      </c>
      <c r="E95" s="34" t="s">
        <v>772</v>
      </c>
      <c r="F95" s="34" t="s">
        <v>773</v>
      </c>
      <c r="G95" s="34" t="s">
        <v>664</v>
      </c>
      <c r="H95" s="34" t="s">
        <v>336</v>
      </c>
      <c r="I95" s="34" t="s">
        <v>263</v>
      </c>
      <c r="J95" s="34" t="s">
        <v>264</v>
      </c>
      <c r="K95" s="48">
        <v>46267.0</v>
      </c>
      <c r="L95" s="54" t="str">
        <f t="array" ref="L95">_xlfn.XLOOKUP(records_3[roomNo], database[roomNo], database[roomName])</f>
        <v>BULK STAGING 3</v>
      </c>
      <c r="M95" s="56" t="str">
        <f t="array" ref="M95">_xlfn.XLOOKUP(records_3[roomNo], database[roomNo], database[building])</f>
        <v>Building 10</v>
      </c>
      <c r="N95" s="56" t="str">
        <f t="array" ref="N95">_xlfn.XLOOKUP(records_3[roomNo], database[roomNo], database[floor])</f>
        <v>Floor 1</v>
      </c>
      <c r="O95" s="50">
        <v>0.0</v>
      </c>
      <c r="P95" s="34" t="s">
        <v>265</v>
      </c>
      <c r="Q95" s="80"/>
      <c r="R95" s="33"/>
      <c r="S95" s="33"/>
      <c r="T95" s="43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</row>
    <row r="96" ht="22.5" customHeight="1">
      <c r="A96" s="27">
        <v>46040.0</v>
      </c>
      <c r="B96" s="39" t="s">
        <v>433</v>
      </c>
      <c r="C96" s="140"/>
      <c r="D96" s="36" t="s">
        <v>213</v>
      </c>
      <c r="E96" s="34" t="s">
        <v>194</v>
      </c>
      <c r="F96" s="34" t="s">
        <v>194</v>
      </c>
      <c r="G96" s="34" t="s">
        <v>332</v>
      </c>
      <c r="H96" s="34" t="s">
        <v>778</v>
      </c>
      <c r="I96" s="34" t="s">
        <v>263</v>
      </c>
      <c r="J96" s="34" t="s">
        <v>264</v>
      </c>
      <c r="K96" s="48">
        <v>46267.0</v>
      </c>
      <c r="L96" s="54" t="str">
        <f t="array" ref="L96">_xlfn.XLOOKUP(records_3[roomNo], database[roomNo], database[roomName])</f>
        <v>TABLETS INSPECTION 1 (LOW RH) (TABLET INSPECTIONMACHINE)</v>
      </c>
      <c r="M96" s="56" t="str">
        <f t="array" ref="M96">_xlfn.XLOOKUP(records_3[roomNo], database[roomNo], database[building])</f>
        <v>Building 10</v>
      </c>
      <c r="N96" s="56" t="str">
        <f t="array" ref="N96">_xlfn.XLOOKUP(records_3[roomNo], database[roomNo], database[floor])</f>
        <v>Floor 1</v>
      </c>
      <c r="O96" s="50">
        <v>0.0</v>
      </c>
      <c r="P96" s="34" t="s">
        <v>265</v>
      </c>
      <c r="Q96" s="80"/>
      <c r="R96" s="33"/>
      <c r="S96" s="33"/>
      <c r="T96" s="43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</row>
    <row r="97" ht="22.5" customHeight="1">
      <c r="A97" s="27">
        <v>46040.0</v>
      </c>
      <c r="B97" s="39" t="s">
        <v>422</v>
      </c>
      <c r="C97" s="140"/>
      <c r="D97" s="36" t="s">
        <v>213</v>
      </c>
      <c r="E97" s="34" t="s">
        <v>784</v>
      </c>
      <c r="F97" s="34" t="s">
        <v>742</v>
      </c>
      <c r="G97" s="34" t="s">
        <v>785</v>
      </c>
      <c r="H97" s="34" t="s">
        <v>778</v>
      </c>
      <c r="I97" s="34" t="s">
        <v>263</v>
      </c>
      <c r="J97" s="34" t="s">
        <v>264</v>
      </c>
      <c r="K97" s="48">
        <v>46267.0</v>
      </c>
      <c r="L97" s="54" t="str">
        <f t="array" ref="L97">_xlfn.XLOOKUP(records_3[roomNo], database[roomNo], database[roomName])</f>
        <v>TABLETS INSPECTION 2 (TABLET INSPECTION MACHINE)</v>
      </c>
      <c r="M97" s="56" t="str">
        <f t="array" ref="M97">_xlfn.XLOOKUP(records_3[roomNo], database[roomNo], database[building])</f>
        <v>Building 10</v>
      </c>
      <c r="N97" s="56" t="str">
        <f t="array" ref="N97">_xlfn.XLOOKUP(records_3[roomNo], database[roomNo], database[floor])</f>
        <v>Floor 1</v>
      </c>
      <c r="O97" s="50">
        <v>0.0</v>
      </c>
      <c r="P97" s="34" t="s">
        <v>265</v>
      </c>
      <c r="Q97" s="80"/>
      <c r="R97" s="33"/>
      <c r="S97" s="33"/>
      <c r="T97" s="43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</row>
    <row r="98" ht="22.5" customHeight="1">
      <c r="A98" s="27">
        <v>46040.0</v>
      </c>
      <c r="B98" s="39" t="s">
        <v>794</v>
      </c>
      <c r="C98" s="140"/>
      <c r="D98" s="36" t="s">
        <v>213</v>
      </c>
      <c r="E98" s="34" t="s">
        <v>359</v>
      </c>
      <c r="F98" s="34" t="s">
        <v>742</v>
      </c>
      <c r="G98" s="34" t="s">
        <v>332</v>
      </c>
      <c r="H98" s="34" t="s">
        <v>778</v>
      </c>
      <c r="I98" s="34" t="s">
        <v>263</v>
      </c>
      <c r="J98" s="34" t="s">
        <v>264</v>
      </c>
      <c r="K98" s="48">
        <v>46267.0</v>
      </c>
      <c r="L98" s="54" t="str">
        <f t="array" ref="L98">_xlfn.XLOOKUP(records_3[roomNo], database[roomNo], database[roomName])</f>
        <v>AIR LOCK</v>
      </c>
      <c r="M98" s="56" t="str">
        <f t="array" ref="M98">_xlfn.XLOOKUP(records_3[roomNo], database[roomNo], database[building])</f>
        <v>Building 10</v>
      </c>
      <c r="N98" s="56" t="str">
        <f t="array" ref="N98">_xlfn.XLOOKUP(records_3[roomNo], database[roomNo], database[floor])</f>
        <v>Floor 1</v>
      </c>
      <c r="O98" s="50">
        <v>0.0</v>
      </c>
      <c r="P98" s="34" t="s">
        <v>265</v>
      </c>
      <c r="Q98" s="80"/>
      <c r="R98" s="33"/>
      <c r="S98" s="33"/>
      <c r="T98" s="43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</row>
    <row r="99" ht="22.5" customHeight="1">
      <c r="A99" s="27">
        <v>46040.0</v>
      </c>
      <c r="B99" s="39" t="s">
        <v>801</v>
      </c>
      <c r="C99" s="140"/>
      <c r="D99" s="36" t="s">
        <v>213</v>
      </c>
      <c r="E99" s="34" t="s">
        <v>751</v>
      </c>
      <c r="F99" s="34" t="s">
        <v>803</v>
      </c>
      <c r="G99" s="34" t="s">
        <v>785</v>
      </c>
      <c r="H99" s="34" t="s">
        <v>778</v>
      </c>
      <c r="I99" s="34" t="s">
        <v>263</v>
      </c>
      <c r="J99" s="34" t="s">
        <v>264</v>
      </c>
      <c r="K99" s="48">
        <v>46267.0</v>
      </c>
      <c r="L99" s="54" t="str">
        <f t="array" ref="L99">_xlfn.XLOOKUP(records_3[roomNo], database[roomNo], database[roomName])</f>
        <v>AIR LOCK</v>
      </c>
      <c r="M99" s="56" t="str">
        <f t="array" ref="M99">_xlfn.XLOOKUP(records_3[roomNo], database[roomNo], database[building])</f>
        <v>Building 10</v>
      </c>
      <c r="N99" s="56" t="str">
        <f t="array" ref="N99">_xlfn.XLOOKUP(records_3[roomNo], database[roomNo], database[floor])</f>
        <v>Floor 1</v>
      </c>
      <c r="O99" s="50">
        <v>0.0</v>
      </c>
      <c r="P99" s="34" t="s">
        <v>265</v>
      </c>
      <c r="Q99" s="80"/>
      <c r="R99" s="33"/>
      <c r="S99" s="33"/>
      <c r="T99" s="43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</row>
    <row r="100" ht="22.5" customHeight="1">
      <c r="A100" s="27">
        <v>46040.0</v>
      </c>
      <c r="B100" s="39" t="s">
        <v>808</v>
      </c>
      <c r="C100" s="140"/>
      <c r="D100" s="36" t="s">
        <v>213</v>
      </c>
      <c r="E100" s="34" t="s">
        <v>386</v>
      </c>
      <c r="F100" s="34" t="s">
        <v>810</v>
      </c>
      <c r="G100" s="34" t="s">
        <v>677</v>
      </c>
      <c r="H100" s="34" t="s">
        <v>811</v>
      </c>
      <c r="I100" s="34" t="s">
        <v>263</v>
      </c>
      <c r="J100" s="34" t="s">
        <v>264</v>
      </c>
      <c r="K100" s="48">
        <v>46267.0</v>
      </c>
      <c r="L100" s="54" t="str">
        <f t="array" ref="L100">_xlfn.XLOOKUP(records_3[roomNo], database[roomNo], database[roomName])</f>
        <v>PPM STAGNG</v>
      </c>
      <c r="M100" s="56" t="str">
        <f t="array" ref="M100">_xlfn.XLOOKUP(records_3[roomNo], database[roomNo], database[building])</f>
        <v>Building 10</v>
      </c>
      <c r="N100" s="56" t="str">
        <f t="array" ref="N100">_xlfn.XLOOKUP(records_3[roomNo], database[roomNo], database[floor])</f>
        <v>Floor 1</v>
      </c>
      <c r="O100" s="50">
        <v>0.0</v>
      </c>
      <c r="P100" s="34" t="s">
        <v>265</v>
      </c>
      <c r="Q100" s="80"/>
      <c r="R100" s="33"/>
      <c r="S100" s="33"/>
      <c r="T100" s="43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</row>
    <row r="101" ht="22.5" customHeight="1">
      <c r="A101" s="27">
        <v>46040.0</v>
      </c>
      <c r="B101" s="39" t="s">
        <v>720</v>
      </c>
      <c r="C101" s="140"/>
      <c r="D101" s="36" t="s">
        <v>213</v>
      </c>
      <c r="E101" s="34" t="s">
        <v>706</v>
      </c>
      <c r="F101" s="34" t="s">
        <v>819</v>
      </c>
      <c r="G101" s="34" t="s">
        <v>820</v>
      </c>
      <c r="H101" s="34" t="s">
        <v>811</v>
      </c>
      <c r="I101" s="34" t="s">
        <v>263</v>
      </c>
      <c r="J101" s="34" t="s">
        <v>264</v>
      </c>
      <c r="K101" s="48">
        <v>46267.0</v>
      </c>
      <c r="L101" s="54" t="str">
        <f t="array" ref="L101">_xlfn.XLOOKUP(records_3[roomNo], database[roomNo], database[roomName])</f>
        <v>BOTTLE CLEANING (BOTTLE CLEANING MACHINE)</v>
      </c>
      <c r="M101" s="56" t="str">
        <f t="array" ref="M101">_xlfn.XLOOKUP(records_3[roomNo], database[roomNo], database[building])</f>
        <v>Building 10</v>
      </c>
      <c r="N101" s="56" t="str">
        <f t="array" ref="N101">_xlfn.XLOOKUP(records_3[roomNo], database[roomNo], database[floor])</f>
        <v>Floor 1</v>
      </c>
      <c r="O101" s="50">
        <v>0.0</v>
      </c>
      <c r="P101" s="34" t="s">
        <v>265</v>
      </c>
      <c r="Q101" s="80"/>
      <c r="R101" s="33"/>
      <c r="S101" s="33"/>
      <c r="T101" s="43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</row>
    <row r="102" ht="22.5" customHeight="1">
      <c r="A102" s="27">
        <v>46040.0</v>
      </c>
      <c r="B102" s="39" t="s">
        <v>824</v>
      </c>
      <c r="C102" s="140"/>
      <c r="D102" s="36" t="s">
        <v>213</v>
      </c>
      <c r="E102" s="34" t="s">
        <v>751</v>
      </c>
      <c r="F102" s="34" t="s">
        <v>575</v>
      </c>
      <c r="G102" s="34" t="s">
        <v>820</v>
      </c>
      <c r="H102" s="34" t="s">
        <v>811</v>
      </c>
      <c r="I102" s="34" t="s">
        <v>263</v>
      </c>
      <c r="J102" s="34" t="s">
        <v>264</v>
      </c>
      <c r="K102" s="48">
        <v>46267.0</v>
      </c>
      <c r="L102" s="54" t="str">
        <f t="array" ref="L102">_xlfn.XLOOKUP(records_3[roomNo], database[roomNo], database[roomName])</f>
        <v>MAL</v>
      </c>
      <c r="M102" s="56" t="str">
        <f t="array" ref="M102">_xlfn.XLOOKUP(records_3[roomNo], database[roomNo], database[building])</f>
        <v>Building 10</v>
      </c>
      <c r="N102" s="56" t="str">
        <f t="array" ref="N102">_xlfn.XLOOKUP(records_3[roomNo], database[roomNo], database[floor])</f>
        <v>Floor 1</v>
      </c>
      <c r="O102" s="50">
        <v>0.0</v>
      </c>
      <c r="P102" s="34" t="s">
        <v>265</v>
      </c>
      <c r="Q102" s="80"/>
      <c r="R102" s="33"/>
      <c r="S102" s="33"/>
      <c r="T102" s="43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</row>
    <row r="103" ht="22.5" customHeight="1">
      <c r="A103" s="27">
        <v>46040.0</v>
      </c>
      <c r="B103" s="39" t="s">
        <v>828</v>
      </c>
      <c r="C103" s="140"/>
      <c r="D103" s="36" t="s">
        <v>213</v>
      </c>
      <c r="E103" s="34" t="s">
        <v>700</v>
      </c>
      <c r="F103" s="34" t="s">
        <v>682</v>
      </c>
      <c r="G103" s="34" t="s">
        <v>829</v>
      </c>
      <c r="H103" s="34" t="s">
        <v>399</v>
      </c>
      <c r="I103" s="34" t="s">
        <v>263</v>
      </c>
      <c r="J103" s="34" t="s">
        <v>264</v>
      </c>
      <c r="K103" s="48">
        <v>46267.0</v>
      </c>
      <c r="L103" s="54" t="str">
        <f t="array" ref="L103">_xlfn.XLOOKUP(records_3[roomNo], database[roomNo], database[roomName])</f>
        <v>CORRIDOR</v>
      </c>
      <c r="M103" s="56" t="str">
        <f t="array" ref="M103">_xlfn.XLOOKUP(records_3[roomNo], database[roomNo], database[building])</f>
        <v>Building 10</v>
      </c>
      <c r="N103" s="56" t="str">
        <f t="array" ref="N103">_xlfn.XLOOKUP(records_3[roomNo], database[roomNo], database[floor])</f>
        <v>Floor 1</v>
      </c>
      <c r="O103" s="50">
        <v>1.0</v>
      </c>
      <c r="P103" s="34" t="s">
        <v>265</v>
      </c>
      <c r="Q103" s="39" t="s">
        <v>830</v>
      </c>
      <c r="R103" s="33"/>
      <c r="S103" s="33"/>
      <c r="T103" s="43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</row>
    <row r="104" ht="22.5" customHeight="1">
      <c r="A104" s="68">
        <v>46042.0</v>
      </c>
      <c r="B104" s="72" t="s">
        <v>1761</v>
      </c>
      <c r="C104" s="168"/>
      <c r="D104" s="71" t="s">
        <v>1899</v>
      </c>
      <c r="E104" s="70" t="s">
        <v>194</v>
      </c>
      <c r="F104" s="70" t="s">
        <v>194</v>
      </c>
      <c r="G104" s="70" t="s">
        <v>194</v>
      </c>
      <c r="H104" s="70" t="s">
        <v>194</v>
      </c>
      <c r="I104" s="70" t="s">
        <v>263</v>
      </c>
      <c r="J104" s="70" t="s">
        <v>264</v>
      </c>
      <c r="K104" s="73">
        <v>46267.0</v>
      </c>
      <c r="L104" s="77" t="str">
        <f t="array" ref="L104">_xlfn.XLOOKUP(records_3[roomNo], database[roomNo], database[roomName])</f>
        <v>Technical Area</v>
      </c>
      <c r="M104" s="81" t="str">
        <f t="array" ref="M104">_xlfn.XLOOKUP(records_3[roomNo], database[roomNo], database[building])</f>
        <v>Building 11</v>
      </c>
      <c r="N104" s="81" t="str">
        <f t="array" ref="N104">_xlfn.XLOOKUP(records_3[roomNo], database[roomNo], database[floor])</f>
        <v>Floor 2</v>
      </c>
      <c r="O104" s="74">
        <v>0.0</v>
      </c>
      <c r="P104" s="70" t="s">
        <v>1032</v>
      </c>
      <c r="Q104" s="97"/>
      <c r="R104" s="33"/>
      <c r="S104" s="33"/>
      <c r="T104" s="43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</row>
    <row r="105" ht="22.5" customHeight="1">
      <c r="A105" s="68">
        <v>46051.0</v>
      </c>
      <c r="B105" s="72" t="s">
        <v>945</v>
      </c>
      <c r="C105" s="168"/>
      <c r="D105" s="71" t="s">
        <v>1899</v>
      </c>
      <c r="E105" s="70" t="s">
        <v>484</v>
      </c>
      <c r="F105" s="70" t="s">
        <v>563</v>
      </c>
      <c r="G105" s="70" t="s">
        <v>1033</v>
      </c>
      <c r="H105" s="70" t="s">
        <v>194</v>
      </c>
      <c r="I105" s="70" t="s">
        <v>263</v>
      </c>
      <c r="J105" s="70" t="s">
        <v>264</v>
      </c>
      <c r="K105" s="73">
        <v>46267.0</v>
      </c>
      <c r="L105" s="77" t="str">
        <f t="array" ref="L105">_xlfn.XLOOKUP(records_3[roomNo], database[roomNo], database[roomName])</f>
        <v>SOLVENTS UNLOADING</v>
      </c>
      <c r="M105" s="81" t="str">
        <f t="array" ref="M105">_xlfn.XLOOKUP(records_3[roomNo], database[roomNo], database[building])</f>
        <v>Building 12</v>
      </c>
      <c r="N105" s="81" t="str">
        <f t="array" ref="N105">_xlfn.XLOOKUP(records_3[roomNo], database[roomNo], database[floor])</f>
        <v>Floor 1</v>
      </c>
      <c r="O105" s="74">
        <v>0.0</v>
      </c>
      <c r="P105" s="70" t="s">
        <v>1034</v>
      </c>
      <c r="Q105" s="80"/>
      <c r="R105" s="33"/>
      <c r="S105" s="33"/>
      <c r="T105" s="43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</row>
    <row r="106" ht="22.5" customHeight="1">
      <c r="A106" s="27">
        <v>46051.0</v>
      </c>
      <c r="B106" s="39" t="s">
        <v>321</v>
      </c>
      <c r="C106" s="140"/>
      <c r="D106" s="36" t="s">
        <v>1899</v>
      </c>
      <c r="E106" s="34" t="s">
        <v>344</v>
      </c>
      <c r="F106" s="34" t="s">
        <v>1035</v>
      </c>
      <c r="G106" s="34" t="s">
        <v>1036</v>
      </c>
      <c r="H106" s="34" t="s">
        <v>194</v>
      </c>
      <c r="I106" s="34" t="s">
        <v>263</v>
      </c>
      <c r="J106" s="34" t="s">
        <v>264</v>
      </c>
      <c r="K106" s="48">
        <v>46267.0</v>
      </c>
      <c r="L106" s="54" t="str">
        <f t="array" ref="L106">_xlfn.XLOOKUP(records_3[roomNo], database[roomNo], database[roomName])</f>
        <v>LIQUORICE EXTRACT (UTILITY SKID ADAM)</v>
      </c>
      <c r="M106" s="56" t="str">
        <f t="array" ref="M106">_xlfn.XLOOKUP(records_3[roomNo], database[roomNo], database[building])</f>
        <v>Building 12</v>
      </c>
      <c r="N106" s="56" t="str">
        <f t="array" ref="N106">_xlfn.XLOOKUP(records_3[roomNo], database[roomNo], database[floor])</f>
        <v>Floor 2</v>
      </c>
      <c r="O106" s="50">
        <v>0.0</v>
      </c>
      <c r="P106" s="34" t="s">
        <v>1034</v>
      </c>
      <c r="Q106" s="80"/>
      <c r="R106" s="33"/>
      <c r="S106" s="33"/>
      <c r="T106" s="43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</row>
    <row r="107" ht="22.5" customHeight="1">
      <c r="A107" s="27">
        <v>46051.0</v>
      </c>
      <c r="B107" s="39" t="s">
        <v>1024</v>
      </c>
      <c r="C107" s="140"/>
      <c r="D107" s="36" t="s">
        <v>1021</v>
      </c>
      <c r="E107" s="34" t="s">
        <v>194</v>
      </c>
      <c r="F107" s="34" t="s">
        <v>194</v>
      </c>
      <c r="G107" s="34" t="s">
        <v>369</v>
      </c>
      <c r="H107" s="34" t="s">
        <v>194</v>
      </c>
      <c r="I107" s="34" t="s">
        <v>263</v>
      </c>
      <c r="J107" s="34" t="s">
        <v>264</v>
      </c>
      <c r="K107" s="48">
        <v>46267.0</v>
      </c>
      <c r="L107" s="54" t="str">
        <f t="array" ref="L107">_xlfn.XLOOKUP(records_3[roomNo], database[roomNo], database[roomName])</f>
        <v>DISINFECT PREPARATION</v>
      </c>
      <c r="M107" s="56" t="str">
        <f t="array" ref="M107">_xlfn.XLOOKUP(records_3[roomNo], database[roomNo], database[building])</f>
        <v>Building 16</v>
      </c>
      <c r="N107" s="56" t="str">
        <f t="array" ref="N107">_xlfn.XLOOKUP(records_3[roomNo], database[roomNo], database[floor])</f>
        <v>Floor 1</v>
      </c>
      <c r="O107" s="50">
        <v>0.0</v>
      </c>
      <c r="P107" s="34" t="s">
        <v>1039</v>
      </c>
      <c r="Q107" s="80"/>
      <c r="R107" s="33"/>
      <c r="S107" s="33"/>
      <c r="T107" s="43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</row>
    <row r="108" ht="22.5" customHeight="1">
      <c r="A108" s="68">
        <v>46057.0</v>
      </c>
      <c r="B108" s="72" t="s">
        <v>207</v>
      </c>
      <c r="C108" s="168"/>
      <c r="D108" s="71" t="s">
        <v>213</v>
      </c>
      <c r="E108" s="70" t="s">
        <v>326</v>
      </c>
      <c r="F108" s="70" t="s">
        <v>834</v>
      </c>
      <c r="G108" s="70" t="s">
        <v>835</v>
      </c>
      <c r="H108" s="70" t="s">
        <v>836</v>
      </c>
      <c r="I108" s="70" t="s">
        <v>837</v>
      </c>
      <c r="J108" s="70" t="s">
        <v>838</v>
      </c>
      <c r="K108" s="73">
        <v>46082.0</v>
      </c>
      <c r="L108" s="77" t="str">
        <f t="array" ref="L108">_xlfn.XLOOKUP(records_3[roomNo], database[roomNo], database[roomName])</f>
        <v>PROCESS CHANGE</v>
      </c>
      <c r="M108" s="81" t="str">
        <f t="array" ref="M108">_xlfn.XLOOKUP(records_3[roomNo], database[roomNo], database[building])</f>
        <v>Building 12</v>
      </c>
      <c r="N108" s="81" t="str">
        <f t="array" ref="N108">_xlfn.XLOOKUP(records_3[roomNo], database[roomNo], database[floor])</f>
        <v>Floor 2</v>
      </c>
      <c r="O108" s="74">
        <v>9.0</v>
      </c>
      <c r="P108" s="70" t="s">
        <v>839</v>
      </c>
      <c r="Q108" s="80"/>
      <c r="R108" s="33"/>
      <c r="S108" s="33"/>
      <c r="T108" s="43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</row>
    <row r="109" ht="22.5" customHeight="1">
      <c r="A109" s="27">
        <v>46057.0</v>
      </c>
      <c r="B109" s="39" t="s">
        <v>277</v>
      </c>
      <c r="C109" s="140"/>
      <c r="D109" s="36" t="s">
        <v>213</v>
      </c>
      <c r="E109" s="34" t="s">
        <v>377</v>
      </c>
      <c r="F109" s="34" t="s">
        <v>846</v>
      </c>
      <c r="G109" s="34" t="s">
        <v>847</v>
      </c>
      <c r="H109" s="34" t="s">
        <v>836</v>
      </c>
      <c r="I109" s="34" t="s">
        <v>837</v>
      </c>
      <c r="J109" s="34" t="s">
        <v>838</v>
      </c>
      <c r="K109" s="48">
        <v>46082.0</v>
      </c>
      <c r="L109" s="54" t="str">
        <f t="array" ref="L109">_xlfn.XLOOKUP(records_3[roomNo], database[roomNo], database[roomName])</f>
        <v>CORRIDOR</v>
      </c>
      <c r="M109" s="56" t="str">
        <f t="array" ref="M109">_xlfn.XLOOKUP(records_3[roomNo], database[roomNo], database[building])</f>
        <v>Building 12</v>
      </c>
      <c r="N109" s="56" t="str">
        <f t="array" ref="N109">_xlfn.XLOOKUP(records_3[roomNo], database[roomNo], database[floor])</f>
        <v>Floor 2</v>
      </c>
      <c r="O109" s="50">
        <v>1.0</v>
      </c>
      <c r="P109" s="34" t="s">
        <v>839</v>
      </c>
      <c r="Q109" s="80"/>
      <c r="R109" s="33"/>
      <c r="S109" s="33"/>
      <c r="T109" s="43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</row>
    <row r="110" ht="22.5" customHeight="1">
      <c r="A110" s="27">
        <v>46057.0</v>
      </c>
      <c r="B110" s="39" t="s">
        <v>302</v>
      </c>
      <c r="C110" s="140"/>
      <c r="D110" s="36" t="s">
        <v>213</v>
      </c>
      <c r="E110" s="34" t="s">
        <v>381</v>
      </c>
      <c r="F110" s="34" t="s">
        <v>773</v>
      </c>
      <c r="G110" s="34" t="s">
        <v>866</v>
      </c>
      <c r="H110" s="34" t="s">
        <v>867</v>
      </c>
      <c r="I110" s="34" t="s">
        <v>837</v>
      </c>
      <c r="J110" s="34" t="s">
        <v>838</v>
      </c>
      <c r="K110" s="48">
        <v>46082.0</v>
      </c>
      <c r="L110" s="54" t="str">
        <f t="array" ref="L110">_xlfn.XLOOKUP(records_3[roomNo], database[roomNo], database[roomName])</f>
        <v>AIRLOCK</v>
      </c>
      <c r="M110" s="56" t="str">
        <f t="array" ref="M110">_xlfn.XLOOKUP(records_3[roomNo], database[roomNo], database[building])</f>
        <v>Building 12</v>
      </c>
      <c r="N110" s="56" t="str">
        <f t="array" ref="N110">_xlfn.XLOOKUP(records_3[roomNo], database[roomNo], database[floor])</f>
        <v>Floor 2</v>
      </c>
      <c r="O110" s="50">
        <v>0.0</v>
      </c>
      <c r="P110" s="34" t="s">
        <v>839</v>
      </c>
      <c r="Q110" s="80"/>
      <c r="R110" s="33"/>
      <c r="S110" s="33"/>
      <c r="T110" s="43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</row>
    <row r="111" ht="22.5" customHeight="1">
      <c r="A111" s="27">
        <v>46057.0</v>
      </c>
      <c r="B111" s="39" t="s">
        <v>321</v>
      </c>
      <c r="C111" s="140"/>
      <c r="D111" s="36" t="s">
        <v>213</v>
      </c>
      <c r="E111" s="34" t="s">
        <v>317</v>
      </c>
      <c r="F111" s="34" t="s">
        <v>707</v>
      </c>
      <c r="G111" s="34" t="s">
        <v>847</v>
      </c>
      <c r="H111" s="34" t="s">
        <v>836</v>
      </c>
      <c r="I111" s="34" t="s">
        <v>837</v>
      </c>
      <c r="J111" s="34" t="s">
        <v>838</v>
      </c>
      <c r="K111" s="48">
        <v>46082.0</v>
      </c>
      <c r="L111" s="54" t="str">
        <f t="array" ref="L111">_xlfn.XLOOKUP(records_3[roomNo], database[roomNo], database[roomName])</f>
        <v>LIQUORICE EXTRACT (UTILITY SKID ADAM)</v>
      </c>
      <c r="M111" s="56" t="str">
        <f t="array" ref="M111">_xlfn.XLOOKUP(records_3[roomNo], database[roomNo], database[building])</f>
        <v>Building 12</v>
      </c>
      <c r="N111" s="56" t="str">
        <f t="array" ref="N111">_xlfn.XLOOKUP(records_3[roomNo], database[roomNo], database[floor])</f>
        <v>Floor 2</v>
      </c>
      <c r="O111" s="50">
        <v>0.0</v>
      </c>
      <c r="P111" s="34" t="s">
        <v>839</v>
      </c>
      <c r="Q111" s="80"/>
      <c r="R111" s="33"/>
      <c r="S111" s="33"/>
      <c r="T111" s="43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</row>
    <row r="112" ht="22.5" customHeight="1">
      <c r="A112" s="27">
        <v>46057.0</v>
      </c>
      <c r="B112" s="39" t="s">
        <v>337</v>
      </c>
      <c r="C112" s="140"/>
      <c r="D112" s="36" t="s">
        <v>213</v>
      </c>
      <c r="E112" s="34" t="s">
        <v>326</v>
      </c>
      <c r="F112" s="34" t="s">
        <v>734</v>
      </c>
      <c r="G112" s="34" t="s">
        <v>866</v>
      </c>
      <c r="H112" s="34" t="s">
        <v>867</v>
      </c>
      <c r="I112" s="34" t="s">
        <v>837</v>
      </c>
      <c r="J112" s="34" t="s">
        <v>838</v>
      </c>
      <c r="K112" s="48">
        <v>46082.0</v>
      </c>
      <c r="L112" s="54" t="str">
        <f t="array" ref="L112">_xlfn.XLOOKUP(records_3[roomNo], database[roomNo], database[roomName])</f>
        <v>SOLVENTS STORAGE (UTILITY SKID ADAM)</v>
      </c>
      <c r="M112" s="56" t="str">
        <f t="array" ref="M112">_xlfn.XLOOKUP(records_3[roomNo], database[roomNo], database[building])</f>
        <v>Building 12</v>
      </c>
      <c r="N112" s="56" t="str">
        <f t="array" ref="N112">_xlfn.XLOOKUP(records_3[roomNo], database[roomNo], database[floor])</f>
        <v>Floor 2</v>
      </c>
      <c r="O112" s="50">
        <v>1.0</v>
      </c>
      <c r="P112" s="34" t="s">
        <v>839</v>
      </c>
      <c r="Q112" s="80"/>
      <c r="R112" s="33"/>
      <c r="S112" s="33"/>
      <c r="T112" s="43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</row>
    <row r="113" ht="22.5" customHeight="1">
      <c r="A113" s="27">
        <v>46057.0</v>
      </c>
      <c r="B113" s="39" t="s">
        <v>347</v>
      </c>
      <c r="C113" s="140"/>
      <c r="D113" s="36" t="s">
        <v>213</v>
      </c>
      <c r="E113" s="34" t="s">
        <v>402</v>
      </c>
      <c r="F113" s="34" t="s">
        <v>612</v>
      </c>
      <c r="G113" s="34" t="s">
        <v>935</v>
      </c>
      <c r="H113" s="34" t="s">
        <v>936</v>
      </c>
      <c r="I113" s="34" t="s">
        <v>837</v>
      </c>
      <c r="J113" s="34" t="s">
        <v>838</v>
      </c>
      <c r="K113" s="48">
        <v>46082.0</v>
      </c>
      <c r="L113" s="54" t="str">
        <f t="array" ref="L113">_xlfn.XLOOKUP(records_3[roomNo], database[roomNo], database[roomName])</f>
        <v>CORRIDOR</v>
      </c>
      <c r="M113" s="56" t="str">
        <f t="array" ref="M113">_xlfn.XLOOKUP(records_3[roomNo], database[roomNo], database[building])</f>
        <v>Building 12</v>
      </c>
      <c r="N113" s="56" t="str">
        <f t="array" ref="N113">_xlfn.XLOOKUP(records_3[roomNo], database[roomNo], database[floor])</f>
        <v>Floor 2</v>
      </c>
      <c r="O113" s="50">
        <v>1.0</v>
      </c>
      <c r="P113" s="34" t="s">
        <v>839</v>
      </c>
      <c r="Q113" s="80"/>
      <c r="R113" s="33"/>
      <c r="S113" s="33"/>
      <c r="T113" s="43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</row>
    <row r="114" ht="22.5" customHeight="1">
      <c r="A114" s="27">
        <v>46057.0</v>
      </c>
      <c r="B114" s="39" t="s">
        <v>365</v>
      </c>
      <c r="C114" s="140"/>
      <c r="D114" s="36" t="s">
        <v>213</v>
      </c>
      <c r="E114" s="34" t="s">
        <v>578</v>
      </c>
      <c r="F114" s="34" t="s">
        <v>958</v>
      </c>
      <c r="G114" s="34" t="s">
        <v>959</v>
      </c>
      <c r="H114" s="34" t="s">
        <v>961</v>
      </c>
      <c r="I114" s="34" t="s">
        <v>837</v>
      </c>
      <c r="J114" s="34" t="s">
        <v>838</v>
      </c>
      <c r="K114" s="48">
        <v>46082.0</v>
      </c>
      <c r="L114" s="54" t="str">
        <f t="array" ref="L114">_xlfn.XLOOKUP(records_3[roomNo], database[roomNo], database[roomName])</f>
        <v>AIRLOCK</v>
      </c>
      <c r="M114" s="56" t="str">
        <f t="array" ref="M114">_xlfn.XLOOKUP(records_3[roomNo], database[roomNo], database[building])</f>
        <v>Building 12</v>
      </c>
      <c r="N114" s="56" t="str">
        <f t="array" ref="N114">_xlfn.XLOOKUP(records_3[roomNo], database[roomNo], database[floor])</f>
        <v>Floor 2</v>
      </c>
      <c r="O114" s="50">
        <v>0.0</v>
      </c>
      <c r="P114" s="34" t="s">
        <v>839</v>
      </c>
      <c r="Q114" s="80"/>
      <c r="R114" s="33"/>
      <c r="S114" s="33"/>
      <c r="T114" s="43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</row>
    <row r="115" ht="22.5" customHeight="1">
      <c r="A115" s="27">
        <v>46057.0</v>
      </c>
      <c r="B115" s="39" t="s">
        <v>379</v>
      </c>
      <c r="C115" s="140"/>
      <c r="D115" s="36" t="s">
        <v>213</v>
      </c>
      <c r="E115" s="34" t="s">
        <v>546</v>
      </c>
      <c r="F115" s="34" t="s">
        <v>980</v>
      </c>
      <c r="G115" s="34" t="s">
        <v>982</v>
      </c>
      <c r="H115" s="34" t="s">
        <v>961</v>
      </c>
      <c r="I115" s="34" t="s">
        <v>837</v>
      </c>
      <c r="J115" s="34" t="s">
        <v>838</v>
      </c>
      <c r="K115" s="48">
        <v>46082.0</v>
      </c>
      <c r="L115" s="54" t="str">
        <f t="array" ref="L115">_xlfn.XLOOKUP(records_3[roomNo], database[roomNo], database[roomName])</f>
        <v>ALCOHOL STORAGE (UTILITY SKID ADAM)</v>
      </c>
      <c r="M115" s="56" t="str">
        <f t="array" ref="M115">_xlfn.XLOOKUP(records_3[roomNo], database[roomNo], database[building])</f>
        <v>Building 12</v>
      </c>
      <c r="N115" s="56" t="str">
        <f t="array" ref="N115">_xlfn.XLOOKUP(records_3[roomNo], database[roomNo], database[floor])</f>
        <v>Floor 2</v>
      </c>
      <c r="O115" s="50">
        <v>0.0</v>
      </c>
      <c r="P115" s="34" t="s">
        <v>839</v>
      </c>
      <c r="Q115" s="80"/>
      <c r="R115" s="33"/>
      <c r="S115" s="33"/>
      <c r="T115" s="43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</row>
    <row r="116" ht="22.5" customHeight="1">
      <c r="A116" s="27">
        <v>46057.0</v>
      </c>
      <c r="B116" s="39" t="s">
        <v>391</v>
      </c>
      <c r="C116" s="140"/>
      <c r="D116" s="36" t="s">
        <v>213</v>
      </c>
      <c r="E116" s="34" t="s">
        <v>292</v>
      </c>
      <c r="F116" s="34" t="s">
        <v>1005</v>
      </c>
      <c r="G116" s="34" t="s">
        <v>1006</v>
      </c>
      <c r="H116" s="34" t="s">
        <v>936</v>
      </c>
      <c r="I116" s="34" t="s">
        <v>837</v>
      </c>
      <c r="J116" s="34" t="s">
        <v>838</v>
      </c>
      <c r="K116" s="48">
        <v>46082.0</v>
      </c>
      <c r="L116" s="54" t="str">
        <f t="array" ref="L116">_xlfn.XLOOKUP(records_3[roomNo], database[roomNo], database[roomName])</f>
        <v>AIRLOCK</v>
      </c>
      <c r="M116" s="56" t="str">
        <f t="array" ref="M116">_xlfn.XLOOKUP(records_3[roomNo], database[roomNo], database[building])</f>
        <v>Building 12</v>
      </c>
      <c r="N116" s="56" t="str">
        <f t="array" ref="N116">_xlfn.XLOOKUP(records_3[roomNo], database[roomNo], database[floor])</f>
        <v>Floor 2</v>
      </c>
      <c r="O116" s="50">
        <v>0.0</v>
      </c>
      <c r="P116" s="34" t="s">
        <v>839</v>
      </c>
      <c r="Q116" s="80"/>
      <c r="R116" s="33"/>
      <c r="S116" s="33"/>
      <c r="T116" s="43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</row>
    <row r="117" ht="22.5" customHeight="1">
      <c r="A117" s="27">
        <v>46057.0</v>
      </c>
      <c r="B117" s="39" t="s">
        <v>404</v>
      </c>
      <c r="C117" s="140"/>
      <c r="D117" s="36" t="s">
        <v>213</v>
      </c>
      <c r="E117" s="34" t="s">
        <v>326</v>
      </c>
      <c r="F117" s="34" t="s">
        <v>1031</v>
      </c>
      <c r="G117" s="34" t="s">
        <v>1006</v>
      </c>
      <c r="H117" s="34" t="s">
        <v>936</v>
      </c>
      <c r="I117" s="34" t="s">
        <v>837</v>
      </c>
      <c r="J117" s="34" t="s">
        <v>838</v>
      </c>
      <c r="K117" s="48">
        <v>46082.0</v>
      </c>
      <c r="L117" s="54" t="str">
        <f t="array" ref="L117">_xlfn.XLOOKUP(records_3[roomNo], database[roomNo], database[roomName])</f>
        <v>OPIUM TINCTURE (UTILITY TINCTURE)</v>
      </c>
      <c r="M117" s="56" t="str">
        <f t="array" ref="M117">_xlfn.XLOOKUP(records_3[roomNo], database[roomNo], database[building])</f>
        <v>Building 12</v>
      </c>
      <c r="N117" s="56" t="str">
        <f t="array" ref="N117">_xlfn.XLOOKUP(records_3[roomNo], database[roomNo], database[floor])</f>
        <v>Floor 2</v>
      </c>
      <c r="O117" s="50">
        <v>1.0</v>
      </c>
      <c r="P117" s="34" t="s">
        <v>839</v>
      </c>
      <c r="Q117" s="80"/>
      <c r="R117" s="33"/>
      <c r="S117" s="33"/>
      <c r="T117" s="43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</row>
    <row r="118" ht="22.5" customHeight="1">
      <c r="A118" s="27">
        <v>46057.0</v>
      </c>
      <c r="B118" s="39" t="s">
        <v>412</v>
      </c>
      <c r="C118" s="140"/>
      <c r="D118" s="36" t="s">
        <v>213</v>
      </c>
      <c r="E118" s="34" t="s">
        <v>317</v>
      </c>
      <c r="F118" s="34" t="s">
        <v>980</v>
      </c>
      <c r="G118" s="34" t="s">
        <v>1037</v>
      </c>
      <c r="H118" s="34" t="s">
        <v>1038</v>
      </c>
      <c r="I118" s="34" t="s">
        <v>837</v>
      </c>
      <c r="J118" s="34" t="s">
        <v>838</v>
      </c>
      <c r="K118" s="48">
        <v>46082.0</v>
      </c>
      <c r="L118" s="54" t="str">
        <f t="array" ref="L118">_xlfn.XLOOKUP(records_3[roomNo], database[roomNo], database[roomName])</f>
        <v>AIRLOCK</v>
      </c>
      <c r="M118" s="56" t="str">
        <f t="array" ref="M118">_xlfn.XLOOKUP(records_3[roomNo], database[roomNo], database[building])</f>
        <v>Building 12</v>
      </c>
      <c r="N118" s="56" t="str">
        <f t="array" ref="N118">_xlfn.XLOOKUP(records_3[roomNo], database[roomNo], database[floor])</f>
        <v>Floor 2</v>
      </c>
      <c r="O118" s="50">
        <v>0.0</v>
      </c>
      <c r="P118" s="34" t="s">
        <v>839</v>
      </c>
      <c r="Q118" s="80"/>
      <c r="R118" s="33"/>
      <c r="S118" s="33"/>
      <c r="T118" s="43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</row>
    <row r="119" ht="22.5" customHeight="1">
      <c r="A119" s="27">
        <v>46057.0</v>
      </c>
      <c r="B119" s="39" t="s">
        <v>421</v>
      </c>
      <c r="C119" s="140"/>
      <c r="D119" s="36" t="s">
        <v>213</v>
      </c>
      <c r="E119" s="34" t="s">
        <v>314</v>
      </c>
      <c r="F119" s="34" t="s">
        <v>654</v>
      </c>
      <c r="G119" s="34" t="s">
        <v>1040</v>
      </c>
      <c r="H119" s="34" t="s">
        <v>1038</v>
      </c>
      <c r="I119" s="34" t="s">
        <v>837</v>
      </c>
      <c r="J119" s="34" t="s">
        <v>838</v>
      </c>
      <c r="K119" s="48">
        <v>46082.0</v>
      </c>
      <c r="L119" s="54" t="str">
        <f t="array" ref="L119">_xlfn.XLOOKUP(records_3[roomNo], database[roomNo], database[roomName])</f>
        <v>CAMPHORATED OPIUM TINCTURE (UTILITY SKID ADAM)</v>
      </c>
      <c r="M119" s="56" t="str">
        <f t="array" ref="M119">_xlfn.XLOOKUP(records_3[roomNo], database[roomNo], database[building])</f>
        <v>Building 12</v>
      </c>
      <c r="N119" s="56" t="str">
        <f t="array" ref="N119">_xlfn.XLOOKUP(records_3[roomNo], database[roomNo], database[floor])</f>
        <v>Floor 2</v>
      </c>
      <c r="O119" s="50">
        <v>1.0</v>
      </c>
      <c r="P119" s="34" t="s">
        <v>839</v>
      </c>
      <c r="Q119" s="80"/>
      <c r="R119" s="33"/>
      <c r="S119" s="33"/>
      <c r="T119" s="43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</row>
    <row r="120" ht="22.5" customHeight="1">
      <c r="A120" s="27">
        <v>46057.0</v>
      </c>
      <c r="B120" s="39" t="s">
        <v>432</v>
      </c>
      <c r="C120" s="140"/>
      <c r="D120" s="36" t="s">
        <v>213</v>
      </c>
      <c r="E120" s="34" t="s">
        <v>402</v>
      </c>
      <c r="F120" s="34" t="s">
        <v>707</v>
      </c>
      <c r="G120" s="34" t="s">
        <v>1044</v>
      </c>
      <c r="H120" s="34" t="s">
        <v>1045</v>
      </c>
      <c r="I120" s="34" t="s">
        <v>837</v>
      </c>
      <c r="J120" s="34" t="s">
        <v>838</v>
      </c>
      <c r="K120" s="48">
        <v>46082.0</v>
      </c>
      <c r="L120" s="54" t="str">
        <f t="array" ref="L120">_xlfn.XLOOKUP(records_3[roomNo], database[roomNo], database[roomName])</f>
        <v>AIRLOCK</v>
      </c>
      <c r="M120" s="56" t="str">
        <f t="array" ref="M120">_xlfn.XLOOKUP(records_3[roomNo], database[roomNo], database[building])</f>
        <v>Building 12</v>
      </c>
      <c r="N120" s="56" t="str">
        <f t="array" ref="N120">_xlfn.XLOOKUP(records_3[roomNo], database[roomNo], database[floor])</f>
        <v>Floor 2</v>
      </c>
      <c r="O120" s="50">
        <v>0.0</v>
      </c>
      <c r="P120" s="34" t="s">
        <v>839</v>
      </c>
      <c r="Q120" s="80"/>
      <c r="R120" s="33"/>
      <c r="S120" s="33"/>
      <c r="T120" s="43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</row>
    <row r="121" ht="22.5" customHeight="1">
      <c r="A121" s="27">
        <v>46057.0</v>
      </c>
      <c r="B121" s="39" t="s">
        <v>442</v>
      </c>
      <c r="C121" s="140"/>
      <c r="D121" s="36" t="s">
        <v>213</v>
      </c>
      <c r="E121" s="34" t="s">
        <v>798</v>
      </c>
      <c r="F121" s="34" t="s">
        <v>672</v>
      </c>
      <c r="G121" s="34" t="s">
        <v>346</v>
      </c>
      <c r="H121" s="34" t="s">
        <v>1045</v>
      </c>
      <c r="I121" s="34" t="s">
        <v>837</v>
      </c>
      <c r="J121" s="34" t="s">
        <v>838</v>
      </c>
      <c r="K121" s="48">
        <v>46082.0</v>
      </c>
      <c r="L121" s="54" t="str">
        <f t="array" ref="L121">_xlfn.XLOOKUP(records_3[roomNo], database[roomNo], database[roomName])</f>
        <v>SYRUP PREPARATION (UTILITY SKID ADAM)</v>
      </c>
      <c r="M121" s="56" t="str">
        <f t="array" ref="M121">_xlfn.XLOOKUP(records_3[roomNo], database[roomNo], database[building])</f>
        <v>Building 12</v>
      </c>
      <c r="N121" s="56" t="str">
        <f t="array" ref="N121">_xlfn.XLOOKUP(records_3[roomNo], database[roomNo], database[floor])</f>
        <v>Floor 2</v>
      </c>
      <c r="O121" s="50">
        <v>0.0</v>
      </c>
      <c r="P121" s="34" t="s">
        <v>839</v>
      </c>
      <c r="Q121" s="80"/>
      <c r="R121" s="33"/>
      <c r="S121" s="33"/>
      <c r="T121" s="43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</row>
    <row r="122" ht="22.5" customHeight="1">
      <c r="A122" s="27">
        <v>46057.0</v>
      </c>
      <c r="B122" s="34" t="s">
        <v>450</v>
      </c>
      <c r="C122" s="140"/>
      <c r="D122" s="36" t="s">
        <v>213</v>
      </c>
      <c r="E122" s="34"/>
      <c r="F122" s="34"/>
      <c r="G122" s="34"/>
      <c r="H122" s="34"/>
      <c r="I122" s="34" t="s">
        <v>837</v>
      </c>
      <c r="J122" s="34" t="s">
        <v>838</v>
      </c>
      <c r="K122" s="48">
        <v>46082.0</v>
      </c>
      <c r="L122" s="54" t="str">
        <f t="array" ref="L122">_xlfn.XLOOKUP(records_3[roomNo], database[roomNo], database[roomName])</f>
        <v>CORRIDOR</v>
      </c>
      <c r="M122" s="56" t="str">
        <f t="array" ref="M122">_xlfn.XLOOKUP(records_3[roomNo], database[roomNo], database[building])</f>
        <v>Building 12</v>
      </c>
      <c r="N122" s="56" t="str">
        <f t="array" ref="N122">_xlfn.XLOOKUP(records_3[roomNo], database[roomNo], database[floor])</f>
        <v>Floor 2</v>
      </c>
      <c r="O122" s="50">
        <v>1.0</v>
      </c>
      <c r="P122" s="34" t="s">
        <v>839</v>
      </c>
      <c r="Q122" s="80"/>
      <c r="R122" s="33"/>
      <c r="S122" s="33"/>
      <c r="T122" s="43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</row>
    <row r="123" ht="22.5" customHeight="1">
      <c r="A123" s="27">
        <v>46057.0</v>
      </c>
      <c r="B123" s="39" t="s">
        <v>456</v>
      </c>
      <c r="C123" s="140"/>
      <c r="D123" s="36" t="s">
        <v>213</v>
      </c>
      <c r="E123" s="34" t="s">
        <v>194</v>
      </c>
      <c r="F123" s="34" t="s">
        <v>194</v>
      </c>
      <c r="G123" s="34" t="s">
        <v>1044</v>
      </c>
      <c r="H123" s="34" t="s">
        <v>1079</v>
      </c>
      <c r="I123" s="34" t="s">
        <v>837</v>
      </c>
      <c r="J123" s="34" t="s">
        <v>838</v>
      </c>
      <c r="K123" s="48">
        <v>46082.0</v>
      </c>
      <c r="L123" s="54" t="str">
        <f t="array" ref="L123">_xlfn.XLOOKUP(records_3[roomNo], database[roomNo], database[roomName])</f>
        <v>CIP 1 (UTILITY SKID ADAM)</v>
      </c>
      <c r="M123" s="56" t="str">
        <f t="array" ref="M123">_xlfn.XLOOKUP(records_3[roomNo], database[roomNo], database[building])</f>
        <v>Building 12</v>
      </c>
      <c r="N123" s="56" t="str">
        <f t="array" ref="N123">_xlfn.XLOOKUP(records_3[roomNo], database[roomNo], database[floor])</f>
        <v>Floor 2</v>
      </c>
      <c r="O123" s="50">
        <v>0.0</v>
      </c>
      <c r="P123" s="34" t="s">
        <v>839</v>
      </c>
      <c r="Q123" s="80"/>
      <c r="R123" s="33"/>
      <c r="S123" s="33"/>
      <c r="T123" s="43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</row>
    <row r="124" ht="22.5" customHeight="1">
      <c r="A124" s="27">
        <v>46057.0</v>
      </c>
      <c r="B124" s="39" t="s">
        <v>466</v>
      </c>
      <c r="C124" s="140"/>
      <c r="D124" s="36" t="s">
        <v>213</v>
      </c>
      <c r="E124" s="34" t="s">
        <v>1094</v>
      </c>
      <c r="F124" s="34" t="s">
        <v>1095</v>
      </c>
      <c r="G124" s="34" t="s">
        <v>1096</v>
      </c>
      <c r="H124" s="34" t="s">
        <v>1079</v>
      </c>
      <c r="I124" s="34" t="s">
        <v>837</v>
      </c>
      <c r="J124" s="34" t="s">
        <v>838</v>
      </c>
      <c r="K124" s="48">
        <v>46082.0</v>
      </c>
      <c r="L124" s="54" t="str">
        <f t="array" ref="L124">_xlfn.XLOOKUP(records_3[roomNo], database[roomNo], database[roomName])</f>
        <v>DISPENSED MATERIAL STAGING</v>
      </c>
      <c r="M124" s="56" t="str">
        <f t="array" ref="M124">_xlfn.XLOOKUP(records_3[roomNo], database[roomNo], database[building])</f>
        <v>Building 12</v>
      </c>
      <c r="N124" s="56" t="str">
        <f t="array" ref="N124">_xlfn.XLOOKUP(records_3[roomNo], database[roomNo], database[floor])</f>
        <v>Floor 2</v>
      </c>
      <c r="O124" s="50">
        <v>0.0</v>
      </c>
      <c r="P124" s="34" t="s">
        <v>839</v>
      </c>
      <c r="Q124" s="80"/>
      <c r="R124" s="33"/>
      <c r="S124" s="33"/>
      <c r="T124" s="43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</row>
    <row r="125" ht="22.5" customHeight="1">
      <c r="A125" s="27">
        <v>46057.0</v>
      </c>
      <c r="B125" s="39" t="s">
        <v>479</v>
      </c>
      <c r="C125" s="140"/>
      <c r="D125" s="36" t="s">
        <v>213</v>
      </c>
      <c r="E125" s="34" t="s">
        <v>310</v>
      </c>
      <c r="F125" s="34" t="s">
        <v>1112</v>
      </c>
      <c r="G125" s="34" t="s">
        <v>1113</v>
      </c>
      <c r="H125" s="34" t="s">
        <v>1045</v>
      </c>
      <c r="I125" s="34" t="s">
        <v>837</v>
      </c>
      <c r="J125" s="34" t="s">
        <v>838</v>
      </c>
      <c r="K125" s="48">
        <v>46082.0</v>
      </c>
      <c r="L125" s="54" t="str">
        <f t="array" ref="L125">_xlfn.XLOOKUP(records_3[roomNo], database[roomNo], database[roomName])</f>
        <v>AIRLOCK</v>
      </c>
      <c r="M125" s="56" t="str">
        <f t="array" ref="M125">_xlfn.XLOOKUP(records_3[roomNo], database[roomNo], database[building])</f>
        <v>Building 12</v>
      </c>
      <c r="N125" s="56" t="str">
        <f t="array" ref="N125">_xlfn.XLOOKUP(records_3[roomNo], database[roomNo], database[floor])</f>
        <v>Floor 2</v>
      </c>
      <c r="O125" s="50">
        <v>0.0</v>
      </c>
      <c r="P125" s="34" t="s">
        <v>839</v>
      </c>
      <c r="Q125" s="80"/>
      <c r="R125" s="33"/>
      <c r="S125" s="33"/>
      <c r="T125" s="43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</row>
    <row r="126" ht="22.5" customHeight="1">
      <c r="A126" s="27">
        <v>46057.0</v>
      </c>
      <c r="B126" s="39" t="s">
        <v>486</v>
      </c>
      <c r="C126" s="140"/>
      <c r="D126" s="36" t="s">
        <v>213</v>
      </c>
      <c r="E126" s="34" t="s">
        <v>546</v>
      </c>
      <c r="F126" s="34" t="s">
        <v>1126</v>
      </c>
      <c r="G126" s="34" t="s">
        <v>1113</v>
      </c>
      <c r="H126" s="34" t="s">
        <v>1045</v>
      </c>
      <c r="I126" s="34" t="s">
        <v>837</v>
      </c>
      <c r="J126" s="34" t="s">
        <v>838</v>
      </c>
      <c r="K126" s="48">
        <v>46082.0</v>
      </c>
      <c r="L126" s="54" t="str">
        <f t="array" ref="L126">_xlfn.XLOOKUP(records_3[roomNo], database[roomNo], database[roomName])</f>
        <v>MFG 1 (UTILITY SKID ADAM)</v>
      </c>
      <c r="M126" s="56" t="str">
        <f t="array" ref="M126">_xlfn.XLOOKUP(records_3[roomNo], database[roomNo], database[building])</f>
        <v>Building 12</v>
      </c>
      <c r="N126" s="56" t="str">
        <f t="array" ref="N126">_xlfn.XLOOKUP(records_3[roomNo], database[roomNo], database[floor])</f>
        <v>Floor 2</v>
      </c>
      <c r="O126" s="50">
        <v>0.0</v>
      </c>
      <c r="P126" s="34" t="s">
        <v>839</v>
      </c>
      <c r="Q126" s="80"/>
      <c r="R126" s="33"/>
      <c r="S126" s="33"/>
      <c r="T126" s="43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</row>
    <row r="127" ht="22.5" customHeight="1">
      <c r="A127" s="27">
        <v>46057.0</v>
      </c>
      <c r="B127" s="39" t="s">
        <v>496</v>
      </c>
      <c r="C127" s="140"/>
      <c r="D127" s="36" t="s">
        <v>213</v>
      </c>
      <c r="E127" s="34" t="s">
        <v>671</v>
      </c>
      <c r="F127" s="34" t="s">
        <v>1138</v>
      </c>
      <c r="G127" s="34" t="s">
        <v>1040</v>
      </c>
      <c r="H127" s="34" t="s">
        <v>1038</v>
      </c>
      <c r="I127" s="34" t="s">
        <v>837</v>
      </c>
      <c r="J127" s="34" t="s">
        <v>838</v>
      </c>
      <c r="K127" s="48">
        <v>46082.0</v>
      </c>
      <c r="L127" s="54" t="str">
        <f t="array" ref="L127">_xlfn.XLOOKUP(records_3[roomNo], database[roomNo], database[roomName])</f>
        <v>AIRLOCK</v>
      </c>
      <c r="M127" s="56" t="str">
        <f t="array" ref="M127">_xlfn.XLOOKUP(records_3[roomNo], database[roomNo], database[building])</f>
        <v>Building 12</v>
      </c>
      <c r="N127" s="56" t="str">
        <f t="array" ref="N127">_xlfn.XLOOKUP(records_3[roomNo], database[roomNo], database[floor])</f>
        <v>Floor 2</v>
      </c>
      <c r="O127" s="50">
        <v>1.0</v>
      </c>
      <c r="P127" s="34" t="s">
        <v>839</v>
      </c>
      <c r="Q127" s="80"/>
      <c r="R127" s="33"/>
      <c r="S127" s="33"/>
      <c r="T127" s="43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</row>
    <row r="128" ht="22.5" customHeight="1">
      <c r="A128" s="27">
        <v>46057.0</v>
      </c>
      <c r="B128" s="39" t="s">
        <v>507</v>
      </c>
      <c r="C128" s="140"/>
      <c r="D128" s="36" t="s">
        <v>213</v>
      </c>
      <c r="E128" s="34" t="s">
        <v>1157</v>
      </c>
      <c r="F128" s="34" t="s">
        <v>1158</v>
      </c>
      <c r="G128" s="34" t="s">
        <v>935</v>
      </c>
      <c r="H128" s="34" t="s">
        <v>1038</v>
      </c>
      <c r="I128" s="34" t="s">
        <v>837</v>
      </c>
      <c r="J128" s="34" t="s">
        <v>838</v>
      </c>
      <c r="K128" s="48">
        <v>46082.0</v>
      </c>
      <c r="L128" s="54" t="str">
        <f t="array" ref="L128">_xlfn.XLOOKUP(records_3[roomNo], database[roomNo], database[roomName])</f>
        <v>MFG 2 (UTILITY SKID ADAM)</v>
      </c>
      <c r="M128" s="56" t="str">
        <f t="array" ref="M128">_xlfn.XLOOKUP(records_3[roomNo], database[roomNo], database[building])</f>
        <v>Building 12</v>
      </c>
      <c r="N128" s="56" t="str">
        <f t="array" ref="N128">_xlfn.XLOOKUP(records_3[roomNo], database[roomNo], database[floor])</f>
        <v>Floor 2</v>
      </c>
      <c r="O128" s="50">
        <v>0.0</v>
      </c>
      <c r="P128" s="34" t="s">
        <v>839</v>
      </c>
      <c r="Q128" s="80"/>
      <c r="R128" s="33"/>
      <c r="S128" s="33"/>
      <c r="T128" s="43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</row>
    <row r="129" ht="22.5" customHeight="1">
      <c r="A129" s="27">
        <v>46057.0</v>
      </c>
      <c r="B129" s="39" t="s">
        <v>520</v>
      </c>
      <c r="C129" s="140"/>
      <c r="D129" s="36" t="s">
        <v>213</v>
      </c>
      <c r="E129" s="34" t="s">
        <v>377</v>
      </c>
      <c r="F129" s="34" t="s">
        <v>803</v>
      </c>
      <c r="G129" s="34" t="s">
        <v>1006</v>
      </c>
      <c r="H129" s="34" t="s">
        <v>936</v>
      </c>
      <c r="I129" s="34" t="s">
        <v>837</v>
      </c>
      <c r="J129" s="34" t="s">
        <v>838</v>
      </c>
      <c r="K129" s="48">
        <v>46082.0</v>
      </c>
      <c r="L129" s="54" t="str">
        <f t="array" ref="L129">_xlfn.XLOOKUP(records_3[roomNo], database[roomNo], database[roomName])</f>
        <v>AIRLOCK</v>
      </c>
      <c r="M129" s="56" t="str">
        <f t="array" ref="M129">_xlfn.XLOOKUP(records_3[roomNo], database[roomNo], database[building])</f>
        <v>Building 12</v>
      </c>
      <c r="N129" s="56" t="str">
        <f t="array" ref="N129">_xlfn.XLOOKUP(records_3[roomNo], database[roomNo], database[floor])</f>
        <v>Floor 2</v>
      </c>
      <c r="O129" s="50">
        <v>0.0</v>
      </c>
      <c r="P129" s="34" t="s">
        <v>839</v>
      </c>
      <c r="Q129" s="80"/>
      <c r="R129" s="33"/>
      <c r="S129" s="33"/>
      <c r="T129" s="43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</row>
    <row r="130" ht="22.5" customHeight="1">
      <c r="A130" s="27">
        <v>46057.0</v>
      </c>
      <c r="B130" s="39" t="s">
        <v>530</v>
      </c>
      <c r="C130" s="140"/>
      <c r="D130" s="36" t="s">
        <v>213</v>
      </c>
      <c r="E130" s="34" t="s">
        <v>303</v>
      </c>
      <c r="F130" s="34" t="s">
        <v>1189</v>
      </c>
      <c r="G130" s="34" t="s">
        <v>959</v>
      </c>
      <c r="H130" s="34" t="s">
        <v>961</v>
      </c>
      <c r="I130" s="34" t="s">
        <v>837</v>
      </c>
      <c r="J130" s="34" t="s">
        <v>838</v>
      </c>
      <c r="K130" s="48">
        <v>46082.0</v>
      </c>
      <c r="L130" s="54" t="str">
        <f t="array" ref="L130">_xlfn.XLOOKUP(records_3[roomNo], database[roomNo], database[roomName])</f>
        <v>MFG 3 (UTILITY SKID ADAM)</v>
      </c>
      <c r="M130" s="56" t="str">
        <f t="array" ref="M130">_xlfn.XLOOKUP(records_3[roomNo], database[roomNo], database[building])</f>
        <v>Building 12</v>
      </c>
      <c r="N130" s="56" t="str">
        <f t="array" ref="N130">_xlfn.XLOOKUP(records_3[roomNo], database[roomNo], database[floor])</f>
        <v>Floor 2</v>
      </c>
      <c r="O130" s="50">
        <v>0.0</v>
      </c>
      <c r="P130" s="34" t="s">
        <v>839</v>
      </c>
      <c r="Q130" s="80"/>
      <c r="R130" s="33"/>
      <c r="S130" s="33"/>
      <c r="T130" s="43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</row>
    <row r="131" ht="22.5" customHeight="1">
      <c r="A131" s="27">
        <v>46057.0</v>
      </c>
      <c r="B131" s="39" t="s">
        <v>543</v>
      </c>
      <c r="C131" s="140"/>
      <c r="D131" s="36" t="s">
        <v>213</v>
      </c>
      <c r="E131" s="34" t="s">
        <v>303</v>
      </c>
      <c r="F131" s="34" t="s">
        <v>612</v>
      </c>
      <c r="G131" s="34" t="s">
        <v>982</v>
      </c>
      <c r="H131" s="34" t="s">
        <v>961</v>
      </c>
      <c r="I131" s="34" t="s">
        <v>837</v>
      </c>
      <c r="J131" s="34" t="s">
        <v>838</v>
      </c>
      <c r="K131" s="48">
        <v>46082.0</v>
      </c>
      <c r="L131" s="54" t="str">
        <f t="array" ref="L131">_xlfn.XLOOKUP(records_3[roomNo], database[roomNo], database[roomName])</f>
        <v>AIRLOCK</v>
      </c>
      <c r="M131" s="56" t="str">
        <f t="array" ref="M131">_xlfn.XLOOKUP(records_3[roomNo], database[roomNo], database[building])</f>
        <v>Building 12</v>
      </c>
      <c r="N131" s="56" t="str">
        <f t="array" ref="N131">_xlfn.XLOOKUP(records_3[roomNo], database[roomNo], database[floor])</f>
        <v>Floor 2</v>
      </c>
      <c r="O131" s="50">
        <v>0.0</v>
      </c>
      <c r="P131" s="34" t="s">
        <v>839</v>
      </c>
      <c r="Q131" s="80"/>
      <c r="R131" s="33"/>
      <c r="S131" s="33"/>
      <c r="T131" s="43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</row>
    <row r="132" ht="22.5" customHeight="1">
      <c r="A132" s="27">
        <v>46057.0</v>
      </c>
      <c r="B132" s="39" t="s">
        <v>552</v>
      </c>
      <c r="C132" s="140"/>
      <c r="D132" s="36" t="s">
        <v>213</v>
      </c>
      <c r="E132" s="34" t="s">
        <v>303</v>
      </c>
      <c r="F132" s="34" t="s">
        <v>846</v>
      </c>
      <c r="G132" s="34" t="s">
        <v>1036</v>
      </c>
      <c r="H132" s="34" t="s">
        <v>867</v>
      </c>
      <c r="I132" s="34" t="s">
        <v>837</v>
      </c>
      <c r="J132" s="34" t="s">
        <v>838</v>
      </c>
      <c r="K132" s="48">
        <v>46082.0</v>
      </c>
      <c r="L132" s="54" t="str">
        <f t="array" ref="L132">_xlfn.XLOOKUP(records_3[roomNo], database[roomNo], database[roomName])</f>
        <v>MFG 4 (UTILITY SKID ADAM)</v>
      </c>
      <c r="M132" s="56" t="str">
        <f t="array" ref="M132">_xlfn.XLOOKUP(records_3[roomNo], database[roomNo], database[building])</f>
        <v>Building 12</v>
      </c>
      <c r="N132" s="56" t="str">
        <f t="array" ref="N132">_xlfn.XLOOKUP(records_3[roomNo], database[roomNo], database[floor])</f>
        <v>Floor 2</v>
      </c>
      <c r="O132" s="50">
        <v>0.0</v>
      </c>
      <c r="P132" s="34" t="s">
        <v>839</v>
      </c>
      <c r="Q132" s="80"/>
      <c r="R132" s="33"/>
      <c r="S132" s="33"/>
      <c r="T132" s="43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</row>
    <row r="133" ht="22.5" customHeight="1">
      <c r="A133" s="27">
        <v>46057.0</v>
      </c>
      <c r="B133" s="39" t="s">
        <v>556</v>
      </c>
      <c r="C133" s="140"/>
      <c r="D133" s="36" t="s">
        <v>213</v>
      </c>
      <c r="E133" s="34" t="s">
        <v>326</v>
      </c>
      <c r="F133" s="34" t="s">
        <v>327</v>
      </c>
      <c r="G133" s="34" t="s">
        <v>1271</v>
      </c>
      <c r="H133" s="34" t="s">
        <v>1272</v>
      </c>
      <c r="I133" s="34" t="s">
        <v>837</v>
      </c>
      <c r="J133" s="34" t="s">
        <v>838</v>
      </c>
      <c r="K133" s="48">
        <v>46082.0</v>
      </c>
      <c r="L133" s="54" t="str">
        <f t="array" ref="L133">_xlfn.XLOOKUP(records_3[roomNo], database[roomNo], database[roomName])</f>
        <v>PRO TINCTURE STAGING</v>
      </c>
      <c r="M133" s="56" t="str">
        <f t="array" ref="M133">_xlfn.XLOOKUP(records_3[roomNo], database[roomNo], database[building])</f>
        <v>Building 12</v>
      </c>
      <c r="N133" s="56" t="str">
        <f t="array" ref="N133">_xlfn.XLOOKUP(records_3[roomNo], database[roomNo], database[floor])</f>
        <v>Floor 2</v>
      </c>
      <c r="O133" s="50">
        <v>0.0</v>
      </c>
      <c r="P133" s="34" t="s">
        <v>839</v>
      </c>
      <c r="Q133" s="80"/>
      <c r="R133" s="33"/>
      <c r="S133" s="33"/>
      <c r="T133" s="43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</row>
    <row r="134" ht="22.5" customHeight="1">
      <c r="A134" s="27">
        <v>46057.0</v>
      </c>
      <c r="B134" s="39" t="s">
        <v>562</v>
      </c>
      <c r="C134" s="140"/>
      <c r="D134" s="36" t="s">
        <v>213</v>
      </c>
      <c r="E134" s="34" t="s">
        <v>314</v>
      </c>
      <c r="F134" s="34" t="s">
        <v>980</v>
      </c>
      <c r="G134" s="34" t="s">
        <v>1296</v>
      </c>
      <c r="H134" s="34" t="s">
        <v>1272</v>
      </c>
      <c r="I134" s="34" t="s">
        <v>837</v>
      </c>
      <c r="J134" s="34" t="s">
        <v>838</v>
      </c>
      <c r="K134" s="48">
        <v>46082.0</v>
      </c>
      <c r="L134" s="54" t="str">
        <f t="array" ref="L134">_xlfn.XLOOKUP(records_3[roomNo], database[roomNo], database[roomName])</f>
        <v>AIRLOCK</v>
      </c>
      <c r="M134" s="56" t="str">
        <f t="array" ref="M134">_xlfn.XLOOKUP(records_3[roomNo], database[roomNo], database[building])</f>
        <v>Building 12</v>
      </c>
      <c r="N134" s="56" t="str">
        <f t="array" ref="N134">_xlfn.XLOOKUP(records_3[roomNo], database[roomNo], database[floor])</f>
        <v>Floor 2</v>
      </c>
      <c r="O134" s="50">
        <v>0.0</v>
      </c>
      <c r="P134" s="34" t="s">
        <v>839</v>
      </c>
      <c r="Q134" s="80"/>
      <c r="R134" s="33"/>
      <c r="S134" s="33"/>
      <c r="T134" s="43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</row>
    <row r="135" ht="22.5" customHeight="1">
      <c r="A135" s="27">
        <v>46057.0</v>
      </c>
      <c r="B135" s="39" t="s">
        <v>572</v>
      </c>
      <c r="C135" s="140"/>
      <c r="D135" s="36" t="s">
        <v>213</v>
      </c>
      <c r="E135" s="34" t="s">
        <v>469</v>
      </c>
      <c r="F135" s="34" t="s">
        <v>1332</v>
      </c>
      <c r="G135" s="34" t="s">
        <v>1296</v>
      </c>
      <c r="H135" s="34" t="s">
        <v>1272</v>
      </c>
      <c r="I135" s="34" t="s">
        <v>837</v>
      </c>
      <c r="J135" s="34" t="s">
        <v>838</v>
      </c>
      <c r="K135" s="48">
        <v>46082.0</v>
      </c>
      <c r="L135" s="54" t="str">
        <f t="array" ref="L135">_xlfn.XLOOKUP(records_3[roomNo], database[roomNo], database[roomName])</f>
        <v>CORRIDOR</v>
      </c>
      <c r="M135" s="56" t="str">
        <f t="array" ref="M135">_xlfn.XLOOKUP(records_3[roomNo], database[roomNo], database[building])</f>
        <v>Building 12</v>
      </c>
      <c r="N135" s="56" t="str">
        <f t="array" ref="N135">_xlfn.XLOOKUP(records_3[roomNo], database[roomNo], database[floor])</f>
        <v>Floor 2</v>
      </c>
      <c r="O135" s="50">
        <v>0.0</v>
      </c>
      <c r="P135" s="34" t="s">
        <v>839</v>
      </c>
      <c r="Q135" s="80"/>
      <c r="R135" s="33"/>
      <c r="S135" s="33"/>
      <c r="T135" s="43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</row>
    <row r="136" ht="22.5" customHeight="1">
      <c r="A136" s="27">
        <v>46057.0</v>
      </c>
      <c r="B136" s="39" t="s">
        <v>581</v>
      </c>
      <c r="C136" s="140"/>
      <c r="D136" s="36" t="s">
        <v>213</v>
      </c>
      <c r="E136" s="34" t="s">
        <v>326</v>
      </c>
      <c r="F136" s="34" t="s">
        <v>1357</v>
      </c>
      <c r="G136" s="34" t="s">
        <v>1296</v>
      </c>
      <c r="H136" s="34" t="s">
        <v>1272</v>
      </c>
      <c r="I136" s="34" t="s">
        <v>837</v>
      </c>
      <c r="J136" s="34" t="s">
        <v>838</v>
      </c>
      <c r="K136" s="48">
        <v>46082.0</v>
      </c>
      <c r="L136" s="54" t="str">
        <f t="array" ref="L136">_xlfn.XLOOKUP(records_3[roomNo], database[roomNo], database[roomName])</f>
        <v>LINEN WASHING (WASHING MACHINE)</v>
      </c>
      <c r="M136" s="56" t="str">
        <f t="array" ref="M136">_xlfn.XLOOKUP(records_3[roomNo], database[roomNo], database[building])</f>
        <v>Building 12</v>
      </c>
      <c r="N136" s="56" t="str">
        <f t="array" ref="N136">_xlfn.XLOOKUP(records_3[roomNo], database[roomNo], database[floor])</f>
        <v>Floor 2</v>
      </c>
      <c r="O136" s="50">
        <v>0.0</v>
      </c>
      <c r="P136" s="34" t="s">
        <v>839</v>
      </c>
      <c r="Q136" s="80"/>
      <c r="R136" s="33"/>
      <c r="S136" s="33"/>
      <c r="T136" s="43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</row>
    <row r="137" ht="22.5" customHeight="1">
      <c r="A137" s="27">
        <v>46057.0</v>
      </c>
      <c r="B137" s="39" t="s">
        <v>590</v>
      </c>
      <c r="C137" s="140"/>
      <c r="D137" s="36" t="s">
        <v>213</v>
      </c>
      <c r="E137" s="34" t="s">
        <v>469</v>
      </c>
      <c r="F137" s="34" t="s">
        <v>1380</v>
      </c>
      <c r="G137" s="34" t="s">
        <v>1381</v>
      </c>
      <c r="H137" s="34" t="s">
        <v>1382</v>
      </c>
      <c r="I137" s="34" t="s">
        <v>837</v>
      </c>
      <c r="J137" s="34" t="s">
        <v>838</v>
      </c>
      <c r="K137" s="48">
        <v>46082.0</v>
      </c>
      <c r="L137" s="54" t="str">
        <f t="array" ref="L137">_xlfn.XLOOKUP(records_3[roomNo], database[roomNo], database[roomName])</f>
        <v>LINEN DRY</v>
      </c>
      <c r="M137" s="56" t="str">
        <f t="array" ref="M137">_xlfn.XLOOKUP(records_3[roomNo], database[roomNo], database[building])</f>
        <v>Building 12</v>
      </c>
      <c r="N137" s="56" t="str">
        <f t="array" ref="N137">_xlfn.XLOOKUP(records_3[roomNo], database[roomNo], database[floor])</f>
        <v>Floor 2</v>
      </c>
      <c r="O137" s="50">
        <v>0.0</v>
      </c>
      <c r="P137" s="34" t="s">
        <v>839</v>
      </c>
      <c r="Q137" s="80"/>
      <c r="R137" s="33"/>
      <c r="S137" s="33"/>
      <c r="T137" s="43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</row>
    <row r="138" ht="22.5" customHeight="1">
      <c r="A138" s="27">
        <v>46057.0</v>
      </c>
      <c r="B138" s="39" t="s">
        <v>601</v>
      </c>
      <c r="C138" s="140"/>
      <c r="D138" s="36" t="s">
        <v>213</v>
      </c>
      <c r="E138" s="34" t="s">
        <v>292</v>
      </c>
      <c r="F138" s="34" t="s">
        <v>1126</v>
      </c>
      <c r="G138" s="34" t="s">
        <v>1398</v>
      </c>
      <c r="H138" s="34" t="s">
        <v>1382</v>
      </c>
      <c r="I138" s="34" t="s">
        <v>837</v>
      </c>
      <c r="J138" s="34" t="s">
        <v>838</v>
      </c>
      <c r="K138" s="48">
        <v>46082.0</v>
      </c>
      <c r="L138" s="54" t="str">
        <f t="array" ref="L138">_xlfn.XLOOKUP(records_3[roomNo], database[roomNo], database[roomName])</f>
        <v>SCRAP STORAGE</v>
      </c>
      <c r="M138" s="56" t="str">
        <f t="array" ref="M138">_xlfn.XLOOKUP(records_3[roomNo], database[roomNo], database[building])</f>
        <v>Building 12</v>
      </c>
      <c r="N138" s="56" t="str">
        <f t="array" ref="N138">_xlfn.XLOOKUP(records_3[roomNo], database[roomNo], database[floor])</f>
        <v>Floor 2</v>
      </c>
      <c r="O138" s="50">
        <v>0.0</v>
      </c>
      <c r="P138" s="34" t="s">
        <v>839</v>
      </c>
      <c r="Q138" s="80"/>
      <c r="R138" s="33"/>
      <c r="S138" s="33"/>
      <c r="T138" s="43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</row>
    <row r="139" ht="22.5" customHeight="1">
      <c r="A139" s="27">
        <v>46057.0</v>
      </c>
      <c r="B139" s="39" t="s">
        <v>610</v>
      </c>
      <c r="C139" s="140"/>
      <c r="D139" s="36" t="s">
        <v>213</v>
      </c>
      <c r="E139" s="34" t="s">
        <v>569</v>
      </c>
      <c r="F139" s="34" t="s">
        <v>1405</v>
      </c>
      <c r="G139" s="34" t="s">
        <v>1406</v>
      </c>
      <c r="H139" s="34" t="s">
        <v>1407</v>
      </c>
      <c r="I139" s="34" t="s">
        <v>837</v>
      </c>
      <c r="J139" s="34" t="s">
        <v>838</v>
      </c>
      <c r="K139" s="48">
        <v>46082.0</v>
      </c>
      <c r="L139" s="54" t="str">
        <f t="array" ref="L139">_xlfn.XLOOKUP(records_3[roomNo], database[roomNo], database[roomName])</f>
        <v>CORRIDOR</v>
      </c>
      <c r="M139" s="56" t="str">
        <f t="array" ref="M139">_xlfn.XLOOKUP(records_3[roomNo], database[roomNo], database[building])</f>
        <v>Building 12</v>
      </c>
      <c r="N139" s="56" t="str">
        <f t="array" ref="N139">_xlfn.XLOOKUP(records_3[roomNo], database[roomNo], database[floor])</f>
        <v>Floor 2</v>
      </c>
      <c r="O139" s="50">
        <v>2.0</v>
      </c>
      <c r="P139" s="34" t="s">
        <v>839</v>
      </c>
      <c r="Q139" s="80"/>
      <c r="R139" s="33"/>
      <c r="S139" s="33"/>
      <c r="T139" s="43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</row>
    <row r="140" ht="22.5" customHeight="1">
      <c r="A140" s="27">
        <v>46057.0</v>
      </c>
      <c r="B140" s="39" t="s">
        <v>622</v>
      </c>
      <c r="C140" s="140"/>
      <c r="D140" s="36" t="s">
        <v>213</v>
      </c>
      <c r="E140" s="34" t="s">
        <v>1157</v>
      </c>
      <c r="F140" s="34" t="s">
        <v>1414</v>
      </c>
      <c r="G140" s="34" t="s">
        <v>1406</v>
      </c>
      <c r="H140" s="34" t="s">
        <v>1382</v>
      </c>
      <c r="I140" s="34" t="s">
        <v>837</v>
      </c>
      <c r="J140" s="34" t="s">
        <v>838</v>
      </c>
      <c r="K140" s="48">
        <v>46082.0</v>
      </c>
      <c r="L140" s="54" t="str">
        <f t="array" ref="L140">_xlfn.XLOOKUP(records_3[roomNo], database[roomNo], database[roomName])</f>
        <v>IPQC</v>
      </c>
      <c r="M140" s="56" t="str">
        <f t="array" ref="M140">_xlfn.XLOOKUP(records_3[roomNo], database[roomNo], database[building])</f>
        <v>Building 12</v>
      </c>
      <c r="N140" s="56" t="str">
        <f t="array" ref="N140">_xlfn.XLOOKUP(records_3[roomNo], database[roomNo], database[floor])</f>
        <v>Floor 2</v>
      </c>
      <c r="O140" s="50">
        <v>0.0</v>
      </c>
      <c r="P140" s="34" t="s">
        <v>839</v>
      </c>
      <c r="Q140" s="80"/>
      <c r="R140" s="33"/>
      <c r="S140" s="33"/>
      <c r="T140" s="43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</row>
    <row r="141" ht="22.5" customHeight="1">
      <c r="A141" s="27">
        <v>46057.0</v>
      </c>
      <c r="B141" s="39" t="s">
        <v>626</v>
      </c>
      <c r="C141" s="140"/>
      <c r="D141" s="36" t="s">
        <v>213</v>
      </c>
      <c r="E141" s="34" t="s">
        <v>303</v>
      </c>
      <c r="F141" s="34" t="s">
        <v>551</v>
      </c>
      <c r="G141" s="34" t="s">
        <v>1406</v>
      </c>
      <c r="H141" s="34" t="s">
        <v>1407</v>
      </c>
      <c r="I141" s="34" t="s">
        <v>837</v>
      </c>
      <c r="J141" s="34" t="s">
        <v>838</v>
      </c>
      <c r="K141" s="48">
        <v>46082.0</v>
      </c>
      <c r="L141" s="54" t="str">
        <f t="array" ref="L141">_xlfn.XLOOKUP(records_3[roomNo], database[roomNo], database[roomName])</f>
        <v>STAGING 3 (UTILITY SKID ADAM)</v>
      </c>
      <c r="M141" s="56" t="str">
        <f t="array" ref="M141">_xlfn.XLOOKUP(records_3[roomNo], database[roomNo], database[building])</f>
        <v>Building 12</v>
      </c>
      <c r="N141" s="56" t="str">
        <f t="array" ref="N141">_xlfn.XLOOKUP(records_3[roomNo], database[roomNo], database[floor])</f>
        <v>Floor 2</v>
      </c>
      <c r="O141" s="50">
        <v>0.0</v>
      </c>
      <c r="P141" s="34" t="s">
        <v>839</v>
      </c>
      <c r="Q141" s="80"/>
      <c r="R141" s="33"/>
      <c r="S141" s="33"/>
      <c r="T141" s="43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</row>
    <row r="142" ht="22.5" customHeight="1">
      <c r="A142" s="27">
        <v>46057.0</v>
      </c>
      <c r="B142" s="39" t="s">
        <v>635</v>
      </c>
      <c r="C142" s="140"/>
      <c r="D142" s="36" t="s">
        <v>213</v>
      </c>
      <c r="E142" s="34" t="s">
        <v>1157</v>
      </c>
      <c r="F142" s="34" t="s">
        <v>1005</v>
      </c>
      <c r="G142" s="34" t="s">
        <v>1420</v>
      </c>
      <c r="H142" s="34" t="s">
        <v>1407</v>
      </c>
      <c r="I142" s="34" t="s">
        <v>837</v>
      </c>
      <c r="J142" s="34" t="s">
        <v>838</v>
      </c>
      <c r="K142" s="48">
        <v>46082.0</v>
      </c>
      <c r="L142" s="54" t="str">
        <f t="array" ref="L142">_xlfn.XLOOKUP(records_3[roomNo], database[roomNo], database[roomName])</f>
        <v>CIP 3 (UTILITY SKID ADAM)</v>
      </c>
      <c r="M142" s="56" t="str">
        <f t="array" ref="M142">_xlfn.XLOOKUP(records_3[roomNo], database[roomNo], database[building])</f>
        <v>Building 12</v>
      </c>
      <c r="N142" s="56" t="str">
        <f t="array" ref="N142">_xlfn.XLOOKUP(records_3[roomNo], database[roomNo], database[floor])</f>
        <v>Floor 2</v>
      </c>
      <c r="O142" s="50">
        <v>0.0</v>
      </c>
      <c r="P142" s="34" t="s">
        <v>839</v>
      </c>
      <c r="Q142" s="80"/>
      <c r="R142" s="33"/>
      <c r="S142" s="33"/>
      <c r="T142" s="43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</row>
    <row r="143" ht="22.5" customHeight="1">
      <c r="A143" s="27">
        <v>46057.0</v>
      </c>
      <c r="B143" s="39" t="s">
        <v>642</v>
      </c>
      <c r="C143" s="140"/>
      <c r="D143" s="36" t="s">
        <v>213</v>
      </c>
      <c r="E143" s="34" t="s">
        <v>671</v>
      </c>
      <c r="F143" s="34" t="s">
        <v>585</v>
      </c>
      <c r="G143" s="34" t="s">
        <v>1430</v>
      </c>
      <c r="H143" s="34" t="s">
        <v>1407</v>
      </c>
      <c r="I143" s="34" t="s">
        <v>837</v>
      </c>
      <c r="J143" s="34" t="s">
        <v>838</v>
      </c>
      <c r="K143" s="48">
        <v>46082.0</v>
      </c>
      <c r="L143" s="54" t="str">
        <f t="array" ref="L143">_xlfn.XLOOKUP(records_3[roomNo], database[roomNo], database[roomName])</f>
        <v>STAGING 2 (UTILITY SKID ADAM)</v>
      </c>
      <c r="M143" s="56" t="str">
        <f t="array" ref="M143">_xlfn.XLOOKUP(records_3[roomNo], database[roomNo], database[building])</f>
        <v>Building 12</v>
      </c>
      <c r="N143" s="56" t="str">
        <f t="array" ref="N143">_xlfn.XLOOKUP(records_3[roomNo], database[roomNo], database[floor])</f>
        <v>Floor 2</v>
      </c>
      <c r="O143" s="50">
        <v>0.0</v>
      </c>
      <c r="P143" s="34" t="s">
        <v>839</v>
      </c>
      <c r="Q143" s="80"/>
      <c r="R143" s="33"/>
      <c r="S143" s="33"/>
      <c r="T143" s="43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</row>
    <row r="144" ht="22.5" customHeight="1">
      <c r="A144" s="27">
        <v>46057.0</v>
      </c>
      <c r="B144" s="39" t="s">
        <v>648</v>
      </c>
      <c r="C144" s="140"/>
      <c r="D144" s="36" t="s">
        <v>213</v>
      </c>
      <c r="E144" s="34" t="s">
        <v>310</v>
      </c>
      <c r="F144" s="34" t="s">
        <v>1452</v>
      </c>
      <c r="G144" s="34" t="s">
        <v>1453</v>
      </c>
      <c r="H144" s="34" t="s">
        <v>1454</v>
      </c>
      <c r="I144" s="34" t="s">
        <v>837</v>
      </c>
      <c r="J144" s="34" t="s">
        <v>838</v>
      </c>
      <c r="K144" s="48">
        <v>46082.0</v>
      </c>
      <c r="L144" s="54" t="str">
        <f t="array" ref="L144">_xlfn.XLOOKUP(records_3[roomNo], database[roomNo], database[roomName])</f>
        <v>CIP 2 (UTILITY SKID ADAM)</v>
      </c>
      <c r="M144" s="56" t="str">
        <f t="array" ref="M144">_xlfn.XLOOKUP(records_3[roomNo], database[roomNo], database[building])</f>
        <v>Building 12</v>
      </c>
      <c r="N144" s="56" t="str">
        <f t="array" ref="N144">_xlfn.XLOOKUP(records_3[roomNo], database[roomNo], database[floor])</f>
        <v>Floor 2</v>
      </c>
      <c r="O144" s="50">
        <v>0.0</v>
      </c>
      <c r="P144" s="34" t="s">
        <v>839</v>
      </c>
      <c r="Q144" s="80"/>
      <c r="R144" s="33"/>
      <c r="S144" s="33"/>
      <c r="T144" s="43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</row>
    <row r="145" ht="22.5" customHeight="1">
      <c r="A145" s="27">
        <v>46057.0</v>
      </c>
      <c r="B145" s="39" t="s">
        <v>655</v>
      </c>
      <c r="C145" s="140"/>
      <c r="D145" s="36" t="s">
        <v>213</v>
      </c>
      <c r="E145" s="34" t="s">
        <v>310</v>
      </c>
      <c r="F145" s="34" t="s">
        <v>875</v>
      </c>
      <c r="G145" s="34" t="s">
        <v>1470</v>
      </c>
      <c r="H145" s="34" t="s">
        <v>1079</v>
      </c>
      <c r="I145" s="34" t="s">
        <v>837</v>
      </c>
      <c r="J145" s="34" t="s">
        <v>838</v>
      </c>
      <c r="K145" s="48">
        <v>46082.0</v>
      </c>
      <c r="L145" s="54" t="str">
        <f t="array" ref="L145">_xlfn.XLOOKUP(records_3[roomNo], database[roomNo], database[roomName])</f>
        <v>STAGING 1 (UTILITY SKID ADAM)</v>
      </c>
      <c r="M145" s="56" t="str">
        <f t="array" ref="M145">_xlfn.XLOOKUP(records_3[roomNo], database[roomNo], database[building])</f>
        <v>Building 12</v>
      </c>
      <c r="N145" s="56" t="str">
        <f t="array" ref="N145">_xlfn.XLOOKUP(records_3[roomNo], database[roomNo], database[floor])</f>
        <v>Floor 2</v>
      </c>
      <c r="O145" s="50">
        <v>0.0</v>
      </c>
      <c r="P145" s="34" t="s">
        <v>839</v>
      </c>
      <c r="Q145" s="80"/>
      <c r="R145" s="33"/>
      <c r="S145" s="33"/>
      <c r="T145" s="43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</row>
    <row r="146" ht="22.5" customHeight="1">
      <c r="A146" s="27">
        <v>46057.0</v>
      </c>
      <c r="B146" s="39" t="s">
        <v>665</v>
      </c>
      <c r="C146" s="140"/>
      <c r="D146" s="36" t="s">
        <v>213</v>
      </c>
      <c r="E146" s="34" t="s">
        <v>671</v>
      </c>
      <c r="F146" s="34" t="s">
        <v>1478</v>
      </c>
      <c r="G146" s="34" t="s">
        <v>1453</v>
      </c>
      <c r="H146" s="34" t="s">
        <v>1479</v>
      </c>
      <c r="I146" s="34" t="s">
        <v>837</v>
      </c>
      <c r="J146" s="34" t="s">
        <v>838</v>
      </c>
      <c r="K146" s="48">
        <v>46082.0</v>
      </c>
      <c r="L146" s="54" t="str">
        <f t="array" ref="L146">_xlfn.XLOOKUP(records_3[roomNo], database[roomNo], database[roomName])</f>
        <v>CORRIDOR</v>
      </c>
      <c r="M146" s="56" t="str">
        <f t="array" ref="M146">_xlfn.XLOOKUP(records_3[roomNo], database[roomNo], database[building])</f>
        <v>Building 12</v>
      </c>
      <c r="N146" s="56" t="str">
        <f t="array" ref="N146">_xlfn.XLOOKUP(records_3[roomNo], database[roomNo], database[floor])</f>
        <v>Floor 2</v>
      </c>
      <c r="O146" s="50">
        <v>1.0</v>
      </c>
      <c r="P146" s="34" t="s">
        <v>839</v>
      </c>
      <c r="Q146" s="80"/>
      <c r="R146" s="33"/>
      <c r="S146" s="33"/>
      <c r="T146" s="43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</row>
    <row r="147" ht="22.5" customHeight="1">
      <c r="A147" s="27">
        <v>46057.0</v>
      </c>
      <c r="B147" s="39" t="s">
        <v>673</v>
      </c>
      <c r="C147" s="140"/>
      <c r="D147" s="36" t="s">
        <v>213</v>
      </c>
      <c r="E147" s="34" t="s">
        <v>671</v>
      </c>
      <c r="F147" s="34" t="s">
        <v>1495</v>
      </c>
      <c r="G147" s="34" t="s">
        <v>1453</v>
      </c>
      <c r="H147" s="34" t="s">
        <v>1479</v>
      </c>
      <c r="I147" s="34" t="s">
        <v>837</v>
      </c>
      <c r="J147" s="34" t="s">
        <v>838</v>
      </c>
      <c r="K147" s="48">
        <v>46082.0</v>
      </c>
      <c r="L147" s="54" t="str">
        <f t="array" ref="L147">_xlfn.XLOOKUP(records_3[roomNo], database[roomNo], database[roomName])</f>
        <v>DISPENSING 1</v>
      </c>
      <c r="M147" s="56" t="str">
        <f t="array" ref="M147">_xlfn.XLOOKUP(records_3[roomNo], database[roomNo], database[building])</f>
        <v>Building 12</v>
      </c>
      <c r="N147" s="56" t="str">
        <f t="array" ref="N147">_xlfn.XLOOKUP(records_3[roomNo], database[roomNo], database[floor])</f>
        <v>Floor 2</v>
      </c>
      <c r="O147" s="50">
        <v>0.0</v>
      </c>
      <c r="P147" s="34" t="s">
        <v>839</v>
      </c>
      <c r="Q147" s="80"/>
      <c r="R147" s="33"/>
      <c r="S147" s="33"/>
      <c r="T147" s="43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</row>
    <row r="148" ht="22.5" customHeight="1">
      <c r="A148" s="27">
        <v>46057.0</v>
      </c>
      <c r="B148" s="39" t="s">
        <v>673</v>
      </c>
      <c r="C148" s="140"/>
      <c r="D148" s="36" t="s">
        <v>213</v>
      </c>
      <c r="E148" s="34" t="s">
        <v>671</v>
      </c>
      <c r="F148" s="34" t="s">
        <v>1495</v>
      </c>
      <c r="G148" s="34" t="s">
        <v>1453</v>
      </c>
      <c r="H148" s="34" t="s">
        <v>1479</v>
      </c>
      <c r="I148" s="34" t="s">
        <v>837</v>
      </c>
      <c r="J148" s="34" t="s">
        <v>838</v>
      </c>
      <c r="K148" s="48">
        <v>46082.0</v>
      </c>
      <c r="L148" s="54" t="str">
        <f t="array" ref="L148">_xlfn.XLOOKUP(records_3[roomNo], database[roomNo], database[roomName])</f>
        <v>DISPENSING 1</v>
      </c>
      <c r="M148" s="56" t="str">
        <f t="array" ref="M148">_xlfn.XLOOKUP(records_3[roomNo], database[roomNo], database[building])</f>
        <v>Building 12</v>
      </c>
      <c r="N148" s="56" t="str">
        <f t="array" ref="N148">_xlfn.XLOOKUP(records_3[roomNo], database[roomNo], database[floor])</f>
        <v>Floor 2</v>
      </c>
      <c r="O148" s="50">
        <v>0.0</v>
      </c>
      <c r="P148" s="34" t="s">
        <v>839</v>
      </c>
      <c r="Q148" s="39" t="s">
        <v>2235</v>
      </c>
      <c r="R148" s="33"/>
      <c r="S148" s="33"/>
      <c r="T148" s="43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</row>
    <row r="149" ht="22.5" customHeight="1">
      <c r="A149" s="27">
        <v>46057.0</v>
      </c>
      <c r="B149" s="39" t="s">
        <v>689</v>
      </c>
      <c r="C149" s="140"/>
      <c r="D149" s="36" t="s">
        <v>213</v>
      </c>
      <c r="E149" s="34" t="s">
        <v>344</v>
      </c>
      <c r="F149" s="34" t="s">
        <v>495</v>
      </c>
      <c r="G149" s="34" t="s">
        <v>1521</v>
      </c>
      <c r="H149" s="34" t="s">
        <v>1522</v>
      </c>
      <c r="I149" s="34" t="s">
        <v>837</v>
      </c>
      <c r="J149" s="34" t="s">
        <v>838</v>
      </c>
      <c r="K149" s="48">
        <v>46082.0</v>
      </c>
      <c r="L149" s="54" t="str">
        <f t="array" ref="L149">_xlfn.XLOOKUP(records_3[roomNo], database[roomNo], database[roomName])</f>
        <v>DISPENSING 2</v>
      </c>
      <c r="M149" s="56" t="str">
        <f t="array" ref="M149">_xlfn.XLOOKUP(records_3[roomNo], database[roomNo], database[building])</f>
        <v>Building 12</v>
      </c>
      <c r="N149" s="56" t="str">
        <f t="array" ref="N149">_xlfn.XLOOKUP(records_3[roomNo], database[roomNo], database[floor])</f>
        <v>Floor 2</v>
      </c>
      <c r="O149" s="50">
        <v>0.0</v>
      </c>
      <c r="P149" s="34" t="s">
        <v>839</v>
      </c>
      <c r="Q149" s="80"/>
      <c r="R149" s="33"/>
      <c r="S149" s="33"/>
      <c r="T149" s="43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</row>
    <row r="150" ht="22.5" customHeight="1">
      <c r="A150" s="27">
        <v>46057.0</v>
      </c>
      <c r="B150" s="39" t="s">
        <v>689</v>
      </c>
      <c r="C150" s="140"/>
      <c r="D150" s="36" t="s">
        <v>213</v>
      </c>
      <c r="E150" s="34" t="s">
        <v>344</v>
      </c>
      <c r="F150" s="34" t="s">
        <v>495</v>
      </c>
      <c r="G150" s="34" t="s">
        <v>1521</v>
      </c>
      <c r="H150" s="34" t="s">
        <v>1479</v>
      </c>
      <c r="I150" s="34" t="s">
        <v>837</v>
      </c>
      <c r="J150" s="34" t="s">
        <v>838</v>
      </c>
      <c r="K150" s="48">
        <v>46082.0</v>
      </c>
      <c r="L150" s="54" t="str">
        <f t="array" ref="L150">_xlfn.XLOOKUP(records_3[roomNo], database[roomNo], database[roomName])</f>
        <v>DISPENSING 2</v>
      </c>
      <c r="M150" s="56" t="str">
        <f t="array" ref="M150">_xlfn.XLOOKUP(records_3[roomNo], database[roomNo], database[building])</f>
        <v>Building 12</v>
      </c>
      <c r="N150" s="56" t="str">
        <f t="array" ref="N150">_xlfn.XLOOKUP(records_3[roomNo], database[roomNo], database[floor])</f>
        <v>Floor 2</v>
      </c>
      <c r="O150" s="50">
        <v>0.0</v>
      </c>
      <c r="P150" s="34" t="s">
        <v>839</v>
      </c>
      <c r="Q150" s="39" t="s">
        <v>2235</v>
      </c>
      <c r="R150" s="33"/>
      <c r="S150" s="33"/>
      <c r="T150" s="43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</row>
    <row r="151" ht="22.5" customHeight="1">
      <c r="A151" s="27">
        <v>46057.0</v>
      </c>
      <c r="B151" s="39" t="s">
        <v>704</v>
      </c>
      <c r="C151" s="140"/>
      <c r="D151" s="36" t="s">
        <v>213</v>
      </c>
      <c r="E151" s="34" t="s">
        <v>1546</v>
      </c>
      <c r="F151" s="34" t="s">
        <v>1495</v>
      </c>
      <c r="G151" s="34" t="s">
        <v>1521</v>
      </c>
      <c r="H151" s="34" t="s">
        <v>1522</v>
      </c>
      <c r="I151" s="34" t="s">
        <v>837</v>
      </c>
      <c r="J151" s="34" t="s">
        <v>838</v>
      </c>
      <c r="K151" s="48">
        <v>46082.0</v>
      </c>
      <c r="L151" s="54" t="str">
        <f t="array" ref="L151">_xlfn.XLOOKUP(records_3[roomNo], database[roomNo], database[roomName])</f>
        <v>RM STAGING</v>
      </c>
      <c r="M151" s="56" t="str">
        <f t="array" ref="M151">_xlfn.XLOOKUP(records_3[roomNo], database[roomNo], database[building])</f>
        <v>Building 12</v>
      </c>
      <c r="N151" s="56" t="str">
        <f t="array" ref="N151">_xlfn.XLOOKUP(records_3[roomNo], database[roomNo], database[floor])</f>
        <v>Floor 2</v>
      </c>
      <c r="O151" s="50">
        <v>0.0</v>
      </c>
      <c r="P151" s="34" t="s">
        <v>839</v>
      </c>
      <c r="Q151" s="80"/>
      <c r="R151" s="33"/>
      <c r="S151" s="33"/>
      <c r="T151" s="43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</row>
    <row r="152" ht="22.5" customHeight="1">
      <c r="A152" s="27">
        <v>46057.0</v>
      </c>
      <c r="B152" s="39" t="s">
        <v>710</v>
      </c>
      <c r="C152" s="140"/>
      <c r="D152" s="36" t="s">
        <v>213</v>
      </c>
      <c r="E152" s="34" t="s">
        <v>671</v>
      </c>
      <c r="F152" s="34" t="s">
        <v>682</v>
      </c>
      <c r="G152" s="34" t="s">
        <v>1470</v>
      </c>
      <c r="H152" s="34" t="s">
        <v>1522</v>
      </c>
      <c r="I152" s="34" t="s">
        <v>837</v>
      </c>
      <c r="J152" s="34" t="s">
        <v>838</v>
      </c>
      <c r="K152" s="48">
        <v>46082.0</v>
      </c>
      <c r="L152" s="54" t="str">
        <f t="array" ref="L152">_xlfn.XLOOKUP(records_3[roomNo], database[roomNo], database[roomName])</f>
        <v>MAL</v>
      </c>
      <c r="M152" s="56" t="str">
        <f t="array" ref="M152">_xlfn.XLOOKUP(records_3[roomNo], database[roomNo], database[building])</f>
        <v>Building 12</v>
      </c>
      <c r="N152" s="56" t="str">
        <f t="array" ref="N152">_xlfn.XLOOKUP(records_3[roomNo], database[roomNo], database[floor])</f>
        <v>Floor 2</v>
      </c>
      <c r="O152" s="50">
        <v>0.0</v>
      </c>
      <c r="P152" s="34" t="s">
        <v>839</v>
      </c>
      <c r="Q152" s="80"/>
      <c r="R152" s="33"/>
      <c r="S152" s="33"/>
      <c r="T152" s="43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</row>
    <row r="153" ht="22.5" customHeight="1">
      <c r="A153" s="27">
        <v>46057.0</v>
      </c>
      <c r="B153" s="39" t="s">
        <v>714</v>
      </c>
      <c r="C153" s="140"/>
      <c r="D153" s="36" t="s">
        <v>213</v>
      </c>
      <c r="E153" s="34" t="s">
        <v>292</v>
      </c>
      <c r="F153" s="34" t="s">
        <v>810</v>
      </c>
      <c r="G153" s="34" t="s">
        <v>1430</v>
      </c>
      <c r="H153" s="34" t="s">
        <v>1407</v>
      </c>
      <c r="I153" s="34" t="s">
        <v>837</v>
      </c>
      <c r="J153" s="34" t="s">
        <v>838</v>
      </c>
      <c r="K153" s="48">
        <v>46082.0</v>
      </c>
      <c r="L153" s="54" t="str">
        <f t="array" ref="L153">_xlfn.XLOOKUP(records_3[roomNo], database[roomNo], database[roomName])</f>
        <v>CORRIDOR</v>
      </c>
      <c r="M153" s="56" t="str">
        <f t="array" ref="M153">_xlfn.XLOOKUP(records_3[roomNo], database[roomNo], database[building])</f>
        <v>Building 12</v>
      </c>
      <c r="N153" s="56" t="str">
        <f t="array" ref="N153">_xlfn.XLOOKUP(records_3[roomNo], database[roomNo], database[floor])</f>
        <v>Floor 2</v>
      </c>
      <c r="O153" s="50">
        <v>1.0</v>
      </c>
      <c r="P153" s="34" t="s">
        <v>839</v>
      </c>
      <c r="Q153" s="80"/>
      <c r="R153" s="33"/>
      <c r="S153" s="33"/>
      <c r="T153" s="43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</row>
    <row r="154" ht="22.5" customHeight="1">
      <c r="A154" s="27">
        <v>46057.0</v>
      </c>
      <c r="B154" s="39" t="s">
        <v>719</v>
      </c>
      <c r="C154" s="140"/>
      <c r="D154" s="36" t="s">
        <v>213</v>
      </c>
      <c r="E154" s="34" t="s">
        <v>292</v>
      </c>
      <c r="F154" s="34" t="s">
        <v>1452</v>
      </c>
      <c r="G154" s="34" t="s">
        <v>1571</v>
      </c>
      <c r="H154" s="34" t="s">
        <v>1454</v>
      </c>
      <c r="I154" s="34" t="s">
        <v>837</v>
      </c>
      <c r="J154" s="34" t="s">
        <v>838</v>
      </c>
      <c r="K154" s="48">
        <v>46082.0</v>
      </c>
      <c r="L154" s="54" t="str">
        <f t="array" ref="L154">_xlfn.XLOOKUP(records_3[roomNo], database[roomNo], database[roomName])</f>
        <v>WASHING</v>
      </c>
      <c r="M154" s="56" t="str">
        <f t="array" ref="M154">_xlfn.XLOOKUP(records_3[roomNo], database[roomNo], database[building])</f>
        <v>Building 12</v>
      </c>
      <c r="N154" s="56" t="str">
        <f t="array" ref="N154">_xlfn.XLOOKUP(records_3[roomNo], database[roomNo], database[floor])</f>
        <v>Floor 2</v>
      </c>
      <c r="O154" s="50">
        <v>0.0</v>
      </c>
      <c r="P154" s="34" t="s">
        <v>839</v>
      </c>
      <c r="Q154" s="80"/>
      <c r="R154" s="33"/>
      <c r="S154" s="33"/>
      <c r="T154" s="43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</row>
    <row r="155" ht="22.5" customHeight="1">
      <c r="A155" s="27">
        <v>46057.0</v>
      </c>
      <c r="B155" s="39" t="s">
        <v>725</v>
      </c>
      <c r="C155" s="140"/>
      <c r="D155" s="36" t="s">
        <v>213</v>
      </c>
      <c r="E155" s="34" t="s">
        <v>428</v>
      </c>
      <c r="F155" s="34" t="s">
        <v>1414</v>
      </c>
      <c r="G155" s="34" t="s">
        <v>1574</v>
      </c>
      <c r="H155" s="34" t="s">
        <v>1454</v>
      </c>
      <c r="I155" s="34" t="s">
        <v>837</v>
      </c>
      <c r="J155" s="34" t="s">
        <v>838</v>
      </c>
      <c r="K155" s="48">
        <v>46082.0</v>
      </c>
      <c r="L155" s="54" t="str">
        <f t="array" ref="L155">_xlfn.XLOOKUP(records_3[roomNo], database[roomNo], database[roomName])</f>
        <v>DRYING</v>
      </c>
      <c r="M155" s="56" t="str">
        <f t="array" ref="M155">_xlfn.XLOOKUP(records_3[roomNo], database[roomNo], database[building])</f>
        <v>Building 12</v>
      </c>
      <c r="N155" s="56" t="str">
        <f t="array" ref="N155">_xlfn.XLOOKUP(records_3[roomNo], database[roomNo], database[floor])</f>
        <v>Floor 2</v>
      </c>
      <c r="O155" s="50">
        <v>0.0</v>
      </c>
      <c r="P155" s="34" t="s">
        <v>839</v>
      </c>
      <c r="Q155" s="80"/>
      <c r="R155" s="33"/>
      <c r="S155" s="33"/>
      <c r="T155" s="43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</row>
    <row r="156" ht="22.5" customHeight="1">
      <c r="A156" s="27">
        <v>46057.0</v>
      </c>
      <c r="B156" s="39" t="s">
        <v>728</v>
      </c>
      <c r="C156" s="140"/>
      <c r="D156" s="36" t="s">
        <v>213</v>
      </c>
      <c r="E156" s="34" t="s">
        <v>469</v>
      </c>
      <c r="F156" s="34" t="s">
        <v>1031</v>
      </c>
      <c r="G156" s="34" t="s">
        <v>1574</v>
      </c>
      <c r="H156" s="34" t="s">
        <v>1454</v>
      </c>
      <c r="I156" s="34" t="s">
        <v>837</v>
      </c>
      <c r="J156" s="34" t="s">
        <v>838</v>
      </c>
      <c r="K156" s="48">
        <v>46082.0</v>
      </c>
      <c r="L156" s="54" t="str">
        <f t="array" ref="L156">_xlfn.XLOOKUP(records_3[roomNo], database[roomNo], database[roomName])</f>
        <v>CLEANED EQUIPMENT</v>
      </c>
      <c r="M156" s="56" t="str">
        <f t="array" ref="M156">_xlfn.XLOOKUP(records_3[roomNo], database[roomNo], database[building])</f>
        <v>Building 12</v>
      </c>
      <c r="N156" s="56" t="str">
        <f t="array" ref="N156">_xlfn.XLOOKUP(records_3[roomNo], database[roomNo], database[floor])</f>
        <v>Floor 2</v>
      </c>
      <c r="O156" s="50">
        <v>0.0</v>
      </c>
      <c r="P156" s="34" t="s">
        <v>839</v>
      </c>
      <c r="Q156" s="80"/>
      <c r="R156" s="33"/>
      <c r="S156" s="33"/>
      <c r="T156" s="43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</row>
    <row r="157" ht="22.5" customHeight="1">
      <c r="A157" s="27">
        <v>46057.0</v>
      </c>
      <c r="B157" s="39" t="s">
        <v>735</v>
      </c>
      <c r="C157" s="140"/>
      <c r="D157" s="36" t="s">
        <v>213</v>
      </c>
      <c r="E157" s="34" t="s">
        <v>366</v>
      </c>
      <c r="F157" s="34" t="s">
        <v>1332</v>
      </c>
      <c r="G157" s="34" t="s">
        <v>1574</v>
      </c>
      <c r="H157" s="34" t="s">
        <v>1454</v>
      </c>
      <c r="I157" s="34" t="s">
        <v>837</v>
      </c>
      <c r="J157" s="34" t="s">
        <v>838</v>
      </c>
      <c r="K157" s="48">
        <v>46082.0</v>
      </c>
      <c r="L157" s="54" t="str">
        <f t="array" ref="L157">_xlfn.XLOOKUP(records_3[roomNo], database[roomNo], database[roomName])</f>
        <v>JANITOR</v>
      </c>
      <c r="M157" s="56" t="str">
        <f t="array" ref="M157">_xlfn.XLOOKUP(records_3[roomNo], database[roomNo], database[building])</f>
        <v>Building 12</v>
      </c>
      <c r="N157" s="56" t="str">
        <f t="array" ref="N157">_xlfn.XLOOKUP(records_3[roomNo], database[roomNo], database[floor])</f>
        <v>Floor 2</v>
      </c>
      <c r="O157" s="50">
        <v>0.0</v>
      </c>
      <c r="P157" s="34" t="s">
        <v>839</v>
      </c>
      <c r="Q157" s="80"/>
      <c r="R157" s="33"/>
      <c r="S157" s="33"/>
      <c r="T157" s="43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</row>
    <row r="158" ht="22.5" customHeight="1">
      <c r="A158" s="27">
        <v>46057.0</v>
      </c>
      <c r="B158" s="39" t="s">
        <v>738</v>
      </c>
      <c r="C158" s="140"/>
      <c r="D158" s="36" t="s">
        <v>213</v>
      </c>
      <c r="E158" s="34" t="s">
        <v>484</v>
      </c>
      <c r="F158" s="34" t="s">
        <v>1577</v>
      </c>
      <c r="G158" s="34" t="s">
        <v>1578</v>
      </c>
      <c r="H158" s="34" t="s">
        <v>1272</v>
      </c>
      <c r="I158" s="34" t="s">
        <v>837</v>
      </c>
      <c r="J158" s="34" t="s">
        <v>838</v>
      </c>
      <c r="K158" s="48">
        <v>46082.0</v>
      </c>
      <c r="L158" s="54" t="str">
        <f t="array" ref="L158">_xlfn.XLOOKUP(records_3[roomNo], database[roomNo], database[roomName])</f>
        <v>PRODUCTION OFFICE</v>
      </c>
      <c r="M158" s="56" t="str">
        <f t="array" ref="M158">_xlfn.XLOOKUP(records_3[roomNo], database[roomNo], database[building])</f>
        <v>Building 12</v>
      </c>
      <c r="N158" s="56" t="str">
        <f t="array" ref="N158">_xlfn.XLOOKUP(records_3[roomNo], database[roomNo], database[floor])</f>
        <v>Floor 2</v>
      </c>
      <c r="O158" s="50">
        <v>0.0</v>
      </c>
      <c r="P158" s="34" t="s">
        <v>839</v>
      </c>
      <c r="Q158" s="80"/>
      <c r="R158" s="33"/>
      <c r="S158" s="33"/>
      <c r="T158" s="43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</row>
    <row r="159" ht="22.5" customHeight="1">
      <c r="A159" s="27">
        <v>46057.0</v>
      </c>
      <c r="B159" s="39" t="s">
        <v>744</v>
      </c>
      <c r="C159" s="140"/>
      <c r="D159" s="36" t="s">
        <v>213</v>
      </c>
      <c r="E159" s="34" t="s">
        <v>326</v>
      </c>
      <c r="F159" s="34" t="s">
        <v>575</v>
      </c>
      <c r="G159" s="34" t="s">
        <v>1381</v>
      </c>
      <c r="H159" s="34" t="s">
        <v>1382</v>
      </c>
      <c r="I159" s="34" t="s">
        <v>837</v>
      </c>
      <c r="J159" s="34" t="s">
        <v>838</v>
      </c>
      <c r="K159" s="48">
        <v>46082.0</v>
      </c>
      <c r="L159" s="54" t="str">
        <f t="array" ref="L159">_xlfn.XLOOKUP(records_3[roomNo], database[roomNo], database[roomName])</f>
        <v>LINEN STORAGE</v>
      </c>
      <c r="M159" s="56" t="str">
        <f t="array" ref="M159">_xlfn.XLOOKUP(records_3[roomNo], database[roomNo], database[building])</f>
        <v>Building 12</v>
      </c>
      <c r="N159" s="56" t="str">
        <f t="array" ref="N159">_xlfn.XLOOKUP(records_3[roomNo], database[roomNo], database[floor])</f>
        <v>Floor 2</v>
      </c>
      <c r="O159" s="50">
        <v>0.0</v>
      </c>
      <c r="P159" s="34" t="s">
        <v>839</v>
      </c>
      <c r="Q159" s="80"/>
      <c r="R159" s="33"/>
      <c r="S159" s="33"/>
      <c r="T159" s="43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</row>
    <row r="160" ht="22.5" customHeight="1">
      <c r="A160" s="27">
        <v>46057.0</v>
      </c>
      <c r="B160" s="39" t="s">
        <v>748</v>
      </c>
      <c r="C160" s="140"/>
      <c r="D160" s="36" t="s">
        <v>213</v>
      </c>
      <c r="E160" s="34" t="s">
        <v>353</v>
      </c>
      <c r="F160" s="34" t="s">
        <v>1582</v>
      </c>
      <c r="G160" s="34" t="s">
        <v>1381</v>
      </c>
      <c r="H160" s="34" t="s">
        <v>1382</v>
      </c>
      <c r="I160" s="34" t="s">
        <v>837</v>
      </c>
      <c r="J160" s="34" t="s">
        <v>838</v>
      </c>
      <c r="K160" s="48">
        <v>46082.0</v>
      </c>
      <c r="L160" s="54" t="str">
        <f t="array" ref="L160">_xlfn.XLOOKUP(records_3[roomNo], database[roomNo], database[roomName])</f>
        <v>CORRIDOR</v>
      </c>
      <c r="M160" s="56" t="str">
        <f t="array" ref="M160">_xlfn.XLOOKUP(records_3[roomNo], database[roomNo], database[building])</f>
        <v>Building 12</v>
      </c>
      <c r="N160" s="56" t="str">
        <f t="array" ref="N160">_xlfn.XLOOKUP(records_3[roomNo], database[roomNo], database[floor])</f>
        <v>Floor 2</v>
      </c>
      <c r="O160" s="50">
        <v>0.0</v>
      </c>
      <c r="P160" s="34" t="s">
        <v>839</v>
      </c>
      <c r="Q160" s="80"/>
      <c r="R160" s="33"/>
      <c r="S160" s="33"/>
      <c r="T160" s="43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</row>
    <row r="161" ht="22.5" customHeight="1">
      <c r="A161" s="18">
        <v>46057.0</v>
      </c>
      <c r="B161" s="32" t="s">
        <v>729</v>
      </c>
      <c r="C161" s="139"/>
      <c r="D161" s="21" t="s">
        <v>1021</v>
      </c>
      <c r="E161" s="20" t="s">
        <v>194</v>
      </c>
      <c r="F161" s="20" t="s">
        <v>194</v>
      </c>
      <c r="G161" s="20" t="s">
        <v>954</v>
      </c>
      <c r="H161" s="20" t="s">
        <v>194</v>
      </c>
      <c r="I161" s="20" t="s">
        <v>263</v>
      </c>
      <c r="J161" s="20" t="s">
        <v>264</v>
      </c>
      <c r="K161" s="30">
        <v>46267.0</v>
      </c>
      <c r="L161" s="35" t="str">
        <f t="array" ref="L161">_xlfn.XLOOKUP(records_3[roomNo], database[roomNo], database[roomName])</f>
        <v>FILTRATION 2 (UTILITY SKID ADAM)</v>
      </c>
      <c r="M161" s="38" t="str">
        <f t="array" ref="M161">_xlfn.XLOOKUP(records_3[roomNo], database[roomNo], database[building])</f>
        <v>Building 16</v>
      </c>
      <c r="N161" s="38" t="str">
        <f t="array" ref="N161">_xlfn.XLOOKUP(records_3[roomNo], database[roomNo], database[floor])</f>
        <v>Floor 1</v>
      </c>
      <c r="O161" s="31">
        <v>0.0</v>
      </c>
      <c r="P161" s="20" t="s">
        <v>1042</v>
      </c>
      <c r="Q161" s="80"/>
      <c r="R161" s="33"/>
      <c r="S161" s="33"/>
      <c r="T161" s="43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</row>
    <row r="162" ht="22.5" customHeight="1">
      <c r="A162" s="68">
        <v>46058.0</v>
      </c>
      <c r="B162" s="72" t="s">
        <v>765</v>
      </c>
      <c r="C162" s="168"/>
      <c r="D162" s="71" t="s">
        <v>1021</v>
      </c>
      <c r="E162" s="70" t="s">
        <v>569</v>
      </c>
      <c r="F162" s="70" t="s">
        <v>608</v>
      </c>
      <c r="G162" s="70" t="s">
        <v>194</v>
      </c>
      <c r="H162" s="70" t="s">
        <v>194</v>
      </c>
      <c r="I162" s="70" t="s">
        <v>263</v>
      </c>
      <c r="J162" s="70" t="s">
        <v>264</v>
      </c>
      <c r="K162" s="73">
        <v>46267.0</v>
      </c>
      <c r="L162" s="77" t="str">
        <f t="array" ref="L162">_xlfn.XLOOKUP(records_3[roomNo], database[roomNo], database[roomName])</f>
        <v>FILLING 2</v>
      </c>
      <c r="M162" s="81" t="str">
        <f t="array" ref="M162">_xlfn.XLOOKUP(records_3[roomNo], database[roomNo], database[building])</f>
        <v>Building 16</v>
      </c>
      <c r="N162" s="81" t="str">
        <f t="array" ref="N162">_xlfn.XLOOKUP(records_3[roomNo], database[roomNo], database[floor])</f>
        <v>Floor 1</v>
      </c>
      <c r="O162" s="74">
        <v>0.0</v>
      </c>
      <c r="P162" s="70" t="s">
        <v>1046</v>
      </c>
      <c r="Q162" s="80"/>
      <c r="R162" s="33"/>
      <c r="S162" s="33"/>
      <c r="T162" s="43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</row>
    <row r="163" ht="22.5" customHeight="1">
      <c r="A163" s="27">
        <v>46058.0</v>
      </c>
      <c r="B163" s="39" t="s">
        <v>740</v>
      </c>
      <c r="C163" s="140"/>
      <c r="D163" s="36" t="s">
        <v>1021</v>
      </c>
      <c r="E163" s="34" t="s">
        <v>317</v>
      </c>
      <c r="F163" s="34" t="s">
        <v>407</v>
      </c>
      <c r="G163" s="34" t="s">
        <v>194</v>
      </c>
      <c r="H163" s="34" t="s">
        <v>194</v>
      </c>
      <c r="I163" s="34" t="s">
        <v>263</v>
      </c>
      <c r="J163" s="34" t="s">
        <v>264</v>
      </c>
      <c r="K163" s="48">
        <v>46267.0</v>
      </c>
      <c r="L163" s="54" t="str">
        <f t="array" ref="L163">_xlfn.XLOOKUP(records_3[roomNo], database[roomNo], database[roomName])</f>
        <v>FILTRATION 1 (UTILITY SKID ADAM)</v>
      </c>
      <c r="M163" s="56" t="str">
        <f t="array" ref="M163">_xlfn.XLOOKUP(records_3[roomNo], database[roomNo], database[building])</f>
        <v>Building 16</v>
      </c>
      <c r="N163" s="56" t="str">
        <f t="array" ref="N163">_xlfn.XLOOKUP(records_3[roomNo], database[roomNo], database[floor])</f>
        <v>Floor 1</v>
      </c>
      <c r="O163" s="50">
        <v>0.0</v>
      </c>
      <c r="P163" s="34" t="s">
        <v>1046</v>
      </c>
      <c r="Q163" s="80"/>
      <c r="R163" s="33"/>
      <c r="S163" s="33"/>
      <c r="T163" s="43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</row>
    <row r="164" ht="22.5" customHeight="1">
      <c r="A164" s="27">
        <v>46058.0</v>
      </c>
      <c r="B164" s="39" t="s">
        <v>774</v>
      </c>
      <c r="C164" s="140"/>
      <c r="D164" s="36" t="s">
        <v>1021</v>
      </c>
      <c r="E164" s="34" t="s">
        <v>314</v>
      </c>
      <c r="F164" s="34" t="s">
        <v>1054</v>
      </c>
      <c r="G164" s="34" t="s">
        <v>194</v>
      </c>
      <c r="H164" s="34" t="s">
        <v>194</v>
      </c>
      <c r="I164" s="34" t="s">
        <v>263</v>
      </c>
      <c r="J164" s="34" t="s">
        <v>264</v>
      </c>
      <c r="K164" s="48">
        <v>46267.0</v>
      </c>
      <c r="L164" s="54" t="str">
        <f t="array" ref="L164">_xlfn.XLOOKUP(records_3[roomNo], database[roomNo], database[roomName])</f>
        <v>FILLING 1</v>
      </c>
      <c r="M164" s="56" t="str">
        <f t="array" ref="M164">_xlfn.XLOOKUP(records_3[roomNo], database[roomNo], database[building])</f>
        <v>Building 16</v>
      </c>
      <c r="N164" s="56" t="str">
        <f t="array" ref="N164">_xlfn.XLOOKUP(records_3[roomNo], database[roomNo], database[floor])</f>
        <v>Floor 1</v>
      </c>
      <c r="O164" s="50">
        <v>0.0</v>
      </c>
      <c r="P164" s="34" t="s">
        <v>1046</v>
      </c>
      <c r="Q164" s="80"/>
      <c r="R164" s="33"/>
      <c r="S164" s="33"/>
      <c r="T164" s="43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</row>
    <row r="165" ht="22.5" customHeight="1">
      <c r="A165" s="27">
        <v>46058.0</v>
      </c>
      <c r="B165" s="39" t="s">
        <v>763</v>
      </c>
      <c r="C165" s="140"/>
      <c r="D165" s="36" t="s">
        <v>1021</v>
      </c>
      <c r="E165" s="34" t="s">
        <v>292</v>
      </c>
      <c r="F165" s="34" t="s">
        <v>1072</v>
      </c>
      <c r="G165" s="34" t="s">
        <v>194</v>
      </c>
      <c r="H165" s="34" t="s">
        <v>194</v>
      </c>
      <c r="I165" s="34" t="s">
        <v>263</v>
      </c>
      <c r="J165" s="34" t="s">
        <v>264</v>
      </c>
      <c r="K165" s="48">
        <v>46267.0</v>
      </c>
      <c r="L165" s="54" t="str">
        <f t="array" ref="L165">_xlfn.XLOOKUP(records_3[roomNo], database[roomNo], database[roomName])</f>
        <v>COMPOUNDING 1 (UTILITY SKID ADAM)</v>
      </c>
      <c r="M165" s="56" t="str">
        <f t="array" ref="M165">_xlfn.XLOOKUP(records_3[roomNo], database[roomNo], database[building])</f>
        <v>Building 16</v>
      </c>
      <c r="N165" s="56" t="str">
        <f t="array" ref="N165">_xlfn.XLOOKUP(records_3[roomNo], database[roomNo], database[floor])</f>
        <v>Floor 1</v>
      </c>
      <c r="O165" s="50">
        <v>0.0</v>
      </c>
      <c r="P165" s="34" t="s">
        <v>1046</v>
      </c>
      <c r="Q165" s="80"/>
      <c r="R165" s="33"/>
      <c r="S165" s="33"/>
      <c r="T165" s="43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</row>
    <row r="166" ht="22.5" customHeight="1">
      <c r="A166" s="18">
        <v>46058.0</v>
      </c>
      <c r="B166" s="32" t="s">
        <v>776</v>
      </c>
      <c r="C166" s="139"/>
      <c r="D166" s="21" t="s">
        <v>1021</v>
      </c>
      <c r="E166" s="20" t="s">
        <v>1087</v>
      </c>
      <c r="F166" s="20" t="s">
        <v>1088</v>
      </c>
      <c r="G166" s="20" t="s">
        <v>194</v>
      </c>
      <c r="H166" s="20" t="s">
        <v>194</v>
      </c>
      <c r="I166" s="20" t="s">
        <v>263</v>
      </c>
      <c r="J166" s="20" t="s">
        <v>264</v>
      </c>
      <c r="K166" s="30">
        <v>46267.0</v>
      </c>
      <c r="L166" s="35" t="str">
        <f t="array" ref="L166">_xlfn.XLOOKUP(records_3[roomNo], database[roomNo], database[roomName])</f>
        <v>COMPOUNDING 2 (UTILITY SKID)</v>
      </c>
      <c r="M166" s="38" t="str">
        <f t="array" ref="M166">_xlfn.XLOOKUP(records_3[roomNo], database[roomNo], database[building])</f>
        <v>Building 16</v>
      </c>
      <c r="N166" s="38" t="str">
        <f t="array" ref="N166">_xlfn.XLOOKUP(records_3[roomNo], database[roomNo], database[floor])</f>
        <v>Floor 1</v>
      </c>
      <c r="O166" s="31">
        <v>0.0</v>
      </c>
      <c r="P166" s="34" t="s">
        <v>1046</v>
      </c>
      <c r="Q166" s="80"/>
      <c r="R166" s="33"/>
      <c r="S166" s="33"/>
      <c r="T166" s="43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</row>
    <row r="167" ht="22.5" customHeight="1">
      <c r="A167" s="68">
        <v>46059.0</v>
      </c>
      <c r="B167" s="72" t="s">
        <v>1360</v>
      </c>
      <c r="C167" s="168"/>
      <c r="D167" s="71" t="s">
        <v>213</v>
      </c>
      <c r="E167" s="70" t="s">
        <v>252</v>
      </c>
      <c r="F167" s="70" t="s">
        <v>1583</v>
      </c>
      <c r="G167" s="70" t="s">
        <v>1584</v>
      </c>
      <c r="H167" s="70" t="s">
        <v>1585</v>
      </c>
      <c r="I167" s="70" t="s">
        <v>837</v>
      </c>
      <c r="J167" s="70" t="s">
        <v>1099</v>
      </c>
      <c r="K167" s="73">
        <v>46082.0</v>
      </c>
      <c r="L167" s="77" t="str">
        <f t="array" ref="L167">_xlfn.XLOOKUP(records_3[roomNo], database[roomNo], database[roomName])</f>
        <v>CHANGING ROOM</v>
      </c>
      <c r="M167" s="81" t="str">
        <f t="array" ref="M167">_xlfn.XLOOKUP(records_3[roomNo], database[roomNo], database[building])</f>
        <v>Building 12</v>
      </c>
      <c r="N167" s="81" t="str">
        <f t="array" ref="N167">_xlfn.XLOOKUP(records_3[roomNo], database[roomNo], database[floor])</f>
        <v>Floor 1</v>
      </c>
      <c r="O167" s="74">
        <v>0.0</v>
      </c>
      <c r="P167" s="70" t="s">
        <v>1586</v>
      </c>
      <c r="Q167" s="80"/>
      <c r="R167" s="33"/>
      <c r="S167" s="33"/>
      <c r="T167" s="43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</row>
    <row r="168" ht="22.5" customHeight="1">
      <c r="A168" s="27">
        <v>46059.0</v>
      </c>
      <c r="B168" s="39" t="s">
        <v>1362</v>
      </c>
      <c r="C168" s="140"/>
      <c r="D168" s="36" t="s">
        <v>213</v>
      </c>
      <c r="E168" s="34" t="s">
        <v>791</v>
      </c>
      <c r="F168" s="34" t="s">
        <v>1587</v>
      </c>
      <c r="G168" s="34" t="s">
        <v>1588</v>
      </c>
      <c r="H168" s="34" t="s">
        <v>1585</v>
      </c>
      <c r="I168" s="34" t="s">
        <v>837</v>
      </c>
      <c r="J168" s="34" t="s">
        <v>1099</v>
      </c>
      <c r="K168" s="48">
        <v>46082.0</v>
      </c>
      <c r="L168" s="54" t="str">
        <f t="array" ref="L168">_xlfn.XLOOKUP(records_3[roomNo], database[roomNo], database[roomName])</f>
        <v>SUGAR TRANSFERRING</v>
      </c>
      <c r="M168" s="56" t="str">
        <f t="array" ref="M168">_xlfn.XLOOKUP(records_3[roomNo], database[roomNo], database[building])</f>
        <v>Building 12</v>
      </c>
      <c r="N168" s="56" t="str">
        <f t="array" ref="N168">_xlfn.XLOOKUP(records_3[roomNo], database[roomNo], database[floor])</f>
        <v>Floor 1</v>
      </c>
      <c r="O168" s="50">
        <v>1.0</v>
      </c>
      <c r="P168" s="34" t="s">
        <v>1586</v>
      </c>
      <c r="Q168" s="80"/>
      <c r="R168" s="33"/>
      <c r="S168" s="33"/>
      <c r="T168" s="43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</row>
    <row r="169" ht="22.5" customHeight="1">
      <c r="A169" s="27">
        <v>46059.0</v>
      </c>
      <c r="B169" s="39" t="s">
        <v>1365</v>
      </c>
      <c r="C169" s="140"/>
      <c r="D169" s="36" t="s">
        <v>213</v>
      </c>
      <c r="E169" s="34" t="s">
        <v>326</v>
      </c>
      <c r="F169" s="34" t="s">
        <v>407</v>
      </c>
      <c r="G169" s="34" t="s">
        <v>399</v>
      </c>
      <c r="H169" s="34" t="s">
        <v>1585</v>
      </c>
      <c r="I169" s="34" t="s">
        <v>837</v>
      </c>
      <c r="J169" s="34" t="s">
        <v>1099</v>
      </c>
      <c r="K169" s="48">
        <v>46082.0</v>
      </c>
      <c r="L169" s="54" t="str">
        <f t="array" ref="L169">_xlfn.XLOOKUP(records_3[roomNo], database[roomNo], database[roomName])</f>
        <v>PROCESS CHANGE</v>
      </c>
      <c r="M169" s="56" t="str">
        <f t="array" ref="M169">_xlfn.XLOOKUP(records_3[roomNo], database[roomNo], database[building])</f>
        <v>Building 12</v>
      </c>
      <c r="N169" s="56" t="str">
        <f t="array" ref="N169">_xlfn.XLOOKUP(records_3[roomNo], database[roomNo], database[floor])</f>
        <v>Floor 1</v>
      </c>
      <c r="O169" s="50">
        <v>2.0</v>
      </c>
      <c r="P169" s="34" t="s">
        <v>1586</v>
      </c>
      <c r="Q169" s="80"/>
      <c r="R169" s="33"/>
      <c r="S169" s="33"/>
      <c r="T169" s="43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</row>
    <row r="170" ht="22.5" customHeight="1">
      <c r="A170" s="27">
        <v>46059.0</v>
      </c>
      <c r="B170" s="39" t="s">
        <v>1366</v>
      </c>
      <c r="C170" s="140"/>
      <c r="D170" s="36" t="s">
        <v>213</v>
      </c>
      <c r="E170" s="34" t="s">
        <v>303</v>
      </c>
      <c r="F170" s="34" t="s">
        <v>1604</v>
      </c>
      <c r="G170" s="34" t="s">
        <v>1605</v>
      </c>
      <c r="H170" s="34" t="s">
        <v>1585</v>
      </c>
      <c r="I170" s="34" t="s">
        <v>837</v>
      </c>
      <c r="J170" s="34" t="s">
        <v>1099</v>
      </c>
      <c r="K170" s="48">
        <v>46082.0</v>
      </c>
      <c r="L170" s="54" t="str">
        <f t="array" ref="L170">_xlfn.XLOOKUP(records_3[roomNo], database[roomNo], database[roomName])</f>
        <v>CORRIDOR</v>
      </c>
      <c r="M170" s="56" t="str">
        <f t="array" ref="M170">_xlfn.XLOOKUP(records_3[roomNo], database[roomNo], database[building])</f>
        <v>Building 12</v>
      </c>
      <c r="N170" s="56" t="str">
        <f t="array" ref="N170">_xlfn.XLOOKUP(records_3[roomNo], database[roomNo], database[floor])</f>
        <v>Floor 1</v>
      </c>
      <c r="O170" s="50">
        <v>1.0</v>
      </c>
      <c r="P170" s="34" t="s">
        <v>1586</v>
      </c>
      <c r="Q170" s="80"/>
      <c r="R170" s="33"/>
      <c r="S170" s="33"/>
      <c r="T170" s="43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</row>
    <row r="171" ht="22.5" customHeight="1">
      <c r="A171" s="27">
        <v>46059.0</v>
      </c>
      <c r="B171" s="39" t="s">
        <v>1367</v>
      </c>
      <c r="C171" s="140"/>
      <c r="D171" s="36" t="s">
        <v>213</v>
      </c>
      <c r="E171" s="34" t="s">
        <v>381</v>
      </c>
      <c r="F171" s="34" t="s">
        <v>767</v>
      </c>
      <c r="G171" s="34" t="s">
        <v>1609</v>
      </c>
      <c r="H171" s="34" t="s">
        <v>1585</v>
      </c>
      <c r="I171" s="34" t="s">
        <v>837</v>
      </c>
      <c r="J171" s="34" t="s">
        <v>1099</v>
      </c>
      <c r="K171" s="48">
        <v>46082.0</v>
      </c>
      <c r="L171" s="54" t="str">
        <f t="array" ref="L171">_xlfn.XLOOKUP(records_3[roomNo], database[roomNo], database[roomName])</f>
        <v>CORRIDOR</v>
      </c>
      <c r="M171" s="56" t="str">
        <f t="array" ref="M171">_xlfn.XLOOKUP(records_3[roomNo], database[roomNo], database[building])</f>
        <v>Building 12</v>
      </c>
      <c r="N171" s="56" t="str">
        <f t="array" ref="N171">_xlfn.XLOOKUP(records_3[roomNo], database[roomNo], database[floor])</f>
        <v>Floor 1</v>
      </c>
      <c r="O171" s="50">
        <v>0.0</v>
      </c>
      <c r="P171" s="34" t="s">
        <v>1586</v>
      </c>
      <c r="Q171" s="80"/>
      <c r="R171" s="33"/>
      <c r="S171" s="33"/>
      <c r="T171" s="43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</row>
    <row r="172" ht="22.5" customHeight="1">
      <c r="A172" s="27">
        <v>46059.0</v>
      </c>
      <c r="B172" s="39" t="s">
        <v>1368</v>
      </c>
      <c r="C172" s="140"/>
      <c r="D172" s="36" t="s">
        <v>213</v>
      </c>
      <c r="E172" s="34" t="s">
        <v>681</v>
      </c>
      <c r="F172" s="34" t="s">
        <v>557</v>
      </c>
      <c r="G172" s="34" t="s">
        <v>1609</v>
      </c>
      <c r="H172" s="34" t="s">
        <v>1585</v>
      </c>
      <c r="I172" s="34" t="s">
        <v>837</v>
      </c>
      <c r="J172" s="34" t="s">
        <v>1099</v>
      </c>
      <c r="K172" s="48">
        <v>46082.0</v>
      </c>
      <c r="L172" s="54" t="str">
        <f t="array" ref="L172">_xlfn.XLOOKUP(records_3[roomNo], database[roomNo], database[roomName])</f>
        <v>LINEN WASHING (LINEN WASHING MACHINE)</v>
      </c>
      <c r="M172" s="56" t="str">
        <f t="array" ref="M172">_xlfn.XLOOKUP(records_3[roomNo], database[roomNo], database[building])</f>
        <v>Building 12</v>
      </c>
      <c r="N172" s="56" t="str">
        <f t="array" ref="N172">_xlfn.XLOOKUP(records_3[roomNo], database[roomNo], database[floor])</f>
        <v>Floor 1</v>
      </c>
      <c r="O172" s="50">
        <v>0.0</v>
      </c>
      <c r="P172" s="34" t="s">
        <v>1586</v>
      </c>
      <c r="Q172" s="80"/>
      <c r="R172" s="33"/>
      <c r="S172" s="33"/>
      <c r="T172" s="43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</row>
    <row r="173" ht="22.5" customHeight="1">
      <c r="A173" s="27">
        <v>46059.0</v>
      </c>
      <c r="B173" s="39" t="s">
        <v>1369</v>
      </c>
      <c r="C173" s="140"/>
      <c r="D173" s="36" t="s">
        <v>213</v>
      </c>
      <c r="E173" s="34" t="s">
        <v>700</v>
      </c>
      <c r="F173" s="34" t="s">
        <v>354</v>
      </c>
      <c r="G173" s="34" t="s">
        <v>1612</v>
      </c>
      <c r="H173" s="34" t="s">
        <v>1613</v>
      </c>
      <c r="I173" s="34" t="s">
        <v>837</v>
      </c>
      <c r="J173" s="34" t="s">
        <v>1099</v>
      </c>
      <c r="K173" s="48">
        <v>46082.0</v>
      </c>
      <c r="L173" s="54" t="str">
        <f t="array" ref="L173">_xlfn.XLOOKUP(records_3[roomNo], database[roomNo], database[roomName])</f>
        <v>LINEN DRY</v>
      </c>
      <c r="M173" s="56" t="str">
        <f t="array" ref="M173">_xlfn.XLOOKUP(records_3[roomNo], database[roomNo], database[building])</f>
        <v>Building 12</v>
      </c>
      <c r="N173" s="56" t="str">
        <f t="array" ref="N173">_xlfn.XLOOKUP(records_3[roomNo], database[roomNo], database[floor])</f>
        <v>Floor 1</v>
      </c>
      <c r="O173" s="50">
        <v>1.0</v>
      </c>
      <c r="P173" s="34" t="s">
        <v>1586</v>
      </c>
      <c r="Q173" s="80"/>
      <c r="R173" s="33"/>
      <c r="S173" s="33"/>
      <c r="T173" s="43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</row>
    <row r="174" ht="22.5" customHeight="1">
      <c r="A174" s="27">
        <v>46059.0</v>
      </c>
      <c r="B174" s="39" t="s">
        <v>1370</v>
      </c>
      <c r="C174" s="140"/>
      <c r="D174" s="36" t="s">
        <v>213</v>
      </c>
      <c r="E174" s="34" t="s">
        <v>435</v>
      </c>
      <c r="F174" s="34" t="s">
        <v>1622</v>
      </c>
      <c r="G174" s="34" t="s">
        <v>1623</v>
      </c>
      <c r="H174" s="34" t="s">
        <v>1613</v>
      </c>
      <c r="I174" s="34" t="s">
        <v>837</v>
      </c>
      <c r="J174" s="34" t="s">
        <v>1099</v>
      </c>
      <c r="K174" s="48">
        <v>46082.0</v>
      </c>
      <c r="L174" s="54" t="str">
        <f t="array" ref="L174">_xlfn.XLOOKUP(records_3[roomNo], database[roomNo], database[roomName])</f>
        <v>PALLET TRUCK ROOM</v>
      </c>
      <c r="M174" s="56" t="str">
        <f t="array" ref="M174">_xlfn.XLOOKUP(records_3[roomNo], database[roomNo], database[building])</f>
        <v>Building 12</v>
      </c>
      <c r="N174" s="56" t="str">
        <f t="array" ref="N174">_xlfn.XLOOKUP(records_3[roomNo], database[roomNo], database[floor])</f>
        <v>Floor 1</v>
      </c>
      <c r="O174" s="50">
        <v>0.0</v>
      </c>
      <c r="P174" s="34" t="s">
        <v>1586</v>
      </c>
      <c r="Q174" s="80"/>
      <c r="R174" s="33"/>
      <c r="S174" s="33"/>
      <c r="T174" s="43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</row>
    <row r="175" ht="22.5" customHeight="1">
      <c r="A175" s="27">
        <v>46059.0</v>
      </c>
      <c r="B175" s="39" t="s">
        <v>1372</v>
      </c>
      <c r="C175" s="140"/>
      <c r="D175" s="36" t="s">
        <v>213</v>
      </c>
      <c r="E175" s="34" t="s">
        <v>366</v>
      </c>
      <c r="F175" s="34" t="s">
        <v>343</v>
      </c>
      <c r="G175" s="34" t="s">
        <v>939</v>
      </c>
      <c r="H175" s="34" t="s">
        <v>1613</v>
      </c>
      <c r="I175" s="34" t="s">
        <v>837</v>
      </c>
      <c r="J175" s="34" t="s">
        <v>1099</v>
      </c>
      <c r="K175" s="48">
        <v>46082.0</v>
      </c>
      <c r="L175" s="54" t="str">
        <f t="array" ref="L175">_xlfn.XLOOKUP(records_3[roomNo], database[roomNo], database[roomName])</f>
        <v>AIRLOCK</v>
      </c>
      <c r="M175" s="56" t="str">
        <f t="array" ref="M175">_xlfn.XLOOKUP(records_3[roomNo], database[roomNo], database[building])</f>
        <v>Building 12</v>
      </c>
      <c r="N175" s="56" t="str">
        <f t="array" ref="N175">_xlfn.XLOOKUP(records_3[roomNo], database[roomNo], database[floor])</f>
        <v>Floor 1</v>
      </c>
      <c r="O175" s="50">
        <v>4.0</v>
      </c>
      <c r="P175" s="34" t="s">
        <v>1586</v>
      </c>
      <c r="Q175" s="80"/>
      <c r="R175" s="33"/>
      <c r="S175" s="33"/>
      <c r="T175" s="43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</row>
    <row r="176" ht="22.5" customHeight="1">
      <c r="A176" s="27">
        <v>46059.0</v>
      </c>
      <c r="B176" s="39" t="s">
        <v>1373</v>
      </c>
      <c r="C176" s="140"/>
      <c r="D176" s="36" t="s">
        <v>213</v>
      </c>
      <c r="E176" s="34" t="s">
        <v>428</v>
      </c>
      <c r="F176" s="34" t="s">
        <v>1604</v>
      </c>
      <c r="G176" s="34" t="s">
        <v>1605</v>
      </c>
      <c r="H176" s="34" t="s">
        <v>1613</v>
      </c>
      <c r="I176" s="34" t="s">
        <v>837</v>
      </c>
      <c r="J176" s="34" t="s">
        <v>1099</v>
      </c>
      <c r="K176" s="48">
        <v>46082.0</v>
      </c>
      <c r="L176" s="54" t="str">
        <f t="array" ref="L176">_xlfn.XLOOKUP(records_3[roomNo], database[roomNo], database[roomName])</f>
        <v>AIRLOCK</v>
      </c>
      <c r="M176" s="56" t="str">
        <f t="array" ref="M176">_xlfn.XLOOKUP(records_3[roomNo], database[roomNo], database[building])</f>
        <v>Building 12</v>
      </c>
      <c r="N176" s="56" t="str">
        <f t="array" ref="N176">_xlfn.XLOOKUP(records_3[roomNo], database[roomNo], database[floor])</f>
        <v>Floor 1</v>
      </c>
      <c r="O176" s="50">
        <v>0.0</v>
      </c>
      <c r="P176" s="34" t="s">
        <v>1586</v>
      </c>
      <c r="Q176" s="80"/>
      <c r="R176" s="33"/>
      <c r="S176" s="33"/>
      <c r="T176" s="43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</row>
    <row r="177" ht="22.5" customHeight="1">
      <c r="A177" s="27">
        <v>46059.0</v>
      </c>
      <c r="B177" s="39" t="s">
        <v>1374</v>
      </c>
      <c r="C177" s="140"/>
      <c r="D177" s="36" t="s">
        <v>213</v>
      </c>
      <c r="E177" s="34" t="s">
        <v>292</v>
      </c>
      <c r="F177" s="34" t="s">
        <v>503</v>
      </c>
      <c r="G177" s="34" t="s">
        <v>1635</v>
      </c>
      <c r="H177" s="34" t="s">
        <v>1636</v>
      </c>
      <c r="I177" s="34" t="s">
        <v>837</v>
      </c>
      <c r="J177" s="34" t="s">
        <v>1099</v>
      </c>
      <c r="K177" s="48">
        <v>46082.0</v>
      </c>
      <c r="L177" s="54" t="str">
        <f t="array" ref="L177">_xlfn.XLOOKUP(records_3[roomNo], database[roomNo], database[roomName])</f>
        <v>IPQC</v>
      </c>
      <c r="M177" s="56" t="str">
        <f t="array" ref="M177">_xlfn.XLOOKUP(records_3[roomNo], database[roomNo], database[building])</f>
        <v>Building 12</v>
      </c>
      <c r="N177" s="56" t="str">
        <f t="array" ref="N177">_xlfn.XLOOKUP(records_3[roomNo], database[roomNo], database[floor])</f>
        <v>Floor 1</v>
      </c>
      <c r="O177" s="50">
        <v>0.0</v>
      </c>
      <c r="P177" s="34" t="s">
        <v>1586</v>
      </c>
      <c r="Q177" s="80"/>
      <c r="R177" s="33"/>
      <c r="S177" s="33"/>
      <c r="T177" s="43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</row>
    <row r="178" ht="22.5" customHeight="1">
      <c r="A178" s="27">
        <v>46059.0</v>
      </c>
      <c r="B178" s="39" t="s">
        <v>1375</v>
      </c>
      <c r="C178" s="140"/>
      <c r="D178" s="36" t="s">
        <v>213</v>
      </c>
      <c r="E178" s="34" t="s">
        <v>428</v>
      </c>
      <c r="F178" s="34" t="s">
        <v>490</v>
      </c>
      <c r="G178" s="34" t="s">
        <v>1637</v>
      </c>
      <c r="H178" s="34" t="s">
        <v>1636</v>
      </c>
      <c r="I178" s="34" t="s">
        <v>837</v>
      </c>
      <c r="J178" s="34" t="s">
        <v>1099</v>
      </c>
      <c r="K178" s="48">
        <v>46082.0</v>
      </c>
      <c r="L178" s="54" t="str">
        <f t="array" ref="L178">_xlfn.XLOOKUP(records_3[roomNo], database[roomNo], database[roomName])</f>
        <v>CHANGE PART STORAGE</v>
      </c>
      <c r="M178" s="56" t="str">
        <f t="array" ref="M178">_xlfn.XLOOKUP(records_3[roomNo], database[roomNo], database[building])</f>
        <v>Building 12</v>
      </c>
      <c r="N178" s="56" t="str">
        <f t="array" ref="N178">_xlfn.XLOOKUP(records_3[roomNo], database[roomNo], database[floor])</f>
        <v>Floor 1</v>
      </c>
      <c r="O178" s="50">
        <v>0.0</v>
      </c>
      <c r="P178" s="34" t="s">
        <v>1586</v>
      </c>
      <c r="Q178" s="80"/>
      <c r="R178" s="33"/>
      <c r="S178" s="33"/>
      <c r="T178" s="43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</row>
    <row r="179" ht="22.5" customHeight="1">
      <c r="A179" s="27">
        <v>46059.0</v>
      </c>
      <c r="B179" s="39" t="s">
        <v>1377</v>
      </c>
      <c r="C179" s="140"/>
      <c r="D179" s="36" t="s">
        <v>213</v>
      </c>
      <c r="E179" s="34" t="s">
        <v>469</v>
      </c>
      <c r="F179" s="34" t="s">
        <v>522</v>
      </c>
      <c r="G179" s="34" t="s">
        <v>1637</v>
      </c>
      <c r="H179" s="34" t="s">
        <v>1636</v>
      </c>
      <c r="I179" s="34" t="s">
        <v>837</v>
      </c>
      <c r="J179" s="34" t="s">
        <v>1099</v>
      </c>
      <c r="K179" s="48">
        <v>46082.0</v>
      </c>
      <c r="L179" s="54" t="str">
        <f t="array" ref="L179">_xlfn.XLOOKUP(records_3[roomNo], database[roomNo], database[roomName])</f>
        <v>AIRLOCK</v>
      </c>
      <c r="M179" s="56" t="str">
        <f t="array" ref="M179">_xlfn.XLOOKUP(records_3[roomNo], database[roomNo], database[building])</f>
        <v>Building 12</v>
      </c>
      <c r="N179" s="56" t="str">
        <f t="array" ref="N179">_xlfn.XLOOKUP(records_3[roomNo], database[roomNo], database[floor])</f>
        <v>Floor 1</v>
      </c>
      <c r="O179" s="50">
        <v>0.0</v>
      </c>
      <c r="P179" s="34" t="s">
        <v>1586</v>
      </c>
      <c r="Q179" s="80"/>
      <c r="R179" s="33"/>
      <c r="S179" s="33"/>
      <c r="T179" s="43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</row>
    <row r="180" ht="22.5" customHeight="1">
      <c r="A180" s="27">
        <v>46059.0</v>
      </c>
      <c r="B180" s="39" t="s">
        <v>1378</v>
      </c>
      <c r="C180" s="140"/>
      <c r="D180" s="36" t="s">
        <v>213</v>
      </c>
      <c r="E180" s="34" t="s">
        <v>252</v>
      </c>
      <c r="F180" s="34" t="s">
        <v>1660</v>
      </c>
      <c r="G180" s="34" t="s">
        <v>1661</v>
      </c>
      <c r="H180" s="34" t="s">
        <v>1636</v>
      </c>
      <c r="I180" s="34" t="s">
        <v>837</v>
      </c>
      <c r="J180" s="34" t="s">
        <v>1099</v>
      </c>
      <c r="K180" s="48">
        <v>46082.0</v>
      </c>
      <c r="L180" s="54" t="str">
        <f t="array" ref="L180">_xlfn.XLOOKUP(records_3[roomNo], database[roomNo], database[roomName])</f>
        <v>CORRIDOR</v>
      </c>
      <c r="M180" s="56" t="str">
        <f t="array" ref="M180">_xlfn.XLOOKUP(records_3[roomNo], database[roomNo], database[building])</f>
        <v>Building 12</v>
      </c>
      <c r="N180" s="56" t="str">
        <f t="array" ref="N180">_xlfn.XLOOKUP(records_3[roomNo], database[roomNo], database[floor])</f>
        <v>Floor 1</v>
      </c>
      <c r="O180" s="50">
        <v>0.0</v>
      </c>
      <c r="P180" s="34" t="s">
        <v>1586</v>
      </c>
      <c r="Q180" s="80"/>
      <c r="R180" s="33"/>
      <c r="S180" s="33"/>
      <c r="T180" s="43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</row>
    <row r="181" ht="22.5" customHeight="1">
      <c r="A181" s="27">
        <v>46059.0</v>
      </c>
      <c r="B181" s="39" t="s">
        <v>1379</v>
      </c>
      <c r="C181" s="140"/>
      <c r="D181" s="36" t="s">
        <v>213</v>
      </c>
      <c r="E181" s="34" t="s">
        <v>671</v>
      </c>
      <c r="F181" s="34" t="s">
        <v>315</v>
      </c>
      <c r="G181" s="34" t="s">
        <v>1661</v>
      </c>
      <c r="H181" s="34" t="s">
        <v>1636</v>
      </c>
      <c r="I181" s="34" t="s">
        <v>837</v>
      </c>
      <c r="J181" s="34" t="s">
        <v>1099</v>
      </c>
      <c r="K181" s="48">
        <v>46082.0</v>
      </c>
      <c r="L181" s="54" t="str">
        <f t="array" ref="L181">_xlfn.XLOOKUP(records_3[roomNo], database[roomNo], database[roomName])</f>
        <v>JANITOR</v>
      </c>
      <c r="M181" s="56" t="str">
        <f t="array" ref="M181">_xlfn.XLOOKUP(records_3[roomNo], database[roomNo], database[building])</f>
        <v>Building 12</v>
      </c>
      <c r="N181" s="56" t="str">
        <f t="array" ref="N181">_xlfn.XLOOKUP(records_3[roomNo], database[roomNo], database[floor])</f>
        <v>Floor 1</v>
      </c>
      <c r="O181" s="50">
        <v>0.0</v>
      </c>
      <c r="P181" s="34" t="s">
        <v>1586</v>
      </c>
      <c r="Q181" s="80"/>
      <c r="R181" s="33"/>
      <c r="S181" s="33"/>
      <c r="T181" s="43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</row>
    <row r="182" ht="22.5" customHeight="1">
      <c r="A182" s="27">
        <v>46059.0</v>
      </c>
      <c r="B182" s="39" t="s">
        <v>1383</v>
      </c>
      <c r="C182" s="140"/>
      <c r="D182" s="36" t="s">
        <v>213</v>
      </c>
      <c r="E182" s="34" t="s">
        <v>344</v>
      </c>
      <c r="F182" s="34" t="s">
        <v>490</v>
      </c>
      <c r="G182" s="34" t="s">
        <v>1672</v>
      </c>
      <c r="H182" s="34" t="s">
        <v>1673</v>
      </c>
      <c r="I182" s="34" t="s">
        <v>837</v>
      </c>
      <c r="J182" s="34" t="s">
        <v>1099</v>
      </c>
      <c r="K182" s="48">
        <v>46082.0</v>
      </c>
      <c r="L182" s="54" t="str">
        <f t="array" ref="L182">_xlfn.XLOOKUP(records_3[roomNo], database[roomNo], database[roomName])</f>
        <v>CLEANED EQUIPMENT</v>
      </c>
      <c r="M182" s="56" t="str">
        <f t="array" ref="M182">_xlfn.XLOOKUP(records_3[roomNo], database[roomNo], database[building])</f>
        <v>Building 12</v>
      </c>
      <c r="N182" s="56" t="str">
        <f t="array" ref="N182">_xlfn.XLOOKUP(records_3[roomNo], database[roomNo], database[floor])</f>
        <v>Floor 1</v>
      </c>
      <c r="O182" s="50">
        <v>0.0</v>
      </c>
      <c r="P182" s="34" t="s">
        <v>1586</v>
      </c>
      <c r="Q182" s="80"/>
      <c r="R182" s="33"/>
      <c r="S182" s="33"/>
      <c r="T182" s="43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</row>
    <row r="183" ht="22.5" customHeight="1">
      <c r="A183" s="27">
        <v>46059.0</v>
      </c>
      <c r="B183" s="39" t="s">
        <v>779</v>
      </c>
      <c r="C183" s="140"/>
      <c r="D183" s="36" t="s">
        <v>213</v>
      </c>
      <c r="E183" s="34" t="s">
        <v>344</v>
      </c>
      <c r="F183" s="34" t="s">
        <v>354</v>
      </c>
      <c r="G183" s="34" t="s">
        <v>1672</v>
      </c>
      <c r="H183" s="34" t="s">
        <v>1673</v>
      </c>
      <c r="I183" s="34" t="s">
        <v>837</v>
      </c>
      <c r="J183" s="34" t="s">
        <v>1099</v>
      </c>
      <c r="K183" s="48">
        <v>46082.0</v>
      </c>
      <c r="L183" s="54" t="str">
        <f t="array" ref="L183">_xlfn.XLOOKUP(records_3[roomNo], database[roomNo], database[roomName])</f>
        <v>DRYING</v>
      </c>
      <c r="M183" s="56" t="str">
        <f t="array" ref="M183">_xlfn.XLOOKUP(records_3[roomNo], database[roomNo], database[building])</f>
        <v>Building 12</v>
      </c>
      <c r="N183" s="56" t="str">
        <f t="array" ref="N183">_xlfn.XLOOKUP(records_3[roomNo], database[roomNo], database[floor])</f>
        <v>Floor 1</v>
      </c>
      <c r="O183" s="50">
        <v>0.0</v>
      </c>
      <c r="P183" s="34" t="s">
        <v>1586</v>
      </c>
      <c r="Q183" s="80"/>
      <c r="R183" s="33"/>
      <c r="S183" s="33"/>
      <c r="T183" s="43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</row>
    <row r="184" ht="22.5" customHeight="1">
      <c r="A184" s="27">
        <v>46059.0</v>
      </c>
      <c r="B184" s="39" t="s">
        <v>789</v>
      </c>
      <c r="C184" s="140"/>
      <c r="D184" s="36" t="s">
        <v>213</v>
      </c>
      <c r="E184" s="34" t="s">
        <v>298</v>
      </c>
      <c r="F184" s="34" t="s">
        <v>1693</v>
      </c>
      <c r="G184" s="34" t="s">
        <v>818</v>
      </c>
      <c r="H184" s="34" t="s">
        <v>1673</v>
      </c>
      <c r="I184" s="34" t="s">
        <v>837</v>
      </c>
      <c r="J184" s="34" t="s">
        <v>1099</v>
      </c>
      <c r="K184" s="48">
        <v>46082.0</v>
      </c>
      <c r="L184" s="54" t="str">
        <f t="array" ref="L184">_xlfn.XLOOKUP(records_3[roomNo], database[roomNo], database[roomName])</f>
        <v>WASHING</v>
      </c>
      <c r="M184" s="56" t="str">
        <f t="array" ref="M184">_xlfn.XLOOKUP(records_3[roomNo], database[roomNo], database[building])</f>
        <v>Building 12</v>
      </c>
      <c r="N184" s="56" t="str">
        <f t="array" ref="N184">_xlfn.XLOOKUP(records_3[roomNo], database[roomNo], database[floor])</f>
        <v>Floor 1</v>
      </c>
      <c r="O184" s="50">
        <v>0.0</v>
      </c>
      <c r="P184" s="34" t="s">
        <v>1586</v>
      </c>
      <c r="Q184" s="80"/>
      <c r="R184" s="33"/>
      <c r="S184" s="33"/>
      <c r="T184" s="43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</row>
    <row r="185" ht="22.5" customHeight="1">
      <c r="A185" s="27">
        <v>46059.0</v>
      </c>
      <c r="B185" s="173" t="s">
        <v>796</v>
      </c>
      <c r="C185" s="140"/>
      <c r="D185" s="36" t="s">
        <v>213</v>
      </c>
      <c r="E185" s="34" t="s">
        <v>339</v>
      </c>
      <c r="F185" s="34" t="s">
        <v>1721</v>
      </c>
      <c r="G185" s="34" t="s">
        <v>1722</v>
      </c>
      <c r="H185" s="34" t="s">
        <v>1673</v>
      </c>
      <c r="I185" s="34" t="s">
        <v>837</v>
      </c>
      <c r="J185" s="34" t="s">
        <v>1099</v>
      </c>
      <c r="K185" s="48">
        <v>46082.0</v>
      </c>
      <c r="L185" s="54" t="str">
        <f t="array" ref="L185">_xlfn.XLOOKUP(records_3[roomNo], database[roomNo], database[roomName])</f>
        <v>BOTTLE CLEANING 1 (BLOWER) (DEPALLETIZER)</v>
      </c>
      <c r="M185" s="56" t="str">
        <f t="array" ref="M185">_xlfn.XLOOKUP(records_3[roomNo], database[roomNo], database[building])</f>
        <v>Building 12</v>
      </c>
      <c r="N185" s="56" t="str">
        <f t="array" ref="N185">_xlfn.XLOOKUP(records_3[roomNo], database[roomNo], database[floor])</f>
        <v>Floor 1</v>
      </c>
      <c r="O185" s="50">
        <v>0.0</v>
      </c>
      <c r="P185" s="34" t="s">
        <v>1586</v>
      </c>
      <c r="Q185" s="39" t="s">
        <v>1723</v>
      </c>
      <c r="R185" s="33"/>
      <c r="S185" s="33"/>
      <c r="T185" s="43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</row>
    <row r="186" ht="22.5" customHeight="1">
      <c r="A186" s="27">
        <v>46059.0</v>
      </c>
      <c r="B186" s="173" t="s">
        <v>1385</v>
      </c>
      <c r="C186" s="140"/>
      <c r="D186" s="36" t="s">
        <v>213</v>
      </c>
      <c r="E186" s="34" t="s">
        <v>310</v>
      </c>
      <c r="F186" s="34" t="s">
        <v>311</v>
      </c>
      <c r="G186" s="34" t="s">
        <v>1731</v>
      </c>
      <c r="H186" s="34" t="s">
        <v>1673</v>
      </c>
      <c r="I186" s="34" t="s">
        <v>837</v>
      </c>
      <c r="J186" s="34" t="s">
        <v>1099</v>
      </c>
      <c r="K186" s="48">
        <v>46082.0</v>
      </c>
      <c r="L186" s="54" t="str">
        <f t="array" ref="L186">_xlfn.XLOOKUP(records_3[roomNo], database[roomNo], database[roomName])</f>
        <v>CORRIDOR</v>
      </c>
      <c r="M186" s="56" t="str">
        <f t="array" ref="M186">_xlfn.XLOOKUP(records_3[roomNo], database[roomNo], database[building])</f>
        <v>Building 12</v>
      </c>
      <c r="N186" s="56" t="str">
        <f t="array" ref="N186">_xlfn.XLOOKUP(records_3[roomNo], database[roomNo], database[floor])</f>
        <v>Floor 1</v>
      </c>
      <c r="O186" s="50">
        <v>0.0</v>
      </c>
      <c r="P186" s="34" t="s">
        <v>1586</v>
      </c>
      <c r="Q186" s="80"/>
      <c r="R186" s="33"/>
      <c r="S186" s="33"/>
      <c r="T186" s="43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</row>
    <row r="187" ht="22.5" customHeight="1">
      <c r="A187" s="27">
        <v>46059.0</v>
      </c>
      <c r="B187" s="173" t="s">
        <v>1386</v>
      </c>
      <c r="C187" s="140"/>
      <c r="D187" s="36" t="s">
        <v>213</v>
      </c>
      <c r="E187" s="34" t="s">
        <v>339</v>
      </c>
      <c r="F187" s="34" t="s">
        <v>1743</v>
      </c>
      <c r="G187" s="34" t="s">
        <v>1744</v>
      </c>
      <c r="H187" s="34" t="s">
        <v>1745</v>
      </c>
      <c r="I187" s="34" t="s">
        <v>837</v>
      </c>
      <c r="J187" s="34" t="s">
        <v>1099</v>
      </c>
      <c r="K187" s="48">
        <v>46082.0</v>
      </c>
      <c r="L187" s="54" t="str">
        <f t="array" ref="L187">_xlfn.XLOOKUP(records_3[roomNo], database[roomNo], database[roomName])</f>
        <v>FILLING LINE 1 (FILLING MACHINE)</v>
      </c>
      <c r="M187" s="56" t="str">
        <f t="array" ref="M187">_xlfn.XLOOKUP(records_3[roomNo], database[roomNo], database[building])</f>
        <v>Building 12</v>
      </c>
      <c r="N187" s="56" t="str">
        <f t="array" ref="N187">_xlfn.XLOOKUP(records_3[roomNo], database[roomNo], database[floor])</f>
        <v>Floor 1</v>
      </c>
      <c r="O187" s="50">
        <v>0.0</v>
      </c>
      <c r="P187" s="34" t="s">
        <v>1586</v>
      </c>
      <c r="Q187" s="39" t="s">
        <v>1723</v>
      </c>
      <c r="R187" s="33"/>
      <c r="S187" s="33"/>
      <c r="T187" s="43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</row>
    <row r="188" ht="22.5" customHeight="1">
      <c r="A188" s="27">
        <v>46059.0</v>
      </c>
      <c r="B188" s="173" t="s">
        <v>1388</v>
      </c>
      <c r="C188" s="140"/>
      <c r="D188" s="36" t="s">
        <v>213</v>
      </c>
      <c r="E188" s="34" t="s">
        <v>546</v>
      </c>
      <c r="F188" s="34" t="s">
        <v>1754</v>
      </c>
      <c r="G188" s="34" t="s">
        <v>1755</v>
      </c>
      <c r="H188" s="34" t="s">
        <v>1745</v>
      </c>
      <c r="I188" s="34" t="s">
        <v>837</v>
      </c>
      <c r="J188" s="34" t="s">
        <v>1099</v>
      </c>
      <c r="K188" s="48">
        <v>46082.0</v>
      </c>
      <c r="L188" s="54" t="str">
        <f t="array" ref="L188">_xlfn.XLOOKUP(records_3[roomNo], database[roomNo], database[roomName])</f>
        <v>FILLING LINE 2 (FILLING MACHINE)</v>
      </c>
      <c r="M188" s="56" t="str">
        <f t="array" ref="M188">_xlfn.XLOOKUP(records_3[roomNo], database[roomNo], database[building])</f>
        <v>Building 12</v>
      </c>
      <c r="N188" s="56" t="str">
        <f t="array" ref="N188">_xlfn.XLOOKUP(records_3[roomNo], database[roomNo], database[floor])</f>
        <v>Floor 1</v>
      </c>
      <c r="O188" s="50">
        <v>0.0</v>
      </c>
      <c r="P188" s="34" t="s">
        <v>1586</v>
      </c>
      <c r="Q188" s="39" t="s">
        <v>1723</v>
      </c>
      <c r="R188" s="33"/>
      <c r="S188" s="33"/>
      <c r="T188" s="43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</row>
    <row r="189" ht="22.5" customHeight="1">
      <c r="A189" s="27">
        <v>46059.0</v>
      </c>
      <c r="B189" s="173" t="s">
        <v>804</v>
      </c>
      <c r="C189" s="140"/>
      <c r="D189" s="36" t="s">
        <v>213</v>
      </c>
      <c r="E189" s="34" t="s">
        <v>317</v>
      </c>
      <c r="F189" s="34" t="s">
        <v>1743</v>
      </c>
      <c r="G189" s="34" t="s">
        <v>1767</v>
      </c>
      <c r="H189" s="34" t="s">
        <v>1745</v>
      </c>
      <c r="I189" s="34" t="s">
        <v>837</v>
      </c>
      <c r="J189" s="34" t="s">
        <v>1099</v>
      </c>
      <c r="K189" s="48">
        <v>46082.0</v>
      </c>
      <c r="L189" s="54" t="str">
        <f t="array" ref="L189">_xlfn.XLOOKUP(records_3[roomNo], database[roomNo], database[roomName])</f>
        <v>BOTTLE CLEANING 2 (BLOWER) (DEPALLETIZER)</v>
      </c>
      <c r="M189" s="56" t="str">
        <f t="array" ref="M189">_xlfn.XLOOKUP(records_3[roomNo], database[roomNo], database[building])</f>
        <v>Building 12</v>
      </c>
      <c r="N189" s="56" t="str">
        <f t="array" ref="N189">_xlfn.XLOOKUP(records_3[roomNo], database[roomNo], database[floor])</f>
        <v>Floor 1</v>
      </c>
      <c r="O189" s="50">
        <v>0.0</v>
      </c>
      <c r="P189" s="34" t="s">
        <v>1586</v>
      </c>
      <c r="Q189" s="39" t="s">
        <v>1723</v>
      </c>
      <c r="R189" s="33"/>
      <c r="S189" s="33"/>
      <c r="T189" s="43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</row>
    <row r="190" ht="22.5" customHeight="1">
      <c r="A190" s="27">
        <v>46059.0</v>
      </c>
      <c r="B190" s="173" t="s">
        <v>812</v>
      </c>
      <c r="C190" s="140"/>
      <c r="D190" s="36" t="s">
        <v>213</v>
      </c>
      <c r="E190" s="181" t="s">
        <v>194</v>
      </c>
      <c r="F190" s="181" t="s">
        <v>194</v>
      </c>
      <c r="G190" s="34" t="s">
        <v>1773</v>
      </c>
      <c r="H190" s="34" t="s">
        <v>1745</v>
      </c>
      <c r="I190" s="34" t="s">
        <v>837</v>
      </c>
      <c r="J190" s="34" t="s">
        <v>1099</v>
      </c>
      <c r="K190" s="48">
        <v>46082.0</v>
      </c>
      <c r="L190" s="54" t="str">
        <f t="array" ref="L190">_xlfn.XLOOKUP(records_3[roomNo], database[roomNo], database[roomName])</f>
        <v>BOTTLE CLEANING 3 (BLOWER) (DEPALLETIZER)</v>
      </c>
      <c r="M190" s="56" t="str">
        <f t="array" ref="M190">_xlfn.XLOOKUP(records_3[roomNo], database[roomNo], database[building])</f>
        <v>Building 12</v>
      </c>
      <c r="N190" s="56" t="str">
        <f t="array" ref="N190">_xlfn.XLOOKUP(records_3[roomNo], database[roomNo], database[floor])</f>
        <v>Floor 1</v>
      </c>
      <c r="O190" s="50">
        <v>1.0</v>
      </c>
      <c r="P190" s="34" t="s">
        <v>1586</v>
      </c>
      <c r="Q190" s="39" t="s">
        <v>1723</v>
      </c>
      <c r="R190" s="33"/>
      <c r="S190" s="33"/>
      <c r="T190" s="43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</row>
    <row r="191" ht="22.5" customHeight="1">
      <c r="A191" s="27">
        <v>46059.0</v>
      </c>
      <c r="B191" s="173" t="s">
        <v>1390</v>
      </c>
      <c r="C191" s="140"/>
      <c r="D191" s="36" t="s">
        <v>213</v>
      </c>
      <c r="E191" s="34" t="s">
        <v>638</v>
      </c>
      <c r="F191" s="34" t="s">
        <v>354</v>
      </c>
      <c r="G191" s="34" t="s">
        <v>1776</v>
      </c>
      <c r="H191" s="34" t="s">
        <v>1745</v>
      </c>
      <c r="I191" s="34" t="s">
        <v>837</v>
      </c>
      <c r="J191" s="34" t="s">
        <v>1099</v>
      </c>
      <c r="K191" s="48">
        <v>46082.0</v>
      </c>
      <c r="L191" s="54" t="str">
        <f t="array" ref="L191">_xlfn.XLOOKUP(records_3[roomNo], database[roomNo], database[roomName])</f>
        <v>CORRIDOR</v>
      </c>
      <c r="M191" s="56" t="str">
        <f t="array" ref="M191">_xlfn.XLOOKUP(records_3[roomNo], database[roomNo], database[building])</f>
        <v>Building 12</v>
      </c>
      <c r="N191" s="56" t="str">
        <f t="array" ref="N191">_xlfn.XLOOKUP(records_3[roomNo], database[roomNo], database[floor])</f>
        <v>Floor 1</v>
      </c>
      <c r="O191" s="50">
        <v>0.0</v>
      </c>
      <c r="P191" s="34" t="s">
        <v>1586</v>
      </c>
      <c r="Q191" s="80"/>
      <c r="R191" s="33"/>
      <c r="S191" s="33"/>
      <c r="T191" s="43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</row>
    <row r="192" ht="22.5" customHeight="1">
      <c r="A192" s="27">
        <v>46059.0</v>
      </c>
      <c r="B192" s="173" t="s">
        <v>1391</v>
      </c>
      <c r="C192" s="140"/>
      <c r="D192" s="36" t="s">
        <v>213</v>
      </c>
      <c r="E192" s="34" t="s">
        <v>353</v>
      </c>
      <c r="F192" s="34" t="s">
        <v>767</v>
      </c>
      <c r="G192" s="34" t="s">
        <v>1773</v>
      </c>
      <c r="H192" s="34" t="s">
        <v>1745</v>
      </c>
      <c r="I192" s="34" t="s">
        <v>837</v>
      </c>
      <c r="J192" s="34" t="s">
        <v>1099</v>
      </c>
      <c r="K192" s="48">
        <v>46082.0</v>
      </c>
      <c r="L192" s="54" t="str">
        <f t="array" ref="L192">_xlfn.XLOOKUP(records_3[roomNo], database[roomNo], database[roomName])</f>
        <v>FILLING LINE 3 (FILLING MACHINE)</v>
      </c>
      <c r="M192" s="56" t="str">
        <f t="array" ref="M192">_xlfn.XLOOKUP(records_3[roomNo], database[roomNo], database[building])</f>
        <v>Building 12</v>
      </c>
      <c r="N192" s="56" t="str">
        <f t="array" ref="N192">_xlfn.XLOOKUP(records_3[roomNo], database[roomNo], database[floor])</f>
        <v>Floor 1</v>
      </c>
      <c r="O192" s="50">
        <v>0.0</v>
      </c>
      <c r="P192" s="34" t="s">
        <v>1586</v>
      </c>
      <c r="Q192" s="39" t="s">
        <v>1723</v>
      </c>
      <c r="R192" s="33"/>
      <c r="S192" s="33"/>
      <c r="T192" s="43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</row>
    <row r="193" ht="22.5" customHeight="1">
      <c r="A193" s="27">
        <v>46059.0</v>
      </c>
      <c r="B193" s="173" t="s">
        <v>1393</v>
      </c>
      <c r="C193" s="140"/>
      <c r="D193" s="36" t="s">
        <v>213</v>
      </c>
      <c r="E193" s="34" t="s">
        <v>435</v>
      </c>
      <c r="F193" s="34" t="s">
        <v>540</v>
      </c>
      <c r="G193" s="34" t="s">
        <v>909</v>
      </c>
      <c r="H193" s="34" t="s">
        <v>1781</v>
      </c>
      <c r="I193" s="34" t="s">
        <v>837</v>
      </c>
      <c r="J193" s="34" t="s">
        <v>1099</v>
      </c>
      <c r="K193" s="48">
        <v>46082.0</v>
      </c>
      <c r="L193" s="54" t="str">
        <f t="array" ref="L193">_xlfn.XLOOKUP(records_3[roomNo], database[roomNo], database[roomName])</f>
        <v>FILLING LINE 4 (FILLING MACHINE)</v>
      </c>
      <c r="M193" s="56" t="str">
        <f t="array" ref="M193">_xlfn.XLOOKUP(records_3[roomNo], database[roomNo], database[building])</f>
        <v>Building 12</v>
      </c>
      <c r="N193" s="56" t="str">
        <f t="array" ref="N193">_xlfn.XLOOKUP(records_3[roomNo], database[roomNo], database[floor])</f>
        <v>Floor 1</v>
      </c>
      <c r="O193" s="50">
        <v>0.0</v>
      </c>
      <c r="P193" s="34" t="s">
        <v>1586</v>
      </c>
      <c r="Q193" s="39" t="s">
        <v>1723</v>
      </c>
      <c r="R193" s="33"/>
      <c r="S193" s="33"/>
      <c r="T193" s="43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</row>
    <row r="194" ht="22.5" customHeight="1">
      <c r="A194" s="27">
        <v>46059.0</v>
      </c>
      <c r="B194" s="173" t="s">
        <v>815</v>
      </c>
      <c r="C194" s="140"/>
      <c r="D194" s="36" t="s">
        <v>213</v>
      </c>
      <c r="E194" s="34" t="s">
        <v>292</v>
      </c>
      <c r="F194" s="34" t="s">
        <v>1126</v>
      </c>
      <c r="G194" s="34" t="s">
        <v>827</v>
      </c>
      <c r="H194" s="34" t="s">
        <v>1781</v>
      </c>
      <c r="I194" s="34" t="s">
        <v>837</v>
      </c>
      <c r="J194" s="34" t="s">
        <v>1099</v>
      </c>
      <c r="K194" s="48">
        <v>46082.0</v>
      </c>
      <c r="L194" s="54" t="str">
        <f t="array" ref="L194">_xlfn.XLOOKUP(records_3[roomNo], database[roomNo], database[roomName])</f>
        <v>BOTTLE CLEANING 4 (BLOWER)</v>
      </c>
      <c r="M194" s="56" t="str">
        <f t="array" ref="M194">_xlfn.XLOOKUP(records_3[roomNo], database[roomNo], database[building])</f>
        <v>Building 12</v>
      </c>
      <c r="N194" s="56" t="str">
        <f t="array" ref="N194">_xlfn.XLOOKUP(records_3[roomNo], database[roomNo], database[floor])</f>
        <v>Floor 1</v>
      </c>
      <c r="O194" s="50">
        <v>0.0</v>
      </c>
      <c r="P194" s="34" t="s">
        <v>1586</v>
      </c>
      <c r="Q194" s="39" t="s">
        <v>1723</v>
      </c>
      <c r="R194" s="33"/>
      <c r="S194" s="33"/>
      <c r="T194" s="43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</row>
    <row r="195" ht="22.5" customHeight="1">
      <c r="A195" s="27">
        <v>46059.0</v>
      </c>
      <c r="B195" s="39" t="s">
        <v>1395</v>
      </c>
      <c r="C195" s="140"/>
      <c r="D195" s="36" t="s">
        <v>213</v>
      </c>
      <c r="E195" s="34" t="s">
        <v>317</v>
      </c>
      <c r="F195" s="34" t="s">
        <v>532</v>
      </c>
      <c r="G195" s="34" t="s">
        <v>1784</v>
      </c>
      <c r="H195" s="34" t="s">
        <v>1781</v>
      </c>
      <c r="I195" s="34" t="s">
        <v>837</v>
      </c>
      <c r="J195" s="34" t="s">
        <v>1099</v>
      </c>
      <c r="K195" s="48">
        <v>46082.0</v>
      </c>
      <c r="L195" s="54" t="str">
        <f t="array" ref="L195">_xlfn.XLOOKUP(records_3[roomNo], database[roomNo], database[roomName])</f>
        <v>PALLET TRUCK ROOM</v>
      </c>
      <c r="M195" s="56" t="str">
        <f t="array" ref="M195">_xlfn.XLOOKUP(records_3[roomNo], database[roomNo], database[building])</f>
        <v>Building 12</v>
      </c>
      <c r="N195" s="56" t="str">
        <f t="array" ref="N195">_xlfn.XLOOKUP(records_3[roomNo], database[roomNo], database[floor])</f>
        <v>Floor 1</v>
      </c>
      <c r="O195" s="50">
        <v>1.0</v>
      </c>
      <c r="P195" s="34" t="s">
        <v>1586</v>
      </c>
      <c r="Q195" s="80"/>
      <c r="R195" s="33"/>
      <c r="S195" s="33"/>
      <c r="T195" s="43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</row>
    <row r="196" ht="22.5" customHeight="1">
      <c r="A196" s="27">
        <v>46059.0</v>
      </c>
      <c r="B196" s="39" t="s">
        <v>1397</v>
      </c>
      <c r="C196" s="140"/>
      <c r="D196" s="36" t="s">
        <v>213</v>
      </c>
      <c r="E196" s="34" t="s">
        <v>310</v>
      </c>
      <c r="F196" s="34" t="s">
        <v>522</v>
      </c>
      <c r="G196" s="34" t="s">
        <v>1784</v>
      </c>
      <c r="H196" s="34" t="s">
        <v>1785</v>
      </c>
      <c r="I196" s="34" t="s">
        <v>837</v>
      </c>
      <c r="J196" s="34" t="s">
        <v>1099</v>
      </c>
      <c r="K196" s="48">
        <v>46082.0</v>
      </c>
      <c r="L196" s="54" t="str">
        <f t="array" ref="L196">_xlfn.XLOOKUP(records_3[roomNo], database[roomNo], database[roomName])</f>
        <v>MAL</v>
      </c>
      <c r="M196" s="56" t="str">
        <f t="array" ref="M196">_xlfn.XLOOKUP(records_3[roomNo], database[roomNo], database[building])</f>
        <v>Building 12</v>
      </c>
      <c r="N196" s="56" t="str">
        <f t="array" ref="N196">_xlfn.XLOOKUP(records_3[roomNo], database[roomNo], database[floor])</f>
        <v>Floor 1</v>
      </c>
      <c r="O196" s="50">
        <v>1.0</v>
      </c>
      <c r="P196" s="34" t="s">
        <v>1586</v>
      </c>
      <c r="Q196" s="80"/>
      <c r="R196" s="33"/>
      <c r="S196" s="33"/>
      <c r="T196" s="43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</row>
    <row r="197" ht="22.5" customHeight="1">
      <c r="A197" s="27">
        <v>46059.0</v>
      </c>
      <c r="B197" s="39" t="s">
        <v>945</v>
      </c>
      <c r="C197" s="140"/>
      <c r="D197" s="36" t="s">
        <v>213</v>
      </c>
      <c r="E197" s="34" t="s">
        <v>1157</v>
      </c>
      <c r="F197" s="34" t="s">
        <v>1787</v>
      </c>
      <c r="G197" s="34" t="s">
        <v>1784</v>
      </c>
      <c r="H197" s="34" t="s">
        <v>1785</v>
      </c>
      <c r="I197" s="34" t="s">
        <v>837</v>
      </c>
      <c r="J197" s="34" t="s">
        <v>1099</v>
      </c>
      <c r="K197" s="48">
        <v>46082.0</v>
      </c>
      <c r="L197" s="54" t="str">
        <f t="array" ref="L197">_xlfn.XLOOKUP(records_3[roomNo], database[roomNo], database[roomName])</f>
        <v>SOLVENTS UNLOADING</v>
      </c>
      <c r="M197" s="56" t="str">
        <f t="array" ref="M197">_xlfn.XLOOKUP(records_3[roomNo], database[roomNo], database[building])</f>
        <v>Building 12</v>
      </c>
      <c r="N197" s="56" t="str">
        <f t="array" ref="N197">_xlfn.XLOOKUP(records_3[roomNo], database[roomNo], database[floor])</f>
        <v>Floor 1</v>
      </c>
      <c r="O197" s="50">
        <v>0.0</v>
      </c>
      <c r="P197" s="34" t="s">
        <v>1586</v>
      </c>
      <c r="Q197" s="80"/>
      <c r="R197" s="33"/>
      <c r="S197" s="33"/>
      <c r="T197" s="43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</row>
    <row r="198" ht="22.5" customHeight="1">
      <c r="A198" s="27">
        <v>46059.0</v>
      </c>
      <c r="B198" s="39" t="s">
        <v>1399</v>
      </c>
      <c r="C198" s="140"/>
      <c r="D198" s="36" t="s">
        <v>213</v>
      </c>
      <c r="E198" s="34" t="s">
        <v>578</v>
      </c>
      <c r="F198" s="34" t="s">
        <v>294</v>
      </c>
      <c r="G198" s="34" t="s">
        <v>1788</v>
      </c>
      <c r="H198" s="34" t="s">
        <v>1785</v>
      </c>
      <c r="I198" s="34" t="s">
        <v>837</v>
      </c>
      <c r="J198" s="34" t="s">
        <v>1099</v>
      </c>
      <c r="K198" s="48">
        <v>46082.0</v>
      </c>
      <c r="L198" s="54" t="str">
        <f t="array" ref="L198">_xlfn.XLOOKUP(records_3[roomNo], database[roomNo], database[roomName])</f>
        <v>LINEN STORAGE</v>
      </c>
      <c r="M198" s="56" t="str">
        <f t="array" ref="M198">_xlfn.XLOOKUP(records_3[roomNo], database[roomNo], database[building])</f>
        <v>Building 12</v>
      </c>
      <c r="N198" s="56" t="str">
        <f t="array" ref="N198">_xlfn.XLOOKUP(records_3[roomNo], database[roomNo], database[floor])</f>
        <v>Floor 1</v>
      </c>
      <c r="O198" s="50">
        <v>0.0</v>
      </c>
      <c r="P198" s="34" t="s">
        <v>1586</v>
      </c>
      <c r="Q198" s="80"/>
      <c r="R198" s="33"/>
      <c r="S198" s="33"/>
      <c r="T198" s="43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</row>
    <row r="199" ht="22.5" customHeight="1">
      <c r="A199" s="27">
        <v>46059.0</v>
      </c>
      <c r="B199" s="39" t="s">
        <v>1400</v>
      </c>
      <c r="C199" s="140"/>
      <c r="D199" s="36" t="s">
        <v>213</v>
      </c>
      <c r="E199" s="34" t="s">
        <v>1790</v>
      </c>
      <c r="F199" s="34" t="s">
        <v>1791</v>
      </c>
      <c r="G199" s="34" t="s">
        <v>1609</v>
      </c>
      <c r="H199" s="34" t="s">
        <v>1785</v>
      </c>
      <c r="I199" s="34" t="s">
        <v>837</v>
      </c>
      <c r="J199" s="34" t="s">
        <v>1099</v>
      </c>
      <c r="K199" s="48">
        <v>46082.0</v>
      </c>
      <c r="L199" s="54" t="str">
        <f t="array" ref="L199">_xlfn.XLOOKUP(records_3[roomNo], database[roomNo], database[roomName])</f>
        <v>CORRIDOR</v>
      </c>
      <c r="M199" s="56" t="str">
        <f t="array" ref="M199">_xlfn.XLOOKUP(records_3[roomNo], database[roomNo], database[building])</f>
        <v>Building 12</v>
      </c>
      <c r="N199" s="56" t="str">
        <f t="array" ref="N199">_xlfn.XLOOKUP(records_3[roomNo], database[roomNo], database[floor])</f>
        <v>Floor 1</v>
      </c>
      <c r="O199" s="50">
        <v>0.0</v>
      </c>
      <c r="P199" s="34" t="s">
        <v>1586</v>
      </c>
      <c r="Q199" s="80"/>
      <c r="R199" s="33"/>
      <c r="S199" s="33"/>
      <c r="T199" s="43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</row>
    <row r="200" ht="22.5" customHeight="1">
      <c r="A200" s="68">
        <v>46062.0</v>
      </c>
      <c r="B200" s="70" t="s">
        <v>840</v>
      </c>
      <c r="C200" s="168"/>
      <c r="D200" s="168" t="s">
        <v>531</v>
      </c>
      <c r="E200" s="70" t="s">
        <v>546</v>
      </c>
      <c r="F200" s="70" t="s">
        <v>1793</v>
      </c>
      <c r="G200" s="70" t="s">
        <v>1794</v>
      </c>
      <c r="H200" s="70" t="s">
        <v>194</v>
      </c>
      <c r="I200" s="70" t="s">
        <v>199</v>
      </c>
      <c r="J200" s="70" t="s">
        <v>201</v>
      </c>
      <c r="K200" s="73">
        <v>46057.0</v>
      </c>
      <c r="L200" s="70" t="str">
        <f t="array" ref="L200">_xlfn.XLOOKUP(records_3[roomNo], database[roomNo], database[roomName])</f>
        <v>MEN PAL</v>
      </c>
      <c r="M200" s="70" t="str">
        <f t="array" ref="M200">_xlfn.XLOOKUP(records_3[roomNo], database[roomNo], database[building])</f>
        <v>Building 16</v>
      </c>
      <c r="N200" s="70" t="str">
        <f t="array" ref="N200">_xlfn.XLOOKUP(records_3[roomNo], database[roomNo], database[floor])</f>
        <v>Floor 1</v>
      </c>
      <c r="O200" s="74">
        <v>1.0</v>
      </c>
      <c r="P200" s="70" t="s">
        <v>1795</v>
      </c>
      <c r="Q200" s="68" t="s">
        <v>855</v>
      </c>
      <c r="R200" s="68" t="s">
        <v>1792</v>
      </c>
      <c r="S200" s="68">
        <v>46081.0</v>
      </c>
      <c r="T200" s="75" t="s">
        <v>534</v>
      </c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</row>
    <row r="201" ht="22.5" customHeight="1">
      <c r="A201" s="27">
        <v>46062.0</v>
      </c>
      <c r="B201" s="39" t="s">
        <v>845</v>
      </c>
      <c r="C201" s="140"/>
      <c r="D201" s="36" t="s">
        <v>531</v>
      </c>
      <c r="E201" s="34" t="s">
        <v>435</v>
      </c>
      <c r="F201" s="34" t="s">
        <v>1797</v>
      </c>
      <c r="G201" s="34" t="s">
        <v>1798</v>
      </c>
      <c r="H201" s="34" t="s">
        <v>194</v>
      </c>
      <c r="I201" s="34" t="s">
        <v>199</v>
      </c>
      <c r="J201" s="34" t="s">
        <v>201</v>
      </c>
      <c r="K201" s="48">
        <v>46057.0</v>
      </c>
      <c r="L201" s="54" t="str">
        <f t="array" ref="L201">_xlfn.XLOOKUP(records_3[roomNo], database[roomNo], database[roomName])</f>
        <v>MEN PROCESS CHANGE</v>
      </c>
      <c r="M201" s="56" t="str">
        <f t="array" ref="M201">_xlfn.XLOOKUP(records_3[roomNo], database[roomNo], database[building])</f>
        <v>Building 16</v>
      </c>
      <c r="N201" s="56" t="str">
        <f t="array" ref="N201">_xlfn.XLOOKUP(records_3[roomNo], database[roomNo], database[floor])</f>
        <v>Floor 1</v>
      </c>
      <c r="O201" s="50">
        <v>2.0</v>
      </c>
      <c r="P201" s="34" t="s">
        <v>1795</v>
      </c>
      <c r="Q201" s="39"/>
      <c r="R201" s="32" t="s">
        <v>1792</v>
      </c>
      <c r="S201" s="144">
        <v>46081.0</v>
      </c>
      <c r="T201" s="80" t="s">
        <v>534</v>
      </c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</row>
    <row r="202" ht="22.5" customHeight="1">
      <c r="A202" s="27">
        <v>46062.0</v>
      </c>
      <c r="B202" s="39" t="s">
        <v>857</v>
      </c>
      <c r="C202" s="140"/>
      <c r="D202" s="36" t="s">
        <v>531</v>
      </c>
      <c r="E202" s="34" t="s">
        <v>344</v>
      </c>
      <c r="F202" s="34" t="s">
        <v>1800</v>
      </c>
      <c r="G202" s="34" t="s">
        <v>373</v>
      </c>
      <c r="H202" s="34" t="s">
        <v>194</v>
      </c>
      <c r="I202" s="34" t="s">
        <v>199</v>
      </c>
      <c r="J202" s="34" t="s">
        <v>201</v>
      </c>
      <c r="K202" s="48">
        <v>46057.0</v>
      </c>
      <c r="L202" s="54" t="str">
        <f t="array" ref="L202">_xlfn.XLOOKUP(records_3[roomNo], database[roomNo], database[roomName])</f>
        <v>WOMEN PAL</v>
      </c>
      <c r="M202" s="56" t="str">
        <f t="array" ref="M202">_xlfn.XLOOKUP(records_3[roomNo], database[roomNo], database[building])</f>
        <v>Building 16</v>
      </c>
      <c r="N202" s="56" t="str">
        <f t="array" ref="N202">_xlfn.XLOOKUP(records_3[roomNo], database[roomNo], database[floor])</f>
        <v>Floor 1</v>
      </c>
      <c r="O202" s="50">
        <v>0.0</v>
      </c>
      <c r="P202" s="34" t="s">
        <v>1795</v>
      </c>
      <c r="Q202" s="39" t="s">
        <v>855</v>
      </c>
      <c r="R202" s="32" t="s">
        <v>1792</v>
      </c>
      <c r="S202" s="144">
        <v>46081.0</v>
      </c>
      <c r="T202" s="80" t="s">
        <v>534</v>
      </c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</row>
    <row r="203" ht="22.5" customHeight="1">
      <c r="A203" s="27">
        <v>46062.0</v>
      </c>
      <c r="B203" s="39" t="s">
        <v>878</v>
      </c>
      <c r="C203" s="140"/>
      <c r="D203" s="36" t="s">
        <v>531</v>
      </c>
      <c r="E203" s="34" t="s">
        <v>428</v>
      </c>
      <c r="F203" s="34" t="s">
        <v>1797</v>
      </c>
      <c r="G203" s="34" t="s">
        <v>1804</v>
      </c>
      <c r="H203" s="34" t="s">
        <v>194</v>
      </c>
      <c r="I203" s="34" t="s">
        <v>199</v>
      </c>
      <c r="J203" s="34" t="s">
        <v>201</v>
      </c>
      <c r="K203" s="48">
        <v>46057.0</v>
      </c>
      <c r="L203" s="54" t="str">
        <f t="array" ref="L203">_xlfn.XLOOKUP(records_3[roomNo], database[roomNo], database[roomName])</f>
        <v>WOMEN PROCESS CHANGE</v>
      </c>
      <c r="M203" s="56" t="str">
        <f t="array" ref="M203">_xlfn.XLOOKUP(records_3[roomNo], database[roomNo], database[building])</f>
        <v>Building 16</v>
      </c>
      <c r="N203" s="56" t="str">
        <f t="array" ref="N203">_xlfn.XLOOKUP(records_3[roomNo], database[roomNo], database[floor])</f>
        <v>Floor 1</v>
      </c>
      <c r="O203" s="50">
        <v>0.0</v>
      </c>
      <c r="P203" s="34" t="s">
        <v>1795</v>
      </c>
      <c r="Q203" s="39"/>
      <c r="R203" s="32" t="s">
        <v>1792</v>
      </c>
      <c r="S203" s="144">
        <v>46081.0</v>
      </c>
      <c r="T203" s="80" t="s">
        <v>534</v>
      </c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</row>
    <row r="204" ht="22.5" customHeight="1">
      <c r="A204" s="27">
        <v>46062.0</v>
      </c>
      <c r="B204" s="39" t="s">
        <v>898</v>
      </c>
      <c r="C204" s="140"/>
      <c r="D204" s="36" t="s">
        <v>531</v>
      </c>
      <c r="E204" s="34" t="s">
        <v>303</v>
      </c>
      <c r="F204" s="34" t="s">
        <v>1806</v>
      </c>
      <c r="G204" s="34" t="s">
        <v>1807</v>
      </c>
      <c r="H204" s="34" t="s">
        <v>194</v>
      </c>
      <c r="I204" s="34" t="s">
        <v>199</v>
      </c>
      <c r="J204" s="34" t="s">
        <v>201</v>
      </c>
      <c r="K204" s="48">
        <v>46057.0</v>
      </c>
      <c r="L204" s="54" t="str">
        <f t="array" ref="L204">_xlfn.XLOOKUP(records_3[roomNo], database[roomNo], database[roomName])</f>
        <v>CORRIDOR</v>
      </c>
      <c r="M204" s="56" t="str">
        <f t="array" ref="M204">_xlfn.XLOOKUP(records_3[roomNo], database[roomNo], database[building])</f>
        <v>Building 16</v>
      </c>
      <c r="N204" s="56" t="str">
        <f t="array" ref="N204">_xlfn.XLOOKUP(records_3[roomNo], database[roomNo], database[floor])</f>
        <v>Floor 1</v>
      </c>
      <c r="O204" s="50">
        <v>0.0</v>
      </c>
      <c r="P204" s="34" t="s">
        <v>1795</v>
      </c>
      <c r="Q204" s="39"/>
      <c r="R204" s="32" t="s">
        <v>1792</v>
      </c>
      <c r="S204" s="144">
        <v>46081.0</v>
      </c>
      <c r="T204" s="80" t="s">
        <v>534</v>
      </c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</row>
    <row r="205" ht="22.5" customHeight="1">
      <c r="A205" s="27">
        <v>46062.0</v>
      </c>
      <c r="B205" s="39" t="s">
        <v>919</v>
      </c>
      <c r="C205" s="140"/>
      <c r="D205" s="36" t="s">
        <v>531</v>
      </c>
      <c r="E205" s="34" t="s">
        <v>428</v>
      </c>
      <c r="F205" s="34" t="s">
        <v>1808</v>
      </c>
      <c r="G205" s="34" t="s">
        <v>1612</v>
      </c>
      <c r="H205" s="34" t="s">
        <v>194</v>
      </c>
      <c r="I205" s="34" t="s">
        <v>199</v>
      </c>
      <c r="J205" s="34" t="s">
        <v>201</v>
      </c>
      <c r="K205" s="48">
        <v>46057.0</v>
      </c>
      <c r="L205" s="54" t="str">
        <f t="array" ref="L205">_xlfn.XLOOKUP(records_3[roomNo], database[roomNo], database[roomName])</f>
        <v>AIRLOCK</v>
      </c>
      <c r="M205" s="56" t="str">
        <f t="array" ref="M205">_xlfn.XLOOKUP(records_3[roomNo], database[roomNo], database[building])</f>
        <v>Building 16</v>
      </c>
      <c r="N205" s="56" t="str">
        <f t="array" ref="N205">_xlfn.XLOOKUP(records_3[roomNo], database[roomNo], database[floor])</f>
        <v>Floor 1</v>
      </c>
      <c r="O205" s="50">
        <v>0.0</v>
      </c>
      <c r="P205" s="34" t="s">
        <v>1795</v>
      </c>
      <c r="Q205" s="39"/>
      <c r="R205" s="32" t="s">
        <v>1792</v>
      </c>
      <c r="S205" s="144">
        <v>46081.0</v>
      </c>
      <c r="T205" s="80" t="s">
        <v>534</v>
      </c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</row>
    <row r="206" ht="22.5" customHeight="1">
      <c r="A206" s="27">
        <v>46062.0</v>
      </c>
      <c r="B206" s="39" t="s">
        <v>753</v>
      </c>
      <c r="C206" s="140"/>
      <c r="D206" s="36" t="s">
        <v>531</v>
      </c>
      <c r="E206" s="34" t="s">
        <v>377</v>
      </c>
      <c r="F206" s="34" t="s">
        <v>908</v>
      </c>
      <c r="G206" s="34" t="s">
        <v>1612</v>
      </c>
      <c r="H206" s="34" t="s">
        <v>194</v>
      </c>
      <c r="I206" s="34" t="s">
        <v>199</v>
      </c>
      <c r="J206" s="34" t="s">
        <v>201</v>
      </c>
      <c r="K206" s="48">
        <v>46057.0</v>
      </c>
      <c r="L206" s="54" t="str">
        <f t="array" ref="L206">_xlfn.XLOOKUP(records_3[roomNo], database[roomNo], database[roomName])</f>
        <v>VIAL CAPPING</v>
      </c>
      <c r="M206" s="56" t="str">
        <f t="array" ref="M206">_xlfn.XLOOKUP(records_3[roomNo], database[roomNo], database[building])</f>
        <v>Building 16</v>
      </c>
      <c r="N206" s="56" t="str">
        <f t="array" ref="N206">_xlfn.XLOOKUP(records_3[roomNo], database[roomNo], database[floor])</f>
        <v>Floor 1</v>
      </c>
      <c r="O206" s="50">
        <v>0.0</v>
      </c>
      <c r="P206" s="34" t="s">
        <v>1795</v>
      </c>
      <c r="Q206" s="39"/>
      <c r="R206" s="32" t="s">
        <v>1792</v>
      </c>
      <c r="S206" s="144">
        <v>46081.0</v>
      </c>
      <c r="T206" s="80" t="s">
        <v>534</v>
      </c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</row>
    <row r="207" ht="22.5" customHeight="1">
      <c r="A207" s="27">
        <v>46062.0</v>
      </c>
      <c r="B207" s="39" t="s">
        <v>753</v>
      </c>
      <c r="C207" s="140"/>
      <c r="D207" s="36" t="s">
        <v>531</v>
      </c>
      <c r="E207" s="34" t="s">
        <v>377</v>
      </c>
      <c r="F207" s="34" t="s">
        <v>908</v>
      </c>
      <c r="G207" s="34" t="s">
        <v>1809</v>
      </c>
      <c r="H207" s="34" t="s">
        <v>194</v>
      </c>
      <c r="I207" s="34" t="s">
        <v>199</v>
      </c>
      <c r="J207" s="34" t="s">
        <v>201</v>
      </c>
      <c r="K207" s="48">
        <v>46057.0</v>
      </c>
      <c r="L207" s="54" t="str">
        <f t="array" ref="L207">_xlfn.XLOOKUP(records_3[roomNo], database[roomNo], database[roomName])</f>
        <v>VIAL CAPPING</v>
      </c>
      <c r="M207" s="56" t="str">
        <f t="array" ref="M207">_xlfn.XLOOKUP(records_3[roomNo], database[roomNo], database[building])</f>
        <v>Building 16</v>
      </c>
      <c r="N207" s="56" t="str">
        <f t="array" ref="N207">_xlfn.XLOOKUP(records_3[roomNo], database[roomNo], database[floor])</f>
        <v>Floor 1</v>
      </c>
      <c r="O207" s="50">
        <v>0.0</v>
      </c>
      <c r="P207" s="34" t="s">
        <v>1795</v>
      </c>
      <c r="Q207" s="39" t="s">
        <v>2254</v>
      </c>
      <c r="R207" s="32" t="s">
        <v>1792</v>
      </c>
      <c r="S207" s="144">
        <v>46081.0</v>
      </c>
      <c r="T207" s="80" t="s">
        <v>534</v>
      </c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</row>
    <row r="208" ht="22.5" customHeight="1">
      <c r="A208" s="27">
        <v>46062.0</v>
      </c>
      <c r="B208" s="39" t="s">
        <v>765</v>
      </c>
      <c r="C208" s="140"/>
      <c r="D208" s="36" t="s">
        <v>531</v>
      </c>
      <c r="E208" s="34" t="s">
        <v>252</v>
      </c>
      <c r="F208" s="34" t="s">
        <v>1811</v>
      </c>
      <c r="G208" s="34" t="s">
        <v>1812</v>
      </c>
      <c r="H208" s="34" t="s">
        <v>194</v>
      </c>
      <c r="I208" s="34" t="s">
        <v>199</v>
      </c>
      <c r="J208" s="34" t="s">
        <v>201</v>
      </c>
      <c r="K208" s="48">
        <v>46057.0</v>
      </c>
      <c r="L208" s="54" t="str">
        <f t="array" ref="L208">_xlfn.XLOOKUP(records_3[roomNo], database[roomNo], database[roomName])</f>
        <v>FILLING 2</v>
      </c>
      <c r="M208" s="56" t="str">
        <f t="array" ref="M208">_xlfn.XLOOKUP(records_3[roomNo], database[roomNo], database[building])</f>
        <v>Building 16</v>
      </c>
      <c r="N208" s="56" t="str">
        <f t="array" ref="N208">_xlfn.XLOOKUP(records_3[roomNo], database[roomNo], database[floor])</f>
        <v>Floor 1</v>
      </c>
      <c r="O208" s="50">
        <v>0.0</v>
      </c>
      <c r="P208" s="34" t="s">
        <v>1795</v>
      </c>
      <c r="Q208" s="39" t="s">
        <v>2254</v>
      </c>
      <c r="R208" s="32" t="s">
        <v>1810</v>
      </c>
      <c r="S208" s="144">
        <v>46187.0</v>
      </c>
      <c r="T208" s="80" t="s">
        <v>1413</v>
      </c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</row>
    <row r="209" ht="22.5" customHeight="1">
      <c r="A209" s="27">
        <v>46062.0</v>
      </c>
      <c r="B209" s="39" t="s">
        <v>765</v>
      </c>
      <c r="C209" s="140"/>
      <c r="D209" s="36" t="s">
        <v>531</v>
      </c>
      <c r="E209" s="34" t="s">
        <v>252</v>
      </c>
      <c r="F209" s="34" t="s">
        <v>1811</v>
      </c>
      <c r="G209" s="34" t="s">
        <v>1812</v>
      </c>
      <c r="H209" s="34" t="s">
        <v>194</v>
      </c>
      <c r="I209" s="34" t="s">
        <v>199</v>
      </c>
      <c r="J209" s="34" t="s">
        <v>201</v>
      </c>
      <c r="K209" s="48">
        <v>46057.0</v>
      </c>
      <c r="L209" s="54" t="str">
        <f t="array" ref="L209">_xlfn.XLOOKUP(records_3[roomNo], database[roomNo], database[roomName])</f>
        <v>FILLING 2</v>
      </c>
      <c r="M209" s="56" t="str">
        <f t="array" ref="M209">_xlfn.XLOOKUP(records_3[roomNo], database[roomNo], database[building])</f>
        <v>Building 16</v>
      </c>
      <c r="N209" s="56" t="str">
        <f t="array" ref="N209">_xlfn.XLOOKUP(records_3[roomNo], database[roomNo], database[floor])</f>
        <v>Floor 1</v>
      </c>
      <c r="O209" s="50">
        <v>1.0</v>
      </c>
      <c r="P209" s="34" t="s">
        <v>1795</v>
      </c>
      <c r="Q209" s="39" t="s">
        <v>2255</v>
      </c>
      <c r="R209" s="32" t="s">
        <v>1792</v>
      </c>
      <c r="S209" s="144">
        <v>46081.0</v>
      </c>
      <c r="T209" s="80" t="s">
        <v>534</v>
      </c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</row>
    <row r="210" ht="22.5" customHeight="1">
      <c r="A210" s="27">
        <v>46062.0</v>
      </c>
      <c r="B210" s="39" t="s">
        <v>765</v>
      </c>
      <c r="C210" s="140"/>
      <c r="D210" s="36" t="s">
        <v>531</v>
      </c>
      <c r="E210" s="34" t="s">
        <v>252</v>
      </c>
      <c r="F210" s="34" t="s">
        <v>1811</v>
      </c>
      <c r="G210" s="34" t="s">
        <v>1813</v>
      </c>
      <c r="H210" s="34" t="s">
        <v>194</v>
      </c>
      <c r="I210" s="34" t="s">
        <v>199</v>
      </c>
      <c r="J210" s="34" t="s">
        <v>201</v>
      </c>
      <c r="K210" s="48">
        <v>46057.0</v>
      </c>
      <c r="L210" s="54" t="str">
        <f t="array" ref="L210">_xlfn.XLOOKUP(records_3[roomNo], database[roomNo], database[roomName])</f>
        <v>FILLING 2</v>
      </c>
      <c r="M210" s="56" t="str">
        <f t="array" ref="M210">_xlfn.XLOOKUP(records_3[roomNo], database[roomNo], database[building])</f>
        <v>Building 16</v>
      </c>
      <c r="N210" s="56" t="str">
        <f t="array" ref="N210">_xlfn.XLOOKUP(records_3[roomNo], database[roomNo], database[floor])</f>
        <v>Floor 1</v>
      </c>
      <c r="O210" s="50">
        <v>0.0</v>
      </c>
      <c r="P210" s="34" t="s">
        <v>1795</v>
      </c>
      <c r="Q210" s="39" t="s">
        <v>1060</v>
      </c>
      <c r="R210" s="32" t="s">
        <v>1810</v>
      </c>
      <c r="S210" s="144">
        <v>46187.0</v>
      </c>
      <c r="T210" s="80" t="s">
        <v>1413</v>
      </c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</row>
    <row r="211" ht="22.5" customHeight="1">
      <c r="A211" s="27">
        <v>46062.0</v>
      </c>
      <c r="B211" s="39" t="s">
        <v>729</v>
      </c>
      <c r="C211" s="140"/>
      <c r="D211" s="36" t="s">
        <v>531</v>
      </c>
      <c r="E211" s="34" t="s">
        <v>326</v>
      </c>
      <c r="F211" s="34" t="s">
        <v>842</v>
      </c>
      <c r="G211" s="34" t="s">
        <v>1588</v>
      </c>
      <c r="H211" s="34" t="s">
        <v>194</v>
      </c>
      <c r="I211" s="34" t="s">
        <v>199</v>
      </c>
      <c r="J211" s="34" t="s">
        <v>201</v>
      </c>
      <c r="K211" s="48">
        <v>46057.0</v>
      </c>
      <c r="L211" s="54" t="str">
        <f t="array" ref="L211">_xlfn.XLOOKUP(records_3[roomNo], database[roomNo], database[roomName])</f>
        <v>FILTRATION 2 (UTILITY SKID ADAM)</v>
      </c>
      <c r="M211" s="56" t="str">
        <f t="array" ref="M211">_xlfn.XLOOKUP(records_3[roomNo], database[roomNo], database[building])</f>
        <v>Building 16</v>
      </c>
      <c r="N211" s="56" t="str">
        <f t="array" ref="N211">_xlfn.XLOOKUP(records_3[roomNo], database[roomNo], database[floor])</f>
        <v>Floor 1</v>
      </c>
      <c r="O211" s="50">
        <v>0.0</v>
      </c>
      <c r="P211" s="34" t="s">
        <v>1795</v>
      </c>
      <c r="Q211" s="39"/>
      <c r="R211" s="32" t="s">
        <v>1810</v>
      </c>
      <c r="S211" s="144">
        <v>46187.0</v>
      </c>
      <c r="T211" s="80" t="s">
        <v>1413</v>
      </c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</row>
    <row r="212" ht="22.5" customHeight="1">
      <c r="A212" s="27">
        <v>46062.0</v>
      </c>
      <c r="B212" s="39" t="s">
        <v>1041</v>
      </c>
      <c r="C212" s="140"/>
      <c r="D212" s="36" t="s">
        <v>531</v>
      </c>
      <c r="E212" s="34" t="s">
        <v>303</v>
      </c>
      <c r="F212" s="34" t="s">
        <v>1806</v>
      </c>
      <c r="G212" s="34" t="s">
        <v>827</v>
      </c>
      <c r="H212" s="34" t="s">
        <v>194</v>
      </c>
      <c r="I212" s="34" t="s">
        <v>199</v>
      </c>
      <c r="J212" s="34" t="s">
        <v>201</v>
      </c>
      <c r="K212" s="48">
        <v>46057.0</v>
      </c>
      <c r="L212" s="54" t="str">
        <f t="array" ref="L212">_xlfn.XLOOKUP(records_3[roomNo], database[roomNo], database[roomName])</f>
        <v>PASSAGE</v>
      </c>
      <c r="M212" s="56" t="str">
        <f t="array" ref="M212">_xlfn.XLOOKUP(records_3[roomNo], database[roomNo], database[building])</f>
        <v>Building 16</v>
      </c>
      <c r="N212" s="56" t="str">
        <f t="array" ref="N212">_xlfn.XLOOKUP(records_3[roomNo], database[roomNo], database[floor])</f>
        <v>Floor 1</v>
      </c>
      <c r="O212" s="50">
        <v>1.0</v>
      </c>
      <c r="P212" s="34" t="s">
        <v>1795</v>
      </c>
      <c r="Q212" s="39"/>
      <c r="R212" s="32" t="s">
        <v>1810</v>
      </c>
      <c r="S212" s="144">
        <v>46187.0</v>
      </c>
      <c r="T212" s="80" t="s">
        <v>1413</v>
      </c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</row>
    <row r="213" ht="22.5" customHeight="1">
      <c r="A213" s="27">
        <v>46062.0</v>
      </c>
      <c r="B213" s="39" t="s">
        <v>1047</v>
      </c>
      <c r="C213" s="140"/>
      <c r="D213" s="36" t="s">
        <v>531</v>
      </c>
      <c r="E213" s="34" t="s">
        <v>381</v>
      </c>
      <c r="F213" s="34" t="s">
        <v>1833</v>
      </c>
      <c r="G213" s="34" t="s">
        <v>939</v>
      </c>
      <c r="H213" s="34" t="s">
        <v>194</v>
      </c>
      <c r="I213" s="34" t="s">
        <v>199</v>
      </c>
      <c r="J213" s="34" t="s">
        <v>201</v>
      </c>
      <c r="K213" s="48">
        <v>46057.0</v>
      </c>
      <c r="L213" s="54" t="str">
        <f t="array" ref="L213">_xlfn.XLOOKUP(records_3[roomNo], database[roomNo], database[roomName])</f>
        <v>COLLING ZONE</v>
      </c>
      <c r="M213" s="56" t="str">
        <f t="array" ref="M213">_xlfn.XLOOKUP(records_3[roomNo], database[roomNo], database[building])</f>
        <v>Building 16</v>
      </c>
      <c r="N213" s="56" t="str">
        <f t="array" ref="N213">_xlfn.XLOOKUP(records_3[roomNo], database[roomNo], database[floor])</f>
        <v>Floor 1</v>
      </c>
      <c r="O213" s="50">
        <v>0.0</v>
      </c>
      <c r="P213" s="34" t="s">
        <v>1795</v>
      </c>
      <c r="Q213" s="39"/>
      <c r="R213" s="32" t="s">
        <v>1810</v>
      </c>
      <c r="S213" s="144">
        <v>46187.0</v>
      </c>
      <c r="T213" s="80" t="s">
        <v>1413</v>
      </c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</row>
    <row r="214" ht="22.5" customHeight="1">
      <c r="A214" s="27">
        <v>46062.0</v>
      </c>
      <c r="B214" s="39" t="s">
        <v>1052</v>
      </c>
      <c r="C214" s="140"/>
      <c r="D214" s="36" t="s">
        <v>531</v>
      </c>
      <c r="E214" s="34" t="s">
        <v>292</v>
      </c>
      <c r="F214" s="34" t="s">
        <v>570</v>
      </c>
      <c r="G214" s="34" t="s">
        <v>1836</v>
      </c>
      <c r="H214" s="34" t="s">
        <v>194</v>
      </c>
      <c r="I214" s="34" t="s">
        <v>199</v>
      </c>
      <c r="J214" s="34" t="s">
        <v>201</v>
      </c>
      <c r="K214" s="48">
        <v>46057.0</v>
      </c>
      <c r="L214" s="54" t="str">
        <f t="array" ref="L214">_xlfn.XLOOKUP(records_3[roomNo], database[roomNo], database[roomName])</f>
        <v>DISINFECT PREPARATION</v>
      </c>
      <c r="M214" s="56" t="str">
        <f t="array" ref="M214">_xlfn.XLOOKUP(records_3[roomNo], database[roomNo], database[building])</f>
        <v>Building 16</v>
      </c>
      <c r="N214" s="56" t="str">
        <f t="array" ref="N214">_xlfn.XLOOKUP(records_3[roomNo], database[roomNo], database[floor])</f>
        <v>Floor 1</v>
      </c>
      <c r="O214" s="50">
        <v>0.0</v>
      </c>
      <c r="P214" s="34" t="s">
        <v>1795</v>
      </c>
      <c r="Q214" s="39"/>
      <c r="R214" s="32" t="s">
        <v>1810</v>
      </c>
      <c r="S214" s="144">
        <v>46187.0</v>
      </c>
      <c r="T214" s="80" t="s">
        <v>1413</v>
      </c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</row>
    <row r="215" ht="22.5" customHeight="1">
      <c r="A215" s="27">
        <v>46062.0</v>
      </c>
      <c r="B215" s="39" t="s">
        <v>1068</v>
      </c>
      <c r="C215" s="140"/>
      <c r="D215" s="36" t="s">
        <v>531</v>
      </c>
      <c r="E215" s="34" t="s">
        <v>326</v>
      </c>
      <c r="F215" s="34" t="s">
        <v>1839</v>
      </c>
      <c r="G215" s="34" t="s">
        <v>1840</v>
      </c>
      <c r="H215" s="34" t="s">
        <v>194</v>
      </c>
      <c r="I215" s="34" t="s">
        <v>199</v>
      </c>
      <c r="J215" s="34" t="s">
        <v>201</v>
      </c>
      <c r="K215" s="48">
        <v>46057.0</v>
      </c>
      <c r="L215" s="54" t="str">
        <f t="array" ref="L215">_xlfn.XLOOKUP(records_3[roomNo], database[roomNo], database[roomName])</f>
        <v>AIRLOCK</v>
      </c>
      <c r="M215" s="56" t="str">
        <f t="array" ref="M215">_xlfn.XLOOKUP(records_3[roomNo], database[roomNo], database[building])</f>
        <v>Building 16</v>
      </c>
      <c r="N215" s="56" t="str">
        <f t="array" ref="N215">_xlfn.XLOOKUP(records_3[roomNo], database[roomNo], database[floor])</f>
        <v>Floor 1</v>
      </c>
      <c r="O215" s="50">
        <v>1.0</v>
      </c>
      <c r="P215" s="34" t="s">
        <v>1795</v>
      </c>
      <c r="Q215" s="39"/>
      <c r="R215" s="32" t="s">
        <v>1792</v>
      </c>
      <c r="S215" s="144">
        <v>46081.0</v>
      </c>
      <c r="T215" s="80" t="s">
        <v>534</v>
      </c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</row>
    <row r="216" ht="22.5" customHeight="1">
      <c r="A216" s="27">
        <v>46062.0</v>
      </c>
      <c r="B216" s="39" t="s">
        <v>736</v>
      </c>
      <c r="C216" s="140"/>
      <c r="D216" s="36" t="s">
        <v>531</v>
      </c>
      <c r="E216" s="34" t="s">
        <v>314</v>
      </c>
      <c r="F216" s="34" t="s">
        <v>1841</v>
      </c>
      <c r="G216" s="34" t="s">
        <v>1842</v>
      </c>
      <c r="H216" s="34" t="s">
        <v>194</v>
      </c>
      <c r="I216" s="34" t="s">
        <v>199</v>
      </c>
      <c r="J216" s="34" t="s">
        <v>201</v>
      </c>
      <c r="K216" s="48">
        <v>46057.0</v>
      </c>
      <c r="L216" s="54" t="str">
        <f t="array" ref="L216">_xlfn.XLOOKUP(records_3[roomNo], database[roomNo], database[roomName])</f>
        <v>WASHING</v>
      </c>
      <c r="M216" s="56" t="str">
        <f t="array" ref="M216">_xlfn.XLOOKUP(records_3[roomNo], database[roomNo], database[building])</f>
        <v>Building 16</v>
      </c>
      <c r="N216" s="56" t="str">
        <f t="array" ref="N216">_xlfn.XLOOKUP(records_3[roomNo], database[roomNo], database[floor])</f>
        <v>Floor 1</v>
      </c>
      <c r="O216" s="50">
        <v>2.0</v>
      </c>
      <c r="P216" s="34" t="s">
        <v>1795</v>
      </c>
      <c r="Q216" s="39"/>
      <c r="R216" s="32" t="s">
        <v>1792</v>
      </c>
      <c r="S216" s="144">
        <v>46081.0</v>
      </c>
      <c r="T216" s="80" t="s">
        <v>534</v>
      </c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</row>
    <row r="217" ht="22.5" customHeight="1">
      <c r="A217" s="27">
        <v>46062.0</v>
      </c>
      <c r="B217" s="39" t="s">
        <v>740</v>
      </c>
      <c r="C217" s="140"/>
      <c r="D217" s="36" t="s">
        <v>531</v>
      </c>
      <c r="E217" s="34" t="s">
        <v>1546</v>
      </c>
      <c r="F217" s="34" t="s">
        <v>1806</v>
      </c>
      <c r="G217" s="34" t="s">
        <v>1843</v>
      </c>
      <c r="H217" s="34" t="s">
        <v>194</v>
      </c>
      <c r="I217" s="34" t="s">
        <v>199</v>
      </c>
      <c r="J217" s="34" t="s">
        <v>201</v>
      </c>
      <c r="K217" s="48">
        <v>46057.0</v>
      </c>
      <c r="L217" s="54" t="str">
        <f t="array" ref="L217">_xlfn.XLOOKUP(records_3[roomNo], database[roomNo], database[roomName])</f>
        <v>FILTRATION 1 (UTILITY SKID ADAM)</v>
      </c>
      <c r="M217" s="56" t="str">
        <f t="array" ref="M217">_xlfn.XLOOKUP(records_3[roomNo], database[roomNo], database[building])</f>
        <v>Building 16</v>
      </c>
      <c r="N217" s="56" t="str">
        <f t="array" ref="N217">_xlfn.XLOOKUP(records_3[roomNo], database[roomNo], database[floor])</f>
        <v>Floor 1</v>
      </c>
      <c r="O217" s="50">
        <v>0.0</v>
      </c>
      <c r="P217" s="34" t="s">
        <v>1795</v>
      </c>
      <c r="Q217" s="39"/>
      <c r="R217" s="32" t="s">
        <v>1810</v>
      </c>
      <c r="S217" s="144">
        <v>46187.0</v>
      </c>
      <c r="T217" s="80" t="s">
        <v>1413</v>
      </c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</row>
    <row r="218" ht="22.5" customHeight="1">
      <c r="A218" s="27">
        <v>46062.0</v>
      </c>
      <c r="B218" s="39" t="s">
        <v>774</v>
      </c>
      <c r="C218" s="140"/>
      <c r="D218" s="36" t="s">
        <v>531</v>
      </c>
      <c r="E218" s="34" t="s">
        <v>458</v>
      </c>
      <c r="F218" s="34" t="s">
        <v>1845</v>
      </c>
      <c r="G218" s="34" t="s">
        <v>1846</v>
      </c>
      <c r="H218" s="34" t="s">
        <v>194</v>
      </c>
      <c r="I218" s="34" t="s">
        <v>199</v>
      </c>
      <c r="J218" s="34" t="s">
        <v>201</v>
      </c>
      <c r="K218" s="48">
        <v>46057.0</v>
      </c>
      <c r="L218" s="54" t="str">
        <f t="array" ref="L218">_xlfn.XLOOKUP(records_3[roomNo], database[roomNo], database[roomName])</f>
        <v>FILLING 1</v>
      </c>
      <c r="M218" s="56" t="str">
        <f t="array" ref="M218">_xlfn.XLOOKUP(records_3[roomNo], database[roomNo], database[building])</f>
        <v>Building 16</v>
      </c>
      <c r="N218" s="56" t="str">
        <f t="array" ref="N218">_xlfn.XLOOKUP(records_3[roomNo], database[roomNo], database[floor])</f>
        <v>Floor 1</v>
      </c>
      <c r="O218" s="50">
        <v>0.0</v>
      </c>
      <c r="P218" s="34" t="s">
        <v>1795</v>
      </c>
      <c r="Q218" s="39" t="s">
        <v>2254</v>
      </c>
      <c r="R218" s="32" t="s">
        <v>1810</v>
      </c>
      <c r="S218" s="144">
        <v>46187.0</v>
      </c>
      <c r="T218" s="80" t="s">
        <v>1413</v>
      </c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</row>
    <row r="219" ht="22.5" customHeight="1">
      <c r="A219" s="27">
        <v>46062.0</v>
      </c>
      <c r="B219" s="39" t="s">
        <v>774</v>
      </c>
      <c r="C219" s="140"/>
      <c r="D219" s="36" t="s">
        <v>531</v>
      </c>
      <c r="E219" s="34" t="s">
        <v>458</v>
      </c>
      <c r="F219" s="34" t="s">
        <v>1845</v>
      </c>
      <c r="G219" s="34" t="s">
        <v>1846</v>
      </c>
      <c r="H219" s="34" t="s">
        <v>194</v>
      </c>
      <c r="I219" s="34" t="s">
        <v>199</v>
      </c>
      <c r="J219" s="34" t="s">
        <v>201</v>
      </c>
      <c r="K219" s="48">
        <v>46057.0</v>
      </c>
      <c r="L219" s="54" t="str">
        <f t="array" ref="L219">_xlfn.XLOOKUP(records_3[roomNo], database[roomNo], database[roomName])</f>
        <v>FILLING 1</v>
      </c>
      <c r="M219" s="56" t="str">
        <f t="array" ref="M219">_xlfn.XLOOKUP(records_3[roomNo], database[roomNo], database[building])</f>
        <v>Building 16</v>
      </c>
      <c r="N219" s="56" t="str">
        <f t="array" ref="N219">_xlfn.XLOOKUP(records_3[roomNo], database[roomNo], database[floor])</f>
        <v>Floor 1</v>
      </c>
      <c r="O219" s="50">
        <v>0.0</v>
      </c>
      <c r="P219" s="34" t="s">
        <v>1795</v>
      </c>
      <c r="Q219" s="39" t="s">
        <v>2257</v>
      </c>
      <c r="R219" s="32" t="s">
        <v>1792</v>
      </c>
      <c r="S219" s="144">
        <v>46081.0</v>
      </c>
      <c r="T219" s="80" t="s">
        <v>534</v>
      </c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</row>
    <row r="220" ht="22.5" customHeight="1">
      <c r="A220" s="27">
        <v>46062.0</v>
      </c>
      <c r="B220" s="39" t="s">
        <v>774</v>
      </c>
      <c r="C220" s="140"/>
      <c r="D220" s="36" t="s">
        <v>531</v>
      </c>
      <c r="E220" s="34" t="s">
        <v>458</v>
      </c>
      <c r="F220" s="34" t="s">
        <v>1845</v>
      </c>
      <c r="G220" s="34" t="s">
        <v>1784</v>
      </c>
      <c r="H220" s="34" t="s">
        <v>194</v>
      </c>
      <c r="I220" s="34" t="s">
        <v>199</v>
      </c>
      <c r="J220" s="34" t="s">
        <v>201</v>
      </c>
      <c r="K220" s="48">
        <v>46057.0</v>
      </c>
      <c r="L220" s="54" t="str">
        <f t="array" ref="L220">_xlfn.XLOOKUP(records_3[roomNo], database[roomNo], database[roomName])</f>
        <v>FILLING 1</v>
      </c>
      <c r="M220" s="56" t="str">
        <f t="array" ref="M220">_xlfn.XLOOKUP(records_3[roomNo], database[roomNo], database[building])</f>
        <v>Building 16</v>
      </c>
      <c r="N220" s="56" t="str">
        <f t="array" ref="N220">_xlfn.XLOOKUP(records_3[roomNo], database[roomNo], database[floor])</f>
        <v>Floor 1</v>
      </c>
      <c r="O220" s="50">
        <v>0.0</v>
      </c>
      <c r="P220" s="34" t="s">
        <v>1795</v>
      </c>
      <c r="Q220" s="39" t="s">
        <v>1060</v>
      </c>
      <c r="R220" s="32" t="s">
        <v>1810</v>
      </c>
      <c r="S220" s="144">
        <v>46187.0</v>
      </c>
      <c r="T220" s="80" t="s">
        <v>1413</v>
      </c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</row>
    <row r="221" ht="22.5" customHeight="1">
      <c r="A221" s="27">
        <v>46062.0</v>
      </c>
      <c r="B221" s="39" t="s">
        <v>1162</v>
      </c>
      <c r="C221" s="140"/>
      <c r="D221" s="36" t="s">
        <v>531</v>
      </c>
      <c r="E221" s="34" t="s">
        <v>366</v>
      </c>
      <c r="F221" s="34" t="s">
        <v>1797</v>
      </c>
      <c r="G221" s="34" t="s">
        <v>1849</v>
      </c>
      <c r="H221" s="34" t="s">
        <v>194</v>
      </c>
      <c r="I221" s="34" t="s">
        <v>199</v>
      </c>
      <c r="J221" s="34" t="s">
        <v>201</v>
      </c>
      <c r="K221" s="48">
        <v>46057.0</v>
      </c>
      <c r="L221" s="54" t="str">
        <f t="array" ref="L221">_xlfn.XLOOKUP(records_3[roomNo], database[roomNo], database[roomName])</f>
        <v>IPQC</v>
      </c>
      <c r="M221" s="56" t="str">
        <f t="array" ref="M221">_xlfn.XLOOKUP(records_3[roomNo], database[roomNo], database[building])</f>
        <v>Building 16</v>
      </c>
      <c r="N221" s="56" t="str">
        <f t="array" ref="N221">_xlfn.XLOOKUP(records_3[roomNo], database[roomNo], database[floor])</f>
        <v>Floor 1</v>
      </c>
      <c r="O221" s="50">
        <v>0.0</v>
      </c>
      <c r="P221" s="34" t="s">
        <v>1795</v>
      </c>
      <c r="Q221" s="39"/>
      <c r="R221" s="32" t="s">
        <v>1792</v>
      </c>
      <c r="S221" s="144">
        <v>46081.0</v>
      </c>
      <c r="T221" s="80" t="s">
        <v>534</v>
      </c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</row>
    <row r="222" ht="22.5" customHeight="1">
      <c r="A222" s="27">
        <v>46062.0</v>
      </c>
      <c r="B222" s="39" t="s">
        <v>1174</v>
      </c>
      <c r="C222" s="140"/>
      <c r="D222" s="36" t="s">
        <v>531</v>
      </c>
      <c r="E222" s="34" t="s">
        <v>458</v>
      </c>
      <c r="F222" s="34" t="s">
        <v>1850</v>
      </c>
      <c r="G222" s="34" t="s">
        <v>1836</v>
      </c>
      <c r="H222" s="34" t="s">
        <v>194</v>
      </c>
      <c r="I222" s="34" t="s">
        <v>199</v>
      </c>
      <c r="J222" s="34" t="s">
        <v>201</v>
      </c>
      <c r="K222" s="48">
        <v>46057.0</v>
      </c>
      <c r="L222" s="54" t="str">
        <f t="array" ref="L222">_xlfn.XLOOKUP(records_3[roomNo], database[roomNo], database[roomName])</f>
        <v>CLEANED EQUIPMENT</v>
      </c>
      <c r="M222" s="56" t="str">
        <f t="array" ref="M222">_xlfn.XLOOKUP(records_3[roomNo], database[roomNo], database[building])</f>
        <v>Building 16</v>
      </c>
      <c r="N222" s="56" t="str">
        <f t="array" ref="N222">_xlfn.XLOOKUP(records_3[roomNo], database[roomNo], database[floor])</f>
        <v>Floor 1</v>
      </c>
      <c r="O222" s="50">
        <v>0.0</v>
      </c>
      <c r="P222" s="34" t="s">
        <v>1795</v>
      </c>
      <c r="Q222" s="39"/>
      <c r="R222" s="32" t="s">
        <v>1810</v>
      </c>
      <c r="S222" s="144">
        <v>46187.0</v>
      </c>
      <c r="T222" s="80" t="s">
        <v>1413</v>
      </c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</row>
    <row r="223" ht="22.5" customHeight="1">
      <c r="A223" s="27">
        <v>46062.0</v>
      </c>
      <c r="B223" s="39" t="s">
        <v>1194</v>
      </c>
      <c r="C223" s="140"/>
      <c r="D223" s="36" t="s">
        <v>531</v>
      </c>
      <c r="E223" s="34" t="s">
        <v>353</v>
      </c>
      <c r="F223" s="34" t="s">
        <v>1583</v>
      </c>
      <c r="G223" s="34" t="s">
        <v>1853</v>
      </c>
      <c r="H223" s="34" t="s">
        <v>194</v>
      </c>
      <c r="I223" s="34" t="s">
        <v>199</v>
      </c>
      <c r="J223" s="34" t="s">
        <v>201</v>
      </c>
      <c r="K223" s="48">
        <v>46057.0</v>
      </c>
      <c r="L223" s="54" t="str">
        <f t="array" ref="L223">_xlfn.XLOOKUP(records_3[roomNo], database[roomNo], database[roomName])</f>
        <v>MEN PAL</v>
      </c>
      <c r="M223" s="56" t="str">
        <f t="array" ref="M223">_xlfn.XLOOKUP(records_3[roomNo], database[roomNo], database[building])</f>
        <v>Building 16</v>
      </c>
      <c r="N223" s="56" t="str">
        <f t="array" ref="N223">_xlfn.XLOOKUP(records_3[roomNo], database[roomNo], database[floor])</f>
        <v>Floor 1</v>
      </c>
      <c r="O223" s="50">
        <v>9.0</v>
      </c>
      <c r="P223" s="34" t="s">
        <v>1795</v>
      </c>
      <c r="Q223" s="39" t="s">
        <v>855</v>
      </c>
      <c r="R223" s="32">
        <v>3.11015016E8</v>
      </c>
      <c r="S223" s="144">
        <v>46081.0</v>
      </c>
      <c r="T223" s="80" t="s">
        <v>203</v>
      </c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</row>
    <row r="224" ht="22.5" customHeight="1">
      <c r="A224" s="27">
        <v>46062.0</v>
      </c>
      <c r="B224" s="39" t="s">
        <v>1226</v>
      </c>
      <c r="C224" s="140"/>
      <c r="D224" s="36" t="s">
        <v>531</v>
      </c>
      <c r="E224" s="34" t="s">
        <v>469</v>
      </c>
      <c r="F224" s="34" t="s">
        <v>1854</v>
      </c>
      <c r="G224" s="34" t="s">
        <v>1853</v>
      </c>
      <c r="H224" s="34" t="s">
        <v>194</v>
      </c>
      <c r="I224" s="34" t="s">
        <v>199</v>
      </c>
      <c r="J224" s="34" t="s">
        <v>201</v>
      </c>
      <c r="K224" s="48">
        <v>46057.0</v>
      </c>
      <c r="L224" s="54" t="str">
        <f t="array" ref="L224">_xlfn.XLOOKUP(records_3[roomNo], database[roomNo], database[roomName])</f>
        <v>MEN PROCESS CHANGE</v>
      </c>
      <c r="M224" s="56" t="str">
        <f t="array" ref="M224">_xlfn.XLOOKUP(records_3[roomNo], database[roomNo], database[building])</f>
        <v>Building 16</v>
      </c>
      <c r="N224" s="56" t="str">
        <f t="array" ref="N224">_xlfn.XLOOKUP(records_3[roomNo], database[roomNo], database[floor])</f>
        <v>Floor 1</v>
      </c>
      <c r="O224" s="50">
        <v>7.0</v>
      </c>
      <c r="P224" s="34" t="s">
        <v>1795</v>
      </c>
      <c r="Q224" s="80"/>
      <c r="R224" s="32">
        <v>3.11015016E8</v>
      </c>
      <c r="S224" s="144">
        <v>46081.0</v>
      </c>
      <c r="T224" s="80" t="s">
        <v>203</v>
      </c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</row>
    <row r="225" ht="22.5" customHeight="1">
      <c r="A225" s="27">
        <v>46062.0</v>
      </c>
      <c r="B225" s="39" t="s">
        <v>1250</v>
      </c>
      <c r="C225" s="140"/>
      <c r="D225" s="36" t="s">
        <v>531</v>
      </c>
      <c r="E225" s="34" t="s">
        <v>292</v>
      </c>
      <c r="F225" s="34" t="s">
        <v>1857</v>
      </c>
      <c r="G225" s="34" t="s">
        <v>1271</v>
      </c>
      <c r="H225" s="34" t="s">
        <v>194</v>
      </c>
      <c r="I225" s="34" t="s">
        <v>199</v>
      </c>
      <c r="J225" s="34" t="s">
        <v>201</v>
      </c>
      <c r="K225" s="48">
        <v>46057.0</v>
      </c>
      <c r="L225" s="54" t="str">
        <f t="array" ref="L225">_xlfn.XLOOKUP(records_3[roomNo], database[roomNo], database[roomName])</f>
        <v>WOMEN PAL</v>
      </c>
      <c r="M225" s="56" t="str">
        <f t="array" ref="M225">_xlfn.XLOOKUP(records_3[roomNo], database[roomNo], database[building])</f>
        <v>Building 16</v>
      </c>
      <c r="N225" s="56" t="str">
        <f t="array" ref="N225">_xlfn.XLOOKUP(records_3[roomNo], database[roomNo], database[floor])</f>
        <v>Floor 1</v>
      </c>
      <c r="O225" s="50">
        <v>1.0</v>
      </c>
      <c r="P225" s="34" t="s">
        <v>1795</v>
      </c>
      <c r="Q225" s="39" t="s">
        <v>855</v>
      </c>
      <c r="R225" s="32" t="s">
        <v>1792</v>
      </c>
      <c r="S225" s="144">
        <v>46081.0</v>
      </c>
      <c r="T225" s="80" t="s">
        <v>534</v>
      </c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</row>
    <row r="226" ht="22.5" customHeight="1">
      <c r="A226" s="27">
        <v>46062.0</v>
      </c>
      <c r="B226" s="39" t="s">
        <v>1273</v>
      </c>
      <c r="C226" s="140"/>
      <c r="D226" s="36" t="s">
        <v>531</v>
      </c>
      <c r="E226" s="34" t="s">
        <v>292</v>
      </c>
      <c r="F226" s="34" t="s">
        <v>1858</v>
      </c>
      <c r="G226" s="34" t="s">
        <v>1794</v>
      </c>
      <c r="H226" s="34" t="s">
        <v>194</v>
      </c>
      <c r="I226" s="34" t="s">
        <v>199</v>
      </c>
      <c r="J226" s="34" t="s">
        <v>201</v>
      </c>
      <c r="K226" s="48">
        <v>46057.0</v>
      </c>
      <c r="L226" s="54" t="str">
        <f t="array" ref="L226">_xlfn.XLOOKUP(records_3[roomNo], database[roomNo], database[roomName])</f>
        <v>WOMEN PROCESS CHANGE</v>
      </c>
      <c r="M226" s="56" t="str">
        <f t="array" ref="M226">_xlfn.XLOOKUP(records_3[roomNo], database[roomNo], database[building])</f>
        <v>Building 16</v>
      </c>
      <c r="N226" s="56" t="str">
        <f t="array" ref="N226">_xlfn.XLOOKUP(records_3[roomNo], database[roomNo], database[floor])</f>
        <v>Floor 1</v>
      </c>
      <c r="O226" s="50">
        <v>1.0</v>
      </c>
      <c r="P226" s="34" t="s">
        <v>1795</v>
      </c>
      <c r="Q226" s="39"/>
      <c r="R226" s="32">
        <v>3.11015016E8</v>
      </c>
      <c r="S226" s="144">
        <v>46081.0</v>
      </c>
      <c r="T226" s="80" t="s">
        <v>203</v>
      </c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</row>
    <row r="227" ht="22.5" customHeight="1">
      <c r="A227" s="27">
        <v>46062.0</v>
      </c>
      <c r="B227" s="39" t="s">
        <v>1311</v>
      </c>
      <c r="C227" s="140"/>
      <c r="D227" s="36" t="s">
        <v>531</v>
      </c>
      <c r="E227" s="34" t="s">
        <v>798</v>
      </c>
      <c r="F227" s="34" t="s">
        <v>1811</v>
      </c>
      <c r="G227" s="34" t="s">
        <v>1755</v>
      </c>
      <c r="H227" s="34" t="s">
        <v>194</v>
      </c>
      <c r="I227" s="34" t="s">
        <v>199</v>
      </c>
      <c r="J227" s="34" t="s">
        <v>201</v>
      </c>
      <c r="K227" s="48">
        <v>46057.0</v>
      </c>
      <c r="L227" s="54" t="str">
        <f t="array" ref="L227">_xlfn.XLOOKUP(records_3[roomNo], database[roomNo], database[roomName])</f>
        <v>CORRIDOR</v>
      </c>
      <c r="M227" s="56" t="str">
        <f t="array" ref="M227">_xlfn.XLOOKUP(records_3[roomNo], database[roomNo], database[building])</f>
        <v>Building 16</v>
      </c>
      <c r="N227" s="56" t="str">
        <f t="array" ref="N227">_xlfn.XLOOKUP(records_3[roomNo], database[roomNo], database[floor])</f>
        <v>Floor 1</v>
      </c>
      <c r="O227" s="50">
        <v>3.0</v>
      </c>
      <c r="P227" s="34" t="s">
        <v>1795</v>
      </c>
      <c r="Q227" s="39" t="s">
        <v>1318</v>
      </c>
      <c r="R227" s="32">
        <v>3.11015016E8</v>
      </c>
      <c r="S227" s="144">
        <v>46081.0</v>
      </c>
      <c r="T227" s="80" t="s">
        <v>203</v>
      </c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</row>
    <row r="228" ht="22.5" customHeight="1">
      <c r="A228" s="27">
        <v>46062.0</v>
      </c>
      <c r="B228" s="39" t="s">
        <v>1311</v>
      </c>
      <c r="C228" s="140"/>
      <c r="D228" s="36" t="s">
        <v>531</v>
      </c>
      <c r="E228" s="34" t="s">
        <v>798</v>
      </c>
      <c r="F228" s="34" t="s">
        <v>1811</v>
      </c>
      <c r="G228" s="34" t="s">
        <v>1006</v>
      </c>
      <c r="H228" s="34" t="s">
        <v>194</v>
      </c>
      <c r="I228" s="34" t="s">
        <v>199</v>
      </c>
      <c r="J228" s="34" t="s">
        <v>201</v>
      </c>
      <c r="K228" s="48">
        <v>46057.0</v>
      </c>
      <c r="L228" s="54" t="str">
        <f t="array" ref="L228">_xlfn.XLOOKUP(records_3[roomNo], database[roomNo], database[roomName])</f>
        <v>CORRIDOR</v>
      </c>
      <c r="M228" s="56" t="str">
        <f t="array" ref="M228">_xlfn.XLOOKUP(records_3[roomNo], database[roomNo], database[building])</f>
        <v>Building 16</v>
      </c>
      <c r="N228" s="56" t="str">
        <f t="array" ref="N228">_xlfn.XLOOKUP(records_3[roomNo], database[roomNo], database[floor])</f>
        <v>Floor 1</v>
      </c>
      <c r="O228" s="50">
        <v>2.0</v>
      </c>
      <c r="P228" s="34" t="s">
        <v>1795</v>
      </c>
      <c r="Q228" s="39" t="s">
        <v>1847</v>
      </c>
      <c r="R228" s="32">
        <v>3.11015016E8</v>
      </c>
      <c r="S228" s="144">
        <v>46081.0</v>
      </c>
      <c r="T228" s="80" t="s">
        <v>203</v>
      </c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</row>
    <row r="229" ht="22.5" customHeight="1">
      <c r="A229" s="27">
        <v>46062.0</v>
      </c>
      <c r="B229" s="39" t="s">
        <v>1311</v>
      </c>
      <c r="C229" s="140"/>
      <c r="D229" s="36" t="s">
        <v>531</v>
      </c>
      <c r="E229" s="34" t="s">
        <v>330</v>
      </c>
      <c r="F229" s="34" t="s">
        <v>1861</v>
      </c>
      <c r="G229" s="34" t="s">
        <v>328</v>
      </c>
      <c r="H229" s="34" t="s">
        <v>194</v>
      </c>
      <c r="I229" s="34" t="s">
        <v>199</v>
      </c>
      <c r="J229" s="34" t="s">
        <v>201</v>
      </c>
      <c r="K229" s="48">
        <v>46057.0</v>
      </c>
      <c r="L229" s="54" t="str">
        <f t="array" ref="L229">_xlfn.XLOOKUP(records_3[roomNo], database[roomNo], database[roomName])</f>
        <v>CORRIDOR</v>
      </c>
      <c r="M229" s="56" t="str">
        <f t="array" ref="M229">_xlfn.XLOOKUP(records_3[roomNo], database[roomNo], database[building])</f>
        <v>Building 16</v>
      </c>
      <c r="N229" s="56" t="str">
        <f t="array" ref="N229">_xlfn.XLOOKUP(records_3[roomNo], database[roomNo], database[floor])</f>
        <v>Floor 1</v>
      </c>
      <c r="O229" s="50">
        <v>4.0</v>
      </c>
      <c r="P229" s="34" t="s">
        <v>1795</v>
      </c>
      <c r="Q229" s="39" t="s">
        <v>2258</v>
      </c>
      <c r="R229" s="32" t="s">
        <v>1810</v>
      </c>
      <c r="S229" s="144">
        <v>46187.0</v>
      </c>
      <c r="T229" s="80" t="s">
        <v>1413</v>
      </c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</row>
    <row r="230" ht="22.5" customHeight="1">
      <c r="A230" s="27">
        <v>46062.0</v>
      </c>
      <c r="B230" s="39" t="s">
        <v>1311</v>
      </c>
      <c r="C230" s="140"/>
      <c r="D230" s="36" t="s">
        <v>531</v>
      </c>
      <c r="E230" s="34" t="s">
        <v>798</v>
      </c>
      <c r="F230" s="34" t="s">
        <v>1811</v>
      </c>
      <c r="G230" s="34" t="s">
        <v>835</v>
      </c>
      <c r="H230" s="34" t="s">
        <v>194</v>
      </c>
      <c r="I230" s="34" t="s">
        <v>199</v>
      </c>
      <c r="J230" s="34" t="s">
        <v>201</v>
      </c>
      <c r="K230" s="48">
        <v>46057.0</v>
      </c>
      <c r="L230" s="54" t="str">
        <f t="array" ref="L230">_xlfn.XLOOKUP(records_3[roomNo], database[roomNo], database[roomName])</f>
        <v>CORRIDOR</v>
      </c>
      <c r="M230" s="56" t="str">
        <f t="array" ref="M230">_xlfn.XLOOKUP(records_3[roomNo], database[roomNo], database[building])</f>
        <v>Building 16</v>
      </c>
      <c r="N230" s="56" t="str">
        <f t="array" ref="N230">_xlfn.XLOOKUP(records_3[roomNo], database[roomNo], database[floor])</f>
        <v>Floor 1</v>
      </c>
      <c r="O230" s="50">
        <v>5.0</v>
      </c>
      <c r="P230" s="34" t="s">
        <v>1795</v>
      </c>
      <c r="Q230" s="39" t="s">
        <v>1403</v>
      </c>
      <c r="R230" s="182">
        <v>3.11015016E8</v>
      </c>
      <c r="S230" s="144">
        <v>46081.0</v>
      </c>
      <c r="T230" s="80" t="s">
        <v>203</v>
      </c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</row>
    <row r="231" ht="22.5" customHeight="1">
      <c r="A231" s="27">
        <v>46062.0</v>
      </c>
      <c r="B231" s="39" t="s">
        <v>1412</v>
      </c>
      <c r="C231" s="140"/>
      <c r="D231" s="36" t="s">
        <v>531</v>
      </c>
      <c r="E231" s="34" t="s">
        <v>366</v>
      </c>
      <c r="F231" s="34" t="s">
        <v>1859</v>
      </c>
      <c r="G231" s="34" t="s">
        <v>982</v>
      </c>
      <c r="H231" s="34" t="s">
        <v>194</v>
      </c>
      <c r="I231" s="34" t="s">
        <v>199</v>
      </c>
      <c r="J231" s="34" t="s">
        <v>201</v>
      </c>
      <c r="K231" s="48">
        <v>46057.0</v>
      </c>
      <c r="L231" s="54" t="str">
        <f t="array" ref="L231">_xlfn.XLOOKUP(records_3[roomNo], database[roomNo], database[roomName])</f>
        <v>LINEN WASHING</v>
      </c>
      <c r="M231" s="56" t="str">
        <f t="array" ref="M231">_xlfn.XLOOKUP(records_3[roomNo], database[roomNo], database[building])</f>
        <v>Building 16</v>
      </c>
      <c r="N231" s="56" t="str">
        <f t="array" ref="N231">_xlfn.XLOOKUP(records_3[roomNo], database[roomNo], database[floor])</f>
        <v>Floor 1</v>
      </c>
      <c r="O231" s="50">
        <v>1.0</v>
      </c>
      <c r="P231" s="34" t="s">
        <v>1795</v>
      </c>
      <c r="Q231" s="80"/>
      <c r="R231" s="32" t="s">
        <v>1834</v>
      </c>
      <c r="S231" s="144">
        <v>46187.0</v>
      </c>
      <c r="T231" s="80" t="s">
        <v>1413</v>
      </c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</row>
    <row r="232" ht="22.5" customHeight="1">
      <c r="A232" s="27">
        <v>46062.0</v>
      </c>
      <c r="B232" s="39" t="s">
        <v>1417</v>
      </c>
      <c r="C232" s="140"/>
      <c r="D232" s="36" t="s">
        <v>531</v>
      </c>
      <c r="E232" s="34" t="s">
        <v>381</v>
      </c>
      <c r="F232" s="34" t="s">
        <v>1743</v>
      </c>
      <c r="G232" s="34" t="s">
        <v>1040</v>
      </c>
      <c r="H232" s="34" t="s">
        <v>194</v>
      </c>
      <c r="I232" s="34" t="s">
        <v>199</v>
      </c>
      <c r="J232" s="34" t="s">
        <v>201</v>
      </c>
      <c r="K232" s="48">
        <v>46057.0</v>
      </c>
      <c r="L232" s="54" t="str">
        <f t="array" ref="L232">_xlfn.XLOOKUP(records_3[roomNo], database[roomNo], database[roomName])</f>
        <v>LINEN DRY</v>
      </c>
      <c r="M232" s="56" t="str">
        <f t="array" ref="M232">_xlfn.XLOOKUP(records_3[roomNo], database[roomNo], database[building])</f>
        <v>Building 16</v>
      </c>
      <c r="N232" s="56" t="str">
        <f t="array" ref="N232">_xlfn.XLOOKUP(records_3[roomNo], database[roomNo], database[floor])</f>
        <v>Floor 1</v>
      </c>
      <c r="O232" s="50">
        <v>0.0</v>
      </c>
      <c r="P232" s="34" t="s">
        <v>1795</v>
      </c>
      <c r="Q232" s="80"/>
      <c r="R232" s="32" t="s">
        <v>1792</v>
      </c>
      <c r="S232" s="144">
        <v>46081.0</v>
      </c>
      <c r="T232" s="80" t="s">
        <v>534</v>
      </c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</row>
    <row r="233" ht="22.5" customHeight="1">
      <c r="A233" s="27">
        <v>46062.0</v>
      </c>
      <c r="B233" s="39" t="s">
        <v>1421</v>
      </c>
      <c r="C233" s="140"/>
      <c r="D233" s="36" t="s">
        <v>531</v>
      </c>
      <c r="E233" s="34" t="s">
        <v>366</v>
      </c>
      <c r="F233" s="34" t="s">
        <v>345</v>
      </c>
      <c r="G233" s="34" t="s">
        <v>1883</v>
      </c>
      <c r="H233" s="34" t="s">
        <v>194</v>
      </c>
      <c r="I233" s="34" t="s">
        <v>199</v>
      </c>
      <c r="J233" s="34" t="s">
        <v>201</v>
      </c>
      <c r="K233" s="48">
        <v>46057.0</v>
      </c>
      <c r="L233" s="54" t="str">
        <f t="array" ref="L233">_xlfn.XLOOKUP(records_3[roomNo], database[roomNo], database[roomName])</f>
        <v>LINEN STORAGE</v>
      </c>
      <c r="M233" s="56" t="str">
        <f t="array" ref="M233">_xlfn.XLOOKUP(records_3[roomNo], database[roomNo], database[building])</f>
        <v>Building 16</v>
      </c>
      <c r="N233" s="56" t="str">
        <f t="array" ref="N233">_xlfn.XLOOKUP(records_3[roomNo], database[roomNo], database[floor])</f>
        <v>Floor 1</v>
      </c>
      <c r="O233" s="50">
        <v>1.0</v>
      </c>
      <c r="P233" s="34" t="s">
        <v>1795</v>
      </c>
      <c r="Q233" s="80"/>
      <c r="R233" s="32" t="s">
        <v>1792</v>
      </c>
      <c r="S233" s="144">
        <v>46081.0</v>
      </c>
      <c r="T233" s="80" t="s">
        <v>534</v>
      </c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</row>
    <row r="234" ht="22.5" customHeight="1">
      <c r="A234" s="27">
        <v>46062.0</v>
      </c>
      <c r="B234" s="39" t="s">
        <v>1431</v>
      </c>
      <c r="C234" s="140"/>
      <c r="D234" s="36" t="s">
        <v>531</v>
      </c>
      <c r="E234" s="34" t="s">
        <v>326</v>
      </c>
      <c r="F234" s="34" t="s">
        <v>799</v>
      </c>
      <c r="G234" s="34" t="s">
        <v>1886</v>
      </c>
      <c r="H234" s="34" t="s">
        <v>194</v>
      </c>
      <c r="I234" s="34" t="s">
        <v>199</v>
      </c>
      <c r="J234" s="34" t="s">
        <v>201</v>
      </c>
      <c r="K234" s="48">
        <v>46057.0</v>
      </c>
      <c r="L234" s="54" t="str">
        <f t="array" ref="L234">_xlfn.XLOOKUP(records_3[roomNo], database[roomNo], database[roomName])</f>
        <v>JANITOR</v>
      </c>
      <c r="M234" s="56" t="str">
        <f t="array" ref="M234">_xlfn.XLOOKUP(records_3[roomNo], database[roomNo], database[building])</f>
        <v>Building 16</v>
      </c>
      <c r="N234" s="56" t="str">
        <f t="array" ref="N234">_xlfn.XLOOKUP(records_3[roomNo], database[roomNo], database[floor])</f>
        <v>Floor 1</v>
      </c>
      <c r="O234" s="50">
        <v>2.0</v>
      </c>
      <c r="P234" s="34" t="s">
        <v>1795</v>
      </c>
      <c r="Q234" s="80"/>
      <c r="R234" s="32" t="s">
        <v>1834</v>
      </c>
      <c r="S234" s="144">
        <v>46187.0</v>
      </c>
      <c r="T234" s="80" t="s">
        <v>1413</v>
      </c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</row>
    <row r="235" ht="22.5" customHeight="1">
      <c r="A235" s="27">
        <v>46062.0</v>
      </c>
      <c r="B235" s="39" t="s">
        <v>745</v>
      </c>
      <c r="C235" s="140"/>
      <c r="D235" s="36" t="s">
        <v>531</v>
      </c>
      <c r="E235" s="34" t="s">
        <v>1790</v>
      </c>
      <c r="F235" s="34" t="s">
        <v>1088</v>
      </c>
      <c r="G235" s="34" t="s">
        <v>1813</v>
      </c>
      <c r="H235" s="34" t="s">
        <v>194</v>
      </c>
      <c r="I235" s="34" t="s">
        <v>199</v>
      </c>
      <c r="J235" s="34" t="s">
        <v>201</v>
      </c>
      <c r="K235" s="48">
        <v>46057.0</v>
      </c>
      <c r="L235" s="54" t="str">
        <f t="array" ref="L235">_xlfn.XLOOKUP(records_3[roomNo], database[roomNo], database[roomName])</f>
        <v>WASHING/TUNNEL 2 (WASHING TUNNEL AMPOULE MACHINE)</v>
      </c>
      <c r="M235" s="56" t="str">
        <f t="array" ref="M235">_xlfn.XLOOKUP(records_3[roomNo], database[roomNo], database[building])</f>
        <v>Building 16</v>
      </c>
      <c r="N235" s="56" t="str">
        <f t="array" ref="N235">_xlfn.XLOOKUP(records_3[roomNo], database[roomNo], database[floor])</f>
        <v>Floor 1</v>
      </c>
      <c r="O235" s="50">
        <v>0.0</v>
      </c>
      <c r="P235" s="34" t="s">
        <v>1795</v>
      </c>
      <c r="Q235" s="80"/>
      <c r="R235" s="32" t="s">
        <v>1810</v>
      </c>
      <c r="S235" s="144">
        <v>46187.0</v>
      </c>
      <c r="T235" s="80" t="s">
        <v>1413</v>
      </c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</row>
    <row r="236" ht="22.5" customHeight="1">
      <c r="A236" s="27">
        <v>46062.0</v>
      </c>
      <c r="B236" s="39" t="s">
        <v>1471</v>
      </c>
      <c r="C236" s="140"/>
      <c r="D236" s="36" t="s">
        <v>531</v>
      </c>
      <c r="E236" s="34" t="s">
        <v>330</v>
      </c>
      <c r="F236" s="34" t="s">
        <v>1861</v>
      </c>
      <c r="G236" s="34" t="s">
        <v>1006</v>
      </c>
      <c r="H236" s="34" t="s">
        <v>194</v>
      </c>
      <c r="I236" s="34" t="s">
        <v>199</v>
      </c>
      <c r="J236" s="34" t="s">
        <v>201</v>
      </c>
      <c r="K236" s="48">
        <v>46057.0</v>
      </c>
      <c r="L236" s="54" t="str">
        <f t="array" ref="L236">_xlfn.XLOOKUP(records_3[roomNo], database[roomNo], database[roomName])</f>
        <v>VIALS INTERNAL STAGING</v>
      </c>
      <c r="M236" s="56" t="str">
        <f t="array" ref="M236">_xlfn.XLOOKUP(records_3[roomNo], database[roomNo], database[building])</f>
        <v>Building 16</v>
      </c>
      <c r="N236" s="56" t="str">
        <f t="array" ref="N236">_xlfn.XLOOKUP(records_3[roomNo], database[roomNo], database[floor])</f>
        <v>Floor 1</v>
      </c>
      <c r="O236" s="50">
        <v>0.0</v>
      </c>
      <c r="P236" s="34" t="s">
        <v>1795</v>
      </c>
      <c r="Q236" s="80"/>
      <c r="R236" s="32" t="s">
        <v>1810</v>
      </c>
      <c r="S236" s="144">
        <v>46187.0</v>
      </c>
      <c r="T236" s="80" t="s">
        <v>1413</v>
      </c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</row>
    <row r="237" ht="22.5" customHeight="1">
      <c r="A237" s="27">
        <v>46062.0</v>
      </c>
      <c r="B237" s="39" t="s">
        <v>1471</v>
      </c>
      <c r="C237" s="140"/>
      <c r="D237" s="36" t="s">
        <v>531</v>
      </c>
      <c r="E237" s="34" t="s">
        <v>330</v>
      </c>
      <c r="F237" s="34" t="s">
        <v>1861</v>
      </c>
      <c r="G237" s="34" t="s">
        <v>1901</v>
      </c>
      <c r="H237" s="34" t="s">
        <v>194</v>
      </c>
      <c r="I237" s="34" t="s">
        <v>199</v>
      </c>
      <c r="J237" s="34" t="s">
        <v>201</v>
      </c>
      <c r="K237" s="48">
        <v>46057.0</v>
      </c>
      <c r="L237" s="54" t="str">
        <f t="array" ref="L237">_xlfn.XLOOKUP(records_3[roomNo], database[roomNo], database[roomName])</f>
        <v>VIALS INTERNAL STAGING</v>
      </c>
      <c r="M237" s="56" t="str">
        <f t="array" ref="M237">_xlfn.XLOOKUP(records_3[roomNo], database[roomNo], database[building])</f>
        <v>Building 16</v>
      </c>
      <c r="N237" s="56" t="str">
        <f t="array" ref="N237">_xlfn.XLOOKUP(records_3[roomNo], database[roomNo], database[floor])</f>
        <v>Floor 1</v>
      </c>
      <c r="O237" s="50">
        <v>0.0</v>
      </c>
      <c r="P237" s="34" t="s">
        <v>1795</v>
      </c>
      <c r="Q237" s="39" t="s">
        <v>1847</v>
      </c>
      <c r="R237" s="32" t="s">
        <v>1810</v>
      </c>
      <c r="S237" s="144">
        <v>46187.0</v>
      </c>
      <c r="T237" s="80" t="s">
        <v>1413</v>
      </c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</row>
    <row r="238" ht="22.5" customHeight="1">
      <c r="A238" s="27">
        <v>46062.0</v>
      </c>
      <c r="B238" s="39" t="s">
        <v>749</v>
      </c>
      <c r="C238" s="140"/>
      <c r="D238" s="36" t="s">
        <v>531</v>
      </c>
      <c r="E238" s="34" t="s">
        <v>353</v>
      </c>
      <c r="F238" s="34" t="s">
        <v>1583</v>
      </c>
      <c r="G238" s="34" t="s">
        <v>1910</v>
      </c>
      <c r="H238" s="34" t="s">
        <v>194</v>
      </c>
      <c r="I238" s="34" t="s">
        <v>199</v>
      </c>
      <c r="J238" s="34" t="s">
        <v>201</v>
      </c>
      <c r="K238" s="48">
        <v>46057.0</v>
      </c>
      <c r="L238" s="54" t="str">
        <f t="array" ref="L238">_xlfn.XLOOKUP(records_3[roomNo], database[roomNo], database[roomName])</f>
        <v>CIP/SIP (CIP VESSEL)</v>
      </c>
      <c r="M238" s="56" t="str">
        <f t="array" ref="M238">_xlfn.XLOOKUP(records_3[roomNo], database[roomNo], database[building])</f>
        <v>Building 16</v>
      </c>
      <c r="N238" s="56" t="str">
        <f t="array" ref="N238">_xlfn.XLOOKUP(records_3[roomNo], database[roomNo], database[floor])</f>
        <v>Floor 1</v>
      </c>
      <c r="O238" s="50">
        <v>0.0</v>
      </c>
      <c r="P238" s="34" t="s">
        <v>1795</v>
      </c>
      <c r="Q238" s="80"/>
      <c r="R238" s="32" t="s">
        <v>1834</v>
      </c>
      <c r="S238" s="144">
        <v>46187.0</v>
      </c>
      <c r="T238" s="80" t="s">
        <v>1413</v>
      </c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</row>
    <row r="239" ht="22.5" customHeight="1">
      <c r="A239" s="27">
        <v>46062.0</v>
      </c>
      <c r="B239" s="39" t="s">
        <v>1484</v>
      </c>
      <c r="C239" s="140"/>
      <c r="D239" s="36" t="s">
        <v>531</v>
      </c>
      <c r="E239" s="34" t="s">
        <v>326</v>
      </c>
      <c r="F239" s="34" t="s">
        <v>1918</v>
      </c>
      <c r="G239" s="34" t="s">
        <v>1588</v>
      </c>
      <c r="H239" s="34" t="s">
        <v>194</v>
      </c>
      <c r="I239" s="34" t="s">
        <v>199</v>
      </c>
      <c r="J239" s="34" t="s">
        <v>201</v>
      </c>
      <c r="K239" s="48">
        <v>46057.0</v>
      </c>
      <c r="L239" s="54" t="str">
        <f t="array" ref="L239">_xlfn.XLOOKUP(records_3[roomNo], database[roomNo], database[roomName])</f>
        <v>MAL</v>
      </c>
      <c r="M239" s="56" t="str">
        <f t="array" ref="M239">_xlfn.XLOOKUP(records_3[roomNo], database[roomNo], database[building])</f>
        <v>Building 16</v>
      </c>
      <c r="N239" s="56" t="str">
        <f t="array" ref="N239">_xlfn.XLOOKUP(records_3[roomNo], database[roomNo], database[floor])</f>
        <v>Floor 1</v>
      </c>
      <c r="O239" s="50">
        <v>2.0</v>
      </c>
      <c r="P239" s="34" t="s">
        <v>1795</v>
      </c>
      <c r="Q239" s="80"/>
      <c r="R239" s="32">
        <v>3.11015016E8</v>
      </c>
      <c r="S239" s="144">
        <v>46081.0</v>
      </c>
      <c r="T239" s="80" t="s">
        <v>203</v>
      </c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</row>
    <row r="240" ht="22.5" customHeight="1">
      <c r="A240" s="27">
        <v>46062.0</v>
      </c>
      <c r="B240" s="39" t="s">
        <v>1485</v>
      </c>
      <c r="C240" s="140"/>
      <c r="D240" s="36" t="s">
        <v>531</v>
      </c>
      <c r="E240" s="34" t="s">
        <v>317</v>
      </c>
      <c r="F240" s="34" t="s">
        <v>1921</v>
      </c>
      <c r="G240" s="34" t="s">
        <v>1922</v>
      </c>
      <c r="H240" s="34" t="s">
        <v>194</v>
      </c>
      <c r="I240" s="34" t="s">
        <v>199</v>
      </c>
      <c r="J240" s="34" t="s">
        <v>201</v>
      </c>
      <c r="K240" s="48">
        <v>46057.0</v>
      </c>
      <c r="L240" s="54" t="str">
        <f t="array" ref="L240">_xlfn.XLOOKUP(records_3[roomNo], database[roomNo], database[roomName])</f>
        <v>MAL</v>
      </c>
      <c r="M240" s="56" t="str">
        <f t="array" ref="M240">_xlfn.XLOOKUP(records_3[roomNo], database[roomNo], database[building])</f>
        <v>Building 16</v>
      </c>
      <c r="N240" s="56" t="str">
        <f t="array" ref="N240">_xlfn.XLOOKUP(records_3[roomNo], database[roomNo], database[floor])</f>
        <v>Floor 1</v>
      </c>
      <c r="O240" s="50">
        <v>0.0</v>
      </c>
      <c r="P240" s="34" t="s">
        <v>1795</v>
      </c>
      <c r="Q240" s="39" t="s">
        <v>855</v>
      </c>
      <c r="R240" s="32" t="s">
        <v>1810</v>
      </c>
      <c r="S240" s="144">
        <v>46187.0</v>
      </c>
      <c r="T240" s="80" t="s">
        <v>1413</v>
      </c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</row>
    <row r="241" ht="22.5" customHeight="1">
      <c r="A241" s="27">
        <v>46062.0</v>
      </c>
      <c r="B241" s="39" t="s">
        <v>1486</v>
      </c>
      <c r="C241" s="140"/>
      <c r="D241" s="36" t="s">
        <v>531</v>
      </c>
      <c r="E241" s="34" t="s">
        <v>353</v>
      </c>
      <c r="F241" s="34" t="s">
        <v>1857</v>
      </c>
      <c r="G241" s="34" t="s">
        <v>1925</v>
      </c>
      <c r="H241" s="34" t="s">
        <v>194</v>
      </c>
      <c r="I241" s="34" t="s">
        <v>199</v>
      </c>
      <c r="J241" s="34" t="s">
        <v>201</v>
      </c>
      <c r="K241" s="48">
        <v>46057.0</v>
      </c>
      <c r="L241" s="54" t="str">
        <f t="array" ref="L241">_xlfn.XLOOKUP(records_3[roomNo], database[roomNo], database[roomName])</f>
        <v>AIRLOCK</v>
      </c>
      <c r="M241" s="56" t="str">
        <f t="array" ref="M241">_xlfn.XLOOKUP(records_3[roomNo], database[roomNo], database[building])</f>
        <v>Building 16</v>
      </c>
      <c r="N241" s="56" t="str">
        <f t="array" ref="N241">_xlfn.XLOOKUP(records_3[roomNo], database[roomNo], database[floor])</f>
        <v>Floor 1</v>
      </c>
      <c r="O241" s="50">
        <v>9.0</v>
      </c>
      <c r="P241" s="34" t="s">
        <v>1795</v>
      </c>
      <c r="Q241" s="39" t="s">
        <v>1060</v>
      </c>
      <c r="R241" s="183" t="s">
        <v>1834</v>
      </c>
      <c r="S241" s="33"/>
      <c r="T241" s="80" t="s">
        <v>1413</v>
      </c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</row>
    <row r="242" ht="22.5" customHeight="1">
      <c r="A242" s="27">
        <v>46062.0</v>
      </c>
      <c r="B242" s="39" t="s">
        <v>1486</v>
      </c>
      <c r="C242" s="140"/>
      <c r="D242" s="36" t="s">
        <v>531</v>
      </c>
      <c r="E242" s="34" t="s">
        <v>353</v>
      </c>
      <c r="F242" s="34" t="s">
        <v>1857</v>
      </c>
      <c r="G242" s="34" t="s">
        <v>1925</v>
      </c>
      <c r="H242" s="34" t="s">
        <v>194</v>
      </c>
      <c r="I242" s="34" t="s">
        <v>199</v>
      </c>
      <c r="J242" s="34" t="s">
        <v>201</v>
      </c>
      <c r="K242" s="48">
        <v>46057.0</v>
      </c>
      <c r="L242" s="54" t="str">
        <f t="array" ref="L242">_xlfn.XLOOKUP(records_3[roomNo], database[roomNo], database[roomName])</f>
        <v>AIRLOCK</v>
      </c>
      <c r="M242" s="56" t="str">
        <f t="array" ref="M242">_xlfn.XLOOKUP(records_3[roomNo], database[roomNo], database[building])</f>
        <v>Building 16</v>
      </c>
      <c r="N242" s="56" t="str">
        <f t="array" ref="N242">_xlfn.XLOOKUP(records_3[roomNo], database[roomNo], database[floor])</f>
        <v>Floor 1</v>
      </c>
      <c r="O242" s="50">
        <v>0.0</v>
      </c>
      <c r="P242" s="34" t="s">
        <v>1795</v>
      </c>
      <c r="Q242" s="39" t="s">
        <v>1847</v>
      </c>
      <c r="R242" s="32">
        <v>3.11015016E8</v>
      </c>
      <c r="S242" s="144">
        <v>46081.0</v>
      </c>
      <c r="T242" s="80" t="s">
        <v>203</v>
      </c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</row>
    <row r="243" ht="22.5" customHeight="1">
      <c r="A243" s="18">
        <v>46062.0</v>
      </c>
      <c r="B243" s="32" t="s">
        <v>786</v>
      </c>
      <c r="C243" s="139"/>
      <c r="D243" s="21" t="s">
        <v>531</v>
      </c>
      <c r="E243" s="20" t="s">
        <v>377</v>
      </c>
      <c r="F243" s="20" t="s">
        <v>1808</v>
      </c>
      <c r="G243" s="20" t="s">
        <v>1930</v>
      </c>
      <c r="H243" s="20" t="s">
        <v>194</v>
      </c>
      <c r="I243" s="20" t="s">
        <v>199</v>
      </c>
      <c r="J243" s="20" t="s">
        <v>201</v>
      </c>
      <c r="K243" s="30">
        <v>46057.0</v>
      </c>
      <c r="L243" s="35" t="str">
        <f t="array" ref="L243">_xlfn.XLOOKUP(records_3[roomNo], database[roomNo], database[roomName])</f>
        <v>DISPENSING</v>
      </c>
      <c r="M243" s="38" t="str">
        <f t="array" ref="M243">_xlfn.XLOOKUP(records_3[roomNo], database[roomNo], database[building])</f>
        <v>Building 16</v>
      </c>
      <c r="N243" s="38" t="str">
        <f t="array" ref="N243">_xlfn.XLOOKUP(records_3[roomNo], database[roomNo], database[floor])</f>
        <v>Floor 1</v>
      </c>
      <c r="O243" s="50">
        <v>1.0</v>
      </c>
      <c r="P243" s="34" t="s">
        <v>1795</v>
      </c>
      <c r="Q243" s="39" t="s">
        <v>2262</v>
      </c>
      <c r="R243" s="32">
        <v>3.11015016E8</v>
      </c>
      <c r="S243" s="144">
        <v>46081.0</v>
      </c>
      <c r="T243" s="80" t="s">
        <v>203</v>
      </c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</row>
    <row r="244" ht="22.5" customHeight="1">
      <c r="A244" s="27">
        <v>46062.0</v>
      </c>
      <c r="B244" s="39" t="s">
        <v>786</v>
      </c>
      <c r="C244" s="140"/>
      <c r="D244" s="36" t="s">
        <v>531</v>
      </c>
      <c r="E244" s="34" t="s">
        <v>377</v>
      </c>
      <c r="F244" s="34" t="s">
        <v>1808</v>
      </c>
      <c r="G244" s="34" t="s">
        <v>1930</v>
      </c>
      <c r="H244" s="34" t="s">
        <v>194</v>
      </c>
      <c r="I244" s="34" t="s">
        <v>199</v>
      </c>
      <c r="J244" s="34" t="s">
        <v>201</v>
      </c>
      <c r="K244" s="48">
        <v>46057.0</v>
      </c>
      <c r="L244" s="54" t="str">
        <f t="array" ref="L244">_xlfn.XLOOKUP(records_3[roomNo], database[roomNo], database[roomName])</f>
        <v>DISPENSING</v>
      </c>
      <c r="M244" s="56" t="str">
        <f t="array" ref="M244">_xlfn.XLOOKUP(records_3[roomNo], database[roomNo], database[building])</f>
        <v>Building 16</v>
      </c>
      <c r="N244" s="56" t="str">
        <f t="array" ref="N244">_xlfn.XLOOKUP(records_3[roomNo], database[roomNo], database[floor])</f>
        <v>Floor 1</v>
      </c>
      <c r="O244" s="50">
        <v>3.0</v>
      </c>
      <c r="P244" s="34" t="s">
        <v>1795</v>
      </c>
      <c r="Q244" s="39" t="s">
        <v>1060</v>
      </c>
      <c r="R244" s="32">
        <v>3.11015016E8</v>
      </c>
      <c r="S244" s="144">
        <v>46081.0</v>
      </c>
      <c r="T244" s="80" t="s">
        <v>203</v>
      </c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</row>
    <row r="245" ht="22.5" customHeight="1">
      <c r="A245" s="27">
        <v>46062.0</v>
      </c>
      <c r="B245" s="39" t="s">
        <v>1492</v>
      </c>
      <c r="C245" s="140"/>
      <c r="D245" s="36" t="s">
        <v>531</v>
      </c>
      <c r="E245" s="34" t="s">
        <v>381</v>
      </c>
      <c r="F245" s="34" t="s">
        <v>1054</v>
      </c>
      <c r="G245" s="34" t="s">
        <v>1943</v>
      </c>
      <c r="H245" s="34" t="s">
        <v>194</v>
      </c>
      <c r="I245" s="34" t="s">
        <v>199</v>
      </c>
      <c r="J245" s="34" t="s">
        <v>201</v>
      </c>
      <c r="K245" s="48">
        <v>46057.0</v>
      </c>
      <c r="L245" s="54" t="str">
        <f t="array" ref="L245">_xlfn.XLOOKUP(records_3[roomNo], database[roomNo], database[roomName])</f>
        <v>DISPENSED MATERIAL STAGING</v>
      </c>
      <c r="M245" s="56" t="str">
        <f t="array" ref="M245">_xlfn.XLOOKUP(records_3[roomNo], database[roomNo], database[building])</f>
        <v>Building 16</v>
      </c>
      <c r="N245" s="56" t="str">
        <f t="array" ref="N245">_xlfn.XLOOKUP(records_3[roomNo], database[roomNo], database[floor])</f>
        <v>Floor 1</v>
      </c>
      <c r="O245" s="50">
        <v>1.0</v>
      </c>
      <c r="P245" s="34" t="s">
        <v>1795</v>
      </c>
      <c r="Q245" s="80"/>
      <c r="R245" s="32">
        <v>3.11015016E8</v>
      </c>
      <c r="S245" s="144">
        <v>46081.0</v>
      </c>
      <c r="T245" s="80" t="s">
        <v>203</v>
      </c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</row>
    <row r="246" ht="22.5" customHeight="1">
      <c r="A246" s="27">
        <v>46062.0</v>
      </c>
      <c r="B246" s="39" t="s">
        <v>1493</v>
      </c>
      <c r="C246" s="140"/>
      <c r="D246" s="36" t="s">
        <v>531</v>
      </c>
      <c r="E246" s="34" t="s">
        <v>591</v>
      </c>
      <c r="F246" s="34" t="s">
        <v>842</v>
      </c>
      <c r="G246" s="34" t="s">
        <v>782</v>
      </c>
      <c r="H246" s="34" t="s">
        <v>194</v>
      </c>
      <c r="I246" s="34" t="s">
        <v>199</v>
      </c>
      <c r="J246" s="34" t="s">
        <v>201</v>
      </c>
      <c r="K246" s="48">
        <v>46057.0</v>
      </c>
      <c r="L246" s="54" t="str">
        <f t="array" ref="L246">_xlfn.XLOOKUP(records_3[roomNo], database[roomNo], database[roomName])</f>
        <v>AMPOULES INTERNAL STAGING</v>
      </c>
      <c r="M246" s="56" t="str">
        <f t="array" ref="M246">_xlfn.XLOOKUP(records_3[roomNo], database[roomNo], database[building])</f>
        <v>Building 16</v>
      </c>
      <c r="N246" s="56" t="str">
        <f t="array" ref="N246">_xlfn.XLOOKUP(records_3[roomNo], database[roomNo], database[floor])</f>
        <v>Floor 1</v>
      </c>
      <c r="O246" s="50">
        <v>22.0</v>
      </c>
      <c r="P246" s="34" t="s">
        <v>1795</v>
      </c>
      <c r="Q246" s="39" t="s">
        <v>1060</v>
      </c>
      <c r="R246" s="32">
        <v>3.11015016E8</v>
      </c>
      <c r="S246" s="144">
        <v>46081.0</v>
      </c>
      <c r="T246" s="80" t="s">
        <v>203</v>
      </c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</row>
    <row r="247" ht="22.5" customHeight="1">
      <c r="A247" s="27">
        <v>46062.0</v>
      </c>
      <c r="B247" s="39" t="s">
        <v>1493</v>
      </c>
      <c r="C247" s="140"/>
      <c r="D247" s="36" t="s">
        <v>531</v>
      </c>
      <c r="E247" s="34" t="s">
        <v>591</v>
      </c>
      <c r="F247" s="34" t="s">
        <v>842</v>
      </c>
      <c r="G247" s="34" t="s">
        <v>782</v>
      </c>
      <c r="H247" s="34" t="s">
        <v>194</v>
      </c>
      <c r="I247" s="34" t="s">
        <v>199</v>
      </c>
      <c r="J247" s="34" t="s">
        <v>201</v>
      </c>
      <c r="K247" s="48">
        <v>46057.0</v>
      </c>
      <c r="L247" s="54" t="str">
        <f t="array" ref="L247">_xlfn.XLOOKUP(records_3[roomNo], database[roomNo], database[roomName])</f>
        <v>AMPOULES INTERNAL STAGING</v>
      </c>
      <c r="M247" s="56" t="str">
        <f t="array" ref="M247">_xlfn.XLOOKUP(records_3[roomNo], database[roomNo], database[building])</f>
        <v>Building 16</v>
      </c>
      <c r="N247" s="56" t="str">
        <f t="array" ref="N247">_xlfn.XLOOKUP(records_3[roomNo], database[roomNo], database[floor])</f>
        <v>Floor 1</v>
      </c>
      <c r="O247" s="50">
        <v>24.0</v>
      </c>
      <c r="P247" s="34" t="s">
        <v>1795</v>
      </c>
      <c r="Q247" s="39" t="s">
        <v>1847</v>
      </c>
      <c r="R247" s="32" t="s">
        <v>1834</v>
      </c>
      <c r="S247" s="144">
        <v>46187.0</v>
      </c>
      <c r="T247" s="80" t="s">
        <v>1413</v>
      </c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</row>
    <row r="248" ht="22.5" customHeight="1">
      <c r="A248" s="27">
        <v>46062.0</v>
      </c>
      <c r="B248" s="39" t="s">
        <v>754</v>
      </c>
      <c r="C248" s="140"/>
      <c r="D248" s="36" t="s">
        <v>531</v>
      </c>
      <c r="E248" s="34" t="s">
        <v>733</v>
      </c>
      <c r="F248" s="34" t="s">
        <v>1743</v>
      </c>
      <c r="G248" s="34" t="s">
        <v>1970</v>
      </c>
      <c r="H248" s="34" t="s">
        <v>194</v>
      </c>
      <c r="I248" s="34" t="s">
        <v>199</v>
      </c>
      <c r="J248" s="34" t="s">
        <v>201</v>
      </c>
      <c r="K248" s="48">
        <v>46057.0</v>
      </c>
      <c r="L248" s="54" t="str">
        <f t="array" ref="L248">_xlfn.XLOOKUP(records_3[roomNo], database[roomNo], database[roomName])</f>
        <v>WASHING/TUNNEL 1 (WASHING/TUNNEL VIAL MACHINE)</v>
      </c>
      <c r="M248" s="56" t="str">
        <f t="array" ref="M248">_xlfn.XLOOKUP(records_3[roomNo], database[roomNo], database[building])</f>
        <v>Building 16</v>
      </c>
      <c r="N248" s="56" t="str">
        <f t="array" ref="N248">_xlfn.XLOOKUP(records_3[roomNo], database[roomNo], database[floor])</f>
        <v>Floor 1</v>
      </c>
      <c r="O248" s="50">
        <v>0.0</v>
      </c>
      <c r="P248" s="34" t="s">
        <v>1795</v>
      </c>
      <c r="Q248" s="80"/>
      <c r="R248" s="32" t="s">
        <v>1834</v>
      </c>
      <c r="S248" s="144">
        <v>46187.0</v>
      </c>
      <c r="T248" s="80" t="s">
        <v>1413</v>
      </c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</row>
    <row r="249" ht="22.5" customHeight="1">
      <c r="A249" s="27">
        <v>46062.0</v>
      </c>
      <c r="B249" s="39" t="s">
        <v>1498</v>
      </c>
      <c r="C249" s="140"/>
      <c r="D249" s="36" t="s">
        <v>531</v>
      </c>
      <c r="E249" s="34" t="s">
        <v>706</v>
      </c>
      <c r="F249" s="34" t="s">
        <v>1983</v>
      </c>
      <c r="G249" s="34" t="s">
        <v>1984</v>
      </c>
      <c r="H249" s="34" t="s">
        <v>194</v>
      </c>
      <c r="I249" s="34" t="s">
        <v>199</v>
      </c>
      <c r="J249" s="34" t="s">
        <v>201</v>
      </c>
      <c r="K249" s="48">
        <v>46057.0</v>
      </c>
      <c r="L249" s="54" t="str">
        <f t="array" ref="L249">_xlfn.XLOOKUP(records_3[roomNo], database[roomNo], database[roomName])</f>
        <v>AIRILOCK</v>
      </c>
      <c r="M249" s="56" t="str">
        <f t="array" ref="M249">_xlfn.XLOOKUP(records_3[roomNo], database[roomNo], database[building])</f>
        <v>Building 16</v>
      </c>
      <c r="N249" s="56" t="str">
        <f t="array" ref="N249">_xlfn.XLOOKUP(records_3[roomNo], database[roomNo], database[floor])</f>
        <v>Floor 1</v>
      </c>
      <c r="O249" s="50">
        <v>9.0</v>
      </c>
      <c r="P249" s="34" t="s">
        <v>1795</v>
      </c>
      <c r="Q249" s="80"/>
      <c r="R249" s="32">
        <v>3.11015016E8</v>
      </c>
      <c r="S249" s="144">
        <v>46081.0</v>
      </c>
      <c r="T249" s="80" t="s">
        <v>203</v>
      </c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</row>
    <row r="250" ht="22.5" customHeight="1">
      <c r="A250" s="27">
        <v>46062.0</v>
      </c>
      <c r="B250" s="39" t="s">
        <v>763</v>
      </c>
      <c r="C250" s="140"/>
      <c r="D250" s="36" t="s">
        <v>531</v>
      </c>
      <c r="E250" s="34" t="s">
        <v>706</v>
      </c>
      <c r="F250" s="34" t="s">
        <v>299</v>
      </c>
      <c r="G250" s="34" t="s">
        <v>1984</v>
      </c>
      <c r="H250" s="34" t="s">
        <v>194</v>
      </c>
      <c r="I250" s="34" t="s">
        <v>199</v>
      </c>
      <c r="J250" s="34" t="s">
        <v>201</v>
      </c>
      <c r="K250" s="48">
        <v>46057.0</v>
      </c>
      <c r="L250" s="54" t="str">
        <f t="array" ref="L250">_xlfn.XLOOKUP(records_3[roomNo], database[roomNo], database[roomName])</f>
        <v>COMPOUNDING 1 (UTILITY SKID ADAM)</v>
      </c>
      <c r="M250" s="56" t="str">
        <f t="array" ref="M250">_xlfn.XLOOKUP(records_3[roomNo], database[roomNo], database[building])</f>
        <v>Building 16</v>
      </c>
      <c r="N250" s="56" t="str">
        <f t="array" ref="N250">_xlfn.XLOOKUP(records_3[roomNo], database[roomNo], database[floor])</f>
        <v>Floor 1</v>
      </c>
      <c r="O250" s="50">
        <v>1.0</v>
      </c>
      <c r="P250" s="34" t="s">
        <v>1795</v>
      </c>
      <c r="Q250" s="80"/>
      <c r="R250" s="32" t="s">
        <v>1834</v>
      </c>
      <c r="S250" s="144">
        <v>46187.0</v>
      </c>
      <c r="T250" s="80" t="s">
        <v>1413</v>
      </c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</row>
    <row r="251" ht="22.5" customHeight="1">
      <c r="A251" s="27">
        <v>46062.0</v>
      </c>
      <c r="B251" s="39" t="s">
        <v>1499</v>
      </c>
      <c r="C251" s="140"/>
      <c r="D251" s="36" t="s">
        <v>531</v>
      </c>
      <c r="E251" s="34" t="s">
        <v>366</v>
      </c>
      <c r="F251" s="34" t="s">
        <v>1858</v>
      </c>
      <c r="G251" s="17" t="s">
        <v>2000</v>
      </c>
      <c r="H251" s="34" t="s">
        <v>194</v>
      </c>
      <c r="I251" s="34" t="s">
        <v>199</v>
      </c>
      <c r="J251" s="34" t="s">
        <v>201</v>
      </c>
      <c r="K251" s="48">
        <v>46057.0</v>
      </c>
      <c r="L251" s="54" t="str">
        <f t="array" ref="L251">_xlfn.XLOOKUP(records_3[roomNo], database[roomNo], database[roomName])</f>
        <v>CLEANED EQUIPMENT</v>
      </c>
      <c r="M251" s="56" t="str">
        <f t="array" ref="M251">_xlfn.XLOOKUP(records_3[roomNo], database[roomNo], database[building])</f>
        <v>Building 16</v>
      </c>
      <c r="N251" s="56" t="str">
        <f t="array" ref="N251">_xlfn.XLOOKUP(records_3[roomNo], database[roomNo], database[floor])</f>
        <v>Floor 1</v>
      </c>
      <c r="O251" s="50">
        <v>1.0</v>
      </c>
      <c r="P251" s="34" t="s">
        <v>1795</v>
      </c>
      <c r="Q251" s="80"/>
      <c r="R251" s="32" t="s">
        <v>1834</v>
      </c>
      <c r="S251" s="144">
        <v>46187.0</v>
      </c>
      <c r="T251" s="80" t="s">
        <v>1413</v>
      </c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</row>
    <row r="252" ht="22.5" customHeight="1">
      <c r="A252" s="27">
        <v>46062.0</v>
      </c>
      <c r="B252" s="39" t="s">
        <v>769</v>
      </c>
      <c r="C252" s="140"/>
      <c r="D252" s="36" t="s">
        <v>531</v>
      </c>
      <c r="E252" s="34" t="s">
        <v>326</v>
      </c>
      <c r="F252" s="34" t="s">
        <v>2012</v>
      </c>
      <c r="G252" s="34" t="s">
        <v>332</v>
      </c>
      <c r="H252" s="34" t="s">
        <v>194</v>
      </c>
      <c r="I252" s="34" t="s">
        <v>199</v>
      </c>
      <c r="J252" s="34" t="s">
        <v>201</v>
      </c>
      <c r="K252" s="48">
        <v>46057.0</v>
      </c>
      <c r="L252" s="54" t="str">
        <f t="array" ref="L252">_xlfn.XLOOKUP(records_3[roomNo], database[roomNo], database[roomName])</f>
        <v>DRYING</v>
      </c>
      <c r="M252" s="56" t="str">
        <f t="array" ref="M252">_xlfn.XLOOKUP(records_3[roomNo], database[roomNo], database[building])</f>
        <v>Building 16</v>
      </c>
      <c r="N252" s="56" t="str">
        <f t="array" ref="N252">_xlfn.XLOOKUP(records_3[roomNo], database[roomNo], database[floor])</f>
        <v>Floor 1</v>
      </c>
      <c r="O252" s="50">
        <v>7.0</v>
      </c>
      <c r="P252" s="34" t="s">
        <v>1795</v>
      </c>
      <c r="Q252" s="80"/>
      <c r="R252" s="32" t="s">
        <v>1834</v>
      </c>
      <c r="S252" s="144">
        <v>46187.0</v>
      </c>
      <c r="T252" s="80" t="s">
        <v>1413</v>
      </c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</row>
    <row r="253" ht="22.5" customHeight="1">
      <c r="A253" s="27">
        <v>46062.0</v>
      </c>
      <c r="B253" s="39" t="s">
        <v>1024</v>
      </c>
      <c r="C253" s="140"/>
      <c r="D253" s="36" t="s">
        <v>531</v>
      </c>
      <c r="E253" s="34" t="s">
        <v>314</v>
      </c>
      <c r="F253" s="34" t="s">
        <v>1583</v>
      </c>
      <c r="G253" s="34" t="s">
        <v>1767</v>
      </c>
      <c r="H253" s="34" t="s">
        <v>194</v>
      </c>
      <c r="I253" s="34" t="s">
        <v>199</v>
      </c>
      <c r="J253" s="34" t="s">
        <v>201</v>
      </c>
      <c r="K253" s="48">
        <v>46057.0</v>
      </c>
      <c r="L253" s="54" t="str">
        <f t="array" ref="L253">_xlfn.XLOOKUP(records_3[roomNo], database[roomNo], database[roomName])</f>
        <v>DISINFECT PREPARATION</v>
      </c>
      <c r="M253" s="56" t="str">
        <f t="array" ref="M253">_xlfn.XLOOKUP(records_3[roomNo], database[roomNo], database[building])</f>
        <v>Building 16</v>
      </c>
      <c r="N253" s="56" t="str">
        <f t="array" ref="N253">_xlfn.XLOOKUP(records_3[roomNo], database[roomNo], database[floor])</f>
        <v>Floor 1</v>
      </c>
      <c r="O253" s="50">
        <v>2.0</v>
      </c>
      <c r="P253" s="34" t="s">
        <v>1795</v>
      </c>
      <c r="Q253" s="80"/>
      <c r="R253" s="32" t="s">
        <v>1834</v>
      </c>
      <c r="S253" s="144">
        <v>46187.0</v>
      </c>
      <c r="T253" s="80" t="s">
        <v>1413</v>
      </c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</row>
    <row r="254" ht="22.5" customHeight="1">
      <c r="A254" s="27">
        <v>46062.0</v>
      </c>
      <c r="B254" s="39" t="s">
        <v>1500</v>
      </c>
      <c r="C254" s="140"/>
      <c r="D254" s="36" t="s">
        <v>531</v>
      </c>
      <c r="E254" s="34" t="s">
        <v>366</v>
      </c>
      <c r="F254" s="34" t="s">
        <v>1858</v>
      </c>
      <c r="G254" s="34" t="s">
        <v>2020</v>
      </c>
      <c r="H254" s="34" t="s">
        <v>194</v>
      </c>
      <c r="I254" s="34" t="s">
        <v>199</v>
      </c>
      <c r="J254" s="34" t="s">
        <v>201</v>
      </c>
      <c r="K254" s="48">
        <v>46057.0</v>
      </c>
      <c r="L254" s="54" t="str">
        <f t="array" ref="L254">_xlfn.XLOOKUP(records_3[roomNo], database[roomNo], database[roomName])</f>
        <v>COMPONENT PREPARATION</v>
      </c>
      <c r="M254" s="56" t="str">
        <f t="array" ref="M254">_xlfn.XLOOKUP(records_3[roomNo], database[roomNo], database[building])</f>
        <v>Building 16</v>
      </c>
      <c r="N254" s="56" t="str">
        <f t="array" ref="N254">_xlfn.XLOOKUP(records_3[roomNo], database[roomNo], database[floor])</f>
        <v>Floor 1</v>
      </c>
      <c r="O254" s="50">
        <v>2.0</v>
      </c>
      <c r="P254" s="34" t="s">
        <v>1795</v>
      </c>
      <c r="Q254" s="80"/>
      <c r="R254" s="32" t="s">
        <v>1834</v>
      </c>
      <c r="S254" s="144">
        <v>46187.0</v>
      </c>
      <c r="T254" s="80" t="s">
        <v>1413</v>
      </c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</row>
    <row r="255" ht="22.5" customHeight="1">
      <c r="A255" s="27">
        <v>46062.0</v>
      </c>
      <c r="B255" s="39" t="s">
        <v>1502</v>
      </c>
      <c r="C255" s="140"/>
      <c r="D255" s="36" t="s">
        <v>531</v>
      </c>
      <c r="E255" s="34" t="s">
        <v>798</v>
      </c>
      <c r="F255" s="34" t="s">
        <v>1811</v>
      </c>
      <c r="G255" s="34" t="s">
        <v>818</v>
      </c>
      <c r="H255" s="34" t="s">
        <v>194</v>
      </c>
      <c r="I255" s="34" t="s">
        <v>199</v>
      </c>
      <c r="J255" s="34" t="s">
        <v>201</v>
      </c>
      <c r="K255" s="48">
        <v>46057.0</v>
      </c>
      <c r="L255" s="54" t="str">
        <f t="array" ref="L255">_xlfn.XLOOKUP(records_3[roomNo], database[roomNo], database[roomName])</f>
        <v>PASSAGE</v>
      </c>
      <c r="M255" s="56" t="str">
        <f t="array" ref="M255">_xlfn.XLOOKUP(records_3[roomNo], database[roomNo], database[building])</f>
        <v>Building 16</v>
      </c>
      <c r="N255" s="56" t="str">
        <f t="array" ref="N255">_xlfn.XLOOKUP(records_3[roomNo], database[roomNo], database[floor])</f>
        <v>Floor 1</v>
      </c>
      <c r="O255" s="50">
        <v>0.0</v>
      </c>
      <c r="P255" s="34" t="s">
        <v>1795</v>
      </c>
      <c r="Q255" s="39" t="s">
        <v>1043</v>
      </c>
      <c r="R255" s="32" t="s">
        <v>1834</v>
      </c>
      <c r="S255" s="144">
        <v>46187.0</v>
      </c>
      <c r="T255" s="80" t="s">
        <v>1413</v>
      </c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</row>
    <row r="256" ht="22.5" customHeight="1">
      <c r="A256" s="27">
        <v>46062.0</v>
      </c>
      <c r="B256" s="39" t="s">
        <v>1503</v>
      </c>
      <c r="C256" s="140"/>
      <c r="D256" s="36" t="s">
        <v>531</v>
      </c>
      <c r="E256" s="34" t="s">
        <v>2027</v>
      </c>
      <c r="F256" s="34" t="s">
        <v>2028</v>
      </c>
      <c r="G256" s="34" t="s">
        <v>1886</v>
      </c>
      <c r="H256" s="34" t="s">
        <v>194</v>
      </c>
      <c r="I256" s="34" t="s">
        <v>199</v>
      </c>
      <c r="J256" s="34" t="s">
        <v>201</v>
      </c>
      <c r="K256" s="48">
        <v>46057.0</v>
      </c>
      <c r="L256" s="54" t="str">
        <f t="array" ref="L256">_xlfn.XLOOKUP(records_3[roomNo], database[roomNo], database[roomName])</f>
        <v>AIRLOCK</v>
      </c>
      <c r="M256" s="56" t="str">
        <f t="array" ref="M256">_xlfn.XLOOKUP(records_3[roomNo], database[roomNo], database[building])</f>
        <v>Building 16</v>
      </c>
      <c r="N256" s="56" t="str">
        <f t="array" ref="N256">_xlfn.XLOOKUP(records_3[roomNo], database[roomNo], database[floor])</f>
        <v>Floor 1</v>
      </c>
      <c r="O256" s="50">
        <v>2.0</v>
      </c>
      <c r="P256" s="34" t="s">
        <v>1795</v>
      </c>
      <c r="Q256" s="80"/>
      <c r="R256" s="32">
        <v>3.11015016E8</v>
      </c>
      <c r="S256" s="144">
        <v>46081.0</v>
      </c>
      <c r="T256" s="80" t="s">
        <v>203</v>
      </c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</row>
    <row r="257" ht="22.5" customHeight="1">
      <c r="A257" s="27">
        <v>46062.0</v>
      </c>
      <c r="B257" s="39" t="s">
        <v>776</v>
      </c>
      <c r="C257" s="140"/>
      <c r="D257" s="36" t="s">
        <v>531</v>
      </c>
      <c r="E257" s="34" t="s">
        <v>452</v>
      </c>
      <c r="F257" s="34" t="s">
        <v>2039</v>
      </c>
      <c r="G257" s="34" t="s">
        <v>1886</v>
      </c>
      <c r="H257" s="34" t="s">
        <v>194</v>
      </c>
      <c r="I257" s="34" t="s">
        <v>199</v>
      </c>
      <c r="J257" s="34" t="s">
        <v>201</v>
      </c>
      <c r="K257" s="48">
        <v>46057.0</v>
      </c>
      <c r="L257" s="54" t="str">
        <f t="array" ref="L257">_xlfn.XLOOKUP(records_3[roomNo], database[roomNo], database[roomName])</f>
        <v>COMPOUNDING 2 (UTILITY SKID)</v>
      </c>
      <c r="M257" s="56" t="str">
        <f t="array" ref="M257">_xlfn.XLOOKUP(records_3[roomNo], database[roomNo], database[building])</f>
        <v>Building 16</v>
      </c>
      <c r="N257" s="56" t="str">
        <f t="array" ref="N257">_xlfn.XLOOKUP(records_3[roomNo], database[roomNo], database[floor])</f>
        <v>Floor 1</v>
      </c>
      <c r="O257" s="50">
        <v>2.0</v>
      </c>
      <c r="P257" s="34" t="s">
        <v>1795</v>
      </c>
      <c r="Q257" s="80"/>
      <c r="R257" s="32" t="s">
        <v>1792</v>
      </c>
      <c r="S257" s="144">
        <v>46081.0</v>
      </c>
      <c r="T257" s="80" t="s">
        <v>534</v>
      </c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</row>
    <row r="258" ht="22.5" customHeight="1">
      <c r="A258" s="27">
        <v>46062.0</v>
      </c>
      <c r="B258" s="39" t="s">
        <v>1504</v>
      </c>
      <c r="C258" s="140"/>
      <c r="D258" s="36" t="s">
        <v>531</v>
      </c>
      <c r="E258" s="34" t="s">
        <v>366</v>
      </c>
      <c r="F258" s="34" t="s">
        <v>952</v>
      </c>
      <c r="G258" s="34" t="s">
        <v>1571</v>
      </c>
      <c r="H258" s="34" t="s">
        <v>194</v>
      </c>
      <c r="I258" s="34" t="s">
        <v>199</v>
      </c>
      <c r="J258" s="34" t="s">
        <v>201</v>
      </c>
      <c r="K258" s="48">
        <v>46057.0</v>
      </c>
      <c r="L258" s="54" t="str">
        <f t="array" ref="L258">_xlfn.XLOOKUP(records_3[roomNo], database[roomNo], database[roomName])</f>
        <v>CORRIDOR</v>
      </c>
      <c r="M258" s="56" t="str">
        <f t="array" ref="M258">_xlfn.XLOOKUP(records_3[roomNo], database[roomNo], database[building])</f>
        <v>Building 16</v>
      </c>
      <c r="N258" s="56" t="str">
        <f t="array" ref="N258">_xlfn.XLOOKUP(records_3[roomNo], database[roomNo], database[floor])</f>
        <v>Floor 1</v>
      </c>
      <c r="O258" s="50">
        <v>4.0</v>
      </c>
      <c r="P258" s="34" t="s">
        <v>1795</v>
      </c>
      <c r="Q258" s="80"/>
      <c r="R258" s="32" t="s">
        <v>1834</v>
      </c>
      <c r="S258" s="144">
        <v>46187.0</v>
      </c>
      <c r="T258" s="80" t="s">
        <v>1413</v>
      </c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</row>
    <row r="259" ht="22.5" customHeight="1">
      <c r="A259" s="27">
        <v>46062.0</v>
      </c>
      <c r="B259" s="39" t="s">
        <v>1505</v>
      </c>
      <c r="C259" s="140"/>
      <c r="D259" s="36" t="s">
        <v>531</v>
      </c>
      <c r="E259" s="34" t="s">
        <v>2068</v>
      </c>
      <c r="F259" s="34" t="s">
        <v>2069</v>
      </c>
      <c r="G259" s="34" t="s">
        <v>1574</v>
      </c>
      <c r="H259" s="34" t="s">
        <v>194</v>
      </c>
      <c r="I259" s="34" t="s">
        <v>199</v>
      </c>
      <c r="J259" s="34" t="s">
        <v>201</v>
      </c>
      <c r="K259" s="48">
        <v>46057.0</v>
      </c>
      <c r="L259" s="54" t="str">
        <f t="array" ref="L259">_xlfn.XLOOKUP(records_3[roomNo], database[roomNo], database[roomName])</f>
        <v>CORRIDOR</v>
      </c>
      <c r="M259" s="56" t="str">
        <f t="array" ref="M259">_xlfn.XLOOKUP(records_3[roomNo], database[roomNo], database[building])</f>
        <v>Building 16</v>
      </c>
      <c r="N259" s="56" t="str">
        <f t="array" ref="N259">_xlfn.XLOOKUP(records_3[roomNo], database[roomNo], database[floor])</f>
        <v>Floor 1</v>
      </c>
      <c r="O259" s="50">
        <v>1.0</v>
      </c>
      <c r="P259" s="34" t="s">
        <v>1795</v>
      </c>
      <c r="Q259" s="80"/>
      <c r="R259" s="32" t="s">
        <v>1792</v>
      </c>
      <c r="S259" s="144">
        <v>46081.0</v>
      </c>
      <c r="T259" s="80" t="s">
        <v>534</v>
      </c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</row>
    <row r="260" ht="22.5" customHeight="1">
      <c r="A260" s="68">
        <v>46063.0</v>
      </c>
      <c r="B260" s="70" t="s">
        <v>1506</v>
      </c>
      <c r="C260" s="168"/>
      <c r="D260" s="168" t="s">
        <v>213</v>
      </c>
      <c r="E260" s="70" t="s">
        <v>550</v>
      </c>
      <c r="F260" s="70" t="s">
        <v>2080</v>
      </c>
      <c r="G260" s="70" t="s">
        <v>430</v>
      </c>
      <c r="H260" s="70" t="s">
        <v>713</v>
      </c>
      <c r="I260" s="70" t="s">
        <v>837</v>
      </c>
      <c r="J260" s="70" t="s">
        <v>1099</v>
      </c>
      <c r="K260" s="73">
        <v>46025.0</v>
      </c>
      <c r="L260" s="70" t="str">
        <f t="array" ref="L260">_xlfn.XLOOKUP(records_3[roomNo], database[roomNo], database[roomName])</f>
        <v>PROCESS CHANGE</v>
      </c>
      <c r="M260" s="70" t="str">
        <f t="array" ref="M260">_xlfn.XLOOKUP(records_3[roomNo], database[roomNo], database[building])</f>
        <v>Building 16</v>
      </c>
      <c r="N260" s="70" t="str">
        <f t="array" ref="N260">_xlfn.XLOOKUP(records_3[roomNo], database[roomNo], database[floor])</f>
        <v>Floor 3</v>
      </c>
      <c r="O260" s="74">
        <v>0.0</v>
      </c>
      <c r="P260" s="70" t="s">
        <v>2083</v>
      </c>
      <c r="Q260" s="68"/>
      <c r="R260" s="68"/>
      <c r="S260" s="68"/>
      <c r="T260" s="75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</row>
    <row r="261" ht="22.5" customHeight="1">
      <c r="A261" s="27">
        <v>46063.0</v>
      </c>
      <c r="B261" s="39" t="s">
        <v>1507</v>
      </c>
      <c r="C261" s="140"/>
      <c r="D261" s="36" t="s">
        <v>213</v>
      </c>
      <c r="E261" s="34" t="s">
        <v>353</v>
      </c>
      <c r="F261" s="34" t="s">
        <v>792</v>
      </c>
      <c r="G261" s="34" t="s">
        <v>2087</v>
      </c>
      <c r="H261" s="34" t="s">
        <v>262</v>
      </c>
      <c r="I261" s="34" t="s">
        <v>837</v>
      </c>
      <c r="J261" s="34" t="s">
        <v>1099</v>
      </c>
      <c r="K261" s="48">
        <v>46025.0</v>
      </c>
      <c r="L261" s="54" t="str">
        <f t="array" ref="L261">_xlfn.XLOOKUP(records_3[roomNo], database[roomNo], database[roomName])</f>
        <v>CORRIDOR</v>
      </c>
      <c r="M261" s="56" t="str">
        <f t="array" ref="M261">_xlfn.XLOOKUP(records_3[roomNo], database[roomNo], database[building])</f>
        <v>Building 16</v>
      </c>
      <c r="N261" s="56" t="str">
        <f t="array" ref="N261">_xlfn.XLOOKUP(records_3[roomNo], database[roomNo], database[floor])</f>
        <v>Floor 3</v>
      </c>
      <c r="O261" s="50">
        <v>0.0</v>
      </c>
      <c r="P261" s="34" t="s">
        <v>2083</v>
      </c>
      <c r="Q261" s="39"/>
      <c r="R261" s="39"/>
      <c r="S261" s="43"/>
      <c r="T261" s="43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</row>
    <row r="262" ht="22.5" customHeight="1">
      <c r="A262" s="27">
        <v>46063.0</v>
      </c>
      <c r="B262" s="39" t="s">
        <v>1508</v>
      </c>
      <c r="C262" s="140"/>
      <c r="D262" s="36" t="s">
        <v>213</v>
      </c>
      <c r="E262" s="34" t="s">
        <v>539</v>
      </c>
      <c r="F262" s="34" t="s">
        <v>2092</v>
      </c>
      <c r="G262" s="34" t="s">
        <v>2093</v>
      </c>
      <c r="H262" s="34" t="s">
        <v>811</v>
      </c>
      <c r="I262" s="34" t="s">
        <v>837</v>
      </c>
      <c r="J262" s="34" t="s">
        <v>1099</v>
      </c>
      <c r="K262" s="48">
        <v>46025.0</v>
      </c>
      <c r="L262" s="54" t="str">
        <f t="array" ref="L262">_xlfn.XLOOKUP(records_3[roomNo], database[roomNo], database[roomName])</f>
        <v>LINEN WASHING</v>
      </c>
      <c r="M262" s="56" t="str">
        <f t="array" ref="M262">_xlfn.XLOOKUP(records_3[roomNo], database[roomNo], database[building])</f>
        <v>Building 16</v>
      </c>
      <c r="N262" s="56" t="str">
        <f t="array" ref="N262">_xlfn.XLOOKUP(records_3[roomNo], database[roomNo], database[floor])</f>
        <v>Floor 3</v>
      </c>
      <c r="O262" s="50">
        <v>0.0</v>
      </c>
      <c r="P262" s="34" t="s">
        <v>2083</v>
      </c>
      <c r="Q262" s="39"/>
      <c r="R262" s="39"/>
      <c r="S262" s="43"/>
      <c r="T262" s="43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</row>
    <row r="263" ht="22.5" customHeight="1">
      <c r="A263" s="27">
        <v>46063.0</v>
      </c>
      <c r="B263" s="39" t="s">
        <v>1509</v>
      </c>
      <c r="C263" s="140"/>
      <c r="D263" s="36" t="s">
        <v>213</v>
      </c>
      <c r="E263" s="34" t="s">
        <v>550</v>
      </c>
      <c r="F263" s="34" t="s">
        <v>557</v>
      </c>
      <c r="G263" s="34" t="s">
        <v>2095</v>
      </c>
      <c r="H263" s="34" t="s">
        <v>811</v>
      </c>
      <c r="I263" s="34" t="s">
        <v>837</v>
      </c>
      <c r="J263" s="34" t="s">
        <v>1099</v>
      </c>
      <c r="K263" s="48">
        <v>46025.0</v>
      </c>
      <c r="L263" s="54" t="str">
        <f t="array" ref="L263">_xlfn.XLOOKUP(records_3[roomNo], database[roomNo], database[roomName])</f>
        <v>LINEN DRY </v>
      </c>
      <c r="M263" s="56" t="str">
        <f t="array" ref="M263">_xlfn.XLOOKUP(records_3[roomNo], database[roomNo], database[building])</f>
        <v>Building 16</v>
      </c>
      <c r="N263" s="56" t="str">
        <f t="array" ref="N263">_xlfn.XLOOKUP(records_3[roomNo], database[roomNo], database[floor])</f>
        <v>Floor 3</v>
      </c>
      <c r="O263" s="50">
        <v>0.0</v>
      </c>
      <c r="P263" s="34" t="s">
        <v>2083</v>
      </c>
      <c r="Q263" s="39"/>
      <c r="R263" s="39"/>
      <c r="S263" s="43"/>
      <c r="T263" s="43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</row>
    <row r="264" ht="22.5" customHeight="1">
      <c r="A264" s="27">
        <v>46063.0</v>
      </c>
      <c r="B264" s="39" t="s">
        <v>1510</v>
      </c>
      <c r="C264" s="140"/>
      <c r="D264" s="36" t="s">
        <v>213</v>
      </c>
      <c r="E264" s="34" t="s">
        <v>2100</v>
      </c>
      <c r="F264" s="34" t="s">
        <v>2101</v>
      </c>
      <c r="G264" s="34" t="s">
        <v>2095</v>
      </c>
      <c r="H264" s="34" t="s">
        <v>262</v>
      </c>
      <c r="I264" s="34" t="s">
        <v>837</v>
      </c>
      <c r="J264" s="34" t="s">
        <v>1099</v>
      </c>
      <c r="K264" s="48">
        <v>46025.0</v>
      </c>
      <c r="L264" s="54" t="str">
        <f t="array" ref="L264">_xlfn.XLOOKUP(records_3[roomNo], database[roomNo], database[roomName])</f>
        <v>LINEN STORAGE</v>
      </c>
      <c r="M264" s="56" t="str">
        <f t="array" ref="M264">_xlfn.XLOOKUP(records_3[roomNo], database[roomNo], database[building])</f>
        <v>Building 16</v>
      </c>
      <c r="N264" s="56" t="str">
        <f t="array" ref="N264">_xlfn.XLOOKUP(records_3[roomNo], database[roomNo], database[floor])</f>
        <v>Floor 3</v>
      </c>
      <c r="O264" s="50">
        <v>0.0</v>
      </c>
      <c r="P264" s="34" t="s">
        <v>2083</v>
      </c>
      <c r="Q264" s="39"/>
      <c r="R264" s="39"/>
      <c r="S264" s="43"/>
      <c r="T264" s="43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</row>
    <row r="265" ht="22.5" customHeight="1">
      <c r="A265" s="27">
        <v>46063.0</v>
      </c>
      <c r="B265" s="39" t="s">
        <v>1511</v>
      </c>
      <c r="C265" s="140"/>
      <c r="D265" s="36" t="s">
        <v>213</v>
      </c>
      <c r="E265" s="34" t="s">
        <v>591</v>
      </c>
      <c r="F265" s="34" t="s">
        <v>299</v>
      </c>
      <c r="G265" s="34" t="s">
        <v>2105</v>
      </c>
      <c r="H265" s="34" t="s">
        <v>1798</v>
      </c>
      <c r="I265" s="34" t="s">
        <v>837</v>
      </c>
      <c r="J265" s="34" t="s">
        <v>1099</v>
      </c>
      <c r="K265" s="48">
        <v>46025.0</v>
      </c>
      <c r="L265" s="54" t="str">
        <f t="array" ref="L265">_xlfn.XLOOKUP(records_3[roomNo], database[roomNo], database[roomName])</f>
        <v>CLEANED EQUIPMENT</v>
      </c>
      <c r="M265" s="56" t="str">
        <f t="array" ref="M265">_xlfn.XLOOKUP(records_3[roomNo], database[roomNo], database[building])</f>
        <v>Building 16</v>
      </c>
      <c r="N265" s="56" t="str">
        <f t="array" ref="N265">_xlfn.XLOOKUP(records_3[roomNo], database[roomNo], database[floor])</f>
        <v>Floor 3</v>
      </c>
      <c r="O265" s="50">
        <v>0.0</v>
      </c>
      <c r="P265" s="34" t="s">
        <v>2083</v>
      </c>
      <c r="Q265" s="39"/>
      <c r="R265" s="39"/>
      <c r="S265" s="43"/>
      <c r="T265" s="43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</row>
    <row r="266" ht="22.5" customHeight="1">
      <c r="A266" s="27">
        <v>46063.0</v>
      </c>
      <c r="B266" s="39" t="s">
        <v>1512</v>
      </c>
      <c r="C266" s="140"/>
      <c r="D266" s="36" t="s">
        <v>213</v>
      </c>
      <c r="E266" s="34" t="s">
        <v>550</v>
      </c>
      <c r="F266" s="34" t="s">
        <v>356</v>
      </c>
      <c r="G266" s="34" t="s">
        <v>2111</v>
      </c>
      <c r="H266" s="34" t="s">
        <v>1798</v>
      </c>
      <c r="I266" s="34" t="s">
        <v>837</v>
      </c>
      <c r="J266" s="34" t="s">
        <v>1099</v>
      </c>
      <c r="K266" s="48">
        <v>46025.0</v>
      </c>
      <c r="L266" s="54" t="str">
        <f t="array" ref="L266">_xlfn.XLOOKUP(records_3[roomNo], database[roomNo], database[roomName])</f>
        <v>DRYING</v>
      </c>
      <c r="M266" s="56" t="str">
        <f t="array" ref="M266">_xlfn.XLOOKUP(records_3[roomNo], database[roomNo], database[building])</f>
        <v>Building 16</v>
      </c>
      <c r="N266" s="56" t="str">
        <f t="array" ref="N266">_xlfn.XLOOKUP(records_3[roomNo], database[roomNo], database[floor])</f>
        <v>Floor 3</v>
      </c>
      <c r="O266" s="50">
        <v>0.0</v>
      </c>
      <c r="P266" s="34" t="s">
        <v>2083</v>
      </c>
      <c r="Q266" s="39"/>
      <c r="R266" s="39"/>
      <c r="S266" s="43"/>
      <c r="T266" s="43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</row>
    <row r="267" ht="22.5" customHeight="1">
      <c r="A267" s="27">
        <v>46063.0</v>
      </c>
      <c r="B267" s="39" t="s">
        <v>1513</v>
      </c>
      <c r="C267" s="140"/>
      <c r="D267" s="36" t="s">
        <v>213</v>
      </c>
      <c r="E267" s="34" t="s">
        <v>578</v>
      </c>
      <c r="F267" s="34" t="s">
        <v>1859</v>
      </c>
      <c r="G267" s="34" t="s">
        <v>2111</v>
      </c>
      <c r="H267" s="34" t="s">
        <v>1798</v>
      </c>
      <c r="I267" s="34" t="s">
        <v>837</v>
      </c>
      <c r="J267" s="34" t="s">
        <v>1099</v>
      </c>
      <c r="K267" s="48">
        <v>46025.0</v>
      </c>
      <c r="L267" s="54" t="str">
        <f t="array" ref="L267">_xlfn.XLOOKUP(records_3[roomNo], database[roomNo], database[roomName])</f>
        <v>WASHING</v>
      </c>
      <c r="M267" s="56" t="str">
        <f t="array" ref="M267">_xlfn.XLOOKUP(records_3[roomNo], database[roomNo], database[building])</f>
        <v>Building 16</v>
      </c>
      <c r="N267" s="56" t="str">
        <f t="array" ref="N267">_xlfn.XLOOKUP(records_3[roomNo], database[roomNo], database[floor])</f>
        <v>Floor 3</v>
      </c>
      <c r="O267" s="50">
        <v>0.0</v>
      </c>
      <c r="P267" s="34" t="s">
        <v>2083</v>
      </c>
      <c r="Q267" s="39"/>
      <c r="R267" s="39"/>
      <c r="S267" s="43"/>
      <c r="T267" s="43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</row>
    <row r="268" ht="22.5" customHeight="1">
      <c r="A268" s="27">
        <v>46063.0</v>
      </c>
      <c r="B268" s="39" t="s">
        <v>1514</v>
      </c>
      <c r="C268" s="140"/>
      <c r="D268" s="36" t="s">
        <v>213</v>
      </c>
      <c r="E268" s="34" t="s">
        <v>700</v>
      </c>
      <c r="F268" s="34" t="s">
        <v>2101</v>
      </c>
      <c r="G268" s="34" t="s">
        <v>2000</v>
      </c>
      <c r="H268" s="34" t="s">
        <v>1788</v>
      </c>
      <c r="I268" s="34" t="s">
        <v>837</v>
      </c>
      <c r="J268" s="34" t="s">
        <v>1099</v>
      </c>
      <c r="K268" s="48">
        <v>46025.0</v>
      </c>
      <c r="L268" s="54" t="str">
        <f t="array" ref="L268">_xlfn.XLOOKUP(records_3[roomNo], database[roomNo], database[roomName])</f>
        <v>AIRLOCK</v>
      </c>
      <c r="M268" s="56" t="str">
        <f t="array" ref="M268">_xlfn.XLOOKUP(records_3[roomNo], database[roomNo], database[building])</f>
        <v>Building 16</v>
      </c>
      <c r="N268" s="56" t="str">
        <f t="array" ref="N268">_xlfn.XLOOKUP(records_3[roomNo], database[roomNo], database[floor])</f>
        <v>Floor 3</v>
      </c>
      <c r="O268" s="50">
        <v>1.0</v>
      </c>
      <c r="P268" s="34" t="s">
        <v>2083</v>
      </c>
      <c r="Q268" s="39"/>
      <c r="R268" s="39"/>
      <c r="S268" s="43"/>
      <c r="T268" s="43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</row>
    <row r="269" ht="22.5" customHeight="1">
      <c r="A269" s="27">
        <v>46063.0</v>
      </c>
      <c r="B269" s="39" t="s">
        <v>1515</v>
      </c>
      <c r="C269" s="140"/>
      <c r="D269" s="36" t="s">
        <v>213</v>
      </c>
      <c r="E269" s="34" t="s">
        <v>428</v>
      </c>
      <c r="F269" s="34" t="s">
        <v>1859</v>
      </c>
      <c r="G269" s="34" t="s">
        <v>2000</v>
      </c>
      <c r="H269" s="34" t="s">
        <v>1788</v>
      </c>
      <c r="I269" s="34" t="s">
        <v>837</v>
      </c>
      <c r="J269" s="34" t="s">
        <v>1099</v>
      </c>
      <c r="K269" s="48">
        <v>46025.0</v>
      </c>
      <c r="L269" s="54" t="str">
        <f t="array" ref="L269">_xlfn.XLOOKUP(records_3[roomNo], database[roomNo], database[roomName])</f>
        <v>JANITOR</v>
      </c>
      <c r="M269" s="56" t="str">
        <f t="array" ref="M269">_xlfn.XLOOKUP(records_3[roomNo], database[roomNo], database[building])</f>
        <v>Building 16</v>
      </c>
      <c r="N269" s="56" t="str">
        <f t="array" ref="N269">_xlfn.XLOOKUP(records_3[roomNo], database[roomNo], database[floor])</f>
        <v>Floor 3</v>
      </c>
      <c r="O269" s="50">
        <v>0.0</v>
      </c>
      <c r="P269" s="34" t="s">
        <v>2083</v>
      </c>
      <c r="Q269" s="39"/>
      <c r="R269" s="39"/>
      <c r="S269" s="43"/>
      <c r="T269" s="43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</row>
    <row r="270" ht="22.5" customHeight="1">
      <c r="A270" s="27">
        <v>46063.0</v>
      </c>
      <c r="B270" s="39" t="s">
        <v>1516</v>
      </c>
      <c r="C270" s="140"/>
      <c r="D270" s="36" t="s">
        <v>213</v>
      </c>
      <c r="E270" s="34" t="s">
        <v>700</v>
      </c>
      <c r="F270" s="34" t="s">
        <v>2101</v>
      </c>
      <c r="G270" s="34" t="s">
        <v>2139</v>
      </c>
      <c r="H270" s="34" t="s">
        <v>1798</v>
      </c>
      <c r="I270" s="34" t="s">
        <v>837</v>
      </c>
      <c r="J270" s="34" t="s">
        <v>1099</v>
      </c>
      <c r="K270" s="48">
        <v>46025.0</v>
      </c>
      <c r="L270" s="54" t="str">
        <f t="array" ref="L270">_xlfn.XLOOKUP(records_3[roomNo], database[roomNo], database[roomName])</f>
        <v>WAX MELTING</v>
      </c>
      <c r="M270" s="56" t="str">
        <f t="array" ref="M270">_xlfn.XLOOKUP(records_3[roomNo], database[roomNo], database[building])</f>
        <v>Building 16</v>
      </c>
      <c r="N270" s="56" t="str">
        <f t="array" ref="N270">_xlfn.XLOOKUP(records_3[roomNo], database[roomNo], database[floor])</f>
        <v>Floor 3</v>
      </c>
      <c r="O270" s="50">
        <v>0.0</v>
      </c>
      <c r="P270" s="34" t="s">
        <v>2083</v>
      </c>
      <c r="Q270" s="39"/>
      <c r="R270" s="39"/>
      <c r="S270" s="43"/>
      <c r="T270" s="43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</row>
    <row r="271" ht="22.5" customHeight="1">
      <c r="A271" s="27">
        <v>46063.0</v>
      </c>
      <c r="B271" s="39" t="s">
        <v>1518</v>
      </c>
      <c r="C271" s="140"/>
      <c r="D271" s="36" t="s">
        <v>213</v>
      </c>
      <c r="E271" s="34" t="s">
        <v>435</v>
      </c>
      <c r="F271" s="34" t="s">
        <v>2144</v>
      </c>
      <c r="G271" s="34" t="s">
        <v>2145</v>
      </c>
      <c r="H271" s="34" t="s">
        <v>399</v>
      </c>
      <c r="I271" s="34" t="s">
        <v>837</v>
      </c>
      <c r="J271" s="34" t="s">
        <v>1099</v>
      </c>
      <c r="K271" s="48">
        <v>46025.0</v>
      </c>
      <c r="L271" s="54" t="str">
        <f t="array" ref="L271">_xlfn.XLOOKUP(records_3[roomNo], database[roomNo], database[roomName])</f>
        <v>IPQC</v>
      </c>
      <c r="M271" s="56" t="str">
        <f t="array" ref="M271">_xlfn.XLOOKUP(records_3[roomNo], database[roomNo], database[building])</f>
        <v>Building 16</v>
      </c>
      <c r="N271" s="56" t="str">
        <f t="array" ref="N271">_xlfn.XLOOKUP(records_3[roomNo], database[roomNo], database[floor])</f>
        <v>Floor 3</v>
      </c>
      <c r="O271" s="50">
        <v>0.0</v>
      </c>
      <c r="P271" s="34" t="s">
        <v>2083</v>
      </c>
      <c r="Q271" s="39"/>
      <c r="R271" s="39"/>
      <c r="S271" s="43"/>
      <c r="T271" s="43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</row>
    <row r="272" ht="22.5" customHeight="1">
      <c r="A272" s="27">
        <v>46063.0</v>
      </c>
      <c r="B272" s="39" t="s">
        <v>1519</v>
      </c>
      <c r="C272" s="140"/>
      <c r="D272" s="36" t="s">
        <v>213</v>
      </c>
      <c r="E272" s="34" t="s">
        <v>330</v>
      </c>
      <c r="F272" s="34" t="s">
        <v>2039</v>
      </c>
      <c r="G272" s="34" t="s">
        <v>1846</v>
      </c>
      <c r="H272" s="34" t="s">
        <v>399</v>
      </c>
      <c r="I272" s="34" t="s">
        <v>837</v>
      </c>
      <c r="J272" s="34" t="s">
        <v>1099</v>
      </c>
      <c r="K272" s="48">
        <v>46025.0</v>
      </c>
      <c r="L272" s="54" t="str">
        <f t="array" ref="L272">_xlfn.XLOOKUP(records_3[roomNo], database[roomNo], database[roomName])</f>
        <v>DISPENSED MATERIAL STAGING</v>
      </c>
      <c r="M272" s="56" t="str">
        <f t="array" ref="M272">_xlfn.XLOOKUP(records_3[roomNo], database[roomNo], database[building])</f>
        <v>Building 16</v>
      </c>
      <c r="N272" s="56" t="str">
        <f t="array" ref="N272">_xlfn.XLOOKUP(records_3[roomNo], database[roomNo], database[floor])</f>
        <v>Floor 3</v>
      </c>
      <c r="O272" s="50">
        <v>0.0</v>
      </c>
      <c r="P272" s="34" t="s">
        <v>2083</v>
      </c>
      <c r="Q272" s="39"/>
      <c r="R272" s="39"/>
      <c r="S272" s="43"/>
      <c r="T272" s="43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</row>
    <row r="273" ht="22.5" customHeight="1">
      <c r="A273" s="27">
        <v>46063.0</v>
      </c>
      <c r="B273" s="39" t="s">
        <v>1520</v>
      </c>
      <c r="C273" s="140"/>
      <c r="D273" s="36" t="s">
        <v>213</v>
      </c>
      <c r="E273" s="34" t="s">
        <v>638</v>
      </c>
      <c r="F273" s="34" t="s">
        <v>2148</v>
      </c>
      <c r="G273" s="34" t="s">
        <v>2149</v>
      </c>
      <c r="H273" s="34" t="s">
        <v>320</v>
      </c>
      <c r="I273" s="34" t="s">
        <v>837</v>
      </c>
      <c r="J273" s="34" t="s">
        <v>1099</v>
      </c>
      <c r="K273" s="48">
        <v>46025.0</v>
      </c>
      <c r="L273" s="54" t="str">
        <f t="array" ref="L273">_xlfn.XLOOKUP(records_3[roomNo], database[roomNo], database[roomName])</f>
        <v>AIRLOCK</v>
      </c>
      <c r="M273" s="56" t="str">
        <f t="array" ref="M273">_xlfn.XLOOKUP(records_3[roomNo], database[roomNo], database[building])</f>
        <v>Building 16</v>
      </c>
      <c r="N273" s="56" t="str">
        <f t="array" ref="N273">_xlfn.XLOOKUP(records_3[roomNo], database[roomNo], database[floor])</f>
        <v>Floor 3</v>
      </c>
      <c r="O273" s="50">
        <v>3.0</v>
      </c>
      <c r="P273" s="34" t="s">
        <v>2083</v>
      </c>
      <c r="Q273" s="39"/>
      <c r="R273" s="39"/>
      <c r="S273" s="43"/>
      <c r="T273" s="43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</row>
    <row r="274" ht="22.5" customHeight="1">
      <c r="A274" s="27">
        <v>46063.0</v>
      </c>
      <c r="B274" s="39" t="s">
        <v>1523</v>
      </c>
      <c r="C274" s="140"/>
      <c r="D274" s="36" t="s">
        <v>213</v>
      </c>
      <c r="E274" s="34" t="s">
        <v>596</v>
      </c>
      <c r="F274" s="34" t="s">
        <v>2151</v>
      </c>
      <c r="G274" s="34" t="s">
        <v>972</v>
      </c>
      <c r="H274" s="34" t="s">
        <v>333</v>
      </c>
      <c r="I274" s="34" t="s">
        <v>837</v>
      </c>
      <c r="J274" s="34" t="s">
        <v>1099</v>
      </c>
      <c r="K274" s="48">
        <v>46025.0</v>
      </c>
      <c r="L274" s="54" t="str">
        <f t="array" ref="L274">_xlfn.XLOOKUP(records_3[roomNo], database[roomNo], database[roomName])</f>
        <v>DISPENSING 1</v>
      </c>
      <c r="M274" s="56" t="str">
        <f t="array" ref="M274">_xlfn.XLOOKUP(records_3[roomNo], database[roomNo], database[building])</f>
        <v>Building 16</v>
      </c>
      <c r="N274" s="56" t="str">
        <f t="array" ref="N274">_xlfn.XLOOKUP(records_3[roomNo], database[roomNo], database[floor])</f>
        <v>Floor 3</v>
      </c>
      <c r="O274" s="50">
        <v>0.0</v>
      </c>
      <c r="P274" s="34" t="s">
        <v>2083</v>
      </c>
      <c r="Q274" s="39" t="s">
        <v>2269</v>
      </c>
      <c r="R274" s="39"/>
      <c r="S274" s="43"/>
      <c r="T274" s="43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</row>
    <row r="275" ht="22.5" customHeight="1">
      <c r="A275" s="27">
        <v>46063.0</v>
      </c>
      <c r="B275" s="39" t="s">
        <v>1523</v>
      </c>
      <c r="C275" s="140"/>
      <c r="D275" s="36" t="s">
        <v>213</v>
      </c>
      <c r="E275" s="34" t="s">
        <v>596</v>
      </c>
      <c r="F275" s="34" t="s">
        <v>2151</v>
      </c>
      <c r="G275" s="34" t="s">
        <v>972</v>
      </c>
      <c r="H275" s="34" t="s">
        <v>333</v>
      </c>
      <c r="I275" s="34" t="s">
        <v>837</v>
      </c>
      <c r="J275" s="34" t="s">
        <v>1099</v>
      </c>
      <c r="K275" s="48">
        <v>46025.0</v>
      </c>
      <c r="L275" s="54" t="str">
        <f t="array" ref="L275">_xlfn.XLOOKUP(records_3[roomNo], database[roomNo], database[roomName])</f>
        <v>DISPENSING 1</v>
      </c>
      <c r="M275" s="56" t="str">
        <f t="array" ref="M275">_xlfn.XLOOKUP(records_3[roomNo], database[roomNo], database[building])</f>
        <v>Building 16</v>
      </c>
      <c r="N275" s="56" t="str">
        <f t="array" ref="N275">_xlfn.XLOOKUP(records_3[roomNo], database[roomNo], database[floor])</f>
        <v>Floor 3</v>
      </c>
      <c r="O275" s="50">
        <v>1.0</v>
      </c>
      <c r="P275" s="34" t="s">
        <v>2083</v>
      </c>
      <c r="Q275" s="39"/>
      <c r="R275" s="39"/>
      <c r="S275" s="43"/>
      <c r="T275" s="43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</row>
    <row r="276" ht="22.5" customHeight="1">
      <c r="A276" s="27">
        <v>46063.0</v>
      </c>
      <c r="B276" s="39" t="s">
        <v>1525</v>
      </c>
      <c r="C276" s="140"/>
      <c r="D276" s="36" t="s">
        <v>213</v>
      </c>
      <c r="E276" s="34" t="s">
        <v>452</v>
      </c>
      <c r="F276" s="34" t="s">
        <v>1856</v>
      </c>
      <c r="G276" s="34" t="s">
        <v>2152</v>
      </c>
      <c r="H276" s="34" t="s">
        <v>333</v>
      </c>
      <c r="I276" s="34" t="s">
        <v>837</v>
      </c>
      <c r="J276" s="34" t="s">
        <v>1099</v>
      </c>
      <c r="K276" s="48">
        <v>46025.0</v>
      </c>
      <c r="L276" s="54" t="str">
        <f t="array" ref="L276">_xlfn.XLOOKUP(records_3[roomNo], database[roomNo], database[roomName])</f>
        <v>MAL</v>
      </c>
      <c r="M276" s="56" t="str">
        <f t="array" ref="M276">_xlfn.XLOOKUP(records_3[roomNo], database[roomNo], database[building])</f>
        <v>Building 16</v>
      </c>
      <c r="N276" s="56" t="str">
        <f t="array" ref="N276">_xlfn.XLOOKUP(records_3[roomNo], database[roomNo], database[floor])</f>
        <v>Floor 3</v>
      </c>
      <c r="O276" s="50">
        <v>0.0</v>
      </c>
      <c r="P276" s="34" t="s">
        <v>2083</v>
      </c>
      <c r="Q276" s="39"/>
      <c r="R276" s="39"/>
      <c r="S276" s="43"/>
      <c r="T276" s="43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</row>
    <row r="277" ht="22.5" customHeight="1">
      <c r="A277" s="27">
        <v>46063.0</v>
      </c>
      <c r="B277" s="39" t="s">
        <v>1526</v>
      </c>
      <c r="C277" s="140"/>
      <c r="D277" s="36" t="s">
        <v>213</v>
      </c>
      <c r="E277" s="34" t="s">
        <v>194</v>
      </c>
      <c r="F277" s="34" t="s">
        <v>194</v>
      </c>
      <c r="G277" s="34" t="s">
        <v>2149</v>
      </c>
      <c r="H277" s="34" t="s">
        <v>320</v>
      </c>
      <c r="I277" s="34" t="s">
        <v>837</v>
      </c>
      <c r="J277" s="34" t="s">
        <v>1099</v>
      </c>
      <c r="K277" s="48">
        <v>46025.0</v>
      </c>
      <c r="L277" s="54" t="str">
        <f t="array" ref="L277">_xlfn.XLOOKUP(records_3[roomNo], database[roomNo], database[roomName])</f>
        <v>DISPENSING 2</v>
      </c>
      <c r="M277" s="56" t="str">
        <f t="array" ref="M277">_xlfn.XLOOKUP(records_3[roomNo], database[roomNo], database[building])</f>
        <v>Building 16</v>
      </c>
      <c r="N277" s="56" t="str">
        <f t="array" ref="N277">_xlfn.XLOOKUP(records_3[roomNo], database[roomNo], database[floor])</f>
        <v>Floor 3</v>
      </c>
      <c r="O277" s="50">
        <v>1.0</v>
      </c>
      <c r="P277" s="34" t="s">
        <v>2083</v>
      </c>
      <c r="Q277" s="39" t="s">
        <v>2269</v>
      </c>
      <c r="R277" s="39"/>
      <c r="S277" s="43"/>
      <c r="T277" s="43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</row>
    <row r="278" ht="22.5" customHeight="1">
      <c r="A278" s="27">
        <v>46063.0</v>
      </c>
      <c r="B278" s="39" t="s">
        <v>1526</v>
      </c>
      <c r="C278" s="140"/>
      <c r="D278" s="36" t="s">
        <v>213</v>
      </c>
      <c r="E278" s="34" t="s">
        <v>194</v>
      </c>
      <c r="F278" s="34" t="s">
        <v>194</v>
      </c>
      <c r="G278" s="34" t="s">
        <v>2149</v>
      </c>
      <c r="H278" s="34" t="s">
        <v>320</v>
      </c>
      <c r="I278" s="34" t="s">
        <v>837</v>
      </c>
      <c r="J278" s="34" t="s">
        <v>1099</v>
      </c>
      <c r="K278" s="48">
        <v>46025.0</v>
      </c>
      <c r="L278" s="54" t="str">
        <f t="array" ref="L278">_xlfn.XLOOKUP(records_3[roomNo], database[roomNo], database[roomName])</f>
        <v>DISPENSING 2</v>
      </c>
      <c r="M278" s="56" t="str">
        <f t="array" ref="M278">_xlfn.XLOOKUP(records_3[roomNo], database[roomNo], database[building])</f>
        <v>Building 16</v>
      </c>
      <c r="N278" s="56" t="str">
        <f t="array" ref="N278">_xlfn.XLOOKUP(records_3[roomNo], database[roomNo], database[floor])</f>
        <v>Floor 3</v>
      </c>
      <c r="O278" s="50">
        <v>0.0</v>
      </c>
      <c r="P278" s="34" t="s">
        <v>2083</v>
      </c>
      <c r="Q278" s="39"/>
      <c r="R278" s="39"/>
      <c r="S278" s="43"/>
      <c r="T278" s="43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</row>
    <row r="279" ht="22.5" customHeight="1">
      <c r="A279" s="27">
        <v>46063.0</v>
      </c>
      <c r="B279" s="39" t="s">
        <v>1528</v>
      </c>
      <c r="C279" s="140"/>
      <c r="D279" s="36" t="s">
        <v>213</v>
      </c>
      <c r="E279" s="34" t="s">
        <v>798</v>
      </c>
      <c r="F279" s="34" t="s">
        <v>1054</v>
      </c>
      <c r="G279" s="34" t="s">
        <v>2153</v>
      </c>
      <c r="H279" s="34" t="s">
        <v>778</v>
      </c>
      <c r="I279" s="34" t="s">
        <v>837</v>
      </c>
      <c r="J279" s="34" t="s">
        <v>1099</v>
      </c>
      <c r="K279" s="48">
        <v>46025.0</v>
      </c>
      <c r="L279" s="54" t="str">
        <f t="array" ref="L279">_xlfn.XLOOKUP(records_3[roomNo], database[roomNo], database[roomName])</f>
        <v>AIRLOCK</v>
      </c>
      <c r="M279" s="56" t="str">
        <f t="array" ref="M279">_xlfn.XLOOKUP(records_3[roomNo], database[roomNo], database[building])</f>
        <v>Building 16</v>
      </c>
      <c r="N279" s="56" t="str">
        <f t="array" ref="N279">_xlfn.XLOOKUP(records_3[roomNo], database[roomNo], database[floor])</f>
        <v>Floor 3</v>
      </c>
      <c r="O279" s="50">
        <v>0.0</v>
      </c>
      <c r="P279" s="34" t="s">
        <v>2083</v>
      </c>
      <c r="Q279" s="39"/>
      <c r="R279" s="39"/>
      <c r="S279" s="43"/>
      <c r="T279" s="43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</row>
    <row r="280" ht="22.5" customHeight="1">
      <c r="A280" s="27">
        <v>46063.0</v>
      </c>
      <c r="B280" s="39" t="s">
        <v>1529</v>
      </c>
      <c r="C280" s="140"/>
      <c r="D280" s="36" t="s">
        <v>213</v>
      </c>
      <c r="E280" s="34" t="s">
        <v>339</v>
      </c>
      <c r="F280" s="34" t="s">
        <v>1587</v>
      </c>
      <c r="G280" s="34" t="s">
        <v>2153</v>
      </c>
      <c r="H280" s="34" t="s">
        <v>778</v>
      </c>
      <c r="I280" s="34" t="s">
        <v>837</v>
      </c>
      <c r="J280" s="34" t="s">
        <v>1099</v>
      </c>
      <c r="K280" s="48">
        <v>46025.0</v>
      </c>
      <c r="L280" s="54" t="str">
        <f t="array" ref="L280">_xlfn.XLOOKUP(records_3[roomNo], database[roomNo], database[roomName])</f>
        <v>ETHANOL STORAGE</v>
      </c>
      <c r="M280" s="56" t="str">
        <f t="array" ref="M280">_xlfn.XLOOKUP(records_3[roomNo], database[roomNo], database[building])</f>
        <v>Building 16</v>
      </c>
      <c r="N280" s="56" t="str">
        <f t="array" ref="N280">_xlfn.XLOOKUP(records_3[roomNo], database[roomNo], database[floor])</f>
        <v>Floor 3</v>
      </c>
      <c r="O280" s="50">
        <v>0.0</v>
      </c>
      <c r="P280" s="34" t="s">
        <v>2083</v>
      </c>
      <c r="Q280" s="39"/>
      <c r="R280" s="39"/>
      <c r="S280" s="43"/>
      <c r="T280" s="43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</row>
    <row r="281" ht="22.5" customHeight="1">
      <c r="A281" s="27">
        <v>46063.0</v>
      </c>
      <c r="B281" s="39" t="s">
        <v>1531</v>
      </c>
      <c r="C281" s="140"/>
      <c r="D281" s="36" t="s">
        <v>213</v>
      </c>
      <c r="E281" s="34" t="s">
        <v>402</v>
      </c>
      <c r="F281" s="34" t="s">
        <v>971</v>
      </c>
      <c r="G281" s="34" t="s">
        <v>1809</v>
      </c>
      <c r="H281" s="34" t="s">
        <v>778</v>
      </c>
      <c r="I281" s="34" t="s">
        <v>837</v>
      </c>
      <c r="J281" s="34" t="s">
        <v>1099</v>
      </c>
      <c r="K281" s="48">
        <v>46025.0</v>
      </c>
      <c r="L281" s="54" t="str">
        <f t="array" ref="L281">_xlfn.XLOOKUP(records_3[roomNo], database[roomNo], database[roomName])</f>
        <v>AIRLOCK</v>
      </c>
      <c r="M281" s="56" t="str">
        <f t="array" ref="M281">_xlfn.XLOOKUP(records_3[roomNo], database[roomNo], database[building])</f>
        <v>Building 16</v>
      </c>
      <c r="N281" s="56" t="str">
        <f t="array" ref="N281">_xlfn.XLOOKUP(records_3[roomNo], database[roomNo], database[floor])</f>
        <v>Floor 3</v>
      </c>
      <c r="O281" s="50">
        <v>0.0</v>
      </c>
      <c r="P281" s="34" t="s">
        <v>2083</v>
      </c>
      <c r="Q281" s="39"/>
      <c r="R281" s="39"/>
      <c r="S281" s="43"/>
      <c r="T281" s="43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</row>
    <row r="282" ht="22.5" customHeight="1">
      <c r="A282" s="27">
        <v>46063.0</v>
      </c>
      <c r="B282" s="39" t="s">
        <v>987</v>
      </c>
      <c r="C282" s="140"/>
      <c r="D282" s="36" t="s">
        <v>213</v>
      </c>
      <c r="E282" s="34" t="s">
        <v>310</v>
      </c>
      <c r="F282" s="34" t="s">
        <v>253</v>
      </c>
      <c r="G282" s="34" t="s">
        <v>2087</v>
      </c>
      <c r="H282" s="34" t="s">
        <v>778</v>
      </c>
      <c r="I282" s="34" t="s">
        <v>837</v>
      </c>
      <c r="J282" s="34" t="s">
        <v>1099</v>
      </c>
      <c r="K282" s="48">
        <v>46025.0</v>
      </c>
      <c r="L282" s="54" t="str">
        <f t="array" ref="L282">_xlfn.XLOOKUP(records_3[roomNo], database[roomNo], database[roomName])</f>
        <v>MFG 1 (UTILITY SKID ADAM)</v>
      </c>
      <c r="M282" s="56" t="str">
        <f t="array" ref="M282">_xlfn.XLOOKUP(records_3[roomNo], database[roomNo], database[building])</f>
        <v>Building 16</v>
      </c>
      <c r="N282" s="56" t="str">
        <f t="array" ref="N282">_xlfn.XLOOKUP(records_3[roomNo], database[roomNo], database[floor])</f>
        <v>Floor 3</v>
      </c>
      <c r="O282" s="50">
        <v>0.0</v>
      </c>
      <c r="P282" s="34" t="s">
        <v>2083</v>
      </c>
      <c r="Q282" s="39"/>
      <c r="R282" s="39"/>
      <c r="S282" s="43"/>
      <c r="T282" s="43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</row>
    <row r="283" ht="22.5" customHeight="1">
      <c r="A283" s="27">
        <v>46063.0</v>
      </c>
      <c r="B283" s="39" t="s">
        <v>1532</v>
      </c>
      <c r="C283" s="140"/>
      <c r="D283" s="36" t="s">
        <v>213</v>
      </c>
      <c r="E283" s="34" t="s">
        <v>377</v>
      </c>
      <c r="F283" s="34" t="s">
        <v>1918</v>
      </c>
      <c r="G283" s="34" t="s">
        <v>2154</v>
      </c>
      <c r="H283" s="34" t="s">
        <v>333</v>
      </c>
      <c r="I283" s="34" t="s">
        <v>837</v>
      </c>
      <c r="J283" s="34" t="s">
        <v>1099</v>
      </c>
      <c r="K283" s="48">
        <v>46025.0</v>
      </c>
      <c r="L283" s="54" t="str">
        <f t="array" ref="L283">_xlfn.XLOOKUP(records_3[roomNo], database[roomNo], database[roomName])</f>
        <v>AIRLOCK</v>
      </c>
      <c r="M283" s="56" t="str">
        <f t="array" ref="M283">_xlfn.XLOOKUP(records_3[roomNo], database[roomNo], database[building])</f>
        <v>Building 16</v>
      </c>
      <c r="N283" s="56" t="str">
        <f t="array" ref="N283">_xlfn.XLOOKUP(records_3[roomNo], database[roomNo], database[floor])</f>
        <v>Floor 3</v>
      </c>
      <c r="O283" s="50">
        <v>1.0</v>
      </c>
      <c r="P283" s="34" t="s">
        <v>2083</v>
      </c>
      <c r="Q283" s="39"/>
      <c r="R283" s="39"/>
      <c r="S283" s="43"/>
      <c r="T283" s="43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</row>
    <row r="284" ht="22.5" customHeight="1">
      <c r="A284" s="27">
        <v>46063.0</v>
      </c>
      <c r="B284" s="39" t="s">
        <v>1533</v>
      </c>
      <c r="C284" s="140"/>
      <c r="D284" s="36" t="s">
        <v>213</v>
      </c>
      <c r="E284" s="34" t="s">
        <v>798</v>
      </c>
      <c r="F284" s="34" t="s">
        <v>1858</v>
      </c>
      <c r="G284" s="34" t="s">
        <v>2154</v>
      </c>
      <c r="H284" s="34" t="s">
        <v>333</v>
      </c>
      <c r="I284" s="34" t="s">
        <v>837</v>
      </c>
      <c r="J284" s="34" t="s">
        <v>1099</v>
      </c>
      <c r="K284" s="48">
        <v>46025.0</v>
      </c>
      <c r="L284" s="54" t="str">
        <f t="array" ref="L284">_xlfn.XLOOKUP(records_3[roomNo], database[roomNo], database[roomName])</f>
        <v>MFG 2</v>
      </c>
      <c r="M284" s="56" t="str">
        <f t="array" ref="M284">_xlfn.XLOOKUP(records_3[roomNo], database[roomNo], database[building])</f>
        <v>Building 16</v>
      </c>
      <c r="N284" s="56" t="str">
        <f t="array" ref="N284">_xlfn.XLOOKUP(records_3[roomNo], database[roomNo], database[floor])</f>
        <v>Floor 3</v>
      </c>
      <c r="O284" s="50">
        <v>0.0</v>
      </c>
      <c r="P284" s="34" t="s">
        <v>2083</v>
      </c>
      <c r="Q284" s="39"/>
      <c r="R284" s="39"/>
      <c r="S284" s="43"/>
      <c r="T284" s="43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</row>
    <row r="285" ht="22.5" customHeight="1">
      <c r="A285" s="27">
        <v>46063.0</v>
      </c>
      <c r="B285" s="39" t="s">
        <v>1534</v>
      </c>
      <c r="C285" s="140"/>
      <c r="D285" s="36" t="s">
        <v>213</v>
      </c>
      <c r="E285" s="34" t="s">
        <v>314</v>
      </c>
      <c r="F285" s="34" t="s">
        <v>792</v>
      </c>
      <c r="G285" s="34" t="s">
        <v>2156</v>
      </c>
      <c r="H285" s="34" t="s">
        <v>320</v>
      </c>
      <c r="I285" s="34" t="s">
        <v>837</v>
      </c>
      <c r="J285" s="34" t="s">
        <v>1099</v>
      </c>
      <c r="K285" s="48">
        <v>46025.0</v>
      </c>
      <c r="L285" s="54" t="str">
        <f t="array" ref="L285">_xlfn.XLOOKUP(records_3[roomNo], database[roomNo], database[roomName])</f>
        <v>AIRLOCK</v>
      </c>
      <c r="M285" s="56" t="str">
        <f t="array" ref="M285">_xlfn.XLOOKUP(records_3[roomNo], database[roomNo], database[building])</f>
        <v>Building 16</v>
      </c>
      <c r="N285" s="56" t="str">
        <f t="array" ref="N285">_xlfn.XLOOKUP(records_3[roomNo], database[roomNo], database[floor])</f>
        <v>Floor 3</v>
      </c>
      <c r="O285" s="50">
        <v>0.0</v>
      </c>
      <c r="P285" s="34" t="s">
        <v>2083</v>
      </c>
      <c r="Q285" s="39"/>
      <c r="R285" s="39"/>
      <c r="S285" s="43"/>
      <c r="T285" s="43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</row>
    <row r="286" ht="22.5" customHeight="1">
      <c r="A286" s="27">
        <v>46063.0</v>
      </c>
      <c r="B286" s="39" t="s">
        <v>989</v>
      </c>
      <c r="C286" s="140"/>
      <c r="D286" s="36" t="s">
        <v>213</v>
      </c>
      <c r="E286" s="34" t="s">
        <v>292</v>
      </c>
      <c r="F286" s="34" t="s">
        <v>1858</v>
      </c>
      <c r="G286" s="34" t="s">
        <v>2156</v>
      </c>
      <c r="H286" s="34" t="s">
        <v>320</v>
      </c>
      <c r="I286" s="34" t="s">
        <v>837</v>
      </c>
      <c r="J286" s="34" t="s">
        <v>1099</v>
      </c>
      <c r="K286" s="48">
        <v>46025.0</v>
      </c>
      <c r="L286" s="54" t="str">
        <f t="array" ref="L286">_xlfn.XLOOKUP(records_3[roomNo], database[roomNo], database[roomName])</f>
        <v>MFG 3 (UTILITY SKID ADAM)</v>
      </c>
      <c r="M286" s="56" t="str">
        <f t="array" ref="M286">_xlfn.XLOOKUP(records_3[roomNo], database[roomNo], database[building])</f>
        <v>Building 16</v>
      </c>
      <c r="N286" s="56" t="str">
        <f t="array" ref="N286">_xlfn.XLOOKUP(records_3[roomNo], database[roomNo], database[floor])</f>
        <v>Floor 3</v>
      </c>
      <c r="O286" s="50">
        <v>0.0</v>
      </c>
      <c r="P286" s="34" t="s">
        <v>2083</v>
      </c>
      <c r="Q286" s="39"/>
      <c r="R286" s="39"/>
      <c r="S286" s="43"/>
      <c r="T286" s="43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</row>
    <row r="287" ht="22.5" customHeight="1">
      <c r="A287" s="27">
        <v>46063.0</v>
      </c>
      <c r="B287" s="39" t="s">
        <v>1535</v>
      </c>
      <c r="C287" s="140"/>
      <c r="D287" s="36" t="s">
        <v>213</v>
      </c>
      <c r="E287" s="34" t="s">
        <v>326</v>
      </c>
      <c r="F287" s="34" t="s">
        <v>2158</v>
      </c>
      <c r="G287" s="34" t="s">
        <v>2159</v>
      </c>
      <c r="H287" s="34" t="s">
        <v>399</v>
      </c>
      <c r="I287" s="34" t="s">
        <v>837</v>
      </c>
      <c r="J287" s="34" t="s">
        <v>1099</v>
      </c>
      <c r="K287" s="48">
        <v>46025.0</v>
      </c>
      <c r="L287" s="54" t="str">
        <f t="array" ref="L287">_xlfn.XLOOKUP(records_3[roomNo], database[roomNo], database[roomName])</f>
        <v>AIRLOCK</v>
      </c>
      <c r="M287" s="56" t="str">
        <f t="array" ref="M287">_xlfn.XLOOKUP(records_3[roomNo], database[roomNo], database[building])</f>
        <v>Building 16</v>
      </c>
      <c r="N287" s="56" t="str">
        <f t="array" ref="N287">_xlfn.XLOOKUP(records_3[roomNo], database[roomNo], database[floor])</f>
        <v>Floor 3</v>
      </c>
      <c r="O287" s="50">
        <v>0.0</v>
      </c>
      <c r="P287" s="34" t="s">
        <v>2083</v>
      </c>
      <c r="Q287" s="39"/>
      <c r="R287" s="39"/>
      <c r="S287" s="43"/>
      <c r="T287" s="43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</row>
    <row r="288" ht="22.5" customHeight="1">
      <c r="A288" s="27">
        <v>46063.0</v>
      </c>
      <c r="B288" s="39" t="s">
        <v>990</v>
      </c>
      <c r="C288" s="140"/>
      <c r="D288" s="36" t="s">
        <v>213</v>
      </c>
      <c r="E288" s="34" t="s">
        <v>292</v>
      </c>
      <c r="F288" s="34" t="s">
        <v>2158</v>
      </c>
      <c r="G288" s="34" t="s">
        <v>2159</v>
      </c>
      <c r="H288" s="34" t="s">
        <v>399</v>
      </c>
      <c r="I288" s="34" t="s">
        <v>837</v>
      </c>
      <c r="J288" s="34" t="s">
        <v>1099</v>
      </c>
      <c r="K288" s="48">
        <v>46025.0</v>
      </c>
      <c r="L288" s="54" t="str">
        <f t="array" ref="L288">_xlfn.XLOOKUP(records_3[roomNo], database[roomNo], database[roomName])</f>
        <v>MFG 4 (UTILITY SKID ADAM)</v>
      </c>
      <c r="M288" s="56" t="str">
        <f t="array" ref="M288">_xlfn.XLOOKUP(records_3[roomNo], database[roomNo], database[building])</f>
        <v>Building 16</v>
      </c>
      <c r="N288" s="56" t="str">
        <f t="array" ref="N288">_xlfn.XLOOKUP(records_3[roomNo], database[roomNo], database[floor])</f>
        <v>Floor 3</v>
      </c>
      <c r="O288" s="50">
        <v>0.0</v>
      </c>
      <c r="P288" s="34" t="s">
        <v>2083</v>
      </c>
      <c r="Q288" s="39"/>
      <c r="R288" s="39"/>
      <c r="S288" s="43"/>
      <c r="T288" s="43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</row>
    <row r="289" ht="22.5" customHeight="1">
      <c r="A289" s="27">
        <v>46063.0</v>
      </c>
      <c r="B289" s="39" t="s">
        <v>1536</v>
      </c>
      <c r="C289" s="140"/>
      <c r="D289" s="36" t="s">
        <v>213</v>
      </c>
      <c r="E289" s="34" t="s">
        <v>314</v>
      </c>
      <c r="F289" s="34" t="s">
        <v>253</v>
      </c>
      <c r="G289" s="34" t="s">
        <v>2161</v>
      </c>
      <c r="H289" s="34" t="s">
        <v>1788</v>
      </c>
      <c r="I289" s="34" t="s">
        <v>837</v>
      </c>
      <c r="J289" s="34" t="s">
        <v>1099</v>
      </c>
      <c r="K289" s="48">
        <v>46025.0</v>
      </c>
      <c r="L289" s="54" t="str">
        <f t="array" ref="L289">_xlfn.XLOOKUP(records_3[roomNo], database[roomNo], database[roomName])</f>
        <v>AIRLCOK</v>
      </c>
      <c r="M289" s="56" t="str">
        <f t="array" ref="M289">_xlfn.XLOOKUP(records_3[roomNo], database[roomNo], database[building])</f>
        <v>Building 16</v>
      </c>
      <c r="N289" s="56" t="str">
        <f t="array" ref="N289">_xlfn.XLOOKUP(records_3[roomNo], database[roomNo], database[floor])</f>
        <v>Floor 3</v>
      </c>
      <c r="O289" s="50">
        <v>0.0</v>
      </c>
      <c r="P289" s="34" t="s">
        <v>2083</v>
      </c>
      <c r="Q289" s="39"/>
      <c r="R289" s="39"/>
      <c r="S289" s="43"/>
      <c r="T289" s="43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</row>
    <row r="290" ht="22.5" customHeight="1">
      <c r="A290" s="27">
        <v>46063.0</v>
      </c>
      <c r="B290" s="39" t="s">
        <v>991</v>
      </c>
      <c r="C290" s="140"/>
      <c r="D290" s="36" t="s">
        <v>213</v>
      </c>
      <c r="E290" s="34" t="s">
        <v>292</v>
      </c>
      <c r="F290" s="34" t="s">
        <v>952</v>
      </c>
      <c r="G290" s="34" t="s">
        <v>2000</v>
      </c>
      <c r="H290" s="34" t="s">
        <v>1788</v>
      </c>
      <c r="I290" s="34" t="s">
        <v>837</v>
      </c>
      <c r="J290" s="34" t="s">
        <v>1099</v>
      </c>
      <c r="K290" s="48">
        <v>46025.0</v>
      </c>
      <c r="L290" s="54" t="str">
        <f t="array" ref="L290">_xlfn.XLOOKUP(records_3[roomNo], database[roomNo], database[roomName])</f>
        <v>MFG 5 (UTILITY SKID ADAM)</v>
      </c>
      <c r="M290" s="56" t="str">
        <f t="array" ref="M290">_xlfn.XLOOKUP(records_3[roomNo], database[roomNo], database[building])</f>
        <v>Building 16</v>
      </c>
      <c r="N290" s="56" t="str">
        <f t="array" ref="N290">_xlfn.XLOOKUP(records_3[roomNo], database[roomNo], database[floor])</f>
        <v>Floor 3</v>
      </c>
      <c r="O290" s="50">
        <v>0.0</v>
      </c>
      <c r="P290" s="34" t="s">
        <v>2083</v>
      </c>
      <c r="Q290" s="39"/>
      <c r="R290" s="39"/>
      <c r="S290" s="43"/>
      <c r="T290" s="43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</row>
    <row r="291" ht="22.5" customHeight="1">
      <c r="A291" s="27">
        <v>46063.0</v>
      </c>
      <c r="B291" s="39" t="s">
        <v>1537</v>
      </c>
      <c r="C291" s="140"/>
      <c r="D291" s="36" t="s">
        <v>213</v>
      </c>
      <c r="E291" s="34" t="s">
        <v>314</v>
      </c>
      <c r="F291" s="34" t="s">
        <v>253</v>
      </c>
      <c r="G291" s="34" t="s">
        <v>2093</v>
      </c>
      <c r="H291" s="34" t="s">
        <v>811</v>
      </c>
      <c r="I291" s="34" t="s">
        <v>837</v>
      </c>
      <c r="J291" s="34" t="s">
        <v>1099</v>
      </c>
      <c r="K291" s="48">
        <v>46025.0</v>
      </c>
      <c r="L291" s="54" t="str">
        <f t="array" ref="L291">_xlfn.XLOOKUP(records_3[roomNo], database[roomNo], database[roomName])</f>
        <v>AIRLOCK</v>
      </c>
      <c r="M291" s="56" t="str">
        <f t="array" ref="M291">_xlfn.XLOOKUP(records_3[roomNo], database[roomNo], database[building])</f>
        <v>Building 16</v>
      </c>
      <c r="N291" s="56" t="str">
        <f t="array" ref="N291">_xlfn.XLOOKUP(records_3[roomNo], database[roomNo], database[floor])</f>
        <v>Floor 3</v>
      </c>
      <c r="O291" s="50">
        <v>0.0</v>
      </c>
      <c r="P291" s="34" t="s">
        <v>2083</v>
      </c>
      <c r="Q291" s="39"/>
      <c r="R291" s="39"/>
      <c r="S291" s="43"/>
      <c r="T291" s="43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</row>
    <row r="292" ht="22.5" customHeight="1">
      <c r="A292" s="27">
        <v>46063.0</v>
      </c>
      <c r="B292" s="39" t="s">
        <v>1538</v>
      </c>
      <c r="C292" s="140"/>
      <c r="D292" s="36" t="s">
        <v>213</v>
      </c>
      <c r="E292" s="34" t="s">
        <v>292</v>
      </c>
      <c r="F292" s="34" t="s">
        <v>253</v>
      </c>
      <c r="G292" s="34" t="s">
        <v>1812</v>
      </c>
      <c r="H292" s="34" t="s">
        <v>336</v>
      </c>
      <c r="I292" s="34" t="s">
        <v>837</v>
      </c>
      <c r="J292" s="34" t="s">
        <v>1099</v>
      </c>
      <c r="K292" s="48">
        <v>46025.0</v>
      </c>
      <c r="L292" s="54" t="str">
        <f t="array" ref="L292">_xlfn.XLOOKUP(records_3[roomNo], database[roomNo], database[roomName])</f>
        <v>MFG 6 (UTILITY SKID ADAM)</v>
      </c>
      <c r="M292" s="56" t="str">
        <f t="array" ref="M292">_xlfn.XLOOKUP(records_3[roomNo], database[roomNo], database[building])</f>
        <v>Building 16</v>
      </c>
      <c r="N292" s="56" t="str">
        <f t="array" ref="N292">_xlfn.XLOOKUP(records_3[roomNo], database[roomNo], database[floor])</f>
        <v>Floor 3</v>
      </c>
      <c r="O292" s="50">
        <v>0.0</v>
      </c>
      <c r="P292" s="34" t="s">
        <v>2083</v>
      </c>
      <c r="Q292" s="39"/>
      <c r="R292" s="39"/>
      <c r="S292" s="43"/>
      <c r="T292" s="43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</row>
    <row r="293" ht="22.5" customHeight="1">
      <c r="A293" s="27">
        <v>46063.0</v>
      </c>
      <c r="B293" s="39" t="s">
        <v>1540</v>
      </c>
      <c r="C293" s="140"/>
      <c r="D293" s="36" t="s">
        <v>213</v>
      </c>
      <c r="E293" s="34" t="s">
        <v>381</v>
      </c>
      <c r="F293" s="34" t="s">
        <v>1859</v>
      </c>
      <c r="G293" s="34" t="s">
        <v>1812</v>
      </c>
      <c r="H293" s="34" t="s">
        <v>336</v>
      </c>
      <c r="I293" s="34" t="s">
        <v>837</v>
      </c>
      <c r="J293" s="34" t="s">
        <v>1099</v>
      </c>
      <c r="K293" s="48">
        <v>46025.0</v>
      </c>
      <c r="L293" s="54" t="str">
        <f t="array" ref="L293">_xlfn.XLOOKUP(records_3[roomNo], database[roomNo], database[roomName])</f>
        <v>CORRIDOR</v>
      </c>
      <c r="M293" s="56" t="str">
        <f t="array" ref="M293">_xlfn.XLOOKUP(records_3[roomNo], database[roomNo], database[building])</f>
        <v>Building 16</v>
      </c>
      <c r="N293" s="56" t="str">
        <f t="array" ref="N293">_xlfn.XLOOKUP(records_3[roomNo], database[roomNo], database[floor])</f>
        <v>Floor 3</v>
      </c>
      <c r="O293" s="50">
        <v>0.0</v>
      </c>
      <c r="P293" s="34" t="s">
        <v>2083</v>
      </c>
      <c r="Q293" s="39"/>
      <c r="R293" s="39"/>
      <c r="S293" s="43"/>
      <c r="T293" s="43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</row>
    <row r="294" ht="22.5" customHeight="1">
      <c r="A294" s="27">
        <v>46063.0</v>
      </c>
      <c r="B294" s="39" t="s">
        <v>1541</v>
      </c>
      <c r="C294" s="140"/>
      <c r="D294" s="36" t="s">
        <v>213</v>
      </c>
      <c r="E294" s="34" t="s">
        <v>339</v>
      </c>
      <c r="F294" s="34" t="s">
        <v>403</v>
      </c>
      <c r="G294" s="34" t="s">
        <v>2185</v>
      </c>
      <c r="H294" s="34" t="s">
        <v>336</v>
      </c>
      <c r="I294" s="34" t="s">
        <v>837</v>
      </c>
      <c r="J294" s="34" t="s">
        <v>1099</v>
      </c>
      <c r="K294" s="48">
        <v>46025.0</v>
      </c>
      <c r="L294" s="54" t="str">
        <f t="array" ref="L294">_xlfn.XLOOKUP(records_3[roomNo], database[roomNo], database[roomName])</f>
        <v>CORRIDOR</v>
      </c>
      <c r="M294" s="56" t="str">
        <f t="array" ref="M294">_xlfn.XLOOKUP(records_3[roomNo], database[roomNo], database[building])</f>
        <v>Building 16</v>
      </c>
      <c r="N294" s="56" t="str">
        <f t="array" ref="N294">_xlfn.XLOOKUP(records_3[roomNo], database[roomNo], database[floor])</f>
        <v>Floor 3</v>
      </c>
      <c r="O294" s="50">
        <v>0.0</v>
      </c>
      <c r="P294" s="34" t="s">
        <v>2083</v>
      </c>
      <c r="Q294" s="39"/>
      <c r="R294" s="39"/>
      <c r="S294" s="43"/>
      <c r="T294" s="43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</row>
    <row r="295" ht="22.5" customHeight="1">
      <c r="A295" s="27">
        <v>46063.0</v>
      </c>
      <c r="B295" s="39" t="s">
        <v>994</v>
      </c>
      <c r="C295" s="140"/>
      <c r="D295" s="36" t="s">
        <v>213</v>
      </c>
      <c r="E295" s="34" t="s">
        <v>366</v>
      </c>
      <c r="F295" s="34" t="s">
        <v>563</v>
      </c>
      <c r="G295" s="34" t="s">
        <v>829</v>
      </c>
      <c r="H295" s="34" t="s">
        <v>1984</v>
      </c>
      <c r="I295" s="34" t="s">
        <v>837</v>
      </c>
      <c r="J295" s="34" t="s">
        <v>1099</v>
      </c>
      <c r="K295" s="48">
        <v>46025.0</v>
      </c>
      <c r="L295" s="54" t="str">
        <f t="array" ref="L295">_xlfn.XLOOKUP(records_3[roomNo], database[roomNo], database[roomName])</f>
        <v>STAGING 6</v>
      </c>
      <c r="M295" s="56" t="str">
        <f t="array" ref="M295">_xlfn.XLOOKUP(records_3[roomNo], database[roomNo], database[building])</f>
        <v>Building 16</v>
      </c>
      <c r="N295" s="56" t="str">
        <f t="array" ref="N295">_xlfn.XLOOKUP(records_3[roomNo], database[roomNo], database[floor])</f>
        <v>Floor 3</v>
      </c>
      <c r="O295" s="50">
        <v>0.0</v>
      </c>
      <c r="P295" s="34" t="s">
        <v>2083</v>
      </c>
      <c r="Q295" s="39"/>
      <c r="R295" s="39"/>
      <c r="S295" s="43"/>
      <c r="T295" s="43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</row>
    <row r="296" ht="22.5" customHeight="1">
      <c r="A296" s="27">
        <v>46063.0</v>
      </c>
      <c r="B296" s="39" t="s">
        <v>1542</v>
      </c>
      <c r="C296" s="140"/>
      <c r="D296" s="36" t="s">
        <v>213</v>
      </c>
      <c r="E296" s="34" t="s">
        <v>435</v>
      </c>
      <c r="F296" s="34" t="s">
        <v>2101</v>
      </c>
      <c r="G296" s="34" t="s">
        <v>2195</v>
      </c>
      <c r="H296" s="34" t="s">
        <v>1984</v>
      </c>
      <c r="I296" s="34" t="s">
        <v>837</v>
      </c>
      <c r="J296" s="34" t="s">
        <v>1099</v>
      </c>
      <c r="K296" s="48">
        <v>46025.0</v>
      </c>
      <c r="L296" s="54" t="str">
        <f t="array" ref="L296">_xlfn.XLOOKUP(records_3[roomNo], database[roomNo], database[roomName])</f>
        <v>OFFICE</v>
      </c>
      <c r="M296" s="56" t="str">
        <f t="array" ref="M296">_xlfn.XLOOKUP(records_3[roomNo], database[roomNo], database[building])</f>
        <v>Building 16</v>
      </c>
      <c r="N296" s="56" t="str">
        <f t="array" ref="N296">_xlfn.XLOOKUP(records_3[roomNo], database[roomNo], database[floor])</f>
        <v>Floor 3</v>
      </c>
      <c r="O296" s="50">
        <v>0.0</v>
      </c>
      <c r="P296" s="34" t="s">
        <v>2083</v>
      </c>
      <c r="Q296" s="39"/>
      <c r="R296" s="39"/>
      <c r="S296" s="43"/>
      <c r="T296" s="43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</row>
    <row r="297" ht="22.5" customHeight="1">
      <c r="A297" s="27">
        <v>46063.0</v>
      </c>
      <c r="B297" s="39" t="s">
        <v>1543</v>
      </c>
      <c r="C297" s="140"/>
      <c r="D297" s="36" t="s">
        <v>213</v>
      </c>
      <c r="E297" s="34" t="s">
        <v>353</v>
      </c>
      <c r="F297" s="34" t="s">
        <v>284</v>
      </c>
      <c r="G297" s="34" t="s">
        <v>2185</v>
      </c>
      <c r="H297" s="34" t="s">
        <v>336</v>
      </c>
      <c r="I297" s="34" t="s">
        <v>837</v>
      </c>
      <c r="J297" s="34" t="s">
        <v>1099</v>
      </c>
      <c r="K297" s="48">
        <v>46025.0</v>
      </c>
      <c r="L297" s="54" t="str">
        <f t="array" ref="L297">_xlfn.XLOOKUP(records_3[roomNo], database[roomNo], database[roomName])</f>
        <v>AIRLOCK</v>
      </c>
      <c r="M297" s="56" t="str">
        <f t="array" ref="M297">_xlfn.XLOOKUP(records_3[roomNo], database[roomNo], database[building])</f>
        <v>Building 16</v>
      </c>
      <c r="N297" s="56" t="str">
        <f t="array" ref="N297">_xlfn.XLOOKUP(records_3[roomNo], database[roomNo], database[floor])</f>
        <v>Floor 3</v>
      </c>
      <c r="O297" s="50">
        <v>0.0</v>
      </c>
      <c r="P297" s="34" t="s">
        <v>2083</v>
      </c>
      <c r="Q297" s="39"/>
      <c r="R297" s="39"/>
      <c r="S297" s="43"/>
      <c r="T297" s="43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</row>
    <row r="298" ht="22.5" customHeight="1">
      <c r="A298" s="27">
        <v>46063.0</v>
      </c>
      <c r="B298" s="39" t="s">
        <v>996</v>
      </c>
      <c r="C298" s="140"/>
      <c r="D298" s="36" t="s">
        <v>213</v>
      </c>
      <c r="E298" s="34" t="s">
        <v>366</v>
      </c>
      <c r="F298" s="34" t="s">
        <v>485</v>
      </c>
      <c r="G298" s="34" t="s">
        <v>378</v>
      </c>
      <c r="H298" s="34" t="s">
        <v>650</v>
      </c>
      <c r="I298" s="34" t="s">
        <v>837</v>
      </c>
      <c r="J298" s="34" t="s">
        <v>1099</v>
      </c>
      <c r="K298" s="48">
        <v>46025.0</v>
      </c>
      <c r="L298" s="54" t="str">
        <f t="array" ref="L298">_xlfn.XLOOKUP(records_3[roomNo], database[roomNo], database[roomName])</f>
        <v>STAGING 5 (UTILITY SKID ADAM)</v>
      </c>
      <c r="M298" s="56" t="str">
        <f t="array" ref="M298">_xlfn.XLOOKUP(records_3[roomNo], database[roomNo], database[building])</f>
        <v>Building 16</v>
      </c>
      <c r="N298" s="56" t="str">
        <f t="array" ref="N298">_xlfn.XLOOKUP(records_3[roomNo], database[roomNo], database[floor])</f>
        <v>Floor 3</v>
      </c>
      <c r="O298" s="50">
        <v>0.0</v>
      </c>
      <c r="P298" s="34" t="s">
        <v>2083</v>
      </c>
      <c r="Q298" s="39"/>
      <c r="R298" s="39"/>
      <c r="S298" s="43"/>
      <c r="T298" s="43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</row>
    <row r="299" ht="22.5" customHeight="1">
      <c r="A299" s="27">
        <v>46063.0</v>
      </c>
      <c r="B299" s="39" t="s">
        <v>1544</v>
      </c>
      <c r="C299" s="140"/>
      <c r="D299" s="36" t="s">
        <v>213</v>
      </c>
      <c r="E299" s="34" t="s">
        <v>435</v>
      </c>
      <c r="F299" s="34" t="s">
        <v>1829</v>
      </c>
      <c r="G299" s="34" t="s">
        <v>785</v>
      </c>
      <c r="H299" s="34" t="s">
        <v>650</v>
      </c>
      <c r="I299" s="34" t="s">
        <v>837</v>
      </c>
      <c r="J299" s="34" t="s">
        <v>1099</v>
      </c>
      <c r="K299" s="48">
        <v>46025.0</v>
      </c>
      <c r="L299" s="54" t="str">
        <f t="array" ref="L299">_xlfn.XLOOKUP(records_3[roomNo], database[roomNo], database[roomName])</f>
        <v>IPQC</v>
      </c>
      <c r="M299" s="56" t="str">
        <f t="array" ref="M299">_xlfn.XLOOKUP(records_3[roomNo], database[roomNo], database[building])</f>
        <v>Building 16</v>
      </c>
      <c r="N299" s="56" t="str">
        <f t="array" ref="N299">_xlfn.XLOOKUP(records_3[roomNo], database[roomNo], database[floor])</f>
        <v>Floor 3</v>
      </c>
      <c r="O299" s="50">
        <v>0.0</v>
      </c>
      <c r="P299" s="34" t="s">
        <v>2083</v>
      </c>
      <c r="Q299" s="39"/>
      <c r="R299" s="39"/>
      <c r="S299" s="43"/>
      <c r="T299" s="43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</row>
    <row r="300" ht="22.5" customHeight="1">
      <c r="A300" s="27">
        <v>46063.0</v>
      </c>
      <c r="B300" s="39" t="s">
        <v>998</v>
      </c>
      <c r="C300" s="140"/>
      <c r="D300" s="36" t="s">
        <v>213</v>
      </c>
      <c r="E300" s="34" t="s">
        <v>428</v>
      </c>
      <c r="F300" s="34" t="s">
        <v>299</v>
      </c>
      <c r="G300" s="34" t="s">
        <v>261</v>
      </c>
      <c r="H300" s="34" t="s">
        <v>650</v>
      </c>
      <c r="I300" s="34" t="s">
        <v>837</v>
      </c>
      <c r="J300" s="34" t="s">
        <v>1099</v>
      </c>
      <c r="K300" s="48">
        <v>46025.0</v>
      </c>
      <c r="L300" s="54" t="str">
        <f t="array" ref="L300">_xlfn.XLOOKUP(records_3[roomNo], database[roomNo], database[roomName])</f>
        <v>CIP 3 (CIP SKID)</v>
      </c>
      <c r="M300" s="56" t="str">
        <f t="array" ref="M300">_xlfn.XLOOKUP(records_3[roomNo], database[roomNo], database[building])</f>
        <v>Building 16</v>
      </c>
      <c r="N300" s="56" t="str">
        <f t="array" ref="N300">_xlfn.XLOOKUP(records_3[roomNo], database[roomNo], database[floor])</f>
        <v>Floor 3</v>
      </c>
      <c r="O300" s="50">
        <v>0.0</v>
      </c>
      <c r="P300" s="34" t="s">
        <v>2083</v>
      </c>
      <c r="Q300" s="39"/>
      <c r="R300" s="39"/>
      <c r="S300" s="43"/>
      <c r="T300" s="43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</row>
    <row r="301" ht="22.5" customHeight="1">
      <c r="A301" s="27">
        <v>46063.0</v>
      </c>
      <c r="B301" s="39" t="s">
        <v>1000</v>
      </c>
      <c r="C301" s="140"/>
      <c r="D301" s="36" t="s">
        <v>213</v>
      </c>
      <c r="E301" s="34" t="s">
        <v>428</v>
      </c>
      <c r="F301" s="34" t="s">
        <v>1054</v>
      </c>
      <c r="G301" s="34" t="s">
        <v>820</v>
      </c>
      <c r="H301" s="34" t="s">
        <v>634</v>
      </c>
      <c r="I301" s="34" t="s">
        <v>837</v>
      </c>
      <c r="J301" s="34" t="s">
        <v>1099</v>
      </c>
      <c r="K301" s="48">
        <v>46025.0</v>
      </c>
      <c r="L301" s="54" t="str">
        <f t="array" ref="L301">_xlfn.XLOOKUP(records_3[roomNo], database[roomNo], database[roomName])</f>
        <v>STAGING 4 (UTILITY SKID ADAM)</v>
      </c>
      <c r="M301" s="56" t="str">
        <f t="array" ref="M301">_xlfn.XLOOKUP(records_3[roomNo], database[roomNo], database[building])</f>
        <v>Building 16</v>
      </c>
      <c r="N301" s="56" t="str">
        <f t="array" ref="N301">_xlfn.XLOOKUP(records_3[roomNo], database[roomNo], database[floor])</f>
        <v>Floor 3</v>
      </c>
      <c r="O301" s="50">
        <v>0.0</v>
      </c>
      <c r="P301" s="34" t="s">
        <v>2083</v>
      </c>
      <c r="Q301" s="39"/>
      <c r="R301" s="39"/>
      <c r="S301" s="43"/>
      <c r="T301" s="43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</row>
    <row r="302" ht="22.5" customHeight="1">
      <c r="A302" s="27">
        <v>46063.0</v>
      </c>
      <c r="B302" s="39" t="s">
        <v>1002</v>
      </c>
      <c r="C302" s="140"/>
      <c r="D302" s="36" t="s">
        <v>213</v>
      </c>
      <c r="E302" s="34" t="s">
        <v>292</v>
      </c>
      <c r="F302" s="34" t="s">
        <v>563</v>
      </c>
      <c r="G302" s="34" t="s">
        <v>664</v>
      </c>
      <c r="H302" s="34" t="s">
        <v>618</v>
      </c>
      <c r="I302" s="34" t="s">
        <v>837</v>
      </c>
      <c r="J302" s="34" t="s">
        <v>1099</v>
      </c>
      <c r="K302" s="48">
        <v>46025.0</v>
      </c>
      <c r="L302" s="54" t="str">
        <f t="array" ref="L302">_xlfn.XLOOKUP(records_3[roomNo], database[roomNo], database[roomName])</f>
        <v>CIP 2 (CIP SKID)</v>
      </c>
      <c r="M302" s="56" t="str">
        <f t="array" ref="M302">_xlfn.XLOOKUP(records_3[roomNo], database[roomNo], database[building])</f>
        <v>Building 16</v>
      </c>
      <c r="N302" s="56" t="str">
        <f t="array" ref="N302">_xlfn.XLOOKUP(records_3[roomNo], database[roomNo], database[floor])</f>
        <v>Floor 3</v>
      </c>
      <c r="O302" s="50">
        <v>0.0</v>
      </c>
      <c r="P302" s="34" t="s">
        <v>2083</v>
      </c>
      <c r="Q302" s="39"/>
      <c r="R302" s="39"/>
      <c r="S302" s="43"/>
      <c r="T302" s="43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</row>
    <row r="303" ht="22.5" customHeight="1">
      <c r="A303" s="27">
        <v>46063.0</v>
      </c>
      <c r="B303" s="39" t="s">
        <v>1003</v>
      </c>
      <c r="C303" s="140"/>
      <c r="D303" s="36" t="s">
        <v>213</v>
      </c>
      <c r="E303" s="34" t="s">
        <v>366</v>
      </c>
      <c r="F303" s="34" t="s">
        <v>563</v>
      </c>
      <c r="G303" s="34" t="s">
        <v>641</v>
      </c>
      <c r="H303" s="34" t="s">
        <v>618</v>
      </c>
      <c r="I303" s="34" t="s">
        <v>837</v>
      </c>
      <c r="J303" s="34" t="s">
        <v>1099</v>
      </c>
      <c r="K303" s="48">
        <v>46025.0</v>
      </c>
      <c r="L303" s="54" t="str">
        <f t="array" ref="L303">_xlfn.XLOOKUP(records_3[roomNo], database[roomNo], database[roomName])</f>
        <v>STAGING 3 (UTILITY SKID ADAM)</v>
      </c>
      <c r="M303" s="56" t="str">
        <f t="array" ref="M303">_xlfn.XLOOKUP(records_3[roomNo], database[roomNo], database[building])</f>
        <v>Building 16</v>
      </c>
      <c r="N303" s="56" t="str">
        <f t="array" ref="N303">_xlfn.XLOOKUP(records_3[roomNo], database[roomNo], database[floor])</f>
        <v>Floor 3</v>
      </c>
      <c r="O303" s="50">
        <v>0.0</v>
      </c>
      <c r="P303" s="34" t="s">
        <v>2083</v>
      </c>
      <c r="Q303" s="39"/>
      <c r="R303" s="39"/>
      <c r="S303" s="43"/>
      <c r="T303" s="43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</row>
    <row r="304" ht="22.5" customHeight="1">
      <c r="A304" s="27">
        <v>46063.0</v>
      </c>
      <c r="B304" s="39" t="s">
        <v>1545</v>
      </c>
      <c r="C304" s="140"/>
      <c r="D304" s="36" t="s">
        <v>213</v>
      </c>
      <c r="E304" s="34" t="s">
        <v>569</v>
      </c>
      <c r="F304" s="34" t="s">
        <v>1921</v>
      </c>
      <c r="G304" s="34" t="s">
        <v>617</v>
      </c>
      <c r="H304" s="34" t="s">
        <v>691</v>
      </c>
      <c r="I304" s="34" t="s">
        <v>837</v>
      </c>
      <c r="J304" s="34" t="s">
        <v>1099</v>
      </c>
      <c r="K304" s="48">
        <v>46025.0</v>
      </c>
      <c r="L304" s="54" t="str">
        <f t="array" ref="L304">_xlfn.XLOOKUP(records_3[roomNo], database[roomNo], database[roomName])</f>
        <v>STAGING 2</v>
      </c>
      <c r="M304" s="56" t="str">
        <f t="array" ref="M304">_xlfn.XLOOKUP(records_3[roomNo], database[roomNo], database[building])</f>
        <v>Building 16</v>
      </c>
      <c r="N304" s="56" t="str">
        <f t="array" ref="N304">_xlfn.XLOOKUP(records_3[roomNo], database[roomNo], database[floor])</f>
        <v>Floor 3</v>
      </c>
      <c r="O304" s="50">
        <v>0.0</v>
      </c>
      <c r="P304" s="34" t="s">
        <v>2083</v>
      </c>
      <c r="Q304" s="39"/>
      <c r="R304" s="39"/>
      <c r="S304" s="43"/>
      <c r="T304" s="43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</row>
    <row r="305" ht="22.5" customHeight="1">
      <c r="A305" s="27">
        <v>46063.0</v>
      </c>
      <c r="B305" s="39" t="s">
        <v>1004</v>
      </c>
      <c r="C305" s="140"/>
      <c r="D305" s="36" t="s">
        <v>213</v>
      </c>
      <c r="E305" s="34" t="s">
        <v>428</v>
      </c>
      <c r="F305" s="34" t="s">
        <v>2092</v>
      </c>
      <c r="G305" s="34" t="s">
        <v>743</v>
      </c>
      <c r="H305" s="34" t="s">
        <v>691</v>
      </c>
      <c r="I305" s="34" t="s">
        <v>837</v>
      </c>
      <c r="J305" s="34" t="s">
        <v>1099</v>
      </c>
      <c r="K305" s="48">
        <v>46025.0</v>
      </c>
      <c r="L305" s="54" t="str">
        <f t="array" ref="L305">_xlfn.XLOOKUP(records_3[roomNo], database[roomNo], database[roomName])</f>
        <v>CIP 1 (CIP SKID)</v>
      </c>
      <c r="M305" s="56" t="str">
        <f t="array" ref="M305">_xlfn.XLOOKUP(records_3[roomNo], database[roomNo], database[building])</f>
        <v>Building 16</v>
      </c>
      <c r="N305" s="56" t="str">
        <f t="array" ref="N305">_xlfn.XLOOKUP(records_3[roomNo], database[roomNo], database[floor])</f>
        <v>Floor 3</v>
      </c>
      <c r="O305" s="50">
        <v>3.0</v>
      </c>
      <c r="P305" s="34" t="s">
        <v>2083</v>
      </c>
      <c r="Q305" s="39"/>
      <c r="R305" s="39"/>
      <c r="S305" s="43"/>
      <c r="T305" s="43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</row>
    <row r="306" ht="22.5" customHeight="1">
      <c r="A306" s="27">
        <v>46063.0</v>
      </c>
      <c r="B306" s="39" t="s">
        <v>1007</v>
      </c>
      <c r="C306" s="140"/>
      <c r="D306" s="36" t="s">
        <v>213</v>
      </c>
      <c r="E306" s="34" t="s">
        <v>310</v>
      </c>
      <c r="F306" s="34" t="s">
        <v>2158</v>
      </c>
      <c r="G306" s="34" t="s">
        <v>727</v>
      </c>
      <c r="H306" s="34" t="s">
        <v>713</v>
      </c>
      <c r="I306" s="34" t="s">
        <v>837</v>
      </c>
      <c r="J306" s="34" t="s">
        <v>1099</v>
      </c>
      <c r="K306" s="48">
        <v>46025.0</v>
      </c>
      <c r="L306" s="54" t="str">
        <f t="array" ref="L306">_xlfn.XLOOKUP(records_3[roomNo], database[roomNo], database[roomName])</f>
        <v>STAGING 1 (UTILITY SKID ADAM)</v>
      </c>
      <c r="M306" s="56" t="str">
        <f t="array" ref="M306">_xlfn.XLOOKUP(records_3[roomNo], database[roomNo], database[building])</f>
        <v>Building 16</v>
      </c>
      <c r="N306" s="56" t="str">
        <f t="array" ref="N306">_xlfn.XLOOKUP(records_3[roomNo], database[roomNo], database[floor])</f>
        <v>Floor 3</v>
      </c>
      <c r="O306" s="50">
        <v>0.0</v>
      </c>
      <c r="P306" s="34" t="s">
        <v>2083</v>
      </c>
      <c r="Q306" s="39"/>
      <c r="R306" s="39"/>
      <c r="S306" s="43"/>
      <c r="T306" s="43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</row>
    <row r="307" ht="22.5" customHeight="1">
      <c r="A307" s="27">
        <v>46063.0</v>
      </c>
      <c r="B307" s="39" t="s">
        <v>1547</v>
      </c>
      <c r="C307" s="140"/>
      <c r="D307" s="36" t="s">
        <v>213</v>
      </c>
      <c r="E307" s="34" t="s">
        <v>1546</v>
      </c>
      <c r="F307" s="34" t="s">
        <v>2012</v>
      </c>
      <c r="G307" s="34" t="s">
        <v>723</v>
      </c>
      <c r="H307" s="34" t="s">
        <v>713</v>
      </c>
      <c r="I307" s="34" t="s">
        <v>837</v>
      </c>
      <c r="J307" s="34" t="s">
        <v>1099</v>
      </c>
      <c r="K307" s="48">
        <v>46025.0</v>
      </c>
      <c r="L307" s="54" t="str">
        <f t="array" ref="L307">_xlfn.XLOOKUP(records_3[roomNo], database[roomNo], database[roomName])</f>
        <v>AIRLOCK</v>
      </c>
      <c r="M307" s="56" t="str">
        <f t="array" ref="M307">_xlfn.XLOOKUP(records_3[roomNo], database[roomNo], database[building])</f>
        <v>Building 16</v>
      </c>
      <c r="N307" s="56" t="str">
        <f t="array" ref="N307">_xlfn.XLOOKUP(records_3[roomNo], database[roomNo], database[floor])</f>
        <v>Floor 3</v>
      </c>
      <c r="O307" s="50">
        <v>0.0</v>
      </c>
      <c r="P307" s="34" t="s">
        <v>2083</v>
      </c>
      <c r="Q307" s="39"/>
      <c r="R307" s="39"/>
      <c r="S307" s="43"/>
      <c r="T307" s="43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</row>
    <row r="308" ht="22.5" customHeight="1">
      <c r="A308" s="27">
        <v>46063.0</v>
      </c>
      <c r="B308" s="39" t="s">
        <v>1009</v>
      </c>
      <c r="C308" s="140"/>
      <c r="D308" s="36" t="s">
        <v>213</v>
      </c>
      <c r="E308" s="34" t="s">
        <v>787</v>
      </c>
      <c r="F308" s="34" t="s">
        <v>1857</v>
      </c>
      <c r="G308" s="34" t="s">
        <v>723</v>
      </c>
      <c r="H308" s="34" t="s">
        <v>713</v>
      </c>
      <c r="I308" s="34" t="s">
        <v>837</v>
      </c>
      <c r="J308" s="34" t="s">
        <v>1099</v>
      </c>
      <c r="K308" s="48">
        <v>46025.0</v>
      </c>
      <c r="L308" s="54" t="str">
        <f t="array" ref="L308">_xlfn.XLOOKUP(records_3[roomNo], database[roomNo], database[roomName])</f>
        <v>PPM CLEANING</v>
      </c>
      <c r="M308" s="56" t="str">
        <f t="array" ref="M308">_xlfn.XLOOKUP(records_3[roomNo], database[roomNo], database[building])</f>
        <v>Building 16</v>
      </c>
      <c r="N308" s="56" t="str">
        <f t="array" ref="N308">_xlfn.XLOOKUP(records_3[roomNo], database[roomNo], database[floor])</f>
        <v>Floor 3</v>
      </c>
      <c r="O308" s="50">
        <v>1.0</v>
      </c>
      <c r="P308" s="34" t="s">
        <v>2083</v>
      </c>
      <c r="Q308" s="39"/>
      <c r="R308" s="39"/>
      <c r="S308" s="43"/>
      <c r="T308" s="43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</row>
    <row r="309" ht="22.5" customHeight="1">
      <c r="A309" s="27">
        <v>46063.0</v>
      </c>
      <c r="B309" s="39" t="s">
        <v>1548</v>
      </c>
      <c r="C309" s="140"/>
      <c r="D309" s="36" t="s">
        <v>213</v>
      </c>
      <c r="E309" s="34" t="s">
        <v>377</v>
      </c>
      <c r="F309" s="34" t="s">
        <v>2158</v>
      </c>
      <c r="G309" s="34" t="s">
        <v>723</v>
      </c>
      <c r="H309" s="34" t="s">
        <v>713</v>
      </c>
      <c r="I309" s="34" t="s">
        <v>837</v>
      </c>
      <c r="J309" s="34" t="s">
        <v>1099</v>
      </c>
      <c r="K309" s="48">
        <v>46025.0</v>
      </c>
      <c r="L309" s="54" t="str">
        <f t="array" ref="L309">_xlfn.XLOOKUP(records_3[roomNo], database[roomNo], database[roomName])</f>
        <v>PPM STORAGE</v>
      </c>
      <c r="M309" s="56" t="str">
        <f t="array" ref="M309">_xlfn.XLOOKUP(records_3[roomNo], database[roomNo], database[building])</f>
        <v>Building 16</v>
      </c>
      <c r="N309" s="56" t="str">
        <f t="array" ref="N309">_xlfn.XLOOKUP(records_3[roomNo], database[roomNo], database[floor])</f>
        <v>Floor 3</v>
      </c>
      <c r="O309" s="50">
        <v>0.0</v>
      </c>
      <c r="P309" s="34" t="s">
        <v>2083</v>
      </c>
      <c r="Q309" s="39"/>
      <c r="R309" s="39"/>
      <c r="S309" s="43"/>
      <c r="T309" s="43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</row>
    <row r="310" ht="22.5" customHeight="1">
      <c r="A310" s="27">
        <v>46063.0</v>
      </c>
      <c r="B310" s="39" t="s">
        <v>1550</v>
      </c>
      <c r="C310" s="140"/>
      <c r="D310" s="36" t="s">
        <v>213</v>
      </c>
      <c r="E310" s="34" t="s">
        <v>402</v>
      </c>
      <c r="F310" s="34" t="s">
        <v>1754</v>
      </c>
      <c r="G310" s="34" t="s">
        <v>617</v>
      </c>
      <c r="H310" s="34" t="s">
        <v>691</v>
      </c>
      <c r="I310" s="34" t="s">
        <v>837</v>
      </c>
      <c r="J310" s="34" t="s">
        <v>1099</v>
      </c>
      <c r="K310" s="48">
        <v>46025.0</v>
      </c>
      <c r="L310" s="54" t="str">
        <f t="array" ref="L310">_xlfn.XLOOKUP(records_3[roomNo], database[roomNo], database[roomName])</f>
        <v>AIRLOCK</v>
      </c>
      <c r="M310" s="56" t="str">
        <f t="array" ref="M310">_xlfn.XLOOKUP(records_3[roomNo], database[roomNo], database[building])</f>
        <v>Building 16</v>
      </c>
      <c r="N310" s="56" t="str">
        <f t="array" ref="N310">_xlfn.XLOOKUP(records_3[roomNo], database[roomNo], database[floor])</f>
        <v>Floor 3</v>
      </c>
      <c r="O310" s="50">
        <v>0.0</v>
      </c>
      <c r="P310" s="34" t="s">
        <v>2083</v>
      </c>
      <c r="Q310" s="39"/>
      <c r="R310" s="39"/>
      <c r="S310" s="43"/>
      <c r="T310" s="43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</row>
    <row r="311" ht="22.5" customHeight="1">
      <c r="A311" s="27">
        <v>46063.0</v>
      </c>
      <c r="B311" s="39" t="s">
        <v>1014</v>
      </c>
      <c r="C311" s="140"/>
      <c r="D311" s="36" t="s">
        <v>213</v>
      </c>
      <c r="E311" s="34" t="s">
        <v>402</v>
      </c>
      <c r="F311" s="34" t="s">
        <v>1095</v>
      </c>
      <c r="G311" s="34" t="s">
        <v>690</v>
      </c>
      <c r="H311" s="34" t="s">
        <v>691</v>
      </c>
      <c r="I311" s="34" t="s">
        <v>837</v>
      </c>
      <c r="J311" s="34" t="s">
        <v>1099</v>
      </c>
      <c r="K311" s="48">
        <v>46025.0</v>
      </c>
      <c r="L311" s="54" t="str">
        <f t="array" ref="L311">_xlfn.XLOOKUP(records_3[roomNo], database[roomNo], database[roomName])</f>
        <v>FILLING 1 (IWKA FILLING LINE)</v>
      </c>
      <c r="M311" s="56" t="str">
        <f t="array" ref="M311">_xlfn.XLOOKUP(records_3[roomNo], database[roomNo], database[building])</f>
        <v>Building 16</v>
      </c>
      <c r="N311" s="56" t="str">
        <f t="array" ref="N311">_xlfn.XLOOKUP(records_3[roomNo], database[roomNo], database[floor])</f>
        <v>Floor 3</v>
      </c>
      <c r="O311" s="50">
        <v>0.0</v>
      </c>
      <c r="P311" s="34" t="s">
        <v>2083</v>
      </c>
      <c r="Q311" s="39"/>
      <c r="R311" s="39"/>
      <c r="S311" s="43"/>
      <c r="T311" s="43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</row>
    <row r="312" ht="22.5" customHeight="1">
      <c r="A312" s="27">
        <v>46063.0</v>
      </c>
      <c r="B312" s="39" t="s">
        <v>1551</v>
      </c>
      <c r="C312" s="140"/>
      <c r="D312" s="36" t="s">
        <v>213</v>
      </c>
      <c r="E312" s="34" t="s">
        <v>292</v>
      </c>
      <c r="F312" s="34" t="s">
        <v>788</v>
      </c>
      <c r="G312" s="34" t="s">
        <v>641</v>
      </c>
      <c r="H312" s="34" t="s">
        <v>618</v>
      </c>
      <c r="I312" s="34" t="s">
        <v>837</v>
      </c>
      <c r="J312" s="34" t="s">
        <v>1099</v>
      </c>
      <c r="K312" s="48">
        <v>46025.0</v>
      </c>
      <c r="L312" s="54" t="str">
        <f t="array" ref="L312">_xlfn.XLOOKUP(records_3[roomNo], database[roomNo], database[roomName])</f>
        <v>JANITOR</v>
      </c>
      <c r="M312" s="56" t="str">
        <f t="array" ref="M312">_xlfn.XLOOKUP(records_3[roomNo], database[roomNo], database[building])</f>
        <v>Building 16</v>
      </c>
      <c r="N312" s="56" t="str">
        <f t="array" ref="N312">_xlfn.XLOOKUP(records_3[roomNo], database[roomNo], database[floor])</f>
        <v>Floor 3</v>
      </c>
      <c r="O312" s="50">
        <v>0.0</v>
      </c>
      <c r="P312" s="34" t="s">
        <v>2083</v>
      </c>
      <c r="Q312" s="39"/>
      <c r="R312" s="39"/>
      <c r="S312" s="43"/>
      <c r="T312" s="43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</row>
    <row r="313" ht="22.5" customHeight="1">
      <c r="A313" s="27">
        <v>46063.0</v>
      </c>
      <c r="B313" s="39" t="s">
        <v>1552</v>
      </c>
      <c r="C313" s="140"/>
      <c r="D313" s="36" t="s">
        <v>213</v>
      </c>
      <c r="E313" s="34" t="s">
        <v>396</v>
      </c>
      <c r="F313" s="34" t="s">
        <v>2080</v>
      </c>
      <c r="G313" s="34" t="s">
        <v>658</v>
      </c>
      <c r="H313" s="34" t="s">
        <v>618</v>
      </c>
      <c r="I313" s="34" t="s">
        <v>837</v>
      </c>
      <c r="J313" s="34" t="s">
        <v>1099</v>
      </c>
      <c r="K313" s="48">
        <v>46025.0</v>
      </c>
      <c r="L313" s="54" t="str">
        <f t="array" ref="L313">_xlfn.XLOOKUP(records_3[roomNo], database[roomNo], database[roomName])</f>
        <v>AIRLOCK</v>
      </c>
      <c r="M313" s="56" t="str">
        <f t="array" ref="M313">_xlfn.XLOOKUP(records_3[roomNo], database[roomNo], database[building])</f>
        <v>Building 16</v>
      </c>
      <c r="N313" s="56" t="str">
        <f t="array" ref="N313">_xlfn.XLOOKUP(records_3[roomNo], database[roomNo], database[floor])</f>
        <v>Floor 3</v>
      </c>
      <c r="O313" s="50">
        <v>0.0</v>
      </c>
      <c r="P313" s="34" t="s">
        <v>2083</v>
      </c>
      <c r="Q313" s="39"/>
      <c r="R313" s="39"/>
      <c r="S313" s="43"/>
      <c r="T313" s="43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</row>
    <row r="314" ht="22.5" customHeight="1">
      <c r="A314" s="27">
        <v>46063.0</v>
      </c>
      <c r="B314" s="39" t="s">
        <v>1553</v>
      </c>
      <c r="C314" s="140"/>
      <c r="D314" s="36" t="s">
        <v>213</v>
      </c>
      <c r="E314" s="34" t="s">
        <v>396</v>
      </c>
      <c r="F314" s="34" t="s">
        <v>1791</v>
      </c>
      <c r="G314" s="34" t="s">
        <v>658</v>
      </c>
      <c r="H314" s="34" t="s">
        <v>618</v>
      </c>
      <c r="I314" s="34" t="s">
        <v>837</v>
      </c>
      <c r="J314" s="34" t="s">
        <v>1099</v>
      </c>
      <c r="K314" s="48">
        <v>46025.0</v>
      </c>
      <c r="L314" s="54" t="str">
        <f t="array" ref="L314">_xlfn.XLOOKUP(records_3[roomNo], database[roomNo], database[roomName])</f>
        <v>FILLING 1</v>
      </c>
      <c r="M314" s="56" t="str">
        <f t="array" ref="M314">_xlfn.XLOOKUP(records_3[roomNo], database[roomNo], database[building])</f>
        <v>Building 16</v>
      </c>
      <c r="N314" s="56" t="str">
        <f t="array" ref="N314">_xlfn.XLOOKUP(records_3[roomNo], database[roomNo], database[floor])</f>
        <v>Floor 3</v>
      </c>
      <c r="O314" s="50">
        <v>0.0</v>
      </c>
      <c r="P314" s="34" t="s">
        <v>2083</v>
      </c>
      <c r="Q314" s="39"/>
      <c r="R314" s="39"/>
      <c r="S314" s="43"/>
      <c r="T314" s="43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</row>
    <row r="315" ht="22.5" customHeight="1">
      <c r="A315" s="27">
        <v>46063.0</v>
      </c>
      <c r="B315" s="39" t="s">
        <v>1554</v>
      </c>
      <c r="C315" s="140"/>
      <c r="D315" s="36" t="s">
        <v>213</v>
      </c>
      <c r="E315" s="34" t="s">
        <v>2100</v>
      </c>
      <c r="F315" s="34" t="s">
        <v>526</v>
      </c>
      <c r="G315" s="34" t="s">
        <v>677</v>
      </c>
      <c r="H315" s="34" t="s">
        <v>634</v>
      </c>
      <c r="I315" s="34" t="s">
        <v>837</v>
      </c>
      <c r="J315" s="34" t="s">
        <v>1099</v>
      </c>
      <c r="K315" s="48">
        <v>46025.0</v>
      </c>
      <c r="L315" s="54" t="str">
        <f t="array" ref="L315">_xlfn.XLOOKUP(records_3[roomNo], database[roomNo], database[roomName])</f>
        <v>AIRLOCK</v>
      </c>
      <c r="M315" s="56" t="str">
        <f t="array" ref="M315">_xlfn.XLOOKUP(records_3[roomNo], database[roomNo], database[building])</f>
        <v>Building 16</v>
      </c>
      <c r="N315" s="56" t="str">
        <f t="array" ref="N315">_xlfn.XLOOKUP(records_3[roomNo], database[roomNo], database[floor])</f>
        <v>Floor 3</v>
      </c>
      <c r="O315" s="50">
        <v>0.0</v>
      </c>
      <c r="P315" s="34" t="s">
        <v>2083</v>
      </c>
      <c r="Q315" s="39"/>
      <c r="R315" s="39"/>
      <c r="S315" s="43"/>
      <c r="T315" s="43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</row>
    <row r="316" ht="22.5" customHeight="1">
      <c r="A316" s="27">
        <v>46063.0</v>
      </c>
      <c r="B316" s="39" t="s">
        <v>1555</v>
      </c>
      <c r="C316" s="140"/>
      <c r="D316" s="36" t="s">
        <v>213</v>
      </c>
      <c r="E316" s="34" t="s">
        <v>591</v>
      </c>
      <c r="F316" s="34" t="s">
        <v>477</v>
      </c>
      <c r="G316" s="34" t="s">
        <v>664</v>
      </c>
      <c r="H316" s="34" t="s">
        <v>634</v>
      </c>
      <c r="I316" s="34" t="s">
        <v>837</v>
      </c>
      <c r="J316" s="34" t="s">
        <v>1099</v>
      </c>
      <c r="K316" s="48">
        <v>46025.0</v>
      </c>
      <c r="L316" s="54" t="str">
        <f t="array" ref="L316">_xlfn.XLOOKUP(records_3[roomNo], database[roomNo], database[roomName])</f>
        <v>FILLING 3</v>
      </c>
      <c r="M316" s="56" t="str">
        <f t="array" ref="M316">_xlfn.XLOOKUP(records_3[roomNo], database[roomNo], database[building])</f>
        <v>Building 16</v>
      </c>
      <c r="N316" s="56" t="str">
        <f t="array" ref="N316">_xlfn.XLOOKUP(records_3[roomNo], database[roomNo], database[floor])</f>
        <v>Floor 3</v>
      </c>
      <c r="O316" s="50">
        <v>0.0</v>
      </c>
      <c r="P316" s="34" t="s">
        <v>2083</v>
      </c>
      <c r="Q316" s="39"/>
      <c r="R316" s="39"/>
      <c r="S316" s="43"/>
      <c r="T316" s="43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</row>
    <row r="317" ht="22.5" customHeight="1">
      <c r="A317" s="27">
        <v>46063.0</v>
      </c>
      <c r="B317" s="39" t="s">
        <v>1557</v>
      </c>
      <c r="C317" s="140"/>
      <c r="D317" s="36" t="s">
        <v>213</v>
      </c>
      <c r="E317" s="34" t="s">
        <v>591</v>
      </c>
      <c r="F317" s="34" t="s">
        <v>2236</v>
      </c>
      <c r="G317" s="34" t="s">
        <v>261</v>
      </c>
      <c r="H317" s="34" t="s">
        <v>650</v>
      </c>
      <c r="I317" s="34" t="s">
        <v>837</v>
      </c>
      <c r="J317" s="34" t="s">
        <v>1099</v>
      </c>
      <c r="K317" s="48">
        <v>46025.0</v>
      </c>
      <c r="L317" s="54" t="str">
        <f t="array" ref="L317">_xlfn.XLOOKUP(records_3[roomNo], database[roomNo], database[roomName])</f>
        <v>AIRLOCK</v>
      </c>
      <c r="M317" s="56" t="str">
        <f t="array" ref="M317">_xlfn.XLOOKUP(records_3[roomNo], database[roomNo], database[building])</f>
        <v>Building 16</v>
      </c>
      <c r="N317" s="56" t="str">
        <f t="array" ref="N317">_xlfn.XLOOKUP(records_3[roomNo], database[roomNo], database[floor])</f>
        <v>Floor 3</v>
      </c>
      <c r="O317" s="50">
        <v>0.0</v>
      </c>
      <c r="P317" s="34" t="s">
        <v>2083</v>
      </c>
      <c r="Q317" s="39"/>
      <c r="R317" s="39"/>
      <c r="S317" s="43"/>
      <c r="T317" s="43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</row>
    <row r="318" ht="22.5" customHeight="1">
      <c r="A318" s="27">
        <v>46063.0</v>
      </c>
      <c r="B318" s="39" t="s">
        <v>1558</v>
      </c>
      <c r="C318" s="140"/>
      <c r="D318" s="36" t="s">
        <v>213</v>
      </c>
      <c r="E318" s="34" t="s">
        <v>599</v>
      </c>
      <c r="F318" s="34" t="s">
        <v>429</v>
      </c>
      <c r="G318" s="34" t="s">
        <v>261</v>
      </c>
      <c r="H318" s="34" t="s">
        <v>634</v>
      </c>
      <c r="I318" s="34" t="s">
        <v>837</v>
      </c>
      <c r="J318" s="34" t="s">
        <v>1099</v>
      </c>
      <c r="K318" s="48">
        <v>46025.0</v>
      </c>
      <c r="L318" s="54" t="str">
        <f t="array" ref="L318">_xlfn.XLOOKUP(records_3[roomNo], database[roomNo], database[roomName])</f>
        <v>FILLING 4</v>
      </c>
      <c r="M318" s="56" t="str">
        <f t="array" ref="M318">_xlfn.XLOOKUP(records_3[roomNo], database[roomNo], database[building])</f>
        <v>Building 16</v>
      </c>
      <c r="N318" s="56" t="str">
        <f t="array" ref="N318">_xlfn.XLOOKUP(records_3[roomNo], database[roomNo], database[floor])</f>
        <v>Floor 3</v>
      </c>
      <c r="O318" s="50">
        <v>0.0</v>
      </c>
      <c r="P318" s="34" t="s">
        <v>2083</v>
      </c>
      <c r="Q318" s="39"/>
      <c r="R318" s="39"/>
      <c r="S318" s="43"/>
      <c r="T318" s="43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</row>
    <row r="319" ht="22.5" customHeight="1">
      <c r="A319" s="27">
        <v>46063.0</v>
      </c>
      <c r="B319" s="39" t="s">
        <v>1560</v>
      </c>
      <c r="C319" s="140"/>
      <c r="D319" s="36" t="s">
        <v>213</v>
      </c>
      <c r="E319" s="34" t="s">
        <v>539</v>
      </c>
      <c r="F319" s="34" t="s">
        <v>1072</v>
      </c>
      <c r="G319" s="34" t="s">
        <v>319</v>
      </c>
      <c r="H319" s="34" t="s">
        <v>650</v>
      </c>
      <c r="I319" s="34" t="s">
        <v>837</v>
      </c>
      <c r="J319" s="34" t="s">
        <v>1099</v>
      </c>
      <c r="K319" s="48">
        <v>46025.0</v>
      </c>
      <c r="L319" s="54" t="str">
        <f t="array" ref="L319">_xlfn.XLOOKUP(records_3[roomNo], database[roomNo], database[roomName])</f>
        <v>AIRLOCK</v>
      </c>
      <c r="M319" s="56" t="str">
        <f t="array" ref="M319">_xlfn.XLOOKUP(records_3[roomNo], database[roomNo], database[building])</f>
        <v>Building 16</v>
      </c>
      <c r="N319" s="56" t="str">
        <f t="array" ref="N319">_xlfn.XLOOKUP(records_3[roomNo], database[roomNo], database[floor])</f>
        <v>Floor 3</v>
      </c>
      <c r="O319" s="50">
        <v>0.0</v>
      </c>
      <c r="P319" s="34" t="s">
        <v>2083</v>
      </c>
      <c r="Q319" s="39"/>
      <c r="R319" s="39"/>
      <c r="S319" s="43"/>
      <c r="T319" s="43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</row>
    <row r="320" ht="22.5" customHeight="1">
      <c r="A320" s="27">
        <v>46063.0</v>
      </c>
      <c r="B320" s="39" t="s">
        <v>1561</v>
      </c>
      <c r="C320" s="140"/>
      <c r="D320" s="36" t="s">
        <v>213</v>
      </c>
      <c r="E320" s="34" t="s">
        <v>696</v>
      </c>
      <c r="F320" s="34" t="s">
        <v>311</v>
      </c>
      <c r="G320" s="34" t="s">
        <v>332</v>
      </c>
      <c r="H320" s="34" t="s">
        <v>650</v>
      </c>
      <c r="I320" s="34" t="s">
        <v>837</v>
      </c>
      <c r="J320" s="34" t="s">
        <v>1099</v>
      </c>
      <c r="K320" s="48">
        <v>46025.0</v>
      </c>
      <c r="L320" s="54" t="str">
        <f t="array" ref="L320">_xlfn.XLOOKUP(records_3[roomNo], database[roomNo], database[roomName])</f>
        <v>FILLING 5</v>
      </c>
      <c r="M320" s="56" t="str">
        <f t="array" ref="M320">_xlfn.XLOOKUP(records_3[roomNo], database[roomNo], database[building])</f>
        <v>Building 16</v>
      </c>
      <c r="N320" s="56" t="str">
        <f t="array" ref="N320">_xlfn.XLOOKUP(records_3[roomNo], database[roomNo], database[floor])</f>
        <v>Floor 3</v>
      </c>
      <c r="O320" s="50">
        <v>0.0</v>
      </c>
      <c r="P320" s="34" t="s">
        <v>2083</v>
      </c>
      <c r="Q320" s="39"/>
      <c r="R320" s="39"/>
      <c r="S320" s="43"/>
      <c r="T320" s="43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</row>
    <row r="321" ht="22.5" customHeight="1">
      <c r="A321" s="27">
        <v>46063.0</v>
      </c>
      <c r="B321" s="39" t="s">
        <v>1563</v>
      </c>
      <c r="C321" s="140"/>
      <c r="D321" s="36" t="s">
        <v>213</v>
      </c>
      <c r="E321" s="34" t="s">
        <v>591</v>
      </c>
      <c r="F321" s="34" t="s">
        <v>403</v>
      </c>
      <c r="G321" s="34" t="s">
        <v>829</v>
      </c>
      <c r="H321" s="34" t="s">
        <v>1984</v>
      </c>
      <c r="I321" s="34" t="s">
        <v>837</v>
      </c>
      <c r="J321" s="34" t="s">
        <v>1099</v>
      </c>
      <c r="K321" s="48">
        <v>46025.0</v>
      </c>
      <c r="L321" s="54" t="str">
        <f t="array" ref="L321">_xlfn.XLOOKUP(records_3[roomNo], database[roomNo], database[roomName])</f>
        <v>AIRLOCK</v>
      </c>
      <c r="M321" s="56" t="str">
        <f t="array" ref="M321">_xlfn.XLOOKUP(records_3[roomNo], database[roomNo], database[building])</f>
        <v>Building 16</v>
      </c>
      <c r="N321" s="56" t="str">
        <f t="array" ref="N321">_xlfn.XLOOKUP(records_3[roomNo], database[roomNo], database[floor])</f>
        <v>Floor 3</v>
      </c>
      <c r="O321" s="50">
        <v>0.0</v>
      </c>
      <c r="P321" s="34" t="s">
        <v>2083</v>
      </c>
      <c r="Q321" s="39"/>
      <c r="R321" s="39"/>
      <c r="S321" s="43"/>
      <c r="T321" s="43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</row>
    <row r="322" ht="22.5" customHeight="1">
      <c r="A322" s="27">
        <v>46063.0</v>
      </c>
      <c r="B322" s="39" t="s">
        <v>1564</v>
      </c>
      <c r="C322" s="140"/>
      <c r="D322" s="36" t="s">
        <v>213</v>
      </c>
      <c r="E322" s="34" t="s">
        <v>696</v>
      </c>
      <c r="F322" s="34" t="s">
        <v>407</v>
      </c>
      <c r="G322" s="34" t="s">
        <v>378</v>
      </c>
      <c r="H322" s="34" t="s">
        <v>1984</v>
      </c>
      <c r="I322" s="34" t="s">
        <v>837</v>
      </c>
      <c r="J322" s="34" t="s">
        <v>1099</v>
      </c>
      <c r="K322" s="48">
        <v>46025.0</v>
      </c>
      <c r="L322" s="54" t="str">
        <f t="array" ref="L322">_xlfn.XLOOKUP(records_3[roomNo], database[roomNo], database[roomName])</f>
        <v>FILLING 6</v>
      </c>
      <c r="M322" s="56" t="str">
        <f t="array" ref="M322">_xlfn.XLOOKUP(records_3[roomNo], database[roomNo], database[building])</f>
        <v>Building 16</v>
      </c>
      <c r="N322" s="56" t="str">
        <f t="array" ref="N322">_xlfn.XLOOKUP(records_3[roomNo], database[roomNo], database[floor])</f>
        <v>Floor 3</v>
      </c>
      <c r="O322" s="50">
        <v>0.0</v>
      </c>
      <c r="P322" s="34" t="s">
        <v>2083</v>
      </c>
      <c r="Q322" s="39"/>
      <c r="R322" s="39"/>
      <c r="S322" s="43"/>
      <c r="T322" s="43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</row>
    <row r="323" ht="22.5" customHeight="1">
      <c r="A323" s="27">
        <v>46063.0</v>
      </c>
      <c r="B323" s="39" t="s">
        <v>1566</v>
      </c>
      <c r="C323" s="140"/>
      <c r="D323" s="36" t="s">
        <v>213</v>
      </c>
      <c r="E323" s="34" t="s">
        <v>359</v>
      </c>
      <c r="F323" s="34" t="s">
        <v>474</v>
      </c>
      <c r="G323" s="34" t="s">
        <v>2185</v>
      </c>
      <c r="H323" s="34" t="s">
        <v>1984</v>
      </c>
      <c r="I323" s="34" t="s">
        <v>837</v>
      </c>
      <c r="J323" s="34" t="s">
        <v>1099</v>
      </c>
      <c r="K323" s="48">
        <v>46025.0</v>
      </c>
      <c r="L323" s="54" t="str">
        <f t="array" ref="L323">_xlfn.XLOOKUP(records_3[roomNo], database[roomNo], database[roomName])</f>
        <v>AIRLOCK</v>
      </c>
      <c r="M323" s="56" t="str">
        <f t="array" ref="M323">_xlfn.XLOOKUP(records_3[roomNo], database[roomNo], database[building])</f>
        <v>Building 16</v>
      </c>
      <c r="N323" s="56" t="str">
        <f t="array" ref="N323">_xlfn.XLOOKUP(records_3[roomNo], database[roomNo], database[floor])</f>
        <v>Floor 3</v>
      </c>
      <c r="O323" s="50">
        <v>0.0</v>
      </c>
      <c r="P323" s="34" t="s">
        <v>2083</v>
      </c>
      <c r="Q323" s="39"/>
      <c r="R323" s="39"/>
      <c r="S323" s="43"/>
      <c r="T323" s="43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</row>
    <row r="324" ht="22.5" customHeight="1">
      <c r="A324" s="27">
        <v>46063.0</v>
      </c>
      <c r="B324" s="39" t="s">
        <v>1018</v>
      </c>
      <c r="C324" s="140"/>
      <c r="D324" s="36" t="s">
        <v>213</v>
      </c>
      <c r="E324" s="34" t="s">
        <v>2237</v>
      </c>
      <c r="F324" s="34" t="s">
        <v>775</v>
      </c>
      <c r="G324" s="34" t="s">
        <v>2195</v>
      </c>
      <c r="H324" s="34" t="s">
        <v>1984</v>
      </c>
      <c r="I324" s="34" t="s">
        <v>837</v>
      </c>
      <c r="J324" s="34" t="s">
        <v>1099</v>
      </c>
      <c r="K324" s="48">
        <v>46025.0</v>
      </c>
      <c r="L324" s="54" t="str">
        <f t="array" ref="L324">_xlfn.XLOOKUP(records_3[roomNo], database[roomNo], database[roomName])</f>
        <v>FILLING 7 (OINTMENT TUBE FILLING LINE)</v>
      </c>
      <c r="M324" s="56" t="str">
        <f t="array" ref="M324">_xlfn.XLOOKUP(records_3[roomNo], database[roomNo], database[building])</f>
        <v>Building 16</v>
      </c>
      <c r="N324" s="56" t="str">
        <f t="array" ref="N324">_xlfn.XLOOKUP(records_3[roomNo], database[roomNo], database[floor])</f>
        <v>Floor 3</v>
      </c>
      <c r="O324" s="50">
        <v>0.0</v>
      </c>
      <c r="P324" s="34" t="s">
        <v>2083</v>
      </c>
      <c r="Q324" s="39"/>
      <c r="R324" s="39"/>
      <c r="S324" s="43"/>
      <c r="T324" s="43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</row>
    <row r="325" ht="22.5" customHeight="1">
      <c r="A325" s="27">
        <v>46063.0</v>
      </c>
      <c r="B325" s="39" t="s">
        <v>1567</v>
      </c>
      <c r="C325" s="140"/>
      <c r="D325" s="36" t="s">
        <v>213</v>
      </c>
      <c r="E325" s="34" t="s">
        <v>578</v>
      </c>
      <c r="F325" s="34" t="s">
        <v>356</v>
      </c>
      <c r="G325" s="34" t="s">
        <v>800</v>
      </c>
      <c r="H325" s="34" t="s">
        <v>262</v>
      </c>
      <c r="I325" s="34" t="s">
        <v>837</v>
      </c>
      <c r="J325" s="34" t="s">
        <v>1099</v>
      </c>
      <c r="K325" s="48">
        <v>46025.0</v>
      </c>
      <c r="L325" s="54" t="str">
        <f t="array" ref="L325">_xlfn.XLOOKUP(records_3[roomNo], database[roomNo], database[roomName])</f>
        <v>MAL</v>
      </c>
      <c r="M325" s="56" t="str">
        <f t="array" ref="M325">_xlfn.XLOOKUP(records_3[roomNo], database[roomNo], database[building])</f>
        <v>Building 16</v>
      </c>
      <c r="N325" s="56" t="str">
        <f t="array" ref="N325">_xlfn.XLOOKUP(records_3[roomNo], database[roomNo], database[floor])</f>
        <v>Floor 3</v>
      </c>
      <c r="O325" s="50">
        <v>0.0</v>
      </c>
      <c r="P325" s="34" t="s">
        <v>2083</v>
      </c>
      <c r="Q325" s="39"/>
      <c r="R325" s="39"/>
      <c r="S325" s="43"/>
      <c r="T325" s="43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</row>
    <row r="326" ht="22.5" customHeight="1">
      <c r="A326" s="27">
        <v>46063.0</v>
      </c>
      <c r="B326" s="39" t="s">
        <v>1568</v>
      </c>
      <c r="C326" s="140"/>
      <c r="D326" s="36" t="s">
        <v>213</v>
      </c>
      <c r="E326" s="34" t="s">
        <v>194</v>
      </c>
      <c r="F326" s="34" t="s">
        <v>194</v>
      </c>
      <c r="G326" s="34" t="s">
        <v>2095</v>
      </c>
      <c r="H326" s="34" t="s">
        <v>262</v>
      </c>
      <c r="I326" s="34" t="s">
        <v>837</v>
      </c>
      <c r="J326" s="34" t="s">
        <v>1099</v>
      </c>
      <c r="K326" s="48">
        <v>46025.0</v>
      </c>
      <c r="L326" s="54" t="str">
        <f t="array" ref="L326">_xlfn.XLOOKUP(records_3[roomNo], database[roomNo], database[roomName])</f>
        <v>CORRIDOR</v>
      </c>
      <c r="M326" s="56" t="str">
        <f t="array" ref="M326">_xlfn.XLOOKUP(records_3[roomNo], database[roomNo], database[building])</f>
        <v>Building 16</v>
      </c>
      <c r="N326" s="56" t="str">
        <f t="array" ref="N326">_xlfn.XLOOKUP(records_3[roomNo], database[roomNo], database[floor])</f>
        <v>Floor 3</v>
      </c>
      <c r="O326" s="50">
        <v>0.0</v>
      </c>
      <c r="P326" s="34" t="s">
        <v>2083</v>
      </c>
      <c r="Q326" s="39"/>
      <c r="R326" s="39"/>
      <c r="S326" s="43"/>
      <c r="T326" s="43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</row>
    <row r="327" ht="22.5" customHeight="1">
      <c r="A327" s="27">
        <v>46063.0</v>
      </c>
      <c r="B327" s="39" t="s">
        <v>1569</v>
      </c>
      <c r="C327" s="140"/>
      <c r="D327" s="36" t="s">
        <v>213</v>
      </c>
      <c r="E327" s="34" t="s">
        <v>2100</v>
      </c>
      <c r="F327" s="34" t="s">
        <v>2238</v>
      </c>
      <c r="G327" s="34" t="s">
        <v>2239</v>
      </c>
      <c r="H327" s="34" t="s">
        <v>811</v>
      </c>
      <c r="I327" s="34" t="s">
        <v>837</v>
      </c>
      <c r="J327" s="34" t="s">
        <v>1099</v>
      </c>
      <c r="K327" s="48">
        <v>46025.0</v>
      </c>
      <c r="L327" s="54" t="str">
        <f t="array" ref="L327">_xlfn.XLOOKUP(records_3[roomNo], database[roomNo], database[roomName])</f>
        <v>CORRIDOR</v>
      </c>
      <c r="M327" s="56" t="str">
        <f t="array" ref="M327">_xlfn.XLOOKUP(records_3[roomNo], database[roomNo], database[building])</f>
        <v>Building 16</v>
      </c>
      <c r="N327" s="56" t="str">
        <f t="array" ref="N327">_xlfn.XLOOKUP(records_3[roomNo], database[roomNo], database[floor])</f>
        <v>Floor 3</v>
      </c>
      <c r="O327" s="50">
        <v>0.0</v>
      </c>
      <c r="P327" s="34" t="s">
        <v>2083</v>
      </c>
      <c r="Q327" s="39"/>
      <c r="R327" s="39"/>
      <c r="S327" s="43"/>
      <c r="T327" s="43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</row>
    <row r="328" ht="22.5" customHeight="1">
      <c r="A328" s="68">
        <v>46065.0</v>
      </c>
      <c r="B328" s="70" t="s">
        <v>987</v>
      </c>
      <c r="C328" s="168"/>
      <c r="D328" s="168" t="s">
        <v>1899</v>
      </c>
      <c r="E328" s="70" t="s">
        <v>194</v>
      </c>
      <c r="F328" s="70" t="s">
        <v>194</v>
      </c>
      <c r="G328" s="70" t="s">
        <v>194</v>
      </c>
      <c r="H328" s="70" t="s">
        <v>194</v>
      </c>
      <c r="I328" s="70" t="s">
        <v>837</v>
      </c>
      <c r="J328" s="70" t="s">
        <v>1099</v>
      </c>
      <c r="K328" s="73">
        <v>46025.0</v>
      </c>
      <c r="L328" s="70" t="str">
        <f t="array" ref="L328">_xlfn.XLOOKUP(records_3[roomNo], database[roomNo], database[roomName])</f>
        <v>MFG 1 (UTILITY SKID ADAM)</v>
      </c>
      <c r="M328" s="70" t="str">
        <f t="array" ref="M328">_xlfn.XLOOKUP(records_3[roomNo], database[roomNo], database[building])</f>
        <v>Building 16</v>
      </c>
      <c r="N328" s="70" t="str">
        <f t="array" ref="N328">_xlfn.XLOOKUP(records_3[roomNo], database[roomNo], database[floor])</f>
        <v>Floor 3</v>
      </c>
      <c r="O328" s="74">
        <v>0.0</v>
      </c>
      <c r="P328" s="70" t="s">
        <v>1101</v>
      </c>
      <c r="Q328" s="68" t="s">
        <v>988</v>
      </c>
      <c r="R328" s="68"/>
      <c r="S328" s="68"/>
      <c r="T328" s="75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</row>
    <row r="329" ht="22.5" customHeight="1">
      <c r="A329" s="18">
        <v>46065.0</v>
      </c>
      <c r="B329" s="32" t="s">
        <v>991</v>
      </c>
      <c r="C329" s="139"/>
      <c r="D329" s="21" t="s">
        <v>1899</v>
      </c>
      <c r="E329" s="20" t="s">
        <v>194</v>
      </c>
      <c r="F329" s="20" t="s">
        <v>194</v>
      </c>
      <c r="G329" s="20" t="s">
        <v>194</v>
      </c>
      <c r="H329" s="20" t="s">
        <v>194</v>
      </c>
      <c r="I329" s="20" t="s">
        <v>837</v>
      </c>
      <c r="J329" s="20" t="s">
        <v>1099</v>
      </c>
      <c r="K329" s="30">
        <v>46025.0</v>
      </c>
      <c r="L329" s="35" t="str">
        <f t="array" ref="L329">_xlfn.XLOOKUP(records_3[roomNo], database[roomNo], database[roomName])</f>
        <v>MFG 5 (UTILITY SKID ADAM)</v>
      </c>
      <c r="M329" s="38" t="str">
        <f t="array" ref="M329">_xlfn.XLOOKUP(records_3[roomNo], database[roomNo], database[building])</f>
        <v>Building 16</v>
      </c>
      <c r="N329" s="38" t="str">
        <f t="array" ref="N329">_xlfn.XLOOKUP(records_3[roomNo], database[roomNo], database[floor])</f>
        <v>Floor 3</v>
      </c>
      <c r="O329" s="50">
        <v>0.0</v>
      </c>
      <c r="P329" s="34" t="s">
        <v>1101</v>
      </c>
      <c r="Q329" s="39" t="s">
        <v>993</v>
      </c>
      <c r="R329" s="39"/>
      <c r="S329" s="43"/>
      <c r="T329" s="43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</row>
    <row r="330" ht="22.5" customHeight="1">
      <c r="A330" s="27">
        <v>46065.0</v>
      </c>
      <c r="B330" s="39" t="s">
        <v>1007</v>
      </c>
      <c r="C330" s="140"/>
      <c r="D330" s="36" t="s">
        <v>1899</v>
      </c>
      <c r="E330" s="34" t="s">
        <v>194</v>
      </c>
      <c r="F330" s="34" t="s">
        <v>194</v>
      </c>
      <c r="G330" s="34" t="s">
        <v>194</v>
      </c>
      <c r="H330" s="34" t="s">
        <v>194</v>
      </c>
      <c r="I330" s="34" t="s">
        <v>837</v>
      </c>
      <c r="J330" s="34" t="s">
        <v>1099</v>
      </c>
      <c r="K330" s="48">
        <v>46025.0</v>
      </c>
      <c r="L330" s="54" t="str">
        <f t="array" ref="L330">_xlfn.XLOOKUP(records_3[roomNo], database[roomNo], database[roomName])</f>
        <v>STAGING 1 (UTILITY SKID ADAM)</v>
      </c>
      <c r="M330" s="56" t="str">
        <f t="array" ref="M330">_xlfn.XLOOKUP(records_3[roomNo], database[roomNo], database[building])</f>
        <v>Building 16</v>
      </c>
      <c r="N330" s="56" t="str">
        <f t="array" ref="N330">_xlfn.XLOOKUP(records_3[roomNo], database[roomNo], database[floor])</f>
        <v>Floor 3</v>
      </c>
      <c r="O330" s="50">
        <v>0.0</v>
      </c>
      <c r="P330" s="34" t="s">
        <v>1101</v>
      </c>
      <c r="Q330" s="39" t="s">
        <v>1008</v>
      </c>
      <c r="R330" s="39"/>
      <c r="S330" s="43"/>
      <c r="T330" s="43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</row>
    <row r="331" ht="22.5" customHeight="1">
      <c r="A331" s="27">
        <v>46065.0</v>
      </c>
      <c r="B331" s="39" t="s">
        <v>1009</v>
      </c>
      <c r="C331" s="140"/>
      <c r="D331" s="36" t="s">
        <v>1899</v>
      </c>
      <c r="E331" s="34" t="s">
        <v>194</v>
      </c>
      <c r="F331" s="34" t="s">
        <v>194</v>
      </c>
      <c r="G331" s="34" t="s">
        <v>194</v>
      </c>
      <c r="H331" s="34" t="s">
        <v>194</v>
      </c>
      <c r="I331" s="34" t="s">
        <v>837</v>
      </c>
      <c r="J331" s="34" t="s">
        <v>1099</v>
      </c>
      <c r="K331" s="48">
        <v>46025.0</v>
      </c>
      <c r="L331" s="54" t="str">
        <f t="array" ref="L331">_xlfn.XLOOKUP(records_3[roomNo], database[roomNo], database[roomName])</f>
        <v>PPM CLEANING</v>
      </c>
      <c r="M331" s="56" t="str">
        <f t="array" ref="M331">_xlfn.XLOOKUP(records_3[roomNo], database[roomNo], database[building])</f>
        <v>Building 16</v>
      </c>
      <c r="N331" s="56" t="str">
        <f t="array" ref="N331">_xlfn.XLOOKUP(records_3[roomNo], database[roomNo], database[floor])</f>
        <v>Floor 3</v>
      </c>
      <c r="O331" s="50">
        <v>0.0</v>
      </c>
      <c r="P331" s="34" t="s">
        <v>1101</v>
      </c>
      <c r="Q331" s="39" t="s">
        <v>1011</v>
      </c>
      <c r="R331" s="39"/>
      <c r="S331" s="43"/>
      <c r="T331" s="43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</row>
    <row r="332" ht="22.5" customHeight="1">
      <c r="A332" s="27">
        <v>46065.0</v>
      </c>
      <c r="B332" s="39" t="s">
        <v>1014</v>
      </c>
      <c r="C332" s="140"/>
      <c r="D332" s="36" t="s">
        <v>1899</v>
      </c>
      <c r="E332" s="34" t="s">
        <v>194</v>
      </c>
      <c r="F332" s="34" t="s">
        <v>194</v>
      </c>
      <c r="G332" s="34" t="s">
        <v>194</v>
      </c>
      <c r="H332" s="34" t="s">
        <v>194</v>
      </c>
      <c r="I332" s="34" t="s">
        <v>837</v>
      </c>
      <c r="J332" s="34" t="s">
        <v>1099</v>
      </c>
      <c r="K332" s="48">
        <v>46025.0</v>
      </c>
      <c r="L332" s="54" t="str">
        <f t="array" ref="L332">_xlfn.XLOOKUP(records_3[roomNo], database[roomNo], database[roomName])</f>
        <v>FILLING 1 (IWKA FILLING LINE)</v>
      </c>
      <c r="M332" s="56" t="str">
        <f t="array" ref="M332">_xlfn.XLOOKUP(records_3[roomNo], database[roomNo], database[building])</f>
        <v>Building 16</v>
      </c>
      <c r="N332" s="56" t="str">
        <f t="array" ref="N332">_xlfn.XLOOKUP(records_3[roomNo], database[roomNo], database[floor])</f>
        <v>Floor 3</v>
      </c>
      <c r="O332" s="50">
        <v>0.0</v>
      </c>
      <c r="P332" s="34" t="s">
        <v>1101</v>
      </c>
      <c r="Q332" s="39" t="s">
        <v>1017</v>
      </c>
      <c r="R332" s="39"/>
      <c r="S332" s="43"/>
      <c r="T332" s="43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</row>
    <row r="333" ht="22.5" customHeight="1">
      <c r="A333" s="27">
        <v>46065.0</v>
      </c>
      <c r="B333" s="39" t="s">
        <v>1014</v>
      </c>
      <c r="C333" s="140"/>
      <c r="D333" s="36" t="s">
        <v>1899</v>
      </c>
      <c r="E333" s="34" t="s">
        <v>194</v>
      </c>
      <c r="F333" s="34" t="s">
        <v>194</v>
      </c>
      <c r="G333" s="34" t="s">
        <v>194</v>
      </c>
      <c r="H333" s="34" t="s">
        <v>194</v>
      </c>
      <c r="I333" s="34" t="s">
        <v>199</v>
      </c>
      <c r="J333" s="34" t="s">
        <v>201</v>
      </c>
      <c r="K333" s="48">
        <v>46057.0</v>
      </c>
      <c r="L333" s="54" t="str">
        <f t="array" ref="L333">_xlfn.XLOOKUP(records_3[roomNo], database[roomNo], database[roomName])</f>
        <v>FILLING 1 (IWKA FILLING LINE)</v>
      </c>
      <c r="M333" s="56" t="str">
        <f t="array" ref="M333">_xlfn.XLOOKUP(records_3[roomNo], database[roomNo], database[building])</f>
        <v>Building 16</v>
      </c>
      <c r="N333" s="56" t="str">
        <f t="array" ref="N333">_xlfn.XLOOKUP(records_3[roomNo], database[roomNo], database[floor])</f>
        <v>Floor 3</v>
      </c>
      <c r="O333" s="50">
        <v>0.0</v>
      </c>
      <c r="P333" s="34" t="s">
        <v>1101</v>
      </c>
      <c r="Q333" s="39" t="s">
        <v>1016</v>
      </c>
      <c r="R333" s="39"/>
      <c r="S333" s="43"/>
      <c r="T333" s="43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</row>
    <row r="334" ht="22.5" customHeight="1">
      <c r="A334" s="27">
        <v>46069.0</v>
      </c>
      <c r="B334" s="39" t="s">
        <v>786</v>
      </c>
      <c r="C334" s="36" t="s">
        <v>2235</v>
      </c>
      <c r="D334" s="36" t="s">
        <v>531</v>
      </c>
      <c r="E334" s="34" t="s">
        <v>2027</v>
      </c>
      <c r="F334" s="34" t="s">
        <v>1088</v>
      </c>
      <c r="G334" s="34" t="s">
        <v>2241</v>
      </c>
      <c r="H334" s="34" t="s">
        <v>2242</v>
      </c>
      <c r="I334" s="34" t="s">
        <v>199</v>
      </c>
      <c r="J334" s="34" t="s">
        <v>201</v>
      </c>
      <c r="K334" s="48">
        <v>46057.0</v>
      </c>
      <c r="L334" s="54" t="str">
        <f t="array" ref="L334">_xlfn.XLOOKUP(records_3[roomNo], database[roomNo], database[roomName])</f>
        <v>DISPENSING</v>
      </c>
      <c r="M334" s="56" t="str">
        <f t="array" ref="M334">_xlfn.XLOOKUP(records_3[roomNo], database[roomNo], database[building])</f>
        <v>Building 16</v>
      </c>
      <c r="N334" s="56" t="str">
        <f t="array" ref="N334">_xlfn.XLOOKUP(records_3[roomNo], database[roomNo], database[floor])</f>
        <v>Floor 1</v>
      </c>
      <c r="O334" s="50">
        <v>2.0</v>
      </c>
      <c r="P334" s="34" t="s">
        <v>2243</v>
      </c>
      <c r="Q334" s="39"/>
      <c r="R334" s="39"/>
      <c r="S334" s="39" t="s">
        <v>534</v>
      </c>
      <c r="T334" s="43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</row>
    <row r="335" ht="22.5" customHeight="1">
      <c r="A335" s="27">
        <v>46069.0</v>
      </c>
      <c r="B335" s="39" t="s">
        <v>765</v>
      </c>
      <c r="C335" s="36" t="s">
        <v>2282</v>
      </c>
      <c r="D335" s="36" t="s">
        <v>531</v>
      </c>
      <c r="E335" s="34" t="s">
        <v>377</v>
      </c>
      <c r="F335" s="34" t="s">
        <v>2244</v>
      </c>
      <c r="G335" s="34" t="s">
        <v>2245</v>
      </c>
      <c r="H335" s="34" t="s">
        <v>2246</v>
      </c>
      <c r="I335" s="34" t="s">
        <v>199</v>
      </c>
      <c r="J335" s="34" t="s">
        <v>201</v>
      </c>
      <c r="K335" s="48">
        <v>46057.0</v>
      </c>
      <c r="L335" s="54" t="str">
        <f t="array" ref="L335">_xlfn.XLOOKUP(records_3[roomNo], database[roomNo], database[roomName])</f>
        <v>FILLING 2</v>
      </c>
      <c r="M335" s="56" t="str">
        <f t="array" ref="M335">_xlfn.XLOOKUP(records_3[roomNo], database[roomNo], database[building])</f>
        <v>Building 16</v>
      </c>
      <c r="N335" s="56" t="str">
        <f t="array" ref="N335">_xlfn.XLOOKUP(records_3[roomNo], database[roomNo], database[floor])</f>
        <v>Floor 1</v>
      </c>
      <c r="O335" s="50">
        <v>0.0</v>
      </c>
      <c r="P335" s="34" t="s">
        <v>2243</v>
      </c>
      <c r="Q335" s="39"/>
      <c r="R335" s="39"/>
      <c r="S335" s="39" t="s">
        <v>534</v>
      </c>
      <c r="T335" s="43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</row>
    <row r="336" ht="22.5" customHeight="1">
      <c r="A336" s="27">
        <v>46076.0</v>
      </c>
      <c r="B336" s="39" t="s">
        <v>786</v>
      </c>
      <c r="C336" s="36" t="s">
        <v>2235</v>
      </c>
      <c r="D336" s="36" t="s">
        <v>531</v>
      </c>
      <c r="E336" s="34"/>
      <c r="F336" s="34"/>
      <c r="G336" s="34"/>
      <c r="H336" s="34"/>
      <c r="I336" s="34"/>
      <c r="J336" s="34"/>
      <c r="K336" s="48"/>
      <c r="L336" s="54" t="str">
        <f t="array" ref="L336">_xlfn.XLOOKUP(records_3[roomNo], database[roomNo], database[roomName])</f>
        <v>DISPENSING</v>
      </c>
      <c r="M336" s="56" t="str">
        <f t="array" ref="M336">_xlfn.XLOOKUP(records_3[roomNo], database[roomNo], database[building])</f>
        <v>Building 16</v>
      </c>
      <c r="N336" s="56" t="str">
        <f t="array" ref="N336">_xlfn.XLOOKUP(records_3[roomNo], database[roomNo], database[floor])</f>
        <v>Floor 1</v>
      </c>
      <c r="O336" s="50"/>
      <c r="P336" s="34"/>
      <c r="Q336" s="39"/>
      <c r="R336" s="39"/>
      <c r="S336" s="39" t="s">
        <v>534</v>
      </c>
      <c r="T336" s="43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</row>
    <row r="337" ht="22.5" customHeight="1">
      <c r="A337" s="27">
        <v>46076.0</v>
      </c>
      <c r="B337" s="39" t="s">
        <v>765</v>
      </c>
      <c r="C337" s="36" t="s">
        <v>2284</v>
      </c>
      <c r="D337" s="36" t="s">
        <v>531</v>
      </c>
      <c r="E337" s="34"/>
      <c r="F337" s="34"/>
      <c r="G337" s="34"/>
      <c r="H337" s="34"/>
      <c r="I337" s="34"/>
      <c r="J337" s="34"/>
      <c r="K337" s="48"/>
      <c r="L337" s="54" t="str">
        <f t="array" ref="L337">_xlfn.XLOOKUP(records_3[roomNo], database[roomNo], database[roomName])</f>
        <v>FILLING 2</v>
      </c>
      <c r="M337" s="56" t="str">
        <f t="array" ref="M337">_xlfn.XLOOKUP(records_3[roomNo], database[roomNo], database[building])</f>
        <v>Building 16</v>
      </c>
      <c r="N337" s="56" t="str">
        <f t="array" ref="N337">_xlfn.XLOOKUP(records_3[roomNo], database[roomNo], database[floor])</f>
        <v>Floor 1</v>
      </c>
      <c r="O337" s="50"/>
      <c r="P337" s="34"/>
      <c r="Q337" s="39"/>
      <c r="R337" s="39"/>
      <c r="S337" s="39" t="s">
        <v>534</v>
      </c>
      <c r="T337" s="43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</row>
    <row r="338" ht="22.5" customHeight="1">
      <c r="A338" s="27">
        <v>46076.0</v>
      </c>
      <c r="B338" s="39" t="s">
        <v>765</v>
      </c>
      <c r="C338" s="36" t="s">
        <v>2282</v>
      </c>
      <c r="D338" s="36" t="s">
        <v>531</v>
      </c>
      <c r="E338" s="34"/>
      <c r="F338" s="34"/>
      <c r="G338" s="34"/>
      <c r="H338" s="34"/>
      <c r="I338" s="34"/>
      <c r="J338" s="34"/>
      <c r="K338" s="48"/>
      <c r="L338" s="54" t="str">
        <f t="array" ref="L338">_xlfn.XLOOKUP(records_3[roomNo], database[roomNo], database[roomName])</f>
        <v>FILLING 2</v>
      </c>
      <c r="M338" s="56" t="str">
        <f t="array" ref="M338">_xlfn.XLOOKUP(records_3[roomNo], database[roomNo], database[building])</f>
        <v>Building 16</v>
      </c>
      <c r="N338" s="56" t="str">
        <f t="array" ref="N338">_xlfn.XLOOKUP(records_3[roomNo], database[roomNo], database[floor])</f>
        <v>Floor 1</v>
      </c>
      <c r="O338" s="50"/>
      <c r="P338" s="34"/>
      <c r="Q338" s="39"/>
      <c r="R338" s="39"/>
      <c r="S338" s="39" t="s">
        <v>534</v>
      </c>
      <c r="T338" s="43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</row>
    <row r="339" ht="22.5" customHeight="1">
      <c r="A339" s="27">
        <v>46076.0</v>
      </c>
      <c r="B339" s="39" t="s">
        <v>753</v>
      </c>
      <c r="C339" s="36" t="s">
        <v>2284</v>
      </c>
      <c r="D339" s="36" t="s">
        <v>531</v>
      </c>
      <c r="E339" s="34"/>
      <c r="F339" s="34"/>
      <c r="G339" s="34"/>
      <c r="H339" s="34"/>
      <c r="I339" s="34"/>
      <c r="J339" s="34"/>
      <c r="K339" s="48"/>
      <c r="L339" s="54" t="str">
        <f t="array" ref="L339">_xlfn.XLOOKUP(records_3[roomNo], database[roomNo], database[roomName])</f>
        <v>VIAL CAPPING</v>
      </c>
      <c r="M339" s="56" t="str">
        <f t="array" ref="M339">_xlfn.XLOOKUP(records_3[roomNo], database[roomNo], database[building])</f>
        <v>Building 16</v>
      </c>
      <c r="N339" s="56" t="str">
        <f t="array" ref="N339">_xlfn.XLOOKUP(records_3[roomNo], database[roomNo], database[floor])</f>
        <v>Floor 1</v>
      </c>
      <c r="O339" s="50"/>
      <c r="P339" s="34"/>
      <c r="Q339" s="39"/>
      <c r="R339" s="39"/>
      <c r="S339" s="39" t="s">
        <v>534</v>
      </c>
      <c r="T339" s="43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</row>
    <row r="340" ht="22.5" customHeight="1">
      <c r="A340" s="27">
        <v>46076.0</v>
      </c>
      <c r="B340" s="39" t="s">
        <v>774</v>
      </c>
      <c r="C340" s="36" t="s">
        <v>2284</v>
      </c>
      <c r="D340" s="36" t="s">
        <v>531</v>
      </c>
      <c r="E340" s="34"/>
      <c r="F340" s="34"/>
      <c r="G340" s="34"/>
      <c r="H340" s="34"/>
      <c r="I340" s="34"/>
      <c r="J340" s="34"/>
      <c r="K340" s="48"/>
      <c r="L340" s="54" t="str">
        <f t="array" ref="L340">_xlfn.XLOOKUP(records_3[roomNo], database[roomNo], database[roomName])</f>
        <v>FILLING 1</v>
      </c>
      <c r="M340" s="56" t="str">
        <f t="array" ref="M340">_xlfn.XLOOKUP(records_3[roomNo], database[roomNo], database[building])</f>
        <v>Building 16</v>
      </c>
      <c r="N340" s="56" t="str">
        <f t="array" ref="N340">_xlfn.XLOOKUP(records_3[roomNo], database[roomNo], database[floor])</f>
        <v>Floor 1</v>
      </c>
      <c r="O340" s="50"/>
      <c r="P340" s="34"/>
      <c r="Q340" s="39"/>
      <c r="R340" s="39"/>
      <c r="S340" s="39" t="s">
        <v>534</v>
      </c>
      <c r="T340" s="43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</row>
    <row r="341" ht="22.5" customHeight="1">
      <c r="A341" s="27">
        <v>46076.0</v>
      </c>
      <c r="B341" s="39" t="s">
        <v>774</v>
      </c>
      <c r="C341" s="36" t="s">
        <v>2282</v>
      </c>
      <c r="D341" s="36" t="s">
        <v>531</v>
      </c>
      <c r="E341" s="34"/>
      <c r="F341" s="34"/>
      <c r="G341" s="34"/>
      <c r="H341" s="34"/>
      <c r="I341" s="34"/>
      <c r="J341" s="34"/>
      <c r="K341" s="48"/>
      <c r="L341" s="54" t="str">
        <f t="array" ref="L341">_xlfn.XLOOKUP(records_3[roomNo], database[roomNo], database[roomName])</f>
        <v>FILLING 1</v>
      </c>
      <c r="M341" s="56" t="str">
        <f t="array" ref="M341">_xlfn.XLOOKUP(records_3[roomNo], database[roomNo], database[building])</f>
        <v>Building 16</v>
      </c>
      <c r="N341" s="56" t="str">
        <f t="array" ref="N341">_xlfn.XLOOKUP(records_3[roomNo], database[roomNo], database[floor])</f>
        <v>Floor 1</v>
      </c>
      <c r="O341" s="50"/>
      <c r="P341" s="34"/>
      <c r="Q341" s="39"/>
      <c r="R341" s="39"/>
      <c r="S341" s="39" t="s">
        <v>534</v>
      </c>
      <c r="T341" s="43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</row>
  </sheetData>
  <conditionalFormatting sqref="B2:B13">
    <cfRule type="containsBlanks" dxfId="6" priority="1">
      <formula>LEN(TRIM(B2))=0</formula>
    </cfRule>
  </conditionalFormatting>
  <dataValidations>
    <dataValidation type="list" allowBlank="1" sqref="D2:D341">
      <formula1>"Active Air,Compressed Air,Settle Plate,N2"</formula1>
    </dataValidation>
    <dataValidation type="custom" allowBlank="1" showDropDown="1" sqref="A2:A341 K2:K341">
      <formula1>OR(NOT(ISERROR(DATEVALUE(A2))), AND(ISNUMBER(A2), LEFT(CELL("format", A2))="D"))</formula1>
    </dataValidation>
    <dataValidation type="list" allowBlank="1" sqref="C2:C341">
      <formula1>"Room,Booth,Laminar,Passbox,Machine"</formula1>
    </dataValidation>
    <dataValidation type="custom" allowBlank="1" showDropDown="1" sqref="O2:O341">
      <formula1>AND(ISNUMBER(O2),(NOT(OR(NOT(ISERROR(DATEVALUE(O2))), AND(ISNUMBER(O2), LEFT(CELL("format", O2))="D")))))</formula1>
    </dataValidation>
    <dataValidation allowBlank="1" showDropDown="1" sqref="B2:B341 E2:J341 L2:N341 P2:P341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</cols>
  <sheetData>
    <row r="1" ht="22.5" customHeight="1">
      <c r="A1" s="4" t="s">
        <v>1863</v>
      </c>
      <c r="B1" s="4" t="s">
        <v>1864</v>
      </c>
      <c r="C1" s="4" t="s">
        <v>1867</v>
      </c>
      <c r="D1" s="4" t="s">
        <v>1868</v>
      </c>
      <c r="E1" s="4" t="s">
        <v>1926</v>
      </c>
      <c r="F1" s="4" t="s">
        <v>1927</v>
      </c>
      <c r="G1" s="4" t="s">
        <v>1928</v>
      </c>
      <c r="H1" s="4" t="s">
        <v>1929</v>
      </c>
      <c r="I1" s="4" t="s">
        <v>150</v>
      </c>
      <c r="J1" s="89" t="s">
        <v>169</v>
      </c>
    </row>
    <row r="2" ht="22.5" customHeight="1">
      <c r="A2" s="17" t="s">
        <v>1315</v>
      </c>
      <c r="B2" s="17" t="s">
        <v>1316</v>
      </c>
      <c r="E2" s="159"/>
      <c r="F2" s="159"/>
      <c r="G2" s="159"/>
      <c r="H2" s="159"/>
      <c r="I2" s="159"/>
      <c r="J2" s="166"/>
    </row>
    <row r="3" ht="22.5" customHeight="1">
      <c r="A3" s="17" t="s">
        <v>1319</v>
      </c>
      <c r="B3" s="17" t="s">
        <v>1320</v>
      </c>
      <c r="E3" s="159"/>
      <c r="F3" s="159"/>
      <c r="G3" s="159"/>
      <c r="H3" s="159"/>
      <c r="I3" s="159"/>
      <c r="J3" s="166"/>
    </row>
    <row r="4" ht="22.5" customHeight="1">
      <c r="A4" s="17" t="s">
        <v>1321</v>
      </c>
      <c r="B4" s="11" t="s">
        <v>1322</v>
      </c>
      <c r="E4" s="159"/>
      <c r="F4" s="159"/>
      <c r="G4" s="159"/>
      <c r="H4" s="159"/>
      <c r="I4" s="159"/>
      <c r="J4" s="166"/>
    </row>
    <row r="5" ht="22.5" customHeight="1">
      <c r="A5" s="17" t="s">
        <v>1325</v>
      </c>
      <c r="B5" s="11" t="s">
        <v>1326</v>
      </c>
      <c r="E5" s="159"/>
      <c r="F5" s="159"/>
      <c r="G5" s="159"/>
      <c r="H5" s="159"/>
      <c r="I5" s="159"/>
      <c r="J5" s="166"/>
    </row>
    <row r="6" ht="22.5" customHeight="1">
      <c r="A6" s="17" t="s">
        <v>1327</v>
      </c>
      <c r="B6" s="11" t="s">
        <v>1069</v>
      </c>
      <c r="E6" s="159"/>
      <c r="F6" s="159"/>
      <c r="G6" s="159"/>
      <c r="H6" s="159"/>
      <c r="I6" s="159"/>
      <c r="J6" s="166"/>
    </row>
    <row r="7" ht="22.5" customHeight="1">
      <c r="A7" s="17" t="s">
        <v>1328</v>
      </c>
      <c r="B7" s="11" t="s">
        <v>1329</v>
      </c>
      <c r="E7" s="159"/>
      <c r="F7" s="159"/>
      <c r="G7" s="159"/>
      <c r="H7" s="159"/>
      <c r="I7" s="159"/>
      <c r="J7" s="166"/>
    </row>
    <row r="8" ht="22.5" customHeight="1">
      <c r="A8" s="17" t="s">
        <v>1330</v>
      </c>
      <c r="B8" s="11" t="s">
        <v>1331</v>
      </c>
      <c r="E8" s="159"/>
      <c r="F8" s="159"/>
      <c r="G8" s="159"/>
      <c r="H8" s="159"/>
      <c r="I8" s="159"/>
      <c r="J8" s="166"/>
    </row>
    <row r="9" ht="22.5" customHeight="1">
      <c r="A9" s="17" t="s">
        <v>1335</v>
      </c>
      <c r="B9" s="11" t="s">
        <v>1336</v>
      </c>
      <c r="E9" s="159"/>
      <c r="F9" s="159"/>
      <c r="G9" s="159"/>
      <c r="H9" s="159"/>
      <c r="I9" s="159"/>
      <c r="J9" s="166"/>
    </row>
    <row r="10" ht="22.5" customHeight="1">
      <c r="A10" s="17" t="s">
        <v>1337</v>
      </c>
      <c r="B10" s="11" t="s">
        <v>1338</v>
      </c>
      <c r="E10" s="159"/>
      <c r="F10" s="159"/>
      <c r="G10" s="159"/>
      <c r="H10" s="159"/>
      <c r="I10" s="159"/>
      <c r="J10" s="166"/>
    </row>
    <row r="11" ht="22.5" customHeight="1">
      <c r="A11" s="17" t="s">
        <v>1339</v>
      </c>
      <c r="B11" s="11" t="s">
        <v>1048</v>
      </c>
      <c r="E11" s="159"/>
      <c r="F11" s="159"/>
      <c r="G11" s="159"/>
      <c r="H11" s="159"/>
      <c r="I11" s="159"/>
      <c r="J11" s="166"/>
    </row>
    <row r="12" ht="22.5" customHeight="1">
      <c r="A12" s="17" t="s">
        <v>1342</v>
      </c>
      <c r="B12" s="11" t="s">
        <v>1343</v>
      </c>
      <c r="E12" s="159"/>
      <c r="F12" s="159"/>
      <c r="G12" s="159"/>
      <c r="H12" s="159"/>
      <c r="I12" s="159"/>
      <c r="J12" s="166"/>
    </row>
    <row r="13" ht="22.5" customHeight="1">
      <c r="A13" s="17" t="s">
        <v>1346</v>
      </c>
      <c r="B13" s="11" t="s">
        <v>1347</v>
      </c>
      <c r="E13" s="159"/>
      <c r="F13" s="159"/>
      <c r="G13" s="159"/>
      <c r="H13" s="159"/>
      <c r="I13" s="159"/>
      <c r="J13" s="166"/>
    </row>
    <row r="14" ht="22.5" customHeight="1">
      <c r="A14" s="17" t="s">
        <v>1351</v>
      </c>
      <c r="B14" s="11" t="s">
        <v>1069</v>
      </c>
      <c r="E14" s="159"/>
      <c r="F14" s="159"/>
      <c r="G14" s="159"/>
      <c r="H14" s="159"/>
      <c r="I14" s="159"/>
      <c r="J14" s="166"/>
    </row>
    <row r="15" ht="22.5" customHeight="1">
      <c r="A15" s="17" t="s">
        <v>1352</v>
      </c>
      <c r="B15" s="11" t="s">
        <v>1353</v>
      </c>
      <c r="E15" s="159"/>
      <c r="F15" s="159"/>
      <c r="G15" s="159"/>
      <c r="H15" s="159"/>
      <c r="I15" s="159"/>
      <c r="J15" s="166"/>
    </row>
    <row r="16" ht="22.5" customHeight="1">
      <c r="A16" s="17" t="s">
        <v>1355</v>
      </c>
      <c r="B16" s="11" t="s">
        <v>1356</v>
      </c>
      <c r="E16" s="159"/>
      <c r="F16" s="159"/>
      <c r="G16" s="159"/>
      <c r="H16" s="159"/>
      <c r="I16" s="159"/>
      <c r="J16" s="166"/>
    </row>
    <row r="17" ht="22.5" customHeight="1">
      <c r="A17" s="17" t="s">
        <v>1358</v>
      </c>
      <c r="B17" s="11" t="s">
        <v>244</v>
      </c>
      <c r="E17" s="159"/>
      <c r="F17" s="159"/>
      <c r="G17" s="159"/>
      <c r="H17" s="159"/>
      <c r="I17" s="159"/>
      <c r="J17" s="166"/>
    </row>
    <row r="18" ht="22.5" customHeight="1">
      <c r="A18" s="17" t="s">
        <v>1359</v>
      </c>
      <c r="B18" s="11" t="s">
        <v>940</v>
      </c>
      <c r="E18" s="159"/>
      <c r="F18" s="159"/>
      <c r="G18" s="159"/>
      <c r="H18" s="159"/>
      <c r="I18" s="159"/>
      <c r="J18" s="166"/>
    </row>
  </sheetData>
  <dataValidations>
    <dataValidation type="custom" allowBlank="1" showDropDown="1" sqref="J2:J18">
      <formula1>AND(ISNUMBER(J2),(NOT(OR(NOT(ISERROR(DATEVALUE(J2))), AND(ISNUMBER(J2), LEFT(CELL("format", J2))="D")))))</formula1>
    </dataValidation>
    <dataValidation allowBlank="1" showDropDown="1" sqref="A2:B18 E2:I18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1.75"/>
    <col customWidth="1" min="8" max="8" width="13.0"/>
    <col customWidth="1" hidden="1" min="10" max="10" width="14.0"/>
    <col customWidth="1" min="11" max="11" width="13.38"/>
  </cols>
  <sheetData>
    <row r="1" ht="22.5" customHeight="1">
      <c r="A1" s="4" t="s">
        <v>1863</v>
      </c>
      <c r="B1" s="4" t="s">
        <v>1864</v>
      </c>
      <c r="C1" s="4" t="s">
        <v>1866</v>
      </c>
      <c r="D1" s="4" t="s">
        <v>1867</v>
      </c>
      <c r="E1" s="4" t="s">
        <v>1868</v>
      </c>
      <c r="F1" s="4" t="s">
        <v>1926</v>
      </c>
      <c r="G1" s="4" t="s">
        <v>1927</v>
      </c>
      <c r="H1" s="4" t="s">
        <v>1928</v>
      </c>
      <c r="I1" s="4" t="s">
        <v>1929</v>
      </c>
      <c r="J1" s="4" t="s">
        <v>150</v>
      </c>
      <c r="K1" s="89" t="s">
        <v>169</v>
      </c>
    </row>
    <row r="2" ht="22.5" customHeight="1">
      <c r="A2" s="17" t="s">
        <v>417</v>
      </c>
      <c r="B2" s="11" t="s">
        <v>1080</v>
      </c>
      <c r="C2" s="158" t="s">
        <v>1889</v>
      </c>
      <c r="D2" s="11">
        <v>21.9</v>
      </c>
      <c r="E2" s="11">
        <v>46.6</v>
      </c>
      <c r="F2" s="11" t="s">
        <v>1931</v>
      </c>
      <c r="G2" s="11" t="s">
        <v>1932</v>
      </c>
      <c r="H2" s="11" t="s">
        <v>1933</v>
      </c>
      <c r="I2" s="11" t="s">
        <v>1934</v>
      </c>
      <c r="J2" s="159"/>
      <c r="K2" s="166">
        <v>1.0</v>
      </c>
    </row>
    <row r="3" ht="22.5" customHeight="1">
      <c r="A3" s="17" t="s">
        <v>427</v>
      </c>
      <c r="B3" s="11" t="s">
        <v>1081</v>
      </c>
      <c r="C3" s="158" t="s">
        <v>1889</v>
      </c>
      <c r="D3" s="11">
        <v>21.4</v>
      </c>
      <c r="E3" s="11">
        <v>47.3</v>
      </c>
      <c r="F3" s="11" t="s">
        <v>1935</v>
      </c>
      <c r="G3" s="11" t="s">
        <v>1936</v>
      </c>
      <c r="H3" s="11" t="s">
        <v>1933</v>
      </c>
      <c r="I3" s="11" t="s">
        <v>1937</v>
      </c>
      <c r="J3" s="159"/>
      <c r="K3" s="166">
        <v>0.0</v>
      </c>
    </row>
    <row r="4" ht="22.5" customHeight="1">
      <c r="A4" s="17" t="s">
        <v>438</v>
      </c>
      <c r="B4" s="11" t="s">
        <v>1082</v>
      </c>
      <c r="C4" s="158" t="s">
        <v>1889</v>
      </c>
      <c r="D4" s="11">
        <v>21.1</v>
      </c>
      <c r="E4" s="11">
        <v>47.0</v>
      </c>
      <c r="F4" s="11" t="s">
        <v>1938</v>
      </c>
      <c r="G4" s="11" t="s">
        <v>1939</v>
      </c>
      <c r="H4" s="11" t="s">
        <v>1933</v>
      </c>
      <c r="I4" s="11" t="s">
        <v>1940</v>
      </c>
      <c r="J4" s="159"/>
      <c r="K4" s="166">
        <v>0.0</v>
      </c>
    </row>
    <row r="5" ht="22.5" customHeight="1">
      <c r="A5" s="17" t="s">
        <v>448</v>
      </c>
      <c r="B5" s="11" t="s">
        <v>1083</v>
      </c>
      <c r="C5" s="158" t="s">
        <v>1889</v>
      </c>
      <c r="D5" s="11">
        <v>21.2</v>
      </c>
      <c r="E5" s="11">
        <v>48.4</v>
      </c>
      <c r="F5" s="11" t="s">
        <v>1941</v>
      </c>
      <c r="G5" s="11" t="s">
        <v>713</v>
      </c>
      <c r="H5" s="11" t="s">
        <v>1933</v>
      </c>
      <c r="I5" s="11" t="s">
        <v>1942</v>
      </c>
      <c r="J5" s="159"/>
      <c r="K5" s="166">
        <v>0.0</v>
      </c>
    </row>
    <row r="6" ht="22.5" customHeight="1">
      <c r="A6" s="17" t="s">
        <v>454</v>
      </c>
      <c r="B6" s="11" t="s">
        <v>1084</v>
      </c>
      <c r="C6" s="158" t="s">
        <v>1889</v>
      </c>
      <c r="D6" s="11">
        <v>21.5</v>
      </c>
      <c r="E6" s="11">
        <v>47.5</v>
      </c>
      <c r="F6" s="11" t="s">
        <v>1944</v>
      </c>
      <c r="G6" s="11" t="s">
        <v>1945</v>
      </c>
      <c r="H6" s="11" t="s">
        <v>1933</v>
      </c>
      <c r="I6" s="11" t="s">
        <v>1940</v>
      </c>
      <c r="J6" s="159"/>
      <c r="K6" s="166">
        <v>1.0</v>
      </c>
    </row>
    <row r="7" ht="22.5" customHeight="1">
      <c r="A7" s="17" t="s">
        <v>461</v>
      </c>
      <c r="B7" s="11" t="s">
        <v>1085</v>
      </c>
      <c r="C7" s="158" t="s">
        <v>1889</v>
      </c>
      <c r="D7" s="11">
        <v>21.5</v>
      </c>
      <c r="E7" s="11">
        <v>47.2</v>
      </c>
      <c r="F7" s="11" t="s">
        <v>1946</v>
      </c>
      <c r="G7" s="11" t="s">
        <v>1947</v>
      </c>
      <c r="H7" s="11" t="s">
        <v>1933</v>
      </c>
      <c r="I7" s="11" t="s">
        <v>1948</v>
      </c>
      <c r="J7" s="159"/>
      <c r="K7" s="166">
        <v>0.0</v>
      </c>
    </row>
    <row r="8" ht="22.5" customHeight="1">
      <c r="A8" s="17" t="s">
        <v>468</v>
      </c>
      <c r="B8" s="11" t="s">
        <v>1086</v>
      </c>
      <c r="C8" s="158" t="s">
        <v>1889</v>
      </c>
      <c r="D8" s="11">
        <v>21.0</v>
      </c>
      <c r="E8" s="11">
        <v>48.1</v>
      </c>
      <c r="F8" s="11" t="s">
        <v>1949</v>
      </c>
      <c r="G8" s="11" t="s">
        <v>1945</v>
      </c>
      <c r="H8" s="11" t="s">
        <v>1933</v>
      </c>
      <c r="I8" s="11" t="s">
        <v>1948</v>
      </c>
      <c r="J8" s="159"/>
      <c r="K8" s="166">
        <v>1.0</v>
      </c>
    </row>
    <row r="9" ht="22.5" customHeight="1">
      <c r="A9" s="17" t="s">
        <v>476</v>
      </c>
      <c r="B9" s="11" t="s">
        <v>1089</v>
      </c>
      <c r="C9" s="158" t="s">
        <v>1889</v>
      </c>
      <c r="D9" s="11">
        <v>21.6</v>
      </c>
      <c r="E9" s="11">
        <v>47.3</v>
      </c>
      <c r="F9" s="11" t="s">
        <v>1950</v>
      </c>
      <c r="G9" s="11" t="s">
        <v>1947</v>
      </c>
      <c r="H9" s="11" t="s">
        <v>1933</v>
      </c>
      <c r="I9" s="11" t="s">
        <v>1951</v>
      </c>
      <c r="J9" s="159"/>
      <c r="K9" s="166">
        <v>0.0</v>
      </c>
    </row>
    <row r="10" ht="22.5" customHeight="1">
      <c r="A10" s="17" t="s">
        <v>482</v>
      </c>
      <c r="B10" s="11" t="s">
        <v>1083</v>
      </c>
      <c r="C10" s="158" t="s">
        <v>1889</v>
      </c>
      <c r="D10" s="11">
        <v>0.0</v>
      </c>
      <c r="E10" s="11">
        <v>0.0</v>
      </c>
      <c r="F10" s="11" t="s">
        <v>1952</v>
      </c>
      <c r="G10" s="11" t="s">
        <v>1932</v>
      </c>
      <c r="H10" s="11" t="s">
        <v>1933</v>
      </c>
      <c r="I10" s="11" t="s">
        <v>1953</v>
      </c>
      <c r="J10" s="159"/>
      <c r="K10" s="166">
        <v>0.0</v>
      </c>
    </row>
    <row r="11" ht="22.5" customHeight="1">
      <c r="A11" s="17" t="s">
        <v>489</v>
      </c>
      <c r="B11" s="11" t="s">
        <v>1090</v>
      </c>
      <c r="C11" s="158" t="s">
        <v>1889</v>
      </c>
      <c r="D11" s="11">
        <v>21.4</v>
      </c>
      <c r="E11" s="11">
        <v>47.8</v>
      </c>
      <c r="F11" s="11" t="s">
        <v>1954</v>
      </c>
      <c r="G11" s="11" t="s">
        <v>1955</v>
      </c>
      <c r="H11" s="11" t="s">
        <v>1933</v>
      </c>
      <c r="I11" s="11" t="s">
        <v>1934</v>
      </c>
      <c r="J11" s="159"/>
      <c r="K11" s="166">
        <v>0.0</v>
      </c>
    </row>
    <row r="12" ht="22.5" customHeight="1">
      <c r="A12" s="17" t="s">
        <v>502</v>
      </c>
      <c r="B12" s="11" t="s">
        <v>1091</v>
      </c>
      <c r="C12" s="158" t="s">
        <v>1889</v>
      </c>
      <c r="D12" s="11">
        <v>21.4</v>
      </c>
      <c r="E12" s="11">
        <v>48.0</v>
      </c>
      <c r="F12" s="11" t="s">
        <v>1956</v>
      </c>
      <c r="G12" s="11" t="s">
        <v>1957</v>
      </c>
      <c r="H12" s="11" t="s">
        <v>1933</v>
      </c>
      <c r="I12" s="11" t="s">
        <v>1958</v>
      </c>
      <c r="J12" s="159"/>
      <c r="K12" s="166">
        <v>1.0</v>
      </c>
    </row>
    <row r="13" ht="22.5" customHeight="1">
      <c r="A13" s="17" t="s">
        <v>512</v>
      </c>
      <c r="B13" s="11" t="s">
        <v>1092</v>
      </c>
      <c r="C13" s="158" t="s">
        <v>1889</v>
      </c>
      <c r="D13" s="11">
        <v>21.3</v>
      </c>
      <c r="E13" s="11">
        <v>47.7</v>
      </c>
      <c r="F13" s="11" t="s">
        <v>1952</v>
      </c>
      <c r="G13" s="11" t="s">
        <v>1936</v>
      </c>
      <c r="H13" s="11" t="s">
        <v>1933</v>
      </c>
      <c r="I13" s="11" t="s">
        <v>1959</v>
      </c>
      <c r="J13" s="159"/>
      <c r="K13" s="166">
        <v>0.0</v>
      </c>
    </row>
    <row r="14" ht="22.5" customHeight="1">
      <c r="A14" s="17" t="s">
        <v>521</v>
      </c>
      <c r="B14" s="11" t="s">
        <v>1093</v>
      </c>
      <c r="C14" s="158" t="s">
        <v>1889</v>
      </c>
      <c r="D14" s="11">
        <v>21.4</v>
      </c>
      <c r="E14" s="11">
        <v>47.4</v>
      </c>
      <c r="F14" s="11" t="s">
        <v>1960</v>
      </c>
      <c r="G14" s="11" t="s">
        <v>1955</v>
      </c>
      <c r="H14" s="11" t="s">
        <v>1933</v>
      </c>
      <c r="I14" s="11" t="s">
        <v>1951</v>
      </c>
      <c r="J14" s="159"/>
      <c r="K14" s="166">
        <v>0.0</v>
      </c>
    </row>
    <row r="15" ht="22.5" customHeight="1">
      <c r="A15" s="17" t="s">
        <v>529</v>
      </c>
      <c r="B15" s="11" t="s">
        <v>1097</v>
      </c>
      <c r="C15" s="158" t="s">
        <v>1889</v>
      </c>
      <c r="D15" s="11">
        <v>20.9</v>
      </c>
      <c r="E15" s="11">
        <v>48.5</v>
      </c>
      <c r="F15" s="11" t="s">
        <v>1935</v>
      </c>
      <c r="G15" s="11" t="s">
        <v>1939</v>
      </c>
      <c r="H15" s="11" t="s">
        <v>1933</v>
      </c>
      <c r="I15" s="11" t="s">
        <v>1959</v>
      </c>
      <c r="J15" s="159"/>
      <c r="K15" s="166">
        <v>0.0</v>
      </c>
    </row>
    <row r="16" ht="22.5" customHeight="1">
      <c r="A16" s="17" t="s">
        <v>542</v>
      </c>
      <c r="B16" s="11" t="s">
        <v>1098</v>
      </c>
      <c r="C16" s="158" t="s">
        <v>1889</v>
      </c>
      <c r="D16" s="11">
        <v>21.1</v>
      </c>
      <c r="E16" s="11">
        <v>48.4</v>
      </c>
      <c r="F16" s="11" t="s">
        <v>1961</v>
      </c>
      <c r="G16" s="11" t="s">
        <v>1939</v>
      </c>
      <c r="H16" s="11" t="s">
        <v>1933</v>
      </c>
      <c r="I16" s="11" t="s">
        <v>1937</v>
      </c>
      <c r="J16" s="159"/>
      <c r="K16" s="166">
        <v>0.0</v>
      </c>
    </row>
    <row r="17" ht="22.5" customHeight="1">
      <c r="A17" s="17" t="s">
        <v>549</v>
      </c>
      <c r="B17" s="11" t="s">
        <v>1083</v>
      </c>
      <c r="C17" s="158" t="s">
        <v>1889</v>
      </c>
      <c r="D17" s="11">
        <v>21.4</v>
      </c>
      <c r="E17" s="11">
        <v>52.3</v>
      </c>
      <c r="F17" s="11" t="s">
        <v>1962</v>
      </c>
      <c r="G17" s="11" t="s">
        <v>1963</v>
      </c>
      <c r="H17" s="11" t="s">
        <v>1933</v>
      </c>
      <c r="I17" s="11" t="s">
        <v>1959</v>
      </c>
      <c r="J17" s="159"/>
      <c r="K17" s="166">
        <v>0.0</v>
      </c>
    </row>
    <row r="18" ht="22.5" customHeight="1">
      <c r="A18" s="17" t="s">
        <v>555</v>
      </c>
      <c r="B18" s="11" t="s">
        <v>882</v>
      </c>
      <c r="C18" s="158" t="s">
        <v>1889</v>
      </c>
      <c r="D18" s="11">
        <v>20.8</v>
      </c>
      <c r="E18" s="11">
        <v>46.1</v>
      </c>
      <c r="F18" s="11" t="s">
        <v>1952</v>
      </c>
      <c r="G18" s="11" t="s">
        <v>1963</v>
      </c>
      <c r="H18" s="11" t="s">
        <v>1933</v>
      </c>
      <c r="I18" s="11" t="s">
        <v>1937</v>
      </c>
      <c r="J18" s="159"/>
      <c r="K18" s="166">
        <v>0.0</v>
      </c>
    </row>
    <row r="19" ht="22.5" customHeight="1">
      <c r="A19" s="17" t="s">
        <v>560</v>
      </c>
      <c r="B19" s="11" t="s">
        <v>1100</v>
      </c>
      <c r="C19" s="158" t="s">
        <v>1889</v>
      </c>
      <c r="D19" s="11">
        <v>21.5</v>
      </c>
      <c r="E19" s="11">
        <v>47.2</v>
      </c>
      <c r="F19" s="11" t="s">
        <v>1941</v>
      </c>
      <c r="G19" s="11" t="s">
        <v>1945</v>
      </c>
      <c r="H19" s="11" t="s">
        <v>1933</v>
      </c>
      <c r="I19" s="11" t="s">
        <v>1937</v>
      </c>
      <c r="J19" s="159"/>
      <c r="K19" s="166">
        <v>0.0</v>
      </c>
    </row>
    <row r="20" ht="22.5" customHeight="1">
      <c r="A20" s="17" t="s">
        <v>568</v>
      </c>
      <c r="B20" s="11" t="s">
        <v>1102</v>
      </c>
      <c r="C20" s="158" t="s">
        <v>1889</v>
      </c>
      <c r="D20" s="11">
        <v>21.1</v>
      </c>
      <c r="E20" s="11">
        <v>47.5</v>
      </c>
      <c r="F20" s="11" t="s">
        <v>1954</v>
      </c>
      <c r="G20" s="11" t="s">
        <v>1957</v>
      </c>
      <c r="H20" s="11" t="s">
        <v>1933</v>
      </c>
      <c r="I20" s="11" t="s">
        <v>1951</v>
      </c>
      <c r="J20" s="159"/>
      <c r="K20" s="166">
        <v>1.0</v>
      </c>
    </row>
    <row r="21" ht="22.5" customHeight="1">
      <c r="A21" s="17" t="s">
        <v>577</v>
      </c>
      <c r="B21" s="11" t="s">
        <v>1085</v>
      </c>
      <c r="C21" s="158" t="s">
        <v>1889</v>
      </c>
      <c r="D21" s="11">
        <v>21.5</v>
      </c>
      <c r="E21" s="11">
        <v>53.2</v>
      </c>
      <c r="F21" s="11" t="s">
        <v>1938</v>
      </c>
      <c r="G21" s="11" t="s">
        <v>1945</v>
      </c>
      <c r="H21" s="11" t="s">
        <v>1933</v>
      </c>
      <c r="I21" s="11" t="s">
        <v>1942</v>
      </c>
      <c r="J21" s="159"/>
      <c r="K21" s="166">
        <v>0.0</v>
      </c>
    </row>
    <row r="22" ht="22.5" customHeight="1">
      <c r="A22" s="17" t="s">
        <v>582</v>
      </c>
      <c r="B22" s="11" t="s">
        <v>1083</v>
      </c>
      <c r="C22" s="158" t="s">
        <v>1889</v>
      </c>
      <c r="D22" s="11">
        <v>21.4</v>
      </c>
      <c r="E22" s="11">
        <v>52.5</v>
      </c>
      <c r="F22" s="11" t="s">
        <v>1944</v>
      </c>
      <c r="G22" s="11" t="s">
        <v>1947</v>
      </c>
      <c r="H22" s="11" t="s">
        <v>1933</v>
      </c>
      <c r="I22" s="11" t="s">
        <v>1942</v>
      </c>
      <c r="J22" s="159"/>
      <c r="K22" s="166">
        <v>0.0</v>
      </c>
    </row>
    <row r="23" ht="22.5" customHeight="1">
      <c r="A23" s="17" t="s">
        <v>589</v>
      </c>
      <c r="B23" s="11" t="s">
        <v>1964</v>
      </c>
      <c r="C23" s="158" t="s">
        <v>1889</v>
      </c>
      <c r="D23" s="11">
        <v>21.1</v>
      </c>
      <c r="E23" s="11">
        <v>32.5</v>
      </c>
      <c r="F23" s="11" t="s">
        <v>1949</v>
      </c>
      <c r="G23" s="11" t="s">
        <v>1947</v>
      </c>
      <c r="H23" s="11" t="s">
        <v>1933</v>
      </c>
      <c r="I23" s="11" t="s">
        <v>1940</v>
      </c>
      <c r="J23" s="159"/>
      <c r="K23" s="166">
        <v>0.0</v>
      </c>
    </row>
    <row r="24" ht="22.5" customHeight="1">
      <c r="A24" s="17" t="s">
        <v>598</v>
      </c>
      <c r="B24" s="11" t="s">
        <v>1965</v>
      </c>
      <c r="C24" s="158" t="s">
        <v>1889</v>
      </c>
      <c r="D24" s="11">
        <v>20.6</v>
      </c>
      <c r="E24" s="11">
        <v>23.5</v>
      </c>
      <c r="F24" s="11" t="s">
        <v>1946</v>
      </c>
      <c r="G24" s="11" t="s">
        <v>1955</v>
      </c>
      <c r="H24" s="11" t="s">
        <v>1933</v>
      </c>
      <c r="I24" s="11" t="s">
        <v>1940</v>
      </c>
      <c r="J24" s="159"/>
      <c r="K24" s="166">
        <v>0.0</v>
      </c>
    </row>
    <row r="25" ht="22.5" customHeight="1">
      <c r="A25" s="17" t="s">
        <v>607</v>
      </c>
      <c r="B25" s="11" t="s">
        <v>1966</v>
      </c>
      <c r="C25" s="158" t="s">
        <v>1889</v>
      </c>
      <c r="D25" s="11">
        <v>19.7</v>
      </c>
      <c r="E25" s="11">
        <v>48.3</v>
      </c>
      <c r="F25" s="11" t="s">
        <v>1960</v>
      </c>
      <c r="G25" s="11" t="s">
        <v>1955</v>
      </c>
      <c r="H25" s="11" t="s">
        <v>1933</v>
      </c>
      <c r="I25" s="11" t="s">
        <v>1951</v>
      </c>
      <c r="J25" s="159"/>
      <c r="K25" s="166">
        <v>0.0</v>
      </c>
    </row>
    <row r="26" ht="22.5" customHeight="1">
      <c r="A26" s="17" t="s">
        <v>290</v>
      </c>
      <c r="B26" s="11" t="s">
        <v>1055</v>
      </c>
      <c r="C26" s="158" t="s">
        <v>1870</v>
      </c>
      <c r="D26" s="11">
        <v>23.4</v>
      </c>
      <c r="E26" s="11">
        <v>44.3</v>
      </c>
      <c r="F26" s="11" t="s">
        <v>1967</v>
      </c>
      <c r="G26" s="11" t="s">
        <v>1968</v>
      </c>
      <c r="H26" s="11" t="s">
        <v>1933</v>
      </c>
      <c r="I26" s="11" t="s">
        <v>1969</v>
      </c>
      <c r="J26" s="159"/>
      <c r="K26" s="166">
        <v>0.0</v>
      </c>
    </row>
    <row r="27" ht="22.5" customHeight="1">
      <c r="A27" s="17" t="s">
        <v>301</v>
      </c>
      <c r="B27" s="11" t="s">
        <v>1058</v>
      </c>
      <c r="C27" s="158" t="s">
        <v>1870</v>
      </c>
      <c r="D27" s="11">
        <v>24.2</v>
      </c>
      <c r="E27" s="11">
        <v>39.9</v>
      </c>
      <c r="F27" s="11" t="s">
        <v>1971</v>
      </c>
      <c r="G27" s="11" t="s">
        <v>1972</v>
      </c>
      <c r="H27" s="11" t="s">
        <v>1933</v>
      </c>
      <c r="I27" s="11" t="s">
        <v>1969</v>
      </c>
      <c r="J27" s="159"/>
      <c r="K27" s="166">
        <v>0.0</v>
      </c>
    </row>
    <row r="28" ht="22.5" customHeight="1">
      <c r="A28" s="17" t="s">
        <v>313</v>
      </c>
      <c r="B28" s="11" t="s">
        <v>1061</v>
      </c>
      <c r="C28" s="158" t="s">
        <v>1870</v>
      </c>
      <c r="D28" s="11">
        <v>0.0</v>
      </c>
      <c r="E28" s="11">
        <v>0.0</v>
      </c>
      <c r="F28" s="11" t="s">
        <v>1973</v>
      </c>
      <c r="G28" s="11" t="s">
        <v>1974</v>
      </c>
      <c r="H28" s="11" t="s">
        <v>1933</v>
      </c>
      <c r="I28" s="11" t="s">
        <v>1975</v>
      </c>
      <c r="J28" s="159"/>
      <c r="K28" s="166">
        <v>2.0</v>
      </c>
    </row>
    <row r="29" ht="22.5" customHeight="1">
      <c r="A29" s="17" t="s">
        <v>329</v>
      </c>
      <c r="B29" s="11" t="s">
        <v>1063</v>
      </c>
      <c r="C29" s="158" t="s">
        <v>1870</v>
      </c>
      <c r="D29" s="11">
        <v>25.6</v>
      </c>
      <c r="E29" s="11">
        <v>38.8</v>
      </c>
      <c r="F29" s="11" t="s">
        <v>1976</v>
      </c>
      <c r="G29" s="11" t="s">
        <v>1977</v>
      </c>
      <c r="H29" s="11" t="s">
        <v>1933</v>
      </c>
      <c r="I29" s="11" t="s">
        <v>1978</v>
      </c>
      <c r="J29" s="159"/>
      <c r="K29" s="166">
        <v>1.0</v>
      </c>
    </row>
    <row r="30" ht="22.5" customHeight="1">
      <c r="A30" s="17" t="s">
        <v>338</v>
      </c>
      <c r="B30" s="11" t="s">
        <v>1066</v>
      </c>
      <c r="C30" s="158" t="s">
        <v>1870</v>
      </c>
      <c r="D30" s="11">
        <v>23.9</v>
      </c>
      <c r="E30" s="11">
        <v>42.7</v>
      </c>
      <c r="F30" s="11" t="s">
        <v>1973</v>
      </c>
      <c r="G30" s="11" t="s">
        <v>1974</v>
      </c>
      <c r="H30" s="11" t="s">
        <v>1933</v>
      </c>
      <c r="I30" s="11" t="s">
        <v>1975</v>
      </c>
      <c r="J30" s="159"/>
      <c r="K30" s="166">
        <v>1.0</v>
      </c>
    </row>
    <row r="31" ht="22.5" customHeight="1">
      <c r="A31" s="17" t="s">
        <v>352</v>
      </c>
      <c r="B31" s="11" t="s">
        <v>1069</v>
      </c>
      <c r="C31" s="158" t="s">
        <v>1870</v>
      </c>
      <c r="D31" s="11">
        <v>24.9</v>
      </c>
      <c r="E31" s="11">
        <v>35.3</v>
      </c>
      <c r="F31" s="11" t="s">
        <v>1979</v>
      </c>
      <c r="G31" s="11" t="s">
        <v>1977</v>
      </c>
      <c r="H31" s="11" t="s">
        <v>1933</v>
      </c>
      <c r="I31" s="11" t="s">
        <v>1975</v>
      </c>
      <c r="J31" s="159"/>
      <c r="K31" s="166">
        <v>1.0</v>
      </c>
    </row>
    <row r="32" ht="22.5" customHeight="1">
      <c r="A32" s="17" t="s">
        <v>364</v>
      </c>
      <c r="B32" s="11" t="s">
        <v>1071</v>
      </c>
      <c r="C32" s="158" t="s">
        <v>1870</v>
      </c>
      <c r="D32" s="11">
        <v>23.9</v>
      </c>
      <c r="E32" s="11">
        <v>44.9</v>
      </c>
      <c r="F32" s="11" t="s">
        <v>1956</v>
      </c>
      <c r="G32" s="11" t="s">
        <v>1955</v>
      </c>
      <c r="H32" s="11" t="s">
        <v>1933</v>
      </c>
      <c r="I32" s="11" t="s">
        <v>1980</v>
      </c>
      <c r="J32" s="159"/>
      <c r="K32" s="166">
        <v>8.0</v>
      </c>
    </row>
    <row r="33" ht="22.5" customHeight="1">
      <c r="A33" s="17" t="s">
        <v>375</v>
      </c>
      <c r="B33" s="11" t="s">
        <v>1575</v>
      </c>
      <c r="C33" s="158" t="s">
        <v>1870</v>
      </c>
      <c r="D33" s="11">
        <v>24.0</v>
      </c>
      <c r="E33" s="11">
        <v>40.6</v>
      </c>
      <c r="F33" s="11" t="s">
        <v>1981</v>
      </c>
      <c r="G33" s="11" t="s">
        <v>1974</v>
      </c>
      <c r="H33" s="11" t="s">
        <v>1933</v>
      </c>
      <c r="I33" s="11" t="s">
        <v>1982</v>
      </c>
      <c r="J33" s="159"/>
      <c r="K33" s="166">
        <v>0.0</v>
      </c>
    </row>
    <row r="34" ht="22.5" customHeight="1">
      <c r="A34" s="17" t="s">
        <v>388</v>
      </c>
      <c r="B34" s="11" t="s">
        <v>1076</v>
      </c>
      <c r="C34" s="158" t="s">
        <v>1870</v>
      </c>
      <c r="D34" s="11">
        <v>23.7</v>
      </c>
      <c r="E34" s="11">
        <v>40.6</v>
      </c>
      <c r="F34" s="11" t="s">
        <v>1985</v>
      </c>
      <c r="G34" s="11" t="s">
        <v>1986</v>
      </c>
      <c r="H34" s="11" t="s">
        <v>1933</v>
      </c>
      <c r="I34" s="11" t="s">
        <v>1982</v>
      </c>
      <c r="J34" s="159"/>
      <c r="K34" s="166">
        <v>0.0</v>
      </c>
    </row>
    <row r="35" ht="22.5" customHeight="1">
      <c r="A35" s="17" t="s">
        <v>398</v>
      </c>
      <c r="B35" s="11" t="s">
        <v>1077</v>
      </c>
      <c r="C35" s="158" t="s">
        <v>1870</v>
      </c>
      <c r="D35" s="11">
        <v>23.7</v>
      </c>
      <c r="E35" s="11">
        <v>40.5</v>
      </c>
      <c r="F35" s="11" t="s">
        <v>1985</v>
      </c>
      <c r="G35" s="11" t="s">
        <v>1987</v>
      </c>
      <c r="H35" s="11" t="s">
        <v>1933</v>
      </c>
      <c r="I35" s="11" t="s">
        <v>1975</v>
      </c>
      <c r="J35" s="159"/>
      <c r="K35" s="166">
        <v>0.0</v>
      </c>
    </row>
    <row r="36" ht="22.5" customHeight="1">
      <c r="A36" s="17" t="s">
        <v>406</v>
      </c>
      <c r="B36" s="11" t="s">
        <v>1078</v>
      </c>
      <c r="C36" s="158" t="s">
        <v>1870</v>
      </c>
      <c r="D36" s="11">
        <v>23.6</v>
      </c>
      <c r="E36" s="11">
        <v>42.0</v>
      </c>
      <c r="F36" s="11" t="s">
        <v>1988</v>
      </c>
      <c r="G36" s="11" t="s">
        <v>1987</v>
      </c>
      <c r="H36" s="11" t="s">
        <v>1933</v>
      </c>
      <c r="I36" s="11" t="s">
        <v>1982</v>
      </c>
      <c r="J36" s="159"/>
      <c r="K36" s="166">
        <v>0.0</v>
      </c>
    </row>
    <row r="37" ht="22.5" customHeight="1">
      <c r="A37" s="17" t="s">
        <v>408</v>
      </c>
      <c r="B37" s="11" t="s">
        <v>868</v>
      </c>
      <c r="C37" s="158" t="s">
        <v>1870</v>
      </c>
      <c r="D37" s="11">
        <v>21.1</v>
      </c>
      <c r="E37" s="11">
        <v>46.9</v>
      </c>
      <c r="F37" s="11" t="s">
        <v>1989</v>
      </c>
      <c r="G37" s="11" t="s">
        <v>1972</v>
      </c>
      <c r="H37" s="11" t="s">
        <v>1933</v>
      </c>
      <c r="I37" s="11" t="s">
        <v>1990</v>
      </c>
      <c r="J37" s="159"/>
      <c r="K37" s="166">
        <v>2.0</v>
      </c>
    </row>
    <row r="38" ht="22.5" customHeight="1">
      <c r="A38" s="17" t="s">
        <v>400</v>
      </c>
      <c r="B38" s="11" t="s">
        <v>865</v>
      </c>
      <c r="C38" s="158" t="s">
        <v>1870</v>
      </c>
      <c r="D38" s="11">
        <v>21.4</v>
      </c>
      <c r="E38" s="11">
        <v>24.7</v>
      </c>
      <c r="F38" s="11" t="s">
        <v>1989</v>
      </c>
      <c r="G38" s="11" t="s">
        <v>1972</v>
      </c>
      <c r="H38" s="11" t="s">
        <v>1933</v>
      </c>
      <c r="I38" s="11" t="s">
        <v>1990</v>
      </c>
      <c r="J38" s="159"/>
      <c r="K38" s="166">
        <v>0.0</v>
      </c>
    </row>
    <row r="39" ht="22.5" customHeight="1">
      <c r="A39" s="17" t="s">
        <v>308</v>
      </c>
      <c r="B39" s="11" t="s">
        <v>854</v>
      </c>
      <c r="C39" s="158" t="s">
        <v>1870</v>
      </c>
      <c r="D39" s="11">
        <v>20.7</v>
      </c>
      <c r="E39" s="11">
        <v>48.7</v>
      </c>
      <c r="F39" s="11" t="s">
        <v>1991</v>
      </c>
      <c r="G39" s="11" t="s">
        <v>1992</v>
      </c>
      <c r="H39" s="11" t="s">
        <v>1933</v>
      </c>
      <c r="I39" s="11" t="s">
        <v>1990</v>
      </c>
      <c r="J39" s="159"/>
      <c r="K39" s="166">
        <v>0.0</v>
      </c>
    </row>
    <row r="40" ht="22.5" customHeight="1">
      <c r="A40" s="17" t="s">
        <v>322</v>
      </c>
      <c r="B40" s="11" t="s">
        <v>856</v>
      </c>
      <c r="C40" s="158" t="s">
        <v>1870</v>
      </c>
      <c r="D40" s="11">
        <v>20.7</v>
      </c>
      <c r="E40" s="11">
        <v>48.1</v>
      </c>
      <c r="F40" s="11" t="s">
        <v>1993</v>
      </c>
      <c r="G40" s="11" t="s">
        <v>1992</v>
      </c>
      <c r="H40" s="11" t="s">
        <v>1933</v>
      </c>
      <c r="I40" s="11" t="s">
        <v>1994</v>
      </c>
      <c r="J40" s="159"/>
      <c r="K40" s="166">
        <v>0.0</v>
      </c>
    </row>
    <row r="41" ht="22.5" customHeight="1">
      <c r="A41" s="17" t="s">
        <v>340</v>
      </c>
      <c r="B41" s="11" t="s">
        <v>858</v>
      </c>
      <c r="C41" s="158" t="s">
        <v>1870</v>
      </c>
      <c r="D41" s="11">
        <v>20.5</v>
      </c>
      <c r="E41" s="11">
        <v>48.2</v>
      </c>
      <c r="F41" s="11" t="s">
        <v>1995</v>
      </c>
      <c r="G41" s="11" t="s">
        <v>1992</v>
      </c>
      <c r="H41" s="11" t="s">
        <v>1933</v>
      </c>
      <c r="I41" s="11" t="s">
        <v>1996</v>
      </c>
      <c r="J41" s="159"/>
      <c r="K41" s="166">
        <v>0.0</v>
      </c>
    </row>
    <row r="42" ht="22.5" customHeight="1">
      <c r="A42" s="17" t="s">
        <v>348</v>
      </c>
      <c r="B42" s="11" t="s">
        <v>859</v>
      </c>
      <c r="C42" s="158" t="s">
        <v>1870</v>
      </c>
      <c r="D42" s="11">
        <v>19.2</v>
      </c>
      <c r="E42" s="11">
        <v>51.7</v>
      </c>
      <c r="F42" s="11" t="s">
        <v>1997</v>
      </c>
      <c r="G42" s="11" t="s">
        <v>1977</v>
      </c>
      <c r="H42" s="11" t="s">
        <v>1933</v>
      </c>
      <c r="I42" s="11" t="s">
        <v>1996</v>
      </c>
      <c r="J42" s="159"/>
      <c r="K42" s="166">
        <v>0.0</v>
      </c>
    </row>
    <row r="43" ht="22.5" customHeight="1">
      <c r="A43" s="17" t="s">
        <v>357</v>
      </c>
      <c r="B43" s="11" t="s">
        <v>860</v>
      </c>
      <c r="C43" s="158" t="s">
        <v>1870</v>
      </c>
      <c r="D43" s="11">
        <v>19.3</v>
      </c>
      <c r="E43" s="11">
        <v>50.3</v>
      </c>
      <c r="F43" s="11" t="s">
        <v>1998</v>
      </c>
      <c r="G43" s="11" t="s">
        <v>1977</v>
      </c>
      <c r="H43" s="11" t="s">
        <v>1933</v>
      </c>
      <c r="I43" s="11" t="s">
        <v>1999</v>
      </c>
      <c r="J43" s="159"/>
      <c r="K43" s="166">
        <v>0.0</v>
      </c>
    </row>
    <row r="44" ht="22.5" customHeight="1">
      <c r="A44" s="17" t="s">
        <v>370</v>
      </c>
      <c r="B44" s="11" t="s">
        <v>861</v>
      </c>
      <c r="C44" s="158" t="s">
        <v>1870</v>
      </c>
      <c r="D44" s="11">
        <v>19.5</v>
      </c>
      <c r="E44" s="11">
        <v>49.2</v>
      </c>
      <c r="F44" s="11" t="s">
        <v>2001</v>
      </c>
      <c r="G44" s="11" t="s">
        <v>1963</v>
      </c>
      <c r="H44" s="11" t="s">
        <v>1933</v>
      </c>
      <c r="I44" s="11" t="s">
        <v>2002</v>
      </c>
      <c r="J44" s="159"/>
      <c r="K44" s="166">
        <v>0.0</v>
      </c>
    </row>
    <row r="45" ht="22.5" customHeight="1">
      <c r="A45" s="17" t="s">
        <v>374</v>
      </c>
      <c r="B45" s="11" t="s">
        <v>2003</v>
      </c>
      <c r="C45" s="158" t="s">
        <v>1870</v>
      </c>
      <c r="D45" s="11">
        <v>20.7</v>
      </c>
      <c r="E45" s="11">
        <v>31.1</v>
      </c>
      <c r="F45" s="11" t="s">
        <v>2004</v>
      </c>
      <c r="G45" s="11" t="s">
        <v>1963</v>
      </c>
      <c r="H45" s="11" t="s">
        <v>1933</v>
      </c>
      <c r="I45" s="11" t="s">
        <v>2005</v>
      </c>
      <c r="J45" s="159"/>
      <c r="K45" s="166">
        <v>0.0</v>
      </c>
    </row>
    <row r="46" ht="22.5" customHeight="1">
      <c r="A46" s="17" t="s">
        <v>384</v>
      </c>
      <c r="B46" s="11" t="s">
        <v>2006</v>
      </c>
      <c r="C46" s="158" t="s">
        <v>1870</v>
      </c>
      <c r="D46" s="11">
        <v>20.4</v>
      </c>
      <c r="E46" s="11">
        <v>31.8</v>
      </c>
      <c r="F46" s="11" t="s">
        <v>2007</v>
      </c>
      <c r="G46" s="11" t="s">
        <v>2008</v>
      </c>
      <c r="H46" s="11" t="s">
        <v>1933</v>
      </c>
      <c r="I46" s="11" t="s">
        <v>2005</v>
      </c>
      <c r="J46" s="159"/>
      <c r="K46" s="166">
        <v>0.0</v>
      </c>
    </row>
    <row r="47" ht="22.5" customHeight="1">
      <c r="A47" s="17" t="s">
        <v>684</v>
      </c>
      <c r="B47" s="11" t="s">
        <v>1069</v>
      </c>
      <c r="C47" s="158" t="s">
        <v>1870</v>
      </c>
      <c r="D47" s="11">
        <v>20.9</v>
      </c>
      <c r="E47" s="11">
        <v>49.2</v>
      </c>
      <c r="F47" s="11" t="s">
        <v>1995</v>
      </c>
      <c r="G47" s="11" t="s">
        <v>1968</v>
      </c>
      <c r="H47" s="11" t="s">
        <v>1933</v>
      </c>
      <c r="I47" s="11" t="s">
        <v>1999</v>
      </c>
      <c r="J47" s="159"/>
      <c r="K47" s="166">
        <v>1.0</v>
      </c>
    </row>
    <row r="48" ht="22.5" customHeight="1">
      <c r="A48" s="17" t="s">
        <v>688</v>
      </c>
      <c r="B48" s="11" t="s">
        <v>1119</v>
      </c>
      <c r="C48" s="158" t="s">
        <v>1870</v>
      </c>
      <c r="D48" s="11">
        <v>20.1</v>
      </c>
      <c r="E48" s="11">
        <v>49.9</v>
      </c>
      <c r="F48" s="11" t="s">
        <v>2009</v>
      </c>
      <c r="G48" s="11" t="s">
        <v>1968</v>
      </c>
      <c r="H48" s="11" t="s">
        <v>1933</v>
      </c>
      <c r="I48" s="11" t="s">
        <v>1942</v>
      </c>
      <c r="J48" s="159"/>
      <c r="K48" s="166">
        <v>1.0</v>
      </c>
    </row>
    <row r="49" ht="22.5" customHeight="1">
      <c r="A49" s="17" t="s">
        <v>394</v>
      </c>
      <c r="B49" s="11" t="s">
        <v>869</v>
      </c>
      <c r="C49" s="158" t="s">
        <v>1870</v>
      </c>
      <c r="D49" s="11">
        <v>22.5</v>
      </c>
      <c r="E49" s="11">
        <v>28.5</v>
      </c>
      <c r="F49" s="11" t="s">
        <v>2009</v>
      </c>
      <c r="G49" s="11" t="s">
        <v>2010</v>
      </c>
      <c r="H49" s="11" t="s">
        <v>1933</v>
      </c>
      <c r="I49" s="11" t="s">
        <v>1937</v>
      </c>
      <c r="J49" s="159"/>
      <c r="K49" s="166">
        <v>0.0</v>
      </c>
    </row>
    <row r="50" ht="22.5" customHeight="1">
      <c r="A50" s="17" t="s">
        <v>413</v>
      </c>
      <c r="B50" s="11" t="s">
        <v>870</v>
      </c>
      <c r="C50" s="158" t="s">
        <v>1870</v>
      </c>
      <c r="D50" s="11">
        <v>23.4</v>
      </c>
      <c r="E50" s="11">
        <v>23.8</v>
      </c>
      <c r="F50" s="11" t="s">
        <v>1962</v>
      </c>
      <c r="G50" s="11" t="s">
        <v>2010</v>
      </c>
      <c r="H50" s="11" t="s">
        <v>1933</v>
      </c>
      <c r="I50" s="11" t="s">
        <v>1942</v>
      </c>
      <c r="J50" s="159"/>
      <c r="K50" s="166">
        <v>0.0</v>
      </c>
    </row>
    <row r="51" ht="22.5" customHeight="1">
      <c r="A51" s="17" t="s">
        <v>705</v>
      </c>
      <c r="B51" s="11" t="s">
        <v>881</v>
      </c>
      <c r="C51" s="158" t="s">
        <v>1870</v>
      </c>
      <c r="D51" s="11">
        <v>21.3</v>
      </c>
      <c r="E51" s="11">
        <v>52.3</v>
      </c>
      <c r="F51" s="11" t="s">
        <v>1952</v>
      </c>
      <c r="G51" s="11" t="s">
        <v>2010</v>
      </c>
      <c r="H51" s="11" t="s">
        <v>1933</v>
      </c>
      <c r="I51" s="11" t="s">
        <v>1940</v>
      </c>
      <c r="J51" s="159"/>
      <c r="K51" s="166">
        <v>0.0</v>
      </c>
    </row>
    <row r="52" ht="22.5" customHeight="1">
      <c r="A52" s="17" t="s">
        <v>443</v>
      </c>
      <c r="B52" s="11" t="s">
        <v>880</v>
      </c>
      <c r="C52" s="158" t="s">
        <v>1870</v>
      </c>
      <c r="D52" s="11">
        <v>21.4</v>
      </c>
      <c r="E52" s="11">
        <v>52.2</v>
      </c>
      <c r="F52" s="11" t="s">
        <v>1952</v>
      </c>
      <c r="G52" s="11" t="s">
        <v>2008</v>
      </c>
      <c r="H52" s="11" t="s">
        <v>1933</v>
      </c>
      <c r="I52" s="11" t="s">
        <v>1942</v>
      </c>
      <c r="J52" s="159"/>
      <c r="K52" s="166">
        <v>0.0</v>
      </c>
    </row>
    <row r="53" ht="22.5" customHeight="1">
      <c r="A53" s="17" t="s">
        <v>717</v>
      </c>
      <c r="B53" s="11" t="s">
        <v>1069</v>
      </c>
      <c r="C53" s="158" t="s">
        <v>1870</v>
      </c>
      <c r="D53" s="11">
        <v>21.5</v>
      </c>
      <c r="E53" s="11">
        <v>47.8</v>
      </c>
      <c r="F53" s="11" t="s">
        <v>1989</v>
      </c>
      <c r="G53" s="11" t="s">
        <v>1939</v>
      </c>
      <c r="H53" s="11" t="s">
        <v>1933</v>
      </c>
      <c r="I53" s="11" t="s">
        <v>2013</v>
      </c>
      <c r="J53" s="159"/>
      <c r="K53" s="166">
        <v>0.0</v>
      </c>
    </row>
    <row r="54" ht="22.5" customHeight="1">
      <c r="A54" s="17" t="s">
        <v>721</v>
      </c>
      <c r="B54" s="11" t="s">
        <v>1124</v>
      </c>
      <c r="C54" s="158" t="s">
        <v>1870</v>
      </c>
      <c r="D54" s="11">
        <v>21.3</v>
      </c>
      <c r="E54" s="11">
        <v>53.3</v>
      </c>
      <c r="F54" s="11" t="s">
        <v>1946</v>
      </c>
      <c r="G54" s="11" t="s">
        <v>1936</v>
      </c>
      <c r="H54" s="11" t="s">
        <v>1933</v>
      </c>
      <c r="I54" s="11" t="s">
        <v>2014</v>
      </c>
      <c r="J54" s="159"/>
      <c r="K54" s="166">
        <v>1.0</v>
      </c>
    </row>
    <row r="55" ht="22.5" customHeight="1">
      <c r="A55" s="17" t="s">
        <v>726</v>
      </c>
      <c r="B55" s="11" t="s">
        <v>1125</v>
      </c>
      <c r="C55" s="158" t="s">
        <v>1870</v>
      </c>
      <c r="D55" s="11">
        <v>21.4</v>
      </c>
      <c r="E55" s="11">
        <v>53.6</v>
      </c>
      <c r="F55" s="11" t="s">
        <v>1944</v>
      </c>
      <c r="G55" s="11" t="s">
        <v>1963</v>
      </c>
      <c r="H55" s="11" t="s">
        <v>1933</v>
      </c>
      <c r="I55" s="11" t="s">
        <v>1934</v>
      </c>
      <c r="J55" s="159"/>
      <c r="K55" s="166">
        <v>0.0</v>
      </c>
    </row>
    <row r="56" ht="22.5" customHeight="1">
      <c r="A56" s="17" t="s">
        <v>732</v>
      </c>
      <c r="B56" s="11" t="s">
        <v>1061</v>
      </c>
      <c r="C56" s="158" t="s">
        <v>1870</v>
      </c>
      <c r="D56" s="11">
        <v>21.5</v>
      </c>
      <c r="E56" s="11">
        <v>52.1</v>
      </c>
      <c r="F56" s="11" t="s">
        <v>1944</v>
      </c>
      <c r="G56" s="11" t="s">
        <v>1963</v>
      </c>
      <c r="H56" s="11" t="s">
        <v>1933</v>
      </c>
      <c r="I56" s="11" t="s">
        <v>1934</v>
      </c>
      <c r="J56" s="159"/>
      <c r="K56" s="166">
        <v>0.0</v>
      </c>
    </row>
    <row r="57" ht="22.5" customHeight="1">
      <c r="A57" s="17" t="s">
        <v>739</v>
      </c>
      <c r="B57" s="11" t="s">
        <v>940</v>
      </c>
      <c r="C57" s="158" t="s">
        <v>1870</v>
      </c>
      <c r="D57" s="11">
        <v>21.3</v>
      </c>
      <c r="E57" s="11">
        <v>53.3</v>
      </c>
      <c r="F57" s="11" t="s">
        <v>1941</v>
      </c>
      <c r="G57" s="11" t="s">
        <v>2008</v>
      </c>
      <c r="H57" s="11" t="s">
        <v>1933</v>
      </c>
      <c r="I57" s="11" t="s">
        <v>1951</v>
      </c>
      <c r="J57" s="159"/>
      <c r="K57" s="166">
        <v>0.0</v>
      </c>
    </row>
    <row r="58" ht="22.5" customHeight="1">
      <c r="A58" s="17" t="s">
        <v>747</v>
      </c>
      <c r="B58" s="11" t="s">
        <v>1048</v>
      </c>
      <c r="C58" s="158" t="s">
        <v>1870</v>
      </c>
      <c r="D58" s="11">
        <v>21.5</v>
      </c>
      <c r="E58" s="11">
        <v>52.0</v>
      </c>
      <c r="F58" s="11" t="s">
        <v>1952</v>
      </c>
      <c r="G58" s="11" t="s">
        <v>2008</v>
      </c>
      <c r="H58" s="11" t="s">
        <v>1933</v>
      </c>
      <c r="I58" s="11" t="s">
        <v>1942</v>
      </c>
      <c r="J58" s="159"/>
      <c r="K58" s="166">
        <v>1.0</v>
      </c>
    </row>
    <row r="59" ht="22.5" customHeight="1">
      <c r="A59" s="17" t="s">
        <v>698</v>
      </c>
      <c r="B59" s="11" t="s">
        <v>879</v>
      </c>
      <c r="C59" s="158" t="s">
        <v>1870</v>
      </c>
      <c r="D59" s="11">
        <v>21.5</v>
      </c>
      <c r="E59" s="11">
        <v>49.0</v>
      </c>
      <c r="F59" s="11" t="s">
        <v>1961</v>
      </c>
      <c r="G59" s="11" t="s">
        <v>2008</v>
      </c>
      <c r="H59" s="11" t="s">
        <v>1933</v>
      </c>
      <c r="I59" s="11" t="s">
        <v>1948</v>
      </c>
      <c r="J59" s="159"/>
      <c r="K59" s="166">
        <v>0.0</v>
      </c>
    </row>
    <row r="60" ht="22.5" customHeight="1">
      <c r="A60" s="17" t="s">
        <v>761</v>
      </c>
      <c r="B60" s="11" t="s">
        <v>1069</v>
      </c>
      <c r="C60" s="158" t="s">
        <v>1870</v>
      </c>
      <c r="D60" s="11">
        <v>22.2</v>
      </c>
      <c r="E60" s="11">
        <v>44.9</v>
      </c>
      <c r="F60" s="11" t="s">
        <v>2015</v>
      </c>
      <c r="G60" s="11" t="s">
        <v>1936</v>
      </c>
      <c r="H60" s="11" t="s">
        <v>1933</v>
      </c>
      <c r="I60" s="11" t="s">
        <v>1969</v>
      </c>
      <c r="J60" s="159"/>
      <c r="K60" s="166">
        <v>0.0</v>
      </c>
    </row>
    <row r="61" ht="22.5" customHeight="1">
      <c r="A61" s="17" t="s">
        <v>768</v>
      </c>
      <c r="B61" s="11" t="s">
        <v>1127</v>
      </c>
      <c r="C61" s="158" t="s">
        <v>1870</v>
      </c>
      <c r="D61" s="11">
        <v>19.7</v>
      </c>
      <c r="E61" s="11">
        <v>54.3</v>
      </c>
      <c r="F61" s="11" t="s">
        <v>2001</v>
      </c>
      <c r="G61" s="11" t="s">
        <v>1936</v>
      </c>
      <c r="H61" s="11" t="s">
        <v>1933</v>
      </c>
      <c r="I61" s="11" t="s">
        <v>2005</v>
      </c>
      <c r="J61" s="159"/>
      <c r="K61" s="166">
        <v>1.0</v>
      </c>
    </row>
    <row r="62" ht="22.5" customHeight="1">
      <c r="A62" s="17" t="s">
        <v>433</v>
      </c>
      <c r="B62" s="11" t="s">
        <v>2016</v>
      </c>
      <c r="C62" s="158" t="s">
        <v>1870</v>
      </c>
      <c r="D62" s="11">
        <v>20.3</v>
      </c>
      <c r="E62" s="11">
        <v>29.4</v>
      </c>
      <c r="F62" s="11" t="s">
        <v>2017</v>
      </c>
      <c r="G62" s="11" t="s">
        <v>1977</v>
      </c>
      <c r="H62" s="11" t="s">
        <v>1933</v>
      </c>
      <c r="I62" s="11" t="s">
        <v>1969</v>
      </c>
      <c r="J62" s="159"/>
      <c r="K62" s="166">
        <v>0.0</v>
      </c>
    </row>
    <row r="63" ht="22.5" customHeight="1">
      <c r="A63" s="17" t="s">
        <v>422</v>
      </c>
      <c r="B63" s="11" t="s">
        <v>2018</v>
      </c>
      <c r="C63" s="158" t="s">
        <v>1870</v>
      </c>
      <c r="D63" s="11">
        <v>21.1</v>
      </c>
      <c r="E63" s="11">
        <v>48.5</v>
      </c>
      <c r="F63" s="11" t="s">
        <v>1971</v>
      </c>
      <c r="G63" s="11" t="s">
        <v>1992</v>
      </c>
      <c r="H63" s="11" t="s">
        <v>1933</v>
      </c>
      <c r="I63" s="11" t="s">
        <v>2019</v>
      </c>
      <c r="J63" s="159"/>
      <c r="K63" s="166">
        <v>0.0</v>
      </c>
    </row>
    <row r="64" ht="22.5" customHeight="1">
      <c r="A64" s="17" t="s">
        <v>794</v>
      </c>
      <c r="B64" s="11" t="s">
        <v>1130</v>
      </c>
      <c r="C64" s="158" t="s">
        <v>1870</v>
      </c>
      <c r="D64" s="11">
        <v>21.2</v>
      </c>
      <c r="E64" s="11">
        <v>27.8</v>
      </c>
      <c r="F64" s="11" t="s">
        <v>2017</v>
      </c>
      <c r="G64" s="11" t="s">
        <v>1992</v>
      </c>
      <c r="H64" s="11" t="s">
        <v>1933</v>
      </c>
      <c r="I64" s="11" t="s">
        <v>1978</v>
      </c>
      <c r="J64" s="159"/>
      <c r="K64" s="166">
        <v>0.0</v>
      </c>
    </row>
    <row r="65" ht="22.5" customHeight="1">
      <c r="A65" s="17" t="s">
        <v>801</v>
      </c>
      <c r="B65" s="11" t="s">
        <v>1130</v>
      </c>
      <c r="C65" s="158" t="s">
        <v>1870</v>
      </c>
      <c r="D65" s="11">
        <v>21.2</v>
      </c>
      <c r="E65" s="11">
        <v>48.0</v>
      </c>
      <c r="F65" s="11" t="s">
        <v>2021</v>
      </c>
      <c r="G65" s="11" t="s">
        <v>1992</v>
      </c>
      <c r="H65" s="11" t="s">
        <v>1933</v>
      </c>
      <c r="I65" s="11" t="s">
        <v>1969</v>
      </c>
      <c r="J65" s="159"/>
      <c r="K65" s="166">
        <v>1.0</v>
      </c>
    </row>
    <row r="66" ht="22.5" customHeight="1">
      <c r="A66" s="17" t="s">
        <v>808</v>
      </c>
      <c r="B66" s="11" t="s">
        <v>1131</v>
      </c>
      <c r="C66" s="158" t="s">
        <v>1870</v>
      </c>
      <c r="D66" s="11">
        <v>20.2</v>
      </c>
      <c r="E66" s="11">
        <v>52.2</v>
      </c>
      <c r="F66" s="11" t="s">
        <v>2007</v>
      </c>
      <c r="G66" s="11" t="s">
        <v>2008</v>
      </c>
      <c r="H66" s="11" t="s">
        <v>1933</v>
      </c>
      <c r="I66" s="11" t="s">
        <v>2005</v>
      </c>
      <c r="J66" s="159"/>
      <c r="K66" s="166">
        <v>0.0</v>
      </c>
    </row>
    <row r="67" ht="22.5" customHeight="1">
      <c r="A67" s="17" t="s">
        <v>720</v>
      </c>
      <c r="B67" s="11" t="s">
        <v>868</v>
      </c>
      <c r="C67" s="158" t="s">
        <v>1870</v>
      </c>
      <c r="D67" s="11">
        <v>21.2</v>
      </c>
      <c r="E67" s="11">
        <v>48.8</v>
      </c>
      <c r="F67" s="11" t="s">
        <v>2022</v>
      </c>
      <c r="G67" s="11" t="s">
        <v>2010</v>
      </c>
      <c r="H67" s="11" t="s">
        <v>1933</v>
      </c>
      <c r="I67" s="11" t="s">
        <v>2023</v>
      </c>
      <c r="J67" s="159"/>
      <c r="K67" s="166">
        <v>0.0</v>
      </c>
    </row>
    <row r="68" ht="22.5" customHeight="1">
      <c r="A68" s="17" t="s">
        <v>824</v>
      </c>
      <c r="B68" s="11" t="s">
        <v>1132</v>
      </c>
      <c r="C68" s="158" t="s">
        <v>1870</v>
      </c>
      <c r="D68" s="11">
        <v>23.4</v>
      </c>
      <c r="E68" s="11">
        <v>43.3</v>
      </c>
      <c r="F68" s="11" t="s">
        <v>2022</v>
      </c>
      <c r="G68" s="11" t="s">
        <v>2010</v>
      </c>
      <c r="H68" s="11" t="s">
        <v>1933</v>
      </c>
      <c r="I68" s="11" t="s">
        <v>2023</v>
      </c>
      <c r="J68" s="159"/>
      <c r="K68" s="166">
        <v>0.0</v>
      </c>
    </row>
    <row r="69" ht="22.5" customHeight="1">
      <c r="A69" s="17" t="s">
        <v>828</v>
      </c>
      <c r="B69" s="11" t="s">
        <v>1069</v>
      </c>
      <c r="C69" s="158" t="s">
        <v>1870</v>
      </c>
      <c r="D69" s="11">
        <v>23.3</v>
      </c>
      <c r="E69" s="11">
        <v>37.6</v>
      </c>
      <c r="F69" s="11" t="s">
        <v>2024</v>
      </c>
      <c r="G69" s="11" t="s">
        <v>1974</v>
      </c>
      <c r="H69" s="11" t="s">
        <v>1933</v>
      </c>
      <c r="I69" s="11" t="s">
        <v>2025</v>
      </c>
      <c r="J69" s="159"/>
      <c r="K69" s="166">
        <v>0.0</v>
      </c>
    </row>
    <row r="70" ht="22.5" customHeight="1">
      <c r="A70" s="17" t="s">
        <v>255</v>
      </c>
      <c r="B70" s="11" t="s">
        <v>1130</v>
      </c>
      <c r="C70" s="158" t="s">
        <v>1870</v>
      </c>
      <c r="D70" s="11">
        <v>23.8</v>
      </c>
      <c r="E70" s="11">
        <v>39.7</v>
      </c>
      <c r="F70" s="11" t="s">
        <v>2026</v>
      </c>
      <c r="G70" s="11" t="s">
        <v>1968</v>
      </c>
      <c r="H70" s="11" t="s">
        <v>1933</v>
      </c>
      <c r="I70" s="11" t="s">
        <v>2023</v>
      </c>
      <c r="J70" s="159"/>
      <c r="K70" s="166">
        <v>0.0</v>
      </c>
    </row>
  </sheetData>
  <dataValidations>
    <dataValidation type="list" allowBlank="1" sqref="C2:C70">
      <formula1>"POTENT,NON-POTENT"</formula1>
    </dataValidation>
    <dataValidation type="custom" allowBlank="1" showDropDown="1" sqref="K2:K70">
      <formula1>AND(ISNUMBER(K2),(NOT(OR(NOT(ISERROR(DATEVALUE(K2))), AND(ISNUMBER(K2), LEFT(CELL("format", K2))="D")))))</formula1>
    </dataValidation>
    <dataValidation allowBlank="1" showDropDown="1" sqref="A2:B70 F2:J70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25"/>
    <col customWidth="1" min="3" max="3" width="27.13"/>
    <col customWidth="1" min="4" max="4" width="16.13"/>
    <col customWidth="1" min="7" max="7" width="13.0"/>
    <col customWidth="1" min="8" max="8" width="12.38"/>
    <col customWidth="1" min="9" max="9" width="14.0"/>
    <col customWidth="1" min="10" max="10" width="13.38"/>
  </cols>
  <sheetData>
    <row r="1" ht="22.5" customHeight="1">
      <c r="A1" s="4" t="s">
        <v>2029</v>
      </c>
      <c r="B1" s="4" t="s">
        <v>1863</v>
      </c>
      <c r="C1" s="4" t="s">
        <v>1864</v>
      </c>
      <c r="D1" s="4" t="s">
        <v>1866</v>
      </c>
      <c r="E1" s="4" t="s">
        <v>1926</v>
      </c>
      <c r="F1" s="4" t="s">
        <v>1927</v>
      </c>
      <c r="G1" s="4" t="s">
        <v>1928</v>
      </c>
      <c r="H1" s="4" t="s">
        <v>1929</v>
      </c>
      <c r="I1" s="4" t="s">
        <v>150</v>
      </c>
      <c r="J1" s="89" t="s">
        <v>169</v>
      </c>
    </row>
    <row r="2" ht="22.5" customHeight="1">
      <c r="A2" s="151"/>
      <c r="B2" s="17" t="s">
        <v>1134</v>
      </c>
      <c r="C2" s="11" t="s">
        <v>1071</v>
      </c>
      <c r="D2" s="158" t="s">
        <v>1870</v>
      </c>
      <c r="E2" s="11" t="s">
        <v>1956</v>
      </c>
      <c r="F2" s="11" t="s">
        <v>1939</v>
      </c>
      <c r="G2" s="11" t="s">
        <v>1933</v>
      </c>
      <c r="H2" s="11" t="s">
        <v>2030</v>
      </c>
      <c r="I2" s="159"/>
      <c r="J2" s="171"/>
    </row>
    <row r="3" ht="22.5" customHeight="1">
      <c r="A3" s="151"/>
      <c r="B3" s="17" t="s">
        <v>1136</v>
      </c>
      <c r="C3" s="11" t="s">
        <v>1075</v>
      </c>
      <c r="D3" s="158" t="s">
        <v>1870</v>
      </c>
      <c r="E3" s="11" t="s">
        <v>2031</v>
      </c>
      <c r="F3" s="11" t="s">
        <v>2032</v>
      </c>
      <c r="G3" s="11" t="s">
        <v>1933</v>
      </c>
      <c r="H3" s="11" t="s">
        <v>2033</v>
      </c>
      <c r="I3" s="159"/>
      <c r="J3" s="171"/>
    </row>
    <row r="4" ht="22.5" customHeight="1">
      <c r="A4" s="151"/>
      <c r="B4" s="17" t="s">
        <v>1137</v>
      </c>
      <c r="C4" s="11" t="s">
        <v>1069</v>
      </c>
      <c r="D4" s="158" t="s">
        <v>1870</v>
      </c>
      <c r="E4" s="11" t="s">
        <v>2034</v>
      </c>
      <c r="F4" s="11" t="s">
        <v>2035</v>
      </c>
      <c r="G4" s="11" t="s">
        <v>1933</v>
      </c>
      <c r="H4" s="11" t="s">
        <v>1982</v>
      </c>
      <c r="I4" s="159"/>
      <c r="J4" s="171"/>
    </row>
    <row r="5" ht="22.5" customHeight="1">
      <c r="A5" s="151"/>
      <c r="B5" s="17" t="s">
        <v>1139</v>
      </c>
      <c r="C5" s="11" t="s">
        <v>1048</v>
      </c>
      <c r="D5" s="158" t="s">
        <v>1870</v>
      </c>
      <c r="E5" s="11" t="s">
        <v>2036</v>
      </c>
      <c r="F5" s="11" t="s">
        <v>2035</v>
      </c>
      <c r="G5" s="11" t="s">
        <v>1933</v>
      </c>
      <c r="H5" s="11" t="s">
        <v>1969</v>
      </c>
      <c r="I5" s="159"/>
      <c r="J5" s="171"/>
    </row>
    <row r="6" ht="22.5" customHeight="1">
      <c r="A6" s="151"/>
      <c r="B6" s="17" t="s">
        <v>1140</v>
      </c>
      <c r="C6" s="11" t="s">
        <v>1141</v>
      </c>
      <c r="D6" s="158" t="s">
        <v>1870</v>
      </c>
      <c r="E6" s="11" t="s">
        <v>2036</v>
      </c>
      <c r="F6" s="11" t="s">
        <v>2035</v>
      </c>
      <c r="G6" s="11" t="s">
        <v>1933</v>
      </c>
      <c r="H6" s="11" t="s">
        <v>1969</v>
      </c>
      <c r="I6" s="159"/>
      <c r="J6" s="171"/>
    </row>
    <row r="7" ht="22.5" customHeight="1">
      <c r="A7" s="151"/>
      <c r="B7" s="17" t="s">
        <v>1142</v>
      </c>
      <c r="C7" s="11" t="s">
        <v>1066</v>
      </c>
      <c r="D7" s="158" t="s">
        <v>1870</v>
      </c>
      <c r="E7" s="11" t="s">
        <v>2037</v>
      </c>
      <c r="F7" s="11" t="s">
        <v>2038</v>
      </c>
      <c r="G7" s="11" t="s">
        <v>1933</v>
      </c>
      <c r="H7" s="11" t="s">
        <v>1978</v>
      </c>
      <c r="I7" s="159"/>
      <c r="J7" s="171"/>
    </row>
    <row r="8" ht="22.5" customHeight="1">
      <c r="A8" s="151"/>
      <c r="B8" s="17" t="s">
        <v>1143</v>
      </c>
      <c r="C8" s="11" t="s">
        <v>1077</v>
      </c>
      <c r="D8" s="158" t="s">
        <v>1870</v>
      </c>
      <c r="E8" s="11" t="s">
        <v>2040</v>
      </c>
      <c r="F8" s="11" t="s">
        <v>2041</v>
      </c>
      <c r="G8" s="11" t="s">
        <v>1933</v>
      </c>
      <c r="H8" s="11" t="s">
        <v>1978</v>
      </c>
      <c r="I8" s="159"/>
      <c r="J8" s="171"/>
    </row>
    <row r="9" ht="22.5" customHeight="1">
      <c r="A9" s="151"/>
      <c r="B9" s="17" t="s">
        <v>1144</v>
      </c>
      <c r="C9" s="11" t="s">
        <v>1069</v>
      </c>
      <c r="D9" s="158" t="s">
        <v>1870</v>
      </c>
      <c r="E9" s="11" t="s">
        <v>2042</v>
      </c>
      <c r="F9" s="11" t="s">
        <v>2043</v>
      </c>
      <c r="G9" s="11" t="s">
        <v>1933</v>
      </c>
      <c r="H9" s="11" t="s">
        <v>2033</v>
      </c>
      <c r="I9" s="159"/>
      <c r="J9" s="171"/>
    </row>
    <row r="10" ht="22.5" customHeight="1">
      <c r="A10" s="151"/>
      <c r="B10" s="17" t="s">
        <v>1145</v>
      </c>
      <c r="C10" s="11" t="s">
        <v>1146</v>
      </c>
      <c r="D10" s="158" t="s">
        <v>1870</v>
      </c>
      <c r="E10" s="11" t="s">
        <v>2044</v>
      </c>
      <c r="F10" s="11" t="s">
        <v>2032</v>
      </c>
      <c r="G10" s="11" t="s">
        <v>1933</v>
      </c>
      <c r="H10" s="11" t="s">
        <v>1975</v>
      </c>
      <c r="I10" s="159"/>
      <c r="J10" s="171"/>
    </row>
    <row r="11" ht="22.5" customHeight="1">
      <c r="A11" s="151"/>
      <c r="B11" s="17" t="s">
        <v>1147</v>
      </c>
      <c r="C11" s="11" t="s">
        <v>1048</v>
      </c>
      <c r="D11" s="158" t="s">
        <v>1870</v>
      </c>
      <c r="E11" s="11" t="s">
        <v>2045</v>
      </c>
      <c r="F11" s="11" t="s">
        <v>2046</v>
      </c>
      <c r="G11" s="11" t="s">
        <v>1933</v>
      </c>
      <c r="H11" s="11" t="s">
        <v>2047</v>
      </c>
      <c r="I11" s="159"/>
      <c r="J11" s="171"/>
    </row>
    <row r="12" ht="22.5" customHeight="1">
      <c r="A12" s="151"/>
      <c r="B12" s="17" t="s">
        <v>173</v>
      </c>
      <c r="C12" s="11" t="s">
        <v>2048</v>
      </c>
      <c r="D12" s="158" t="s">
        <v>1870</v>
      </c>
      <c r="E12" s="11" t="s">
        <v>2049</v>
      </c>
      <c r="F12" s="11" t="s">
        <v>2046</v>
      </c>
      <c r="G12" s="11" t="s">
        <v>1933</v>
      </c>
      <c r="H12" s="11" t="s">
        <v>1982</v>
      </c>
      <c r="I12" s="159"/>
      <c r="J12" s="171"/>
    </row>
    <row r="13" ht="22.5" customHeight="1">
      <c r="A13" s="151"/>
      <c r="B13" s="17" t="s">
        <v>1149</v>
      </c>
      <c r="C13" s="11" t="s">
        <v>1048</v>
      </c>
      <c r="D13" s="158" t="s">
        <v>1870</v>
      </c>
      <c r="E13" s="11" t="s">
        <v>2050</v>
      </c>
      <c r="F13" s="11" t="s">
        <v>2051</v>
      </c>
      <c r="G13" s="11" t="s">
        <v>1933</v>
      </c>
      <c r="H13" s="11" t="s">
        <v>2047</v>
      </c>
      <c r="I13" s="159"/>
      <c r="J13" s="171"/>
    </row>
    <row r="14" ht="22.5" customHeight="1">
      <c r="A14" s="151"/>
      <c r="B14" s="17" t="s">
        <v>179</v>
      </c>
      <c r="C14" s="11" t="s">
        <v>2052</v>
      </c>
      <c r="D14" s="158" t="s">
        <v>1870</v>
      </c>
      <c r="E14" s="11" t="s">
        <v>2050</v>
      </c>
      <c r="F14" s="11" t="s">
        <v>2051</v>
      </c>
      <c r="G14" s="11" t="s">
        <v>1933</v>
      </c>
      <c r="H14" s="11" t="s">
        <v>2047</v>
      </c>
      <c r="I14" s="159"/>
      <c r="J14" s="171"/>
    </row>
    <row r="15" ht="22.5" customHeight="1">
      <c r="A15" s="151"/>
      <c r="B15" s="17" t="s">
        <v>1151</v>
      </c>
      <c r="C15" s="11" t="s">
        <v>1127</v>
      </c>
      <c r="D15" s="158" t="s">
        <v>1870</v>
      </c>
      <c r="E15" s="11" t="s">
        <v>2050</v>
      </c>
      <c r="F15" s="11" t="s">
        <v>2053</v>
      </c>
      <c r="G15" s="11" t="s">
        <v>1933</v>
      </c>
      <c r="H15" s="11" t="s">
        <v>1982</v>
      </c>
      <c r="I15" s="159"/>
      <c r="J15" s="171"/>
    </row>
    <row r="16" ht="22.5" customHeight="1">
      <c r="A16" s="151"/>
      <c r="B16" s="17" t="s">
        <v>1152</v>
      </c>
      <c r="C16" s="11" t="s">
        <v>1048</v>
      </c>
      <c r="D16" s="158" t="s">
        <v>1870</v>
      </c>
      <c r="E16" s="11" t="s">
        <v>2054</v>
      </c>
      <c r="F16" s="11" t="s">
        <v>2053</v>
      </c>
      <c r="G16" s="11" t="s">
        <v>1933</v>
      </c>
      <c r="H16" s="11" t="s">
        <v>2047</v>
      </c>
      <c r="I16" s="159"/>
      <c r="J16" s="171"/>
    </row>
    <row r="17" ht="22.5" customHeight="1">
      <c r="A17" s="151"/>
      <c r="B17" s="17" t="s">
        <v>1153</v>
      </c>
      <c r="C17" s="11" t="s">
        <v>1069</v>
      </c>
      <c r="D17" s="158" t="s">
        <v>1870</v>
      </c>
      <c r="E17" s="11" t="s">
        <v>2022</v>
      </c>
      <c r="F17" s="11" t="s">
        <v>2055</v>
      </c>
      <c r="G17" s="11" t="s">
        <v>1933</v>
      </c>
      <c r="H17" s="11" t="s">
        <v>1953</v>
      </c>
      <c r="I17" s="159"/>
      <c r="J17" s="171"/>
    </row>
    <row r="18" ht="22.5" customHeight="1">
      <c r="A18" s="151"/>
      <c r="B18" s="17" t="s">
        <v>1154</v>
      </c>
      <c r="C18" s="11" t="s">
        <v>1048</v>
      </c>
      <c r="D18" s="158" t="s">
        <v>1870</v>
      </c>
      <c r="E18" s="11" t="s">
        <v>2056</v>
      </c>
      <c r="F18" s="11" t="s">
        <v>2057</v>
      </c>
      <c r="G18" s="11" t="s">
        <v>1933</v>
      </c>
      <c r="H18" s="11" t="s">
        <v>2058</v>
      </c>
      <c r="I18" s="159"/>
      <c r="J18" s="171"/>
    </row>
    <row r="19" ht="22.5" customHeight="1">
      <c r="A19" s="151"/>
      <c r="B19" s="17" t="s">
        <v>1155</v>
      </c>
      <c r="C19" s="11" t="s">
        <v>1069</v>
      </c>
      <c r="D19" s="158" t="s">
        <v>1870</v>
      </c>
      <c r="E19" s="11" t="s">
        <v>2059</v>
      </c>
      <c r="F19" s="11" t="s">
        <v>2060</v>
      </c>
      <c r="G19" s="11" t="s">
        <v>1933</v>
      </c>
      <c r="H19" s="11" t="s">
        <v>1978</v>
      </c>
      <c r="I19" s="159"/>
      <c r="J19" s="171"/>
    </row>
    <row r="20" ht="22.5" customHeight="1">
      <c r="A20" s="151"/>
      <c r="B20" s="17" t="s">
        <v>463</v>
      </c>
      <c r="C20" s="11" t="s">
        <v>887</v>
      </c>
      <c r="D20" s="158" t="s">
        <v>1870</v>
      </c>
      <c r="E20" s="11" t="s">
        <v>1971</v>
      </c>
      <c r="F20" s="11" t="s">
        <v>2061</v>
      </c>
      <c r="G20" s="11" t="s">
        <v>1933</v>
      </c>
      <c r="H20" s="11" t="s">
        <v>2062</v>
      </c>
      <c r="I20" s="159"/>
      <c r="J20" s="171"/>
    </row>
    <row r="21" ht="22.5" customHeight="1">
      <c r="A21" s="151"/>
      <c r="B21" s="17" t="s">
        <v>471</v>
      </c>
      <c r="C21" s="11" t="s">
        <v>888</v>
      </c>
      <c r="D21" s="158" t="s">
        <v>1870</v>
      </c>
      <c r="E21" s="11" t="s">
        <v>2021</v>
      </c>
      <c r="F21" s="11" t="s">
        <v>2060</v>
      </c>
      <c r="G21" s="11" t="s">
        <v>1933</v>
      </c>
      <c r="H21" s="11" t="s">
        <v>2062</v>
      </c>
      <c r="I21" s="159"/>
      <c r="J21" s="171"/>
    </row>
    <row r="22" ht="22.5" customHeight="1">
      <c r="A22" s="151"/>
      <c r="B22" s="17" t="s">
        <v>187</v>
      </c>
      <c r="C22" s="11" t="s">
        <v>892</v>
      </c>
      <c r="D22" s="158" t="s">
        <v>1870</v>
      </c>
      <c r="E22" s="11" t="s">
        <v>1976</v>
      </c>
      <c r="F22" s="11" t="s">
        <v>2060</v>
      </c>
      <c r="G22" s="11" t="s">
        <v>1933</v>
      </c>
      <c r="H22" s="11" t="s">
        <v>2063</v>
      </c>
      <c r="I22" s="159"/>
      <c r="J22" s="171"/>
    </row>
    <row r="23" ht="22.5" customHeight="1">
      <c r="A23" s="151"/>
      <c r="B23" s="17" t="s">
        <v>249</v>
      </c>
      <c r="C23" s="11" t="s">
        <v>895</v>
      </c>
      <c r="D23" s="158" t="s">
        <v>1870</v>
      </c>
      <c r="E23" s="11" t="s">
        <v>2064</v>
      </c>
      <c r="F23" s="11" t="s">
        <v>2065</v>
      </c>
      <c r="G23" s="11" t="s">
        <v>1933</v>
      </c>
      <c r="H23" s="11" t="s">
        <v>2066</v>
      </c>
      <c r="I23" s="159"/>
      <c r="J23" s="171"/>
    </row>
    <row r="24" ht="22.5" customHeight="1">
      <c r="A24" s="151"/>
      <c r="B24" s="17" t="s">
        <v>492</v>
      </c>
      <c r="C24" s="11" t="s">
        <v>896</v>
      </c>
      <c r="D24" s="158" t="s">
        <v>1870</v>
      </c>
      <c r="E24" s="11" t="s">
        <v>1979</v>
      </c>
      <c r="F24" s="11" t="s">
        <v>2065</v>
      </c>
      <c r="G24" s="11" t="s">
        <v>1933</v>
      </c>
      <c r="H24" s="11" t="s">
        <v>2063</v>
      </c>
      <c r="I24" s="159"/>
      <c r="J24" s="171"/>
    </row>
    <row r="25" ht="22.5" customHeight="1">
      <c r="A25" s="151"/>
      <c r="B25" s="17" t="s">
        <v>498</v>
      </c>
      <c r="C25" s="11" t="s">
        <v>897</v>
      </c>
      <c r="D25" s="158" t="s">
        <v>1870</v>
      </c>
      <c r="E25" s="11" t="s">
        <v>1973</v>
      </c>
      <c r="F25" s="11" t="s">
        <v>2067</v>
      </c>
      <c r="G25" s="11" t="s">
        <v>1933</v>
      </c>
      <c r="H25" s="11" t="s">
        <v>2063</v>
      </c>
      <c r="I25" s="159"/>
      <c r="J25" s="171"/>
    </row>
    <row r="26" ht="22.5" customHeight="1">
      <c r="A26" s="151"/>
      <c r="B26" s="17" t="s">
        <v>505</v>
      </c>
      <c r="C26" s="11" t="s">
        <v>899</v>
      </c>
      <c r="D26" s="158" t="s">
        <v>1870</v>
      </c>
      <c r="E26" s="11" t="s">
        <v>1985</v>
      </c>
      <c r="F26" s="11" t="s">
        <v>2067</v>
      </c>
      <c r="G26" s="11" t="s">
        <v>1933</v>
      </c>
      <c r="H26" s="11" t="s">
        <v>2070</v>
      </c>
      <c r="I26" s="159"/>
      <c r="J26" s="171"/>
    </row>
    <row r="27" ht="22.5" customHeight="1">
      <c r="A27" s="151"/>
      <c r="B27" s="17" t="s">
        <v>195</v>
      </c>
      <c r="C27" s="11" t="s">
        <v>900</v>
      </c>
      <c r="D27" s="158" t="s">
        <v>1870</v>
      </c>
      <c r="E27" s="11" t="s">
        <v>2024</v>
      </c>
      <c r="F27" s="11" t="s">
        <v>2071</v>
      </c>
      <c r="G27" s="11" t="s">
        <v>1933</v>
      </c>
      <c r="H27" s="11" t="s">
        <v>2072</v>
      </c>
      <c r="I27" s="159"/>
      <c r="J27" s="171"/>
    </row>
    <row r="28" ht="22.5" customHeight="1">
      <c r="A28" s="151"/>
      <c r="B28" s="17" t="s">
        <v>208</v>
      </c>
      <c r="C28" s="11" t="s">
        <v>901</v>
      </c>
      <c r="D28" s="158" t="s">
        <v>1870</v>
      </c>
      <c r="E28" s="11" t="s">
        <v>2073</v>
      </c>
      <c r="F28" s="11" t="s">
        <v>2071</v>
      </c>
      <c r="G28" s="11" t="s">
        <v>1933</v>
      </c>
      <c r="H28" s="11" t="s">
        <v>2023</v>
      </c>
      <c r="I28" s="159"/>
      <c r="J28" s="171"/>
    </row>
    <row r="29" ht="22.5" customHeight="1">
      <c r="A29" s="151"/>
      <c r="B29" s="17" t="s">
        <v>533</v>
      </c>
      <c r="C29" s="11" t="s">
        <v>903</v>
      </c>
      <c r="D29" s="158" t="s">
        <v>1870</v>
      </c>
      <c r="E29" s="11" t="s">
        <v>2074</v>
      </c>
      <c r="F29" s="11" t="s">
        <v>2075</v>
      </c>
      <c r="G29" s="11" t="s">
        <v>1933</v>
      </c>
      <c r="H29" s="11" t="s">
        <v>2023</v>
      </c>
      <c r="I29" s="159"/>
      <c r="J29" s="171"/>
    </row>
    <row r="30" ht="22.5" customHeight="1">
      <c r="A30" s="151"/>
      <c r="B30" s="17" t="s">
        <v>1163</v>
      </c>
      <c r="C30" s="11" t="s">
        <v>1055</v>
      </c>
      <c r="D30" s="158" t="s">
        <v>1870</v>
      </c>
      <c r="E30" s="11" t="s">
        <v>2001</v>
      </c>
      <c r="F30" s="11" t="s">
        <v>2055</v>
      </c>
      <c r="G30" s="11" t="s">
        <v>1933</v>
      </c>
      <c r="H30" s="11" t="s">
        <v>1994</v>
      </c>
      <c r="I30" s="159"/>
      <c r="J30" s="171"/>
    </row>
    <row r="31" ht="22.5" customHeight="1">
      <c r="A31" s="151"/>
      <c r="B31" s="17" t="s">
        <v>1164</v>
      </c>
      <c r="C31" s="11" t="s">
        <v>1048</v>
      </c>
      <c r="D31" s="158" t="s">
        <v>1870</v>
      </c>
      <c r="E31" s="11" t="s">
        <v>1998</v>
      </c>
      <c r="F31" s="11" t="s">
        <v>1986</v>
      </c>
      <c r="G31" s="11" t="s">
        <v>1933</v>
      </c>
      <c r="H31" s="11" t="s">
        <v>1996</v>
      </c>
      <c r="I31" s="159"/>
      <c r="J31" s="171"/>
    </row>
    <row r="32" ht="22.5" customHeight="1">
      <c r="A32" s="151"/>
      <c r="B32" s="17" t="s">
        <v>1165</v>
      </c>
      <c r="C32" s="11" t="s">
        <v>1069</v>
      </c>
      <c r="D32" s="158" t="s">
        <v>1870</v>
      </c>
      <c r="E32" s="11" t="s">
        <v>2076</v>
      </c>
      <c r="F32" s="11" t="s">
        <v>1986</v>
      </c>
      <c r="G32" s="11" t="s">
        <v>1933</v>
      </c>
      <c r="H32" s="11" t="s">
        <v>1994</v>
      </c>
      <c r="I32" s="159"/>
      <c r="J32" s="171"/>
    </row>
    <row r="33" ht="22.5" customHeight="1">
      <c r="A33" s="151"/>
      <c r="B33" s="17" t="s">
        <v>1166</v>
      </c>
      <c r="C33" s="11" t="s">
        <v>1167</v>
      </c>
      <c r="D33" s="158" t="s">
        <v>1870</v>
      </c>
      <c r="E33" s="11" t="s">
        <v>2077</v>
      </c>
      <c r="F33" s="11" t="s">
        <v>1987</v>
      </c>
      <c r="G33" s="11" t="s">
        <v>1933</v>
      </c>
      <c r="H33" s="11" t="s">
        <v>1951</v>
      </c>
      <c r="I33" s="159"/>
      <c r="J33" s="171"/>
    </row>
    <row r="34" ht="22.5" customHeight="1">
      <c r="A34" s="151"/>
      <c r="B34" s="17" t="s">
        <v>219</v>
      </c>
      <c r="C34" s="11" t="s">
        <v>904</v>
      </c>
      <c r="D34" s="158" t="s">
        <v>1870</v>
      </c>
      <c r="E34" s="11" t="s">
        <v>1991</v>
      </c>
      <c r="F34" s="11" t="s">
        <v>2078</v>
      </c>
      <c r="G34" s="11" t="s">
        <v>1933</v>
      </c>
      <c r="H34" s="11" t="s">
        <v>1948</v>
      </c>
      <c r="I34" s="159"/>
      <c r="J34" s="171"/>
    </row>
    <row r="35" ht="22.5" customHeight="1">
      <c r="A35" s="151"/>
      <c r="B35" s="17" t="s">
        <v>228</v>
      </c>
      <c r="C35" s="11" t="s">
        <v>2079</v>
      </c>
      <c r="D35" s="158" t="s">
        <v>1870</v>
      </c>
      <c r="E35" s="11" t="s">
        <v>1995</v>
      </c>
      <c r="F35" s="11" t="s">
        <v>2078</v>
      </c>
      <c r="G35" s="11" t="s">
        <v>1933</v>
      </c>
      <c r="H35" s="11" t="s">
        <v>1942</v>
      </c>
      <c r="I35" s="159"/>
      <c r="J35" s="171"/>
    </row>
    <row r="36" ht="22.5" customHeight="1">
      <c r="A36" s="151"/>
      <c r="B36" s="17" t="s">
        <v>236</v>
      </c>
      <c r="C36" s="11" t="s">
        <v>2081</v>
      </c>
      <c r="D36" s="158" t="s">
        <v>1870</v>
      </c>
      <c r="E36" s="11" t="s">
        <v>1997</v>
      </c>
      <c r="F36" s="11" t="s">
        <v>2082</v>
      </c>
      <c r="G36" s="11" t="s">
        <v>1933</v>
      </c>
      <c r="H36" s="11" t="s">
        <v>1942</v>
      </c>
      <c r="I36" s="159"/>
      <c r="J36" s="171"/>
    </row>
    <row r="37" ht="22.5" customHeight="1">
      <c r="A37" s="151"/>
      <c r="B37" s="17" t="s">
        <v>1168</v>
      </c>
      <c r="C37" s="11" t="s">
        <v>1169</v>
      </c>
      <c r="D37" s="158" t="s">
        <v>1870</v>
      </c>
      <c r="E37" s="11" t="s">
        <v>2084</v>
      </c>
      <c r="F37" s="11" t="s">
        <v>1974</v>
      </c>
      <c r="G37" s="11" t="s">
        <v>1933</v>
      </c>
      <c r="H37" s="11" t="s">
        <v>1951</v>
      </c>
      <c r="I37" s="159"/>
      <c r="J37" s="171"/>
    </row>
    <row r="38" ht="22.5" customHeight="1">
      <c r="A38" s="151"/>
      <c r="B38" s="17" t="s">
        <v>1170</v>
      </c>
      <c r="C38" s="11" t="s">
        <v>1048</v>
      </c>
      <c r="D38" s="158" t="s">
        <v>1870</v>
      </c>
      <c r="E38" s="11" t="s">
        <v>1962</v>
      </c>
      <c r="F38" s="11" t="s">
        <v>1992</v>
      </c>
      <c r="G38" s="11" t="s">
        <v>1933</v>
      </c>
      <c r="H38" s="11" t="s">
        <v>1951</v>
      </c>
      <c r="I38" s="159"/>
      <c r="J38" s="171"/>
    </row>
    <row r="39" ht="22.5" customHeight="1">
      <c r="A39" s="151"/>
      <c r="B39" s="17" t="s">
        <v>1171</v>
      </c>
      <c r="C39" s="11" t="s">
        <v>879</v>
      </c>
      <c r="D39" s="158" t="s">
        <v>1870</v>
      </c>
      <c r="E39" s="11" t="s">
        <v>1935</v>
      </c>
      <c r="F39" s="11" t="s">
        <v>1977</v>
      </c>
      <c r="G39" s="11" t="s">
        <v>1933</v>
      </c>
      <c r="H39" s="11" t="s">
        <v>1958</v>
      </c>
      <c r="I39" s="159"/>
      <c r="J39" s="171"/>
    </row>
    <row r="40" ht="22.5" customHeight="1">
      <c r="A40" s="151"/>
      <c r="B40" s="17" t="s">
        <v>1172</v>
      </c>
      <c r="C40" s="11" t="s">
        <v>940</v>
      </c>
      <c r="D40" s="158" t="s">
        <v>1870</v>
      </c>
      <c r="E40" s="11" t="s">
        <v>1961</v>
      </c>
      <c r="F40" s="11" t="s">
        <v>1977</v>
      </c>
      <c r="G40" s="11" t="s">
        <v>1933</v>
      </c>
      <c r="H40" s="11" t="s">
        <v>1980</v>
      </c>
      <c r="I40" s="159"/>
      <c r="J40" s="171"/>
    </row>
    <row r="41" ht="22.5" customHeight="1">
      <c r="A41" s="151"/>
      <c r="B41" s="17" t="s">
        <v>243</v>
      </c>
      <c r="C41" s="11" t="s">
        <v>244</v>
      </c>
      <c r="D41" s="158" t="s">
        <v>1870</v>
      </c>
      <c r="E41" s="11" t="s">
        <v>1954</v>
      </c>
      <c r="F41" s="11" t="s">
        <v>2010</v>
      </c>
      <c r="G41" s="11" t="s">
        <v>1933</v>
      </c>
      <c r="H41" s="11" t="s">
        <v>2085</v>
      </c>
      <c r="I41" s="159"/>
      <c r="J41" s="171"/>
    </row>
    <row r="42" ht="22.5" customHeight="1">
      <c r="A42" s="151"/>
      <c r="B42" s="17" t="s">
        <v>1173</v>
      </c>
      <c r="C42" s="11" t="s">
        <v>1125</v>
      </c>
      <c r="D42" s="158" t="s">
        <v>1870</v>
      </c>
      <c r="E42" s="11" t="s">
        <v>1950</v>
      </c>
      <c r="F42" s="11" t="s">
        <v>1968</v>
      </c>
      <c r="G42" s="11" t="s">
        <v>1933</v>
      </c>
      <c r="H42" s="11" t="s">
        <v>2030</v>
      </c>
      <c r="I42" s="159"/>
      <c r="J42" s="171"/>
    </row>
    <row r="43" ht="22.5" customHeight="1">
      <c r="A43" s="151"/>
      <c r="B43" s="17" t="s">
        <v>1175</v>
      </c>
      <c r="C43" s="11" t="s">
        <v>1061</v>
      </c>
      <c r="D43" s="158" t="s">
        <v>1870</v>
      </c>
      <c r="E43" s="11" t="s">
        <v>1938</v>
      </c>
      <c r="F43" s="11" t="s">
        <v>1972</v>
      </c>
      <c r="G43" s="11" t="s">
        <v>1933</v>
      </c>
      <c r="H43" s="11" t="s">
        <v>1980</v>
      </c>
      <c r="I43" s="159"/>
      <c r="J43" s="171"/>
    </row>
    <row r="44" ht="22.5" customHeight="1">
      <c r="A44" s="151"/>
      <c r="B44" s="17" t="s">
        <v>1176</v>
      </c>
      <c r="C44" s="11" t="s">
        <v>1048</v>
      </c>
      <c r="D44" s="158" t="s">
        <v>1870</v>
      </c>
      <c r="E44" s="11" t="s">
        <v>2076</v>
      </c>
      <c r="F44" s="11" t="s">
        <v>2086</v>
      </c>
      <c r="G44" s="11" t="s">
        <v>1933</v>
      </c>
      <c r="H44" s="11" t="s">
        <v>1934</v>
      </c>
      <c r="I44" s="159"/>
      <c r="J44" s="171"/>
    </row>
    <row r="45" ht="22.5" customHeight="1">
      <c r="A45" s="151"/>
      <c r="B45" s="17" t="s">
        <v>1177</v>
      </c>
      <c r="C45" s="11" t="s">
        <v>1069</v>
      </c>
      <c r="D45" s="158" t="s">
        <v>1870</v>
      </c>
      <c r="E45" s="11" t="s">
        <v>1993</v>
      </c>
      <c r="F45" s="11" t="s">
        <v>2061</v>
      </c>
      <c r="G45" s="11" t="s">
        <v>1933</v>
      </c>
      <c r="H45" s="11" t="s">
        <v>2014</v>
      </c>
      <c r="I45" s="159"/>
      <c r="J45" s="171"/>
    </row>
    <row r="46" ht="22.5" customHeight="1">
      <c r="A46" s="151"/>
      <c r="B46" s="17" t="s">
        <v>1178</v>
      </c>
      <c r="C46" s="11" t="s">
        <v>1179</v>
      </c>
      <c r="D46" s="158" t="s">
        <v>1870</v>
      </c>
      <c r="E46" s="11" t="s">
        <v>1950</v>
      </c>
      <c r="F46" s="11" t="s">
        <v>1992</v>
      </c>
      <c r="G46" s="11" t="s">
        <v>1933</v>
      </c>
      <c r="H46" s="11" t="s">
        <v>2088</v>
      </c>
      <c r="I46" s="159"/>
      <c r="J46" s="171"/>
    </row>
    <row r="47" ht="22.5" customHeight="1">
      <c r="A47" s="151"/>
      <c r="B47" s="17" t="s">
        <v>251</v>
      </c>
      <c r="C47" s="11" t="s">
        <v>244</v>
      </c>
      <c r="D47" s="158" t="s">
        <v>1870</v>
      </c>
      <c r="E47" s="11" t="s">
        <v>1946</v>
      </c>
      <c r="F47" s="11" t="s">
        <v>1992</v>
      </c>
      <c r="G47" s="11" t="s">
        <v>1933</v>
      </c>
      <c r="H47" s="11" t="s">
        <v>2085</v>
      </c>
      <c r="I47" s="159"/>
      <c r="J47" s="171"/>
    </row>
    <row r="48" ht="22.5" customHeight="1">
      <c r="A48" s="151"/>
      <c r="B48" s="17" t="s">
        <v>565</v>
      </c>
      <c r="C48" s="11" t="s">
        <v>910</v>
      </c>
      <c r="D48" s="158" t="s">
        <v>1870</v>
      </c>
      <c r="E48" s="11" t="s">
        <v>1949</v>
      </c>
      <c r="F48" s="11" t="s">
        <v>1977</v>
      </c>
      <c r="G48" s="11" t="s">
        <v>1933</v>
      </c>
      <c r="H48" s="11" t="s">
        <v>2085</v>
      </c>
      <c r="I48" s="159"/>
      <c r="J48" s="171"/>
    </row>
    <row r="49" ht="22.5" customHeight="1">
      <c r="A49" s="151"/>
      <c r="B49" s="17" t="s">
        <v>1180</v>
      </c>
      <c r="C49" s="11" t="s">
        <v>1048</v>
      </c>
      <c r="D49" s="158" t="s">
        <v>1870</v>
      </c>
      <c r="E49" s="11" t="s">
        <v>1941</v>
      </c>
      <c r="F49" s="11" t="s">
        <v>1977</v>
      </c>
      <c r="G49" s="11" t="s">
        <v>1933</v>
      </c>
      <c r="H49" s="11" t="s">
        <v>2089</v>
      </c>
      <c r="I49" s="159"/>
      <c r="J49" s="171"/>
    </row>
    <row r="50" ht="22.5" customHeight="1">
      <c r="A50" s="151"/>
      <c r="B50" s="17" t="s">
        <v>1181</v>
      </c>
      <c r="C50" s="11" t="s">
        <v>1061</v>
      </c>
      <c r="D50" s="158" t="s">
        <v>1870</v>
      </c>
      <c r="E50" s="11" t="s">
        <v>1960</v>
      </c>
      <c r="F50" s="11" t="s">
        <v>1972</v>
      </c>
      <c r="G50" s="11" t="s">
        <v>1933</v>
      </c>
      <c r="H50" s="11" t="s">
        <v>2088</v>
      </c>
      <c r="I50" s="159"/>
      <c r="J50" s="171"/>
    </row>
    <row r="51" ht="22.5" customHeight="1">
      <c r="A51" s="151"/>
      <c r="B51" s="17" t="s">
        <v>1182</v>
      </c>
      <c r="C51" s="11" t="s">
        <v>1183</v>
      </c>
      <c r="D51" s="158" t="s">
        <v>1870</v>
      </c>
      <c r="E51" s="11" t="s">
        <v>1941</v>
      </c>
      <c r="F51" s="11" t="s">
        <v>1974</v>
      </c>
      <c r="G51" s="11" t="s">
        <v>1933</v>
      </c>
      <c r="H51" s="11" t="s">
        <v>2090</v>
      </c>
      <c r="I51" s="11" t="s">
        <v>2091</v>
      </c>
      <c r="J51" s="166"/>
    </row>
    <row r="52" ht="22.5" customHeight="1">
      <c r="A52" s="151"/>
      <c r="B52" s="17" t="s">
        <v>1182</v>
      </c>
      <c r="C52" s="11" t="s">
        <v>1183</v>
      </c>
      <c r="D52" s="158" t="s">
        <v>1870</v>
      </c>
      <c r="E52" s="11" t="s">
        <v>1941</v>
      </c>
      <c r="F52" s="11" t="s">
        <v>1974</v>
      </c>
      <c r="G52" s="11" t="s">
        <v>1933</v>
      </c>
      <c r="H52" s="11" t="s">
        <v>2090</v>
      </c>
      <c r="I52" s="159"/>
      <c r="J52" s="171"/>
    </row>
    <row r="53" ht="22.5" customHeight="1">
      <c r="A53" s="151"/>
      <c r="B53" s="17" t="s">
        <v>1186</v>
      </c>
      <c r="C53" s="11" t="s">
        <v>1187</v>
      </c>
      <c r="D53" s="158" t="s">
        <v>1870</v>
      </c>
      <c r="E53" s="11" t="s">
        <v>1961</v>
      </c>
      <c r="F53" s="11" t="s">
        <v>1986</v>
      </c>
      <c r="G53" s="11" t="s">
        <v>1933</v>
      </c>
      <c r="H53" s="11" t="s">
        <v>2090</v>
      </c>
      <c r="I53" s="11" t="s">
        <v>2091</v>
      </c>
      <c r="J53" s="166"/>
    </row>
    <row r="54" ht="22.5" customHeight="1">
      <c r="A54" s="151"/>
      <c r="B54" s="17" t="s">
        <v>1186</v>
      </c>
      <c r="C54" s="11" t="s">
        <v>1187</v>
      </c>
      <c r="D54" s="158" t="s">
        <v>1870</v>
      </c>
      <c r="E54" s="11" t="s">
        <v>1961</v>
      </c>
      <c r="F54" s="11" t="s">
        <v>1986</v>
      </c>
      <c r="G54" s="11" t="s">
        <v>1933</v>
      </c>
      <c r="H54" s="11" t="s">
        <v>2090</v>
      </c>
      <c r="I54" s="159"/>
      <c r="J54" s="171"/>
    </row>
    <row r="55" ht="22.5" customHeight="1">
      <c r="A55" s="151"/>
      <c r="B55" s="17" t="s">
        <v>1191</v>
      </c>
      <c r="C55" s="11" t="s">
        <v>1192</v>
      </c>
      <c r="D55" s="158" t="s">
        <v>1870</v>
      </c>
      <c r="E55" s="11" t="s">
        <v>1962</v>
      </c>
      <c r="F55" s="11" t="s">
        <v>1986</v>
      </c>
      <c r="G55" s="11" t="s">
        <v>1933</v>
      </c>
      <c r="H55" s="11" t="s">
        <v>1958</v>
      </c>
      <c r="I55" s="159"/>
      <c r="J55" s="171"/>
    </row>
    <row r="56" ht="22.5" customHeight="1">
      <c r="A56" s="151"/>
      <c r="B56" s="17" t="s">
        <v>1193</v>
      </c>
      <c r="C56" s="11" t="s">
        <v>1132</v>
      </c>
      <c r="D56" s="158" t="s">
        <v>1870</v>
      </c>
      <c r="E56" s="11" t="s">
        <v>2009</v>
      </c>
      <c r="F56" s="11" t="s">
        <v>1987</v>
      </c>
      <c r="G56" s="11" t="s">
        <v>1933</v>
      </c>
      <c r="H56" s="11" t="s">
        <v>1958</v>
      </c>
      <c r="I56" s="159"/>
      <c r="J56" s="171"/>
    </row>
    <row r="57" ht="22.5" customHeight="1">
      <c r="A57" s="151"/>
      <c r="B57" s="17" t="s">
        <v>1195</v>
      </c>
      <c r="C57" s="11" t="s">
        <v>1196</v>
      </c>
      <c r="D57" s="158" t="s">
        <v>1870</v>
      </c>
      <c r="E57" s="11" t="s">
        <v>2009</v>
      </c>
      <c r="F57" s="11" t="s">
        <v>1987</v>
      </c>
      <c r="G57" s="11" t="s">
        <v>1933</v>
      </c>
      <c r="H57" s="11" t="s">
        <v>1958</v>
      </c>
      <c r="I57" s="159"/>
      <c r="J57" s="171"/>
    </row>
    <row r="58" ht="22.5" customHeight="1">
      <c r="A58" s="151"/>
      <c r="B58" s="17" t="s">
        <v>1197</v>
      </c>
      <c r="C58" s="11" t="s">
        <v>1198</v>
      </c>
      <c r="D58" s="158" t="s">
        <v>1870</v>
      </c>
      <c r="E58" s="11" t="s">
        <v>2084</v>
      </c>
      <c r="F58" s="11" t="s">
        <v>2078</v>
      </c>
      <c r="G58" s="11" t="s">
        <v>1933</v>
      </c>
      <c r="H58" s="11" t="s">
        <v>1958</v>
      </c>
      <c r="I58" s="11" t="s">
        <v>2091</v>
      </c>
      <c r="J58" s="166"/>
    </row>
    <row r="59" ht="22.5" customHeight="1">
      <c r="A59" s="151"/>
      <c r="B59" s="17" t="s">
        <v>1197</v>
      </c>
      <c r="C59" s="11" t="s">
        <v>1198</v>
      </c>
      <c r="D59" s="158" t="s">
        <v>1870</v>
      </c>
      <c r="E59" s="11" t="s">
        <v>2084</v>
      </c>
      <c r="F59" s="11" t="s">
        <v>2078</v>
      </c>
      <c r="G59" s="11" t="s">
        <v>1933</v>
      </c>
      <c r="H59" s="11" t="s">
        <v>1958</v>
      </c>
      <c r="I59" s="159"/>
      <c r="J59" s="171"/>
    </row>
    <row r="60" ht="22.5" customHeight="1">
      <c r="A60" s="151"/>
      <c r="B60" s="17" t="s">
        <v>1201</v>
      </c>
      <c r="C60" s="11" t="s">
        <v>1202</v>
      </c>
      <c r="D60" s="158" t="s">
        <v>1870</v>
      </c>
      <c r="E60" s="11" t="s">
        <v>2094</v>
      </c>
      <c r="F60" s="11" t="s">
        <v>2082</v>
      </c>
      <c r="G60" s="11" t="s">
        <v>1933</v>
      </c>
      <c r="H60" s="11" t="s">
        <v>1958</v>
      </c>
      <c r="I60" s="11" t="s">
        <v>2091</v>
      </c>
      <c r="J60" s="166"/>
    </row>
    <row r="61" ht="22.5" customHeight="1">
      <c r="A61" s="151"/>
      <c r="B61" s="17" t="s">
        <v>1201</v>
      </c>
      <c r="C61" s="11" t="s">
        <v>1202</v>
      </c>
      <c r="D61" s="158" t="s">
        <v>1870</v>
      </c>
      <c r="E61" s="11" t="s">
        <v>2094</v>
      </c>
      <c r="F61" s="11" t="s">
        <v>2082</v>
      </c>
      <c r="G61" s="11" t="s">
        <v>1933</v>
      </c>
      <c r="H61" s="11" t="s">
        <v>1958</v>
      </c>
      <c r="I61" s="159"/>
      <c r="J61" s="171"/>
    </row>
    <row r="62" ht="22.5" customHeight="1">
      <c r="A62" s="151"/>
      <c r="B62" s="17" t="s">
        <v>1205</v>
      </c>
      <c r="C62" s="11" t="s">
        <v>1206</v>
      </c>
      <c r="D62" s="158" t="s">
        <v>1870</v>
      </c>
      <c r="E62" s="11" t="s">
        <v>2077</v>
      </c>
      <c r="F62" s="11" t="s">
        <v>2057</v>
      </c>
      <c r="G62" s="11" t="s">
        <v>1933</v>
      </c>
      <c r="H62" s="11" t="s">
        <v>1980</v>
      </c>
      <c r="I62" s="11" t="s">
        <v>2091</v>
      </c>
      <c r="J62" s="166"/>
    </row>
    <row r="63" ht="22.5" customHeight="1">
      <c r="A63" s="151"/>
      <c r="B63" s="17" t="s">
        <v>1205</v>
      </c>
      <c r="C63" s="11" t="s">
        <v>1206</v>
      </c>
      <c r="D63" s="158" t="s">
        <v>1870</v>
      </c>
      <c r="E63" s="11" t="s">
        <v>2077</v>
      </c>
      <c r="F63" s="11" t="s">
        <v>2057</v>
      </c>
      <c r="G63" s="11" t="s">
        <v>1933</v>
      </c>
      <c r="H63" s="11" t="s">
        <v>1980</v>
      </c>
      <c r="I63" s="159"/>
      <c r="J63" s="171"/>
    </row>
    <row r="64" ht="22.5" customHeight="1">
      <c r="A64" s="151"/>
      <c r="B64" s="17" t="s">
        <v>1209</v>
      </c>
      <c r="C64" s="11" t="s">
        <v>1210</v>
      </c>
      <c r="D64" s="158" t="s">
        <v>1870</v>
      </c>
      <c r="E64" s="11" t="s">
        <v>1991</v>
      </c>
      <c r="F64" s="11" t="s">
        <v>2061</v>
      </c>
      <c r="G64" s="11" t="s">
        <v>1933</v>
      </c>
      <c r="H64" s="11" t="s">
        <v>1958</v>
      </c>
      <c r="I64" s="11" t="s">
        <v>2091</v>
      </c>
      <c r="J64" s="166"/>
    </row>
    <row r="65" ht="22.5" customHeight="1">
      <c r="A65" s="151"/>
      <c r="B65" s="17" t="s">
        <v>1209</v>
      </c>
      <c r="C65" s="11" t="s">
        <v>1210</v>
      </c>
      <c r="D65" s="158" t="s">
        <v>1870</v>
      </c>
      <c r="E65" s="11" t="s">
        <v>1991</v>
      </c>
      <c r="F65" s="11" t="s">
        <v>2061</v>
      </c>
      <c r="G65" s="11" t="s">
        <v>1933</v>
      </c>
      <c r="H65" s="11" t="s">
        <v>1958</v>
      </c>
      <c r="I65" s="159"/>
      <c r="J65" s="171"/>
    </row>
    <row r="66" ht="22.5" customHeight="1">
      <c r="A66" s="151"/>
      <c r="B66" s="17" t="s">
        <v>1213</v>
      </c>
      <c r="C66" s="11" t="s">
        <v>1214</v>
      </c>
      <c r="D66" s="158" t="s">
        <v>1870</v>
      </c>
      <c r="E66" s="11" t="s">
        <v>1995</v>
      </c>
      <c r="F66" s="11" t="s">
        <v>2060</v>
      </c>
      <c r="G66" s="11" t="s">
        <v>1933</v>
      </c>
      <c r="H66" s="11" t="s">
        <v>2014</v>
      </c>
      <c r="I66" s="159"/>
      <c r="J66" s="171"/>
    </row>
    <row r="67" ht="22.5" customHeight="1">
      <c r="A67" s="151"/>
      <c r="B67" s="17" t="s">
        <v>1215</v>
      </c>
      <c r="C67" s="11" t="s">
        <v>1078</v>
      </c>
      <c r="D67" s="158" t="s">
        <v>1870</v>
      </c>
      <c r="E67" s="11" t="s">
        <v>1998</v>
      </c>
      <c r="F67" s="11" t="s">
        <v>2086</v>
      </c>
      <c r="G67" s="11" t="s">
        <v>1933</v>
      </c>
      <c r="H67" s="11" t="s">
        <v>1951</v>
      </c>
      <c r="I67" s="159"/>
      <c r="J67" s="171"/>
    </row>
    <row r="68" ht="22.5" customHeight="1">
      <c r="A68" s="151"/>
      <c r="B68" s="17" t="s">
        <v>1216</v>
      </c>
      <c r="C68" s="11" t="s">
        <v>1048</v>
      </c>
      <c r="D68" s="158" t="s">
        <v>1870</v>
      </c>
      <c r="E68" s="11" t="s">
        <v>1973</v>
      </c>
      <c r="F68" s="11" t="s">
        <v>2067</v>
      </c>
      <c r="G68" s="11" t="s">
        <v>1933</v>
      </c>
      <c r="H68" s="11" t="s">
        <v>2063</v>
      </c>
      <c r="I68" s="159"/>
      <c r="J68" s="171"/>
    </row>
    <row r="69" ht="22.5" customHeight="1">
      <c r="A69" s="151"/>
      <c r="B69" s="17" t="s">
        <v>1216</v>
      </c>
      <c r="C69" s="11" t="s">
        <v>1069</v>
      </c>
      <c r="D69" s="158" t="s">
        <v>1870</v>
      </c>
      <c r="E69" s="11" t="s">
        <v>1979</v>
      </c>
      <c r="F69" s="11" t="s">
        <v>2071</v>
      </c>
      <c r="G69" s="11" t="s">
        <v>1933</v>
      </c>
      <c r="H69" s="11" t="s">
        <v>2062</v>
      </c>
      <c r="I69" s="11" t="s">
        <v>2096</v>
      </c>
      <c r="J69" s="166"/>
    </row>
    <row r="70" ht="22.5" customHeight="1">
      <c r="A70" s="151"/>
      <c r="B70" s="17" t="s">
        <v>1218</v>
      </c>
      <c r="C70" s="11" t="s">
        <v>1219</v>
      </c>
      <c r="D70" s="158" t="s">
        <v>1870</v>
      </c>
      <c r="E70" s="11" t="s">
        <v>2097</v>
      </c>
      <c r="F70" s="11" t="s">
        <v>2067</v>
      </c>
      <c r="G70" s="11" t="s">
        <v>1933</v>
      </c>
      <c r="H70" s="11" t="s">
        <v>1951</v>
      </c>
      <c r="I70" s="159"/>
      <c r="J70" s="171"/>
    </row>
    <row r="71" ht="22.5" customHeight="1">
      <c r="A71" s="151"/>
      <c r="B71" s="17" t="s">
        <v>1220</v>
      </c>
      <c r="C71" s="11" t="s">
        <v>1221</v>
      </c>
      <c r="D71" s="158" t="s">
        <v>1870</v>
      </c>
      <c r="E71" s="11" t="s">
        <v>2064</v>
      </c>
      <c r="F71" s="11" t="s">
        <v>2098</v>
      </c>
      <c r="G71" s="11" t="s">
        <v>1933</v>
      </c>
      <c r="H71" s="11" t="s">
        <v>1948</v>
      </c>
      <c r="I71" s="159"/>
      <c r="J71" s="171"/>
    </row>
    <row r="72" ht="22.5" customHeight="1">
      <c r="A72" s="151"/>
      <c r="B72" s="17" t="s">
        <v>573</v>
      </c>
      <c r="C72" s="11" t="s">
        <v>911</v>
      </c>
      <c r="D72" s="158" t="s">
        <v>1870</v>
      </c>
      <c r="E72" s="11" t="s">
        <v>1976</v>
      </c>
      <c r="F72" s="11" t="s">
        <v>2099</v>
      </c>
      <c r="G72" s="11" t="s">
        <v>1933</v>
      </c>
      <c r="H72" s="11" t="s">
        <v>1948</v>
      </c>
      <c r="I72" s="159"/>
      <c r="J72" s="171"/>
    </row>
    <row r="73" ht="22.5" customHeight="1">
      <c r="A73" s="151"/>
      <c r="B73" s="17" t="s">
        <v>1223</v>
      </c>
      <c r="C73" s="11" t="s">
        <v>1069</v>
      </c>
      <c r="D73" s="158" t="s">
        <v>1870</v>
      </c>
      <c r="E73" s="11" t="s">
        <v>2017</v>
      </c>
      <c r="F73" s="11" t="s">
        <v>2071</v>
      </c>
      <c r="G73" s="11" t="s">
        <v>1933</v>
      </c>
      <c r="H73" s="11" t="s">
        <v>1999</v>
      </c>
      <c r="I73" s="159"/>
      <c r="J73" s="171"/>
    </row>
    <row r="74" ht="22.5" customHeight="1">
      <c r="A74" s="151"/>
      <c r="B74" s="17" t="s">
        <v>1224</v>
      </c>
      <c r="C74" s="11" t="s">
        <v>1225</v>
      </c>
      <c r="D74" s="158" t="s">
        <v>1870</v>
      </c>
      <c r="E74" s="11" t="s">
        <v>2102</v>
      </c>
      <c r="F74" s="11" t="s">
        <v>2071</v>
      </c>
      <c r="G74" s="11" t="s">
        <v>1933</v>
      </c>
      <c r="H74" s="11" t="s">
        <v>2014</v>
      </c>
      <c r="I74" s="159"/>
      <c r="J74" s="171"/>
    </row>
    <row r="75" ht="22.5" customHeight="1">
      <c r="A75" s="151"/>
      <c r="B75" s="17" t="s">
        <v>257</v>
      </c>
      <c r="C75" s="11" t="s">
        <v>2103</v>
      </c>
      <c r="D75" s="158" t="s">
        <v>1870</v>
      </c>
      <c r="E75" s="11" t="s">
        <v>2004</v>
      </c>
      <c r="F75" s="11" t="s">
        <v>2035</v>
      </c>
      <c r="G75" s="11" t="s">
        <v>1933</v>
      </c>
      <c r="H75" s="11" t="s">
        <v>1934</v>
      </c>
      <c r="I75" s="159"/>
      <c r="J75" s="171"/>
    </row>
    <row r="76" ht="22.5" customHeight="1">
      <c r="A76" s="151"/>
      <c r="B76" s="17" t="s">
        <v>1227</v>
      </c>
      <c r="C76" s="11" t="s">
        <v>1228</v>
      </c>
      <c r="D76" s="158" t="s">
        <v>1870</v>
      </c>
      <c r="E76" s="11" t="s">
        <v>2015</v>
      </c>
      <c r="F76" s="11" t="s">
        <v>2038</v>
      </c>
      <c r="G76" s="11" t="s">
        <v>1933</v>
      </c>
      <c r="H76" s="11" t="s">
        <v>1951</v>
      </c>
      <c r="I76" s="159"/>
      <c r="J76" s="171"/>
    </row>
    <row r="77" ht="22.5" customHeight="1">
      <c r="A77" s="151"/>
      <c r="B77" s="17" t="s">
        <v>1229</v>
      </c>
      <c r="C77" s="11" t="s">
        <v>1230</v>
      </c>
      <c r="D77" s="158" t="s">
        <v>1870</v>
      </c>
      <c r="E77" s="11" t="s">
        <v>2022</v>
      </c>
      <c r="F77" s="11" t="s">
        <v>2041</v>
      </c>
      <c r="G77" s="11" t="s">
        <v>1933</v>
      </c>
      <c r="H77" s="11" t="s">
        <v>1951</v>
      </c>
      <c r="I77" s="159"/>
      <c r="J77" s="171"/>
    </row>
    <row r="78" ht="22.5" customHeight="1">
      <c r="A78" s="151"/>
      <c r="B78" s="17" t="s">
        <v>1231</v>
      </c>
      <c r="C78" s="11" t="s">
        <v>1232</v>
      </c>
      <c r="D78" s="158" t="s">
        <v>1870</v>
      </c>
      <c r="E78" s="11" t="s">
        <v>2026</v>
      </c>
      <c r="F78" s="11" t="s">
        <v>2043</v>
      </c>
      <c r="G78" s="11" t="s">
        <v>1933</v>
      </c>
      <c r="H78" s="11" t="s">
        <v>1951</v>
      </c>
      <c r="I78" s="159"/>
      <c r="J78" s="171"/>
    </row>
    <row r="79" ht="22.5" customHeight="1">
      <c r="A79" s="151"/>
      <c r="B79" s="17" t="s">
        <v>1233</v>
      </c>
      <c r="C79" s="11" t="s">
        <v>1234</v>
      </c>
      <c r="D79" s="158" t="s">
        <v>1870</v>
      </c>
      <c r="E79" s="11" t="s">
        <v>2104</v>
      </c>
      <c r="F79" s="11" t="s">
        <v>2032</v>
      </c>
      <c r="G79" s="11" t="s">
        <v>1933</v>
      </c>
      <c r="H79" s="11" t="s">
        <v>1951</v>
      </c>
      <c r="I79" s="159"/>
      <c r="J79" s="171"/>
    </row>
    <row r="80" ht="22.5" customHeight="1">
      <c r="A80" s="151"/>
      <c r="B80" s="17" t="s">
        <v>1235</v>
      </c>
      <c r="C80" s="11" t="s">
        <v>1236</v>
      </c>
      <c r="D80" s="158" t="s">
        <v>1870</v>
      </c>
      <c r="E80" s="11" t="s">
        <v>1967</v>
      </c>
      <c r="F80" s="11" t="s">
        <v>2046</v>
      </c>
      <c r="G80" s="11" t="s">
        <v>1933</v>
      </c>
      <c r="H80" s="11" t="s">
        <v>1951</v>
      </c>
      <c r="I80" s="159"/>
      <c r="J80" s="171"/>
    </row>
    <row r="81" ht="22.5" customHeight="1">
      <c r="A81" s="151"/>
      <c r="B81" s="17" t="s">
        <v>1237</v>
      </c>
      <c r="C81" s="11" t="s">
        <v>1238</v>
      </c>
      <c r="D81" s="158" t="s">
        <v>1870</v>
      </c>
      <c r="E81" s="11" t="s">
        <v>1971</v>
      </c>
      <c r="F81" s="11" t="s">
        <v>2051</v>
      </c>
      <c r="G81" s="11" t="s">
        <v>1933</v>
      </c>
      <c r="H81" s="11" t="s">
        <v>1951</v>
      </c>
      <c r="I81" s="159"/>
      <c r="J81" s="171"/>
    </row>
    <row r="82" ht="22.5" customHeight="1">
      <c r="A82" s="151"/>
      <c r="B82" s="17" t="s">
        <v>1239</v>
      </c>
      <c r="C82" s="11" t="s">
        <v>1048</v>
      </c>
      <c r="D82" s="158" t="s">
        <v>1870</v>
      </c>
      <c r="E82" s="11" t="s">
        <v>2049</v>
      </c>
      <c r="F82" s="11" t="s">
        <v>2106</v>
      </c>
      <c r="G82" s="11" t="s">
        <v>1933</v>
      </c>
      <c r="H82" s="11" t="s">
        <v>2070</v>
      </c>
      <c r="I82" s="159"/>
      <c r="J82" s="171"/>
    </row>
    <row r="83" ht="22.5" customHeight="1">
      <c r="A83" s="151"/>
      <c r="B83" s="17" t="s">
        <v>1240</v>
      </c>
      <c r="C83" s="11" t="s">
        <v>1069</v>
      </c>
      <c r="D83" s="158" t="s">
        <v>1870</v>
      </c>
      <c r="E83" s="11" t="s">
        <v>2107</v>
      </c>
      <c r="F83" s="11" t="s">
        <v>2108</v>
      </c>
      <c r="G83" s="11" t="s">
        <v>1933</v>
      </c>
      <c r="H83" s="11" t="s">
        <v>2066</v>
      </c>
      <c r="I83" s="159"/>
      <c r="J83" s="171"/>
    </row>
    <row r="84" ht="22.5" customHeight="1">
      <c r="A84" s="151"/>
      <c r="B84" s="17" t="s">
        <v>1241</v>
      </c>
      <c r="C84" s="11" t="s">
        <v>1242</v>
      </c>
      <c r="D84" s="158" t="s">
        <v>1870</v>
      </c>
      <c r="E84" s="11" t="s">
        <v>2024</v>
      </c>
      <c r="F84" s="11" t="s">
        <v>2109</v>
      </c>
      <c r="G84" s="11" t="s">
        <v>1933</v>
      </c>
      <c r="H84" s="11" t="s">
        <v>1951</v>
      </c>
      <c r="I84" s="159"/>
      <c r="J84" s="171"/>
    </row>
    <row r="85" ht="22.5" customHeight="1">
      <c r="A85" s="151"/>
      <c r="B85" s="17" t="s">
        <v>1243</v>
      </c>
      <c r="C85" s="11" t="s">
        <v>1244</v>
      </c>
      <c r="D85" s="158" t="s">
        <v>1870</v>
      </c>
      <c r="E85" s="11" t="s">
        <v>1988</v>
      </c>
      <c r="F85" s="11" t="s">
        <v>2106</v>
      </c>
      <c r="G85" s="11" t="s">
        <v>1933</v>
      </c>
      <c r="H85" s="11" t="s">
        <v>1951</v>
      </c>
      <c r="I85" s="159"/>
      <c r="J85" s="171"/>
    </row>
    <row r="86" ht="22.5" customHeight="1">
      <c r="A86" s="151"/>
      <c r="B86" s="17" t="s">
        <v>1245</v>
      </c>
      <c r="C86" s="11" t="s">
        <v>1058</v>
      </c>
      <c r="D86" s="158" t="s">
        <v>1870</v>
      </c>
      <c r="E86" s="11" t="s">
        <v>2031</v>
      </c>
      <c r="F86" s="11" t="s">
        <v>2110</v>
      </c>
      <c r="G86" s="11" t="s">
        <v>1933</v>
      </c>
      <c r="H86" s="11" t="s">
        <v>1940</v>
      </c>
      <c r="I86" s="159"/>
      <c r="J86" s="171"/>
    </row>
    <row r="87" ht="22.5" customHeight="1">
      <c r="A87" s="151"/>
      <c r="B87" s="17" t="s">
        <v>1246</v>
      </c>
      <c r="C87" s="11" t="s">
        <v>1069</v>
      </c>
      <c r="D87" s="158" t="s">
        <v>1870</v>
      </c>
      <c r="E87" s="11" t="s">
        <v>2037</v>
      </c>
      <c r="F87" s="11" t="s">
        <v>2112</v>
      </c>
      <c r="G87" s="11" t="s">
        <v>1933</v>
      </c>
      <c r="H87" s="11" t="s">
        <v>1994</v>
      </c>
      <c r="I87" s="159"/>
      <c r="J87" s="171"/>
    </row>
    <row r="88" ht="22.5" customHeight="1">
      <c r="A88" s="151"/>
      <c r="B88" s="17" t="s">
        <v>267</v>
      </c>
      <c r="C88" s="11" t="s">
        <v>912</v>
      </c>
      <c r="D88" s="158" t="s">
        <v>1870</v>
      </c>
      <c r="E88" s="11" t="s">
        <v>2113</v>
      </c>
      <c r="F88" s="11" t="s">
        <v>2108</v>
      </c>
      <c r="G88" s="11" t="s">
        <v>1933</v>
      </c>
      <c r="H88" s="11" t="s">
        <v>1951</v>
      </c>
      <c r="I88" s="159"/>
      <c r="J88" s="171"/>
    </row>
    <row r="89" ht="22.5" customHeight="1">
      <c r="A89" s="151"/>
      <c r="B89" s="17" t="s">
        <v>270</v>
      </c>
      <c r="C89" s="11" t="s">
        <v>913</v>
      </c>
      <c r="D89" s="158" t="s">
        <v>1870</v>
      </c>
      <c r="E89" s="11" t="s">
        <v>2059</v>
      </c>
      <c r="F89" s="11" t="s">
        <v>2112</v>
      </c>
      <c r="G89" s="11" t="s">
        <v>1933</v>
      </c>
      <c r="H89" s="11" t="s">
        <v>1951</v>
      </c>
      <c r="I89" s="159"/>
      <c r="J89" s="171"/>
    </row>
    <row r="90" ht="22.5" customHeight="1">
      <c r="A90" s="151"/>
      <c r="B90" s="17" t="s">
        <v>200</v>
      </c>
      <c r="C90" s="11" t="s">
        <v>2114</v>
      </c>
      <c r="D90" s="158" t="s">
        <v>1870</v>
      </c>
      <c r="E90" s="11" t="s">
        <v>2074</v>
      </c>
      <c r="F90" s="11" t="s">
        <v>2115</v>
      </c>
      <c r="G90" s="11" t="s">
        <v>1933</v>
      </c>
      <c r="H90" s="11" t="s">
        <v>1948</v>
      </c>
      <c r="I90" s="159"/>
      <c r="J90" s="171"/>
    </row>
    <row r="91" ht="22.5" customHeight="1">
      <c r="A91" s="151"/>
      <c r="B91" s="17" t="s">
        <v>205</v>
      </c>
      <c r="C91" s="11" t="s">
        <v>915</v>
      </c>
      <c r="D91" s="158" t="s">
        <v>1870</v>
      </c>
      <c r="E91" s="11" t="s">
        <v>2056</v>
      </c>
      <c r="F91" s="11" t="s">
        <v>2116</v>
      </c>
      <c r="G91" s="11" t="s">
        <v>1933</v>
      </c>
      <c r="H91" s="11" t="s">
        <v>1948</v>
      </c>
      <c r="I91" s="159"/>
      <c r="J91" s="171"/>
    </row>
    <row r="92" ht="22.5" customHeight="1">
      <c r="A92" s="151"/>
      <c r="B92" s="17" t="s">
        <v>609</v>
      </c>
      <c r="C92" s="11" t="s">
        <v>916</v>
      </c>
      <c r="D92" s="158" t="s">
        <v>1870</v>
      </c>
      <c r="E92" s="11" t="s">
        <v>2117</v>
      </c>
      <c r="F92" s="11" t="s">
        <v>2118</v>
      </c>
      <c r="G92" s="11" t="s">
        <v>1933</v>
      </c>
      <c r="H92" s="11" t="s">
        <v>1948</v>
      </c>
      <c r="I92" s="159"/>
      <c r="J92" s="171"/>
    </row>
    <row r="93" ht="22.5" customHeight="1">
      <c r="A93" s="151"/>
      <c r="B93" s="17" t="s">
        <v>212</v>
      </c>
      <c r="C93" s="11" t="s">
        <v>917</v>
      </c>
      <c r="D93" s="158" t="s">
        <v>1870</v>
      </c>
      <c r="E93" s="11" t="s">
        <v>2036</v>
      </c>
      <c r="F93" s="11" t="s">
        <v>2119</v>
      </c>
      <c r="G93" s="11" t="s">
        <v>1933</v>
      </c>
      <c r="H93" s="11" t="s">
        <v>1948</v>
      </c>
      <c r="I93" s="159"/>
      <c r="J93" s="171"/>
    </row>
    <row r="94" ht="22.5" customHeight="1">
      <c r="A94" s="151"/>
      <c r="B94" s="17" t="s">
        <v>217</v>
      </c>
      <c r="C94" s="11" t="s">
        <v>918</v>
      </c>
      <c r="D94" s="158" t="s">
        <v>1870</v>
      </c>
      <c r="E94" s="11" t="s">
        <v>2120</v>
      </c>
      <c r="F94" s="11" t="s">
        <v>2121</v>
      </c>
      <c r="G94" s="11" t="s">
        <v>1933</v>
      </c>
      <c r="H94" s="11" t="s">
        <v>1951</v>
      </c>
      <c r="I94" s="159"/>
      <c r="J94" s="171"/>
    </row>
    <row r="95" ht="22.5" customHeight="1">
      <c r="A95" s="151"/>
      <c r="B95" s="17" t="s">
        <v>222</v>
      </c>
      <c r="C95" s="11" t="s">
        <v>920</v>
      </c>
      <c r="D95" s="158" t="s">
        <v>1870</v>
      </c>
      <c r="E95" s="11" t="s">
        <v>2040</v>
      </c>
      <c r="F95" s="11" t="s">
        <v>2122</v>
      </c>
      <c r="G95" s="11" t="s">
        <v>1933</v>
      </c>
      <c r="H95" s="11" t="s">
        <v>1948</v>
      </c>
      <c r="I95" s="159"/>
      <c r="J95" s="171"/>
    </row>
    <row r="96" ht="22.5" customHeight="1">
      <c r="A96" s="151"/>
      <c r="B96" s="17" t="s">
        <v>1254</v>
      </c>
      <c r="C96" s="11" t="s">
        <v>1080</v>
      </c>
      <c r="D96" s="158" t="s">
        <v>1889</v>
      </c>
      <c r="E96" s="11" t="s">
        <v>1954</v>
      </c>
      <c r="F96" s="11" t="s">
        <v>2008</v>
      </c>
      <c r="G96" s="11" t="s">
        <v>1933</v>
      </c>
      <c r="H96" s="11" t="s">
        <v>2030</v>
      </c>
      <c r="I96" s="159"/>
      <c r="J96" s="171"/>
    </row>
    <row r="97" ht="22.5" customHeight="1">
      <c r="A97" s="151"/>
      <c r="B97" s="17" t="s">
        <v>1255</v>
      </c>
      <c r="C97" s="11" t="s">
        <v>1083</v>
      </c>
      <c r="D97" s="158" t="s">
        <v>1889</v>
      </c>
      <c r="E97" s="11" t="s">
        <v>2123</v>
      </c>
      <c r="F97" s="11" t="s">
        <v>2118</v>
      </c>
      <c r="G97" s="11" t="s">
        <v>1933</v>
      </c>
      <c r="H97" s="11" t="s">
        <v>2124</v>
      </c>
      <c r="I97" s="159"/>
      <c r="J97" s="171"/>
    </row>
    <row r="98" ht="22.5" customHeight="1">
      <c r="A98" s="151"/>
      <c r="B98" s="17" t="s">
        <v>1256</v>
      </c>
      <c r="C98" s="11" t="s">
        <v>1084</v>
      </c>
      <c r="D98" s="158" t="s">
        <v>1889</v>
      </c>
      <c r="E98" s="11" t="s">
        <v>2125</v>
      </c>
      <c r="F98" s="11" t="s">
        <v>2119</v>
      </c>
      <c r="G98" s="11" t="s">
        <v>1933</v>
      </c>
      <c r="H98" s="11" t="s">
        <v>2124</v>
      </c>
      <c r="I98" s="159"/>
      <c r="J98" s="171"/>
    </row>
    <row r="99" ht="22.5" customHeight="1">
      <c r="A99" s="151"/>
      <c r="B99" s="17" t="s">
        <v>1257</v>
      </c>
      <c r="C99" s="11" t="s">
        <v>1258</v>
      </c>
      <c r="D99" s="158" t="s">
        <v>1889</v>
      </c>
      <c r="E99" s="11" t="s">
        <v>2126</v>
      </c>
      <c r="F99" s="11" t="s">
        <v>2116</v>
      </c>
      <c r="G99" s="11" t="s">
        <v>1933</v>
      </c>
      <c r="H99" s="11" t="s">
        <v>2124</v>
      </c>
      <c r="I99" s="159"/>
      <c r="J99" s="171"/>
    </row>
    <row r="100" ht="22.5" customHeight="1">
      <c r="A100" s="151"/>
      <c r="B100" s="17" t="s">
        <v>1259</v>
      </c>
      <c r="C100" s="11" t="s">
        <v>1260</v>
      </c>
      <c r="D100" s="158" t="s">
        <v>1889</v>
      </c>
      <c r="E100" s="11" t="s">
        <v>2050</v>
      </c>
      <c r="F100" s="11" t="s">
        <v>2112</v>
      </c>
      <c r="G100" s="11" t="s">
        <v>1933</v>
      </c>
      <c r="H100" s="11" t="s">
        <v>2124</v>
      </c>
      <c r="I100" s="159"/>
      <c r="J100" s="171"/>
    </row>
    <row r="101" ht="22.5" customHeight="1">
      <c r="A101" s="151"/>
      <c r="B101" s="17" t="s">
        <v>1261</v>
      </c>
      <c r="C101" s="11" t="s">
        <v>1262</v>
      </c>
      <c r="D101" s="158" t="s">
        <v>1889</v>
      </c>
      <c r="E101" s="11" t="s">
        <v>2127</v>
      </c>
      <c r="F101" s="11" t="s">
        <v>2128</v>
      </c>
      <c r="G101" s="11" t="s">
        <v>1933</v>
      </c>
      <c r="H101" s="11" t="s">
        <v>2072</v>
      </c>
      <c r="I101" s="159"/>
      <c r="J101" s="171"/>
    </row>
    <row r="102" ht="22.5" customHeight="1">
      <c r="A102" s="151"/>
      <c r="B102" s="17" t="s">
        <v>1263</v>
      </c>
      <c r="C102" s="11" t="s">
        <v>1258</v>
      </c>
      <c r="D102" s="158" t="s">
        <v>1889</v>
      </c>
      <c r="E102" s="11" t="s">
        <v>2129</v>
      </c>
      <c r="F102" s="11" t="s">
        <v>2121</v>
      </c>
      <c r="G102" s="11" t="s">
        <v>1933</v>
      </c>
      <c r="H102" s="11" t="s">
        <v>2002</v>
      </c>
      <c r="I102" s="159"/>
      <c r="J102" s="171"/>
    </row>
    <row r="103" ht="22.5" customHeight="1">
      <c r="A103" s="151"/>
      <c r="B103" s="17" t="s">
        <v>168</v>
      </c>
      <c r="C103" s="11" t="s">
        <v>2130</v>
      </c>
      <c r="D103" s="158" t="s">
        <v>1889</v>
      </c>
      <c r="E103" s="11" t="s">
        <v>2131</v>
      </c>
      <c r="F103" s="11" t="s">
        <v>2121</v>
      </c>
      <c r="G103" s="11" t="s">
        <v>1933</v>
      </c>
      <c r="H103" s="11" t="s">
        <v>2072</v>
      </c>
      <c r="I103" s="159"/>
      <c r="J103" s="171"/>
    </row>
    <row r="104" ht="22.5" customHeight="1">
      <c r="A104" s="151"/>
      <c r="B104" s="17" t="s">
        <v>1264</v>
      </c>
      <c r="C104" s="11" t="s">
        <v>1258</v>
      </c>
      <c r="D104" s="158" t="s">
        <v>1889</v>
      </c>
      <c r="E104" s="11" t="s">
        <v>2132</v>
      </c>
      <c r="F104" s="11" t="s">
        <v>2133</v>
      </c>
      <c r="G104" s="11" t="s">
        <v>1933</v>
      </c>
      <c r="H104" s="11" t="s">
        <v>2002</v>
      </c>
      <c r="I104" s="159"/>
      <c r="J104" s="171"/>
    </row>
    <row r="105" ht="22.5" customHeight="1">
      <c r="A105" s="151"/>
      <c r="B105" s="17" t="s">
        <v>1265</v>
      </c>
      <c r="C105" s="11" t="s">
        <v>1266</v>
      </c>
      <c r="D105" s="158" t="s">
        <v>1889</v>
      </c>
      <c r="E105" s="11" t="s">
        <v>2134</v>
      </c>
      <c r="F105" s="11" t="s">
        <v>2122</v>
      </c>
      <c r="G105" s="11" t="s">
        <v>1933</v>
      </c>
      <c r="H105" s="11" t="s">
        <v>2002</v>
      </c>
      <c r="I105" s="159"/>
      <c r="J105" s="171"/>
    </row>
    <row r="106" ht="22.5" customHeight="1">
      <c r="A106" s="151"/>
      <c r="B106" s="17" t="s">
        <v>1267</v>
      </c>
      <c r="C106" s="11" t="s">
        <v>1081</v>
      </c>
      <c r="D106" s="158" t="s">
        <v>1889</v>
      </c>
      <c r="E106" s="11" t="s">
        <v>2135</v>
      </c>
      <c r="F106" s="11" t="s">
        <v>2110</v>
      </c>
      <c r="G106" s="11" t="s">
        <v>1933</v>
      </c>
      <c r="H106" s="11" t="s">
        <v>2002</v>
      </c>
      <c r="I106" s="159"/>
      <c r="J106" s="171"/>
    </row>
    <row r="107" ht="22.5" customHeight="1">
      <c r="A107" s="151"/>
      <c r="B107" s="17" t="s">
        <v>1268</v>
      </c>
      <c r="C107" s="11" t="s">
        <v>1083</v>
      </c>
      <c r="D107" s="158" t="s">
        <v>1889</v>
      </c>
      <c r="E107" s="11" t="s">
        <v>1950</v>
      </c>
      <c r="F107" s="11" t="s">
        <v>2010</v>
      </c>
      <c r="G107" s="11" t="s">
        <v>1933</v>
      </c>
      <c r="H107" s="11" t="s">
        <v>2090</v>
      </c>
      <c r="I107" s="159"/>
      <c r="J107" s="171"/>
    </row>
    <row r="108" ht="22.5" customHeight="1">
      <c r="A108" s="151"/>
      <c r="B108" s="17" t="s">
        <v>1269</v>
      </c>
      <c r="C108" s="11" t="s">
        <v>1258</v>
      </c>
      <c r="D108" s="158" t="s">
        <v>1889</v>
      </c>
      <c r="E108" s="11" t="s">
        <v>2045</v>
      </c>
      <c r="F108" s="11" t="s">
        <v>2108</v>
      </c>
      <c r="G108" s="11" t="s">
        <v>1933</v>
      </c>
      <c r="H108" s="11" t="s">
        <v>2124</v>
      </c>
      <c r="I108" s="159"/>
      <c r="J108" s="171"/>
    </row>
    <row r="109" ht="22.5" customHeight="1">
      <c r="A109" s="151"/>
      <c r="B109" s="17" t="s">
        <v>1270</v>
      </c>
      <c r="C109" s="11" t="s">
        <v>1083</v>
      </c>
      <c r="D109" s="158" t="s">
        <v>1889</v>
      </c>
      <c r="E109" s="11" t="s">
        <v>2031</v>
      </c>
      <c r="F109" s="11" t="s">
        <v>2106</v>
      </c>
      <c r="G109" s="11" t="s">
        <v>1933</v>
      </c>
      <c r="H109" s="11" t="s">
        <v>2066</v>
      </c>
      <c r="I109" s="159"/>
      <c r="J109" s="171"/>
    </row>
    <row r="110" ht="22.5" customHeight="1">
      <c r="A110" s="151"/>
      <c r="B110" s="17" t="s">
        <v>226</v>
      </c>
      <c r="C110" s="11" t="s">
        <v>923</v>
      </c>
      <c r="D110" s="158" t="s">
        <v>1889</v>
      </c>
      <c r="E110" s="11" t="s">
        <v>2044</v>
      </c>
      <c r="F110" s="11" t="s">
        <v>2106</v>
      </c>
      <c r="G110" s="11" t="s">
        <v>1933</v>
      </c>
      <c r="H110" s="11" t="s">
        <v>2063</v>
      </c>
      <c r="I110" s="159"/>
      <c r="J110" s="171"/>
    </row>
    <row r="111" ht="22.5" customHeight="1">
      <c r="A111" s="151"/>
      <c r="B111" s="17" t="s">
        <v>643</v>
      </c>
      <c r="C111" s="11" t="s">
        <v>924</v>
      </c>
      <c r="D111" s="158" t="s">
        <v>1889</v>
      </c>
      <c r="E111" s="11" t="s">
        <v>2120</v>
      </c>
      <c r="F111" s="11" t="s">
        <v>2136</v>
      </c>
      <c r="G111" s="11" t="s">
        <v>1933</v>
      </c>
      <c r="H111" s="11" t="s">
        <v>2062</v>
      </c>
      <c r="I111" s="159"/>
      <c r="J111" s="171"/>
    </row>
    <row r="112" ht="22.5" customHeight="1">
      <c r="A112" s="151"/>
      <c r="B112" s="17" t="s">
        <v>177</v>
      </c>
      <c r="C112" s="11" t="s">
        <v>2137</v>
      </c>
      <c r="D112" s="158" t="s">
        <v>1889</v>
      </c>
      <c r="E112" s="11" t="s">
        <v>2056</v>
      </c>
      <c r="F112" s="11" t="s">
        <v>2099</v>
      </c>
      <c r="G112" s="11" t="s">
        <v>1933</v>
      </c>
      <c r="H112" s="11" t="s">
        <v>2062</v>
      </c>
      <c r="I112" s="159"/>
      <c r="J112" s="171"/>
    </row>
    <row r="113" ht="22.5" customHeight="1">
      <c r="A113" s="151"/>
      <c r="B113" s="17" t="s">
        <v>1274</v>
      </c>
      <c r="C113" s="11" t="s">
        <v>1275</v>
      </c>
      <c r="D113" s="158" t="s">
        <v>1889</v>
      </c>
      <c r="E113" s="11" t="s">
        <v>2073</v>
      </c>
      <c r="F113" s="11" t="s">
        <v>2099</v>
      </c>
      <c r="G113" s="11" t="s">
        <v>1933</v>
      </c>
      <c r="H113" s="11" t="s">
        <v>1953</v>
      </c>
      <c r="I113" s="159"/>
      <c r="J113" s="171"/>
    </row>
    <row r="114" ht="22.5" customHeight="1">
      <c r="A114" s="151"/>
      <c r="B114" s="17" t="s">
        <v>183</v>
      </c>
      <c r="C114" s="11" t="s">
        <v>926</v>
      </c>
      <c r="D114" s="158" t="s">
        <v>1889</v>
      </c>
      <c r="E114" s="11" t="s">
        <v>2117</v>
      </c>
      <c r="F114" s="11" t="s">
        <v>2138</v>
      </c>
      <c r="G114" s="11" t="s">
        <v>1933</v>
      </c>
      <c r="H114" s="11" t="s">
        <v>2013</v>
      </c>
      <c r="I114" s="159"/>
      <c r="J114" s="171"/>
    </row>
    <row r="115" ht="22.5" customHeight="1">
      <c r="A115" s="151"/>
      <c r="B115" s="17" t="s">
        <v>1276</v>
      </c>
      <c r="C115" s="11" t="s">
        <v>1277</v>
      </c>
      <c r="D115" s="158" t="s">
        <v>1889</v>
      </c>
      <c r="E115" s="11" t="s">
        <v>2104</v>
      </c>
      <c r="F115" s="11" t="s">
        <v>2067</v>
      </c>
      <c r="G115" s="11" t="s">
        <v>1933</v>
      </c>
      <c r="H115" s="11" t="s">
        <v>1994</v>
      </c>
      <c r="I115" s="159"/>
      <c r="J115" s="171"/>
    </row>
    <row r="116" ht="22.5" customHeight="1">
      <c r="A116" s="151"/>
      <c r="B116" s="17" t="s">
        <v>1278</v>
      </c>
      <c r="C116" s="11" t="s">
        <v>1279</v>
      </c>
      <c r="D116" s="158" t="s">
        <v>1889</v>
      </c>
      <c r="E116" s="11" t="s">
        <v>2049</v>
      </c>
      <c r="F116" s="11" t="s">
        <v>2109</v>
      </c>
      <c r="G116" s="11" t="s">
        <v>1933</v>
      </c>
      <c r="H116" s="11" t="s">
        <v>2124</v>
      </c>
      <c r="I116" s="159"/>
      <c r="J116" s="171"/>
    </row>
    <row r="117" ht="22.5" customHeight="1">
      <c r="A117" s="151"/>
      <c r="B117" s="17" t="s">
        <v>1280</v>
      </c>
      <c r="C117" s="11" t="s">
        <v>1258</v>
      </c>
      <c r="D117" s="158" t="s">
        <v>1889</v>
      </c>
      <c r="E117" s="11" t="s">
        <v>2042</v>
      </c>
      <c r="F117" s="11" t="s">
        <v>2140</v>
      </c>
      <c r="G117" s="11" t="s">
        <v>1933</v>
      </c>
      <c r="H117" s="11" t="s">
        <v>2066</v>
      </c>
      <c r="I117" s="159"/>
      <c r="J117" s="171"/>
    </row>
    <row r="118" ht="22.5" customHeight="1">
      <c r="A118" s="151"/>
      <c r="B118" s="17" t="s">
        <v>1281</v>
      </c>
      <c r="C118" s="11" t="s">
        <v>1092</v>
      </c>
      <c r="D118" s="158" t="s">
        <v>1889</v>
      </c>
      <c r="E118" s="11" t="s">
        <v>2034</v>
      </c>
      <c r="F118" s="11" t="s">
        <v>2141</v>
      </c>
      <c r="G118" s="11" t="s">
        <v>1933</v>
      </c>
      <c r="H118" s="11" t="s">
        <v>2066</v>
      </c>
      <c r="I118" s="159"/>
      <c r="J118" s="171"/>
    </row>
    <row r="119" ht="22.5" customHeight="1">
      <c r="A119" s="151"/>
      <c r="B119" s="17" t="s">
        <v>1282</v>
      </c>
      <c r="C119" s="11" t="s">
        <v>1097</v>
      </c>
      <c r="D119" s="158" t="s">
        <v>1889</v>
      </c>
      <c r="E119" s="11" t="s">
        <v>2037</v>
      </c>
      <c r="F119" s="11" t="s">
        <v>2142</v>
      </c>
      <c r="G119" s="11" t="s">
        <v>1933</v>
      </c>
      <c r="H119" s="11" t="s">
        <v>2062</v>
      </c>
      <c r="I119" s="159"/>
      <c r="J119" s="171"/>
    </row>
    <row r="120" ht="22.5" customHeight="1">
      <c r="A120" s="151"/>
      <c r="B120" s="17" t="s">
        <v>1283</v>
      </c>
      <c r="C120" s="11" t="s">
        <v>1100</v>
      </c>
      <c r="D120" s="158" t="s">
        <v>1889</v>
      </c>
      <c r="E120" s="11" t="s">
        <v>2113</v>
      </c>
      <c r="F120" s="11" t="s">
        <v>2051</v>
      </c>
      <c r="G120" s="11" t="s">
        <v>1933</v>
      </c>
      <c r="H120" s="11" t="s">
        <v>1953</v>
      </c>
      <c r="I120" s="159"/>
      <c r="J120" s="171"/>
    </row>
    <row r="121" ht="22.5" customHeight="1">
      <c r="A121" s="151"/>
      <c r="B121" s="17" t="s">
        <v>1284</v>
      </c>
      <c r="C121" s="11" t="s">
        <v>1098</v>
      </c>
      <c r="D121" s="158" t="s">
        <v>1889</v>
      </c>
      <c r="E121" s="11" t="s">
        <v>2024</v>
      </c>
      <c r="F121" s="11" t="s">
        <v>2046</v>
      </c>
      <c r="G121" s="11" t="s">
        <v>1933</v>
      </c>
      <c r="H121" s="11" t="s">
        <v>1953</v>
      </c>
      <c r="I121" s="159"/>
      <c r="J121" s="171"/>
    </row>
    <row r="122" ht="22.5" customHeight="1">
      <c r="A122" s="151"/>
      <c r="B122" s="17" t="s">
        <v>1285</v>
      </c>
      <c r="C122" s="11" t="s">
        <v>1090</v>
      </c>
      <c r="D122" s="158" t="s">
        <v>1889</v>
      </c>
      <c r="E122" s="11" t="s">
        <v>1988</v>
      </c>
      <c r="F122" s="11" t="s">
        <v>2046</v>
      </c>
      <c r="G122" s="11" t="s">
        <v>1933</v>
      </c>
      <c r="H122" s="11" t="s">
        <v>1999</v>
      </c>
      <c r="I122" s="159"/>
      <c r="J122" s="171"/>
    </row>
    <row r="123" ht="22.5" customHeight="1">
      <c r="A123" s="151"/>
      <c r="B123" s="17" t="s">
        <v>1286</v>
      </c>
      <c r="C123" s="11" t="s">
        <v>1258</v>
      </c>
      <c r="D123" s="158" t="s">
        <v>1889</v>
      </c>
      <c r="E123" s="11" t="s">
        <v>1981</v>
      </c>
      <c r="F123" s="11" t="s">
        <v>2032</v>
      </c>
      <c r="G123" s="11" t="s">
        <v>1933</v>
      </c>
      <c r="H123" s="11" t="s">
        <v>2143</v>
      </c>
      <c r="I123" s="159"/>
      <c r="J123" s="171"/>
    </row>
    <row r="124" ht="22.5" customHeight="1">
      <c r="A124" s="151"/>
      <c r="B124" s="17" t="s">
        <v>1287</v>
      </c>
      <c r="C124" s="11" t="s">
        <v>1083</v>
      </c>
      <c r="D124" s="158" t="s">
        <v>1889</v>
      </c>
      <c r="E124" s="11" t="s">
        <v>2021</v>
      </c>
      <c r="F124" s="11" t="s">
        <v>2035</v>
      </c>
      <c r="G124" s="11" t="s">
        <v>1933</v>
      </c>
      <c r="H124" s="11" t="s">
        <v>1994</v>
      </c>
      <c r="I124" s="159"/>
      <c r="J124" s="171"/>
    </row>
    <row r="125" ht="22.5" customHeight="1">
      <c r="A125" s="151"/>
      <c r="B125" s="17" t="s">
        <v>1288</v>
      </c>
      <c r="C125" s="11" t="s">
        <v>1289</v>
      </c>
      <c r="D125" s="158" t="s">
        <v>1889</v>
      </c>
      <c r="E125" s="11" t="s">
        <v>2064</v>
      </c>
      <c r="F125" s="11" t="s">
        <v>2041</v>
      </c>
      <c r="G125" s="11" t="s">
        <v>1933</v>
      </c>
      <c r="H125" s="11" t="s">
        <v>1996</v>
      </c>
      <c r="I125" s="159"/>
      <c r="J125" s="171"/>
    </row>
    <row r="126" ht="22.5" customHeight="1">
      <c r="A126" s="151"/>
      <c r="B126" s="17" t="s">
        <v>231</v>
      </c>
      <c r="C126" s="11" t="s">
        <v>927</v>
      </c>
      <c r="D126" s="158" t="s">
        <v>1889</v>
      </c>
      <c r="E126" s="11" t="s">
        <v>1976</v>
      </c>
      <c r="F126" s="11" t="s">
        <v>2038</v>
      </c>
      <c r="G126" s="11" t="s">
        <v>1933</v>
      </c>
      <c r="H126" s="11" t="s">
        <v>1996</v>
      </c>
      <c r="I126" s="159"/>
      <c r="J126" s="171"/>
    </row>
    <row r="127" ht="22.5" customHeight="1">
      <c r="A127" s="151"/>
      <c r="B127" s="17" t="s">
        <v>233</v>
      </c>
      <c r="C127" s="11" t="s">
        <v>2146</v>
      </c>
      <c r="D127" s="158" t="s">
        <v>1889</v>
      </c>
      <c r="E127" s="11" t="s">
        <v>2007</v>
      </c>
      <c r="F127" s="11" t="s">
        <v>2060</v>
      </c>
      <c r="G127" s="11" t="s">
        <v>1933</v>
      </c>
      <c r="H127" s="11" t="s">
        <v>1990</v>
      </c>
      <c r="I127" s="159"/>
      <c r="J127" s="171"/>
    </row>
    <row r="128" ht="22.5" customHeight="1">
      <c r="A128" s="151"/>
      <c r="B128" s="17" t="s">
        <v>1291</v>
      </c>
      <c r="C128" s="11" t="s">
        <v>1292</v>
      </c>
      <c r="D128" s="158" t="s">
        <v>1889</v>
      </c>
      <c r="E128" s="11" t="s">
        <v>2015</v>
      </c>
      <c r="F128" s="11" t="s">
        <v>2086</v>
      </c>
      <c r="G128" s="11" t="s">
        <v>1933</v>
      </c>
      <c r="H128" s="11" t="s">
        <v>1990</v>
      </c>
      <c r="I128" s="159"/>
      <c r="J128" s="171"/>
    </row>
    <row r="129" ht="22.5" customHeight="1">
      <c r="A129" s="151"/>
      <c r="B129" s="17" t="s">
        <v>1293</v>
      </c>
      <c r="C129" s="11" t="s">
        <v>1294</v>
      </c>
      <c r="D129" s="158" t="s">
        <v>1889</v>
      </c>
      <c r="E129" s="11" t="s">
        <v>2026</v>
      </c>
      <c r="F129" s="11" t="s">
        <v>2065</v>
      </c>
      <c r="G129" s="11" t="s">
        <v>1933</v>
      </c>
      <c r="H129" s="11" t="s">
        <v>1994</v>
      </c>
      <c r="I129" s="159"/>
      <c r="J129" s="171"/>
    </row>
    <row r="130" ht="22.5" customHeight="1">
      <c r="A130" s="151"/>
      <c r="B130" s="17" t="s">
        <v>1295</v>
      </c>
      <c r="C130" s="11" t="s">
        <v>1297</v>
      </c>
      <c r="D130" s="158" t="s">
        <v>1889</v>
      </c>
      <c r="E130" s="11" t="s">
        <v>1971</v>
      </c>
      <c r="F130" s="11" t="s">
        <v>2071</v>
      </c>
      <c r="G130" s="11" t="s">
        <v>1933</v>
      </c>
      <c r="H130" s="11" t="s">
        <v>1996</v>
      </c>
      <c r="I130" s="159"/>
      <c r="J130" s="171"/>
    </row>
    <row r="131" ht="22.5" customHeight="1">
      <c r="A131" s="151"/>
      <c r="B131" s="17" t="s">
        <v>1298</v>
      </c>
      <c r="C131" s="11" t="s">
        <v>1299</v>
      </c>
      <c r="D131" s="158" t="s">
        <v>1889</v>
      </c>
      <c r="E131" s="11" t="s">
        <v>1973</v>
      </c>
      <c r="F131" s="11" t="s">
        <v>2043</v>
      </c>
      <c r="G131" s="11" t="s">
        <v>1933</v>
      </c>
      <c r="H131" s="11" t="s">
        <v>2143</v>
      </c>
      <c r="I131" s="159"/>
      <c r="J131" s="171"/>
    </row>
    <row r="132" ht="22.5" customHeight="1">
      <c r="A132" s="151"/>
      <c r="B132" s="17" t="s">
        <v>1300</v>
      </c>
      <c r="C132" s="11" t="s">
        <v>1258</v>
      </c>
      <c r="D132" s="158" t="s">
        <v>1889</v>
      </c>
      <c r="E132" s="11" t="s">
        <v>2097</v>
      </c>
      <c r="F132" s="11" t="s">
        <v>2061</v>
      </c>
      <c r="G132" s="11" t="s">
        <v>1933</v>
      </c>
      <c r="H132" s="11" t="s">
        <v>1937</v>
      </c>
      <c r="I132" s="159"/>
      <c r="J132" s="171"/>
    </row>
    <row r="133" ht="22.5" customHeight="1">
      <c r="A133" s="151"/>
      <c r="B133" s="17" t="s">
        <v>1301</v>
      </c>
      <c r="C133" s="11" t="s">
        <v>1083</v>
      </c>
      <c r="D133" s="158" t="s">
        <v>1889</v>
      </c>
      <c r="E133" s="11" t="s">
        <v>1989</v>
      </c>
      <c r="F133" s="11" t="s">
        <v>1986</v>
      </c>
      <c r="G133" s="11" t="s">
        <v>1933</v>
      </c>
      <c r="H133" s="11" t="s">
        <v>1940</v>
      </c>
      <c r="I133" s="159"/>
      <c r="J133" s="171"/>
    </row>
    <row r="134" ht="22.5" customHeight="1">
      <c r="A134" s="151"/>
      <c r="B134" s="17" t="s">
        <v>1302</v>
      </c>
      <c r="C134" s="11" t="s">
        <v>1303</v>
      </c>
      <c r="D134" s="158" t="s">
        <v>1889</v>
      </c>
      <c r="E134" s="11" t="s">
        <v>2102</v>
      </c>
      <c r="F134" s="11" t="s">
        <v>2057</v>
      </c>
      <c r="G134" s="11" t="s">
        <v>1933</v>
      </c>
      <c r="H134" s="11" t="s">
        <v>1937</v>
      </c>
      <c r="I134" s="159"/>
      <c r="J134" s="171"/>
    </row>
    <row r="135" ht="22.5" customHeight="1">
      <c r="A135" s="151"/>
      <c r="B135" s="17" t="s">
        <v>1304</v>
      </c>
      <c r="C135" s="11" t="s">
        <v>1305</v>
      </c>
      <c r="D135" s="158" t="s">
        <v>1889</v>
      </c>
      <c r="E135" s="11" t="s">
        <v>1991</v>
      </c>
      <c r="F135" s="11" t="s">
        <v>2078</v>
      </c>
      <c r="G135" s="11" t="s">
        <v>1933</v>
      </c>
      <c r="H135" s="11" t="s">
        <v>1948</v>
      </c>
      <c r="I135" s="11" t="s">
        <v>2091</v>
      </c>
      <c r="J135" s="166"/>
    </row>
    <row r="136" ht="22.5" customHeight="1">
      <c r="A136" s="151"/>
      <c r="B136" s="17" t="s">
        <v>1304</v>
      </c>
      <c r="C136" s="11" t="s">
        <v>1305</v>
      </c>
      <c r="D136" s="158" t="s">
        <v>1889</v>
      </c>
      <c r="E136" s="11" t="s">
        <v>1995</v>
      </c>
      <c r="F136" s="11" t="s">
        <v>2082</v>
      </c>
      <c r="G136" s="11" t="s">
        <v>1933</v>
      </c>
      <c r="H136" s="11" t="s">
        <v>1940</v>
      </c>
      <c r="I136" s="159"/>
      <c r="J136" s="171"/>
    </row>
    <row r="137" ht="22.5" customHeight="1">
      <c r="A137" s="151"/>
      <c r="B137" s="17" t="s">
        <v>1308</v>
      </c>
      <c r="C137" s="11" t="s">
        <v>1309</v>
      </c>
      <c r="D137" s="158" t="s">
        <v>1889</v>
      </c>
      <c r="E137" s="11" t="s">
        <v>1952</v>
      </c>
      <c r="F137" s="11" t="s">
        <v>1977</v>
      </c>
      <c r="G137" s="11" t="s">
        <v>1933</v>
      </c>
      <c r="H137" s="11" t="s">
        <v>2014</v>
      </c>
      <c r="I137" s="159"/>
      <c r="J137" s="171"/>
    </row>
    <row r="138" ht="22.5" customHeight="1">
      <c r="A138" s="151"/>
      <c r="B138" s="17" t="s">
        <v>239</v>
      </c>
      <c r="C138" s="11" t="s">
        <v>293</v>
      </c>
      <c r="D138" s="158" t="s">
        <v>1889</v>
      </c>
      <c r="E138" s="11" t="s">
        <v>1935</v>
      </c>
      <c r="F138" s="11" t="s">
        <v>1992</v>
      </c>
      <c r="G138" s="11" t="s">
        <v>1933</v>
      </c>
      <c r="H138" s="11" t="s">
        <v>2014</v>
      </c>
      <c r="I138" s="159"/>
      <c r="J138" s="171"/>
    </row>
    <row r="139" ht="22.5" customHeight="1">
      <c r="A139" s="151"/>
      <c r="B139" s="17" t="s">
        <v>241</v>
      </c>
      <c r="C139" s="11" t="s">
        <v>2147</v>
      </c>
      <c r="D139" s="158" t="s">
        <v>1889</v>
      </c>
      <c r="E139" s="11" t="s">
        <v>1941</v>
      </c>
      <c r="F139" s="11" t="s">
        <v>1972</v>
      </c>
      <c r="G139" s="11" t="s">
        <v>1933</v>
      </c>
      <c r="H139" s="11" t="s">
        <v>1958</v>
      </c>
      <c r="I139" s="159"/>
      <c r="J139" s="171"/>
    </row>
    <row r="140" ht="22.5" customHeight="1">
      <c r="A140" s="151"/>
      <c r="B140" s="17" t="s">
        <v>1310</v>
      </c>
      <c r="C140" s="11" t="s">
        <v>1258</v>
      </c>
      <c r="D140" s="158" t="s">
        <v>1889</v>
      </c>
      <c r="E140" s="11" t="s">
        <v>1944</v>
      </c>
      <c r="F140" s="11" t="s">
        <v>1968</v>
      </c>
      <c r="G140" s="11" t="s">
        <v>1933</v>
      </c>
      <c r="H140" s="11" t="s">
        <v>1980</v>
      </c>
      <c r="I140" s="159"/>
      <c r="J140" s="171"/>
    </row>
    <row r="141" ht="22.5" customHeight="1">
      <c r="A141" s="151"/>
      <c r="B141" s="17" t="s">
        <v>1312</v>
      </c>
      <c r="C141" s="11" t="s">
        <v>1098</v>
      </c>
      <c r="D141" s="158" t="s">
        <v>1889</v>
      </c>
      <c r="E141" s="11" t="s">
        <v>2009</v>
      </c>
      <c r="F141" s="11" t="s">
        <v>1974</v>
      </c>
      <c r="G141" s="11" t="s">
        <v>1933</v>
      </c>
      <c r="H141" s="11" t="s">
        <v>1934</v>
      </c>
      <c r="I141" s="159"/>
      <c r="J141" s="171"/>
    </row>
    <row r="142" ht="22.5" customHeight="1">
      <c r="A142" s="151"/>
      <c r="B142" s="17" t="s">
        <v>1313</v>
      </c>
      <c r="C142" s="11" t="s">
        <v>1314</v>
      </c>
      <c r="D142" s="158" t="s">
        <v>1889</v>
      </c>
      <c r="E142" s="11" t="s">
        <v>2094</v>
      </c>
      <c r="F142" s="11" t="s">
        <v>1986</v>
      </c>
      <c r="G142" s="11" t="s">
        <v>1933</v>
      </c>
      <c r="H142" s="11" t="s">
        <v>1951</v>
      </c>
      <c r="I142" s="159"/>
      <c r="J142" s="171"/>
    </row>
    <row r="143" ht="22.5" customHeight="1">
      <c r="A143" s="151"/>
      <c r="B143" s="17" t="s">
        <v>246</v>
      </c>
      <c r="C143" s="11" t="s">
        <v>929</v>
      </c>
      <c r="D143" s="158" t="s">
        <v>1889</v>
      </c>
      <c r="E143" s="11" t="s">
        <v>2076</v>
      </c>
      <c r="F143" s="11" t="s">
        <v>2055</v>
      </c>
      <c r="G143" s="11" t="s">
        <v>1933</v>
      </c>
      <c r="H143" s="11" t="s">
        <v>1942</v>
      </c>
      <c r="I143" s="159"/>
      <c r="J143" s="171"/>
    </row>
    <row r="144" ht="22.5" customHeight="1">
      <c r="A144" s="176">
        <v>45817.0</v>
      </c>
      <c r="B144" s="25" t="s">
        <v>1134</v>
      </c>
      <c r="C144" s="23" t="s">
        <v>1071</v>
      </c>
      <c r="D144" s="76" t="s">
        <v>1870</v>
      </c>
      <c r="E144" s="23" t="s">
        <v>2001</v>
      </c>
      <c r="F144" s="23" t="s">
        <v>1977</v>
      </c>
      <c r="G144" s="11" t="s">
        <v>1933</v>
      </c>
      <c r="H144" s="23" t="s">
        <v>2062</v>
      </c>
      <c r="I144" s="177"/>
      <c r="J144" s="171"/>
    </row>
    <row r="145" ht="22.5" customHeight="1">
      <c r="A145" s="176">
        <v>45817.0</v>
      </c>
      <c r="B145" s="25" t="s">
        <v>1136</v>
      </c>
      <c r="C145" s="23" t="s">
        <v>1075</v>
      </c>
      <c r="D145" s="76" t="s">
        <v>1870</v>
      </c>
      <c r="E145" s="23" t="s">
        <v>2064</v>
      </c>
      <c r="F145" s="23" t="s">
        <v>2075</v>
      </c>
      <c r="G145" s="11" t="s">
        <v>1933</v>
      </c>
      <c r="H145" s="23" t="s">
        <v>1953</v>
      </c>
      <c r="I145" s="177"/>
      <c r="J145" s="171"/>
    </row>
    <row r="146" ht="22.5" customHeight="1">
      <c r="A146" s="176">
        <v>45817.0</v>
      </c>
      <c r="B146" s="25" t="s">
        <v>1137</v>
      </c>
      <c r="C146" s="23" t="s">
        <v>1069</v>
      </c>
      <c r="D146" s="76" t="s">
        <v>1870</v>
      </c>
      <c r="E146" s="23" t="s">
        <v>2031</v>
      </c>
      <c r="F146" s="23" t="s">
        <v>2041</v>
      </c>
      <c r="G146" s="11" t="s">
        <v>1933</v>
      </c>
      <c r="H146" s="23" t="s">
        <v>1982</v>
      </c>
      <c r="I146" s="177"/>
      <c r="J146" s="171"/>
    </row>
    <row r="147" ht="22.5" customHeight="1">
      <c r="A147" s="176">
        <v>45817.0</v>
      </c>
      <c r="B147" s="25" t="s">
        <v>1139</v>
      </c>
      <c r="C147" s="23" t="s">
        <v>1048</v>
      </c>
      <c r="D147" s="76" t="s">
        <v>1870</v>
      </c>
      <c r="E147" s="23" t="s">
        <v>1976</v>
      </c>
      <c r="F147" s="23" t="s">
        <v>2065</v>
      </c>
      <c r="G147" s="11" t="s">
        <v>1933</v>
      </c>
      <c r="H147" s="23" t="s">
        <v>2062</v>
      </c>
      <c r="I147" s="177"/>
      <c r="J147" s="171"/>
    </row>
    <row r="148" ht="22.5" customHeight="1">
      <c r="A148" s="176">
        <v>45817.0</v>
      </c>
      <c r="B148" s="25" t="s">
        <v>1140</v>
      </c>
      <c r="C148" s="23" t="s">
        <v>1141</v>
      </c>
      <c r="D148" s="76" t="s">
        <v>1870</v>
      </c>
      <c r="E148" s="23" t="s">
        <v>1976</v>
      </c>
      <c r="F148" s="23" t="s">
        <v>2065</v>
      </c>
      <c r="G148" s="11" t="s">
        <v>1933</v>
      </c>
      <c r="H148" s="23" t="s">
        <v>2062</v>
      </c>
      <c r="I148" s="177"/>
      <c r="J148" s="171"/>
    </row>
    <row r="149" ht="22.5" customHeight="1">
      <c r="A149" s="176">
        <v>45817.0</v>
      </c>
      <c r="B149" s="25" t="s">
        <v>1142</v>
      </c>
      <c r="C149" s="23" t="s">
        <v>1066</v>
      </c>
      <c r="D149" s="76" t="s">
        <v>1870</v>
      </c>
      <c r="E149" s="23" t="s">
        <v>1976</v>
      </c>
      <c r="F149" s="23" t="s">
        <v>2067</v>
      </c>
      <c r="G149" s="11" t="s">
        <v>1933</v>
      </c>
      <c r="H149" s="23" t="s">
        <v>2013</v>
      </c>
      <c r="I149" s="177"/>
      <c r="J149" s="171"/>
    </row>
    <row r="150" ht="22.5" customHeight="1">
      <c r="A150" s="176">
        <v>45817.0</v>
      </c>
      <c r="B150" s="25" t="s">
        <v>1143</v>
      </c>
      <c r="C150" s="23" t="s">
        <v>1077</v>
      </c>
      <c r="D150" s="76" t="s">
        <v>1870</v>
      </c>
      <c r="E150" s="23" t="s">
        <v>2064</v>
      </c>
      <c r="F150" s="23" t="s">
        <v>2067</v>
      </c>
      <c r="G150" s="11" t="s">
        <v>1933</v>
      </c>
      <c r="H150" s="23" t="s">
        <v>2062</v>
      </c>
      <c r="I150" s="177"/>
      <c r="J150" s="171"/>
    </row>
    <row r="151" ht="22.5" customHeight="1">
      <c r="A151" s="176">
        <v>45817.0</v>
      </c>
      <c r="B151" s="25" t="s">
        <v>1144</v>
      </c>
      <c r="C151" s="23" t="s">
        <v>1069</v>
      </c>
      <c r="D151" s="76" t="s">
        <v>1870</v>
      </c>
      <c r="E151" s="23" t="s">
        <v>2042</v>
      </c>
      <c r="F151" s="23" t="s">
        <v>2043</v>
      </c>
      <c r="G151" s="11" t="s">
        <v>1933</v>
      </c>
      <c r="H151" s="23" t="s">
        <v>2033</v>
      </c>
      <c r="I151" s="177"/>
      <c r="J151" s="171"/>
    </row>
    <row r="152" ht="22.5" customHeight="1">
      <c r="A152" s="176">
        <v>45817.0</v>
      </c>
      <c r="B152" s="25" t="s">
        <v>1145</v>
      </c>
      <c r="C152" s="23" t="s">
        <v>1146</v>
      </c>
      <c r="D152" s="76" t="s">
        <v>1870</v>
      </c>
      <c r="E152" s="23" t="s">
        <v>1979</v>
      </c>
      <c r="F152" s="23" t="s">
        <v>2035</v>
      </c>
      <c r="G152" s="11" t="s">
        <v>1933</v>
      </c>
      <c r="H152" s="23" t="s">
        <v>1953</v>
      </c>
      <c r="I152" s="177"/>
      <c r="J152" s="171"/>
    </row>
    <row r="153" ht="22.5" customHeight="1">
      <c r="A153" s="176">
        <v>45817.0</v>
      </c>
      <c r="B153" s="25" t="s">
        <v>1147</v>
      </c>
      <c r="C153" s="23" t="s">
        <v>1048</v>
      </c>
      <c r="D153" s="76" t="s">
        <v>1870</v>
      </c>
      <c r="E153" s="23" t="s">
        <v>1973</v>
      </c>
      <c r="F153" s="23" t="s">
        <v>2041</v>
      </c>
      <c r="G153" s="11" t="s">
        <v>1933</v>
      </c>
      <c r="H153" s="23" t="s">
        <v>1999</v>
      </c>
      <c r="I153" s="177"/>
      <c r="J153" s="171"/>
    </row>
    <row r="154" ht="22.5" customHeight="1">
      <c r="A154" s="176">
        <v>45817.0</v>
      </c>
      <c r="B154" s="25" t="s">
        <v>173</v>
      </c>
      <c r="C154" s="23" t="s">
        <v>2048</v>
      </c>
      <c r="D154" s="76" t="s">
        <v>1870</v>
      </c>
      <c r="E154" s="23" t="s">
        <v>1979</v>
      </c>
      <c r="F154" s="23" t="s">
        <v>2038</v>
      </c>
      <c r="G154" s="11" t="s">
        <v>1933</v>
      </c>
      <c r="H154" s="23" t="s">
        <v>1999</v>
      </c>
      <c r="I154" s="177"/>
      <c r="J154" s="171"/>
    </row>
    <row r="155" ht="22.5" customHeight="1">
      <c r="A155" s="176">
        <v>45817.0</v>
      </c>
      <c r="B155" s="25" t="s">
        <v>1149</v>
      </c>
      <c r="C155" s="23" t="s">
        <v>1048</v>
      </c>
      <c r="D155" s="76" t="s">
        <v>1870</v>
      </c>
      <c r="E155" s="23" t="s">
        <v>1981</v>
      </c>
      <c r="F155" s="23" t="s">
        <v>2043</v>
      </c>
      <c r="G155" s="11" t="s">
        <v>1933</v>
      </c>
      <c r="H155" s="23" t="s">
        <v>1999</v>
      </c>
      <c r="I155" s="177"/>
      <c r="J155" s="171"/>
    </row>
    <row r="156" ht="22.5" customHeight="1">
      <c r="A156" s="176">
        <v>45817.0</v>
      </c>
      <c r="B156" s="25" t="s">
        <v>179</v>
      </c>
      <c r="C156" s="23" t="s">
        <v>2052</v>
      </c>
      <c r="D156" s="76" t="s">
        <v>1870</v>
      </c>
      <c r="E156" s="23" t="s">
        <v>1973</v>
      </c>
      <c r="F156" s="23" t="s">
        <v>2043</v>
      </c>
      <c r="G156" s="11" t="s">
        <v>1933</v>
      </c>
      <c r="H156" s="23" t="s">
        <v>2143</v>
      </c>
      <c r="I156" s="177"/>
      <c r="J156" s="171"/>
    </row>
    <row r="157" ht="22.5" customHeight="1">
      <c r="A157" s="176">
        <v>45817.0</v>
      </c>
      <c r="B157" s="25" t="s">
        <v>1151</v>
      </c>
      <c r="C157" s="23" t="s">
        <v>1127</v>
      </c>
      <c r="D157" s="76" t="s">
        <v>1870</v>
      </c>
      <c r="E157" s="23" t="s">
        <v>1981</v>
      </c>
      <c r="F157" s="23" t="s">
        <v>2032</v>
      </c>
      <c r="G157" s="11" t="s">
        <v>1933</v>
      </c>
      <c r="H157" s="23" t="s">
        <v>2143</v>
      </c>
      <c r="I157" s="177"/>
      <c r="J157" s="171"/>
    </row>
    <row r="158" ht="22.5" customHeight="1">
      <c r="A158" s="176">
        <v>45817.0</v>
      </c>
      <c r="B158" s="25" t="s">
        <v>1152</v>
      </c>
      <c r="C158" s="23" t="s">
        <v>1048</v>
      </c>
      <c r="D158" s="76" t="s">
        <v>1870</v>
      </c>
      <c r="E158" s="23" t="s">
        <v>1981</v>
      </c>
      <c r="F158" s="23" t="s">
        <v>2046</v>
      </c>
      <c r="G158" s="11" t="s">
        <v>1933</v>
      </c>
      <c r="H158" s="23" t="s">
        <v>1996</v>
      </c>
      <c r="I158" s="177"/>
      <c r="J158" s="171"/>
    </row>
    <row r="159" ht="22.5" customHeight="1">
      <c r="A159" s="176">
        <v>45817.0</v>
      </c>
      <c r="B159" s="25" t="s">
        <v>1153</v>
      </c>
      <c r="C159" s="23" t="s">
        <v>1069</v>
      </c>
      <c r="D159" s="76" t="s">
        <v>1870</v>
      </c>
      <c r="E159" s="23" t="s">
        <v>2104</v>
      </c>
      <c r="F159" s="23" t="s">
        <v>2082</v>
      </c>
      <c r="G159" s="11" t="s">
        <v>1933</v>
      </c>
      <c r="H159" s="23" t="s">
        <v>2066</v>
      </c>
      <c r="I159" s="177"/>
      <c r="J159" s="171"/>
    </row>
    <row r="160" ht="22.5" customHeight="1">
      <c r="A160" s="176">
        <v>45817.0</v>
      </c>
      <c r="B160" s="25" t="s">
        <v>1154</v>
      </c>
      <c r="C160" s="23" t="s">
        <v>1048</v>
      </c>
      <c r="D160" s="76" t="s">
        <v>1870</v>
      </c>
      <c r="E160" s="23" t="s">
        <v>2056</v>
      </c>
      <c r="F160" s="23" t="s">
        <v>2057</v>
      </c>
      <c r="G160" s="11" t="s">
        <v>1933</v>
      </c>
      <c r="H160" s="23" t="s">
        <v>2058</v>
      </c>
      <c r="I160" s="177"/>
      <c r="J160" s="171"/>
    </row>
    <row r="161" ht="22.5" customHeight="1">
      <c r="A161" s="176">
        <v>45817.0</v>
      </c>
      <c r="B161" s="25" t="s">
        <v>1155</v>
      </c>
      <c r="C161" s="23" t="s">
        <v>1069</v>
      </c>
      <c r="D161" s="76" t="s">
        <v>1870</v>
      </c>
      <c r="E161" s="23" t="s">
        <v>2021</v>
      </c>
      <c r="F161" s="23" t="s">
        <v>2060</v>
      </c>
      <c r="G161" s="11" t="s">
        <v>1933</v>
      </c>
      <c r="H161" s="23" t="s">
        <v>2062</v>
      </c>
      <c r="I161" s="177"/>
      <c r="J161" s="171"/>
    </row>
    <row r="162" ht="22.5" customHeight="1">
      <c r="A162" s="176">
        <v>45817.0</v>
      </c>
      <c r="B162" s="25" t="s">
        <v>463</v>
      </c>
      <c r="C162" s="23" t="s">
        <v>887</v>
      </c>
      <c r="D162" s="76" t="s">
        <v>1870</v>
      </c>
      <c r="E162" s="23" t="s">
        <v>2104</v>
      </c>
      <c r="F162" s="23" t="s">
        <v>2055</v>
      </c>
      <c r="G162" s="11" t="s">
        <v>1933</v>
      </c>
      <c r="H162" s="23" t="s">
        <v>2062</v>
      </c>
      <c r="I162" s="177"/>
      <c r="J162" s="171"/>
    </row>
    <row r="163" ht="22.5" customHeight="1">
      <c r="A163" s="176">
        <v>45817.0</v>
      </c>
      <c r="B163" s="25" t="s">
        <v>471</v>
      </c>
      <c r="C163" s="23" t="s">
        <v>888</v>
      </c>
      <c r="D163" s="76" t="s">
        <v>1870</v>
      </c>
      <c r="E163" s="23" t="s">
        <v>2026</v>
      </c>
      <c r="F163" s="23" t="s">
        <v>2055</v>
      </c>
      <c r="G163" s="11" t="s">
        <v>1933</v>
      </c>
      <c r="H163" s="23" t="s">
        <v>2013</v>
      </c>
      <c r="I163" s="177"/>
      <c r="J163" s="171"/>
    </row>
    <row r="164" ht="22.5" customHeight="1">
      <c r="A164" s="176">
        <v>45817.0</v>
      </c>
      <c r="B164" s="25" t="s">
        <v>187</v>
      </c>
      <c r="C164" s="23" t="s">
        <v>892</v>
      </c>
      <c r="D164" s="76" t="s">
        <v>1870</v>
      </c>
      <c r="E164" s="23" t="s">
        <v>1967</v>
      </c>
      <c r="F164" s="23" t="s">
        <v>2055</v>
      </c>
      <c r="G164" s="11" t="s">
        <v>1933</v>
      </c>
      <c r="H164" s="23" t="s">
        <v>2066</v>
      </c>
      <c r="I164" s="177"/>
      <c r="J164" s="171"/>
    </row>
    <row r="165" ht="22.5" customHeight="1">
      <c r="A165" s="176">
        <v>45817.0</v>
      </c>
      <c r="B165" s="25" t="s">
        <v>249</v>
      </c>
      <c r="C165" s="23" t="s">
        <v>895</v>
      </c>
      <c r="D165" s="76" t="s">
        <v>1870</v>
      </c>
      <c r="E165" s="23" t="s">
        <v>1971</v>
      </c>
      <c r="F165" s="23" t="s">
        <v>2055</v>
      </c>
      <c r="G165" s="11" t="s">
        <v>1933</v>
      </c>
      <c r="H165" s="23" t="s">
        <v>2063</v>
      </c>
      <c r="I165" s="177"/>
      <c r="J165" s="171"/>
    </row>
    <row r="166" ht="22.5" customHeight="1">
      <c r="A166" s="176">
        <v>45817.0</v>
      </c>
      <c r="B166" s="25" t="s">
        <v>492</v>
      </c>
      <c r="C166" s="23" t="s">
        <v>896</v>
      </c>
      <c r="D166" s="76" t="s">
        <v>1870</v>
      </c>
      <c r="E166" s="23" t="s">
        <v>1971</v>
      </c>
      <c r="F166" s="23" t="s">
        <v>2057</v>
      </c>
      <c r="G166" s="11" t="s">
        <v>1933</v>
      </c>
      <c r="H166" s="23" t="s">
        <v>2066</v>
      </c>
      <c r="I166" s="177"/>
      <c r="J166" s="171"/>
    </row>
    <row r="167" ht="22.5" customHeight="1">
      <c r="A167" s="176">
        <v>45817.0</v>
      </c>
      <c r="B167" s="25" t="s">
        <v>498</v>
      </c>
      <c r="C167" s="23" t="s">
        <v>897</v>
      </c>
      <c r="D167" s="76" t="s">
        <v>1870</v>
      </c>
      <c r="E167" s="23" t="s">
        <v>1971</v>
      </c>
      <c r="F167" s="23" t="s">
        <v>2057</v>
      </c>
      <c r="G167" s="11" t="s">
        <v>1933</v>
      </c>
      <c r="H167" s="23" t="s">
        <v>2066</v>
      </c>
      <c r="I167" s="177"/>
      <c r="J167" s="171"/>
    </row>
    <row r="168" ht="22.5" customHeight="1">
      <c r="A168" s="176">
        <v>45817.0</v>
      </c>
      <c r="B168" s="25" t="s">
        <v>505</v>
      </c>
      <c r="C168" s="23" t="s">
        <v>899</v>
      </c>
      <c r="D168" s="76" t="s">
        <v>1870</v>
      </c>
      <c r="E168" s="23" t="s">
        <v>2021</v>
      </c>
      <c r="F168" s="23" t="s">
        <v>2043</v>
      </c>
      <c r="G168" s="11" t="s">
        <v>1933</v>
      </c>
      <c r="H168" s="23" t="s">
        <v>1937</v>
      </c>
      <c r="I168" s="177"/>
      <c r="J168" s="171"/>
    </row>
    <row r="169" ht="22.5" customHeight="1">
      <c r="A169" s="176">
        <v>45817.0</v>
      </c>
      <c r="B169" s="25" t="s">
        <v>195</v>
      </c>
      <c r="C169" s="23" t="s">
        <v>900</v>
      </c>
      <c r="D169" s="76" t="s">
        <v>1870</v>
      </c>
      <c r="E169" s="23" t="s">
        <v>2021</v>
      </c>
      <c r="F169" s="23" t="s">
        <v>2061</v>
      </c>
      <c r="G169" s="11" t="s">
        <v>1933</v>
      </c>
      <c r="H169" s="23" t="s">
        <v>2066</v>
      </c>
      <c r="I169" s="177"/>
      <c r="J169" s="171"/>
    </row>
    <row r="170" ht="22.5" customHeight="1">
      <c r="A170" s="176">
        <v>45817.0</v>
      </c>
      <c r="B170" s="25" t="s">
        <v>208</v>
      </c>
      <c r="C170" s="23" t="s">
        <v>901</v>
      </c>
      <c r="D170" s="76" t="s">
        <v>1870</v>
      </c>
      <c r="E170" s="23" t="s">
        <v>2017</v>
      </c>
      <c r="F170" s="23" t="s">
        <v>2086</v>
      </c>
      <c r="G170" s="11" t="s">
        <v>1933</v>
      </c>
      <c r="H170" s="23" t="s">
        <v>2062</v>
      </c>
      <c r="I170" s="177"/>
      <c r="J170" s="171"/>
    </row>
    <row r="171" ht="22.5" customHeight="1">
      <c r="A171" s="176">
        <v>45817.0</v>
      </c>
      <c r="B171" s="25" t="s">
        <v>533</v>
      </c>
      <c r="C171" s="23" t="s">
        <v>903</v>
      </c>
      <c r="D171" s="76" t="s">
        <v>1870</v>
      </c>
      <c r="E171" s="23" t="s">
        <v>2021</v>
      </c>
      <c r="F171" s="23" t="s">
        <v>2086</v>
      </c>
      <c r="G171" s="11" t="s">
        <v>1933</v>
      </c>
      <c r="H171" s="23" t="s">
        <v>2013</v>
      </c>
      <c r="I171" s="177"/>
      <c r="J171" s="171"/>
    </row>
    <row r="172" ht="22.5" customHeight="1">
      <c r="A172" s="176">
        <v>45817.0</v>
      </c>
      <c r="B172" s="25" t="s">
        <v>1163</v>
      </c>
      <c r="C172" s="23" t="s">
        <v>1055</v>
      </c>
      <c r="D172" s="76" t="s">
        <v>1870</v>
      </c>
      <c r="E172" s="23" t="s">
        <v>2104</v>
      </c>
      <c r="F172" s="23" t="s">
        <v>2082</v>
      </c>
      <c r="G172" s="11" t="s">
        <v>1933</v>
      </c>
      <c r="H172" s="23" t="s">
        <v>2066</v>
      </c>
      <c r="I172" s="177"/>
      <c r="J172" s="171"/>
    </row>
    <row r="173" ht="22.5" customHeight="1">
      <c r="A173" s="176">
        <v>45817.0</v>
      </c>
      <c r="B173" s="25" t="s">
        <v>1164</v>
      </c>
      <c r="C173" s="23" t="s">
        <v>1048</v>
      </c>
      <c r="D173" s="76" t="s">
        <v>1870</v>
      </c>
      <c r="E173" s="23" t="s">
        <v>2026</v>
      </c>
      <c r="F173" s="23" t="s">
        <v>2082</v>
      </c>
      <c r="G173" s="11" t="s">
        <v>1933</v>
      </c>
      <c r="H173" s="23" t="s">
        <v>2062</v>
      </c>
      <c r="I173" s="177"/>
      <c r="J173" s="171"/>
    </row>
    <row r="174" ht="22.5" customHeight="1">
      <c r="A174" s="176">
        <v>45817.0</v>
      </c>
      <c r="B174" s="25" t="s">
        <v>1165</v>
      </c>
      <c r="C174" s="23" t="s">
        <v>1069</v>
      </c>
      <c r="D174" s="76" t="s">
        <v>1870</v>
      </c>
      <c r="E174" s="23" t="s">
        <v>2026</v>
      </c>
      <c r="F174" s="23" t="s">
        <v>2078</v>
      </c>
      <c r="G174" s="11" t="s">
        <v>1933</v>
      </c>
      <c r="H174" s="23" t="s">
        <v>2066</v>
      </c>
      <c r="I174" s="177"/>
      <c r="J174" s="171"/>
    </row>
    <row r="175" ht="22.5" customHeight="1">
      <c r="A175" s="176">
        <v>45817.0</v>
      </c>
      <c r="B175" s="25" t="s">
        <v>1166</v>
      </c>
      <c r="C175" s="23" t="s">
        <v>1167</v>
      </c>
      <c r="D175" s="76" t="s">
        <v>1870</v>
      </c>
      <c r="E175" s="23" t="s">
        <v>2015</v>
      </c>
      <c r="F175" s="23" t="s">
        <v>1986</v>
      </c>
      <c r="G175" s="11" t="s">
        <v>1933</v>
      </c>
      <c r="H175" s="23" t="s">
        <v>2066</v>
      </c>
      <c r="I175" s="177"/>
      <c r="J175" s="171"/>
    </row>
    <row r="176" ht="22.5" customHeight="1">
      <c r="A176" s="176">
        <v>45817.0</v>
      </c>
      <c r="B176" s="25" t="s">
        <v>219</v>
      </c>
      <c r="C176" s="23" t="s">
        <v>904</v>
      </c>
      <c r="D176" s="76" t="s">
        <v>1870</v>
      </c>
      <c r="E176" s="23" t="s">
        <v>2015</v>
      </c>
      <c r="F176" s="23" t="s">
        <v>1987</v>
      </c>
      <c r="G176" s="11" t="s">
        <v>1933</v>
      </c>
      <c r="H176" s="23" t="s">
        <v>2062</v>
      </c>
      <c r="I176" s="177"/>
      <c r="J176" s="171"/>
    </row>
    <row r="177" ht="22.5" customHeight="1">
      <c r="A177" s="176">
        <v>45817.0</v>
      </c>
      <c r="B177" s="25" t="s">
        <v>228</v>
      </c>
      <c r="C177" s="23" t="s">
        <v>2079</v>
      </c>
      <c r="D177" s="76" t="s">
        <v>1870</v>
      </c>
      <c r="E177" s="23" t="s">
        <v>2022</v>
      </c>
      <c r="F177" s="23" t="s">
        <v>1987</v>
      </c>
      <c r="G177" s="11" t="s">
        <v>1933</v>
      </c>
      <c r="H177" s="23" t="s">
        <v>2066</v>
      </c>
      <c r="I177" s="177"/>
      <c r="J177" s="171"/>
    </row>
    <row r="178" ht="22.5" customHeight="1">
      <c r="A178" s="176">
        <v>45817.0</v>
      </c>
      <c r="B178" s="25" t="s">
        <v>236</v>
      </c>
      <c r="C178" s="23" t="s">
        <v>2081</v>
      </c>
      <c r="D178" s="76" t="s">
        <v>1870</v>
      </c>
      <c r="E178" s="23" t="s">
        <v>2022</v>
      </c>
      <c r="F178" s="23" t="s">
        <v>1987</v>
      </c>
      <c r="G178" s="11" t="s">
        <v>1933</v>
      </c>
      <c r="H178" s="23" t="s">
        <v>2066</v>
      </c>
      <c r="I178" s="177"/>
      <c r="J178" s="171"/>
    </row>
    <row r="179" ht="22.5" customHeight="1">
      <c r="A179" s="176">
        <v>45817.0</v>
      </c>
      <c r="B179" s="25" t="s">
        <v>1168</v>
      </c>
      <c r="C179" s="23" t="s">
        <v>1169</v>
      </c>
      <c r="D179" s="76" t="s">
        <v>1870</v>
      </c>
      <c r="E179" s="23" t="s">
        <v>2015</v>
      </c>
      <c r="F179" s="23" t="s">
        <v>1986</v>
      </c>
      <c r="G179" s="11" t="s">
        <v>1933</v>
      </c>
      <c r="H179" s="23" t="s">
        <v>2066</v>
      </c>
      <c r="I179" s="177"/>
      <c r="J179" s="171"/>
    </row>
    <row r="180" ht="22.5" customHeight="1">
      <c r="A180" s="176">
        <v>45817.0</v>
      </c>
      <c r="B180" s="25" t="s">
        <v>1170</v>
      </c>
      <c r="C180" s="23" t="s">
        <v>1048</v>
      </c>
      <c r="D180" s="76" t="s">
        <v>1870</v>
      </c>
      <c r="E180" s="23" t="s">
        <v>2007</v>
      </c>
      <c r="F180" s="23" t="s">
        <v>1986</v>
      </c>
      <c r="G180" s="11" t="s">
        <v>1933</v>
      </c>
      <c r="H180" s="23" t="s">
        <v>2062</v>
      </c>
      <c r="I180" s="177"/>
      <c r="J180" s="171"/>
    </row>
    <row r="181" ht="22.5" customHeight="1">
      <c r="A181" s="176">
        <v>45817.0</v>
      </c>
      <c r="B181" s="25" t="s">
        <v>1171</v>
      </c>
      <c r="C181" s="23" t="s">
        <v>879</v>
      </c>
      <c r="D181" s="76" t="s">
        <v>1870</v>
      </c>
      <c r="E181" s="23" t="s">
        <v>2007</v>
      </c>
      <c r="F181" s="23" t="s">
        <v>1986</v>
      </c>
      <c r="G181" s="11" t="s">
        <v>1933</v>
      </c>
      <c r="H181" s="23" t="s">
        <v>2062</v>
      </c>
      <c r="I181" s="177"/>
      <c r="J181" s="171"/>
    </row>
    <row r="182" ht="22.5" customHeight="1">
      <c r="A182" s="176">
        <v>45817.0</v>
      </c>
      <c r="B182" s="25" t="s">
        <v>1172</v>
      </c>
      <c r="C182" s="23" t="s">
        <v>940</v>
      </c>
      <c r="D182" s="76" t="s">
        <v>1870</v>
      </c>
      <c r="E182" s="23" t="s">
        <v>2007</v>
      </c>
      <c r="F182" s="23" t="s">
        <v>1974</v>
      </c>
      <c r="G182" s="11" t="s">
        <v>1933</v>
      </c>
      <c r="H182" s="23" t="s">
        <v>2066</v>
      </c>
      <c r="I182" s="177"/>
      <c r="J182" s="171"/>
    </row>
    <row r="183" ht="22.5" customHeight="1">
      <c r="A183" s="176">
        <v>45817.0</v>
      </c>
      <c r="B183" s="25" t="s">
        <v>243</v>
      </c>
      <c r="C183" s="23" t="s">
        <v>244</v>
      </c>
      <c r="D183" s="76" t="s">
        <v>1870</v>
      </c>
      <c r="E183" s="23" t="s">
        <v>2001</v>
      </c>
      <c r="F183" s="23" t="s">
        <v>1977</v>
      </c>
      <c r="G183" s="11" t="s">
        <v>1933</v>
      </c>
      <c r="H183" s="23" t="s">
        <v>2062</v>
      </c>
      <c r="I183" s="177"/>
      <c r="J183" s="171"/>
    </row>
    <row r="184" ht="22.5" customHeight="1">
      <c r="A184" s="176">
        <v>45817.0</v>
      </c>
      <c r="B184" s="25" t="s">
        <v>1173</v>
      </c>
      <c r="C184" s="23" t="s">
        <v>1125</v>
      </c>
      <c r="D184" s="76" t="s">
        <v>1870</v>
      </c>
      <c r="E184" s="23" t="s">
        <v>2004</v>
      </c>
      <c r="F184" s="23" t="s">
        <v>1977</v>
      </c>
      <c r="G184" s="11" t="s">
        <v>1933</v>
      </c>
      <c r="H184" s="23" t="s">
        <v>2066</v>
      </c>
      <c r="I184" s="177"/>
      <c r="J184" s="171"/>
    </row>
    <row r="185" ht="22.5" customHeight="1">
      <c r="A185" s="176">
        <v>45817.0</v>
      </c>
      <c r="B185" s="25" t="s">
        <v>1175</v>
      </c>
      <c r="C185" s="23" t="s">
        <v>1061</v>
      </c>
      <c r="D185" s="76" t="s">
        <v>1870</v>
      </c>
      <c r="E185" s="23" t="s">
        <v>2004</v>
      </c>
      <c r="F185" s="23" t="s">
        <v>1974</v>
      </c>
      <c r="G185" s="11" t="s">
        <v>1933</v>
      </c>
      <c r="H185" s="23" t="s">
        <v>2062</v>
      </c>
      <c r="I185" s="177"/>
      <c r="J185" s="171"/>
    </row>
    <row r="186" ht="22.5" customHeight="1">
      <c r="A186" s="176">
        <v>45817.0</v>
      </c>
      <c r="B186" s="25" t="s">
        <v>1176</v>
      </c>
      <c r="C186" s="23" t="s">
        <v>1048</v>
      </c>
      <c r="D186" s="76" t="s">
        <v>1870</v>
      </c>
      <c r="E186" s="23" t="s">
        <v>2076</v>
      </c>
      <c r="F186" s="23" t="s">
        <v>2086</v>
      </c>
      <c r="G186" s="11" t="s">
        <v>1933</v>
      </c>
      <c r="H186" s="23" t="s">
        <v>1934</v>
      </c>
      <c r="I186" s="177"/>
      <c r="J186" s="171"/>
    </row>
    <row r="187" ht="22.5" customHeight="1">
      <c r="A187" s="176">
        <v>45817.0</v>
      </c>
      <c r="B187" s="25" t="s">
        <v>1177</v>
      </c>
      <c r="C187" s="23" t="s">
        <v>1069</v>
      </c>
      <c r="D187" s="76" t="s">
        <v>1870</v>
      </c>
      <c r="E187" s="23" t="s">
        <v>2024</v>
      </c>
      <c r="F187" s="23" t="s">
        <v>2038</v>
      </c>
      <c r="G187" s="11" t="s">
        <v>1933</v>
      </c>
      <c r="H187" s="23" t="s">
        <v>2063</v>
      </c>
      <c r="I187" s="177"/>
      <c r="J187" s="171"/>
    </row>
    <row r="188" ht="22.5" customHeight="1">
      <c r="A188" s="176">
        <v>45817.0</v>
      </c>
      <c r="B188" s="25" t="s">
        <v>1178</v>
      </c>
      <c r="C188" s="23" t="s">
        <v>1179</v>
      </c>
      <c r="D188" s="76" t="s">
        <v>1870</v>
      </c>
      <c r="E188" s="23" t="s">
        <v>2104</v>
      </c>
      <c r="F188" s="23" t="s">
        <v>2055</v>
      </c>
      <c r="G188" s="11" t="s">
        <v>1933</v>
      </c>
      <c r="H188" s="23" t="s">
        <v>2062</v>
      </c>
      <c r="I188" s="177"/>
      <c r="J188" s="171"/>
    </row>
    <row r="189" ht="22.5" customHeight="1">
      <c r="A189" s="176">
        <v>45817.0</v>
      </c>
      <c r="B189" s="25" t="s">
        <v>251</v>
      </c>
      <c r="C189" s="23" t="s">
        <v>244</v>
      </c>
      <c r="D189" s="76" t="s">
        <v>1870</v>
      </c>
      <c r="E189" s="23" t="s">
        <v>1967</v>
      </c>
      <c r="F189" s="23" t="s">
        <v>2055</v>
      </c>
      <c r="G189" s="11" t="s">
        <v>1933</v>
      </c>
      <c r="H189" s="23" t="s">
        <v>2066</v>
      </c>
      <c r="I189" s="177"/>
      <c r="J189" s="171"/>
    </row>
    <row r="190" ht="22.5" customHeight="1">
      <c r="A190" s="176">
        <v>45817.0</v>
      </c>
      <c r="B190" s="25" t="s">
        <v>565</v>
      </c>
      <c r="C190" s="23" t="s">
        <v>910</v>
      </c>
      <c r="D190" s="76" t="s">
        <v>1870</v>
      </c>
      <c r="E190" s="23" t="s">
        <v>1971</v>
      </c>
      <c r="F190" s="23" t="s">
        <v>2057</v>
      </c>
      <c r="G190" s="11" t="s">
        <v>1933</v>
      </c>
      <c r="H190" s="23" t="s">
        <v>2066</v>
      </c>
      <c r="I190" s="177"/>
      <c r="J190" s="171"/>
    </row>
    <row r="191" ht="22.5" customHeight="1">
      <c r="A191" s="176">
        <v>45817.0</v>
      </c>
      <c r="B191" s="25" t="s">
        <v>1180</v>
      </c>
      <c r="C191" s="23" t="s">
        <v>1048</v>
      </c>
      <c r="D191" s="76" t="s">
        <v>1870</v>
      </c>
      <c r="E191" s="23" t="s">
        <v>2021</v>
      </c>
      <c r="F191" s="23" t="s">
        <v>2061</v>
      </c>
      <c r="G191" s="11" t="s">
        <v>1933</v>
      </c>
      <c r="H191" s="23" t="s">
        <v>2066</v>
      </c>
      <c r="I191" s="177"/>
      <c r="J191" s="171"/>
    </row>
    <row r="192" ht="22.5" customHeight="1">
      <c r="A192" s="176">
        <v>45817.0</v>
      </c>
      <c r="B192" s="25" t="s">
        <v>1181</v>
      </c>
      <c r="C192" s="23" t="s">
        <v>1061</v>
      </c>
      <c r="D192" s="76" t="s">
        <v>1870</v>
      </c>
      <c r="E192" s="23" t="s">
        <v>2026</v>
      </c>
      <c r="F192" s="23" t="s">
        <v>2082</v>
      </c>
      <c r="G192" s="11" t="s">
        <v>1933</v>
      </c>
      <c r="H192" s="23" t="s">
        <v>2062</v>
      </c>
      <c r="I192" s="177"/>
      <c r="J192" s="171"/>
    </row>
    <row r="193" ht="22.5" customHeight="1">
      <c r="A193" s="176">
        <v>45817.0</v>
      </c>
      <c r="B193" s="25" t="s">
        <v>1182</v>
      </c>
      <c r="C193" s="23" t="s">
        <v>1183</v>
      </c>
      <c r="D193" s="76" t="s">
        <v>1870</v>
      </c>
      <c r="E193" s="23" t="s">
        <v>2021</v>
      </c>
      <c r="F193" s="23" t="s">
        <v>2060</v>
      </c>
      <c r="G193" s="11" t="s">
        <v>1933</v>
      </c>
      <c r="H193" s="23" t="s">
        <v>2062</v>
      </c>
      <c r="I193" s="25" t="s">
        <v>2091</v>
      </c>
      <c r="J193" s="171"/>
    </row>
    <row r="194" ht="22.5" customHeight="1">
      <c r="A194" s="176">
        <v>45817.0</v>
      </c>
      <c r="B194" s="25" t="s">
        <v>1182</v>
      </c>
      <c r="C194" s="23" t="s">
        <v>1183</v>
      </c>
      <c r="D194" s="76" t="s">
        <v>1870</v>
      </c>
      <c r="E194" s="23" t="s">
        <v>2021</v>
      </c>
      <c r="F194" s="23" t="s">
        <v>2060</v>
      </c>
      <c r="G194" s="11" t="s">
        <v>1933</v>
      </c>
      <c r="H194" s="23" t="s">
        <v>2062</v>
      </c>
      <c r="I194" s="177"/>
      <c r="J194" s="171"/>
    </row>
    <row r="195" ht="22.5" customHeight="1">
      <c r="A195" s="176">
        <v>45817.0</v>
      </c>
      <c r="B195" s="25" t="s">
        <v>1186</v>
      </c>
      <c r="C195" s="23" t="s">
        <v>1187</v>
      </c>
      <c r="D195" s="76" t="s">
        <v>1870</v>
      </c>
      <c r="E195" s="23" t="s">
        <v>1979</v>
      </c>
      <c r="F195" s="23" t="s">
        <v>2086</v>
      </c>
      <c r="G195" s="11" t="s">
        <v>1933</v>
      </c>
      <c r="H195" s="23" t="s">
        <v>2124</v>
      </c>
      <c r="I195" s="25" t="s">
        <v>2091</v>
      </c>
      <c r="J195" s="171"/>
    </row>
    <row r="196" ht="22.5" customHeight="1">
      <c r="A196" s="176">
        <v>45817.0</v>
      </c>
      <c r="B196" s="25" t="s">
        <v>1186</v>
      </c>
      <c r="C196" s="23" t="s">
        <v>1187</v>
      </c>
      <c r="D196" s="76" t="s">
        <v>1870</v>
      </c>
      <c r="E196" s="23" t="s">
        <v>1979</v>
      </c>
      <c r="F196" s="23" t="s">
        <v>2086</v>
      </c>
      <c r="G196" s="11" t="s">
        <v>1933</v>
      </c>
      <c r="H196" s="23" t="s">
        <v>2124</v>
      </c>
      <c r="I196" s="177"/>
      <c r="J196" s="171"/>
    </row>
    <row r="197" ht="22.5" customHeight="1">
      <c r="A197" s="176">
        <v>45817.0</v>
      </c>
      <c r="B197" s="25" t="s">
        <v>1191</v>
      </c>
      <c r="C197" s="23" t="s">
        <v>1192</v>
      </c>
      <c r="D197" s="76" t="s">
        <v>1870</v>
      </c>
      <c r="E197" s="23" t="s">
        <v>1981</v>
      </c>
      <c r="F197" s="23" t="s">
        <v>2086</v>
      </c>
      <c r="G197" s="11" t="s">
        <v>1933</v>
      </c>
      <c r="H197" s="23" t="s">
        <v>2072</v>
      </c>
      <c r="I197" s="177"/>
      <c r="J197" s="171"/>
    </row>
    <row r="198" ht="22.5" customHeight="1">
      <c r="A198" s="176">
        <v>45817.0</v>
      </c>
      <c r="B198" s="25" t="s">
        <v>1193</v>
      </c>
      <c r="C198" s="23" t="s">
        <v>1132</v>
      </c>
      <c r="D198" s="76" t="s">
        <v>1870</v>
      </c>
      <c r="E198" s="23" t="s">
        <v>1981</v>
      </c>
      <c r="F198" s="23" t="s">
        <v>2065</v>
      </c>
      <c r="G198" s="11" t="s">
        <v>1933</v>
      </c>
      <c r="H198" s="23" t="s">
        <v>2070</v>
      </c>
      <c r="I198" s="177"/>
      <c r="J198" s="171"/>
    </row>
    <row r="199" ht="22.5" customHeight="1">
      <c r="A199" s="176">
        <v>45817.0</v>
      </c>
      <c r="B199" s="25" t="s">
        <v>1195</v>
      </c>
      <c r="C199" s="23" t="s">
        <v>1196</v>
      </c>
      <c r="D199" s="76" t="s">
        <v>1870</v>
      </c>
      <c r="E199" s="23" t="s">
        <v>1985</v>
      </c>
      <c r="F199" s="23" t="s">
        <v>2067</v>
      </c>
      <c r="G199" s="11" t="s">
        <v>1933</v>
      </c>
      <c r="H199" s="23" t="s">
        <v>2070</v>
      </c>
      <c r="I199" s="177"/>
      <c r="J199" s="171"/>
    </row>
    <row r="200" ht="22.5" customHeight="1">
      <c r="A200" s="176">
        <v>45817.0</v>
      </c>
      <c r="B200" s="25" t="s">
        <v>1197</v>
      </c>
      <c r="C200" s="23" t="s">
        <v>1198</v>
      </c>
      <c r="D200" s="76" t="s">
        <v>1870</v>
      </c>
      <c r="E200" s="23" t="s">
        <v>1985</v>
      </c>
      <c r="F200" s="23" t="s">
        <v>2061</v>
      </c>
      <c r="G200" s="11" t="s">
        <v>1933</v>
      </c>
      <c r="H200" s="23" t="s">
        <v>2023</v>
      </c>
      <c r="I200" s="25" t="s">
        <v>2091</v>
      </c>
      <c r="J200" s="171"/>
    </row>
    <row r="201" ht="22.5" customHeight="1">
      <c r="A201" s="176">
        <v>45817.0</v>
      </c>
      <c r="B201" s="25" t="s">
        <v>1197</v>
      </c>
      <c r="C201" s="23" t="s">
        <v>1198</v>
      </c>
      <c r="D201" s="76" t="s">
        <v>1870</v>
      </c>
      <c r="E201" s="23" t="s">
        <v>1985</v>
      </c>
      <c r="F201" s="23" t="s">
        <v>2061</v>
      </c>
      <c r="G201" s="11" t="s">
        <v>1933</v>
      </c>
      <c r="H201" s="23" t="s">
        <v>2023</v>
      </c>
      <c r="I201" s="177"/>
      <c r="J201" s="171"/>
    </row>
    <row r="202" ht="22.5" customHeight="1">
      <c r="A202" s="176">
        <v>45817.0</v>
      </c>
      <c r="B202" s="25" t="s">
        <v>1201</v>
      </c>
      <c r="C202" s="23" t="s">
        <v>1202</v>
      </c>
      <c r="D202" s="76" t="s">
        <v>1870</v>
      </c>
      <c r="E202" s="23" t="s">
        <v>1985</v>
      </c>
      <c r="F202" s="23" t="s">
        <v>2086</v>
      </c>
      <c r="G202" s="11" t="s">
        <v>1933</v>
      </c>
      <c r="H202" s="23" t="s">
        <v>2002</v>
      </c>
      <c r="I202" s="25" t="s">
        <v>2091</v>
      </c>
      <c r="J202" s="171"/>
    </row>
    <row r="203" ht="22.5" customHeight="1">
      <c r="A203" s="176">
        <v>45817.0</v>
      </c>
      <c r="B203" s="25" t="s">
        <v>1201</v>
      </c>
      <c r="C203" s="23" t="s">
        <v>1202</v>
      </c>
      <c r="D203" s="76" t="s">
        <v>1870</v>
      </c>
      <c r="E203" s="23" t="s">
        <v>1985</v>
      </c>
      <c r="F203" s="23" t="s">
        <v>2086</v>
      </c>
      <c r="G203" s="11" t="s">
        <v>1933</v>
      </c>
      <c r="H203" s="23" t="s">
        <v>2002</v>
      </c>
      <c r="I203" s="177"/>
      <c r="J203" s="171"/>
    </row>
    <row r="204" ht="22.5" customHeight="1">
      <c r="A204" s="176">
        <v>45817.0</v>
      </c>
      <c r="B204" s="25" t="s">
        <v>1205</v>
      </c>
      <c r="C204" s="23" t="s">
        <v>1206</v>
      </c>
      <c r="D204" s="76" t="s">
        <v>1870</v>
      </c>
      <c r="E204" s="23" t="s">
        <v>1988</v>
      </c>
      <c r="F204" s="23" t="s">
        <v>2035</v>
      </c>
      <c r="G204" s="11" t="s">
        <v>1933</v>
      </c>
      <c r="H204" s="23" t="s">
        <v>2063</v>
      </c>
      <c r="I204" s="25" t="s">
        <v>2091</v>
      </c>
      <c r="J204" s="171"/>
    </row>
    <row r="205" ht="22.5" customHeight="1">
      <c r="A205" s="176">
        <v>45817.0</v>
      </c>
      <c r="B205" s="25" t="s">
        <v>1205</v>
      </c>
      <c r="C205" s="23" t="s">
        <v>1206</v>
      </c>
      <c r="D205" s="76" t="s">
        <v>1870</v>
      </c>
      <c r="E205" s="23" t="s">
        <v>1988</v>
      </c>
      <c r="F205" s="23" t="s">
        <v>2035</v>
      </c>
      <c r="G205" s="11" t="s">
        <v>1933</v>
      </c>
      <c r="H205" s="23" t="s">
        <v>2063</v>
      </c>
      <c r="I205" s="177"/>
      <c r="J205" s="171"/>
    </row>
    <row r="206" ht="22.5" customHeight="1">
      <c r="A206" s="176">
        <v>45817.0</v>
      </c>
      <c r="B206" s="25" t="s">
        <v>1209</v>
      </c>
      <c r="C206" s="23" t="s">
        <v>1210</v>
      </c>
      <c r="D206" s="76" t="s">
        <v>1870</v>
      </c>
      <c r="E206" s="23" t="s">
        <v>1988</v>
      </c>
      <c r="F206" s="23" t="s">
        <v>2035</v>
      </c>
      <c r="G206" s="11" t="s">
        <v>1933</v>
      </c>
      <c r="H206" s="23" t="s">
        <v>2063</v>
      </c>
      <c r="I206" s="25" t="s">
        <v>2091</v>
      </c>
      <c r="J206" s="171"/>
    </row>
    <row r="207" ht="22.5" customHeight="1">
      <c r="A207" s="176">
        <v>45817.0</v>
      </c>
      <c r="B207" s="25" t="s">
        <v>1209</v>
      </c>
      <c r="C207" s="23" t="s">
        <v>1210</v>
      </c>
      <c r="D207" s="76" t="s">
        <v>1870</v>
      </c>
      <c r="E207" s="23" t="s">
        <v>1988</v>
      </c>
      <c r="F207" s="23" t="s">
        <v>2035</v>
      </c>
      <c r="G207" s="11" t="s">
        <v>1933</v>
      </c>
      <c r="H207" s="23" t="s">
        <v>2063</v>
      </c>
      <c r="I207" s="177"/>
      <c r="J207" s="171"/>
    </row>
    <row r="208" ht="22.5" customHeight="1">
      <c r="A208" s="176">
        <v>45817.0</v>
      </c>
      <c r="B208" s="25" t="s">
        <v>1213</v>
      </c>
      <c r="C208" s="23" t="s">
        <v>1214</v>
      </c>
      <c r="D208" s="76" t="s">
        <v>1870</v>
      </c>
      <c r="E208" s="23" t="s">
        <v>2024</v>
      </c>
      <c r="F208" s="23" t="s">
        <v>2041</v>
      </c>
      <c r="G208" s="11" t="s">
        <v>1933</v>
      </c>
      <c r="H208" s="23" t="s">
        <v>2066</v>
      </c>
      <c r="I208" s="177"/>
      <c r="J208" s="171"/>
    </row>
    <row r="209" ht="22.5" customHeight="1">
      <c r="A209" s="176">
        <v>45817.0</v>
      </c>
      <c r="B209" s="25" t="s">
        <v>1215</v>
      </c>
      <c r="C209" s="23" t="s">
        <v>1078</v>
      </c>
      <c r="D209" s="76" t="s">
        <v>1870</v>
      </c>
      <c r="E209" s="23" t="s">
        <v>2113</v>
      </c>
      <c r="F209" s="23" t="s">
        <v>2041</v>
      </c>
      <c r="G209" s="11" t="s">
        <v>1933</v>
      </c>
      <c r="H209" s="23" t="s">
        <v>2063</v>
      </c>
      <c r="I209" s="177"/>
      <c r="J209" s="171"/>
    </row>
    <row r="210" ht="22.5" customHeight="1">
      <c r="A210" s="176">
        <v>45817.0</v>
      </c>
      <c r="B210" s="25" t="s">
        <v>1216</v>
      </c>
      <c r="C210" s="23" t="s">
        <v>1048</v>
      </c>
      <c r="D210" s="76" t="s">
        <v>1870</v>
      </c>
      <c r="E210" s="23" t="s">
        <v>2117</v>
      </c>
      <c r="F210" s="23" t="s">
        <v>2099</v>
      </c>
      <c r="G210" s="11" t="s">
        <v>1933</v>
      </c>
      <c r="H210" s="23" t="s">
        <v>2066</v>
      </c>
      <c r="I210" s="177"/>
      <c r="J210" s="171"/>
    </row>
    <row r="211" ht="22.5" customHeight="1">
      <c r="A211" s="176">
        <v>45817.0</v>
      </c>
      <c r="B211" s="25" t="s">
        <v>1216</v>
      </c>
      <c r="C211" s="23" t="s">
        <v>1069</v>
      </c>
      <c r="D211" s="76" t="s">
        <v>1870</v>
      </c>
      <c r="E211" s="23" t="s">
        <v>1979</v>
      </c>
      <c r="F211" s="23" t="s">
        <v>2071</v>
      </c>
      <c r="G211" s="11" t="s">
        <v>1933</v>
      </c>
      <c r="H211" s="23" t="s">
        <v>2062</v>
      </c>
      <c r="I211" s="25" t="s">
        <v>2096</v>
      </c>
      <c r="J211" s="171"/>
    </row>
    <row r="212" ht="22.5" customHeight="1">
      <c r="A212" s="176">
        <v>45817.0</v>
      </c>
      <c r="B212" s="25" t="s">
        <v>1218</v>
      </c>
      <c r="C212" s="23" t="s">
        <v>1219</v>
      </c>
      <c r="D212" s="76" t="s">
        <v>1870</v>
      </c>
      <c r="E212" s="23" t="s">
        <v>2059</v>
      </c>
      <c r="F212" s="23" t="s">
        <v>2043</v>
      </c>
      <c r="G212" s="11" t="s">
        <v>1933</v>
      </c>
      <c r="H212" s="23" t="s">
        <v>2063</v>
      </c>
      <c r="I212" s="177"/>
      <c r="J212" s="171"/>
    </row>
    <row r="213" ht="22.5" customHeight="1">
      <c r="A213" s="176">
        <v>45817.0</v>
      </c>
      <c r="B213" s="25" t="s">
        <v>1220</v>
      </c>
      <c r="C213" s="23" t="s">
        <v>1221</v>
      </c>
      <c r="D213" s="76" t="s">
        <v>1870</v>
      </c>
      <c r="E213" s="23" t="s">
        <v>2117</v>
      </c>
      <c r="F213" s="23" t="s">
        <v>2053</v>
      </c>
      <c r="G213" s="11" t="s">
        <v>1933</v>
      </c>
      <c r="H213" s="23" t="s">
        <v>2063</v>
      </c>
      <c r="I213" s="177"/>
      <c r="J213" s="171"/>
    </row>
    <row r="214" ht="22.5" customHeight="1">
      <c r="A214" s="176">
        <v>45817.0</v>
      </c>
      <c r="B214" s="25" t="s">
        <v>573</v>
      </c>
      <c r="C214" s="23" t="s">
        <v>911</v>
      </c>
      <c r="D214" s="76" t="s">
        <v>1870</v>
      </c>
      <c r="E214" s="23" t="s">
        <v>2056</v>
      </c>
      <c r="F214" s="23" t="s">
        <v>2053</v>
      </c>
      <c r="G214" s="11" t="s">
        <v>1933</v>
      </c>
      <c r="H214" s="23" t="s">
        <v>2066</v>
      </c>
      <c r="I214" s="177"/>
      <c r="J214" s="171"/>
    </row>
    <row r="215" ht="22.5" customHeight="1">
      <c r="A215" s="176">
        <v>45817.0</v>
      </c>
      <c r="B215" s="25" t="s">
        <v>1223</v>
      </c>
      <c r="C215" s="23" t="s">
        <v>1069</v>
      </c>
      <c r="D215" s="76" t="s">
        <v>1870</v>
      </c>
      <c r="E215" s="23" t="s">
        <v>2056</v>
      </c>
      <c r="F215" s="23" t="s">
        <v>2053</v>
      </c>
      <c r="G215" s="11" t="s">
        <v>1933</v>
      </c>
      <c r="H215" s="23" t="s">
        <v>2066</v>
      </c>
      <c r="I215" s="177"/>
      <c r="J215" s="171"/>
    </row>
    <row r="216" ht="22.5" customHeight="1">
      <c r="A216" s="176">
        <v>45817.0</v>
      </c>
      <c r="B216" s="25" t="s">
        <v>1224</v>
      </c>
      <c r="C216" s="23" t="s">
        <v>1225</v>
      </c>
      <c r="D216" s="76" t="s">
        <v>1870</v>
      </c>
      <c r="E216" s="23" t="s">
        <v>2059</v>
      </c>
      <c r="F216" s="23" t="s">
        <v>2043</v>
      </c>
      <c r="G216" s="11" t="s">
        <v>1933</v>
      </c>
      <c r="H216" s="23" t="s">
        <v>2063</v>
      </c>
      <c r="I216" s="177"/>
      <c r="J216" s="171"/>
    </row>
    <row r="217" ht="22.5" customHeight="1">
      <c r="A217" s="176">
        <v>45817.0</v>
      </c>
      <c r="B217" s="25" t="s">
        <v>257</v>
      </c>
      <c r="C217" s="23" t="s">
        <v>2103</v>
      </c>
      <c r="D217" s="76" t="s">
        <v>1870</v>
      </c>
      <c r="E217" s="23" t="s">
        <v>2073</v>
      </c>
      <c r="F217" s="23" t="s">
        <v>2043</v>
      </c>
      <c r="G217" s="11" t="s">
        <v>1933</v>
      </c>
      <c r="H217" s="23" t="s">
        <v>2124</v>
      </c>
      <c r="I217" s="177"/>
      <c r="J217" s="171"/>
    </row>
    <row r="218" ht="22.5" customHeight="1">
      <c r="A218" s="176">
        <v>45817.0</v>
      </c>
      <c r="B218" s="25" t="s">
        <v>1227</v>
      </c>
      <c r="C218" s="23" t="s">
        <v>1228</v>
      </c>
      <c r="D218" s="76" t="s">
        <v>1870</v>
      </c>
      <c r="E218" s="23" t="s">
        <v>2074</v>
      </c>
      <c r="F218" s="23" t="s">
        <v>2032</v>
      </c>
      <c r="G218" s="11" t="s">
        <v>1933</v>
      </c>
      <c r="H218" s="23" t="s">
        <v>2124</v>
      </c>
      <c r="I218" s="177"/>
      <c r="J218" s="171"/>
    </row>
    <row r="219" ht="22.5" customHeight="1">
      <c r="A219" s="176">
        <v>45817.0</v>
      </c>
      <c r="B219" s="25" t="s">
        <v>1229</v>
      </c>
      <c r="C219" s="23" t="s">
        <v>1230</v>
      </c>
      <c r="D219" s="76" t="s">
        <v>1870</v>
      </c>
      <c r="E219" s="23" t="s">
        <v>2074</v>
      </c>
      <c r="F219" s="23" t="s">
        <v>2032</v>
      </c>
      <c r="G219" s="11" t="s">
        <v>1933</v>
      </c>
      <c r="H219" s="23" t="s">
        <v>2124</v>
      </c>
      <c r="I219" s="177"/>
      <c r="J219" s="171"/>
    </row>
    <row r="220" ht="22.5" customHeight="1">
      <c r="A220" s="176">
        <v>45817.0</v>
      </c>
      <c r="B220" s="25" t="s">
        <v>1231</v>
      </c>
      <c r="C220" s="23" t="s">
        <v>1232</v>
      </c>
      <c r="D220" s="76" t="s">
        <v>1870</v>
      </c>
      <c r="E220" s="23" t="s">
        <v>2056</v>
      </c>
      <c r="F220" s="23" t="s">
        <v>2043</v>
      </c>
      <c r="G220" s="11" t="s">
        <v>1933</v>
      </c>
      <c r="H220" s="23" t="s">
        <v>2072</v>
      </c>
      <c r="I220" s="177"/>
      <c r="J220" s="171"/>
    </row>
    <row r="221" ht="22.5" customHeight="1">
      <c r="A221" s="176">
        <v>45817.0</v>
      </c>
      <c r="B221" s="25" t="s">
        <v>1233</v>
      </c>
      <c r="C221" s="23" t="s">
        <v>1234</v>
      </c>
      <c r="D221" s="76" t="s">
        <v>1870</v>
      </c>
      <c r="E221" s="23" t="s">
        <v>2117</v>
      </c>
      <c r="F221" s="23" t="s">
        <v>2053</v>
      </c>
      <c r="G221" s="11" t="s">
        <v>1933</v>
      </c>
      <c r="H221" s="23" t="s">
        <v>2063</v>
      </c>
      <c r="I221" s="177"/>
      <c r="J221" s="171"/>
    </row>
    <row r="222" ht="22.5" customHeight="1">
      <c r="A222" s="176">
        <v>45817.0</v>
      </c>
      <c r="B222" s="25" t="s">
        <v>1235</v>
      </c>
      <c r="C222" s="23" t="s">
        <v>1236</v>
      </c>
      <c r="D222" s="76" t="s">
        <v>1870</v>
      </c>
      <c r="E222" s="23" t="s">
        <v>2117</v>
      </c>
      <c r="F222" s="23" t="s">
        <v>2032</v>
      </c>
      <c r="G222" s="11" t="s">
        <v>1933</v>
      </c>
      <c r="H222" s="23" t="s">
        <v>2072</v>
      </c>
      <c r="I222" s="177"/>
      <c r="J222" s="171"/>
    </row>
    <row r="223" ht="22.5" customHeight="1">
      <c r="A223" s="176">
        <v>45817.0</v>
      </c>
      <c r="B223" s="25" t="s">
        <v>1237</v>
      </c>
      <c r="C223" s="23" t="s">
        <v>1238</v>
      </c>
      <c r="D223" s="76" t="s">
        <v>1870</v>
      </c>
      <c r="E223" s="23" t="s">
        <v>2036</v>
      </c>
      <c r="F223" s="23" t="s">
        <v>2053</v>
      </c>
      <c r="G223" s="11" t="s">
        <v>1933</v>
      </c>
      <c r="H223" s="23" t="s">
        <v>2124</v>
      </c>
      <c r="I223" s="177"/>
      <c r="J223" s="171"/>
    </row>
    <row r="224" ht="22.5" customHeight="1">
      <c r="A224" s="176">
        <v>45817.0</v>
      </c>
      <c r="B224" s="25" t="s">
        <v>1239</v>
      </c>
      <c r="C224" s="23" t="s">
        <v>1048</v>
      </c>
      <c r="D224" s="76" t="s">
        <v>1870</v>
      </c>
      <c r="E224" s="23" t="s">
        <v>2037</v>
      </c>
      <c r="F224" s="23" t="s">
        <v>2138</v>
      </c>
      <c r="G224" s="11" t="s">
        <v>1933</v>
      </c>
      <c r="H224" s="23" t="s">
        <v>2063</v>
      </c>
      <c r="I224" s="177"/>
      <c r="J224" s="171"/>
    </row>
    <row r="225" ht="22.5" customHeight="1">
      <c r="A225" s="176">
        <v>45817.0</v>
      </c>
      <c r="B225" s="25" t="s">
        <v>1240</v>
      </c>
      <c r="C225" s="23" t="s">
        <v>1069</v>
      </c>
      <c r="D225" s="76" t="s">
        <v>1870</v>
      </c>
      <c r="E225" s="23" t="s">
        <v>2037</v>
      </c>
      <c r="F225" s="23" t="s">
        <v>2136</v>
      </c>
      <c r="G225" s="11" t="s">
        <v>1933</v>
      </c>
      <c r="H225" s="23" t="s">
        <v>2066</v>
      </c>
      <c r="I225" s="177"/>
      <c r="J225" s="171"/>
    </row>
    <row r="226" ht="22.5" customHeight="1">
      <c r="A226" s="176">
        <v>45817.0</v>
      </c>
      <c r="B226" s="25" t="s">
        <v>1241</v>
      </c>
      <c r="C226" s="23" t="s">
        <v>1242</v>
      </c>
      <c r="D226" s="76" t="s">
        <v>1870</v>
      </c>
      <c r="E226" s="23" t="s">
        <v>2036</v>
      </c>
      <c r="F226" s="23" t="s">
        <v>2098</v>
      </c>
      <c r="G226" s="11" t="s">
        <v>1933</v>
      </c>
      <c r="H226" s="23" t="s">
        <v>2066</v>
      </c>
      <c r="I226" s="177"/>
      <c r="J226" s="171"/>
    </row>
    <row r="227" ht="22.5" customHeight="1">
      <c r="A227" s="176">
        <v>45817.0</v>
      </c>
      <c r="B227" s="25" t="s">
        <v>1243</v>
      </c>
      <c r="C227" s="23" t="s">
        <v>1244</v>
      </c>
      <c r="D227" s="76" t="s">
        <v>1870</v>
      </c>
      <c r="E227" s="23" t="s">
        <v>2036</v>
      </c>
      <c r="F227" s="23" t="s">
        <v>2099</v>
      </c>
      <c r="G227" s="11" t="s">
        <v>1933</v>
      </c>
      <c r="H227" s="23" t="s">
        <v>2063</v>
      </c>
      <c r="I227" s="177"/>
      <c r="J227" s="171"/>
    </row>
    <row r="228" ht="22.5" customHeight="1">
      <c r="A228" s="176">
        <v>45817.0</v>
      </c>
      <c r="B228" s="25" t="s">
        <v>1245</v>
      </c>
      <c r="C228" s="23" t="s">
        <v>1058</v>
      </c>
      <c r="D228" s="76" t="s">
        <v>1870</v>
      </c>
      <c r="E228" s="23" t="s">
        <v>2037</v>
      </c>
      <c r="F228" s="23" t="s">
        <v>2138</v>
      </c>
      <c r="G228" s="11" t="s">
        <v>1933</v>
      </c>
      <c r="H228" s="23" t="s">
        <v>2063</v>
      </c>
      <c r="I228" s="177"/>
      <c r="J228" s="171"/>
    </row>
    <row r="229" ht="22.5" customHeight="1">
      <c r="A229" s="176">
        <v>45817.0</v>
      </c>
      <c r="B229" s="25" t="s">
        <v>1246</v>
      </c>
      <c r="C229" s="23" t="s">
        <v>1069</v>
      </c>
      <c r="D229" s="76" t="s">
        <v>1870</v>
      </c>
      <c r="E229" s="23" t="s">
        <v>2120</v>
      </c>
      <c r="F229" s="23" t="s">
        <v>2138</v>
      </c>
      <c r="G229" s="11" t="s">
        <v>1933</v>
      </c>
      <c r="H229" s="23" t="s">
        <v>2066</v>
      </c>
      <c r="I229" s="177"/>
      <c r="J229" s="171"/>
    </row>
    <row r="230" ht="22.5" customHeight="1">
      <c r="A230" s="176">
        <v>45817.0</v>
      </c>
      <c r="B230" s="25" t="s">
        <v>267</v>
      </c>
      <c r="C230" s="23" t="s">
        <v>912</v>
      </c>
      <c r="D230" s="76" t="s">
        <v>1870</v>
      </c>
      <c r="E230" s="23" t="s">
        <v>2120</v>
      </c>
      <c r="F230" s="23" t="s">
        <v>2098</v>
      </c>
      <c r="G230" s="11" t="s">
        <v>1933</v>
      </c>
      <c r="H230" s="23" t="s">
        <v>2063</v>
      </c>
      <c r="I230" s="177"/>
      <c r="J230" s="171"/>
    </row>
    <row r="231" ht="22.5" customHeight="1">
      <c r="A231" s="176">
        <v>45817.0</v>
      </c>
      <c r="B231" s="25" t="s">
        <v>270</v>
      </c>
      <c r="C231" s="23" t="s">
        <v>913</v>
      </c>
      <c r="D231" s="76" t="s">
        <v>1870</v>
      </c>
      <c r="E231" s="23" t="s">
        <v>2037</v>
      </c>
      <c r="F231" s="23" t="s">
        <v>2138</v>
      </c>
      <c r="G231" s="11" t="s">
        <v>1933</v>
      </c>
      <c r="H231" s="23" t="s">
        <v>2063</v>
      </c>
      <c r="I231" s="177"/>
      <c r="J231" s="171"/>
    </row>
    <row r="232" ht="22.5" customHeight="1">
      <c r="A232" s="176">
        <v>45817.0</v>
      </c>
      <c r="B232" s="25" t="s">
        <v>200</v>
      </c>
      <c r="C232" s="23" t="s">
        <v>2114</v>
      </c>
      <c r="D232" s="76" t="s">
        <v>1870</v>
      </c>
      <c r="E232" s="23" t="s">
        <v>2120</v>
      </c>
      <c r="F232" s="23" t="s">
        <v>2136</v>
      </c>
      <c r="G232" s="11" t="s">
        <v>1933</v>
      </c>
      <c r="H232" s="23" t="s">
        <v>2062</v>
      </c>
      <c r="I232" s="177"/>
      <c r="J232" s="171"/>
    </row>
    <row r="233" ht="22.5" customHeight="1">
      <c r="A233" s="176">
        <v>45817.0</v>
      </c>
      <c r="B233" s="25" t="s">
        <v>205</v>
      </c>
      <c r="C233" s="23" t="s">
        <v>915</v>
      </c>
      <c r="D233" s="76" t="s">
        <v>1870</v>
      </c>
      <c r="E233" s="23" t="s">
        <v>2036</v>
      </c>
      <c r="F233" s="23" t="s">
        <v>2136</v>
      </c>
      <c r="G233" s="11" t="s">
        <v>1933</v>
      </c>
      <c r="H233" s="23" t="s">
        <v>2013</v>
      </c>
      <c r="I233" s="177"/>
      <c r="J233" s="171"/>
    </row>
    <row r="234" ht="22.5" customHeight="1">
      <c r="A234" s="176">
        <v>45817.0</v>
      </c>
      <c r="B234" s="25" t="s">
        <v>609</v>
      </c>
      <c r="C234" s="23" t="s">
        <v>916</v>
      </c>
      <c r="D234" s="76" t="s">
        <v>1870</v>
      </c>
      <c r="E234" s="23" t="s">
        <v>2036</v>
      </c>
      <c r="F234" s="23" t="s">
        <v>2053</v>
      </c>
      <c r="G234" s="11" t="s">
        <v>1933</v>
      </c>
      <c r="H234" s="23" t="s">
        <v>2124</v>
      </c>
      <c r="I234" s="177"/>
      <c r="J234" s="171"/>
    </row>
    <row r="235" ht="22.5" customHeight="1">
      <c r="A235" s="176">
        <v>45817.0</v>
      </c>
      <c r="B235" s="25" t="s">
        <v>212</v>
      </c>
      <c r="C235" s="23" t="s">
        <v>917</v>
      </c>
      <c r="D235" s="76" t="s">
        <v>1870</v>
      </c>
      <c r="E235" s="23" t="s">
        <v>2036</v>
      </c>
      <c r="F235" s="23" t="s">
        <v>2053</v>
      </c>
      <c r="G235" s="11" t="s">
        <v>1933</v>
      </c>
      <c r="H235" s="23" t="s">
        <v>2124</v>
      </c>
      <c r="I235" s="177"/>
      <c r="J235" s="171"/>
    </row>
    <row r="236" ht="22.5" customHeight="1">
      <c r="A236" s="176">
        <v>45817.0</v>
      </c>
      <c r="B236" s="25" t="s">
        <v>217</v>
      </c>
      <c r="C236" s="23" t="s">
        <v>918</v>
      </c>
      <c r="D236" s="76" t="s">
        <v>1870</v>
      </c>
      <c r="E236" s="23" t="s">
        <v>2120</v>
      </c>
      <c r="F236" s="23" t="s">
        <v>2099</v>
      </c>
      <c r="G236" s="11" t="s">
        <v>1933</v>
      </c>
      <c r="H236" s="23" t="s">
        <v>2124</v>
      </c>
      <c r="I236" s="177"/>
      <c r="J236" s="171"/>
    </row>
    <row r="237" ht="22.5" customHeight="1">
      <c r="A237" s="176">
        <v>45817.0</v>
      </c>
      <c r="B237" s="25" t="s">
        <v>222</v>
      </c>
      <c r="C237" s="23" t="s">
        <v>920</v>
      </c>
      <c r="D237" s="76" t="s">
        <v>1870</v>
      </c>
      <c r="E237" s="23" t="s">
        <v>2037</v>
      </c>
      <c r="F237" s="23" t="s">
        <v>2138</v>
      </c>
      <c r="G237" s="11" t="s">
        <v>1933</v>
      </c>
      <c r="H237" s="23" t="s">
        <v>2063</v>
      </c>
      <c r="I237" s="177"/>
      <c r="J237" s="171"/>
    </row>
    <row r="238" ht="22.5" customHeight="1">
      <c r="A238" s="176">
        <v>45817.0</v>
      </c>
      <c r="B238" s="25" t="s">
        <v>1254</v>
      </c>
      <c r="C238" s="23" t="s">
        <v>1080</v>
      </c>
      <c r="D238" s="158" t="s">
        <v>1889</v>
      </c>
      <c r="E238" s="23" t="s">
        <v>1950</v>
      </c>
      <c r="F238" s="23" t="s">
        <v>2155</v>
      </c>
      <c r="G238" s="11" t="s">
        <v>1933</v>
      </c>
      <c r="H238" s="23" t="s">
        <v>2143</v>
      </c>
      <c r="I238" s="177"/>
      <c r="J238" s="171"/>
    </row>
    <row r="239" ht="22.5" customHeight="1">
      <c r="A239" s="176">
        <v>45817.0</v>
      </c>
      <c r="B239" s="25" t="s">
        <v>1255</v>
      </c>
      <c r="C239" s="23" t="s">
        <v>1083</v>
      </c>
      <c r="D239" s="158" t="s">
        <v>1889</v>
      </c>
      <c r="E239" s="23" t="s">
        <v>2102</v>
      </c>
      <c r="F239" s="23" t="s">
        <v>1968</v>
      </c>
      <c r="G239" s="11" t="s">
        <v>1933</v>
      </c>
      <c r="H239" s="23" t="s">
        <v>2066</v>
      </c>
      <c r="I239" s="177"/>
      <c r="J239" s="171"/>
    </row>
    <row r="240" ht="22.5" customHeight="1">
      <c r="A240" s="176">
        <v>45817.0</v>
      </c>
      <c r="B240" s="25" t="s">
        <v>1256</v>
      </c>
      <c r="C240" s="23" t="s">
        <v>1084</v>
      </c>
      <c r="D240" s="158" t="s">
        <v>1889</v>
      </c>
      <c r="E240" s="23" t="s">
        <v>2097</v>
      </c>
      <c r="F240" s="23" t="s">
        <v>1972</v>
      </c>
      <c r="G240" s="11" t="s">
        <v>1933</v>
      </c>
      <c r="H240" s="23" t="s">
        <v>2066</v>
      </c>
      <c r="I240" s="177"/>
      <c r="J240" s="171"/>
    </row>
    <row r="241" ht="22.5" customHeight="1">
      <c r="A241" s="176">
        <v>45817.0</v>
      </c>
      <c r="B241" s="25" t="s">
        <v>1257</v>
      </c>
      <c r="C241" s="23" t="s">
        <v>1258</v>
      </c>
      <c r="D241" s="158" t="s">
        <v>1889</v>
      </c>
      <c r="E241" s="23" t="s">
        <v>2102</v>
      </c>
      <c r="F241" s="23" t="s">
        <v>1968</v>
      </c>
      <c r="G241" s="11" t="s">
        <v>1933</v>
      </c>
      <c r="H241" s="23" t="s">
        <v>2066</v>
      </c>
      <c r="I241" s="177"/>
      <c r="J241" s="171"/>
    </row>
    <row r="242" ht="22.5" customHeight="1">
      <c r="A242" s="176">
        <v>45817.0</v>
      </c>
      <c r="B242" s="25" t="s">
        <v>1259</v>
      </c>
      <c r="C242" s="23" t="s">
        <v>1260</v>
      </c>
      <c r="D242" s="158" t="s">
        <v>1889</v>
      </c>
      <c r="E242" s="23" t="s">
        <v>2102</v>
      </c>
      <c r="F242" s="23" t="s">
        <v>2010</v>
      </c>
      <c r="G242" s="11" t="s">
        <v>1933</v>
      </c>
      <c r="H242" s="23" t="s">
        <v>2063</v>
      </c>
      <c r="I242" s="177"/>
      <c r="J242" s="171"/>
    </row>
    <row r="243" ht="22.5" customHeight="1">
      <c r="A243" s="176">
        <v>45817.0</v>
      </c>
      <c r="B243" s="25" t="s">
        <v>1261</v>
      </c>
      <c r="C243" s="23" t="s">
        <v>1262</v>
      </c>
      <c r="D243" s="158" t="s">
        <v>1889</v>
      </c>
      <c r="E243" s="23" t="s">
        <v>2097</v>
      </c>
      <c r="F243" s="23" t="s">
        <v>1972</v>
      </c>
      <c r="G243" s="11" t="s">
        <v>1933</v>
      </c>
      <c r="H243" s="23" t="s">
        <v>2066</v>
      </c>
      <c r="I243" s="177"/>
      <c r="J243" s="171"/>
    </row>
    <row r="244" ht="22.5" customHeight="1">
      <c r="A244" s="176">
        <v>45817.0</v>
      </c>
      <c r="B244" s="25" t="s">
        <v>1263</v>
      </c>
      <c r="C244" s="23" t="s">
        <v>1258</v>
      </c>
      <c r="D244" s="158" t="s">
        <v>1889</v>
      </c>
      <c r="E244" s="23" t="s">
        <v>2004</v>
      </c>
      <c r="F244" s="23" t="s">
        <v>1992</v>
      </c>
      <c r="G244" s="11" t="s">
        <v>1933</v>
      </c>
      <c r="H244" s="23" t="s">
        <v>2063</v>
      </c>
      <c r="I244" s="177"/>
      <c r="J244" s="171"/>
    </row>
    <row r="245" ht="22.5" customHeight="1">
      <c r="A245" s="176">
        <v>45817.0</v>
      </c>
      <c r="B245" s="25" t="s">
        <v>168</v>
      </c>
      <c r="C245" s="23" t="s">
        <v>2130</v>
      </c>
      <c r="D245" s="158" t="s">
        <v>1889</v>
      </c>
      <c r="E245" s="23" t="s">
        <v>2001</v>
      </c>
      <c r="F245" s="23" t="s">
        <v>1972</v>
      </c>
      <c r="G245" s="11" t="s">
        <v>1933</v>
      </c>
      <c r="H245" s="23" t="s">
        <v>2063</v>
      </c>
      <c r="I245" s="177"/>
      <c r="J245" s="171"/>
    </row>
    <row r="246" ht="22.5" customHeight="1">
      <c r="A246" s="176">
        <v>45817.0</v>
      </c>
      <c r="B246" s="25" t="s">
        <v>1264</v>
      </c>
      <c r="C246" s="23" t="s">
        <v>1258</v>
      </c>
      <c r="D246" s="158" t="s">
        <v>1889</v>
      </c>
      <c r="E246" s="23" t="s">
        <v>2004</v>
      </c>
      <c r="F246" s="23" t="s">
        <v>1992</v>
      </c>
      <c r="G246" s="11" t="s">
        <v>1933</v>
      </c>
      <c r="H246" s="23" t="s">
        <v>2063</v>
      </c>
      <c r="I246" s="177"/>
      <c r="J246" s="171"/>
    </row>
    <row r="247" ht="22.5" customHeight="1">
      <c r="A247" s="176">
        <v>45817.0</v>
      </c>
      <c r="B247" s="25" t="s">
        <v>1265</v>
      </c>
      <c r="C247" s="23" t="s">
        <v>1266</v>
      </c>
      <c r="D247" s="158" t="s">
        <v>1889</v>
      </c>
      <c r="E247" s="23" t="s">
        <v>2004</v>
      </c>
      <c r="F247" s="23" t="s">
        <v>1992</v>
      </c>
      <c r="G247" s="11" t="s">
        <v>1933</v>
      </c>
      <c r="H247" s="23" t="s">
        <v>2063</v>
      </c>
      <c r="I247" s="177"/>
      <c r="J247" s="171"/>
    </row>
    <row r="248" ht="22.5" customHeight="1">
      <c r="A248" s="176">
        <v>45817.0</v>
      </c>
      <c r="B248" s="25" t="s">
        <v>1267</v>
      </c>
      <c r="C248" s="23" t="s">
        <v>1081</v>
      </c>
      <c r="D248" s="158" t="s">
        <v>1889</v>
      </c>
      <c r="E248" s="23" t="s">
        <v>2004</v>
      </c>
      <c r="F248" s="23" t="s">
        <v>1992</v>
      </c>
      <c r="G248" s="11" t="s">
        <v>1933</v>
      </c>
      <c r="H248" s="23" t="s">
        <v>2063</v>
      </c>
      <c r="I248" s="177"/>
      <c r="J248" s="171"/>
    </row>
    <row r="249" ht="22.5" customHeight="1">
      <c r="A249" s="176">
        <v>45817.0</v>
      </c>
      <c r="B249" s="25" t="s">
        <v>1268</v>
      </c>
      <c r="C249" s="23" t="s">
        <v>1083</v>
      </c>
      <c r="D249" s="158" t="s">
        <v>1889</v>
      </c>
      <c r="E249" s="23" t="s">
        <v>1946</v>
      </c>
      <c r="F249" s="23" t="s">
        <v>2157</v>
      </c>
      <c r="G249" s="11" t="s">
        <v>1933</v>
      </c>
      <c r="H249" s="23" t="s">
        <v>2143</v>
      </c>
      <c r="I249" s="177"/>
      <c r="J249" s="171"/>
    </row>
    <row r="250" ht="22.5" customHeight="1">
      <c r="A250" s="176">
        <v>45817.0</v>
      </c>
      <c r="B250" s="25" t="s">
        <v>1269</v>
      </c>
      <c r="C250" s="23" t="s">
        <v>1258</v>
      </c>
      <c r="D250" s="158" t="s">
        <v>1889</v>
      </c>
      <c r="E250" s="23" t="s">
        <v>1998</v>
      </c>
      <c r="F250" s="23" t="s">
        <v>2010</v>
      </c>
      <c r="G250" s="11" t="s">
        <v>1933</v>
      </c>
      <c r="H250" s="23" t="s">
        <v>2066</v>
      </c>
      <c r="I250" s="177"/>
      <c r="J250" s="171"/>
    </row>
    <row r="251" ht="22.5" customHeight="1">
      <c r="A251" s="176">
        <v>45817.0</v>
      </c>
      <c r="B251" s="25" t="s">
        <v>1270</v>
      </c>
      <c r="C251" s="23" t="s">
        <v>1083</v>
      </c>
      <c r="D251" s="158" t="s">
        <v>1889</v>
      </c>
      <c r="E251" s="23" t="s">
        <v>2076</v>
      </c>
      <c r="F251" s="23" t="s">
        <v>2008</v>
      </c>
      <c r="G251" s="11" t="s">
        <v>1933</v>
      </c>
      <c r="H251" s="23" t="s">
        <v>2066</v>
      </c>
      <c r="I251" s="177"/>
      <c r="J251" s="171"/>
    </row>
    <row r="252" ht="22.5" customHeight="1">
      <c r="A252" s="176">
        <v>45817.0</v>
      </c>
      <c r="B252" s="25" t="s">
        <v>226</v>
      </c>
      <c r="C252" s="23" t="s">
        <v>923</v>
      </c>
      <c r="D252" s="158" t="s">
        <v>1889</v>
      </c>
      <c r="E252" s="23" t="s">
        <v>2076</v>
      </c>
      <c r="F252" s="23" t="s">
        <v>2008</v>
      </c>
      <c r="G252" s="11" t="s">
        <v>1933</v>
      </c>
      <c r="H252" s="23" t="s">
        <v>2066</v>
      </c>
      <c r="I252" s="177"/>
      <c r="J252" s="171"/>
    </row>
    <row r="253" ht="22.5" customHeight="1">
      <c r="A253" s="176">
        <v>45817.0</v>
      </c>
      <c r="B253" s="25" t="s">
        <v>643</v>
      </c>
      <c r="C253" s="23" t="s">
        <v>924</v>
      </c>
      <c r="D253" s="158" t="s">
        <v>1889</v>
      </c>
      <c r="E253" s="23" t="s">
        <v>1997</v>
      </c>
      <c r="F253" s="23" t="s">
        <v>1936</v>
      </c>
      <c r="G253" s="11" t="s">
        <v>1933</v>
      </c>
      <c r="H253" s="23" t="s">
        <v>2063</v>
      </c>
      <c r="I253" s="177"/>
      <c r="J253" s="171"/>
    </row>
    <row r="254" ht="22.5" customHeight="1">
      <c r="A254" s="176">
        <v>45817.0</v>
      </c>
      <c r="B254" s="25" t="s">
        <v>177</v>
      </c>
      <c r="C254" s="23" t="s">
        <v>2137</v>
      </c>
      <c r="D254" s="158" t="s">
        <v>1889</v>
      </c>
      <c r="E254" s="23" t="s">
        <v>1995</v>
      </c>
      <c r="F254" s="23" t="s">
        <v>1939</v>
      </c>
      <c r="G254" s="11" t="s">
        <v>1933</v>
      </c>
      <c r="H254" s="23" t="s">
        <v>2063</v>
      </c>
      <c r="I254" s="177"/>
      <c r="J254" s="171"/>
    </row>
    <row r="255" ht="22.5" customHeight="1">
      <c r="A255" s="176">
        <v>45817.0</v>
      </c>
      <c r="B255" s="25" t="s">
        <v>1274</v>
      </c>
      <c r="C255" s="23" t="s">
        <v>1275</v>
      </c>
      <c r="D255" s="158" t="s">
        <v>1889</v>
      </c>
      <c r="E255" s="23" t="s">
        <v>1993</v>
      </c>
      <c r="F255" s="23" t="s">
        <v>1945</v>
      </c>
      <c r="G255" s="11" t="s">
        <v>1933</v>
      </c>
      <c r="H255" s="23" t="s">
        <v>2063</v>
      </c>
      <c r="I255" s="177"/>
      <c r="J255" s="171"/>
    </row>
    <row r="256" ht="22.5" customHeight="1">
      <c r="A256" s="176">
        <v>45817.0</v>
      </c>
      <c r="B256" s="25" t="s">
        <v>183</v>
      </c>
      <c r="C256" s="23" t="s">
        <v>926</v>
      </c>
      <c r="D256" s="158" t="s">
        <v>1889</v>
      </c>
      <c r="E256" s="23" t="s">
        <v>1995</v>
      </c>
      <c r="F256" s="23" t="s">
        <v>1936</v>
      </c>
      <c r="G256" s="11" t="s">
        <v>1933</v>
      </c>
      <c r="H256" s="23" t="s">
        <v>2066</v>
      </c>
      <c r="I256" s="177"/>
      <c r="J256" s="171"/>
    </row>
    <row r="257" ht="22.5" customHeight="1">
      <c r="A257" s="176">
        <v>45817.0</v>
      </c>
      <c r="B257" s="25" t="s">
        <v>1276</v>
      </c>
      <c r="C257" s="23" t="s">
        <v>1277</v>
      </c>
      <c r="D257" s="158" t="s">
        <v>1889</v>
      </c>
      <c r="E257" s="23" t="s">
        <v>2084</v>
      </c>
      <c r="F257" s="23" t="s">
        <v>1957</v>
      </c>
      <c r="G257" s="11" t="s">
        <v>1933</v>
      </c>
      <c r="H257" s="23" t="s">
        <v>2062</v>
      </c>
      <c r="I257" s="177"/>
      <c r="J257" s="171"/>
    </row>
    <row r="258" ht="22.5" customHeight="1">
      <c r="A258" s="176">
        <v>45817.0</v>
      </c>
      <c r="B258" s="25" t="s">
        <v>1278</v>
      </c>
      <c r="C258" s="23" t="s">
        <v>1279</v>
      </c>
      <c r="D258" s="158" t="s">
        <v>1889</v>
      </c>
      <c r="E258" s="23" t="s">
        <v>1998</v>
      </c>
      <c r="F258" s="23" t="s">
        <v>2008</v>
      </c>
      <c r="G258" s="11" t="s">
        <v>1933</v>
      </c>
      <c r="H258" s="23" t="s">
        <v>2063</v>
      </c>
      <c r="I258" s="177"/>
      <c r="J258" s="171"/>
    </row>
    <row r="259" ht="22.5" customHeight="1">
      <c r="A259" s="176">
        <v>45817.0</v>
      </c>
      <c r="B259" s="25" t="s">
        <v>1280</v>
      </c>
      <c r="C259" s="23" t="s">
        <v>1258</v>
      </c>
      <c r="D259" s="158" t="s">
        <v>1889</v>
      </c>
      <c r="E259" s="23" t="s">
        <v>1997</v>
      </c>
      <c r="F259" s="23" t="s">
        <v>1963</v>
      </c>
      <c r="G259" s="11" t="s">
        <v>1933</v>
      </c>
      <c r="H259" s="23" t="s">
        <v>2066</v>
      </c>
      <c r="I259" s="177"/>
      <c r="J259" s="171"/>
    </row>
    <row r="260" ht="22.5" customHeight="1">
      <c r="A260" s="176">
        <v>45817.0</v>
      </c>
      <c r="B260" s="25" t="s">
        <v>1281</v>
      </c>
      <c r="C260" s="23" t="s">
        <v>1092</v>
      </c>
      <c r="D260" s="158" t="s">
        <v>1889</v>
      </c>
      <c r="E260" s="23" t="s">
        <v>1997</v>
      </c>
      <c r="F260" s="23" t="s">
        <v>1963</v>
      </c>
      <c r="G260" s="11" t="s">
        <v>1933</v>
      </c>
      <c r="H260" s="23" t="s">
        <v>2066</v>
      </c>
      <c r="I260" s="177"/>
      <c r="J260" s="171"/>
    </row>
    <row r="261" ht="22.5" customHeight="1">
      <c r="A261" s="176">
        <v>45817.0</v>
      </c>
      <c r="B261" s="25" t="s">
        <v>1282</v>
      </c>
      <c r="C261" s="23" t="s">
        <v>1097</v>
      </c>
      <c r="D261" s="158" t="s">
        <v>1889</v>
      </c>
      <c r="E261" s="23" t="s">
        <v>1997</v>
      </c>
      <c r="F261" s="23" t="s">
        <v>1936</v>
      </c>
      <c r="G261" s="11" t="s">
        <v>1933</v>
      </c>
      <c r="H261" s="23" t="s">
        <v>2063</v>
      </c>
      <c r="I261" s="177"/>
      <c r="J261" s="171"/>
    </row>
    <row r="262" ht="22.5" customHeight="1">
      <c r="A262" s="176">
        <v>45817.0</v>
      </c>
      <c r="B262" s="25" t="s">
        <v>1283</v>
      </c>
      <c r="C262" s="23" t="s">
        <v>1100</v>
      </c>
      <c r="D262" s="158" t="s">
        <v>1889</v>
      </c>
      <c r="E262" s="23" t="s">
        <v>1991</v>
      </c>
      <c r="F262" s="23" t="s">
        <v>1945</v>
      </c>
      <c r="G262" s="11" t="s">
        <v>1933</v>
      </c>
      <c r="H262" s="23" t="s">
        <v>2066</v>
      </c>
      <c r="I262" s="177"/>
      <c r="J262" s="171"/>
    </row>
    <row r="263" ht="22.5" customHeight="1">
      <c r="A263" s="176">
        <v>45817.0</v>
      </c>
      <c r="B263" s="25" t="s">
        <v>1284</v>
      </c>
      <c r="C263" s="23" t="s">
        <v>1098</v>
      </c>
      <c r="D263" s="158" t="s">
        <v>1889</v>
      </c>
      <c r="E263" s="23" t="s">
        <v>1991</v>
      </c>
      <c r="F263" s="23" t="s">
        <v>1945</v>
      </c>
      <c r="G263" s="11" t="s">
        <v>1933</v>
      </c>
      <c r="H263" s="23" t="s">
        <v>2066</v>
      </c>
      <c r="I263" s="177"/>
      <c r="J263" s="171"/>
    </row>
    <row r="264" ht="22.5" customHeight="1">
      <c r="A264" s="176">
        <v>45817.0</v>
      </c>
      <c r="B264" s="25" t="s">
        <v>1285</v>
      </c>
      <c r="C264" s="23" t="s">
        <v>1090</v>
      </c>
      <c r="D264" s="158" t="s">
        <v>1889</v>
      </c>
      <c r="E264" s="23" t="s">
        <v>1991</v>
      </c>
      <c r="F264" s="23" t="s">
        <v>1945</v>
      </c>
      <c r="G264" s="11" t="s">
        <v>1933</v>
      </c>
      <c r="H264" s="23" t="s">
        <v>2066</v>
      </c>
      <c r="I264" s="177"/>
      <c r="J264" s="171"/>
    </row>
    <row r="265" ht="22.5" customHeight="1">
      <c r="A265" s="176">
        <v>45817.0</v>
      </c>
      <c r="B265" s="25" t="s">
        <v>1286</v>
      </c>
      <c r="C265" s="23" t="s">
        <v>1258</v>
      </c>
      <c r="D265" s="158" t="s">
        <v>1889</v>
      </c>
      <c r="E265" s="23" t="s">
        <v>2077</v>
      </c>
      <c r="F265" s="23" t="s">
        <v>1947</v>
      </c>
      <c r="G265" s="11" t="s">
        <v>1933</v>
      </c>
      <c r="H265" s="23" t="s">
        <v>2062</v>
      </c>
      <c r="I265" s="177"/>
      <c r="J265" s="171"/>
    </row>
    <row r="266" ht="22.5" customHeight="1">
      <c r="A266" s="176">
        <v>45817.0</v>
      </c>
      <c r="B266" s="25" t="s">
        <v>1287</v>
      </c>
      <c r="C266" s="23" t="s">
        <v>1083</v>
      </c>
      <c r="D266" s="158" t="s">
        <v>1889</v>
      </c>
      <c r="E266" s="23" t="s">
        <v>2094</v>
      </c>
      <c r="F266" s="23" t="s">
        <v>1955</v>
      </c>
      <c r="G266" s="11" t="s">
        <v>1933</v>
      </c>
      <c r="H266" s="23" t="s">
        <v>2062</v>
      </c>
      <c r="I266" s="177"/>
      <c r="J266" s="171"/>
    </row>
    <row r="267" ht="22.5" customHeight="1">
      <c r="A267" s="176">
        <v>45817.0</v>
      </c>
      <c r="B267" s="25" t="s">
        <v>1288</v>
      </c>
      <c r="C267" s="23" t="s">
        <v>1289</v>
      </c>
      <c r="D267" s="158" t="s">
        <v>1889</v>
      </c>
      <c r="E267" s="23" t="s">
        <v>2094</v>
      </c>
      <c r="F267" s="23" t="s">
        <v>1957</v>
      </c>
      <c r="G267" s="11" t="s">
        <v>1933</v>
      </c>
      <c r="H267" s="23" t="s">
        <v>2066</v>
      </c>
      <c r="I267" s="177"/>
      <c r="J267" s="171"/>
    </row>
    <row r="268" ht="22.5" customHeight="1">
      <c r="A268" s="176">
        <v>45817.0</v>
      </c>
      <c r="B268" s="25" t="s">
        <v>231</v>
      </c>
      <c r="C268" s="23" t="s">
        <v>927</v>
      </c>
      <c r="D268" s="158" t="s">
        <v>1889</v>
      </c>
      <c r="E268" s="23" t="s">
        <v>2077</v>
      </c>
      <c r="F268" s="23" t="s">
        <v>1947</v>
      </c>
      <c r="G268" s="11" t="s">
        <v>1933</v>
      </c>
      <c r="H268" s="23" t="s">
        <v>2062</v>
      </c>
      <c r="I268" s="177"/>
      <c r="J268" s="171"/>
    </row>
    <row r="269" ht="22.5" customHeight="1">
      <c r="A269" s="176">
        <v>45817.0</v>
      </c>
      <c r="B269" s="25" t="s">
        <v>233</v>
      </c>
      <c r="C269" s="23" t="s">
        <v>2146</v>
      </c>
      <c r="D269" s="158" t="s">
        <v>1889</v>
      </c>
      <c r="E269" s="23" t="s">
        <v>2009</v>
      </c>
      <c r="F269" s="23" t="s">
        <v>1932</v>
      </c>
      <c r="G269" s="11" t="s">
        <v>1933</v>
      </c>
      <c r="H269" s="23" t="s">
        <v>2062</v>
      </c>
      <c r="I269" s="177"/>
      <c r="J269" s="171"/>
    </row>
    <row r="270" ht="22.5" customHeight="1">
      <c r="A270" s="176">
        <v>45817.0</v>
      </c>
      <c r="B270" s="25" t="s">
        <v>1291</v>
      </c>
      <c r="C270" s="23" t="s">
        <v>1292</v>
      </c>
      <c r="D270" s="158" t="s">
        <v>1889</v>
      </c>
      <c r="E270" s="23" t="s">
        <v>2009</v>
      </c>
      <c r="F270" s="23" t="s">
        <v>1957</v>
      </c>
      <c r="G270" s="11" t="s">
        <v>1933</v>
      </c>
      <c r="H270" s="23" t="s">
        <v>2013</v>
      </c>
      <c r="I270" s="177"/>
      <c r="J270" s="171"/>
    </row>
    <row r="271" ht="22.5" customHeight="1">
      <c r="A271" s="176">
        <v>45817.0</v>
      </c>
      <c r="B271" s="25" t="s">
        <v>1293</v>
      </c>
      <c r="C271" s="23" t="s">
        <v>1294</v>
      </c>
      <c r="D271" s="158" t="s">
        <v>1889</v>
      </c>
      <c r="E271" s="23" t="s">
        <v>2084</v>
      </c>
      <c r="F271" s="23" t="s">
        <v>1955</v>
      </c>
      <c r="G271" s="11" t="s">
        <v>1933</v>
      </c>
      <c r="H271" s="23" t="s">
        <v>2013</v>
      </c>
      <c r="I271" s="177"/>
      <c r="J271" s="171"/>
    </row>
    <row r="272" ht="22.5" customHeight="1">
      <c r="A272" s="176">
        <v>45817.0</v>
      </c>
      <c r="B272" s="25" t="s">
        <v>1295</v>
      </c>
      <c r="C272" s="23" t="s">
        <v>1297</v>
      </c>
      <c r="D272" s="158" t="s">
        <v>1889</v>
      </c>
      <c r="E272" s="23" t="s">
        <v>2094</v>
      </c>
      <c r="F272" s="23" t="s">
        <v>1957</v>
      </c>
      <c r="G272" s="11" t="s">
        <v>1933</v>
      </c>
      <c r="H272" s="23" t="s">
        <v>2066</v>
      </c>
      <c r="I272" s="177"/>
      <c r="J272" s="171"/>
    </row>
    <row r="273" ht="22.5" customHeight="1">
      <c r="A273" s="176">
        <v>45817.0</v>
      </c>
      <c r="B273" s="25" t="s">
        <v>1298</v>
      </c>
      <c r="C273" s="23" t="s">
        <v>1299</v>
      </c>
      <c r="D273" s="158" t="s">
        <v>1889</v>
      </c>
      <c r="E273" s="23" t="s">
        <v>1954</v>
      </c>
      <c r="F273" s="23" t="s">
        <v>1947</v>
      </c>
      <c r="G273" s="11" t="s">
        <v>1933</v>
      </c>
      <c r="H273" s="23" t="s">
        <v>2014</v>
      </c>
      <c r="I273" s="177"/>
      <c r="J273" s="171"/>
    </row>
    <row r="274" ht="22.5" customHeight="1">
      <c r="A274" s="176">
        <v>45817.0</v>
      </c>
      <c r="B274" s="25" t="s">
        <v>1300</v>
      </c>
      <c r="C274" s="23" t="s">
        <v>1258</v>
      </c>
      <c r="D274" s="158" t="s">
        <v>1889</v>
      </c>
      <c r="E274" s="23" t="s">
        <v>1962</v>
      </c>
      <c r="F274" s="23" t="s">
        <v>1932</v>
      </c>
      <c r="G274" s="11" t="s">
        <v>1933</v>
      </c>
      <c r="H274" s="23" t="s">
        <v>2013</v>
      </c>
      <c r="I274" s="177"/>
      <c r="J274" s="171"/>
    </row>
    <row r="275" ht="22.5" customHeight="1">
      <c r="A275" s="176">
        <v>45817.0</v>
      </c>
      <c r="B275" s="25" t="s">
        <v>1301</v>
      </c>
      <c r="C275" s="23" t="s">
        <v>1083</v>
      </c>
      <c r="D275" s="158" t="s">
        <v>1889</v>
      </c>
      <c r="E275" s="23" t="s">
        <v>1935</v>
      </c>
      <c r="F275" s="23" t="s">
        <v>2160</v>
      </c>
      <c r="G275" s="11" t="s">
        <v>1933</v>
      </c>
      <c r="H275" s="23" t="s">
        <v>2013</v>
      </c>
      <c r="I275" s="177"/>
      <c r="J275" s="171"/>
    </row>
    <row r="276" ht="22.5" customHeight="1">
      <c r="A276" s="176">
        <v>45817.0</v>
      </c>
      <c r="B276" s="25" t="s">
        <v>1302</v>
      </c>
      <c r="C276" s="23" t="s">
        <v>1303</v>
      </c>
      <c r="D276" s="158" t="s">
        <v>1889</v>
      </c>
      <c r="E276" s="23" t="s">
        <v>1962</v>
      </c>
      <c r="F276" s="23" t="s">
        <v>1932</v>
      </c>
      <c r="G276" s="11" t="s">
        <v>1933</v>
      </c>
      <c r="H276" s="23" t="s">
        <v>2013</v>
      </c>
      <c r="I276" s="177"/>
      <c r="J276" s="171"/>
    </row>
    <row r="277" ht="22.5" customHeight="1">
      <c r="A277" s="176">
        <v>45817.0</v>
      </c>
      <c r="B277" s="25" t="s">
        <v>1304</v>
      </c>
      <c r="C277" s="23" t="s">
        <v>1305</v>
      </c>
      <c r="D277" s="158" t="s">
        <v>1889</v>
      </c>
      <c r="E277" s="23" t="s">
        <v>1952</v>
      </c>
      <c r="F277" s="23" t="s">
        <v>2162</v>
      </c>
      <c r="G277" s="11" t="s">
        <v>1933</v>
      </c>
      <c r="H277" s="23" t="s">
        <v>2013</v>
      </c>
      <c r="I277" s="25" t="s">
        <v>2091</v>
      </c>
      <c r="J277" s="171"/>
    </row>
    <row r="278" ht="22.5" customHeight="1">
      <c r="A278" s="176">
        <v>45817.0</v>
      </c>
      <c r="B278" s="25" t="s">
        <v>1304</v>
      </c>
      <c r="C278" s="23" t="s">
        <v>1305</v>
      </c>
      <c r="D278" s="158" t="s">
        <v>1889</v>
      </c>
      <c r="E278" s="23" t="s">
        <v>1952</v>
      </c>
      <c r="F278" s="23" t="s">
        <v>2162</v>
      </c>
      <c r="G278" s="11" t="s">
        <v>1933</v>
      </c>
      <c r="H278" s="23" t="s">
        <v>2013</v>
      </c>
      <c r="I278" s="177"/>
      <c r="J278" s="171"/>
    </row>
    <row r="279" ht="22.5" customHeight="1">
      <c r="A279" s="176">
        <v>45817.0</v>
      </c>
      <c r="B279" s="25" t="s">
        <v>1308</v>
      </c>
      <c r="C279" s="23" t="s">
        <v>1309</v>
      </c>
      <c r="D279" s="158" t="s">
        <v>1889</v>
      </c>
      <c r="E279" s="23" t="s">
        <v>1938</v>
      </c>
      <c r="F279" s="23" t="s">
        <v>2160</v>
      </c>
      <c r="G279" s="11" t="s">
        <v>1933</v>
      </c>
      <c r="H279" s="23" t="s">
        <v>2143</v>
      </c>
      <c r="I279" s="177"/>
      <c r="J279" s="171"/>
    </row>
    <row r="280" ht="22.5" customHeight="1">
      <c r="A280" s="176">
        <v>45817.0</v>
      </c>
      <c r="B280" s="25" t="s">
        <v>239</v>
      </c>
      <c r="C280" s="23" t="s">
        <v>293</v>
      </c>
      <c r="D280" s="158" t="s">
        <v>1889</v>
      </c>
      <c r="E280" s="23" t="s">
        <v>1938</v>
      </c>
      <c r="F280" s="23" t="s">
        <v>2163</v>
      </c>
      <c r="G280" s="11" t="s">
        <v>1933</v>
      </c>
      <c r="H280" s="23" t="s">
        <v>1999</v>
      </c>
      <c r="I280" s="177"/>
      <c r="J280" s="171"/>
    </row>
    <row r="281" ht="22.5" customHeight="1">
      <c r="A281" s="176">
        <v>45817.0</v>
      </c>
      <c r="B281" s="25" t="s">
        <v>241</v>
      </c>
      <c r="C281" s="23" t="s">
        <v>2147</v>
      </c>
      <c r="D281" s="158" t="s">
        <v>1889</v>
      </c>
      <c r="E281" s="23" t="s">
        <v>1944</v>
      </c>
      <c r="F281" s="23" t="s">
        <v>2163</v>
      </c>
      <c r="G281" s="11" t="s">
        <v>1933</v>
      </c>
      <c r="H281" s="23" t="s">
        <v>2143</v>
      </c>
      <c r="I281" s="177"/>
      <c r="J281" s="171"/>
    </row>
    <row r="282" ht="22.5" customHeight="1">
      <c r="A282" s="176">
        <v>45817.0</v>
      </c>
      <c r="B282" s="25" t="s">
        <v>1310</v>
      </c>
      <c r="C282" s="23" t="s">
        <v>1258</v>
      </c>
      <c r="D282" s="158" t="s">
        <v>1889</v>
      </c>
      <c r="E282" s="23" t="s">
        <v>1949</v>
      </c>
      <c r="F282" s="23" t="s">
        <v>2164</v>
      </c>
      <c r="G282" s="11" t="s">
        <v>1933</v>
      </c>
      <c r="H282" s="23" t="s">
        <v>2143</v>
      </c>
      <c r="I282" s="177"/>
      <c r="J282" s="171"/>
    </row>
    <row r="283" ht="22.5" customHeight="1">
      <c r="A283" s="176">
        <v>45817.0</v>
      </c>
      <c r="B283" s="25" t="s">
        <v>1312</v>
      </c>
      <c r="C283" s="23" t="s">
        <v>1098</v>
      </c>
      <c r="D283" s="158" t="s">
        <v>1889</v>
      </c>
      <c r="E283" s="23" t="s">
        <v>1941</v>
      </c>
      <c r="F283" s="23" t="s">
        <v>2157</v>
      </c>
      <c r="G283" s="11" t="s">
        <v>1933</v>
      </c>
      <c r="H283" s="23" t="s">
        <v>2062</v>
      </c>
      <c r="I283" s="177"/>
      <c r="J283" s="171"/>
    </row>
    <row r="284" ht="22.5" customHeight="1">
      <c r="A284" s="176">
        <v>45817.0</v>
      </c>
      <c r="B284" s="25" t="s">
        <v>1313</v>
      </c>
      <c r="C284" s="23" t="s">
        <v>1314</v>
      </c>
      <c r="D284" s="158" t="s">
        <v>1889</v>
      </c>
      <c r="E284" s="23" t="s">
        <v>1935</v>
      </c>
      <c r="F284" s="23" t="s">
        <v>2164</v>
      </c>
      <c r="G284" s="11" t="s">
        <v>1933</v>
      </c>
      <c r="H284" s="23" t="s">
        <v>2066</v>
      </c>
      <c r="I284" s="177"/>
      <c r="J284" s="171"/>
    </row>
    <row r="285" ht="22.5" customHeight="1">
      <c r="A285" s="176">
        <v>45817.0</v>
      </c>
      <c r="B285" s="25" t="s">
        <v>246</v>
      </c>
      <c r="C285" s="23" t="s">
        <v>929</v>
      </c>
      <c r="D285" s="158" t="s">
        <v>1889</v>
      </c>
      <c r="E285" s="23" t="s">
        <v>1952</v>
      </c>
      <c r="F285" s="23" t="s">
        <v>2160</v>
      </c>
      <c r="G285" s="11" t="s">
        <v>1933</v>
      </c>
      <c r="H285" s="23" t="s">
        <v>2062</v>
      </c>
      <c r="I285" s="177"/>
      <c r="J285" s="171"/>
    </row>
    <row r="286" ht="22.5" customHeight="1">
      <c r="A286" s="114" t="s">
        <v>2165</v>
      </c>
      <c r="B286" s="25" t="s">
        <v>1134</v>
      </c>
      <c r="C286" s="23" t="s">
        <v>1071</v>
      </c>
      <c r="D286" s="76" t="s">
        <v>1870</v>
      </c>
      <c r="E286" s="23" t="s">
        <v>2166</v>
      </c>
      <c r="F286" s="23" t="s">
        <v>2167</v>
      </c>
      <c r="G286" s="23" t="s">
        <v>2168</v>
      </c>
      <c r="H286" s="23" t="s">
        <v>2169</v>
      </c>
      <c r="I286" s="177"/>
      <c r="J286" s="179">
        <v>4.0</v>
      </c>
    </row>
    <row r="287" ht="22.5" customHeight="1">
      <c r="A287" s="114" t="s">
        <v>2165</v>
      </c>
      <c r="B287" s="25" t="s">
        <v>1136</v>
      </c>
      <c r="C287" s="23" t="s">
        <v>1075</v>
      </c>
      <c r="D287" s="76" t="s">
        <v>1870</v>
      </c>
      <c r="E287" s="23" t="s">
        <v>2170</v>
      </c>
      <c r="F287" s="23" t="s">
        <v>2160</v>
      </c>
      <c r="G287" s="23" t="s">
        <v>1933</v>
      </c>
      <c r="H287" s="23" t="s">
        <v>2089</v>
      </c>
      <c r="I287" s="177"/>
      <c r="J287" s="179">
        <v>0.0</v>
      </c>
    </row>
    <row r="288" ht="22.5" customHeight="1">
      <c r="A288" s="114" t="s">
        <v>2165</v>
      </c>
      <c r="B288" s="25" t="s">
        <v>1137</v>
      </c>
      <c r="C288" s="23" t="s">
        <v>1069</v>
      </c>
      <c r="D288" s="76" t="s">
        <v>1870</v>
      </c>
      <c r="E288" s="23" t="s">
        <v>2170</v>
      </c>
      <c r="F288" s="23" t="s">
        <v>2160</v>
      </c>
      <c r="G288" s="23" t="s">
        <v>1933</v>
      </c>
      <c r="H288" s="23" t="s">
        <v>2089</v>
      </c>
      <c r="I288" s="177"/>
      <c r="J288" s="179">
        <v>2.0</v>
      </c>
    </row>
    <row r="289" ht="22.5" customHeight="1">
      <c r="A289" s="114" t="s">
        <v>2165</v>
      </c>
      <c r="B289" s="25" t="s">
        <v>1139</v>
      </c>
      <c r="C289" s="23" t="s">
        <v>1048</v>
      </c>
      <c r="D289" s="76" t="s">
        <v>1870</v>
      </c>
      <c r="E289" s="23" t="s">
        <v>2171</v>
      </c>
      <c r="F289" s="23" t="s">
        <v>2163</v>
      </c>
      <c r="G289" s="23" t="s">
        <v>1933</v>
      </c>
      <c r="H289" s="23" t="s">
        <v>2090</v>
      </c>
      <c r="I289" s="177"/>
      <c r="J289" s="179">
        <v>0.0</v>
      </c>
    </row>
    <row r="290" ht="22.5" customHeight="1">
      <c r="A290" s="114" t="s">
        <v>2165</v>
      </c>
      <c r="B290" s="25" t="s">
        <v>1140</v>
      </c>
      <c r="C290" s="23" t="s">
        <v>1141</v>
      </c>
      <c r="D290" s="76" t="s">
        <v>1870</v>
      </c>
      <c r="E290" s="23" t="s">
        <v>2171</v>
      </c>
      <c r="F290" s="23" t="s">
        <v>2163</v>
      </c>
      <c r="G290" s="23" t="s">
        <v>1933</v>
      </c>
      <c r="H290" s="23" t="s">
        <v>2090</v>
      </c>
      <c r="I290" s="177"/>
      <c r="J290" s="179">
        <v>1.0</v>
      </c>
    </row>
    <row r="291" ht="22.5" customHeight="1">
      <c r="A291" s="114" t="s">
        <v>2165</v>
      </c>
      <c r="B291" s="25" t="s">
        <v>1142</v>
      </c>
      <c r="C291" s="23" t="s">
        <v>1066</v>
      </c>
      <c r="D291" s="76" t="s">
        <v>1870</v>
      </c>
      <c r="E291" s="23" t="s">
        <v>2172</v>
      </c>
      <c r="F291" s="23" t="s">
        <v>2160</v>
      </c>
      <c r="G291" s="23" t="s">
        <v>1933</v>
      </c>
      <c r="H291" s="23" t="s">
        <v>2090</v>
      </c>
      <c r="I291" s="177"/>
      <c r="J291" s="179">
        <v>2.0</v>
      </c>
    </row>
    <row r="292" ht="22.5" customHeight="1">
      <c r="A292" s="114" t="s">
        <v>2165</v>
      </c>
      <c r="B292" s="25" t="s">
        <v>1143</v>
      </c>
      <c r="C292" s="23" t="s">
        <v>1077</v>
      </c>
      <c r="D292" s="76" t="s">
        <v>1870</v>
      </c>
      <c r="E292" s="23" t="s">
        <v>2172</v>
      </c>
      <c r="F292" s="23" t="s">
        <v>2160</v>
      </c>
      <c r="G292" s="23" t="s">
        <v>1933</v>
      </c>
      <c r="H292" s="23" t="s">
        <v>2090</v>
      </c>
      <c r="I292" s="177"/>
      <c r="J292" s="179">
        <v>0.0</v>
      </c>
    </row>
    <row r="293" ht="22.5" customHeight="1">
      <c r="A293" s="114" t="s">
        <v>2165</v>
      </c>
      <c r="B293" s="25" t="s">
        <v>1144</v>
      </c>
      <c r="C293" s="23" t="s">
        <v>1069</v>
      </c>
      <c r="D293" s="76" t="s">
        <v>1870</v>
      </c>
      <c r="E293" s="23" t="s">
        <v>2173</v>
      </c>
      <c r="F293" s="23" t="s">
        <v>2160</v>
      </c>
      <c r="G293" s="23" t="s">
        <v>1933</v>
      </c>
      <c r="H293" s="23" t="s">
        <v>1958</v>
      </c>
      <c r="I293" s="177"/>
      <c r="J293" s="179">
        <v>3.0</v>
      </c>
    </row>
    <row r="294" ht="22.5" customHeight="1">
      <c r="A294" s="114" t="s">
        <v>2165</v>
      </c>
      <c r="B294" s="25" t="s">
        <v>1145</v>
      </c>
      <c r="C294" s="23" t="s">
        <v>1146</v>
      </c>
      <c r="D294" s="76" t="s">
        <v>1870</v>
      </c>
      <c r="E294" s="23" t="s">
        <v>2170</v>
      </c>
      <c r="F294" s="23" t="s">
        <v>2160</v>
      </c>
      <c r="G294" s="23" t="s">
        <v>1933</v>
      </c>
      <c r="H294" s="23" t="s">
        <v>2089</v>
      </c>
      <c r="I294" s="177"/>
      <c r="J294" s="179">
        <v>0.0</v>
      </c>
    </row>
    <row r="295" ht="22.5" customHeight="1">
      <c r="A295" s="114" t="s">
        <v>2165</v>
      </c>
      <c r="B295" s="25" t="s">
        <v>1147</v>
      </c>
      <c r="C295" s="23" t="s">
        <v>1048</v>
      </c>
      <c r="D295" s="76" t="s">
        <v>1870</v>
      </c>
      <c r="E295" s="23" t="s">
        <v>2174</v>
      </c>
      <c r="F295" s="23" t="s">
        <v>2160</v>
      </c>
      <c r="G295" s="23" t="s">
        <v>1933</v>
      </c>
      <c r="H295" s="23" t="s">
        <v>1980</v>
      </c>
      <c r="I295" s="177"/>
      <c r="J295" s="179">
        <v>3.0</v>
      </c>
    </row>
    <row r="296" ht="22.5" customHeight="1">
      <c r="A296" s="114" t="s">
        <v>2165</v>
      </c>
      <c r="B296" s="25" t="s">
        <v>173</v>
      </c>
      <c r="C296" s="23" t="s">
        <v>2048</v>
      </c>
      <c r="D296" s="76" t="s">
        <v>1870</v>
      </c>
      <c r="E296" s="23" t="s">
        <v>2174</v>
      </c>
      <c r="F296" s="23" t="s">
        <v>2160</v>
      </c>
      <c r="G296" s="23" t="s">
        <v>1933</v>
      </c>
      <c r="H296" s="23" t="s">
        <v>1980</v>
      </c>
      <c r="I296" s="177"/>
      <c r="J296" s="179">
        <v>0.0</v>
      </c>
    </row>
    <row r="297" ht="22.5" customHeight="1">
      <c r="A297" s="114" t="s">
        <v>2165</v>
      </c>
      <c r="B297" s="25" t="s">
        <v>1149</v>
      </c>
      <c r="C297" s="23" t="s">
        <v>1048</v>
      </c>
      <c r="D297" s="76" t="s">
        <v>1870</v>
      </c>
      <c r="E297" s="23" t="s">
        <v>2173</v>
      </c>
      <c r="F297" s="23" t="s">
        <v>2160</v>
      </c>
      <c r="G297" s="23" t="s">
        <v>1933</v>
      </c>
      <c r="H297" s="23" t="s">
        <v>1958</v>
      </c>
      <c r="I297" s="177"/>
      <c r="J297" s="179">
        <v>1.0</v>
      </c>
    </row>
    <row r="298" ht="22.5" customHeight="1">
      <c r="A298" s="114" t="s">
        <v>2165</v>
      </c>
      <c r="B298" s="25" t="s">
        <v>179</v>
      </c>
      <c r="C298" s="23" t="s">
        <v>2052</v>
      </c>
      <c r="D298" s="76" t="s">
        <v>1870</v>
      </c>
      <c r="E298" s="23" t="s">
        <v>2173</v>
      </c>
      <c r="F298" s="23" t="s">
        <v>2160</v>
      </c>
      <c r="G298" s="23" t="s">
        <v>1933</v>
      </c>
      <c r="H298" s="23" t="s">
        <v>1958</v>
      </c>
      <c r="I298" s="177"/>
      <c r="J298" s="179">
        <v>0.0</v>
      </c>
    </row>
    <row r="299" ht="22.5" customHeight="1">
      <c r="A299" s="114" t="s">
        <v>2165</v>
      </c>
      <c r="B299" s="25" t="s">
        <v>1151</v>
      </c>
      <c r="C299" s="23" t="s">
        <v>1127</v>
      </c>
      <c r="D299" s="76" t="s">
        <v>1870</v>
      </c>
      <c r="E299" s="23" t="s">
        <v>2173</v>
      </c>
      <c r="F299" s="23" t="s">
        <v>2162</v>
      </c>
      <c r="G299" s="23" t="s">
        <v>1933</v>
      </c>
      <c r="H299" s="23" t="s">
        <v>1980</v>
      </c>
      <c r="I299" s="177"/>
      <c r="J299" s="179">
        <v>0.0</v>
      </c>
    </row>
    <row r="300" ht="22.5" customHeight="1">
      <c r="A300" s="114" t="s">
        <v>2165</v>
      </c>
      <c r="B300" s="25" t="s">
        <v>1152</v>
      </c>
      <c r="C300" s="23" t="s">
        <v>1048</v>
      </c>
      <c r="D300" s="76" t="s">
        <v>1870</v>
      </c>
      <c r="E300" s="23" t="s">
        <v>2175</v>
      </c>
      <c r="F300" s="23" t="s">
        <v>2162</v>
      </c>
      <c r="G300" s="23" t="s">
        <v>1933</v>
      </c>
      <c r="H300" s="23" t="s">
        <v>1958</v>
      </c>
      <c r="I300" s="177"/>
      <c r="J300" s="179">
        <v>0.0</v>
      </c>
    </row>
    <row r="301" ht="22.5" customHeight="1">
      <c r="A301" s="114" t="s">
        <v>2165</v>
      </c>
      <c r="B301" s="25" t="s">
        <v>1153</v>
      </c>
      <c r="C301" s="23" t="s">
        <v>1069</v>
      </c>
      <c r="D301" s="76" t="s">
        <v>1870</v>
      </c>
      <c r="E301" s="23" t="s">
        <v>2176</v>
      </c>
      <c r="F301" s="23" t="s">
        <v>2164</v>
      </c>
      <c r="G301" s="23" t="s">
        <v>2168</v>
      </c>
      <c r="H301" s="23" t="s">
        <v>2177</v>
      </c>
      <c r="I301" s="177"/>
      <c r="J301" s="179">
        <v>7.0</v>
      </c>
    </row>
    <row r="302" ht="22.5" customHeight="1">
      <c r="A302" s="114" t="s">
        <v>2165</v>
      </c>
      <c r="B302" s="25" t="s">
        <v>1154</v>
      </c>
      <c r="C302" s="23" t="s">
        <v>1048</v>
      </c>
      <c r="D302" s="76" t="s">
        <v>1870</v>
      </c>
      <c r="E302" s="23" t="s">
        <v>2178</v>
      </c>
      <c r="F302" s="23" t="s">
        <v>2163</v>
      </c>
      <c r="G302" s="23" t="s">
        <v>1933</v>
      </c>
      <c r="H302" s="23" t="s">
        <v>2085</v>
      </c>
      <c r="I302" s="177"/>
      <c r="J302" s="179">
        <v>0.0</v>
      </c>
    </row>
    <row r="303" ht="22.5" customHeight="1">
      <c r="A303" s="114" t="s">
        <v>2165</v>
      </c>
      <c r="B303" s="25" t="s">
        <v>1155</v>
      </c>
      <c r="C303" s="23" t="s">
        <v>1069</v>
      </c>
      <c r="D303" s="76" t="s">
        <v>1870</v>
      </c>
      <c r="E303" s="23" t="s">
        <v>2179</v>
      </c>
      <c r="F303" s="23" t="s">
        <v>2163</v>
      </c>
      <c r="G303" s="23" t="s">
        <v>1933</v>
      </c>
      <c r="H303" s="23" t="s">
        <v>2088</v>
      </c>
      <c r="I303" s="177"/>
      <c r="J303" s="179">
        <v>1.0</v>
      </c>
    </row>
    <row r="304" ht="22.5" customHeight="1">
      <c r="A304" s="114" t="s">
        <v>2165</v>
      </c>
      <c r="B304" s="25" t="s">
        <v>463</v>
      </c>
      <c r="C304" s="23" t="s">
        <v>887</v>
      </c>
      <c r="D304" s="76" t="s">
        <v>1870</v>
      </c>
      <c r="E304" s="23" t="s">
        <v>2180</v>
      </c>
      <c r="F304" s="23" t="s">
        <v>2164</v>
      </c>
      <c r="G304" s="23" t="s">
        <v>1933</v>
      </c>
      <c r="H304" s="23" t="s">
        <v>2181</v>
      </c>
      <c r="I304" s="177"/>
      <c r="J304" s="179">
        <v>0.0</v>
      </c>
    </row>
    <row r="305" ht="22.5" customHeight="1">
      <c r="A305" s="114" t="s">
        <v>2165</v>
      </c>
      <c r="B305" s="25" t="s">
        <v>471</v>
      </c>
      <c r="C305" s="23" t="s">
        <v>888</v>
      </c>
      <c r="D305" s="76" t="s">
        <v>1870</v>
      </c>
      <c r="E305" s="23" t="s">
        <v>2182</v>
      </c>
      <c r="F305" s="23" t="s">
        <v>2164</v>
      </c>
      <c r="G305" s="23" t="s">
        <v>1933</v>
      </c>
      <c r="H305" s="23" t="s">
        <v>2183</v>
      </c>
      <c r="I305" s="177"/>
      <c r="J305" s="179">
        <v>0.0</v>
      </c>
    </row>
    <row r="306" ht="22.5" customHeight="1">
      <c r="A306" s="114" t="s">
        <v>2165</v>
      </c>
      <c r="B306" s="25" t="s">
        <v>187</v>
      </c>
      <c r="C306" s="23" t="s">
        <v>892</v>
      </c>
      <c r="D306" s="76" t="s">
        <v>1870</v>
      </c>
      <c r="E306" s="23" t="s">
        <v>2182</v>
      </c>
      <c r="F306" s="23" t="s">
        <v>2164</v>
      </c>
      <c r="G306" s="23" t="s">
        <v>1933</v>
      </c>
      <c r="H306" s="23" t="s">
        <v>2183</v>
      </c>
      <c r="I306" s="177"/>
      <c r="J306" s="179">
        <v>0.0</v>
      </c>
    </row>
    <row r="307" ht="22.5" customHeight="1">
      <c r="A307" s="114" t="s">
        <v>2165</v>
      </c>
      <c r="B307" s="25" t="s">
        <v>249</v>
      </c>
      <c r="C307" s="23" t="s">
        <v>895</v>
      </c>
      <c r="D307" s="76" t="s">
        <v>1870</v>
      </c>
      <c r="E307" s="23" t="s">
        <v>2184</v>
      </c>
      <c r="F307" s="23" t="s">
        <v>2164</v>
      </c>
      <c r="G307" s="23" t="s">
        <v>1933</v>
      </c>
      <c r="H307" s="23" t="s">
        <v>2088</v>
      </c>
      <c r="I307" s="177"/>
      <c r="J307" s="179">
        <v>0.0</v>
      </c>
    </row>
    <row r="308" ht="22.5" customHeight="1">
      <c r="A308" s="114" t="s">
        <v>2165</v>
      </c>
      <c r="B308" s="25" t="s">
        <v>492</v>
      </c>
      <c r="C308" s="23" t="s">
        <v>896</v>
      </c>
      <c r="D308" s="76" t="s">
        <v>1870</v>
      </c>
      <c r="E308" s="23" t="s">
        <v>2184</v>
      </c>
      <c r="F308" s="23" t="s">
        <v>2163</v>
      </c>
      <c r="G308" s="23" t="s">
        <v>1933</v>
      </c>
      <c r="H308" s="23" t="s">
        <v>2183</v>
      </c>
      <c r="I308" s="177"/>
      <c r="J308" s="179">
        <v>0.0</v>
      </c>
    </row>
    <row r="309" ht="22.5" customHeight="1">
      <c r="A309" s="114" t="s">
        <v>2165</v>
      </c>
      <c r="B309" s="25" t="s">
        <v>498</v>
      </c>
      <c r="C309" s="23" t="s">
        <v>897</v>
      </c>
      <c r="D309" s="76" t="s">
        <v>1870</v>
      </c>
      <c r="E309" s="23" t="s">
        <v>2184</v>
      </c>
      <c r="F309" s="23" t="s">
        <v>2163</v>
      </c>
      <c r="G309" s="23" t="s">
        <v>1933</v>
      </c>
      <c r="H309" s="23" t="s">
        <v>2183</v>
      </c>
      <c r="I309" s="177"/>
      <c r="J309" s="179">
        <v>0.0</v>
      </c>
    </row>
    <row r="310" ht="22.5" customHeight="1">
      <c r="A310" s="114" t="s">
        <v>2165</v>
      </c>
      <c r="B310" s="25" t="s">
        <v>505</v>
      </c>
      <c r="C310" s="23" t="s">
        <v>899</v>
      </c>
      <c r="D310" s="76" t="s">
        <v>1870</v>
      </c>
      <c r="E310" s="23" t="s">
        <v>2184</v>
      </c>
      <c r="F310" s="23" t="s">
        <v>2163</v>
      </c>
      <c r="G310" s="23" t="s">
        <v>1933</v>
      </c>
      <c r="H310" s="23" t="s">
        <v>2183</v>
      </c>
      <c r="I310" s="177"/>
      <c r="J310" s="179">
        <v>0.0</v>
      </c>
    </row>
    <row r="311" ht="22.5" customHeight="1">
      <c r="A311" s="114" t="s">
        <v>2165</v>
      </c>
      <c r="B311" s="25" t="s">
        <v>195</v>
      </c>
      <c r="C311" s="23" t="s">
        <v>900</v>
      </c>
      <c r="D311" s="76" t="s">
        <v>1870</v>
      </c>
      <c r="E311" s="23" t="s">
        <v>2179</v>
      </c>
      <c r="F311" s="23" t="s">
        <v>2163</v>
      </c>
      <c r="G311" s="23" t="s">
        <v>1933</v>
      </c>
      <c r="H311" s="23" t="s">
        <v>2088</v>
      </c>
      <c r="I311" s="177"/>
      <c r="J311" s="179">
        <v>0.0</v>
      </c>
    </row>
    <row r="312" ht="22.5" customHeight="1">
      <c r="A312" s="114" t="s">
        <v>2165</v>
      </c>
      <c r="B312" s="25" t="s">
        <v>208</v>
      </c>
      <c r="C312" s="23" t="s">
        <v>901</v>
      </c>
      <c r="D312" s="76" t="s">
        <v>1870</v>
      </c>
      <c r="E312" s="23" t="s">
        <v>2178</v>
      </c>
      <c r="F312" s="23" t="s">
        <v>2163</v>
      </c>
      <c r="G312" s="23" t="s">
        <v>1933</v>
      </c>
      <c r="H312" s="23" t="s">
        <v>2085</v>
      </c>
      <c r="I312" s="177"/>
      <c r="J312" s="179">
        <v>0.0</v>
      </c>
    </row>
    <row r="313" ht="22.5" customHeight="1">
      <c r="A313" s="114" t="s">
        <v>2165</v>
      </c>
      <c r="B313" s="25" t="s">
        <v>533</v>
      </c>
      <c r="C313" s="23" t="s">
        <v>903</v>
      </c>
      <c r="D313" s="76" t="s">
        <v>1870</v>
      </c>
      <c r="E313" s="23" t="s">
        <v>2178</v>
      </c>
      <c r="F313" s="23" t="s">
        <v>2163</v>
      </c>
      <c r="G313" s="23" t="s">
        <v>1933</v>
      </c>
      <c r="H313" s="23" t="s">
        <v>2085</v>
      </c>
      <c r="I313" s="177"/>
      <c r="J313" s="179">
        <v>0.0</v>
      </c>
    </row>
    <row r="314" ht="22.5" customHeight="1">
      <c r="A314" s="114" t="s">
        <v>2165</v>
      </c>
      <c r="B314" s="25" t="s">
        <v>1163</v>
      </c>
      <c r="C314" s="23" t="s">
        <v>1055</v>
      </c>
      <c r="D314" s="76" t="s">
        <v>1870</v>
      </c>
      <c r="E314" s="23" t="s">
        <v>2176</v>
      </c>
      <c r="F314" s="23" t="s">
        <v>2164</v>
      </c>
      <c r="G314" s="23" t="s">
        <v>2168</v>
      </c>
      <c r="H314" s="23" t="s">
        <v>2177</v>
      </c>
      <c r="I314" s="177"/>
      <c r="J314" s="179">
        <v>0.0</v>
      </c>
    </row>
    <row r="315" ht="22.5" customHeight="1">
      <c r="A315" s="114" t="s">
        <v>2165</v>
      </c>
      <c r="B315" s="25" t="s">
        <v>1164</v>
      </c>
      <c r="C315" s="23" t="s">
        <v>1048</v>
      </c>
      <c r="D315" s="76" t="s">
        <v>1870</v>
      </c>
      <c r="E315" s="23" t="s">
        <v>2186</v>
      </c>
      <c r="F315" s="23" t="s">
        <v>2157</v>
      </c>
      <c r="G315" s="23" t="s">
        <v>2168</v>
      </c>
      <c r="H315" s="23" t="s">
        <v>2177</v>
      </c>
      <c r="I315" s="177"/>
      <c r="J315" s="179">
        <v>0.0</v>
      </c>
    </row>
    <row r="316" ht="22.5" customHeight="1">
      <c r="A316" s="114" t="s">
        <v>2165</v>
      </c>
      <c r="B316" s="25" t="s">
        <v>1165</v>
      </c>
      <c r="C316" s="23" t="s">
        <v>1069</v>
      </c>
      <c r="D316" s="76" t="s">
        <v>1870</v>
      </c>
      <c r="E316" s="23" t="s">
        <v>2186</v>
      </c>
      <c r="F316" s="23" t="s">
        <v>2157</v>
      </c>
      <c r="G316" s="23" t="s">
        <v>2168</v>
      </c>
      <c r="H316" s="23" t="s">
        <v>2177</v>
      </c>
      <c r="I316" s="177"/>
      <c r="J316" s="179">
        <v>1.0</v>
      </c>
    </row>
    <row r="317" ht="22.5" customHeight="1">
      <c r="A317" s="114" t="s">
        <v>2165</v>
      </c>
      <c r="B317" s="25" t="s">
        <v>1166</v>
      </c>
      <c r="C317" s="23" t="s">
        <v>1167</v>
      </c>
      <c r="D317" s="76" t="s">
        <v>1870</v>
      </c>
      <c r="E317" s="23" t="s">
        <v>2187</v>
      </c>
      <c r="F317" s="23" t="s">
        <v>2155</v>
      </c>
      <c r="G317" s="23" t="s">
        <v>2168</v>
      </c>
      <c r="H317" s="23" t="s">
        <v>2188</v>
      </c>
      <c r="I317" s="177"/>
      <c r="J317" s="179">
        <v>0.0</v>
      </c>
    </row>
    <row r="318" ht="22.5" customHeight="1">
      <c r="A318" s="114" t="s">
        <v>2165</v>
      </c>
      <c r="B318" s="25" t="s">
        <v>219</v>
      </c>
      <c r="C318" s="23" t="s">
        <v>904</v>
      </c>
      <c r="D318" s="76" t="s">
        <v>1870</v>
      </c>
      <c r="E318" s="23" t="s">
        <v>2189</v>
      </c>
      <c r="F318" s="23" t="s">
        <v>2157</v>
      </c>
      <c r="G318" s="23" t="s">
        <v>2168</v>
      </c>
      <c r="H318" s="23" t="s">
        <v>2188</v>
      </c>
      <c r="I318" s="177"/>
      <c r="J318" s="179">
        <v>0.0</v>
      </c>
    </row>
    <row r="319" ht="22.5" customHeight="1">
      <c r="A319" s="114" t="s">
        <v>2165</v>
      </c>
      <c r="B319" s="25" t="s">
        <v>228</v>
      </c>
      <c r="C319" s="23" t="s">
        <v>2079</v>
      </c>
      <c r="D319" s="76" t="s">
        <v>1870</v>
      </c>
      <c r="E319" s="23" t="s">
        <v>2189</v>
      </c>
      <c r="F319" s="23" t="s">
        <v>2157</v>
      </c>
      <c r="G319" s="23" t="s">
        <v>2168</v>
      </c>
      <c r="H319" s="23" t="s">
        <v>2188</v>
      </c>
      <c r="I319" s="177"/>
      <c r="J319" s="179">
        <v>0.0</v>
      </c>
    </row>
    <row r="320" ht="22.5" customHeight="1">
      <c r="A320" s="114" t="s">
        <v>2165</v>
      </c>
      <c r="B320" s="25" t="s">
        <v>236</v>
      </c>
      <c r="C320" s="23" t="s">
        <v>2081</v>
      </c>
      <c r="D320" s="76" t="s">
        <v>1870</v>
      </c>
      <c r="E320" s="23" t="s">
        <v>2189</v>
      </c>
      <c r="F320" s="23" t="s">
        <v>2157</v>
      </c>
      <c r="G320" s="23" t="s">
        <v>2168</v>
      </c>
      <c r="H320" s="23" t="s">
        <v>2188</v>
      </c>
      <c r="I320" s="177"/>
      <c r="J320" s="179">
        <v>0.0</v>
      </c>
    </row>
    <row r="321" ht="22.5" customHeight="1">
      <c r="A321" s="114" t="s">
        <v>2165</v>
      </c>
      <c r="B321" s="25" t="s">
        <v>1168</v>
      </c>
      <c r="C321" s="23" t="s">
        <v>1169</v>
      </c>
      <c r="D321" s="76" t="s">
        <v>1870</v>
      </c>
      <c r="E321" s="23" t="s">
        <v>2187</v>
      </c>
      <c r="F321" s="23" t="s">
        <v>2155</v>
      </c>
      <c r="G321" s="23" t="s">
        <v>2168</v>
      </c>
      <c r="H321" s="23" t="s">
        <v>2188</v>
      </c>
      <c r="I321" s="177"/>
      <c r="J321" s="179">
        <v>3.0</v>
      </c>
    </row>
    <row r="322" ht="22.5" customHeight="1">
      <c r="A322" s="114" t="s">
        <v>2165</v>
      </c>
      <c r="B322" s="25" t="s">
        <v>1170</v>
      </c>
      <c r="C322" s="23" t="s">
        <v>1048</v>
      </c>
      <c r="D322" s="76" t="s">
        <v>1870</v>
      </c>
      <c r="E322" s="23" t="s">
        <v>2190</v>
      </c>
      <c r="F322" s="23" t="s">
        <v>2155</v>
      </c>
      <c r="G322" s="23" t="s">
        <v>2168</v>
      </c>
      <c r="H322" s="23" t="s">
        <v>2191</v>
      </c>
      <c r="I322" s="177"/>
      <c r="J322" s="179">
        <v>0.0</v>
      </c>
    </row>
    <row r="323" ht="22.5" customHeight="1">
      <c r="A323" s="114" t="s">
        <v>2165</v>
      </c>
      <c r="B323" s="25" t="s">
        <v>1171</v>
      </c>
      <c r="C323" s="23" t="s">
        <v>879</v>
      </c>
      <c r="D323" s="76" t="s">
        <v>1870</v>
      </c>
      <c r="E323" s="23" t="s">
        <v>2190</v>
      </c>
      <c r="F323" s="23" t="s">
        <v>2155</v>
      </c>
      <c r="G323" s="23" t="s">
        <v>2168</v>
      </c>
      <c r="H323" s="23" t="s">
        <v>2191</v>
      </c>
      <c r="I323" s="177"/>
      <c r="J323" s="179">
        <v>0.0</v>
      </c>
    </row>
    <row r="324" ht="22.5" customHeight="1">
      <c r="A324" s="114" t="s">
        <v>2165</v>
      </c>
      <c r="B324" s="25" t="s">
        <v>1172</v>
      </c>
      <c r="C324" s="23" t="s">
        <v>940</v>
      </c>
      <c r="D324" s="76" t="s">
        <v>1870</v>
      </c>
      <c r="E324" s="23" t="s">
        <v>2190</v>
      </c>
      <c r="F324" s="23" t="s">
        <v>2155</v>
      </c>
      <c r="G324" s="23" t="s">
        <v>2168</v>
      </c>
      <c r="H324" s="23" t="s">
        <v>2191</v>
      </c>
      <c r="I324" s="177"/>
      <c r="J324" s="179">
        <v>0.0</v>
      </c>
    </row>
    <row r="325" ht="22.5" customHeight="1">
      <c r="A325" s="114" t="s">
        <v>2165</v>
      </c>
      <c r="B325" s="25" t="s">
        <v>243</v>
      </c>
      <c r="C325" s="23" t="s">
        <v>244</v>
      </c>
      <c r="D325" s="76" t="s">
        <v>1870</v>
      </c>
      <c r="E325" s="23" t="s">
        <v>2192</v>
      </c>
      <c r="F325" s="23" t="s">
        <v>2155</v>
      </c>
      <c r="G325" s="23" t="s">
        <v>2168</v>
      </c>
      <c r="H325" s="23" t="s">
        <v>2169</v>
      </c>
      <c r="I325" s="177"/>
      <c r="J325" s="179">
        <v>0.0</v>
      </c>
    </row>
    <row r="326" ht="22.5" customHeight="1">
      <c r="A326" s="114" t="s">
        <v>2165</v>
      </c>
      <c r="B326" s="25" t="s">
        <v>1173</v>
      </c>
      <c r="C326" s="23" t="s">
        <v>1125</v>
      </c>
      <c r="D326" s="76" t="s">
        <v>1870</v>
      </c>
      <c r="E326" s="23" t="s">
        <v>2193</v>
      </c>
      <c r="F326" s="23" t="s">
        <v>2155</v>
      </c>
      <c r="G326" s="23" t="s">
        <v>2168</v>
      </c>
      <c r="H326" s="23" t="s">
        <v>2194</v>
      </c>
      <c r="I326" s="177"/>
      <c r="J326" s="179">
        <v>3.0</v>
      </c>
    </row>
    <row r="327" ht="22.5" customHeight="1">
      <c r="A327" s="114" t="s">
        <v>2165</v>
      </c>
      <c r="B327" s="25" t="s">
        <v>1175</v>
      </c>
      <c r="C327" s="23" t="s">
        <v>1061</v>
      </c>
      <c r="D327" s="76" t="s">
        <v>1870</v>
      </c>
      <c r="E327" s="23" t="s">
        <v>2193</v>
      </c>
      <c r="F327" s="23" t="s">
        <v>2155</v>
      </c>
      <c r="G327" s="23" t="s">
        <v>2168</v>
      </c>
      <c r="H327" s="23" t="s">
        <v>2194</v>
      </c>
      <c r="I327" s="177"/>
      <c r="J327" s="179">
        <v>2.0</v>
      </c>
    </row>
    <row r="328" ht="22.5" customHeight="1">
      <c r="A328" s="114" t="s">
        <v>2165</v>
      </c>
      <c r="B328" s="25" t="s">
        <v>1176</v>
      </c>
      <c r="C328" s="23" t="s">
        <v>1048</v>
      </c>
      <c r="D328" s="76" t="s">
        <v>1870</v>
      </c>
      <c r="E328" s="23" t="s">
        <v>1949</v>
      </c>
      <c r="F328" s="23" t="s">
        <v>1955</v>
      </c>
      <c r="G328" s="23" t="s">
        <v>1933</v>
      </c>
      <c r="H328" s="23" t="s">
        <v>1942</v>
      </c>
      <c r="I328" s="177"/>
      <c r="J328" s="179">
        <v>5.0</v>
      </c>
    </row>
    <row r="329" ht="22.5" customHeight="1">
      <c r="A329" s="114" t="s">
        <v>2165</v>
      </c>
      <c r="B329" s="25" t="s">
        <v>1177</v>
      </c>
      <c r="C329" s="23" t="s">
        <v>1069</v>
      </c>
      <c r="D329" s="76" t="s">
        <v>1870</v>
      </c>
      <c r="E329" s="23" t="s">
        <v>1949</v>
      </c>
      <c r="F329" s="23" t="s">
        <v>1955</v>
      </c>
      <c r="G329" s="23" t="s">
        <v>1933</v>
      </c>
      <c r="H329" s="23" t="s">
        <v>1942</v>
      </c>
      <c r="I329" s="177"/>
      <c r="J329" s="179">
        <v>0.0</v>
      </c>
    </row>
    <row r="330" ht="22.5" customHeight="1">
      <c r="A330" s="114" t="s">
        <v>2165</v>
      </c>
      <c r="B330" s="25" t="s">
        <v>1178</v>
      </c>
      <c r="C330" s="23" t="s">
        <v>1179</v>
      </c>
      <c r="D330" s="76" t="s">
        <v>1870</v>
      </c>
      <c r="E330" s="23" t="s">
        <v>1956</v>
      </c>
      <c r="F330" s="23" t="s">
        <v>2162</v>
      </c>
      <c r="G330" s="23" t="s">
        <v>1933</v>
      </c>
      <c r="H330" s="23" t="s">
        <v>1934</v>
      </c>
      <c r="I330" s="177"/>
      <c r="J330" s="179">
        <v>17.0</v>
      </c>
    </row>
    <row r="331" ht="22.5" customHeight="1">
      <c r="A331" s="114" t="s">
        <v>2165</v>
      </c>
      <c r="B331" s="25" t="s">
        <v>251</v>
      </c>
      <c r="C331" s="23" t="s">
        <v>244</v>
      </c>
      <c r="D331" s="76" t="s">
        <v>1870</v>
      </c>
      <c r="E331" s="23" t="s">
        <v>2196</v>
      </c>
      <c r="F331" s="23" t="s">
        <v>2162</v>
      </c>
      <c r="G331" s="23" t="s">
        <v>1933</v>
      </c>
      <c r="H331" s="23" t="s">
        <v>1948</v>
      </c>
      <c r="I331" s="177"/>
      <c r="J331" s="179">
        <v>0.0</v>
      </c>
    </row>
    <row r="332" ht="22.5" customHeight="1">
      <c r="A332" s="114" t="s">
        <v>2165</v>
      </c>
      <c r="B332" s="25" t="s">
        <v>565</v>
      </c>
      <c r="C332" s="23" t="s">
        <v>910</v>
      </c>
      <c r="D332" s="76" t="s">
        <v>1870</v>
      </c>
      <c r="E332" s="23" t="s">
        <v>2196</v>
      </c>
      <c r="F332" s="23" t="s">
        <v>2162</v>
      </c>
      <c r="G332" s="23" t="s">
        <v>1933</v>
      </c>
      <c r="H332" s="23" t="s">
        <v>1948</v>
      </c>
      <c r="I332" s="177"/>
      <c r="J332" s="179">
        <v>0.0</v>
      </c>
    </row>
    <row r="333" ht="22.5" customHeight="1">
      <c r="A333" s="114" t="s">
        <v>2165</v>
      </c>
      <c r="B333" s="25" t="s">
        <v>1180</v>
      </c>
      <c r="C333" s="23" t="s">
        <v>1048</v>
      </c>
      <c r="D333" s="76" t="s">
        <v>1870</v>
      </c>
      <c r="E333" s="23" t="s">
        <v>2196</v>
      </c>
      <c r="F333" s="23" t="s">
        <v>2162</v>
      </c>
      <c r="G333" s="23" t="s">
        <v>1933</v>
      </c>
      <c r="H333" s="23" t="s">
        <v>1948</v>
      </c>
      <c r="I333" s="177"/>
      <c r="J333" s="179">
        <v>1.0</v>
      </c>
    </row>
    <row r="334" ht="22.5" customHeight="1">
      <c r="A334" s="114" t="s">
        <v>2165</v>
      </c>
      <c r="B334" s="25" t="s">
        <v>1181</v>
      </c>
      <c r="C334" s="23" t="s">
        <v>1061</v>
      </c>
      <c r="D334" s="76" t="s">
        <v>1870</v>
      </c>
      <c r="E334" s="23" t="s">
        <v>1956</v>
      </c>
      <c r="F334" s="23" t="s">
        <v>2162</v>
      </c>
      <c r="G334" s="23" t="s">
        <v>1933</v>
      </c>
      <c r="H334" s="23" t="s">
        <v>1934</v>
      </c>
      <c r="I334" s="177"/>
      <c r="J334" s="179">
        <v>5.0</v>
      </c>
    </row>
    <row r="335" ht="22.5" customHeight="1">
      <c r="A335" s="114" t="s">
        <v>2165</v>
      </c>
      <c r="B335" s="25" t="s">
        <v>1182</v>
      </c>
      <c r="C335" s="23" t="s">
        <v>1183</v>
      </c>
      <c r="D335" s="76" t="s">
        <v>1870</v>
      </c>
      <c r="E335" s="23" t="s">
        <v>2196</v>
      </c>
      <c r="F335" s="23" t="s">
        <v>2162</v>
      </c>
      <c r="G335" s="23" t="s">
        <v>1933</v>
      </c>
      <c r="H335" s="23" t="s">
        <v>1948</v>
      </c>
      <c r="I335" s="25" t="s">
        <v>2091</v>
      </c>
      <c r="J335" s="179">
        <v>0.0</v>
      </c>
    </row>
    <row r="336" ht="22.5" customHeight="1">
      <c r="A336" s="114" t="s">
        <v>2165</v>
      </c>
      <c r="B336" s="25" t="s">
        <v>1182</v>
      </c>
      <c r="C336" s="23" t="s">
        <v>1183</v>
      </c>
      <c r="D336" s="76" t="s">
        <v>1870</v>
      </c>
      <c r="E336" s="23" t="s">
        <v>2196</v>
      </c>
      <c r="F336" s="23" t="s">
        <v>2162</v>
      </c>
      <c r="G336" s="23" t="s">
        <v>1933</v>
      </c>
      <c r="H336" s="23" t="s">
        <v>1948</v>
      </c>
      <c r="I336" s="177"/>
      <c r="J336" s="179">
        <v>0.0</v>
      </c>
    </row>
    <row r="337" ht="22.5" customHeight="1">
      <c r="A337" s="114" t="s">
        <v>2165</v>
      </c>
      <c r="B337" s="25" t="s">
        <v>1186</v>
      </c>
      <c r="C337" s="23" t="s">
        <v>1187</v>
      </c>
      <c r="D337" s="76" t="s">
        <v>1870</v>
      </c>
      <c r="E337" s="23" t="s">
        <v>1954</v>
      </c>
      <c r="F337" s="23" t="s">
        <v>2162</v>
      </c>
      <c r="G337" s="23" t="s">
        <v>1933</v>
      </c>
      <c r="H337" s="23" t="s">
        <v>1940</v>
      </c>
      <c r="I337" s="25" t="s">
        <v>2091</v>
      </c>
      <c r="J337" s="180">
        <v>0.0</v>
      </c>
    </row>
    <row r="338" ht="22.5" customHeight="1">
      <c r="A338" s="114" t="s">
        <v>2165</v>
      </c>
      <c r="B338" s="25" t="s">
        <v>1186</v>
      </c>
      <c r="C338" s="23" t="s">
        <v>1187</v>
      </c>
      <c r="D338" s="76" t="s">
        <v>1870</v>
      </c>
      <c r="E338" s="23" t="s">
        <v>1954</v>
      </c>
      <c r="F338" s="23" t="s">
        <v>2162</v>
      </c>
      <c r="G338" s="23" t="s">
        <v>1933</v>
      </c>
      <c r="H338" s="23" t="s">
        <v>1940</v>
      </c>
      <c r="I338" s="177"/>
      <c r="J338" s="180">
        <v>1.0</v>
      </c>
    </row>
    <row r="339" ht="22.5" customHeight="1">
      <c r="A339" s="114" t="s">
        <v>2165</v>
      </c>
      <c r="B339" s="25" t="s">
        <v>1191</v>
      </c>
      <c r="C339" s="23" t="s">
        <v>1192</v>
      </c>
      <c r="D339" s="76" t="s">
        <v>1870</v>
      </c>
      <c r="E339" s="23" t="s">
        <v>1954</v>
      </c>
      <c r="F339" s="23" t="s">
        <v>1932</v>
      </c>
      <c r="G339" s="23" t="s">
        <v>1933</v>
      </c>
      <c r="H339" s="23" t="s">
        <v>1948</v>
      </c>
      <c r="I339" s="177"/>
      <c r="J339" s="179">
        <v>0.0</v>
      </c>
    </row>
    <row r="340" ht="22.5" customHeight="1">
      <c r="A340" s="114" t="s">
        <v>2165</v>
      </c>
      <c r="B340" s="25" t="s">
        <v>1193</v>
      </c>
      <c r="C340" s="23" t="s">
        <v>1132</v>
      </c>
      <c r="D340" s="76" t="s">
        <v>1870</v>
      </c>
      <c r="E340" s="23" t="s">
        <v>1960</v>
      </c>
      <c r="F340" s="23" t="s">
        <v>1932</v>
      </c>
      <c r="G340" s="23" t="s">
        <v>1933</v>
      </c>
      <c r="H340" s="23" t="s">
        <v>1940</v>
      </c>
      <c r="I340" s="177"/>
      <c r="J340" s="179">
        <v>0.0</v>
      </c>
    </row>
    <row r="341" ht="22.5" customHeight="1">
      <c r="A341" s="114" t="s">
        <v>2165</v>
      </c>
      <c r="B341" s="25" t="s">
        <v>1195</v>
      </c>
      <c r="C341" s="23" t="s">
        <v>1196</v>
      </c>
      <c r="D341" s="76" t="s">
        <v>1870</v>
      </c>
      <c r="E341" s="23" t="s">
        <v>1960</v>
      </c>
      <c r="F341" s="23" t="s">
        <v>1932</v>
      </c>
      <c r="G341" s="23" t="s">
        <v>1933</v>
      </c>
      <c r="H341" s="23" t="s">
        <v>1940</v>
      </c>
      <c r="I341" s="177"/>
      <c r="J341" s="179">
        <v>0.0</v>
      </c>
    </row>
    <row r="342" ht="22.5" customHeight="1">
      <c r="A342" s="114" t="s">
        <v>2165</v>
      </c>
      <c r="B342" s="25" t="s">
        <v>1197</v>
      </c>
      <c r="C342" s="23" t="s">
        <v>1198</v>
      </c>
      <c r="D342" s="76" t="s">
        <v>1870</v>
      </c>
      <c r="E342" s="23" t="s">
        <v>1960</v>
      </c>
      <c r="F342" s="23" t="s">
        <v>1932</v>
      </c>
      <c r="G342" s="23" t="s">
        <v>1933</v>
      </c>
      <c r="H342" s="23" t="s">
        <v>1940</v>
      </c>
      <c r="I342" s="25" t="s">
        <v>2091</v>
      </c>
      <c r="J342" s="179">
        <v>0.0</v>
      </c>
    </row>
    <row r="343" ht="22.5" customHeight="1">
      <c r="A343" s="114" t="s">
        <v>2165</v>
      </c>
      <c r="B343" s="25" t="s">
        <v>1197</v>
      </c>
      <c r="C343" s="23" t="s">
        <v>1198</v>
      </c>
      <c r="D343" s="76" t="s">
        <v>1870</v>
      </c>
      <c r="E343" s="23" t="s">
        <v>1960</v>
      </c>
      <c r="F343" s="23" t="s">
        <v>1932</v>
      </c>
      <c r="G343" s="23" t="s">
        <v>1933</v>
      </c>
      <c r="H343" s="23" t="s">
        <v>1940</v>
      </c>
      <c r="I343" s="177"/>
      <c r="J343" s="179">
        <v>0.0</v>
      </c>
    </row>
    <row r="344" ht="22.5" customHeight="1">
      <c r="A344" s="114" t="s">
        <v>2165</v>
      </c>
      <c r="B344" s="25" t="s">
        <v>1201</v>
      </c>
      <c r="C344" s="23" t="s">
        <v>1202</v>
      </c>
      <c r="D344" s="76" t="s">
        <v>1870</v>
      </c>
      <c r="E344" s="23" t="s">
        <v>1950</v>
      </c>
      <c r="F344" s="23" t="s">
        <v>1932</v>
      </c>
      <c r="G344" s="23" t="s">
        <v>1933</v>
      </c>
      <c r="H344" s="23" t="s">
        <v>1942</v>
      </c>
      <c r="I344" s="25" t="s">
        <v>2091</v>
      </c>
      <c r="J344" s="179">
        <v>0.0</v>
      </c>
    </row>
    <row r="345" ht="22.5" customHeight="1">
      <c r="A345" s="114" t="s">
        <v>2165</v>
      </c>
      <c r="B345" s="25" t="s">
        <v>1201</v>
      </c>
      <c r="C345" s="23" t="s">
        <v>1202</v>
      </c>
      <c r="D345" s="76" t="s">
        <v>1870</v>
      </c>
      <c r="E345" s="23" t="s">
        <v>1950</v>
      </c>
      <c r="F345" s="23" t="s">
        <v>1957</v>
      </c>
      <c r="G345" s="23" t="s">
        <v>1933</v>
      </c>
      <c r="H345" s="23" t="s">
        <v>1940</v>
      </c>
      <c r="I345" s="177"/>
      <c r="J345" s="179">
        <v>0.0</v>
      </c>
    </row>
    <row r="346" ht="22.5" customHeight="1">
      <c r="A346" s="114" t="s">
        <v>2165</v>
      </c>
      <c r="B346" s="25" t="s">
        <v>1205</v>
      </c>
      <c r="C346" s="23" t="s">
        <v>1206</v>
      </c>
      <c r="D346" s="76" t="s">
        <v>1870</v>
      </c>
      <c r="E346" s="23" t="s">
        <v>1950</v>
      </c>
      <c r="F346" s="23" t="s">
        <v>1957</v>
      </c>
      <c r="G346" s="23" t="s">
        <v>1933</v>
      </c>
      <c r="H346" s="23" t="s">
        <v>1940</v>
      </c>
      <c r="I346" s="25" t="s">
        <v>2091</v>
      </c>
      <c r="J346" s="179">
        <v>0.0</v>
      </c>
    </row>
    <row r="347" ht="22.5" customHeight="1">
      <c r="A347" s="114" t="s">
        <v>2165</v>
      </c>
      <c r="B347" s="25" t="s">
        <v>1205</v>
      </c>
      <c r="C347" s="23" t="s">
        <v>1206</v>
      </c>
      <c r="D347" s="76" t="s">
        <v>1870</v>
      </c>
      <c r="E347" s="23" t="s">
        <v>1950</v>
      </c>
      <c r="F347" s="23" t="s">
        <v>1957</v>
      </c>
      <c r="G347" s="23" t="s">
        <v>1933</v>
      </c>
      <c r="H347" s="23" t="s">
        <v>1940</v>
      </c>
      <c r="I347" s="177"/>
      <c r="J347" s="179">
        <v>0.0</v>
      </c>
    </row>
    <row r="348" ht="22.5" customHeight="1">
      <c r="A348" s="114" t="s">
        <v>2165</v>
      </c>
      <c r="B348" s="25" t="s">
        <v>1209</v>
      </c>
      <c r="C348" s="23" t="s">
        <v>1210</v>
      </c>
      <c r="D348" s="76" t="s">
        <v>1870</v>
      </c>
      <c r="E348" s="23" t="s">
        <v>1946</v>
      </c>
      <c r="F348" s="23" t="s">
        <v>1957</v>
      </c>
      <c r="G348" s="23" t="s">
        <v>1933</v>
      </c>
      <c r="H348" s="23" t="s">
        <v>1942</v>
      </c>
      <c r="I348" s="25" t="s">
        <v>2091</v>
      </c>
      <c r="J348" s="179">
        <v>0.0</v>
      </c>
    </row>
    <row r="349" ht="22.5" customHeight="1">
      <c r="A349" s="114" t="s">
        <v>2165</v>
      </c>
      <c r="B349" s="25" t="s">
        <v>1209</v>
      </c>
      <c r="C349" s="23" t="s">
        <v>1210</v>
      </c>
      <c r="D349" s="76" t="s">
        <v>1870</v>
      </c>
      <c r="E349" s="23" t="s">
        <v>1946</v>
      </c>
      <c r="F349" s="23" t="s">
        <v>1957</v>
      </c>
      <c r="G349" s="23" t="s">
        <v>1933</v>
      </c>
      <c r="H349" s="23" t="s">
        <v>1942</v>
      </c>
      <c r="I349" s="177"/>
      <c r="J349" s="179">
        <v>0.0</v>
      </c>
    </row>
    <row r="350" ht="22.5" customHeight="1">
      <c r="A350" s="114" t="s">
        <v>2165</v>
      </c>
      <c r="B350" s="25" t="s">
        <v>1213</v>
      </c>
      <c r="C350" s="23" t="s">
        <v>1214</v>
      </c>
      <c r="D350" s="76" t="s">
        <v>1870</v>
      </c>
      <c r="E350" s="23" t="s">
        <v>1949</v>
      </c>
      <c r="F350" s="23" t="s">
        <v>1955</v>
      </c>
      <c r="G350" s="23" t="s">
        <v>1933</v>
      </c>
      <c r="H350" s="23" t="s">
        <v>1942</v>
      </c>
      <c r="I350" s="177"/>
      <c r="J350" s="179">
        <v>0.0</v>
      </c>
    </row>
    <row r="351" ht="22.5" customHeight="1">
      <c r="A351" s="114" t="s">
        <v>2165</v>
      </c>
      <c r="B351" s="25" t="s">
        <v>1215</v>
      </c>
      <c r="C351" s="23" t="s">
        <v>1078</v>
      </c>
      <c r="D351" s="76" t="s">
        <v>1870</v>
      </c>
      <c r="E351" s="23" t="s">
        <v>1944</v>
      </c>
      <c r="F351" s="23" t="s">
        <v>1955</v>
      </c>
      <c r="G351" s="23" t="s">
        <v>1933</v>
      </c>
      <c r="H351" s="23" t="s">
        <v>1937</v>
      </c>
      <c r="I351" s="177"/>
      <c r="J351" s="179">
        <v>2.0</v>
      </c>
    </row>
    <row r="352" ht="22.5" customHeight="1">
      <c r="A352" s="114" t="s">
        <v>2165</v>
      </c>
      <c r="B352" s="25" t="s">
        <v>1216</v>
      </c>
      <c r="C352" s="23" t="s">
        <v>1048</v>
      </c>
      <c r="D352" s="76" t="s">
        <v>1870</v>
      </c>
      <c r="E352" s="23" t="s">
        <v>1962</v>
      </c>
      <c r="F352" s="23" t="s">
        <v>1945</v>
      </c>
      <c r="G352" s="23" t="s">
        <v>1933</v>
      </c>
      <c r="H352" s="23" t="s">
        <v>1996</v>
      </c>
      <c r="I352" s="177"/>
      <c r="J352" s="179">
        <v>0.0</v>
      </c>
    </row>
    <row r="353" ht="22.5" customHeight="1">
      <c r="A353" s="114" t="s">
        <v>2165</v>
      </c>
      <c r="B353" s="25" t="s">
        <v>1216</v>
      </c>
      <c r="C353" s="23" t="s">
        <v>1069</v>
      </c>
      <c r="D353" s="76" t="s">
        <v>1870</v>
      </c>
      <c r="E353" s="23" t="s">
        <v>1962</v>
      </c>
      <c r="F353" s="23" t="s">
        <v>1945</v>
      </c>
      <c r="G353" s="23" t="s">
        <v>1933</v>
      </c>
      <c r="H353" s="23" t="s">
        <v>1996</v>
      </c>
      <c r="I353" s="25" t="s">
        <v>2096</v>
      </c>
      <c r="J353" s="179">
        <v>0.0</v>
      </c>
    </row>
    <row r="354" ht="22.5" customHeight="1">
      <c r="A354" s="114" t="s">
        <v>2165</v>
      </c>
      <c r="B354" s="25" t="s">
        <v>1218</v>
      </c>
      <c r="C354" s="23" t="s">
        <v>1219</v>
      </c>
      <c r="D354" s="76" t="s">
        <v>1870</v>
      </c>
      <c r="E354" s="23" t="s">
        <v>1944</v>
      </c>
      <c r="F354" s="23" t="s">
        <v>1955</v>
      </c>
      <c r="G354" s="23" t="s">
        <v>1933</v>
      </c>
      <c r="H354" s="23" t="s">
        <v>1937</v>
      </c>
      <c r="I354" s="177"/>
      <c r="J354" s="179">
        <v>0.0</v>
      </c>
    </row>
    <row r="355" ht="22.5" customHeight="1">
      <c r="A355" s="114" t="s">
        <v>2165</v>
      </c>
      <c r="B355" s="25" t="s">
        <v>1220</v>
      </c>
      <c r="C355" s="23" t="s">
        <v>1221</v>
      </c>
      <c r="D355" s="76" t="s">
        <v>1870</v>
      </c>
      <c r="E355" s="23" t="s">
        <v>1952</v>
      </c>
      <c r="F355" s="23" t="s">
        <v>1947</v>
      </c>
      <c r="G355" s="23" t="s">
        <v>1933</v>
      </c>
      <c r="H355" s="23" t="s">
        <v>1996</v>
      </c>
      <c r="I355" s="177"/>
      <c r="J355" s="179">
        <v>1.0</v>
      </c>
    </row>
    <row r="356" ht="22.5" customHeight="1">
      <c r="A356" s="114" t="s">
        <v>2165</v>
      </c>
      <c r="B356" s="25" t="s">
        <v>573</v>
      </c>
      <c r="C356" s="23" t="s">
        <v>911</v>
      </c>
      <c r="D356" s="76" t="s">
        <v>1870</v>
      </c>
      <c r="E356" s="23" t="s">
        <v>1952</v>
      </c>
      <c r="F356" s="23" t="s">
        <v>1947</v>
      </c>
      <c r="G356" s="23" t="s">
        <v>1933</v>
      </c>
      <c r="H356" s="23" t="s">
        <v>1996</v>
      </c>
      <c r="I356" s="177"/>
      <c r="J356" s="179">
        <v>0.0</v>
      </c>
    </row>
    <row r="357" ht="22.5" customHeight="1">
      <c r="A357" s="114" t="s">
        <v>2165</v>
      </c>
      <c r="B357" s="25" t="s">
        <v>1223</v>
      </c>
      <c r="C357" s="23" t="s">
        <v>1069</v>
      </c>
      <c r="D357" s="76" t="s">
        <v>1870</v>
      </c>
      <c r="E357" s="23" t="s">
        <v>1952</v>
      </c>
      <c r="F357" s="23" t="s">
        <v>1945</v>
      </c>
      <c r="G357" s="23" t="s">
        <v>1933</v>
      </c>
      <c r="H357" s="23" t="s">
        <v>1994</v>
      </c>
      <c r="I357" s="177"/>
      <c r="J357" s="179">
        <v>3.0</v>
      </c>
    </row>
    <row r="358" ht="22.5" customHeight="1">
      <c r="A358" s="114" t="s">
        <v>2165</v>
      </c>
      <c r="B358" s="25" t="s">
        <v>1224</v>
      </c>
      <c r="C358" s="23" t="s">
        <v>1225</v>
      </c>
      <c r="D358" s="76" t="s">
        <v>1870</v>
      </c>
      <c r="E358" s="23" t="s">
        <v>1938</v>
      </c>
      <c r="F358" s="23" t="s">
        <v>1955</v>
      </c>
      <c r="G358" s="23" t="s">
        <v>1933</v>
      </c>
      <c r="H358" s="23" t="s">
        <v>1959</v>
      </c>
      <c r="I358" s="177"/>
      <c r="J358" s="179">
        <v>0.0</v>
      </c>
    </row>
    <row r="359" ht="22.5" customHeight="1">
      <c r="A359" s="114" t="s">
        <v>2165</v>
      </c>
      <c r="B359" s="25" t="s">
        <v>257</v>
      </c>
      <c r="C359" s="23" t="s">
        <v>2103</v>
      </c>
      <c r="D359" s="76" t="s">
        <v>1870</v>
      </c>
      <c r="E359" s="23" t="s">
        <v>1941</v>
      </c>
      <c r="F359" s="23" t="s">
        <v>1955</v>
      </c>
      <c r="G359" s="23" t="s">
        <v>1933</v>
      </c>
      <c r="H359" s="23" t="s">
        <v>1990</v>
      </c>
      <c r="I359" s="177"/>
      <c r="J359" s="179">
        <v>0.0</v>
      </c>
    </row>
    <row r="360" ht="22.5" customHeight="1">
      <c r="A360" s="114" t="s">
        <v>2165</v>
      </c>
      <c r="B360" s="25" t="s">
        <v>1227</v>
      </c>
      <c r="C360" s="23" t="s">
        <v>1228</v>
      </c>
      <c r="D360" s="76" t="s">
        <v>1870</v>
      </c>
      <c r="E360" s="23" t="s">
        <v>1941</v>
      </c>
      <c r="F360" s="23" t="s">
        <v>1955</v>
      </c>
      <c r="G360" s="23" t="s">
        <v>1933</v>
      </c>
      <c r="H360" s="23" t="s">
        <v>1990</v>
      </c>
      <c r="I360" s="177"/>
      <c r="J360" s="179">
        <v>0.0</v>
      </c>
    </row>
    <row r="361" ht="22.5" customHeight="1">
      <c r="A361" s="114" t="s">
        <v>2165</v>
      </c>
      <c r="B361" s="25" t="s">
        <v>1229</v>
      </c>
      <c r="C361" s="23" t="s">
        <v>1230</v>
      </c>
      <c r="D361" s="76" t="s">
        <v>1870</v>
      </c>
      <c r="E361" s="23" t="s">
        <v>1941</v>
      </c>
      <c r="F361" s="23" t="s">
        <v>1955</v>
      </c>
      <c r="G361" s="23" t="s">
        <v>1933</v>
      </c>
      <c r="H361" s="23" t="s">
        <v>1990</v>
      </c>
      <c r="I361" s="177"/>
      <c r="J361" s="179">
        <v>0.0</v>
      </c>
    </row>
    <row r="362" ht="22.5" customHeight="1">
      <c r="A362" s="114" t="s">
        <v>2165</v>
      </c>
      <c r="B362" s="25" t="s">
        <v>1231</v>
      </c>
      <c r="C362" s="23" t="s">
        <v>1232</v>
      </c>
      <c r="D362" s="76" t="s">
        <v>1870</v>
      </c>
      <c r="E362" s="23" t="s">
        <v>1961</v>
      </c>
      <c r="F362" s="23" t="s">
        <v>1947</v>
      </c>
      <c r="G362" s="23" t="s">
        <v>1933</v>
      </c>
      <c r="H362" s="23" t="s">
        <v>1990</v>
      </c>
      <c r="I362" s="177"/>
      <c r="J362" s="179">
        <v>4.0</v>
      </c>
    </row>
    <row r="363" ht="22.5" customHeight="1">
      <c r="A363" s="114" t="s">
        <v>2165</v>
      </c>
      <c r="B363" s="25" t="s">
        <v>1233</v>
      </c>
      <c r="C363" s="23" t="s">
        <v>1234</v>
      </c>
      <c r="D363" s="76" t="s">
        <v>1870</v>
      </c>
      <c r="E363" s="23" t="s">
        <v>1961</v>
      </c>
      <c r="F363" s="23" t="s">
        <v>1947</v>
      </c>
      <c r="G363" s="23" t="s">
        <v>1933</v>
      </c>
      <c r="H363" s="23" t="s">
        <v>1990</v>
      </c>
      <c r="I363" s="177"/>
      <c r="J363" s="179">
        <v>0.0</v>
      </c>
    </row>
    <row r="364" ht="22.5" customHeight="1">
      <c r="A364" s="114" t="s">
        <v>2165</v>
      </c>
      <c r="B364" s="25" t="s">
        <v>1235</v>
      </c>
      <c r="C364" s="23" t="s">
        <v>1236</v>
      </c>
      <c r="D364" s="76" t="s">
        <v>1870</v>
      </c>
      <c r="E364" s="23" t="s">
        <v>1935</v>
      </c>
      <c r="F364" s="23" t="s">
        <v>1947</v>
      </c>
      <c r="G364" s="23" t="s">
        <v>1933</v>
      </c>
      <c r="H364" s="23" t="s">
        <v>1994</v>
      </c>
      <c r="I364" s="177"/>
      <c r="J364" s="179">
        <v>0.0</v>
      </c>
    </row>
    <row r="365" ht="22.5" customHeight="1">
      <c r="A365" s="114" t="s">
        <v>2165</v>
      </c>
      <c r="B365" s="25" t="s">
        <v>1237</v>
      </c>
      <c r="C365" s="23" t="s">
        <v>1238</v>
      </c>
      <c r="D365" s="76" t="s">
        <v>1870</v>
      </c>
      <c r="E365" s="23" t="s">
        <v>1935</v>
      </c>
      <c r="F365" s="23" t="s">
        <v>1947</v>
      </c>
      <c r="G365" s="23" t="s">
        <v>1933</v>
      </c>
      <c r="H365" s="23" t="s">
        <v>1994</v>
      </c>
      <c r="I365" s="177"/>
      <c r="J365" s="179">
        <v>0.0</v>
      </c>
    </row>
    <row r="366" ht="22.5" customHeight="1">
      <c r="A366" s="114" t="s">
        <v>2165</v>
      </c>
      <c r="B366" s="25" t="s">
        <v>1239</v>
      </c>
      <c r="C366" s="23" t="s">
        <v>1048</v>
      </c>
      <c r="D366" s="76" t="s">
        <v>1870</v>
      </c>
      <c r="E366" s="23" t="s">
        <v>1991</v>
      </c>
      <c r="F366" s="23" t="s">
        <v>2010</v>
      </c>
      <c r="G366" s="23" t="s">
        <v>1933</v>
      </c>
      <c r="H366" s="23" t="s">
        <v>2143</v>
      </c>
      <c r="I366" s="177"/>
      <c r="J366" s="179">
        <v>0.0</v>
      </c>
    </row>
    <row r="367" ht="22.5" customHeight="1">
      <c r="A367" s="114" t="s">
        <v>2165</v>
      </c>
      <c r="B367" s="25" t="s">
        <v>1240</v>
      </c>
      <c r="C367" s="23" t="s">
        <v>1069</v>
      </c>
      <c r="D367" s="76" t="s">
        <v>1870</v>
      </c>
      <c r="E367" s="23" t="s">
        <v>1991</v>
      </c>
      <c r="F367" s="23" t="s">
        <v>2010</v>
      </c>
      <c r="G367" s="23" t="s">
        <v>1933</v>
      </c>
      <c r="H367" s="23" t="s">
        <v>2143</v>
      </c>
      <c r="I367" s="177"/>
      <c r="J367" s="179">
        <v>0.0</v>
      </c>
    </row>
    <row r="368" ht="22.5" customHeight="1">
      <c r="A368" s="114" t="s">
        <v>2165</v>
      </c>
      <c r="B368" s="25" t="s">
        <v>1241</v>
      </c>
      <c r="C368" s="23" t="s">
        <v>1242</v>
      </c>
      <c r="D368" s="76" t="s">
        <v>1870</v>
      </c>
      <c r="E368" s="23" t="s">
        <v>2009</v>
      </c>
      <c r="F368" s="23" t="s">
        <v>1945</v>
      </c>
      <c r="G368" s="23" t="s">
        <v>1933</v>
      </c>
      <c r="H368" s="23" t="s">
        <v>2143</v>
      </c>
      <c r="I368" s="177"/>
      <c r="J368" s="179">
        <v>0.0</v>
      </c>
    </row>
    <row r="369" ht="22.5" customHeight="1">
      <c r="A369" s="114" t="s">
        <v>2165</v>
      </c>
      <c r="B369" s="25" t="s">
        <v>1243</v>
      </c>
      <c r="C369" s="23" t="s">
        <v>1244</v>
      </c>
      <c r="D369" s="76" t="s">
        <v>1870</v>
      </c>
      <c r="E369" s="23" t="s">
        <v>2009</v>
      </c>
      <c r="F369" s="23" t="s">
        <v>1945</v>
      </c>
      <c r="G369" s="23" t="s">
        <v>1933</v>
      </c>
      <c r="H369" s="23" t="s">
        <v>2143</v>
      </c>
      <c r="I369" s="177"/>
      <c r="J369" s="179">
        <v>0.0</v>
      </c>
    </row>
    <row r="370" ht="22.5" customHeight="1">
      <c r="A370" s="114" t="s">
        <v>2165</v>
      </c>
      <c r="B370" s="25" t="s">
        <v>1245</v>
      </c>
      <c r="C370" s="23" t="s">
        <v>1058</v>
      </c>
      <c r="D370" s="76" t="s">
        <v>1870</v>
      </c>
      <c r="E370" s="23" t="s">
        <v>1989</v>
      </c>
      <c r="F370" s="23" t="s">
        <v>2008</v>
      </c>
      <c r="G370" s="23" t="s">
        <v>1933</v>
      </c>
      <c r="H370" s="23" t="s">
        <v>2143</v>
      </c>
      <c r="I370" s="177"/>
      <c r="J370" s="179">
        <v>1.0</v>
      </c>
    </row>
    <row r="371" ht="22.5" customHeight="1">
      <c r="A371" s="114" t="s">
        <v>2165</v>
      </c>
      <c r="B371" s="25" t="s">
        <v>1246</v>
      </c>
      <c r="C371" s="23" t="s">
        <v>1069</v>
      </c>
      <c r="D371" s="76" t="s">
        <v>1870</v>
      </c>
      <c r="E371" s="23" t="s">
        <v>1989</v>
      </c>
      <c r="F371" s="23" t="s">
        <v>2008</v>
      </c>
      <c r="G371" s="23" t="s">
        <v>1933</v>
      </c>
      <c r="H371" s="23" t="s">
        <v>2143</v>
      </c>
      <c r="I371" s="177"/>
      <c r="J371" s="179">
        <v>0.0</v>
      </c>
    </row>
    <row r="372" ht="22.5" customHeight="1">
      <c r="A372" s="114" t="s">
        <v>2165</v>
      </c>
      <c r="B372" s="25" t="s">
        <v>267</v>
      </c>
      <c r="C372" s="23" t="s">
        <v>912</v>
      </c>
      <c r="D372" s="76" t="s">
        <v>1870</v>
      </c>
      <c r="E372" s="23" t="s">
        <v>2084</v>
      </c>
      <c r="F372" s="23" t="s">
        <v>1939</v>
      </c>
      <c r="G372" s="23" t="s">
        <v>1933</v>
      </c>
      <c r="H372" s="23" t="s">
        <v>2143</v>
      </c>
      <c r="I372" s="177"/>
      <c r="J372" s="179">
        <v>0.0</v>
      </c>
    </row>
    <row r="373" ht="22.5" customHeight="1">
      <c r="A373" s="114" t="s">
        <v>2165</v>
      </c>
      <c r="B373" s="25" t="s">
        <v>270</v>
      </c>
      <c r="C373" s="23" t="s">
        <v>913</v>
      </c>
      <c r="D373" s="76" t="s">
        <v>1870</v>
      </c>
      <c r="E373" s="23" t="s">
        <v>2084</v>
      </c>
      <c r="F373" s="23" t="s">
        <v>1939</v>
      </c>
      <c r="G373" s="23" t="s">
        <v>1933</v>
      </c>
      <c r="H373" s="23" t="s">
        <v>2143</v>
      </c>
      <c r="I373" s="177"/>
      <c r="J373" s="179">
        <v>1.0</v>
      </c>
    </row>
    <row r="374" ht="22.5" customHeight="1">
      <c r="A374" s="114" t="s">
        <v>2165</v>
      </c>
      <c r="B374" s="25" t="s">
        <v>200</v>
      </c>
      <c r="C374" s="23" t="s">
        <v>2114</v>
      </c>
      <c r="D374" s="76" t="s">
        <v>1870</v>
      </c>
      <c r="E374" s="23" t="s">
        <v>2094</v>
      </c>
      <c r="F374" s="23" t="s">
        <v>1939</v>
      </c>
      <c r="G374" s="23" t="s">
        <v>1933</v>
      </c>
      <c r="H374" s="23" t="s">
        <v>1999</v>
      </c>
      <c r="I374" s="177"/>
      <c r="J374" s="179">
        <v>1.0</v>
      </c>
    </row>
    <row r="375" ht="22.5" customHeight="1">
      <c r="A375" s="114" t="s">
        <v>2165</v>
      </c>
      <c r="B375" s="25" t="s">
        <v>205</v>
      </c>
      <c r="C375" s="23" t="s">
        <v>915</v>
      </c>
      <c r="D375" s="76" t="s">
        <v>1870</v>
      </c>
      <c r="E375" s="23" t="s">
        <v>2094</v>
      </c>
      <c r="F375" s="23" t="s">
        <v>1936</v>
      </c>
      <c r="G375" s="23" t="s">
        <v>1933</v>
      </c>
      <c r="H375" s="23" t="s">
        <v>2143</v>
      </c>
      <c r="I375" s="177"/>
      <c r="J375" s="179">
        <v>0.0</v>
      </c>
    </row>
    <row r="376" ht="22.5" customHeight="1">
      <c r="A376" s="114" t="s">
        <v>2165</v>
      </c>
      <c r="B376" s="25" t="s">
        <v>609</v>
      </c>
      <c r="C376" s="23" t="s">
        <v>916</v>
      </c>
      <c r="D376" s="76" t="s">
        <v>1870</v>
      </c>
      <c r="E376" s="23" t="s">
        <v>2094</v>
      </c>
      <c r="F376" s="23" t="s">
        <v>1936</v>
      </c>
      <c r="G376" s="23" t="s">
        <v>1933</v>
      </c>
      <c r="H376" s="23" t="s">
        <v>2143</v>
      </c>
      <c r="I376" s="177"/>
      <c r="J376" s="179">
        <v>0.0</v>
      </c>
    </row>
    <row r="377" ht="22.5" customHeight="1">
      <c r="A377" s="114" t="s">
        <v>2165</v>
      </c>
      <c r="B377" s="25" t="s">
        <v>212</v>
      </c>
      <c r="C377" s="23" t="s">
        <v>917</v>
      </c>
      <c r="D377" s="76" t="s">
        <v>1870</v>
      </c>
      <c r="E377" s="23" t="s">
        <v>2077</v>
      </c>
      <c r="F377" s="23" t="s">
        <v>1936</v>
      </c>
      <c r="G377" s="23" t="s">
        <v>1933</v>
      </c>
      <c r="H377" s="23" t="s">
        <v>1999</v>
      </c>
      <c r="I377" s="177"/>
      <c r="J377" s="179">
        <v>0.0</v>
      </c>
    </row>
    <row r="378" ht="22.5" customHeight="1">
      <c r="A378" s="114" t="s">
        <v>2165</v>
      </c>
      <c r="B378" s="25" t="s">
        <v>217</v>
      </c>
      <c r="C378" s="23" t="s">
        <v>918</v>
      </c>
      <c r="D378" s="76" t="s">
        <v>1870</v>
      </c>
      <c r="E378" s="23" t="s">
        <v>2077</v>
      </c>
      <c r="F378" s="23" t="s">
        <v>1963</v>
      </c>
      <c r="G378" s="23" t="s">
        <v>1933</v>
      </c>
      <c r="H378" s="23" t="s">
        <v>2143</v>
      </c>
      <c r="I378" s="177"/>
      <c r="J378" s="179">
        <v>0.0</v>
      </c>
    </row>
    <row r="379" ht="22.5" customHeight="1">
      <c r="A379" s="114" t="s">
        <v>2165</v>
      </c>
      <c r="B379" s="25" t="s">
        <v>222</v>
      </c>
      <c r="C379" s="23" t="s">
        <v>920</v>
      </c>
      <c r="D379" s="76" t="s">
        <v>1870</v>
      </c>
      <c r="E379" s="23" t="s">
        <v>2077</v>
      </c>
      <c r="F379" s="23" t="s">
        <v>1963</v>
      </c>
      <c r="G379" s="23" t="s">
        <v>1933</v>
      </c>
      <c r="H379" s="23" t="s">
        <v>2143</v>
      </c>
      <c r="I379" s="177"/>
      <c r="J379" s="179">
        <v>0.0</v>
      </c>
    </row>
    <row r="380" ht="22.5" customHeight="1">
      <c r="A380" s="114" t="s">
        <v>2165</v>
      </c>
      <c r="B380" s="25" t="s">
        <v>1254</v>
      </c>
      <c r="C380" s="23" t="s">
        <v>1080</v>
      </c>
      <c r="D380" s="158" t="s">
        <v>1889</v>
      </c>
      <c r="E380" s="23" t="s">
        <v>2197</v>
      </c>
      <c r="F380" s="23" t="s">
        <v>2198</v>
      </c>
      <c r="G380" s="23" t="s">
        <v>2168</v>
      </c>
      <c r="H380" s="23" t="s">
        <v>2199</v>
      </c>
      <c r="I380" s="177"/>
      <c r="J380" s="179">
        <v>1.0</v>
      </c>
    </row>
    <row r="381" ht="22.5" customHeight="1">
      <c r="A381" s="114" t="s">
        <v>2165</v>
      </c>
      <c r="B381" s="25" t="s">
        <v>1255</v>
      </c>
      <c r="C381" s="23" t="s">
        <v>1083</v>
      </c>
      <c r="D381" s="158" t="s">
        <v>1889</v>
      </c>
      <c r="E381" s="23" t="s">
        <v>2200</v>
      </c>
      <c r="F381" s="23" t="s">
        <v>2201</v>
      </c>
      <c r="G381" s="23" t="s">
        <v>2168</v>
      </c>
      <c r="H381" s="23" t="s">
        <v>2202</v>
      </c>
      <c r="I381" s="177"/>
      <c r="J381" s="179">
        <v>1.0</v>
      </c>
    </row>
    <row r="382" ht="22.5" customHeight="1">
      <c r="A382" s="114" t="s">
        <v>2165</v>
      </c>
      <c r="B382" s="25" t="s">
        <v>1256</v>
      </c>
      <c r="C382" s="23" t="s">
        <v>1084</v>
      </c>
      <c r="D382" s="158" t="s">
        <v>1889</v>
      </c>
      <c r="E382" s="23" t="s">
        <v>2200</v>
      </c>
      <c r="F382" s="23" t="s">
        <v>2201</v>
      </c>
      <c r="G382" s="23" t="s">
        <v>2168</v>
      </c>
      <c r="H382" s="23" t="s">
        <v>2202</v>
      </c>
      <c r="I382" s="177"/>
      <c r="J382" s="179">
        <v>2.0</v>
      </c>
    </row>
    <row r="383" ht="22.5" customHeight="1">
      <c r="A383" s="114" t="s">
        <v>2165</v>
      </c>
      <c r="B383" s="25" t="s">
        <v>1257</v>
      </c>
      <c r="C383" s="23" t="s">
        <v>1258</v>
      </c>
      <c r="D383" s="158" t="s">
        <v>1889</v>
      </c>
      <c r="E383" s="23" t="s">
        <v>2200</v>
      </c>
      <c r="F383" s="23" t="s">
        <v>2201</v>
      </c>
      <c r="G383" s="23" t="s">
        <v>2168</v>
      </c>
      <c r="H383" s="23" t="s">
        <v>2202</v>
      </c>
      <c r="I383" s="177"/>
      <c r="J383" s="179">
        <v>2.0</v>
      </c>
    </row>
    <row r="384" ht="22.5" customHeight="1">
      <c r="A384" s="114" t="s">
        <v>2165</v>
      </c>
      <c r="B384" s="25" t="s">
        <v>1259</v>
      </c>
      <c r="C384" s="23" t="s">
        <v>1260</v>
      </c>
      <c r="D384" s="158" t="s">
        <v>1889</v>
      </c>
      <c r="E384" s="23" t="s">
        <v>2203</v>
      </c>
      <c r="F384" s="23" t="s">
        <v>2201</v>
      </c>
      <c r="G384" s="23" t="s">
        <v>2168</v>
      </c>
      <c r="H384" s="23" t="s">
        <v>2204</v>
      </c>
      <c r="I384" s="177"/>
      <c r="J384" s="179">
        <v>0.0</v>
      </c>
    </row>
    <row r="385" ht="22.5" customHeight="1">
      <c r="A385" s="114" t="s">
        <v>2165</v>
      </c>
      <c r="B385" s="25" t="s">
        <v>1261</v>
      </c>
      <c r="C385" s="23" t="s">
        <v>1262</v>
      </c>
      <c r="D385" s="158" t="s">
        <v>1889</v>
      </c>
      <c r="E385" s="23" t="s">
        <v>2200</v>
      </c>
      <c r="F385" s="23" t="s">
        <v>2201</v>
      </c>
      <c r="G385" s="23" t="s">
        <v>2168</v>
      </c>
      <c r="H385" s="23" t="s">
        <v>2202</v>
      </c>
      <c r="I385" s="177"/>
      <c r="J385" s="179">
        <v>0.0</v>
      </c>
    </row>
    <row r="386" ht="22.5" customHeight="1">
      <c r="A386" s="114" t="s">
        <v>2165</v>
      </c>
      <c r="B386" s="25" t="s">
        <v>1263</v>
      </c>
      <c r="C386" s="23" t="s">
        <v>1258</v>
      </c>
      <c r="D386" s="158" t="s">
        <v>1889</v>
      </c>
      <c r="E386" s="23" t="s">
        <v>2205</v>
      </c>
      <c r="F386" s="23" t="s">
        <v>2167</v>
      </c>
      <c r="G386" s="23" t="s">
        <v>2168</v>
      </c>
      <c r="H386" s="23" t="s">
        <v>2202</v>
      </c>
      <c r="I386" s="177"/>
      <c r="J386" s="179">
        <v>3.0</v>
      </c>
    </row>
    <row r="387" ht="22.5" customHeight="1">
      <c r="A387" s="114" t="s">
        <v>2165</v>
      </c>
      <c r="B387" s="25" t="s">
        <v>168</v>
      </c>
      <c r="C387" s="23" t="s">
        <v>2130</v>
      </c>
      <c r="D387" s="158" t="s">
        <v>1889</v>
      </c>
      <c r="E387" s="23" t="s">
        <v>2205</v>
      </c>
      <c r="F387" s="23" t="s">
        <v>2167</v>
      </c>
      <c r="G387" s="23" t="s">
        <v>2168</v>
      </c>
      <c r="H387" s="23" t="s">
        <v>2202</v>
      </c>
      <c r="I387" s="177"/>
      <c r="J387" s="179">
        <v>0.0</v>
      </c>
    </row>
    <row r="388" ht="22.5" customHeight="1">
      <c r="A388" s="114" t="s">
        <v>2165</v>
      </c>
      <c r="B388" s="25" t="s">
        <v>1264</v>
      </c>
      <c r="C388" s="23" t="s">
        <v>1258</v>
      </c>
      <c r="D388" s="158" t="s">
        <v>1889</v>
      </c>
      <c r="E388" s="23" t="s">
        <v>2206</v>
      </c>
      <c r="F388" s="23" t="s">
        <v>2167</v>
      </c>
      <c r="G388" s="23" t="s">
        <v>2168</v>
      </c>
      <c r="H388" s="23" t="s">
        <v>2207</v>
      </c>
      <c r="I388" s="177"/>
      <c r="J388" s="179">
        <v>0.0</v>
      </c>
    </row>
    <row r="389" ht="22.5" customHeight="1">
      <c r="A389" s="114" t="s">
        <v>2165</v>
      </c>
      <c r="B389" s="25" t="s">
        <v>1265</v>
      </c>
      <c r="C389" s="23" t="s">
        <v>1266</v>
      </c>
      <c r="D389" s="158" t="s">
        <v>1889</v>
      </c>
      <c r="E389" s="23" t="s">
        <v>2206</v>
      </c>
      <c r="F389" s="23" t="s">
        <v>2167</v>
      </c>
      <c r="G389" s="23" t="s">
        <v>2168</v>
      </c>
      <c r="H389" s="23" t="s">
        <v>2207</v>
      </c>
      <c r="I389" s="177"/>
      <c r="J389" s="179">
        <v>0.0</v>
      </c>
    </row>
    <row r="390" ht="22.5" customHeight="1">
      <c r="A390" s="114" t="s">
        <v>2165</v>
      </c>
      <c r="B390" s="25" t="s">
        <v>1267</v>
      </c>
      <c r="C390" s="23" t="s">
        <v>1081</v>
      </c>
      <c r="D390" s="158" t="s">
        <v>1889</v>
      </c>
      <c r="E390" s="23" t="s">
        <v>2206</v>
      </c>
      <c r="F390" s="23" t="s">
        <v>2167</v>
      </c>
      <c r="G390" s="23" t="s">
        <v>2168</v>
      </c>
      <c r="H390" s="23" t="s">
        <v>2207</v>
      </c>
      <c r="I390" s="177"/>
      <c r="J390" s="179">
        <v>1.0</v>
      </c>
    </row>
    <row r="391" ht="22.5" customHeight="1">
      <c r="A391" s="114" t="s">
        <v>2165</v>
      </c>
      <c r="B391" s="25" t="s">
        <v>1268</v>
      </c>
      <c r="C391" s="23" t="s">
        <v>1083</v>
      </c>
      <c r="D391" s="158" t="s">
        <v>1889</v>
      </c>
      <c r="E391" s="23" t="s">
        <v>2208</v>
      </c>
      <c r="F391" s="23" t="s">
        <v>2198</v>
      </c>
      <c r="G391" s="23" t="s">
        <v>2168</v>
      </c>
      <c r="H391" s="23" t="s">
        <v>2209</v>
      </c>
      <c r="I391" s="177"/>
      <c r="J391" s="179">
        <v>2.0</v>
      </c>
    </row>
    <row r="392" ht="22.5" customHeight="1">
      <c r="A392" s="114" t="s">
        <v>2165</v>
      </c>
      <c r="B392" s="25" t="s">
        <v>1269</v>
      </c>
      <c r="C392" s="23" t="s">
        <v>1258</v>
      </c>
      <c r="D392" s="158" t="s">
        <v>1889</v>
      </c>
      <c r="E392" s="23" t="s">
        <v>2210</v>
      </c>
      <c r="F392" s="23" t="s">
        <v>2211</v>
      </c>
      <c r="G392" s="23" t="s">
        <v>2168</v>
      </c>
      <c r="H392" s="23" t="s">
        <v>2204</v>
      </c>
      <c r="I392" s="177"/>
      <c r="J392" s="179">
        <v>1.0</v>
      </c>
    </row>
    <row r="393" ht="22.5" customHeight="1">
      <c r="A393" s="114" t="s">
        <v>2165</v>
      </c>
      <c r="B393" s="25" t="s">
        <v>1270</v>
      </c>
      <c r="C393" s="23" t="s">
        <v>1083</v>
      </c>
      <c r="D393" s="158" t="s">
        <v>1889</v>
      </c>
      <c r="E393" s="23" t="s">
        <v>2210</v>
      </c>
      <c r="F393" s="23" t="s">
        <v>2211</v>
      </c>
      <c r="G393" s="23" t="s">
        <v>2168</v>
      </c>
      <c r="H393" s="23" t="s">
        <v>2204</v>
      </c>
      <c r="I393" s="177"/>
      <c r="J393" s="179">
        <v>3.0</v>
      </c>
    </row>
    <row r="394" ht="22.5" customHeight="1">
      <c r="A394" s="114" t="s">
        <v>2165</v>
      </c>
      <c r="B394" s="25" t="s">
        <v>226</v>
      </c>
      <c r="C394" s="23" t="s">
        <v>923</v>
      </c>
      <c r="D394" s="158" t="s">
        <v>1889</v>
      </c>
      <c r="E394" s="23" t="s">
        <v>2210</v>
      </c>
      <c r="F394" s="23" t="s">
        <v>2211</v>
      </c>
      <c r="G394" s="23" t="s">
        <v>2168</v>
      </c>
      <c r="H394" s="23" t="s">
        <v>2204</v>
      </c>
      <c r="I394" s="177"/>
      <c r="J394" s="179">
        <v>3.0</v>
      </c>
    </row>
    <row r="395" ht="22.5" customHeight="1">
      <c r="A395" s="114" t="s">
        <v>2165</v>
      </c>
      <c r="B395" s="25" t="s">
        <v>643</v>
      </c>
      <c r="C395" s="23" t="s">
        <v>924</v>
      </c>
      <c r="D395" s="158" t="s">
        <v>1889</v>
      </c>
      <c r="E395" s="23" t="s">
        <v>2212</v>
      </c>
      <c r="F395" s="23" t="s">
        <v>2213</v>
      </c>
      <c r="G395" s="23" t="s">
        <v>2168</v>
      </c>
      <c r="H395" s="23" t="s">
        <v>2214</v>
      </c>
      <c r="I395" s="177"/>
      <c r="J395" s="179">
        <v>1.0</v>
      </c>
    </row>
    <row r="396" ht="22.5" customHeight="1">
      <c r="A396" s="114" t="s">
        <v>2165</v>
      </c>
      <c r="B396" s="25" t="s">
        <v>177</v>
      </c>
      <c r="C396" s="23" t="s">
        <v>2137</v>
      </c>
      <c r="D396" s="158" t="s">
        <v>1889</v>
      </c>
      <c r="E396" s="23" t="s">
        <v>2215</v>
      </c>
      <c r="F396" s="23" t="s">
        <v>2216</v>
      </c>
      <c r="G396" s="23" t="s">
        <v>2168</v>
      </c>
      <c r="H396" s="23" t="s">
        <v>2214</v>
      </c>
      <c r="I396" s="177"/>
      <c r="J396" s="179">
        <v>0.0</v>
      </c>
    </row>
    <row r="397" ht="22.5" customHeight="1">
      <c r="A397" s="114" t="s">
        <v>2165</v>
      </c>
      <c r="B397" s="25" t="s">
        <v>1274</v>
      </c>
      <c r="C397" s="23" t="s">
        <v>1275</v>
      </c>
      <c r="D397" s="158" t="s">
        <v>1889</v>
      </c>
      <c r="E397" s="23" t="s">
        <v>2215</v>
      </c>
      <c r="F397" s="23" t="s">
        <v>2216</v>
      </c>
      <c r="G397" s="23" t="s">
        <v>2168</v>
      </c>
      <c r="H397" s="23" t="s">
        <v>2214</v>
      </c>
      <c r="I397" s="177"/>
      <c r="J397" s="179">
        <v>0.0</v>
      </c>
    </row>
    <row r="398" ht="22.5" customHeight="1">
      <c r="A398" s="114" t="s">
        <v>2165</v>
      </c>
      <c r="B398" s="25" t="s">
        <v>183</v>
      </c>
      <c r="C398" s="23" t="s">
        <v>926</v>
      </c>
      <c r="D398" s="158" t="s">
        <v>1889</v>
      </c>
      <c r="E398" s="23" t="s">
        <v>2212</v>
      </c>
      <c r="F398" s="23" t="s">
        <v>2213</v>
      </c>
      <c r="G398" s="23" t="s">
        <v>2168</v>
      </c>
      <c r="H398" s="23" t="s">
        <v>2214</v>
      </c>
      <c r="I398" s="177"/>
      <c r="J398" s="179">
        <v>0.0</v>
      </c>
    </row>
    <row r="399" ht="22.5" customHeight="1">
      <c r="A399" s="114" t="s">
        <v>2165</v>
      </c>
      <c r="B399" s="25" t="s">
        <v>1276</v>
      </c>
      <c r="C399" s="23" t="s">
        <v>1277</v>
      </c>
      <c r="D399" s="158" t="s">
        <v>1889</v>
      </c>
      <c r="E399" s="23" t="s">
        <v>2217</v>
      </c>
      <c r="F399" s="23" t="s">
        <v>2218</v>
      </c>
      <c r="G399" s="23" t="s">
        <v>2168</v>
      </c>
      <c r="H399" s="23" t="s">
        <v>2219</v>
      </c>
      <c r="I399" s="177"/>
      <c r="J399" s="179">
        <v>0.0</v>
      </c>
    </row>
    <row r="400" ht="22.5" customHeight="1">
      <c r="A400" s="114" t="s">
        <v>2165</v>
      </c>
      <c r="B400" s="25" t="s">
        <v>1278</v>
      </c>
      <c r="C400" s="23" t="s">
        <v>1279</v>
      </c>
      <c r="D400" s="158" t="s">
        <v>1889</v>
      </c>
      <c r="E400" s="23" t="s">
        <v>2210</v>
      </c>
      <c r="F400" s="23" t="s">
        <v>2211</v>
      </c>
      <c r="G400" s="23" t="s">
        <v>2168</v>
      </c>
      <c r="H400" s="23" t="s">
        <v>2204</v>
      </c>
      <c r="I400" s="177"/>
      <c r="J400" s="179">
        <v>0.0</v>
      </c>
    </row>
    <row r="401" ht="22.5" customHeight="1">
      <c r="A401" s="114" t="s">
        <v>2165</v>
      </c>
      <c r="B401" s="25" t="s">
        <v>1280</v>
      </c>
      <c r="C401" s="23" t="s">
        <v>1258</v>
      </c>
      <c r="D401" s="158" t="s">
        <v>1889</v>
      </c>
      <c r="E401" s="23" t="s">
        <v>2210</v>
      </c>
      <c r="F401" s="23" t="s">
        <v>2211</v>
      </c>
      <c r="G401" s="23" t="s">
        <v>2168</v>
      </c>
      <c r="H401" s="23" t="s">
        <v>2204</v>
      </c>
      <c r="I401" s="177"/>
      <c r="J401" s="179">
        <v>2.0</v>
      </c>
    </row>
    <row r="402" ht="22.5" customHeight="1">
      <c r="A402" s="114" t="s">
        <v>2165</v>
      </c>
      <c r="B402" s="25" t="s">
        <v>1281</v>
      </c>
      <c r="C402" s="23" t="s">
        <v>1092</v>
      </c>
      <c r="D402" s="158" t="s">
        <v>1889</v>
      </c>
      <c r="E402" s="23" t="s">
        <v>2220</v>
      </c>
      <c r="F402" s="23" t="s">
        <v>2213</v>
      </c>
      <c r="G402" s="23" t="s">
        <v>2168</v>
      </c>
      <c r="H402" s="23" t="s">
        <v>2204</v>
      </c>
      <c r="I402" s="177"/>
      <c r="J402" s="179">
        <v>6.0</v>
      </c>
    </row>
    <row r="403" ht="22.5" customHeight="1">
      <c r="A403" s="114" t="s">
        <v>2165</v>
      </c>
      <c r="B403" s="25" t="s">
        <v>1282</v>
      </c>
      <c r="C403" s="23" t="s">
        <v>1097</v>
      </c>
      <c r="D403" s="158" t="s">
        <v>1889</v>
      </c>
      <c r="E403" s="23" t="s">
        <v>2220</v>
      </c>
      <c r="F403" s="23" t="s">
        <v>2213</v>
      </c>
      <c r="G403" s="23" t="s">
        <v>2168</v>
      </c>
      <c r="H403" s="23" t="s">
        <v>2204</v>
      </c>
      <c r="I403" s="177"/>
      <c r="J403" s="179">
        <v>1.0</v>
      </c>
    </row>
    <row r="404" ht="22.5" customHeight="1">
      <c r="A404" s="114" t="s">
        <v>2165</v>
      </c>
      <c r="B404" s="25" t="s">
        <v>1283</v>
      </c>
      <c r="C404" s="23" t="s">
        <v>1100</v>
      </c>
      <c r="D404" s="158" t="s">
        <v>1889</v>
      </c>
      <c r="E404" s="23" t="s">
        <v>2221</v>
      </c>
      <c r="F404" s="23" t="s">
        <v>2222</v>
      </c>
      <c r="G404" s="23" t="s">
        <v>2168</v>
      </c>
      <c r="H404" s="23" t="s">
        <v>2214</v>
      </c>
      <c r="I404" s="177"/>
      <c r="J404" s="179">
        <v>0.0</v>
      </c>
    </row>
    <row r="405" ht="22.5" customHeight="1">
      <c r="A405" s="114" t="s">
        <v>2165</v>
      </c>
      <c r="B405" s="25" t="s">
        <v>1284</v>
      </c>
      <c r="C405" s="23" t="s">
        <v>1098</v>
      </c>
      <c r="D405" s="158" t="s">
        <v>1889</v>
      </c>
      <c r="E405" s="23" t="s">
        <v>2221</v>
      </c>
      <c r="F405" s="23" t="s">
        <v>2216</v>
      </c>
      <c r="G405" s="23" t="s">
        <v>2168</v>
      </c>
      <c r="H405" s="23" t="s">
        <v>2219</v>
      </c>
      <c r="I405" s="177"/>
      <c r="J405" s="179">
        <v>1.0</v>
      </c>
    </row>
    <row r="406" ht="22.5" customHeight="1">
      <c r="A406" s="114" t="s">
        <v>2165</v>
      </c>
      <c r="B406" s="25" t="s">
        <v>1285</v>
      </c>
      <c r="C406" s="23" t="s">
        <v>1090</v>
      </c>
      <c r="D406" s="158" t="s">
        <v>1889</v>
      </c>
      <c r="E406" s="23" t="s">
        <v>2221</v>
      </c>
      <c r="F406" s="23" t="s">
        <v>2216</v>
      </c>
      <c r="G406" s="23" t="s">
        <v>2168</v>
      </c>
      <c r="H406" s="23" t="s">
        <v>2219</v>
      </c>
      <c r="I406" s="177"/>
      <c r="J406" s="179">
        <v>4.0</v>
      </c>
    </row>
    <row r="407" ht="22.5" customHeight="1">
      <c r="A407" s="114" t="s">
        <v>2165</v>
      </c>
      <c r="B407" s="25" t="s">
        <v>1286</v>
      </c>
      <c r="C407" s="23" t="s">
        <v>1258</v>
      </c>
      <c r="D407" s="158" t="s">
        <v>1889</v>
      </c>
      <c r="E407" s="23" t="s">
        <v>2223</v>
      </c>
      <c r="F407" s="23" t="s">
        <v>2218</v>
      </c>
      <c r="G407" s="23" t="s">
        <v>2168</v>
      </c>
      <c r="H407" s="23" t="s">
        <v>2214</v>
      </c>
      <c r="I407" s="177"/>
      <c r="J407" s="179">
        <v>0.0</v>
      </c>
    </row>
    <row r="408" ht="22.5" customHeight="1">
      <c r="A408" s="114" t="s">
        <v>2165</v>
      </c>
      <c r="B408" s="25" t="s">
        <v>1287</v>
      </c>
      <c r="C408" s="23" t="s">
        <v>1083</v>
      </c>
      <c r="D408" s="158" t="s">
        <v>1889</v>
      </c>
      <c r="E408" s="23" t="s">
        <v>2217</v>
      </c>
      <c r="F408" s="23" t="s">
        <v>2218</v>
      </c>
      <c r="G408" s="23" t="s">
        <v>2168</v>
      </c>
      <c r="H408" s="23" t="s">
        <v>2219</v>
      </c>
      <c r="I408" s="177"/>
      <c r="J408" s="179">
        <v>0.0</v>
      </c>
    </row>
    <row r="409" ht="22.5" customHeight="1">
      <c r="A409" s="114" t="s">
        <v>2165</v>
      </c>
      <c r="B409" s="25" t="s">
        <v>1288</v>
      </c>
      <c r="C409" s="23" t="s">
        <v>1289</v>
      </c>
      <c r="D409" s="158" t="s">
        <v>1889</v>
      </c>
      <c r="E409" s="23" t="s">
        <v>2223</v>
      </c>
      <c r="F409" s="23" t="s">
        <v>2222</v>
      </c>
      <c r="G409" s="23" t="s">
        <v>2168</v>
      </c>
      <c r="H409" s="23" t="s">
        <v>2219</v>
      </c>
      <c r="I409" s="177"/>
      <c r="J409" s="179">
        <v>0.0</v>
      </c>
    </row>
    <row r="410" ht="22.5" customHeight="1">
      <c r="A410" s="114" t="s">
        <v>2165</v>
      </c>
      <c r="B410" s="25" t="s">
        <v>231</v>
      </c>
      <c r="C410" s="23" t="s">
        <v>927</v>
      </c>
      <c r="D410" s="158" t="s">
        <v>1889</v>
      </c>
      <c r="E410" s="23" t="s">
        <v>2223</v>
      </c>
      <c r="F410" s="23" t="s">
        <v>2222</v>
      </c>
      <c r="G410" s="23" t="s">
        <v>2168</v>
      </c>
      <c r="H410" s="23" t="s">
        <v>2219</v>
      </c>
      <c r="I410" s="177"/>
      <c r="J410" s="179">
        <v>0.0</v>
      </c>
    </row>
    <row r="411" ht="22.5" customHeight="1">
      <c r="A411" s="114" t="s">
        <v>2165</v>
      </c>
      <c r="B411" s="25" t="s">
        <v>233</v>
      </c>
      <c r="C411" s="23" t="s">
        <v>2146</v>
      </c>
      <c r="D411" s="158" t="s">
        <v>1889</v>
      </c>
      <c r="E411" s="23" t="s">
        <v>2224</v>
      </c>
      <c r="F411" s="23" t="s">
        <v>2225</v>
      </c>
      <c r="G411" s="23" t="s">
        <v>2168</v>
      </c>
      <c r="H411" s="23" t="s">
        <v>2219</v>
      </c>
      <c r="I411" s="177"/>
      <c r="J411" s="179">
        <v>0.0</v>
      </c>
    </row>
    <row r="412" ht="22.5" customHeight="1">
      <c r="A412" s="114" t="s">
        <v>2165</v>
      </c>
      <c r="B412" s="25" t="s">
        <v>1291</v>
      </c>
      <c r="C412" s="23" t="s">
        <v>1292</v>
      </c>
      <c r="D412" s="158" t="s">
        <v>1889</v>
      </c>
      <c r="E412" s="23" t="s">
        <v>2224</v>
      </c>
      <c r="F412" s="23" t="s">
        <v>2225</v>
      </c>
      <c r="G412" s="23" t="s">
        <v>2168</v>
      </c>
      <c r="H412" s="23" t="s">
        <v>2219</v>
      </c>
      <c r="I412" s="177"/>
      <c r="J412" s="179">
        <v>0.0</v>
      </c>
    </row>
    <row r="413" ht="22.5" customHeight="1">
      <c r="A413" s="114" t="s">
        <v>2165</v>
      </c>
      <c r="B413" s="25" t="s">
        <v>1293</v>
      </c>
      <c r="C413" s="23" t="s">
        <v>1294</v>
      </c>
      <c r="D413" s="158" t="s">
        <v>1889</v>
      </c>
      <c r="E413" s="23" t="s">
        <v>2224</v>
      </c>
      <c r="F413" s="23" t="s">
        <v>2225</v>
      </c>
      <c r="G413" s="23" t="s">
        <v>2168</v>
      </c>
      <c r="H413" s="23" t="s">
        <v>2219</v>
      </c>
      <c r="I413" s="177"/>
      <c r="J413" s="179">
        <v>1.0</v>
      </c>
    </row>
    <row r="414" ht="22.5" customHeight="1">
      <c r="A414" s="114" t="s">
        <v>2165</v>
      </c>
      <c r="B414" s="25" t="s">
        <v>1295</v>
      </c>
      <c r="C414" s="23" t="s">
        <v>1297</v>
      </c>
      <c r="D414" s="158" t="s">
        <v>1889</v>
      </c>
      <c r="E414" s="23" t="s">
        <v>2217</v>
      </c>
      <c r="F414" s="23" t="s">
        <v>2218</v>
      </c>
      <c r="G414" s="23" t="s">
        <v>2168</v>
      </c>
      <c r="H414" s="23" t="s">
        <v>2219</v>
      </c>
      <c r="I414" s="177"/>
      <c r="J414" s="179">
        <v>0.0</v>
      </c>
    </row>
    <row r="415" ht="22.5" customHeight="1">
      <c r="A415" s="114" t="s">
        <v>2165</v>
      </c>
      <c r="B415" s="25" t="s">
        <v>1298</v>
      </c>
      <c r="C415" s="23" t="s">
        <v>1299</v>
      </c>
      <c r="D415" s="158" t="s">
        <v>1889</v>
      </c>
      <c r="E415" s="23" t="s">
        <v>2223</v>
      </c>
      <c r="F415" s="23" t="s">
        <v>2222</v>
      </c>
      <c r="G415" s="23" t="s">
        <v>2168</v>
      </c>
      <c r="H415" s="23" t="s">
        <v>2219</v>
      </c>
      <c r="I415" s="177"/>
      <c r="J415" s="179">
        <v>1.0</v>
      </c>
    </row>
    <row r="416" ht="22.5" customHeight="1">
      <c r="A416" s="114" t="s">
        <v>2165</v>
      </c>
      <c r="B416" s="25" t="s">
        <v>1300</v>
      </c>
      <c r="C416" s="23" t="s">
        <v>1258</v>
      </c>
      <c r="D416" s="158" t="s">
        <v>1889</v>
      </c>
      <c r="E416" s="23" t="s">
        <v>2226</v>
      </c>
      <c r="F416" s="23" t="s">
        <v>2227</v>
      </c>
      <c r="G416" s="23" t="s">
        <v>2168</v>
      </c>
      <c r="H416" s="23" t="s">
        <v>2219</v>
      </c>
      <c r="I416" s="177"/>
      <c r="J416" s="179">
        <v>1.0</v>
      </c>
    </row>
    <row r="417" ht="22.5" customHeight="1">
      <c r="A417" s="114" t="s">
        <v>2165</v>
      </c>
      <c r="B417" s="25" t="s">
        <v>1301</v>
      </c>
      <c r="C417" s="23" t="s">
        <v>1083</v>
      </c>
      <c r="D417" s="158" t="s">
        <v>1889</v>
      </c>
      <c r="E417" s="23" t="s">
        <v>2228</v>
      </c>
      <c r="F417" s="23" t="s">
        <v>2229</v>
      </c>
      <c r="G417" s="23" t="s">
        <v>2168</v>
      </c>
      <c r="H417" s="23" t="s">
        <v>2219</v>
      </c>
      <c r="I417" s="177"/>
      <c r="J417" s="179">
        <v>3.0</v>
      </c>
    </row>
    <row r="418" ht="22.5" customHeight="1">
      <c r="A418" s="114" t="s">
        <v>2165</v>
      </c>
      <c r="B418" s="25" t="s">
        <v>1302</v>
      </c>
      <c r="C418" s="23" t="s">
        <v>1303</v>
      </c>
      <c r="D418" s="158" t="s">
        <v>1889</v>
      </c>
      <c r="E418" s="23" t="s">
        <v>2226</v>
      </c>
      <c r="F418" s="23" t="s">
        <v>2227</v>
      </c>
      <c r="G418" s="23" t="s">
        <v>2168</v>
      </c>
      <c r="H418" s="23" t="s">
        <v>2219</v>
      </c>
      <c r="I418" s="177"/>
      <c r="J418" s="179">
        <v>0.0</v>
      </c>
    </row>
    <row r="419" ht="22.5" customHeight="1">
      <c r="A419" s="114" t="s">
        <v>2165</v>
      </c>
      <c r="B419" s="25" t="s">
        <v>1304</v>
      </c>
      <c r="C419" s="23" t="s">
        <v>1305</v>
      </c>
      <c r="D419" s="158" t="s">
        <v>1889</v>
      </c>
      <c r="E419" s="23" t="s">
        <v>2230</v>
      </c>
      <c r="F419" s="23" t="s">
        <v>2229</v>
      </c>
      <c r="G419" s="23" t="s">
        <v>2168</v>
      </c>
      <c r="H419" s="23" t="s">
        <v>2231</v>
      </c>
      <c r="I419" s="177"/>
      <c r="J419" s="179">
        <v>0.0</v>
      </c>
    </row>
    <row r="420" ht="22.5" customHeight="1">
      <c r="A420" s="114" t="s">
        <v>2165</v>
      </c>
      <c r="B420" s="25" t="s">
        <v>1304</v>
      </c>
      <c r="C420" s="23" t="s">
        <v>1305</v>
      </c>
      <c r="D420" s="158" t="s">
        <v>1889</v>
      </c>
      <c r="E420" s="23" t="s">
        <v>2226</v>
      </c>
      <c r="F420" s="23" t="s">
        <v>2227</v>
      </c>
      <c r="G420" s="23" t="s">
        <v>2168</v>
      </c>
      <c r="H420" s="23" t="s">
        <v>2219</v>
      </c>
      <c r="I420" s="25" t="s">
        <v>2091</v>
      </c>
      <c r="J420" s="179">
        <v>1.0</v>
      </c>
    </row>
    <row r="421" ht="22.5" customHeight="1">
      <c r="A421" s="114" t="s">
        <v>2165</v>
      </c>
      <c r="B421" s="25" t="s">
        <v>1308</v>
      </c>
      <c r="C421" s="23" t="s">
        <v>1309</v>
      </c>
      <c r="D421" s="158" t="s">
        <v>1889</v>
      </c>
      <c r="E421" s="23" t="s">
        <v>2230</v>
      </c>
      <c r="F421" s="23" t="s">
        <v>2229</v>
      </c>
      <c r="G421" s="23" t="s">
        <v>2168</v>
      </c>
      <c r="H421" s="23" t="s">
        <v>2231</v>
      </c>
      <c r="I421" s="177"/>
      <c r="J421" s="179">
        <v>5.0</v>
      </c>
    </row>
    <row r="422" ht="22.5" customHeight="1">
      <c r="A422" s="114" t="s">
        <v>2165</v>
      </c>
      <c r="B422" s="25" t="s">
        <v>239</v>
      </c>
      <c r="C422" s="23" t="s">
        <v>293</v>
      </c>
      <c r="D422" s="158" t="s">
        <v>1889</v>
      </c>
      <c r="E422" s="23" t="s">
        <v>2232</v>
      </c>
      <c r="F422" s="23" t="s">
        <v>2198</v>
      </c>
      <c r="G422" s="23" t="s">
        <v>2168</v>
      </c>
      <c r="H422" s="23" t="s">
        <v>2231</v>
      </c>
      <c r="I422" s="177"/>
      <c r="J422" s="179">
        <v>3.0</v>
      </c>
    </row>
    <row r="423" ht="22.5" customHeight="1">
      <c r="A423" s="114" t="s">
        <v>2165</v>
      </c>
      <c r="B423" s="25" t="s">
        <v>241</v>
      </c>
      <c r="C423" s="23" t="s">
        <v>2147</v>
      </c>
      <c r="D423" s="158" t="s">
        <v>1889</v>
      </c>
      <c r="E423" s="23" t="s">
        <v>2233</v>
      </c>
      <c r="F423" s="23" t="s">
        <v>2198</v>
      </c>
      <c r="G423" s="23" t="s">
        <v>2168</v>
      </c>
      <c r="H423" s="23" t="s">
        <v>2234</v>
      </c>
      <c r="I423" s="177"/>
      <c r="J423" s="179">
        <v>1.0</v>
      </c>
    </row>
    <row r="424" ht="22.5" customHeight="1">
      <c r="A424" s="114" t="s">
        <v>2165</v>
      </c>
      <c r="B424" s="25" t="s">
        <v>1310</v>
      </c>
      <c r="C424" s="23" t="s">
        <v>1258</v>
      </c>
      <c r="D424" s="158" t="s">
        <v>1889</v>
      </c>
      <c r="E424" s="23" t="s">
        <v>2232</v>
      </c>
      <c r="F424" s="23" t="s">
        <v>2229</v>
      </c>
      <c r="G424" s="23" t="s">
        <v>2168</v>
      </c>
      <c r="H424" s="23" t="s">
        <v>2234</v>
      </c>
      <c r="I424" s="177"/>
      <c r="J424" s="179">
        <v>0.0</v>
      </c>
    </row>
    <row r="425" ht="22.5" customHeight="1">
      <c r="A425" s="114" t="s">
        <v>2165</v>
      </c>
      <c r="B425" s="25" t="s">
        <v>1312</v>
      </c>
      <c r="C425" s="23" t="s">
        <v>1098</v>
      </c>
      <c r="D425" s="158" t="s">
        <v>1889</v>
      </c>
      <c r="E425" s="23" t="s">
        <v>2230</v>
      </c>
      <c r="F425" s="23" t="s">
        <v>2229</v>
      </c>
      <c r="G425" s="23" t="s">
        <v>2168</v>
      </c>
      <c r="H425" s="23" t="s">
        <v>2231</v>
      </c>
      <c r="I425" s="177"/>
      <c r="J425" s="179">
        <v>0.0</v>
      </c>
    </row>
    <row r="426" ht="22.5" customHeight="1">
      <c r="A426" s="114" t="s">
        <v>2165</v>
      </c>
      <c r="B426" s="25" t="s">
        <v>1313</v>
      </c>
      <c r="C426" s="23" t="s">
        <v>1314</v>
      </c>
      <c r="D426" s="158" t="s">
        <v>1889</v>
      </c>
      <c r="E426" s="23" t="s">
        <v>2228</v>
      </c>
      <c r="F426" s="23" t="s">
        <v>2227</v>
      </c>
      <c r="G426" s="23" t="s">
        <v>2168</v>
      </c>
      <c r="H426" s="23" t="s">
        <v>2231</v>
      </c>
      <c r="I426" s="177"/>
      <c r="J426" s="179">
        <v>0.0</v>
      </c>
    </row>
    <row r="427" ht="22.5" customHeight="1">
      <c r="A427" s="114" t="s">
        <v>2165</v>
      </c>
      <c r="B427" s="25" t="s">
        <v>246</v>
      </c>
      <c r="C427" s="23" t="s">
        <v>929</v>
      </c>
      <c r="D427" s="158" t="s">
        <v>1889</v>
      </c>
      <c r="E427" s="23" t="s">
        <v>2226</v>
      </c>
      <c r="F427" s="23" t="s">
        <v>2227</v>
      </c>
      <c r="G427" s="23" t="s">
        <v>2168</v>
      </c>
      <c r="H427" s="23" t="s">
        <v>2219</v>
      </c>
      <c r="I427" s="177"/>
      <c r="J427" s="179">
        <v>0.0</v>
      </c>
    </row>
  </sheetData>
  <dataValidations>
    <dataValidation type="custom" allowBlank="1" showDropDown="1" sqref="A2:A427">
      <formula1>OR(NOT(ISERROR(DATEVALUE(A2))), AND(ISNUMBER(A2), LEFT(CELL("format", A2))="D"))</formula1>
    </dataValidation>
    <dataValidation type="custom" allowBlank="1" showDropDown="1" sqref="J2:J427">
      <formula1>AND(ISNUMBER(J2),(NOT(OR(NOT(ISERROR(DATEVALUE(J2))), AND(ISNUMBER(J2), LEFT(CELL("format", J2))="D")))))</formula1>
    </dataValidation>
    <dataValidation allowBlank="1" showDropDown="1" sqref="B2:C427 E2:I427"/>
    <dataValidation type="list" allowBlank="1" sqref="D2:D427">
      <formula1>"NON-POTENT,POTENT"</formula1>
    </dataValidation>
  </dataValidations>
  <drawing r:id="rId1"/>
  <tableParts count="1">
    <tablePart r:id="rId3"/>
  </tableParts>
</worksheet>
</file>